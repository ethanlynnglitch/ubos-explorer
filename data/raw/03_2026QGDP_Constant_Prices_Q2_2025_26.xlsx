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harts/chart13.xml" ContentType="application/vnd.openxmlformats-officedocument.drawingml.chart+xml"/>
  <Override PartName="/xl/charts/style9.xml" ContentType="application/vnd.ms-office.chartstyle+xml"/>
  <Override PartName="/xl/charts/colors9.xml" ContentType="application/vnd.ms-office.chartcolorstyle+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style10.xml" ContentType="application/vnd.ms-office.chartstyle+xml"/>
  <Override PartName="/xl/charts/colors10.xml" ContentType="application/vnd.ms-office.chartcolorstyle+xml"/>
  <Override PartName="/xl/charts/chart23.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ezra.bwambale\Downloads\"/>
    </mc:Choice>
  </mc:AlternateContent>
  <xr:revisionPtr revIDLastSave="0" documentId="13_ncr:1_{C8176D71-00AC-415A-8FFC-85C2CB794298}" xr6:coauthVersionLast="47" xr6:coauthVersionMax="47" xr10:uidLastSave="{00000000-0000-0000-0000-000000000000}"/>
  <bookViews>
    <workbookView xWindow="-120" yWindow="-120" windowWidth="29040" windowHeight="15720" tabRatio="819" activeTab="1" xr2:uid="{00000000-000D-0000-FFFF-FFFF00000000}"/>
  </bookViews>
  <sheets>
    <sheet name="USE OF DATA" sheetId="25" r:id="rId1"/>
    <sheet name="Summary" sheetId="2" r:id="rId2"/>
    <sheet name="Summary IPD" sheetId="15" state="hidden" r:id="rId3"/>
    <sheet name="Original_VA" sheetId="4" r:id="rId4"/>
    <sheet name="Original_Growth" sheetId="5" r:id="rId5"/>
    <sheet name="Original_IPD" sheetId="18" r:id="rId6"/>
    <sheet name="Deseason_VA" sheetId="1" r:id="rId7"/>
    <sheet name="Deseason_Growth" sheetId="7" r:id="rId8"/>
    <sheet name="Deseason_Growth_Decomp" sheetId="22" r:id="rId9"/>
    <sheet name="Deseason" sheetId="8" state="hidden" r:id="rId10"/>
    <sheet name="Trend_VA" sheetId="9" r:id="rId11"/>
    <sheet name="Trend_Growth" sheetId="11" r:id="rId12"/>
    <sheet name="TS IPD" sheetId="17" state="hidden" r:id="rId13"/>
    <sheet name="Graphs " sheetId="26" r:id="rId14"/>
    <sheet name="Original_Expenditure" sheetId="28" r:id="rId15"/>
    <sheet name="Deseason_Exp" sheetId="29" r:id="rId16"/>
    <sheet name="Graphs Original" sheetId="24" state="hidden" r:id="rId17"/>
  </sheets>
  <externalReferences>
    <externalReference r:id="rId18"/>
  </externalReferences>
  <definedNames>
    <definedName name="_xlnm.Print_Area" localSheetId="9">Deseason!$A$1:$AQ$37</definedName>
    <definedName name="_xlnm.Print_Area" localSheetId="15">Deseason_Exp!$A$1:$AO$50</definedName>
    <definedName name="_xlnm.Print_Area" localSheetId="7">Deseason_Growth!$A$1:$AM$37</definedName>
    <definedName name="_xlnm.Print_Area" localSheetId="8">Deseason_Growth_Decomp!$A$1:$AM$37</definedName>
    <definedName name="_xlnm.Print_Area" localSheetId="6">Deseason_VA!$A$1:$AM$37</definedName>
    <definedName name="_xlnm.Print_Area" localSheetId="14">Original_Expenditure!$A$1:$AN$50</definedName>
    <definedName name="_xlnm.Print_Area" localSheetId="4">Original_Growth!$A$1:$AM$37</definedName>
    <definedName name="_xlnm.Print_Area" localSheetId="5">Original_IPD!$A$1:$AM$37</definedName>
    <definedName name="_xlnm.Print_Area" localSheetId="3">Original_VA!$A$1:$AM$37</definedName>
    <definedName name="_xlnm.Print_Area" localSheetId="1">Summary!$A$1:$AM$57</definedName>
    <definedName name="_xlnm.Print_Area" localSheetId="2">'Summary IPD'!$A$1:$AQ$56</definedName>
    <definedName name="_xlnm.Print_Area" localSheetId="11">Trend_Growth!$A$1:$AM$37</definedName>
    <definedName name="_xlnm.Print_Area" localSheetId="10">Trend_VA!$A$1:$AM$37</definedName>
    <definedName name="_xlnm.Print_Area" localSheetId="12">'TS IPD'!$A$1:$AQ$37</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6" i="17" l="1"/>
  <c r="B36" i="17"/>
  <c r="C33" i="17"/>
  <c r="B33" i="17"/>
  <c r="C32" i="17"/>
  <c r="B32" i="17"/>
  <c r="C31" i="17"/>
  <c r="B31" i="17"/>
  <c r="C30" i="17"/>
  <c r="B30" i="17"/>
  <c r="C29" i="17"/>
  <c r="B29" i="17"/>
  <c r="C28" i="17"/>
  <c r="B28" i="17"/>
  <c r="C27" i="17"/>
  <c r="B27" i="17"/>
  <c r="C26" i="17"/>
  <c r="B26" i="17"/>
  <c r="C25" i="17"/>
  <c r="B25" i="17"/>
  <c r="C24" i="17"/>
  <c r="B24" i="17"/>
  <c r="C23" i="17"/>
  <c r="B23" i="17"/>
  <c r="C22" i="17"/>
  <c r="B22" i="17"/>
  <c r="C21" i="17"/>
  <c r="B21" i="17"/>
  <c r="C20" i="17"/>
  <c r="B20" i="17"/>
  <c r="C19" i="17"/>
  <c r="B19" i="17"/>
  <c r="C18" i="17"/>
  <c r="B18" i="17"/>
  <c r="C17" i="17"/>
  <c r="B17" i="17"/>
  <c r="C16" i="17"/>
  <c r="B16" i="17"/>
  <c r="C15" i="17"/>
  <c r="B15" i="17"/>
  <c r="C14" i="17"/>
  <c r="B14" i="17"/>
  <c r="C13" i="17"/>
  <c r="B13" i="17"/>
  <c r="C12" i="17"/>
  <c r="B12" i="17"/>
  <c r="C11" i="17"/>
  <c r="B11" i="17"/>
  <c r="C10" i="17"/>
  <c r="B10" i="17"/>
  <c r="C9" i="17"/>
  <c r="B9" i="17"/>
  <c r="C8" i="17"/>
  <c r="B8" i="17"/>
  <c r="C7" i="17"/>
  <c r="B7" i="17"/>
  <c r="C6" i="17"/>
  <c r="B6" i="17"/>
  <c r="C5" i="17"/>
  <c r="B5" i="17"/>
  <c r="C36" i="8"/>
  <c r="B36" i="8"/>
  <c r="C33" i="8"/>
  <c r="B33" i="8"/>
  <c r="C32" i="8"/>
  <c r="B32" i="8"/>
  <c r="C31" i="8"/>
  <c r="B31" i="8"/>
  <c r="C30" i="8"/>
  <c r="B30" i="8"/>
  <c r="C29" i="8"/>
  <c r="B29" i="8"/>
  <c r="C28" i="8"/>
  <c r="B28" i="8"/>
  <c r="C27" i="8"/>
  <c r="B27" i="8"/>
  <c r="C26" i="8"/>
  <c r="B26" i="8"/>
  <c r="C25" i="8"/>
  <c r="B25" i="8"/>
  <c r="C24" i="8"/>
  <c r="B24" i="8"/>
  <c r="C23" i="8"/>
  <c r="B23" i="8"/>
  <c r="C22" i="8"/>
  <c r="B22" i="8"/>
  <c r="C21" i="8"/>
  <c r="B21" i="8"/>
  <c r="C20" i="8"/>
  <c r="B20" i="8"/>
  <c r="C19" i="8"/>
  <c r="B19" i="8"/>
  <c r="C18" i="8"/>
  <c r="B18" i="8"/>
  <c r="C17" i="8"/>
  <c r="B17" i="8"/>
  <c r="C16" i="8"/>
  <c r="B16" i="8"/>
  <c r="C15" i="8"/>
  <c r="B15" i="8"/>
  <c r="C14" i="8"/>
  <c r="B14" i="8"/>
  <c r="C13" i="8"/>
  <c r="B13" i="8"/>
  <c r="C12" i="8"/>
  <c r="B12" i="8"/>
  <c r="C11" i="8"/>
  <c r="B11" i="8"/>
  <c r="C10" i="8"/>
  <c r="B10" i="8"/>
  <c r="C9" i="8"/>
  <c r="B9" i="8"/>
  <c r="C8" i="8"/>
  <c r="B8" i="8"/>
  <c r="C7" i="8"/>
  <c r="B7" i="8"/>
  <c r="C6" i="8"/>
  <c r="B6" i="8"/>
  <c r="C5" i="8"/>
  <c r="B5" i="8"/>
  <c r="C27" i="15" l="1"/>
  <c r="B27" i="15"/>
  <c r="C19" i="15" l="1"/>
  <c r="B19" i="15"/>
  <c r="C9" i="15" l="1"/>
  <c r="B8" i="15"/>
  <c r="C8" i="15"/>
  <c r="B9" i="15"/>
  <c r="B7" i="15"/>
  <c r="C7" i="15"/>
  <c r="B15" i="15" l="1"/>
  <c r="C17" i="15"/>
  <c r="B16" i="15"/>
  <c r="C16" i="15"/>
  <c r="B17" i="15"/>
  <c r="C15" i="15"/>
  <c r="B14" i="15" l="1"/>
  <c r="C14" i="15"/>
  <c r="B43" i="15" l="1"/>
  <c r="B47" i="15"/>
  <c r="B42" i="15"/>
  <c r="B44" i="15"/>
  <c r="B45" i="15"/>
  <c r="C44" i="15"/>
  <c r="C45" i="15"/>
  <c r="C43" i="15"/>
  <c r="C47" i="15"/>
  <c r="C42" i="15"/>
  <c r="B25" i="15" l="1"/>
  <c r="B23" i="15"/>
  <c r="C24" i="15"/>
  <c r="C23" i="15"/>
  <c r="B24" i="15"/>
  <c r="C25" i="15"/>
  <c r="C22" i="15" l="1"/>
  <c r="B22" i="15"/>
  <c r="B53" i="15" l="1"/>
  <c r="C53" i="15"/>
  <c r="C55" i="15"/>
  <c r="C50" i="15"/>
  <c r="B51" i="15"/>
  <c r="B50" i="15"/>
  <c r="B55" i="15"/>
  <c r="C52" i="15"/>
  <c r="C51" i="15"/>
  <c r="B52" i="15"/>
  <c r="G36" i="8" l="1"/>
  <c r="G28" i="8"/>
  <c r="G33" i="8"/>
  <c r="F30" i="8"/>
  <c r="E28" i="8"/>
  <c r="G12" i="8"/>
  <c r="D24" i="8"/>
  <c r="F14" i="8"/>
  <c r="D17" i="8"/>
  <c r="D15" i="8"/>
  <c r="F17" i="8"/>
  <c r="E9" i="8"/>
  <c r="D9" i="8"/>
  <c r="E36" i="8"/>
  <c r="D27" i="8"/>
  <c r="E32" i="8"/>
  <c r="E29" i="8"/>
  <c r="D23" i="8"/>
  <c r="D32" i="8"/>
  <c r="D14" i="8"/>
  <c r="D30" i="8"/>
  <c r="D31" i="8"/>
  <c r="F33" i="8"/>
  <c r="F15" i="8"/>
  <c r="E31" i="8"/>
  <c r="G9" i="8"/>
  <c r="G27" i="8"/>
  <c r="F27" i="8"/>
  <c r="G23" i="8"/>
  <c r="G31" i="8"/>
  <c r="E24" i="8"/>
  <c r="F9" i="8"/>
  <c r="E27" i="8"/>
  <c r="G17" i="8"/>
  <c r="F36" i="8"/>
  <c r="D12" i="8"/>
  <c r="F28" i="8"/>
  <c r="F29" i="8"/>
  <c r="G30" i="8"/>
  <c r="F12" i="8"/>
  <c r="D33" i="8"/>
  <c r="G14" i="8"/>
  <c r="E16" i="8"/>
  <c r="D16" i="8"/>
  <c r="F24" i="8"/>
  <c r="E33" i="8"/>
  <c r="G29" i="8"/>
  <c r="G32" i="8"/>
  <c r="E14" i="8"/>
  <c r="G24" i="8"/>
  <c r="E12" i="8"/>
  <c r="F16" i="8"/>
  <c r="E30" i="8"/>
  <c r="F23" i="8"/>
  <c r="G15" i="8"/>
  <c r="E15" i="8"/>
  <c r="G16" i="8"/>
  <c r="E17" i="8"/>
  <c r="F31" i="8"/>
  <c r="D29" i="8"/>
  <c r="E23" i="8"/>
  <c r="D28" i="8"/>
  <c r="F32" i="8"/>
  <c r="D36" i="8"/>
  <c r="D19" i="15" l="1"/>
  <c r="G19" i="15"/>
  <c r="F19" i="15"/>
  <c r="E19" i="15"/>
  <c r="E16" i="17" l="1"/>
  <c r="G25" i="17"/>
  <c r="G32" i="17"/>
  <c r="G16" i="17"/>
  <c r="F28" i="17"/>
  <c r="E24" i="17"/>
  <c r="E22" i="17"/>
  <c r="G28" i="17"/>
  <c r="E30" i="17"/>
  <c r="G22" i="17"/>
  <c r="F33" i="17"/>
  <c r="G23" i="17"/>
  <c r="D24" i="17"/>
  <c r="D31" i="17"/>
  <c r="D28" i="17"/>
  <c r="D25" i="17"/>
  <c r="D23" i="17"/>
  <c r="D17" i="17"/>
  <c r="D16" i="17"/>
  <c r="D15" i="17"/>
  <c r="D9" i="17"/>
  <c r="D8" i="8"/>
  <c r="E10" i="17"/>
  <c r="E9" i="17"/>
  <c r="F18" i="17"/>
  <c r="G7" i="17"/>
  <c r="E25" i="8"/>
  <c r="G27" i="17"/>
  <c r="E18" i="17"/>
  <c r="F27" i="17"/>
  <c r="G24" i="17"/>
  <c r="D26" i="17"/>
  <c r="D18" i="8"/>
  <c r="G18" i="8"/>
  <c r="G17" i="17"/>
  <c r="F7" i="8"/>
  <c r="E31" i="17"/>
  <c r="F24" i="17"/>
  <c r="E14" i="17"/>
  <c r="G20" i="17"/>
  <c r="E8" i="17"/>
  <c r="F20" i="8"/>
  <c r="D12" i="17"/>
  <c r="F9" i="17"/>
  <c r="F25" i="8"/>
  <c r="G29" i="17"/>
  <c r="F10" i="8"/>
  <c r="G11" i="8"/>
  <c r="G8" i="8"/>
  <c r="D21" i="17"/>
  <c r="G10" i="17"/>
  <c r="D18" i="17"/>
  <c r="G22" i="8"/>
  <c r="G21" i="8"/>
  <c r="E18" i="8"/>
  <c r="G20" i="8"/>
  <c r="E20" i="8"/>
  <c r="F20" i="17"/>
  <c r="G14" i="17"/>
  <c r="E12" i="17"/>
  <c r="E33" i="17"/>
  <c r="E10" i="8"/>
  <c r="F22" i="8"/>
  <c r="D20" i="8"/>
  <c r="E8" i="8"/>
  <c r="F21" i="8"/>
  <c r="G31" i="17"/>
  <c r="G8" i="17"/>
  <c r="D36" i="17"/>
  <c r="F8" i="8"/>
  <c r="D22" i="8"/>
  <c r="E11" i="8"/>
  <c r="E7" i="8"/>
  <c r="G10" i="8"/>
  <c r="G11" i="17"/>
  <c r="G12" i="17"/>
  <c r="D29" i="17"/>
  <c r="E25" i="17"/>
  <c r="D14" i="17"/>
  <c r="F25" i="17"/>
  <c r="F21" i="17"/>
  <c r="E23" i="17"/>
  <c r="F31" i="17"/>
  <c r="F11" i="17"/>
  <c r="E28" i="17"/>
  <c r="E27" i="17"/>
  <c r="D10" i="17"/>
  <c r="F15" i="17"/>
  <c r="F26" i="17"/>
  <c r="G9" i="17"/>
  <c r="E17" i="17"/>
  <c r="D22" i="17"/>
  <c r="G7" i="8"/>
  <c r="D11" i="8"/>
  <c r="F8" i="17"/>
  <c r="F23" i="17"/>
  <c r="G18" i="17"/>
  <c r="F17" i="17"/>
  <c r="E20" i="17"/>
  <c r="F36" i="17"/>
  <c r="E29" i="17"/>
  <c r="D30" i="17"/>
  <c r="F22" i="17"/>
  <c r="F10" i="17"/>
  <c r="D20" i="17"/>
  <c r="D7" i="17"/>
  <c r="F18" i="8"/>
  <c r="G26" i="8"/>
  <c r="E22" i="8"/>
  <c r="D10" i="8"/>
  <c r="F26" i="8"/>
  <c r="D21" i="8"/>
  <c r="G26" i="17"/>
  <c r="E21" i="17"/>
  <c r="G33" i="17"/>
  <c r="G36" i="17"/>
  <c r="F32" i="17"/>
  <c r="F7" i="17"/>
  <c r="F14" i="17"/>
  <c r="G21" i="17"/>
  <c r="E36" i="17"/>
  <c r="F16" i="17"/>
  <c r="F30" i="17"/>
  <c r="D11" i="17"/>
  <c r="D26" i="8"/>
  <c r="E26" i="8"/>
  <c r="G25" i="8"/>
  <c r="D25" i="8"/>
  <c r="E21" i="8"/>
  <c r="F11" i="8"/>
  <c r="E26" i="17"/>
  <c r="E32" i="17"/>
  <c r="F12" i="17"/>
  <c r="F29" i="17"/>
  <c r="E15" i="17"/>
  <c r="E11" i="17"/>
  <c r="D8" i="17"/>
  <c r="G30" i="17"/>
  <c r="D27" i="17"/>
  <c r="D32" i="17"/>
  <c r="D33" i="17"/>
  <c r="G15" i="17"/>
  <c r="E7" i="17"/>
  <c r="D7" i="8" l="1"/>
  <c r="E27" i="15"/>
  <c r="F6" i="17"/>
  <c r="D19" i="17"/>
  <c r="E13" i="17"/>
  <c r="F27" i="15"/>
  <c r="G6" i="8"/>
  <c r="E6" i="17"/>
  <c r="D6" i="17"/>
  <c r="D19" i="8"/>
  <c r="E19" i="17"/>
  <c r="G6" i="17"/>
  <c r="G27" i="15"/>
  <c r="F13" i="8"/>
  <c r="E6" i="8"/>
  <c r="E19" i="8"/>
  <c r="E13" i="8"/>
  <c r="D13" i="8"/>
  <c r="F6" i="8"/>
  <c r="F13" i="17"/>
  <c r="F19" i="8"/>
  <c r="G13" i="8"/>
  <c r="G13" i="17"/>
  <c r="G19" i="8"/>
  <c r="D13" i="17"/>
  <c r="D27" i="15"/>
  <c r="F19" i="17"/>
  <c r="G19" i="17"/>
  <c r="D6" i="8" l="1"/>
  <c r="E17" i="15"/>
  <c r="D44" i="15"/>
  <c r="D15" i="15"/>
  <c r="G17" i="15"/>
  <c r="D5" i="17"/>
  <c r="E24" i="15"/>
  <c r="G24" i="15"/>
  <c r="D16" i="15"/>
  <c r="E45" i="15"/>
  <c r="E15" i="15"/>
  <c r="F5" i="8"/>
  <c r="F16" i="15"/>
  <c r="G52" i="15"/>
  <c r="G23" i="15"/>
  <c r="D17" i="15"/>
  <c r="D25" i="15"/>
  <c r="E5" i="8"/>
  <c r="D51" i="15"/>
  <c r="D23" i="15"/>
  <c r="D24" i="15"/>
  <c r="F24" i="15"/>
  <c r="E5" i="17"/>
  <c r="G15" i="15"/>
  <c r="G43" i="15"/>
  <c r="E23" i="15"/>
  <c r="E52" i="15"/>
  <c r="F5" i="17"/>
  <c r="G25" i="15"/>
  <c r="F25" i="15"/>
  <c r="E16" i="15"/>
  <c r="G5" i="17"/>
  <c r="E25" i="15"/>
  <c r="G5" i="8"/>
  <c r="G16" i="15"/>
  <c r="F17" i="15"/>
  <c r="F15" i="15"/>
  <c r="F44" i="15"/>
  <c r="D5" i="8"/>
  <c r="F23" i="15"/>
  <c r="F51" i="15"/>
  <c r="G44" i="15" l="1"/>
  <c r="E43" i="15"/>
  <c r="F43" i="15"/>
  <c r="G53" i="15"/>
  <c r="D53" i="15"/>
  <c r="G45" i="15"/>
  <c r="G42" i="15"/>
  <c r="G47" i="15"/>
  <c r="G14" i="15"/>
  <c r="G51" i="15"/>
  <c r="G50" i="15"/>
  <c r="G22" i="15"/>
  <c r="G55" i="15"/>
  <c r="D43" i="15"/>
  <c r="D42" i="15"/>
  <c r="D14" i="15"/>
  <c r="D47" i="15"/>
  <c r="F52" i="15"/>
  <c r="F22" i="15"/>
  <c r="F50" i="15"/>
  <c r="F55" i="15"/>
  <c r="D45" i="15"/>
  <c r="D52" i="15"/>
  <c r="D50" i="15"/>
  <c r="D22" i="15"/>
  <c r="D55" i="15"/>
  <c r="E51" i="15"/>
  <c r="E50" i="15"/>
  <c r="E22" i="15"/>
  <c r="E55" i="15"/>
  <c r="F45" i="15"/>
  <c r="F42" i="15"/>
  <c r="F14" i="15"/>
  <c r="F47" i="15"/>
  <c r="E53" i="15"/>
  <c r="F53" i="15"/>
  <c r="E44" i="15"/>
  <c r="E42" i="15"/>
  <c r="E14" i="15"/>
  <c r="E47" i="15"/>
  <c r="B11" i="15" l="1"/>
  <c r="B39" i="15"/>
  <c r="C11" i="15"/>
  <c r="C39" i="15"/>
  <c r="B6" i="15" l="1"/>
  <c r="B35" i="15"/>
  <c r="B34" i="15"/>
  <c r="B37" i="15"/>
  <c r="B36" i="15"/>
  <c r="C6" i="15"/>
  <c r="C35" i="15"/>
  <c r="C36" i="15"/>
  <c r="C34" i="15"/>
  <c r="C37" i="15"/>
  <c r="Y11" i="15" l="1"/>
  <c r="AG11" i="15"/>
  <c r="G11" i="15"/>
  <c r="I11" i="15"/>
  <c r="AC11" i="15"/>
  <c r="AH11" i="15"/>
  <c r="S11" i="15"/>
  <c r="AJ11" i="15"/>
  <c r="D11" i="15"/>
  <c r="Q11" i="15"/>
  <c r="T11" i="15"/>
  <c r="X11" i="15"/>
  <c r="R11" i="15"/>
  <c r="AQ11" i="15"/>
  <c r="N11" i="15"/>
  <c r="V11" i="15"/>
  <c r="W11" i="15"/>
  <c r="AF11" i="15"/>
  <c r="AB11" i="15"/>
  <c r="P11" i="15"/>
  <c r="AM11" i="15"/>
  <c r="L11" i="15"/>
  <c r="AO11" i="15"/>
  <c r="AE11" i="15"/>
  <c r="M11" i="15"/>
  <c r="AD11" i="15"/>
  <c r="J11" i="15"/>
  <c r="U11" i="15"/>
  <c r="Z11" i="15"/>
  <c r="F11" i="15"/>
  <c r="AL11" i="15"/>
  <c r="K11" i="15"/>
  <c r="AN11" i="15"/>
  <c r="O11" i="15"/>
  <c r="AP11" i="15"/>
  <c r="H11" i="15"/>
  <c r="AA11" i="15"/>
  <c r="E11" i="15"/>
  <c r="AI11" i="15"/>
  <c r="AK11" i="15"/>
  <c r="AQ8" i="15" l="1"/>
  <c r="R8" i="15"/>
  <c r="F8" i="15"/>
  <c r="G8" i="15"/>
  <c r="U8" i="15"/>
  <c r="AE8" i="15"/>
  <c r="X8" i="15"/>
  <c r="N8" i="15"/>
  <c r="S8" i="15"/>
  <c r="Q8" i="15"/>
  <c r="AP8" i="15"/>
  <c r="H8" i="15"/>
  <c r="I8" i="15"/>
  <c r="AF8" i="15"/>
  <c r="AD8" i="15"/>
  <c r="AC8" i="15"/>
  <c r="Y8" i="15"/>
  <c r="T8" i="15"/>
  <c r="AJ8" i="15"/>
  <c r="AL8" i="15"/>
  <c r="L8" i="15"/>
  <c r="AO8" i="15"/>
  <c r="AH8" i="15"/>
  <c r="E8" i="15"/>
  <c r="AA8" i="15"/>
  <c r="O8" i="15"/>
  <c r="D8" i="15"/>
  <c r="Z8" i="15"/>
  <c r="M8" i="15"/>
  <c r="V8" i="15"/>
  <c r="AB8" i="15"/>
  <c r="J8" i="15"/>
  <c r="AI8" i="15"/>
  <c r="AM8" i="15"/>
  <c r="AK8" i="15"/>
  <c r="P8" i="15"/>
  <c r="AN8" i="15"/>
  <c r="K8" i="15"/>
  <c r="AG8" i="15"/>
  <c r="W8" i="15"/>
  <c r="M9" i="15" l="1"/>
  <c r="D9" i="15"/>
  <c r="K9" i="15"/>
  <c r="F9" i="15"/>
  <c r="AC9" i="15"/>
  <c r="R9" i="15"/>
  <c r="AL9" i="15"/>
  <c r="U9" i="15"/>
  <c r="W9" i="15"/>
  <c r="AE9" i="15"/>
  <c r="T9" i="15"/>
  <c r="AQ9" i="15"/>
  <c r="J9" i="15"/>
  <c r="G9" i="15"/>
  <c r="S9" i="15"/>
  <c r="Z9" i="15"/>
  <c r="AH9" i="15"/>
  <c r="O9" i="15"/>
  <c r="AG9" i="15"/>
  <c r="AK9" i="15"/>
  <c r="I9" i="15"/>
  <c r="H9" i="15"/>
  <c r="Q9" i="15"/>
  <c r="E9" i="15"/>
  <c r="X9" i="15"/>
  <c r="V9" i="15"/>
  <c r="P9" i="15"/>
  <c r="AA9" i="15"/>
  <c r="AJ9" i="15"/>
  <c r="AD9" i="15"/>
  <c r="AN9" i="15"/>
  <c r="AP9" i="15"/>
  <c r="AO9" i="15"/>
  <c r="AM9" i="15"/>
  <c r="AI9" i="15"/>
  <c r="AF9" i="15"/>
  <c r="L9" i="15"/>
  <c r="Y9" i="15"/>
  <c r="AB9" i="15"/>
  <c r="N9" i="15"/>
  <c r="O7" i="15" l="1"/>
  <c r="AQ7" i="15"/>
  <c r="AQ35" i="15"/>
  <c r="AH35" i="15"/>
  <c r="AH7" i="15"/>
  <c r="AF7" i="15"/>
  <c r="W35" i="15"/>
  <c r="W7" i="15"/>
  <c r="J7" i="15"/>
  <c r="J35" i="15"/>
  <c r="AL7" i="15"/>
  <c r="AM7" i="15"/>
  <c r="AK7" i="15"/>
  <c r="M7" i="15"/>
  <c r="M35" i="15"/>
  <c r="L35" i="15"/>
  <c r="L7" i="15"/>
  <c r="T7" i="15"/>
  <c r="Z7" i="15"/>
  <c r="K35" i="15"/>
  <c r="K7" i="15"/>
  <c r="I35" i="15"/>
  <c r="I7" i="15"/>
  <c r="AD7" i="15"/>
  <c r="AD35" i="15"/>
  <c r="AN7" i="15"/>
  <c r="AE7" i="15"/>
  <c r="P7" i="15"/>
  <c r="P35" i="15"/>
  <c r="Q7" i="15"/>
  <c r="Q35" i="15"/>
  <c r="AG7" i="15"/>
  <c r="AG35" i="15"/>
  <c r="D7" i="15"/>
  <c r="F35" i="15"/>
  <c r="F7" i="15"/>
  <c r="AB7" i="15"/>
  <c r="V7" i="15"/>
  <c r="V35" i="15"/>
  <c r="AP7" i="15"/>
  <c r="AP35" i="15"/>
  <c r="U7" i="15"/>
  <c r="U35" i="15"/>
  <c r="Y7" i="15"/>
  <c r="H7" i="15"/>
  <c r="R7" i="15"/>
  <c r="AC7" i="15"/>
  <c r="AC35" i="15"/>
  <c r="AA7" i="15"/>
  <c r="AA35" i="15"/>
  <c r="S7" i="15"/>
  <c r="S35" i="15"/>
  <c r="AO7" i="15"/>
  <c r="AO35" i="15"/>
  <c r="AJ7" i="15"/>
  <c r="AJ35" i="15"/>
  <c r="N7" i="15"/>
  <c r="E7" i="15"/>
  <c r="X35" i="15"/>
  <c r="X7" i="15"/>
  <c r="AI7" i="15"/>
  <c r="AI35" i="15"/>
  <c r="G7" i="15"/>
  <c r="G35" i="15"/>
  <c r="R35" i="15" l="1"/>
  <c r="R6" i="15"/>
  <c r="R39" i="15"/>
  <c r="R36" i="15"/>
  <c r="R37" i="15"/>
  <c r="Y37" i="15"/>
  <c r="Y6" i="15"/>
  <c r="Y39" i="15"/>
  <c r="Y36" i="15"/>
  <c r="AG6" i="15"/>
  <c r="AG39" i="15"/>
  <c r="AG36" i="15"/>
  <c r="AG37" i="15"/>
  <c r="D35" i="15"/>
  <c r="D6" i="15"/>
  <c r="D34" i="15"/>
  <c r="D39" i="15"/>
  <c r="D36" i="15"/>
  <c r="D37" i="15"/>
  <c r="Z39" i="15"/>
  <c r="Z6" i="15"/>
  <c r="Z36" i="15"/>
  <c r="Z37" i="15"/>
  <c r="W6" i="15"/>
  <c r="W39" i="15"/>
  <c r="W36" i="15"/>
  <c r="W37" i="15"/>
  <c r="T6" i="15"/>
  <c r="T39" i="15"/>
  <c r="T36" i="15"/>
  <c r="T37" i="15"/>
  <c r="AH6" i="15"/>
  <c r="AH39" i="15"/>
  <c r="AH36" i="15"/>
  <c r="AH37" i="15"/>
  <c r="AI6" i="15"/>
  <c r="AI39" i="15"/>
  <c r="AI36" i="15"/>
  <c r="AI37" i="15"/>
  <c r="T35" i="15"/>
  <c r="AM35" i="15"/>
  <c r="AM6" i="15"/>
  <c r="AM39" i="15"/>
  <c r="AM36" i="15"/>
  <c r="AM37" i="15"/>
  <c r="AE35" i="15"/>
  <c r="AE6" i="15"/>
  <c r="AE39" i="15"/>
  <c r="AE36" i="15"/>
  <c r="AE37" i="15"/>
  <c r="AA6" i="15"/>
  <c r="AA39" i="15"/>
  <c r="AA36" i="15"/>
  <c r="AA37" i="15"/>
  <c r="AL37" i="15"/>
  <c r="AL6" i="15"/>
  <c r="AL39" i="15"/>
  <c r="AL36" i="15"/>
  <c r="AP6" i="15"/>
  <c r="AP39" i="15"/>
  <c r="AP36" i="15"/>
  <c r="AP37" i="15"/>
  <c r="AD6" i="15"/>
  <c r="AD39" i="15"/>
  <c r="AD36" i="15"/>
  <c r="AD37" i="15"/>
  <c r="AB36" i="15"/>
  <c r="AB6" i="15"/>
  <c r="AB39" i="15"/>
  <c r="AB37" i="15"/>
  <c r="K6" i="15"/>
  <c r="K39" i="15"/>
  <c r="K36" i="15"/>
  <c r="K37" i="15"/>
  <c r="AN6" i="15"/>
  <c r="AN39" i="15"/>
  <c r="AN36" i="15"/>
  <c r="AN37" i="15"/>
  <c r="U37" i="15"/>
  <c r="U6" i="15"/>
  <c r="U39" i="15"/>
  <c r="U36" i="15"/>
  <c r="F37" i="15"/>
  <c r="F6" i="15"/>
  <c r="F34" i="15"/>
  <c r="F39" i="15"/>
  <c r="F36" i="15"/>
  <c r="J36" i="15"/>
  <c r="J6" i="15"/>
  <c r="J34" i="15"/>
  <c r="J39" i="15"/>
  <c r="J37" i="15"/>
  <c r="AK6" i="15"/>
  <c r="AK39" i="15"/>
  <c r="AK36" i="15"/>
  <c r="AK37" i="15"/>
  <c r="N6" i="15"/>
  <c r="N39" i="15"/>
  <c r="N36" i="15"/>
  <c r="N37" i="15"/>
  <c r="AL35" i="15"/>
  <c r="L37" i="15"/>
  <c r="L6" i="15"/>
  <c r="L39" i="15"/>
  <c r="L36" i="15"/>
  <c r="AO36" i="15"/>
  <c r="AO6" i="15"/>
  <c r="AO39" i="15"/>
  <c r="AO37" i="15"/>
  <c r="V37" i="15"/>
  <c r="V6" i="15"/>
  <c r="V39" i="15"/>
  <c r="V36" i="15"/>
  <c r="M36" i="15"/>
  <c r="M6" i="15"/>
  <c r="M39" i="15"/>
  <c r="M37" i="15"/>
  <c r="AN35" i="15"/>
  <c r="N35" i="15"/>
  <c r="G6" i="15"/>
  <c r="G34" i="15"/>
  <c r="G39" i="15"/>
  <c r="G36" i="15"/>
  <c r="G37" i="15"/>
  <c r="AJ6" i="15"/>
  <c r="AJ39" i="15"/>
  <c r="AJ36" i="15"/>
  <c r="AJ37" i="15"/>
  <c r="AC6" i="15"/>
  <c r="AC39" i="15"/>
  <c r="AC36" i="15"/>
  <c r="AC37" i="15"/>
  <c r="H35" i="15"/>
  <c r="H34" i="15"/>
  <c r="H6" i="15"/>
  <c r="H39" i="15"/>
  <c r="H36" i="15"/>
  <c r="H37" i="15"/>
  <c r="AF35" i="15"/>
  <c r="AF6" i="15"/>
  <c r="AF39" i="15"/>
  <c r="AF36" i="15"/>
  <c r="AF37" i="15"/>
  <c r="O35" i="15"/>
  <c r="O6" i="15"/>
  <c r="O39" i="15"/>
  <c r="O36" i="15"/>
  <c r="O37" i="15"/>
  <c r="P6" i="15"/>
  <c r="P39" i="15"/>
  <c r="P36" i="15"/>
  <c r="P37" i="15"/>
  <c r="I37" i="15"/>
  <c r="I34" i="15"/>
  <c r="I6" i="15"/>
  <c r="I39" i="15"/>
  <c r="I36" i="15"/>
  <c r="Q39" i="15"/>
  <c r="Q6" i="15"/>
  <c r="Q36" i="15"/>
  <c r="Q37" i="15"/>
  <c r="X6" i="15"/>
  <c r="X39" i="15"/>
  <c r="X36" i="15"/>
  <c r="X37" i="15"/>
  <c r="E35" i="15"/>
  <c r="E34" i="15"/>
  <c r="E6" i="15"/>
  <c r="E39" i="15"/>
  <c r="E36" i="15"/>
  <c r="E37" i="15"/>
  <c r="AB35" i="15"/>
  <c r="AK35" i="15"/>
  <c r="Z35" i="15"/>
  <c r="AQ36" i="15"/>
  <c r="AQ6" i="15"/>
  <c r="AQ39" i="15"/>
  <c r="AQ37" i="15"/>
  <c r="S6" i="15"/>
  <c r="S39" i="15"/>
  <c r="S36" i="15"/>
  <c r="S37" i="15"/>
  <c r="Y35" i="15"/>
  <c r="AG34" i="15" l="1"/>
  <c r="L34" i="15"/>
  <c r="S34" i="15"/>
  <c r="AP34" i="15"/>
  <c r="M34" i="15"/>
  <c r="V34" i="15"/>
  <c r="AC34" i="15"/>
  <c r="AQ34" i="15"/>
  <c r="K34" i="15"/>
  <c r="AN34" i="15"/>
  <c r="AI34" i="15"/>
  <c r="AA34" i="15"/>
  <c r="AD34" i="15"/>
  <c r="Q34" i="15"/>
  <c r="AO34" i="15"/>
  <c r="AH34" i="15"/>
  <c r="P34" i="15"/>
  <c r="AJ34" i="15"/>
  <c r="W34" i="15"/>
  <c r="N34" i="15"/>
  <c r="U34" i="15"/>
  <c r="Y34" i="15"/>
  <c r="AK34" i="15"/>
  <c r="X34" i="15"/>
  <c r="AL34" i="15"/>
  <c r="Z34" i="15"/>
  <c r="R34" i="15"/>
  <c r="AF34" i="15"/>
  <c r="AM34" i="15"/>
  <c r="AE34" i="15"/>
  <c r="O34" i="15"/>
  <c r="AB34" i="15"/>
  <c r="T34" i="15"/>
  <c r="AF10" i="8" l="1"/>
  <c r="AE8" i="8"/>
  <c r="J31" i="8"/>
  <c r="AC21" i="8"/>
  <c r="AA10" i="8"/>
  <c r="O27" i="8"/>
  <c r="AQ30" i="8"/>
  <c r="X29" i="8"/>
  <c r="AL14" i="8"/>
  <c r="H17" i="8"/>
  <c r="N29" i="8"/>
  <c r="AM7" i="8"/>
  <c r="AQ29" i="8"/>
  <c r="M31" i="8"/>
  <c r="AA30" i="8"/>
  <c r="AN23" i="8"/>
  <c r="AO16" i="8"/>
  <c r="AB20" i="8"/>
  <c r="Q26" i="8"/>
  <c r="AP28" i="8"/>
  <c r="V30" i="8"/>
  <c r="Y17" i="8"/>
  <c r="P18" i="8"/>
  <c r="L15" i="8"/>
  <c r="K33" i="8"/>
  <c r="U23" i="8"/>
  <c r="I31" i="8"/>
  <c r="AB12" i="8"/>
  <c r="Q16" i="8"/>
  <c r="AK18" i="8"/>
  <c r="AM26" i="8"/>
  <c r="AI27" i="8"/>
  <c r="AM11" i="8"/>
  <c r="AO29" i="8"/>
  <c r="S30" i="8"/>
  <c r="K30" i="8"/>
  <c r="R33" i="8"/>
  <c r="V31" i="8"/>
  <c r="AE23" i="8"/>
  <c r="AJ8" i="8"/>
  <c r="T27" i="8"/>
  <c r="AE26" i="8"/>
  <c r="L28" i="8"/>
  <c r="AO25" i="8"/>
  <c r="AN11" i="8"/>
  <c r="AN31" i="8"/>
  <c r="AQ9" i="8"/>
  <c r="AD8" i="8"/>
  <c r="Z33" i="8"/>
  <c r="AM32" i="8"/>
  <c r="AK32" i="8"/>
  <c r="AF36" i="8"/>
  <c r="AC15" i="8"/>
  <c r="Z32" i="8"/>
  <c r="AM28" i="8"/>
  <c r="AP20" i="8"/>
  <c r="AM15" i="8"/>
  <c r="AI14" i="8"/>
  <c r="Y18" i="8"/>
  <c r="AQ14" i="8"/>
  <c r="K14" i="8"/>
  <c r="N30" i="8"/>
  <c r="AN30" i="8"/>
  <c r="W30" i="8"/>
  <c r="AH11" i="8"/>
  <c r="AG20" i="8"/>
  <c r="U10" i="8"/>
  <c r="I25" i="8"/>
  <c r="L25" i="8"/>
  <c r="AH9" i="8"/>
  <c r="AA16" i="8"/>
  <c r="U15" i="8"/>
  <c r="AA21" i="8"/>
  <c r="AB15" i="8"/>
  <c r="AC33" i="8"/>
  <c r="K27" i="8"/>
  <c r="X12" i="8"/>
  <c r="AG25" i="8"/>
  <c r="T17" i="8"/>
  <c r="J14" i="8"/>
  <c r="J24" i="8"/>
  <c r="AA26" i="8"/>
  <c r="J27" i="8"/>
  <c r="L27" i="8"/>
  <c r="N27" i="8"/>
  <c r="U18" i="8"/>
  <c r="AF32" i="8"/>
  <c r="Z29" i="8"/>
  <c r="W25" i="8"/>
  <c r="M16" i="8"/>
  <c r="AF28" i="8"/>
  <c r="AO20" i="8"/>
  <c r="W12" i="8"/>
  <c r="AN17" i="8"/>
  <c r="AP8" i="8"/>
  <c r="M9" i="8"/>
  <c r="AO23" i="8"/>
  <c r="H36" i="8"/>
  <c r="N21" i="8"/>
  <c r="S27" i="8"/>
  <c r="W36" i="8"/>
  <c r="X9" i="8"/>
  <c r="AK36" i="8"/>
  <c r="S31" i="8"/>
  <c r="AD30" i="8"/>
  <c r="Y11" i="8"/>
  <c r="Z30" i="8"/>
  <c r="N31" i="8"/>
  <c r="T31" i="8"/>
  <c r="I30" i="8"/>
  <c r="L32" i="8"/>
  <c r="V36" i="8"/>
  <c r="L24" i="8"/>
  <c r="AQ20" i="8"/>
  <c r="N32" i="8"/>
  <c r="Q33" i="8"/>
  <c r="AQ16" i="8"/>
  <c r="H24" i="8"/>
  <c r="AH12" i="8"/>
  <c r="J23" i="8"/>
  <c r="V10" i="8"/>
  <c r="AN9" i="8"/>
  <c r="Y22" i="8"/>
  <c r="I11" i="8"/>
  <c r="AI9" i="8"/>
  <c r="AC9" i="8"/>
  <c r="AQ21" i="8"/>
  <c r="K8" i="8"/>
  <c r="AG8" i="8"/>
  <c r="AK26" i="8"/>
  <c r="AF11" i="8"/>
  <c r="K36" i="8"/>
  <c r="AE36" i="8"/>
  <c r="AC31" i="8"/>
  <c r="AI30" i="8"/>
  <c r="AP32" i="8"/>
  <c r="M22" i="8"/>
  <c r="AD16" i="8"/>
  <c r="AO26" i="8"/>
  <c r="W15" i="8"/>
  <c r="AK16" i="8"/>
  <c r="AC11" i="8"/>
  <c r="Z26" i="8"/>
  <c r="R29" i="8"/>
  <c r="AE32" i="8"/>
  <c r="AP21" i="8"/>
  <c r="V22" i="8"/>
  <c r="T15" i="8"/>
  <c r="H22" i="8"/>
  <c r="AH28" i="8"/>
  <c r="AO22" i="8"/>
  <c r="L10" i="8"/>
  <c r="AO9" i="8"/>
  <c r="R11" i="8"/>
  <c r="AG10" i="8"/>
  <c r="J8" i="8"/>
  <c r="O9" i="8"/>
  <c r="O16" i="8"/>
  <c r="P33" i="8"/>
  <c r="X22" i="8"/>
  <c r="I32" i="8"/>
  <c r="AQ22" i="8"/>
  <c r="H23" i="8"/>
  <c r="J17" i="8"/>
  <c r="AG36" i="8"/>
  <c r="M33" i="8"/>
  <c r="AL24" i="8"/>
  <c r="J22" i="8"/>
  <c r="AA31" i="8"/>
  <c r="V21" i="8"/>
  <c r="AH10" i="8"/>
  <c r="Y9" i="8"/>
  <c r="J32" i="8"/>
  <c r="AD31" i="8"/>
  <c r="AB26" i="8"/>
  <c r="AK31" i="8"/>
  <c r="H8" i="8"/>
  <c r="AG28" i="8"/>
  <c r="Q22" i="8"/>
  <c r="AM9" i="8"/>
  <c r="AB9" i="8"/>
  <c r="X10" i="8"/>
  <c r="AB14" i="8"/>
  <c r="O10" i="8"/>
  <c r="AK30" i="8"/>
  <c r="AF24" i="8"/>
  <c r="K9" i="8"/>
  <c r="Q21" i="8"/>
  <c r="AQ36" i="8"/>
  <c r="W16" i="8"/>
  <c r="AB25" i="8"/>
  <c r="AO14" i="8"/>
  <c r="I27" i="8"/>
  <c r="N10" i="8"/>
  <c r="K22" i="8"/>
  <c r="AM25" i="8"/>
  <c r="AF9" i="8"/>
  <c r="O33" i="8"/>
  <c r="H21" i="8"/>
  <c r="AE9" i="8"/>
  <c r="AI8" i="8"/>
  <c r="AP25" i="8"/>
  <c r="AQ25" i="8"/>
  <c r="AJ26" i="8"/>
  <c r="AF12" i="8"/>
  <c r="T11" i="8"/>
  <c r="Z23" i="8"/>
  <c r="AD9" i="8"/>
  <c r="J11" i="8"/>
  <c r="M10" i="8"/>
  <c r="AC30" i="8"/>
  <c r="P27" i="8"/>
  <c r="AF18" i="8"/>
  <c r="AI29" i="8"/>
  <c r="AM17" i="8"/>
  <c r="AN25" i="8"/>
  <c r="T36" i="8"/>
  <c r="N25" i="8"/>
  <c r="AN29" i="8"/>
  <c r="AF20" i="8"/>
  <c r="AB30" i="8"/>
  <c r="AL18" i="8"/>
  <c r="AL33" i="8"/>
  <c r="T22" i="8"/>
  <c r="AC36" i="8"/>
  <c r="O24" i="8"/>
  <c r="Y26" i="8"/>
  <c r="AP17" i="8"/>
  <c r="Z18" i="8"/>
  <c r="X18" i="8"/>
  <c r="U32" i="8"/>
  <c r="AH32" i="8"/>
  <c r="W20" i="8"/>
  <c r="T25" i="8"/>
  <c r="I14" i="8"/>
  <c r="AI12" i="8"/>
  <c r="O7" i="8"/>
  <c r="AL25" i="8"/>
  <c r="O22" i="8"/>
  <c r="AA11" i="8"/>
  <c r="AP31" i="8"/>
  <c r="R27" i="8"/>
  <c r="AK9" i="8"/>
  <c r="I12" i="8"/>
  <c r="I8" i="8"/>
  <c r="AH8" i="8"/>
  <c r="AC16" i="8"/>
  <c r="AB27" i="8"/>
  <c r="Z12" i="8"/>
  <c r="R28" i="8"/>
  <c r="W22" i="8"/>
  <c r="AO12" i="8"/>
  <c r="AL29" i="8"/>
  <c r="I26" i="8"/>
  <c r="J29" i="8"/>
  <c r="AP29" i="8"/>
  <c r="AI33" i="8"/>
  <c r="O14" i="8"/>
  <c r="N28" i="8"/>
  <c r="AK29" i="8"/>
  <c r="R31" i="8"/>
  <c r="P31" i="8"/>
  <c r="S16" i="8"/>
  <c r="AK14" i="8"/>
  <c r="V18" i="8"/>
  <c r="Q12" i="8"/>
  <c r="X25" i="8"/>
  <c r="AH23" i="8"/>
  <c r="AH18" i="8"/>
  <c r="AP27" i="8"/>
  <c r="AI28" i="8"/>
  <c r="N14" i="8"/>
  <c r="AO32" i="8"/>
  <c r="H12" i="8"/>
  <c r="AE27" i="8"/>
  <c r="L20" i="8"/>
  <c r="O11" i="8"/>
  <c r="AQ27" i="8"/>
  <c r="AN21" i="8"/>
  <c r="AC24" i="8"/>
  <c r="K26" i="8"/>
  <c r="AD24" i="8"/>
  <c r="H28" i="8"/>
  <c r="AG17" i="8"/>
  <c r="AJ16" i="8"/>
  <c r="AG16" i="8"/>
  <c r="AE16" i="8"/>
  <c r="J7" i="8"/>
  <c r="AJ12" i="8"/>
  <c r="AD7" i="8"/>
  <c r="V28" i="8"/>
  <c r="AB28" i="8"/>
  <c r="AB18" i="8"/>
  <c r="AH30" i="8"/>
  <c r="AG30" i="8"/>
  <c r="AE30" i="8"/>
  <c r="P15" i="8"/>
  <c r="Q27" i="8"/>
  <c r="I21" i="8"/>
  <c r="AK23" i="8"/>
  <c r="AK21" i="8"/>
  <c r="AP18" i="8"/>
  <c r="R17" i="8"/>
  <c r="S36" i="8"/>
  <c r="AL26" i="8"/>
  <c r="AP14" i="8"/>
  <c r="R12" i="8"/>
  <c r="Z24" i="8"/>
  <c r="AB11" i="8"/>
  <c r="AK27" i="8"/>
  <c r="AM18" i="8"/>
  <c r="AK17" i="8"/>
  <c r="M36" i="8"/>
  <c r="U12" i="8"/>
  <c r="V17" i="8"/>
  <c r="W11" i="8"/>
  <c r="W26" i="8"/>
  <c r="AG24" i="8"/>
  <c r="AJ22" i="8"/>
  <c r="AN18" i="8"/>
  <c r="O17" i="8"/>
  <c r="O15" i="8"/>
  <c r="N15" i="8"/>
  <c r="M15" i="8"/>
  <c r="Q32" i="8"/>
  <c r="AO18" i="8"/>
  <c r="P17" i="8"/>
  <c r="Y27" i="8"/>
  <c r="AL9" i="8"/>
  <c r="L14" i="8"/>
  <c r="AQ26" i="8"/>
  <c r="S20" i="8"/>
  <c r="AI23" i="8"/>
  <c r="AJ25" i="8"/>
  <c r="AM21" i="8"/>
  <c r="J18" i="8"/>
  <c r="AE12" i="8"/>
  <c r="L33" i="8"/>
  <c r="AC25" i="8"/>
  <c r="K12" i="8"/>
  <c r="P12" i="8"/>
  <c r="O12" i="8"/>
  <c r="N12" i="8"/>
  <c r="X11" i="8"/>
  <c r="W31" i="8"/>
  <c r="S17" i="8"/>
  <c r="I33" i="8"/>
  <c r="S29" i="8"/>
  <c r="Q29" i="8"/>
  <c r="P29" i="8"/>
  <c r="P26" i="8"/>
  <c r="AK11" i="8"/>
  <c r="K23" i="8"/>
  <c r="AN22" i="8"/>
  <c r="AA20" i="8"/>
  <c r="AA17" i="8"/>
  <c r="AA27" i="8"/>
  <c r="AF17" i="8"/>
  <c r="V26" i="8"/>
  <c r="Z8" i="8"/>
  <c r="AC18" i="8"/>
  <c r="U16" i="8"/>
  <c r="AC10" i="8"/>
  <c r="N18" i="8"/>
  <c r="AN12" i="8"/>
  <c r="H11" i="8"/>
  <c r="Z9" i="8"/>
  <c r="H32" i="8"/>
  <c r="N24" i="8"/>
  <c r="AB10" i="8"/>
  <c r="T26" i="8"/>
  <c r="AH36" i="8"/>
  <c r="Z10" i="8"/>
  <c r="Q20" i="8"/>
  <c r="M17" i="8"/>
  <c r="AG26" i="8"/>
  <c r="T14" i="8"/>
  <c r="AM16" i="8"/>
  <c r="P23" i="8"/>
  <c r="Q8" i="8"/>
  <c r="AE7" i="8"/>
  <c r="S21" i="8"/>
  <c r="X8" i="8"/>
  <c r="S33" i="8"/>
  <c r="M25" i="8"/>
  <c r="AK7" i="8"/>
  <c r="AA28" i="8"/>
  <c r="AI20" i="8"/>
  <c r="AB8" i="8"/>
  <c r="N33" i="8"/>
  <c r="AE18" i="8"/>
  <c r="W7" i="8"/>
  <c r="V9" i="8"/>
  <c r="I36" i="8"/>
  <c r="AL32" i="8"/>
  <c r="AN36" i="8"/>
  <c r="AA25" i="8"/>
  <c r="T18" i="8"/>
  <c r="K16" i="8"/>
  <c r="K10" i="8"/>
  <c r="AP36" i="8"/>
  <c r="U33" i="8"/>
  <c r="AD32" i="8"/>
  <c r="AL31" i="8"/>
  <c r="W24" i="8"/>
  <c r="V24" i="8"/>
  <c r="T24" i="8"/>
  <c r="AD33" i="8"/>
  <c r="V33" i="8"/>
  <c r="AI32" i="8"/>
  <c r="AM31" i="8"/>
  <c r="X27" i="8"/>
  <c r="AA18" i="8"/>
  <c r="AP22" i="8"/>
  <c r="AF31" i="8"/>
  <c r="AI16" i="8"/>
  <c r="AN8" i="8"/>
  <c r="AJ32" i="8"/>
  <c r="L17" i="8"/>
  <c r="N36" i="8"/>
  <c r="M26" i="8"/>
  <c r="AM12" i="8"/>
  <c r="K21" i="8"/>
  <c r="L12" i="8"/>
  <c r="S11" i="8"/>
  <c r="AN32" i="8"/>
  <c r="H29" i="8"/>
  <c r="AK33" i="8"/>
  <c r="H14" i="8"/>
  <c r="R36" i="8"/>
  <c r="P36" i="8"/>
  <c r="O36" i="8"/>
  <c r="L21" i="8"/>
  <c r="AF30" i="8"/>
  <c r="AJ17" i="8"/>
  <c r="AO15" i="8"/>
  <c r="X16" i="8"/>
  <c r="AA23" i="8"/>
  <c r="Y23" i="8"/>
  <c r="X23" i="8"/>
  <c r="X17" i="8"/>
  <c r="Y33" i="8"/>
  <c r="U26" i="8"/>
  <c r="Z17" i="8"/>
  <c r="W27" i="8"/>
  <c r="K32" i="8"/>
  <c r="AF15" i="8"/>
  <c r="J33" i="8"/>
  <c r="W32" i="8"/>
  <c r="AQ11" i="8"/>
  <c r="N20" i="8"/>
  <c r="V11" i="8"/>
  <c r="L36" i="8"/>
  <c r="V29" i="8"/>
  <c r="AJ28" i="8"/>
  <c r="AM27" i="8"/>
  <c r="AB32" i="8"/>
  <c r="Z11" i="8"/>
  <c r="AH33" i="8"/>
  <c r="AF33" i="8"/>
  <c r="AE33" i="8"/>
  <c r="H20" i="8"/>
  <c r="AC26" i="8"/>
  <c r="J21" i="8"/>
  <c r="Z31" i="8"/>
  <c r="O29" i="8"/>
  <c r="W28" i="8"/>
  <c r="AI24" i="8"/>
  <c r="AE22" i="8"/>
  <c r="AD22" i="8"/>
  <c r="AB22" i="8"/>
  <c r="S10" i="8"/>
  <c r="AA33" i="8"/>
  <c r="T29" i="8"/>
  <c r="X28" i="8"/>
  <c r="H25" i="8"/>
  <c r="M12" i="8"/>
  <c r="V16" i="8"/>
  <c r="X24" i="8"/>
  <c r="AH21" i="8"/>
  <c r="Q15" i="8"/>
  <c r="M32" i="8"/>
  <c r="AP30" i="8"/>
  <c r="U29" i="8"/>
  <c r="AD28" i="8"/>
  <c r="AL27" i="8"/>
  <c r="AQ31" i="8"/>
  <c r="R18" i="8"/>
  <c r="AE10" i="8"/>
  <c r="P16" i="8"/>
  <c r="AQ32" i="8"/>
  <c r="Y29" i="8"/>
  <c r="Y31" i="8"/>
  <c r="T23" i="8"/>
  <c r="AG9" i="8"/>
  <c r="Q23" i="8"/>
  <c r="AJ20" i="8"/>
  <c r="W14" i="8"/>
  <c r="AE14" i="8"/>
  <c r="AM30" i="8"/>
  <c r="W18" i="8"/>
  <c r="U8" i="8"/>
  <c r="AC29" i="8"/>
  <c r="R7" i="8"/>
  <c r="AG32" i="8"/>
  <c r="Z15" i="8"/>
  <c r="AA7" i="8"/>
  <c r="AJ29" i="8"/>
  <c r="AF7" i="8"/>
  <c r="Y28" i="8"/>
  <c r="AL36" i="8"/>
  <c r="AA12" i="8"/>
  <c r="X32" i="8"/>
  <c r="AH17" i="8"/>
  <c r="P25" i="8"/>
  <c r="AF22" i="8"/>
  <c r="T12" i="8"/>
  <c r="AD23" i="8"/>
  <c r="Z7" i="8"/>
  <c r="AB31" i="8"/>
  <c r="AO31" i="8"/>
  <c r="AB21" i="8"/>
  <c r="J10" i="8"/>
  <c r="AM33" i="8"/>
  <c r="AL28" i="8"/>
  <c r="AE29" i="8"/>
  <c r="S32" i="8"/>
  <c r="AO36" i="8"/>
  <c r="H26" i="8"/>
  <c r="U30" i="8"/>
  <c r="AK22" i="8"/>
  <c r="P20" i="8"/>
  <c r="AN28" i="8"/>
  <c r="AQ8" i="8"/>
  <c r="O32" i="8"/>
  <c r="AI25" i="8"/>
  <c r="J25" i="8"/>
  <c r="R21" i="8"/>
  <c r="AQ18" i="8"/>
  <c r="Z16" i="8"/>
  <c r="AA29" i="8"/>
  <c r="AB23" i="8"/>
  <c r="AJ11" i="8"/>
  <c r="I18" i="8"/>
  <c r="M28" i="8"/>
  <c r="S24" i="8"/>
  <c r="AD29" i="8"/>
  <c r="O8" i="8"/>
  <c r="X30" i="8"/>
  <c r="S25" i="8"/>
  <c r="AG31" i="8"/>
  <c r="AA24" i="8"/>
  <c r="P7" i="8"/>
  <c r="AD17" i="8"/>
  <c r="AD15" i="8"/>
  <c r="AF21" i="8"/>
  <c r="AJ36" i="8"/>
  <c r="O30" i="8"/>
  <c r="T28" i="8"/>
  <c r="AC23" i="8"/>
  <c r="Z28" i="8"/>
  <c r="T7" i="8"/>
  <c r="AG22" i="8"/>
  <c r="AL15" i="8"/>
  <c r="L16" i="8"/>
  <c r="V12" i="8"/>
  <c r="L26" i="8"/>
  <c r="R16" i="8"/>
  <c r="AG29" i="8"/>
  <c r="AN15" i="8"/>
  <c r="H27" i="8"/>
  <c r="AJ21" i="8"/>
  <c r="AH14" i="8"/>
  <c r="K11" i="8"/>
  <c r="AP16" i="8"/>
  <c r="AA15" i="8"/>
  <c r="AL12" i="8"/>
  <c r="AP11" i="8"/>
  <c r="AE20" i="8"/>
  <c r="Q10" i="8"/>
  <c r="X14" i="8"/>
  <c r="AO27" i="8"/>
  <c r="M24" i="8"/>
  <c r="AK25" i="8"/>
  <c r="H18" i="8"/>
  <c r="AN26" i="8"/>
  <c r="Y12" i="8"/>
  <c r="AQ12" i="8"/>
  <c r="AI31" i="8"/>
  <c r="AH20" i="8"/>
  <c r="I23" i="8"/>
  <c r="K31" i="8"/>
  <c r="AH25" i="8"/>
  <c r="S28" i="8"/>
  <c r="AJ7" i="8"/>
  <c r="AJ24" i="8"/>
  <c r="P11" i="8"/>
  <c r="AQ10" i="8"/>
  <c r="M30" i="8"/>
  <c r="AF16" i="8"/>
  <c r="AL10" i="8"/>
  <c r="I10" i="8"/>
  <c r="AF27" i="8"/>
  <c r="H15" i="8"/>
  <c r="AB16" i="8"/>
  <c r="AA9" i="8"/>
  <c r="AM14" i="8"/>
  <c r="I29" i="8"/>
  <c r="Y8" i="8"/>
  <c r="AK8" i="8"/>
  <c r="AC8" i="8"/>
  <c r="AD11" i="8"/>
  <c r="AJ10" i="8"/>
  <c r="J9" i="8"/>
  <c r="I9" i="8"/>
  <c r="V25" i="8"/>
  <c r="L9" i="8"/>
  <c r="L22" i="8"/>
  <c r="AI18" i="8"/>
  <c r="AG18" i="8"/>
  <c r="V7" i="8"/>
  <c r="AG14" i="8"/>
  <c r="AL16" i="8"/>
  <c r="X7" i="8"/>
  <c r="T30" i="8"/>
  <c r="AM8" i="8"/>
  <c r="AL8" i="8"/>
  <c r="AF8" i="8"/>
  <c r="T33" i="8"/>
  <c r="K18" i="8"/>
  <c r="N17" i="8"/>
  <c r="AC7" i="8"/>
  <c r="AA36" i="8"/>
  <c r="AN33" i="8"/>
  <c r="AF25" i="8"/>
  <c r="AE25" i="8"/>
  <c r="AD25" i="8"/>
  <c r="X36" i="8"/>
  <c r="N7" i="8"/>
  <c r="AG12" i="8"/>
  <c r="U22" i="8"/>
  <c r="AG33" i="8"/>
  <c r="AE11" i="8"/>
  <c r="AF26" i="8"/>
  <c r="AO8" i="8"/>
  <c r="AL7" i="8"/>
  <c r="AC17" i="8"/>
  <c r="V8" i="8"/>
  <c r="AO7" i="8"/>
  <c r="U24" i="8"/>
  <c r="AL11" i="8"/>
  <c r="W21" i="8"/>
  <c r="Q28" i="8"/>
  <c r="O25" i="8"/>
  <c r="AJ14" i="8"/>
  <c r="H33" i="8"/>
  <c r="AD20" i="8"/>
  <c r="AO28" i="8"/>
  <c r="V32" i="8"/>
  <c r="AK28" i="8"/>
  <c r="AE21" i="8"/>
  <c r="O31" i="8"/>
  <c r="J30" i="8"/>
  <c r="AD10" i="8"/>
  <c r="R15" i="8"/>
  <c r="AP9" i="8"/>
  <c r="R9" i="8"/>
  <c r="K24" i="8"/>
  <c r="AE28" i="8"/>
  <c r="K25" i="8"/>
  <c r="AJ31" i="8"/>
  <c r="AL30" i="8"/>
  <c r="R20" i="8"/>
  <c r="N9" i="8"/>
  <c r="Q36" i="8"/>
  <c r="R32" i="8"/>
  <c r="M14" i="8"/>
  <c r="J20" i="8"/>
  <c r="H31" i="8"/>
  <c r="AB24" i="8"/>
  <c r="M29" i="8"/>
  <c r="U14" i="8"/>
  <c r="AP26" i="8"/>
  <c r="L23" i="8"/>
  <c r="AL20" i="8"/>
  <c r="AC14" i="8"/>
  <c r="AQ28" i="8"/>
  <c r="Y24" i="8"/>
  <c r="U21" i="8"/>
  <c r="AE31" i="8"/>
  <c r="AC12" i="8"/>
  <c r="R22" i="8"/>
  <c r="AB17" i="8"/>
  <c r="W33" i="8"/>
  <c r="AM29" i="8"/>
  <c r="AI22" i="8"/>
  <c r="P30" i="8"/>
  <c r="AK12" i="8"/>
  <c r="AI11" i="8"/>
  <c r="O21" i="8"/>
  <c r="AB7" i="8"/>
  <c r="AQ7" i="8"/>
  <c r="U25" i="8"/>
  <c r="P21" i="8"/>
  <c r="AD27" i="8"/>
  <c r="Q24" i="8"/>
  <c r="AJ27" i="8"/>
  <c r="AH22" i="8"/>
  <c r="I16" i="8"/>
  <c r="Z20" i="8"/>
  <c r="AH29" i="8"/>
  <c r="P9" i="8"/>
  <c r="O20" i="8"/>
  <c r="N16" i="8"/>
  <c r="AI15" i="8"/>
  <c r="AC32" i="8"/>
  <c r="Y25" i="8"/>
  <c r="V20" i="8"/>
  <c r="K17" i="8"/>
  <c r="AK20" i="8"/>
  <c r="I17" i="8"/>
  <c r="AH24" i="8"/>
  <c r="X15" i="8"/>
  <c r="AN14" i="8"/>
  <c r="S14" i="8"/>
  <c r="N11" i="8"/>
  <c r="AL21" i="8"/>
  <c r="Y15" i="8"/>
  <c r="U11" i="8"/>
  <c r="AO10" i="8"/>
  <c r="AJ33" i="8"/>
  <c r="M27" i="8"/>
  <c r="R10" i="8"/>
  <c r="U31" i="8"/>
  <c r="W17" i="8"/>
  <c r="AH15" i="8"/>
  <c r="Q14" i="8"/>
  <c r="AI10" i="8"/>
  <c r="AO21" i="8"/>
  <c r="Y14" i="8"/>
  <c r="P28" i="8"/>
  <c r="M11" i="8"/>
  <c r="AK10" i="8"/>
  <c r="Y16" i="8"/>
  <c r="P10" i="8"/>
  <c r="L11" i="8"/>
  <c r="P24" i="8"/>
  <c r="AD21" i="8"/>
  <c r="M21" i="8"/>
  <c r="T10" i="8"/>
  <c r="AM10" i="8"/>
  <c r="U36" i="8"/>
  <c r="AO30" i="8"/>
  <c r="R24" i="8"/>
  <c r="AH27" i="8"/>
  <c r="W9" i="8"/>
  <c r="X31" i="8"/>
  <c r="AL22" i="8"/>
  <c r="L8" i="8"/>
  <c r="R26" i="8"/>
  <c r="AF23" i="8"/>
  <c r="S15" i="8"/>
  <c r="W8" i="8"/>
  <c r="AK24" i="8"/>
  <c r="N8" i="8"/>
  <c r="AG21" i="8"/>
  <c r="W29" i="8"/>
  <c r="T8" i="8"/>
  <c r="J12" i="8"/>
  <c r="Q9" i="8"/>
  <c r="Y36" i="8"/>
  <c r="M7" i="8"/>
  <c r="J15" i="8"/>
  <c r="Y20" i="8"/>
  <c r="Z36" i="8"/>
  <c r="L29" i="8"/>
  <c r="AN20" i="8"/>
  <c r="I7" i="8"/>
  <c r="H7" i="8"/>
  <c r="AO17" i="8"/>
  <c r="AD18" i="8"/>
  <c r="AQ24" i="8"/>
  <c r="AP24" i="8"/>
  <c r="AN24" i="8"/>
  <c r="P14" i="8"/>
  <c r="Q18" i="8"/>
  <c r="K7" i="8"/>
  <c r="K15" i="8"/>
  <c r="AI26" i="8"/>
  <c r="S9" i="8"/>
  <c r="AM20" i="8"/>
  <c r="S8" i="8"/>
  <c r="AG7" i="8"/>
  <c r="K29" i="8"/>
  <c r="V15" i="8"/>
  <c r="AH7" i="8"/>
  <c r="K20" i="8"/>
  <c r="J36" i="8"/>
  <c r="AP7" i="8"/>
  <c r="S18" i="8"/>
  <c r="U27" i="8"/>
  <c r="R23" i="8"/>
  <c r="Z21" i="8"/>
  <c r="T16" i="8"/>
  <c r="U17" i="8"/>
  <c r="AK15" i="8"/>
  <c r="Q25" i="8"/>
  <c r="K28" i="8"/>
  <c r="U20" i="8"/>
  <c r="AJ30" i="8"/>
  <c r="H9" i="8"/>
  <c r="I15" i="8"/>
  <c r="L30" i="8"/>
  <c r="P32" i="8"/>
  <c r="AJ15" i="8"/>
  <c r="Z27" i="8"/>
  <c r="I24" i="8"/>
  <c r="H30" i="8"/>
  <c r="J26" i="8"/>
  <c r="S22" i="8"/>
  <c r="AO24" i="8"/>
  <c r="R25" i="8"/>
  <c r="M8" i="8"/>
  <c r="P8" i="8"/>
  <c r="R8" i="8"/>
  <c r="O23" i="8"/>
  <c r="AH31" i="8"/>
  <c r="AN16" i="8"/>
  <c r="I22" i="8"/>
  <c r="AJ18" i="8"/>
  <c r="AC27" i="8"/>
  <c r="V23" i="8"/>
  <c r="AE17" i="8"/>
  <c r="AB29" i="8"/>
  <c r="AE24" i="8"/>
  <c r="J28" i="8"/>
  <c r="R30" i="8"/>
  <c r="Y10" i="8"/>
  <c r="AI17" i="8"/>
  <c r="AA22" i="8"/>
  <c r="AG23" i="8"/>
  <c r="Y21" i="8"/>
  <c r="X21" i="8"/>
  <c r="J16" i="8"/>
  <c r="AF14" i="8"/>
  <c r="Q7" i="8"/>
  <c r="AM22" i="8"/>
  <c r="AB33" i="8"/>
  <c r="AF29" i="8"/>
  <c r="AD26" i="8"/>
  <c r="W23" i="8"/>
  <c r="AI21" i="8"/>
  <c r="V27" i="8"/>
  <c r="AP15" i="8"/>
  <c r="U28" i="8"/>
  <c r="AJ23" i="8"/>
  <c r="X20" i="8"/>
  <c r="AM36" i="8"/>
  <c r="AM24" i="8"/>
  <c r="X26" i="8"/>
  <c r="Y32" i="8"/>
  <c r="M18" i="8"/>
  <c r="H16" i="8"/>
  <c r="N26" i="8"/>
  <c r="V14" i="8"/>
  <c r="AL23" i="8"/>
  <c r="AE15" i="8"/>
  <c r="AH16" i="8"/>
  <c r="AG15" i="8"/>
  <c r="AP12" i="8"/>
  <c r="AO11" i="8"/>
  <c r="AA14" i="8"/>
  <c r="AQ17" i="8"/>
  <c r="AM23" i="8"/>
  <c r="L18" i="8"/>
  <c r="O28" i="8"/>
  <c r="Z25" i="8"/>
  <c r="AC22" i="8"/>
  <c r="N22" i="8"/>
  <c r="Z14" i="8"/>
  <c r="AA32" i="8"/>
  <c r="Q11" i="8"/>
  <c r="AH26" i="8"/>
  <c r="M23" i="8"/>
  <c r="AC20" i="8"/>
  <c r="AD14" i="8"/>
  <c r="AJ9" i="8"/>
  <c r="U9" i="8"/>
  <c r="AN10" i="8"/>
  <c r="O18" i="8"/>
  <c r="W10" i="8"/>
  <c r="AG27" i="8"/>
  <c r="AP10" i="8"/>
  <c r="S23" i="8"/>
  <c r="Q30" i="8"/>
  <c r="Y7" i="8"/>
  <c r="Z22" i="8"/>
  <c r="S26" i="8"/>
  <c r="O26" i="8"/>
  <c r="AQ15" i="8"/>
  <c r="AG11" i="8"/>
  <c r="T21" i="8"/>
  <c r="AA8" i="8"/>
  <c r="AB36" i="8"/>
  <c r="AO33" i="8"/>
  <c r="T32" i="8"/>
  <c r="S7" i="8"/>
  <c r="AN7" i="8"/>
  <c r="Q17" i="8"/>
  <c r="AD12" i="8"/>
  <c r="T9" i="8"/>
  <c r="AD36" i="8"/>
  <c r="AP33" i="8"/>
  <c r="M20" i="8"/>
  <c r="AN27" i="8"/>
  <c r="P22" i="8"/>
  <c r="R14" i="8"/>
  <c r="U7" i="8"/>
  <c r="AI7" i="8"/>
  <c r="H10" i="8"/>
  <c r="AI36" i="8"/>
  <c r="AQ33" i="8"/>
  <c r="I28" i="8"/>
  <c r="I20" i="8"/>
  <c r="N23" i="8"/>
  <c r="T20" i="8"/>
  <c r="AC28" i="8"/>
  <c r="L7" i="8"/>
  <c r="X33" i="8"/>
  <c r="L31" i="8"/>
  <c r="Y30" i="8"/>
  <c r="AQ23" i="8"/>
  <c r="AP23" i="8"/>
  <c r="S12" i="8"/>
  <c r="AL17" i="8"/>
  <c r="AM19" i="15" l="1"/>
  <c r="U19" i="8"/>
  <c r="U6" i="8"/>
  <c r="AM19" i="8"/>
  <c r="M6" i="8"/>
  <c r="O19" i="15"/>
  <c r="AD19" i="8"/>
  <c r="X6" i="8"/>
  <c r="AK19" i="8"/>
  <c r="AE6" i="8"/>
  <c r="K19" i="8"/>
  <c r="Y19" i="15"/>
  <c r="AA13" i="8"/>
  <c r="X19" i="8"/>
  <c r="Z19" i="15"/>
  <c r="J19" i="8"/>
  <c r="M13" i="8"/>
  <c r="AM13" i="8"/>
  <c r="I19" i="8"/>
  <c r="AJ19" i="15"/>
  <c r="Q6" i="8"/>
  <c r="AK6" i="8"/>
  <c r="AJ13" i="8"/>
  <c r="H6" i="8"/>
  <c r="Y6" i="8"/>
  <c r="Q13" i="8"/>
  <c r="AO6" i="8"/>
  <c r="L13" i="8"/>
  <c r="M19" i="8"/>
  <c r="AH19" i="8"/>
  <c r="Z13" i="8"/>
  <c r="AN19" i="15"/>
  <c r="AL6" i="8"/>
  <c r="AI6" i="8"/>
  <c r="R19" i="8"/>
  <c r="H19" i="8"/>
  <c r="Z6" i="8"/>
  <c r="K6" i="8"/>
  <c r="P19" i="8"/>
  <c r="AN13" i="8"/>
  <c r="AC13" i="8"/>
  <c r="W6" i="8"/>
  <c r="T13" i="8"/>
  <c r="AF19" i="15"/>
  <c r="X19" i="15"/>
  <c r="AJ19" i="8"/>
  <c r="AG19" i="15"/>
  <c r="L6" i="8"/>
  <c r="O19" i="8"/>
  <c r="AI19" i="15"/>
  <c r="N19" i="8"/>
  <c r="W19" i="8"/>
  <c r="AQ19" i="15"/>
  <c r="S19" i="15"/>
  <c r="O6" i="8"/>
  <c r="AC19" i="15"/>
  <c r="S6" i="8"/>
  <c r="Y19" i="8"/>
  <c r="AL19" i="8"/>
  <c r="AA6" i="8"/>
  <c r="AK13" i="8"/>
  <c r="W19" i="15"/>
  <c r="N19" i="15"/>
  <c r="T19" i="8"/>
  <c r="V13" i="8"/>
  <c r="AH6" i="8"/>
  <c r="V6" i="8"/>
  <c r="X13" i="8"/>
  <c r="AA19" i="8"/>
  <c r="AE19" i="15"/>
  <c r="AQ19" i="8"/>
  <c r="AP19" i="8"/>
  <c r="M19" i="15"/>
  <c r="AF19" i="8"/>
  <c r="AO13" i="8"/>
  <c r="J13" i="8"/>
  <c r="K13" i="8"/>
  <c r="AL13" i="8"/>
  <c r="AD19" i="15"/>
  <c r="I6" i="8"/>
  <c r="Y13" i="8"/>
  <c r="V19" i="8"/>
  <c r="Z19" i="8"/>
  <c r="AH13" i="8"/>
  <c r="AP19" i="15"/>
  <c r="AD6" i="8"/>
  <c r="P19" i="15"/>
  <c r="AQ13" i="8"/>
  <c r="U13" i="8"/>
  <c r="AG13" i="8"/>
  <c r="AL19" i="15"/>
  <c r="I13" i="8"/>
  <c r="K19" i="15"/>
  <c r="AO19" i="8"/>
  <c r="AP6" i="8"/>
  <c r="AF13" i="8"/>
  <c r="AN19" i="8"/>
  <c r="AQ6" i="8"/>
  <c r="AA19" i="15"/>
  <c r="L19" i="15"/>
  <c r="Q19" i="8"/>
  <c r="AP13" i="8"/>
  <c r="O13" i="8"/>
  <c r="V19" i="15"/>
  <c r="H19" i="15"/>
  <c r="R19" i="15"/>
  <c r="T19" i="15"/>
  <c r="AG19" i="8"/>
  <c r="R13" i="8"/>
  <c r="T6" i="8"/>
  <c r="U19" i="15"/>
  <c r="I19" i="15"/>
  <c r="J6" i="8"/>
  <c r="AM6" i="8"/>
  <c r="AD13" i="8"/>
  <c r="AB6" i="8"/>
  <c r="AC6" i="8"/>
  <c r="P13" i="8"/>
  <c r="AE19" i="8"/>
  <c r="AE13" i="8"/>
  <c r="AI19" i="8"/>
  <c r="N13" i="8"/>
  <c r="AB13" i="8"/>
  <c r="AB19" i="15"/>
  <c r="J19" i="15"/>
  <c r="H13" i="8"/>
  <c r="AG6" i="8"/>
  <c r="S13" i="8"/>
  <c r="AO19" i="15"/>
  <c r="AI13" i="8"/>
  <c r="Q19" i="15"/>
  <c r="N6" i="8"/>
  <c r="AJ6" i="8"/>
  <c r="S19" i="8"/>
  <c r="AB19" i="8"/>
  <c r="AN6" i="8"/>
  <c r="W13" i="8"/>
  <c r="AK19" i="15"/>
  <c r="AC19" i="8"/>
  <c r="P6" i="8"/>
  <c r="AF6" i="8"/>
  <c r="R6" i="8"/>
  <c r="AH19" i="15"/>
  <c r="L19" i="8"/>
  <c r="L16" i="15" l="1"/>
  <c r="P44" i="15"/>
  <c r="P15" i="15"/>
  <c r="P16" i="15"/>
  <c r="AD16" i="15"/>
  <c r="AN16" i="15"/>
  <c r="Z45" i="15"/>
  <c r="Z15" i="15"/>
  <c r="P5" i="8"/>
  <c r="AJ5" i="8"/>
  <c r="H15" i="15"/>
  <c r="AD17" i="15"/>
  <c r="N5" i="8"/>
  <c r="Y17" i="15"/>
  <c r="O17" i="15"/>
  <c r="P17" i="15"/>
  <c r="AM16" i="15"/>
  <c r="AL16" i="15"/>
  <c r="AH16" i="15"/>
  <c r="AC17" i="15"/>
  <c r="AM15" i="15"/>
  <c r="AM43" i="15"/>
  <c r="AQ15" i="15"/>
  <c r="AQ5" i="8"/>
  <c r="I16" i="15"/>
  <c r="H17" i="15"/>
  <c r="AH17" i="15"/>
  <c r="AJ16" i="15"/>
  <c r="AJ44" i="15"/>
  <c r="J16" i="15"/>
  <c r="R17" i="15"/>
  <c r="AO15" i="15"/>
  <c r="AO44" i="15"/>
  <c r="V44" i="15"/>
  <c r="V15" i="15"/>
  <c r="V5" i="8"/>
  <c r="AK5" i="8"/>
  <c r="K17" i="15"/>
  <c r="N16" i="15"/>
  <c r="Z16" i="15"/>
  <c r="Z44" i="15"/>
  <c r="X16" i="15"/>
  <c r="AP17" i="15"/>
  <c r="AN15" i="15"/>
  <c r="AN44" i="15"/>
  <c r="AG5" i="8"/>
  <c r="AC5" i="8"/>
  <c r="AN17" i="15"/>
  <c r="AQ16" i="15"/>
  <c r="AQ44" i="15"/>
  <c r="AG44" i="15"/>
  <c r="AG15" i="15"/>
  <c r="AC15" i="15"/>
  <c r="AC45" i="15"/>
  <c r="J15" i="15"/>
  <c r="S15" i="15"/>
  <c r="S44" i="15"/>
  <c r="V17" i="15"/>
  <c r="AQ17" i="15"/>
  <c r="AI5" i="8"/>
  <c r="AO5" i="8"/>
  <c r="N15" i="15"/>
  <c r="N45" i="15"/>
  <c r="J5" i="8"/>
  <c r="Z5" i="8"/>
  <c r="L17" i="15"/>
  <c r="M15" i="15"/>
  <c r="M43" i="15"/>
  <c r="AB16" i="15"/>
  <c r="AN5" i="8"/>
  <c r="AP16" i="15"/>
  <c r="J17" i="15"/>
  <c r="U5" i="8"/>
  <c r="AI16" i="15"/>
  <c r="Y15" i="15"/>
  <c r="Y44" i="15"/>
  <c r="AK17" i="15"/>
  <c r="AM5" i="8"/>
  <c r="AL17" i="15"/>
  <c r="AA16" i="15"/>
  <c r="W16" i="15"/>
  <c r="L43" i="15"/>
  <c r="L15" i="15"/>
  <c r="AM17" i="15"/>
  <c r="AE15" i="15"/>
  <c r="AE44" i="15"/>
  <c r="V16" i="15"/>
  <c r="AG16" i="15"/>
  <c r="AE16" i="15"/>
  <c r="AK16" i="15"/>
  <c r="AF5" i="8"/>
  <c r="I5" i="8"/>
  <c r="T17" i="15"/>
  <c r="Y5" i="8"/>
  <c r="X17" i="15"/>
  <c r="U17" i="15"/>
  <c r="AK15" i="15"/>
  <c r="AK43" i="15"/>
  <c r="AF16" i="15"/>
  <c r="W44" i="15"/>
  <c r="W15" i="15"/>
  <c r="Q16" i="15"/>
  <c r="L5" i="8"/>
  <c r="O5" i="8"/>
  <c r="AA15" i="15"/>
  <c r="AA44" i="15"/>
  <c r="AC16" i="15"/>
  <c r="M16" i="15"/>
  <c r="W5" i="8"/>
  <c r="AB15" i="15"/>
  <c r="AB45" i="15"/>
  <c r="R16" i="15"/>
  <c r="Q5" i="8"/>
  <c r="K5" i="8"/>
  <c r="AI17" i="15"/>
  <c r="AP15" i="15"/>
  <c r="AL44" i="15"/>
  <c r="AL15" i="15"/>
  <c r="I43" i="15"/>
  <c r="I15" i="15"/>
  <c r="U43" i="15"/>
  <c r="U15" i="15"/>
  <c r="AD15" i="15"/>
  <c r="AD44" i="15"/>
  <c r="N17" i="15"/>
  <c r="AA17" i="15"/>
  <c r="AA5" i="8"/>
  <c r="X15" i="15"/>
  <c r="X44" i="15"/>
  <c r="X43" i="15"/>
  <c r="S16" i="15"/>
  <c r="M5" i="8"/>
  <c r="Z17" i="15"/>
  <c r="W17" i="15"/>
  <c r="O16" i="15"/>
  <c r="AE5" i="8"/>
  <c r="Y16" i="15"/>
  <c r="AP5" i="8"/>
  <c r="AH44" i="15"/>
  <c r="AH15" i="15"/>
  <c r="R15" i="15"/>
  <c r="AG17" i="15"/>
  <c r="AG45" i="15"/>
  <c r="Q17" i="15"/>
  <c r="R5" i="8"/>
  <c r="AD5" i="8"/>
  <c r="AF15" i="15"/>
  <c r="AF45" i="15"/>
  <c r="AE17" i="15"/>
  <c r="T15" i="15"/>
  <c r="T43" i="15"/>
  <c r="AO17" i="15"/>
  <c r="AO45" i="15"/>
  <c r="U16" i="15"/>
  <c r="H5" i="8"/>
  <c r="AJ15" i="15"/>
  <c r="AJ43" i="15"/>
  <c r="K16" i="15"/>
  <c r="T16" i="15"/>
  <c r="S5" i="8"/>
  <c r="AB17" i="15"/>
  <c r="AH5" i="8"/>
  <c r="AI15" i="15"/>
  <c r="Q15" i="15"/>
  <c r="Q43" i="15"/>
  <c r="AB5" i="8"/>
  <c r="AO16" i="15"/>
  <c r="O15" i="15"/>
  <c r="K15" i="15"/>
  <c r="M17" i="15"/>
  <c r="AL5" i="8"/>
  <c r="S17" i="15"/>
  <c r="H16" i="15"/>
  <c r="T5" i="8"/>
  <c r="AF17" i="15"/>
  <c r="AJ17" i="15"/>
  <c r="I17" i="15"/>
  <c r="X5" i="8"/>
  <c r="AF43" i="15" l="1"/>
  <c r="S43" i="15"/>
  <c r="V43" i="15"/>
  <c r="AO43" i="15"/>
  <c r="AN45" i="15"/>
  <c r="N43" i="15"/>
  <c r="M45" i="15"/>
  <c r="Q44" i="15"/>
  <c r="AC43" i="15"/>
  <c r="M44" i="15"/>
  <c r="AL43" i="15"/>
  <c r="AA43" i="15"/>
  <c r="Y45" i="15"/>
  <c r="AE45" i="15"/>
  <c r="R45" i="15"/>
  <c r="R14" i="15"/>
  <c r="R47" i="15"/>
  <c r="AI45" i="15"/>
  <c r="AI14" i="15"/>
  <c r="AI47" i="15"/>
  <c r="AD45" i="15"/>
  <c r="AD14" i="15"/>
  <c r="AD47" i="15"/>
  <c r="AM45" i="15"/>
  <c r="AB43" i="15"/>
  <c r="AB14" i="15"/>
  <c r="AB47" i="15"/>
  <c r="S14" i="15"/>
  <c r="S47" i="15"/>
  <c r="AQ14" i="15"/>
  <c r="AQ47" i="15"/>
  <c r="T44" i="15"/>
  <c r="T14" i="15"/>
  <c r="T47" i="15"/>
  <c r="L45" i="15"/>
  <c r="J43" i="15"/>
  <c r="J14" i="15"/>
  <c r="J42" i="15"/>
  <c r="J47" i="15"/>
  <c r="R43" i="15"/>
  <c r="U44" i="15"/>
  <c r="U14" i="15"/>
  <c r="U47" i="15"/>
  <c r="W43" i="15"/>
  <c r="W14" i="15"/>
  <c r="W47" i="15"/>
  <c r="J44" i="15"/>
  <c r="I45" i="15"/>
  <c r="AI44" i="15"/>
  <c r="AM44" i="15"/>
  <c r="AM14" i="15"/>
  <c r="AM47" i="15"/>
  <c r="AC44" i="15"/>
  <c r="AC14" i="15"/>
  <c r="AC47" i="15"/>
  <c r="H43" i="15"/>
  <c r="H14" i="15"/>
  <c r="H42" i="15"/>
  <c r="H47" i="15"/>
  <c r="AH43" i="15"/>
  <c r="K43" i="15"/>
  <c r="K14" i="15"/>
  <c r="K47" i="15"/>
  <c r="X45" i="15"/>
  <c r="X14" i="15"/>
  <c r="X47" i="15"/>
  <c r="P43" i="15"/>
  <c r="P14" i="15"/>
  <c r="P47" i="15"/>
  <c r="K45" i="15"/>
  <c r="AH45" i="15"/>
  <c r="AH14" i="15"/>
  <c r="AH47" i="15"/>
  <c r="AG43" i="15"/>
  <c r="AG14" i="15"/>
  <c r="AG47" i="15"/>
  <c r="AP14" i="15"/>
  <c r="AP47" i="15"/>
  <c r="I44" i="15"/>
  <c r="I14" i="15"/>
  <c r="I42" i="15"/>
  <c r="I47" i="15"/>
  <c r="AK44" i="15"/>
  <c r="AK14" i="15"/>
  <c r="AK47" i="15"/>
  <c r="O43" i="15"/>
  <c r="O14" i="15"/>
  <c r="O47" i="15"/>
  <c r="J45" i="15"/>
  <c r="AL45" i="15"/>
  <c r="AL14" i="15"/>
  <c r="AL47" i="15"/>
  <c r="AP43" i="15"/>
  <c r="AJ45" i="15"/>
  <c r="AJ14" i="15"/>
  <c r="AJ47" i="15"/>
  <c r="AK45" i="15"/>
  <c r="AA45" i="15"/>
  <c r="AA14" i="15"/>
  <c r="AA47" i="15"/>
  <c r="AB44" i="15"/>
  <c r="AE43" i="15"/>
  <c r="AE14" i="15"/>
  <c r="AE47" i="15"/>
  <c r="AQ45" i="15"/>
  <c r="Q45" i="15"/>
  <c r="Q14" i="15"/>
  <c r="Q47" i="15"/>
  <c r="P45" i="15"/>
  <c r="L14" i="15"/>
  <c r="L47" i="15"/>
  <c r="AN43" i="15"/>
  <c r="AN14" i="15"/>
  <c r="AN47" i="15"/>
  <c r="V45" i="15"/>
  <c r="V14" i="15"/>
  <c r="V47" i="15"/>
  <c r="N44" i="15"/>
  <c r="N14" i="15"/>
  <c r="N47" i="15"/>
  <c r="L44" i="15"/>
  <c r="AF44" i="15"/>
  <c r="AF14" i="15"/>
  <c r="AF47" i="15"/>
  <c r="O44" i="15"/>
  <c r="Z43" i="15"/>
  <c r="Z14" i="15"/>
  <c r="Z47" i="15"/>
  <c r="Y43" i="15"/>
  <c r="Y14" i="15"/>
  <c r="Y47" i="15"/>
  <c r="O45" i="15"/>
  <c r="K44" i="15"/>
  <c r="U45" i="15"/>
  <c r="M14" i="15"/>
  <c r="M47" i="15"/>
  <c r="AI43" i="15"/>
  <c r="AD43" i="15"/>
  <c r="AP45" i="15"/>
  <c r="AO14" i="15"/>
  <c r="AO47" i="15"/>
  <c r="AQ43" i="15"/>
  <c r="AP44" i="15"/>
  <c r="H45" i="15"/>
  <c r="H44" i="15"/>
  <c r="R44" i="15"/>
  <c r="S45" i="15"/>
  <c r="W45" i="15"/>
  <c r="T45" i="15"/>
  <c r="M42" i="15" l="1"/>
  <c r="AC42" i="15"/>
  <c r="AA42" i="15"/>
  <c r="AJ42" i="15"/>
  <c r="AF42" i="15"/>
  <c r="AO42" i="15"/>
  <c r="Q42" i="15"/>
  <c r="AM42" i="15"/>
  <c r="N42" i="15"/>
  <c r="AL42" i="15"/>
  <c r="T42" i="15"/>
  <c r="AK42" i="15"/>
  <c r="S42" i="15"/>
  <c r="X42" i="15"/>
  <c r="P42" i="15"/>
  <c r="AQ42" i="15"/>
  <c r="V42" i="15"/>
  <c r="U42" i="15"/>
  <c r="L42" i="15"/>
  <c r="AE42" i="15"/>
  <c r="O42" i="15"/>
  <c r="AN42" i="15"/>
  <c r="K42" i="15"/>
  <c r="Z42" i="15"/>
  <c r="AH42" i="15"/>
  <c r="W42" i="15"/>
  <c r="AI42" i="15"/>
  <c r="AB42" i="15"/>
  <c r="R42" i="15"/>
  <c r="AD42" i="15"/>
  <c r="Y42" i="15"/>
  <c r="AG42" i="15"/>
  <c r="AP42" i="15"/>
  <c r="S32" i="17" l="1"/>
  <c r="V32" i="17"/>
  <c r="J32" i="17"/>
  <c r="Z32" i="17"/>
  <c r="I20" i="17" l="1"/>
  <c r="AN27" i="17"/>
  <c r="AQ22" i="17"/>
  <c r="Y25" i="17"/>
  <c r="P16" i="17"/>
  <c r="I32" i="17"/>
  <c r="W29" i="17"/>
  <c r="AC28" i="17"/>
  <c r="AE31" i="17"/>
  <c r="Z28" i="17"/>
  <c r="U28" i="17"/>
  <c r="Q25" i="17"/>
  <c r="AB29" i="17"/>
  <c r="X17" i="17"/>
  <c r="P26" i="17"/>
  <c r="N29" i="17"/>
  <c r="AI29" i="17"/>
  <c r="L17" i="17"/>
  <c r="U27" i="17"/>
  <c r="AN20" i="17"/>
  <c r="AH33" i="17"/>
  <c r="AH11" i="17"/>
  <c r="Q21" i="17"/>
  <c r="K18" i="17"/>
  <c r="AF16" i="17"/>
  <c r="AA8" i="17"/>
  <c r="U11" i="17"/>
  <c r="S23" i="17"/>
  <c r="T23" i="17"/>
  <c r="AE30" i="17"/>
  <c r="AN15" i="17"/>
  <c r="AF23" i="17"/>
  <c r="K17" i="17"/>
  <c r="AA9" i="17"/>
  <c r="AK30" i="17"/>
  <c r="X36" i="17"/>
  <c r="I18" i="17"/>
  <c r="S26" i="17"/>
  <c r="R18" i="17"/>
  <c r="K32" i="17"/>
  <c r="AK23" i="17"/>
  <c r="AF18" i="17"/>
  <c r="AO12" i="17"/>
  <c r="AE14" i="17"/>
  <c r="Q22" i="17"/>
  <c r="P8" i="17"/>
  <c r="AL16" i="17"/>
  <c r="X10" i="17"/>
  <c r="AA31" i="17"/>
  <c r="Q28" i="17"/>
  <c r="AE33" i="17"/>
  <c r="V10" i="17"/>
  <c r="X25" i="17"/>
  <c r="AF20" i="17"/>
  <c r="V22" i="17"/>
  <c r="AD11" i="17"/>
  <c r="AE20" i="17"/>
  <c r="AM24" i="17"/>
  <c r="H26" i="17"/>
  <c r="AO32" i="17"/>
  <c r="AJ12" i="17"/>
  <c r="Y27" i="17"/>
  <c r="K26" i="17"/>
  <c r="P30" i="17"/>
  <c r="X14" i="17"/>
  <c r="AG18" i="17"/>
  <c r="AI21" i="17"/>
  <c r="V23" i="17"/>
  <c r="AG27" i="17"/>
  <c r="X8" i="17"/>
  <c r="L18" i="17"/>
  <c r="X15" i="17"/>
  <c r="AM26" i="17"/>
  <c r="AN21" i="17"/>
  <c r="AL26" i="17"/>
  <c r="AF11" i="17"/>
  <c r="Z15" i="17"/>
  <c r="M18" i="17"/>
  <c r="AC8" i="17"/>
  <c r="L29" i="17"/>
  <c r="AO16" i="17"/>
  <c r="O10" i="17"/>
  <c r="AM11" i="17"/>
  <c r="U8" i="17"/>
  <c r="AI7" i="17"/>
  <c r="AD12" i="17"/>
  <c r="O7" i="17"/>
  <c r="AJ33" i="17"/>
  <c r="M14" i="17"/>
  <c r="AB11" i="17"/>
  <c r="AL29" i="17"/>
  <c r="O32" i="17"/>
  <c r="Y24" i="17"/>
  <c r="AI26" i="17"/>
  <c r="T16" i="17"/>
  <c r="K20" i="17"/>
  <c r="AM22" i="17"/>
  <c r="X30" i="17"/>
  <c r="AK7" i="17"/>
  <c r="AB36" i="17"/>
  <c r="AO20" i="17"/>
  <c r="K29" i="17"/>
  <c r="AC9" i="17"/>
  <c r="M33" i="17"/>
  <c r="Q9" i="17"/>
  <c r="I9" i="17"/>
  <c r="AL28" i="17"/>
  <c r="U23" i="17"/>
  <c r="H32" i="17"/>
  <c r="N10" i="17"/>
  <c r="AL22" i="17"/>
  <c r="K23" i="17"/>
  <c r="I29" i="17"/>
  <c r="X12" i="17"/>
  <c r="AL17" i="17"/>
  <c r="AJ8" i="17"/>
  <c r="L23" i="17"/>
  <c r="Y36" i="17"/>
  <c r="AE15" i="17"/>
  <c r="AM23" i="17"/>
  <c r="AL18" i="17"/>
  <c r="AJ22" i="17"/>
  <c r="W17" i="17"/>
  <c r="AI24" i="17"/>
  <c r="L33" i="17"/>
  <c r="W10" i="17"/>
  <c r="AP22" i="17"/>
  <c r="K21" i="17"/>
  <c r="I10" i="17"/>
  <c r="AJ20" i="17"/>
  <c r="AC32" i="17"/>
  <c r="M29" i="17"/>
  <c r="AK29" i="17"/>
  <c r="AK26" i="17"/>
  <c r="AA27" i="17"/>
  <c r="X24" i="17"/>
  <c r="AO14" i="17"/>
  <c r="J20" i="17"/>
  <c r="AC29" i="17"/>
  <c r="P14" i="17"/>
  <c r="J27" i="17"/>
  <c r="T25" i="17"/>
  <c r="K7" i="17"/>
  <c r="AQ32" i="17"/>
  <c r="AK11" i="17"/>
  <c r="J14" i="17"/>
  <c r="AO11" i="17"/>
  <c r="AO17" i="17"/>
  <c r="AH23" i="17"/>
  <c r="AQ7" i="17"/>
  <c r="AQ16" i="17"/>
  <c r="AG23" i="17"/>
  <c r="AB32" i="17"/>
  <c r="AI25" i="17"/>
  <c r="AL15" i="17"/>
  <c r="AQ36" i="17"/>
  <c r="Z21" i="17"/>
  <c r="S22" i="17"/>
  <c r="Y26" i="17"/>
  <c r="T31" i="17"/>
  <c r="AQ10" i="17"/>
  <c r="R23" i="17"/>
  <c r="Y15" i="17"/>
  <c r="R9" i="17"/>
  <c r="H11" i="17"/>
  <c r="AL10" i="17"/>
  <c r="AN18" i="17"/>
  <c r="Y29" i="17"/>
  <c r="H20" i="17"/>
  <c r="AC31" i="17"/>
  <c r="M15" i="17"/>
  <c r="AF26" i="17"/>
  <c r="AK27" i="17"/>
  <c r="L10" i="17"/>
  <c r="Y17" i="17"/>
  <c r="AN16" i="17"/>
  <c r="U9" i="17"/>
  <c r="N30" i="17"/>
  <c r="AP26" i="17"/>
  <c r="J31" i="17"/>
  <c r="AE24" i="17"/>
  <c r="W11" i="17"/>
  <c r="AB8" i="17"/>
  <c r="U18" i="17"/>
  <c r="Q8" i="17"/>
  <c r="V28" i="17"/>
  <c r="I25" i="17"/>
  <c r="AE36" i="17"/>
  <c r="AC36" i="17"/>
  <c r="AH30" i="17"/>
  <c r="K25" i="17"/>
  <c r="K15" i="17"/>
  <c r="AM16" i="17"/>
  <c r="AF25" i="17"/>
  <c r="L21" i="17"/>
  <c r="AN14" i="17"/>
  <c r="P24" i="17"/>
  <c r="P18" i="17"/>
  <c r="T22" i="17"/>
  <c r="Z31" i="17"/>
  <c r="AN8" i="17"/>
  <c r="S24" i="17"/>
  <c r="S30" i="17"/>
  <c r="W15" i="17"/>
  <c r="AL20" i="17"/>
  <c r="Y32" i="17"/>
  <c r="AG21" i="17"/>
  <c r="AK18" i="17"/>
  <c r="AQ17" i="17"/>
  <c r="AN36" i="17"/>
  <c r="AO18" i="17"/>
  <c r="AQ31" i="17"/>
  <c r="S18" i="17"/>
  <c r="Z12" i="17"/>
  <c r="X9" i="17"/>
  <c r="AI11" i="17"/>
  <c r="Q7" i="17"/>
  <c r="AH15" i="17"/>
  <c r="AQ20" i="17"/>
  <c r="N9" i="17"/>
  <c r="I30" i="17"/>
  <c r="AD23" i="17"/>
  <c r="AM25" i="17"/>
  <c r="AG33" i="17"/>
  <c r="W32" i="17"/>
  <c r="Z18" i="17"/>
  <c r="I12" i="17"/>
  <c r="AJ16" i="17"/>
  <c r="AA14" i="17"/>
  <c r="AB30" i="17"/>
  <c r="AP14" i="17"/>
  <c r="AB25" i="17"/>
  <c r="H14" i="17"/>
  <c r="AL32" i="17"/>
  <c r="AE22" i="17"/>
  <c r="L25" i="17"/>
  <c r="AB27" i="17"/>
  <c r="AN26" i="17"/>
  <c r="I27" i="17"/>
  <c r="J12" i="17"/>
  <c r="P7" i="17"/>
  <c r="S14" i="17"/>
  <c r="T18" i="17"/>
  <c r="S31" i="17"/>
  <c r="AF8" i="17"/>
  <c r="AA7" i="17"/>
  <c r="Z33" i="17"/>
  <c r="AD30" i="17"/>
  <c r="Z11" i="17"/>
  <c r="AG36" i="17"/>
  <c r="AJ25" i="17"/>
  <c r="M25" i="17"/>
  <c r="AN23" i="17"/>
  <c r="H12" i="17"/>
  <c r="AL21" i="17"/>
  <c r="O9" i="17"/>
  <c r="AJ11" i="17"/>
  <c r="Z16" i="17"/>
  <c r="Y21" i="17"/>
  <c r="K36" i="17"/>
  <c r="V18" i="17"/>
  <c r="M24" i="17"/>
  <c r="P36" i="17"/>
  <c r="T7" i="17"/>
  <c r="AN31" i="17"/>
  <c r="H33" i="17"/>
  <c r="O28" i="17"/>
  <c r="M23" i="17"/>
  <c r="AP20" i="17"/>
  <c r="R7" i="17"/>
  <c r="K16" i="17"/>
  <c r="S10" i="17"/>
  <c r="AK24" i="17"/>
  <c r="X28" i="17"/>
  <c r="AP12" i="17"/>
  <c r="W30" i="17"/>
  <c r="Z25" i="17"/>
  <c r="S17" i="17"/>
  <c r="S21" i="17"/>
  <c r="AA26" i="17"/>
  <c r="AB26" i="17"/>
  <c r="AK8" i="17"/>
  <c r="T29" i="17"/>
  <c r="V29" i="17"/>
  <c r="X23" i="17"/>
  <c r="AB17" i="17"/>
  <c r="V17" i="17"/>
  <c r="AP15" i="17"/>
  <c r="AM14" i="17"/>
  <c r="AI30" i="17"/>
  <c r="Q29" i="17"/>
  <c r="AG30" i="17"/>
  <c r="AM10" i="17"/>
  <c r="L30" i="17"/>
  <c r="AM20" i="17"/>
  <c r="AD28" i="17"/>
  <c r="H30" i="17"/>
  <c r="AA22" i="17"/>
  <c r="AP10" i="17"/>
  <c r="N23" i="17"/>
  <c r="AI10" i="17"/>
  <c r="AC33" i="17"/>
  <c r="AA17" i="17"/>
  <c r="Y7" i="17"/>
  <c r="U25" i="17"/>
  <c r="AO10" i="17"/>
  <c r="AE18" i="17"/>
  <c r="R15" i="17"/>
  <c r="H31" i="17"/>
  <c r="AB33" i="17"/>
  <c r="AN9" i="17"/>
  <c r="AQ9" i="17"/>
  <c r="P9" i="17"/>
  <c r="AB12" i="17"/>
  <c r="R27" i="17"/>
  <c r="Y10" i="17"/>
  <c r="U15" i="17"/>
  <c r="V14" i="17"/>
  <c r="AN33" i="17"/>
  <c r="AL30" i="17"/>
  <c r="L32" i="17"/>
  <c r="AM29" i="17"/>
  <c r="AJ31" i="17"/>
  <c r="J9" i="17"/>
  <c r="M12" i="17"/>
  <c r="P33" i="17"/>
  <c r="AL36" i="17"/>
  <c r="AM15" i="17"/>
  <c r="I21" i="17"/>
  <c r="Z23" i="17"/>
  <c r="R22" i="17"/>
  <c r="AC12" i="17"/>
  <c r="V7" i="17"/>
  <c r="J22" i="17"/>
  <c r="AA12" i="17"/>
  <c r="O21" i="17"/>
  <c r="AF29" i="17"/>
  <c r="AQ27" i="17"/>
  <c r="I7" i="17"/>
  <c r="AO31" i="17"/>
  <c r="U32" i="17"/>
  <c r="X7" i="17"/>
  <c r="AI18" i="17"/>
  <c r="AO15" i="17"/>
  <c r="I28" i="17"/>
  <c r="AE16" i="17"/>
  <c r="V31" i="17"/>
  <c r="H18" i="17"/>
  <c r="AP7" i="17"/>
  <c r="O14" i="17"/>
  <c r="AP24" i="17"/>
  <c r="AK15" i="17"/>
  <c r="H29" i="17"/>
  <c r="AK12" i="17"/>
  <c r="AE25" i="17"/>
  <c r="AJ18" i="17"/>
  <c r="AO8" i="17"/>
  <c r="AD22" i="17"/>
  <c r="P21" i="17"/>
  <c r="K28" i="17"/>
  <c r="AG25" i="17"/>
  <c r="AH22" i="17"/>
  <c r="AD24" i="17"/>
  <c r="H9" i="17"/>
  <c r="W36" i="17"/>
  <c r="AK21" i="17"/>
  <c r="O30" i="17"/>
  <c r="T27" i="17"/>
  <c r="N14" i="17"/>
  <c r="AM21" i="17"/>
  <c r="K30" i="17"/>
  <c r="O8" i="17"/>
  <c r="W8" i="17"/>
  <c r="AH27" i="17"/>
  <c r="AL14" i="17"/>
  <c r="K8" i="17"/>
  <c r="AO29" i="17"/>
  <c r="R20" i="17"/>
  <c r="N25" i="17"/>
  <c r="AG7" i="17"/>
  <c r="N21" i="17"/>
  <c r="AO25" i="17"/>
  <c r="N8" i="17"/>
  <c r="AL33" i="17"/>
  <c r="I17" i="17"/>
  <c r="AD27" i="17"/>
  <c r="U24" i="17"/>
  <c r="P23" i="17"/>
  <c r="Y12" i="17"/>
  <c r="U31" i="17"/>
  <c r="W23" i="17"/>
  <c r="Z9" i="17"/>
  <c r="X11" i="17"/>
  <c r="AC21" i="17"/>
  <c r="AA15" i="17"/>
  <c r="T9" i="17"/>
  <c r="AG16" i="17"/>
  <c r="AP18" i="17"/>
  <c r="R32" i="17"/>
  <c r="AQ14" i="17"/>
  <c r="AG20" i="17"/>
  <c r="AK36" i="17"/>
  <c r="AF28" i="17"/>
  <c r="AN25" i="17"/>
  <c r="P20" i="17"/>
  <c r="Y20" i="17"/>
  <c r="Q36" i="17"/>
  <c r="Y11" i="17"/>
  <c r="N7" i="17"/>
  <c r="AJ14" i="17"/>
  <c r="W14" i="17"/>
  <c r="X20" i="17"/>
  <c r="AE8" i="17"/>
  <c r="I31" i="17"/>
  <c r="T26" i="17"/>
  <c r="AJ28" i="17"/>
  <c r="V8" i="17"/>
  <c r="V25" i="17"/>
  <c r="AJ29" i="17"/>
  <c r="AJ10" i="17"/>
  <c r="AD21" i="17"/>
  <c r="AN11" i="17"/>
  <c r="Q14" i="17"/>
  <c r="AE32" i="17"/>
  <c r="M30" i="17"/>
  <c r="U36" i="17"/>
  <c r="Z22" i="17"/>
  <c r="W7" i="17"/>
  <c r="N11" i="17"/>
  <c r="AH32" i="17"/>
  <c r="AE28" i="17"/>
  <c r="AG24" i="17"/>
  <c r="I15" i="17"/>
  <c r="O26" i="17"/>
  <c r="R16" i="17"/>
  <c r="V16" i="17"/>
  <c r="AB28" i="17"/>
  <c r="AA18" i="17"/>
  <c r="O36" i="17"/>
  <c r="AN22" i="17"/>
  <c r="AO28" i="17"/>
  <c r="AG10" i="17"/>
  <c r="Y9" i="17"/>
  <c r="AH29" i="17"/>
  <c r="AH14" i="17"/>
  <c r="AA20" i="17"/>
  <c r="T17" i="17"/>
  <c r="S27" i="17"/>
  <c r="AP11" i="17"/>
  <c r="L31" i="17"/>
  <c r="I22" i="17"/>
  <c r="U7" i="17"/>
  <c r="AJ32" i="17"/>
  <c r="K22" i="17"/>
  <c r="T32" i="17"/>
  <c r="AG32" i="17"/>
  <c r="N18" i="17"/>
  <c r="P12" i="17"/>
  <c r="M20" i="17"/>
  <c r="T12" i="17"/>
  <c r="AM9" i="17"/>
  <c r="AI12" i="17"/>
  <c r="O17" i="17"/>
  <c r="X27" i="17"/>
  <c r="K10" i="17"/>
  <c r="O33" i="17"/>
  <c r="J36" i="17"/>
  <c r="W28" i="17"/>
  <c r="AO26" i="17"/>
  <c r="X31" i="17"/>
  <c r="R29" i="17"/>
  <c r="N22" i="17"/>
  <c r="M16" i="17"/>
  <c r="Y22" i="17"/>
  <c r="AA32" i="17"/>
  <c r="O11" i="17"/>
  <c r="O24" i="17"/>
  <c r="W25" i="17"/>
  <c r="L36" i="17"/>
  <c r="U21" i="17"/>
  <c r="AC7" i="17"/>
  <c r="X29" i="17"/>
  <c r="L8" i="17"/>
  <c r="Q10" i="17"/>
  <c r="AF10" i="17"/>
  <c r="AO27" i="17"/>
  <c r="AE21" i="17"/>
  <c r="Q18" i="17"/>
  <c r="AM27" i="17"/>
  <c r="AD36" i="17"/>
  <c r="H27" i="17"/>
  <c r="K11" i="17"/>
  <c r="T11" i="17"/>
  <c r="O16" i="17"/>
  <c r="M32" i="17"/>
  <c r="M22" i="17"/>
  <c r="T24" i="17"/>
  <c r="AJ23" i="17"/>
  <c r="J26" i="17"/>
  <c r="AJ9" i="17"/>
  <c r="AA21" i="17"/>
  <c r="AJ30" i="17"/>
  <c r="AD17" i="17"/>
  <c r="T30" i="17"/>
  <c r="Z27" i="17"/>
  <c r="Z30" i="17"/>
  <c r="O31" i="17"/>
  <c r="AP21" i="17"/>
  <c r="T8" i="17"/>
  <c r="AO22" i="17"/>
  <c r="AL12" i="17"/>
  <c r="H15" i="17"/>
  <c r="Z7" i="17"/>
  <c r="R26" i="17"/>
  <c r="AJ15" i="17"/>
  <c r="R8" i="17"/>
  <c r="AH7" i="17"/>
  <c r="L26" i="17"/>
  <c r="AC11" i="17"/>
  <c r="AI9" i="17"/>
  <c r="AM33" i="17"/>
  <c r="O15" i="17"/>
  <c r="R36" i="17"/>
  <c r="AG17" i="17"/>
  <c r="M11" i="17"/>
  <c r="AP31" i="17"/>
  <c r="AB21" i="17"/>
  <c r="AP30" i="17"/>
  <c r="N33" i="17"/>
  <c r="Q17" i="17"/>
  <c r="AL8" i="17"/>
  <c r="U22" i="17"/>
  <c r="K9" i="17"/>
  <c r="AG28" i="17"/>
  <c r="R10" i="17"/>
  <c r="AC25" i="17"/>
  <c r="AH25" i="17"/>
  <c r="AC24" i="17"/>
  <c r="AF9" i="17"/>
  <c r="T28" i="17"/>
  <c r="AE17" i="17"/>
  <c r="R30" i="17"/>
  <c r="AI16" i="17"/>
  <c r="AD25" i="17"/>
  <c r="W33" i="17"/>
  <c r="AG12" i="17"/>
  <c r="AP9" i="17"/>
  <c r="X22" i="17"/>
  <c r="AC23" i="17"/>
  <c r="AI14" i="17"/>
  <c r="AI33" i="17"/>
  <c r="AO30" i="17"/>
  <c r="W9" i="17"/>
  <c r="R11" i="17"/>
  <c r="AD33" i="17"/>
  <c r="AD20" i="17"/>
  <c r="V20" i="17"/>
  <c r="AQ33" i="17"/>
  <c r="M36" i="17"/>
  <c r="AH17" i="17"/>
  <c r="J15" i="17"/>
  <c r="AM36" i="17"/>
  <c r="O29" i="17"/>
  <c r="AI20" i="17"/>
  <c r="J8" i="17"/>
  <c r="AH21" i="17"/>
  <c r="L9" i="17"/>
  <c r="AL11" i="17"/>
  <c r="AH24" i="17"/>
  <c r="AL25" i="17"/>
  <c r="AD18" i="17"/>
  <c r="V12" i="17"/>
  <c r="M7" i="17"/>
  <c r="AF14" i="17"/>
  <c r="P32" i="17"/>
  <c r="N26" i="17"/>
  <c r="V11" i="17"/>
  <c r="V33" i="17"/>
  <c r="AD10" i="17"/>
  <c r="AD32" i="17"/>
  <c r="AC16" i="17"/>
  <c r="AQ12" i="17"/>
  <c r="Y18" i="17"/>
  <c r="X18" i="17"/>
  <c r="S7" i="17"/>
  <c r="AH12" i="17"/>
  <c r="AF31" i="17"/>
  <c r="H8" i="17"/>
  <c r="AI27" i="17"/>
  <c r="M9" i="17"/>
  <c r="AB24" i="17"/>
  <c r="N31" i="17"/>
  <c r="AN17" i="17"/>
  <c r="AP17" i="17"/>
  <c r="O12" i="17"/>
  <c r="AA11" i="17"/>
  <c r="V24" i="17"/>
  <c r="AM7" i="17"/>
  <c r="L15" i="17"/>
  <c r="T36" i="17"/>
  <c r="AO7" i="17"/>
  <c r="AN24" i="17"/>
  <c r="AQ23" i="17"/>
  <c r="V30" i="17"/>
  <c r="AA36" i="17"/>
  <c r="AA28" i="17"/>
  <c r="AQ15" i="17"/>
  <c r="Q27" i="17"/>
  <c r="J33" i="17"/>
  <c r="P25" i="17"/>
  <c r="Y23" i="17"/>
  <c r="AF30" i="17"/>
  <c r="H36" i="17"/>
  <c r="AF33" i="17"/>
  <c r="AI15" i="17"/>
  <c r="AC30" i="17"/>
  <c r="N27" i="17"/>
  <c r="R31" i="17"/>
  <c r="Y33" i="17"/>
  <c r="AN30" i="17"/>
  <c r="I36" i="17"/>
  <c r="P11" i="17"/>
  <c r="J23" i="17"/>
  <c r="P28" i="17"/>
  <c r="N28" i="17"/>
  <c r="S9" i="17"/>
  <c r="AJ21" i="17"/>
  <c r="I24" i="17"/>
  <c r="L11" i="17"/>
  <c r="Q26" i="17"/>
  <c r="AQ28" i="17"/>
  <c r="R12" i="17"/>
  <c r="AP23" i="17"/>
  <c r="AD9" i="17"/>
  <c r="AL31" i="17"/>
  <c r="N20" i="17"/>
  <c r="AP36" i="17"/>
  <c r="L14" i="17"/>
  <c r="AL27" i="17"/>
  <c r="W22" i="17"/>
  <c r="T33" i="17"/>
  <c r="S11" i="17"/>
  <c r="S15" i="17"/>
  <c r="U30" i="17"/>
  <c r="H21" i="17"/>
  <c r="X32" i="17"/>
  <c r="AA29" i="17"/>
  <c r="Z14" i="17"/>
  <c r="W16" i="17"/>
  <c r="X21" i="17"/>
  <c r="W20" i="17"/>
  <c r="AN28" i="17"/>
  <c r="N17" i="17"/>
  <c r="AI23" i="17"/>
  <c r="V15" i="17"/>
  <c r="H28" i="17"/>
  <c r="Q12" i="17"/>
  <c r="AG8" i="17"/>
  <c r="V9" i="17"/>
  <c r="Z20" i="17"/>
  <c r="AM28" i="17"/>
  <c r="AF21" i="17"/>
  <c r="J17" i="17"/>
  <c r="J29" i="17"/>
  <c r="N36" i="17"/>
  <c r="AI32" i="17"/>
  <c r="AL23" i="17"/>
  <c r="H23" i="17"/>
  <c r="AP28" i="17"/>
  <c r="S25" i="17"/>
  <c r="U33" i="17"/>
  <c r="AE29" i="17"/>
  <c r="AF32" i="17"/>
  <c r="AE26" i="17"/>
  <c r="AK16" i="17"/>
  <c r="AF15" i="17"/>
  <c r="U16" i="17"/>
  <c r="AE7" i="17"/>
  <c r="Y30" i="17"/>
  <c r="N32" i="17"/>
  <c r="P17" i="17"/>
  <c r="P27" i="17"/>
  <c r="L24" i="17"/>
  <c r="U26" i="17"/>
  <c r="R28" i="17"/>
  <c r="M8" i="17"/>
  <c r="AO24" i="17"/>
  <c r="K24" i="17"/>
  <c r="Y16" i="17"/>
  <c r="Y14" i="17"/>
  <c r="AO9" i="17"/>
  <c r="T21" i="17"/>
  <c r="I14" i="17"/>
  <c r="I23" i="17"/>
  <c r="AK32" i="17"/>
  <c r="AC10" i="17"/>
  <c r="AI8" i="17"/>
  <c r="AI36" i="17"/>
  <c r="AL9" i="17"/>
  <c r="AI17" i="17"/>
  <c r="P10" i="17"/>
  <c r="AI22" i="17"/>
  <c r="AM30" i="17"/>
  <c r="S12" i="17"/>
  <c r="AB15" i="17"/>
  <c r="Z8" i="17"/>
  <c r="AA10" i="17"/>
  <c r="AF36" i="17"/>
  <c r="AA24" i="17"/>
  <c r="M31" i="17"/>
  <c r="AK14" i="17"/>
  <c r="AI31" i="17"/>
  <c r="AP33" i="17"/>
  <c r="AC15" i="17"/>
  <c r="AQ18" i="17"/>
  <c r="Q32" i="17"/>
  <c r="AD14" i="17"/>
  <c r="W18" i="17"/>
  <c r="W24" i="17"/>
  <c r="Z17" i="17"/>
  <c r="P22" i="17"/>
  <c r="R14" i="17"/>
  <c r="H10" i="17"/>
  <c r="AB20" i="17"/>
  <c r="AM18" i="17"/>
  <c r="AA30" i="17"/>
  <c r="AP8" i="17"/>
  <c r="V36" i="17"/>
  <c r="W31" i="17"/>
  <c r="W27" i="17"/>
  <c r="J11" i="17"/>
  <c r="AD16" i="17"/>
  <c r="AK31" i="17"/>
  <c r="AK33" i="17"/>
  <c r="Z26" i="17"/>
  <c r="AK22" i="17"/>
  <c r="R25" i="17"/>
  <c r="AB14" i="17"/>
  <c r="U17" i="17"/>
  <c r="S16" i="17"/>
  <c r="AH16" i="17"/>
  <c r="M26" i="17"/>
  <c r="P15" i="17"/>
  <c r="I16" i="17"/>
  <c r="AG14" i="17"/>
  <c r="AO23" i="17"/>
  <c r="Y8" i="17"/>
  <c r="U10" i="17"/>
  <c r="H7" i="17"/>
  <c r="AA23" i="17"/>
  <c r="N16" i="17"/>
  <c r="J7" i="17"/>
  <c r="AK10" i="17"/>
  <c r="AC22" i="17"/>
  <c r="H16" i="17"/>
  <c r="Q16" i="17"/>
  <c r="AQ24" i="17"/>
  <c r="M10" i="17"/>
  <c r="AA16" i="17"/>
  <c r="AD29" i="17"/>
  <c r="W12" i="17"/>
  <c r="AF12" i="17"/>
  <c r="S36" i="17"/>
  <c r="J25" i="17"/>
  <c r="AN29" i="17"/>
  <c r="AB31" i="17"/>
  <c r="AG15" i="17"/>
  <c r="AE9" i="17"/>
  <c r="AQ26" i="17"/>
  <c r="J30" i="17"/>
  <c r="L16" i="17"/>
  <c r="J18" i="17"/>
  <c r="R24" i="17"/>
  <c r="AH20" i="17"/>
  <c r="AC27" i="17"/>
  <c r="Y28" i="17"/>
  <c r="AJ27" i="17"/>
  <c r="AE11" i="17"/>
  <c r="AN7" i="17"/>
  <c r="AH10" i="17"/>
  <c r="AL7" i="17"/>
  <c r="X33" i="17"/>
  <c r="AM12" i="17"/>
  <c r="M21" i="17"/>
  <c r="AA25" i="17"/>
  <c r="S8" i="17"/>
  <c r="M17" i="17"/>
  <c r="O20" i="17"/>
  <c r="L22" i="17"/>
  <c r="K31" i="17"/>
  <c r="AB23" i="17"/>
  <c r="AQ8" i="17"/>
  <c r="AH28" i="17"/>
  <c r="AM8" i="17"/>
  <c r="K33" i="17"/>
  <c r="AG9" i="17"/>
  <c r="AF17" i="17"/>
  <c r="AB9" i="17"/>
  <c r="H22" i="17"/>
  <c r="AD7" i="17"/>
  <c r="U29" i="17"/>
  <c r="N15" i="17"/>
  <c r="S28" i="17"/>
  <c r="AK9" i="17"/>
  <c r="AB22" i="17"/>
  <c r="AF24" i="17"/>
  <c r="Q11" i="17"/>
  <c r="AD26" i="17"/>
  <c r="AQ25" i="17"/>
  <c r="Q20" i="17"/>
  <c r="AQ29" i="17"/>
  <c r="Z24" i="17"/>
  <c r="J24" i="17"/>
  <c r="Q33" i="17"/>
  <c r="M28" i="17"/>
  <c r="AJ36" i="17"/>
  <c r="W26" i="17"/>
  <c r="N24" i="17"/>
  <c r="P31" i="17"/>
  <c r="H17" i="17"/>
  <c r="I26" i="17"/>
  <c r="U12" i="17"/>
  <c r="S20" i="17"/>
  <c r="AO36" i="17"/>
  <c r="AN12" i="17"/>
  <c r="U20" i="17"/>
  <c r="Y31" i="17"/>
  <c r="AK28" i="17"/>
  <c r="AP32" i="17"/>
  <c r="AH18" i="17"/>
  <c r="AF22" i="17"/>
  <c r="M27" i="17"/>
  <c r="AM31" i="17"/>
  <c r="O27" i="17"/>
  <c r="P29" i="17"/>
  <c r="T14" i="17"/>
  <c r="AH36" i="17"/>
  <c r="AC17" i="17"/>
  <c r="R17" i="17"/>
  <c r="J10" i="17"/>
  <c r="J21" i="17"/>
  <c r="AD8" i="17"/>
  <c r="AO33" i="17"/>
  <c r="J16" i="17"/>
  <c r="AM32" i="17"/>
  <c r="W21" i="17"/>
  <c r="AG29" i="17"/>
  <c r="AE10" i="17"/>
  <c r="AP29" i="17"/>
  <c r="AB7" i="17"/>
  <c r="AD31" i="17"/>
  <c r="AJ26" i="17"/>
  <c r="AG11" i="17"/>
  <c r="AJ24" i="17"/>
  <c r="L20" i="17"/>
  <c r="AA33" i="17"/>
  <c r="K12" i="17"/>
  <c r="AO21" i="17"/>
  <c r="T10" i="17"/>
  <c r="AP25" i="17"/>
  <c r="AK25" i="17"/>
  <c r="AC26" i="17"/>
  <c r="Z10" i="17"/>
  <c r="AH9" i="17"/>
  <c r="R21" i="17"/>
  <c r="AQ30" i="17"/>
  <c r="H24" i="17"/>
  <c r="AC18" i="17"/>
  <c r="AG26" i="17"/>
  <c r="AB16" i="17"/>
  <c r="X26" i="17"/>
  <c r="AK17" i="17"/>
  <c r="K14" i="17"/>
  <c r="AG22" i="17"/>
  <c r="R33" i="17"/>
  <c r="AP27" i="17"/>
  <c r="AG31" i="17"/>
  <c r="L28" i="17"/>
  <c r="AN10" i="17"/>
  <c r="Q24" i="17"/>
  <c r="AH26" i="17"/>
  <c r="AD15" i="17"/>
  <c r="AJ17" i="17"/>
  <c r="O18" i="17"/>
  <c r="AL24" i="17"/>
  <c r="O25" i="17"/>
  <c r="Z36" i="17"/>
  <c r="X16" i="17"/>
  <c r="AN32" i="17"/>
  <c r="AP16" i="17"/>
  <c r="AQ21" i="17"/>
  <c r="Q23" i="17"/>
  <c r="Q30" i="17"/>
  <c r="AH31" i="17"/>
  <c r="N12" i="17"/>
  <c r="I11" i="17"/>
  <c r="AM17" i="17"/>
  <c r="O23" i="17"/>
  <c r="AB10" i="17"/>
  <c r="S33" i="17"/>
  <c r="AC20" i="17"/>
  <c r="AE27" i="17"/>
  <c r="Q15" i="17"/>
  <c r="T20" i="17"/>
  <c r="AQ11" i="17"/>
  <c r="L27" i="17"/>
  <c r="AF7" i="17"/>
  <c r="V26" i="17"/>
  <c r="AC14" i="17"/>
  <c r="I33" i="17"/>
  <c r="O22" i="17"/>
  <c r="I8" i="17"/>
  <c r="AK20" i="17"/>
  <c r="AI28" i="17"/>
  <c r="U14" i="17"/>
  <c r="S29" i="17"/>
  <c r="AF27" i="17"/>
  <c r="Z29" i="17"/>
  <c r="T15" i="17"/>
  <c r="J28" i="17"/>
  <c r="H25" i="17"/>
  <c r="AE12" i="17"/>
  <c r="L7" i="17"/>
  <c r="AE23" i="17"/>
  <c r="V27" i="17"/>
  <c r="V21" i="17"/>
  <c r="K27" i="17"/>
  <c r="L12" i="17"/>
  <c r="AJ7" i="17"/>
  <c r="AB18" i="17"/>
  <c r="AH8" i="17"/>
  <c r="W19" i="17" l="1"/>
  <c r="AJ6" i="17"/>
  <c r="AG19" i="17"/>
  <c r="AP6" i="17"/>
  <c r="AB27" i="15"/>
  <c r="U6" i="17"/>
  <c r="AC19" i="17"/>
  <c r="AB6" i="17"/>
  <c r="AQ13" i="17"/>
  <c r="AL19" i="17"/>
  <c r="J6" i="17"/>
  <c r="S19" i="17"/>
  <c r="AH19" i="17"/>
  <c r="I6" i="17"/>
  <c r="AL27" i="15"/>
  <c r="AQ6" i="17"/>
  <c r="AF19" i="17"/>
  <c r="AL6" i="17"/>
  <c r="S27" i="15"/>
  <c r="T27" i="15"/>
  <c r="Z6" i="17"/>
  <c r="O27" i="15"/>
  <c r="V13" i="17"/>
  <c r="AJ19" i="17"/>
  <c r="AK6" i="17"/>
  <c r="I13" i="17"/>
  <c r="R27" i="15"/>
  <c r="P13" i="17"/>
  <c r="R13" i="17"/>
  <c r="Z19" i="17"/>
  <c r="M27" i="15"/>
  <c r="W6" i="17"/>
  <c r="R19" i="17"/>
  <c r="AM19" i="17"/>
  <c r="AA6" i="17"/>
  <c r="AK13" i="17"/>
  <c r="L13" i="17"/>
  <c r="Y27" i="15"/>
  <c r="AF6" i="17"/>
  <c r="AD27" i="15"/>
  <c r="Y6" i="17"/>
  <c r="P27" i="15"/>
  <c r="AN19" i="17"/>
  <c r="H19" i="17"/>
  <c r="AM6" i="17"/>
  <c r="AI27" i="15"/>
  <c r="H13" i="17"/>
  <c r="AC27" i="15"/>
  <c r="J13" i="17"/>
  <c r="AM27" i="15"/>
  <c r="AC13" i="17"/>
  <c r="AI13" i="17"/>
  <c r="Q27" i="15"/>
  <c r="AD6" i="17"/>
  <c r="AN6" i="17"/>
  <c r="Y13" i="17"/>
  <c r="AP27" i="15"/>
  <c r="M19" i="17"/>
  <c r="P19" i="17"/>
  <c r="AQ27" i="15"/>
  <c r="J19" i="17"/>
  <c r="S13" i="17"/>
  <c r="K19" i="17"/>
  <c r="M13" i="17"/>
  <c r="U27" i="15"/>
  <c r="AE6" i="17"/>
  <c r="AD13" i="17"/>
  <c r="N19" i="17"/>
  <c r="V19" i="17"/>
  <c r="AA19" i="17"/>
  <c r="Q13" i="17"/>
  <c r="Y19" i="17"/>
  <c r="R6" i="17"/>
  <c r="AF27" i="15"/>
  <c r="AL13" i="17"/>
  <c r="V6" i="17"/>
  <c r="AP13" i="17"/>
  <c r="AN27" i="15"/>
  <c r="AE27" i="15"/>
  <c r="AO13" i="17"/>
  <c r="Q19" i="17"/>
  <c r="L19" i="17"/>
  <c r="U13" i="17"/>
  <c r="AH27" i="15"/>
  <c r="O19" i="17"/>
  <c r="AA27" i="15"/>
  <c r="X19" i="17"/>
  <c r="AE19" i="17"/>
  <c r="T19" i="17"/>
  <c r="AI19" i="17"/>
  <c r="AD19" i="17"/>
  <c r="L27" i="15"/>
  <c r="AH13" i="17"/>
  <c r="P6" i="17"/>
  <c r="K13" i="17"/>
  <c r="T6" i="17"/>
  <c r="N27" i="15"/>
  <c r="I27" i="15"/>
  <c r="O6" i="17"/>
  <c r="H6" i="17"/>
  <c r="Z27" i="15"/>
  <c r="V27" i="15"/>
  <c r="L6" i="17"/>
  <c r="T13" i="17"/>
  <c r="H27" i="15"/>
  <c r="AF13" i="17"/>
  <c r="J27" i="15"/>
  <c r="W13" i="17"/>
  <c r="W27" i="15"/>
  <c r="X6" i="17"/>
  <c r="AP19" i="17"/>
  <c r="K27" i="15"/>
  <c r="AG27" i="15"/>
  <c r="AQ19" i="17"/>
  <c r="N13" i="17"/>
  <c r="Z13" i="17"/>
  <c r="AK19" i="17"/>
  <c r="AJ27" i="15"/>
  <c r="X27" i="15"/>
  <c r="AB13" i="17"/>
  <c r="AH6" i="17"/>
  <c r="AM13" i="17"/>
  <c r="AJ13" i="17"/>
  <c r="AK27" i="15"/>
  <c r="K6" i="17"/>
  <c r="AC6" i="17"/>
  <c r="U19" i="17"/>
  <c r="S6" i="17"/>
  <c r="AG13" i="17"/>
  <c r="M6" i="17"/>
  <c r="O13" i="17"/>
  <c r="AN13" i="17"/>
  <c r="AO19" i="17"/>
  <c r="Q6" i="17"/>
  <c r="I19" i="17"/>
  <c r="N6" i="17"/>
  <c r="AO27" i="15"/>
  <c r="AG6" i="17"/>
  <c r="AA13" i="17"/>
  <c r="AI6" i="17"/>
  <c r="AB19" i="17"/>
  <c r="AO6" i="17"/>
  <c r="X13" i="17"/>
  <c r="AE13" i="17"/>
  <c r="M5" i="17" l="1"/>
  <c r="O51" i="15"/>
  <c r="O23" i="15"/>
  <c r="U24" i="15"/>
  <c r="V5" i="17"/>
  <c r="Y5" i="17"/>
  <c r="AH25" i="15"/>
  <c r="U5" i="17"/>
  <c r="H5" i="17"/>
  <c r="Y52" i="15"/>
  <c r="Y23" i="15"/>
  <c r="AI23" i="15"/>
  <c r="AI52" i="15"/>
  <c r="N23" i="15"/>
  <c r="N51" i="15"/>
  <c r="K5" i="17"/>
  <c r="O5" i="17"/>
  <c r="U23" i="15"/>
  <c r="U51" i="15"/>
  <c r="AH24" i="15"/>
  <c r="I24" i="15"/>
  <c r="AI5" i="17"/>
  <c r="N24" i="15"/>
  <c r="K51" i="15"/>
  <c r="K23" i="15"/>
  <c r="V23" i="15"/>
  <c r="V51" i="15"/>
  <c r="P24" i="15"/>
  <c r="AK51" i="15"/>
  <c r="AK23" i="15"/>
  <c r="N5" i="17"/>
  <c r="L25" i="15"/>
  <c r="P25" i="15"/>
  <c r="AA5" i="17"/>
  <c r="M25" i="15"/>
  <c r="M24" i="15"/>
  <c r="M52" i="15"/>
  <c r="AA24" i="15"/>
  <c r="S5" i="17"/>
  <c r="AJ24" i="15"/>
  <c r="AI24" i="15"/>
  <c r="V24" i="15"/>
  <c r="J5" i="17"/>
  <c r="M23" i="15"/>
  <c r="AA25" i="15"/>
  <c r="AA53" i="15"/>
  <c r="S23" i="15"/>
  <c r="T24" i="15"/>
  <c r="AC24" i="15"/>
  <c r="R25" i="15"/>
  <c r="AG24" i="15"/>
  <c r="AM25" i="15"/>
  <c r="Q23" i="15"/>
  <c r="Q52" i="15"/>
  <c r="AI25" i="15"/>
  <c r="K25" i="15"/>
  <c r="AL25" i="15"/>
  <c r="Q24" i="15"/>
  <c r="Q5" i="17"/>
  <c r="AO24" i="15"/>
  <c r="AF52" i="15"/>
  <c r="AF23" i="15"/>
  <c r="AF25" i="15"/>
  <c r="AP23" i="15"/>
  <c r="AP51" i="15"/>
  <c r="AF5" i="17"/>
  <c r="W5" i="17"/>
  <c r="AP5" i="17"/>
  <c r="AM53" i="15"/>
  <c r="AM23" i="15"/>
  <c r="AL24" i="15"/>
  <c r="H25" i="15"/>
  <c r="AE24" i="15"/>
  <c r="T25" i="15"/>
  <c r="N25" i="15"/>
  <c r="J24" i="15"/>
  <c r="W23" i="15"/>
  <c r="W51" i="15"/>
  <c r="AQ24" i="15"/>
  <c r="S24" i="15"/>
  <c r="S52" i="15"/>
  <c r="AN23" i="15"/>
  <c r="AN52" i="15"/>
  <c r="AQ23" i="15"/>
  <c r="AQ51" i="15"/>
  <c r="AG25" i="15"/>
  <c r="AQ25" i="15"/>
  <c r="X25" i="15"/>
  <c r="S25" i="15"/>
  <c r="AJ25" i="15"/>
  <c r="AL5" i="17"/>
  <c r="I25" i="15"/>
  <c r="AG5" i="17"/>
  <c r="AP25" i="15"/>
  <c r="AP53" i="15"/>
  <c r="L23" i="15"/>
  <c r="L52" i="15"/>
  <c r="V25" i="15"/>
  <c r="AQ5" i="17"/>
  <c r="AO25" i="15"/>
  <c r="T53" i="15"/>
  <c r="T23" i="15"/>
  <c r="AO23" i="15"/>
  <c r="AO52" i="15"/>
  <c r="AN24" i="15"/>
  <c r="AM24" i="15"/>
  <c r="X51" i="15"/>
  <c r="X23" i="15"/>
  <c r="T5" i="17"/>
  <c r="R53" i="15"/>
  <c r="R23" i="15"/>
  <c r="AN5" i="17"/>
  <c r="AK5" i="17"/>
  <c r="AB23" i="15"/>
  <c r="AB51" i="15"/>
  <c r="J51" i="15"/>
  <c r="J23" i="15"/>
  <c r="AG23" i="15"/>
  <c r="AG51" i="15"/>
  <c r="J25" i="15"/>
  <c r="AB5" i="17"/>
  <c r="AJ23" i="15"/>
  <c r="AJ53" i="15"/>
  <c r="I5" i="17"/>
  <c r="AJ5" i="17"/>
  <c r="AM5" i="17"/>
  <c r="AD25" i="15"/>
  <c r="U25" i="15"/>
  <c r="R5" i="17"/>
  <c r="L24" i="15"/>
  <c r="Y25" i="15"/>
  <c r="AE53" i="15"/>
  <c r="AE23" i="15"/>
  <c r="Z25" i="15"/>
  <c r="Z53" i="15"/>
  <c r="Z23" i="15"/>
  <c r="I23" i="15"/>
  <c r="I51" i="15"/>
  <c r="AB25" i="15"/>
  <c r="O24" i="15"/>
  <c r="AH23" i="15"/>
  <c r="AH52" i="15"/>
  <c r="K24" i="15"/>
  <c r="AH5" i="17"/>
  <c r="R24" i="15"/>
  <c r="Z5" i="17"/>
  <c r="AN25" i="15"/>
  <c r="Z24" i="15"/>
  <c r="Z52" i="15"/>
  <c r="P5" i="17"/>
  <c r="AP24" i="15"/>
  <c r="AE5" i="17"/>
  <c r="AD5" i="17"/>
  <c r="H24" i="15"/>
  <c r="AL51" i="15"/>
  <c r="AL23" i="15"/>
  <c r="AF24" i="15"/>
  <c r="Q25" i="15"/>
  <c r="X24" i="15"/>
  <c r="AO5" i="17"/>
  <c r="X5" i="17"/>
  <c r="AE25" i="15"/>
  <c r="AD24" i="15"/>
  <c r="AC5" i="17"/>
  <c r="H23" i="15"/>
  <c r="AC52" i="15"/>
  <c r="AC23" i="15"/>
  <c r="AB24" i="15"/>
  <c r="AB52" i="15"/>
  <c r="W24" i="15"/>
  <c r="AD23" i="15"/>
  <c r="AD53" i="15"/>
  <c r="AK24" i="15"/>
  <c r="AC25" i="15"/>
  <c r="AA52" i="15"/>
  <c r="AA23" i="15"/>
  <c r="L5" i="17"/>
  <c r="Y24" i="15"/>
  <c r="AK25" i="15"/>
  <c r="O25" i="15"/>
  <c r="P23" i="15"/>
  <c r="P51" i="15"/>
  <c r="W25" i="15"/>
  <c r="T51" i="15" l="1"/>
  <c r="AM52" i="15"/>
  <c r="O53" i="15"/>
  <c r="N53" i="15"/>
  <c r="AC51" i="15"/>
  <c r="AO51" i="15"/>
  <c r="Y51" i="15"/>
  <c r="W53" i="15"/>
  <c r="AK52" i="15"/>
  <c r="R52" i="15"/>
  <c r="P52" i="15"/>
  <c r="AD52" i="15"/>
  <c r="AE52" i="15"/>
  <c r="AE22" i="15"/>
  <c r="AE55" i="15"/>
  <c r="S53" i="15"/>
  <c r="S22" i="15"/>
  <c r="S55" i="15"/>
  <c r="U53" i="15"/>
  <c r="U22" i="15"/>
  <c r="U55" i="15"/>
  <c r="AA51" i="15"/>
  <c r="AA22" i="15"/>
  <c r="AA55" i="15"/>
  <c r="AH53" i="15"/>
  <c r="H52" i="15"/>
  <c r="H50" i="15"/>
  <c r="H22" i="15"/>
  <c r="H55" i="15"/>
  <c r="AL52" i="15"/>
  <c r="AL22" i="15"/>
  <c r="AL55" i="15"/>
  <c r="L51" i="15"/>
  <c r="L22" i="15"/>
  <c r="L55" i="15"/>
  <c r="AF51" i="15"/>
  <c r="AK53" i="15"/>
  <c r="AK22" i="15"/>
  <c r="AK55" i="15"/>
  <c r="AG53" i="15"/>
  <c r="AG22" i="15"/>
  <c r="AG55" i="15"/>
  <c r="AQ53" i="15"/>
  <c r="AQ22" i="15"/>
  <c r="AQ55" i="15"/>
  <c r="Q51" i="15"/>
  <c r="X22" i="15"/>
  <c r="X55" i="15"/>
  <c r="AG52" i="15"/>
  <c r="M53" i="15"/>
  <c r="M22" i="15"/>
  <c r="M55" i="15"/>
  <c r="J53" i="15"/>
  <c r="J22" i="15"/>
  <c r="J50" i="15"/>
  <c r="J55" i="15"/>
  <c r="V22" i="15"/>
  <c r="V55" i="15"/>
  <c r="I53" i="15"/>
  <c r="P22" i="15"/>
  <c r="P55" i="15"/>
  <c r="P53" i="15"/>
  <c r="AB53" i="15"/>
  <c r="AB22" i="15"/>
  <c r="AB55" i="15"/>
  <c r="AO53" i="15"/>
  <c r="AO22" i="15"/>
  <c r="AO55" i="15"/>
  <c r="V52" i="15"/>
  <c r="AD51" i="15"/>
  <c r="AD22" i="15"/>
  <c r="AD55" i="15"/>
  <c r="K52" i="15"/>
  <c r="K50" i="15" s="1"/>
  <c r="K22" i="15"/>
  <c r="K55" i="15"/>
  <c r="U52" i="15"/>
  <c r="AQ52" i="15"/>
  <c r="AM51" i="15"/>
  <c r="AM22" i="15"/>
  <c r="AM55" i="15"/>
  <c r="N52" i="15"/>
  <c r="N22" i="15"/>
  <c r="N55" i="15"/>
  <c r="I52" i="15"/>
  <c r="I50" i="15"/>
  <c r="I22" i="15"/>
  <c r="I55" i="15"/>
  <c r="X52" i="15"/>
  <c r="AL53" i="15"/>
  <c r="L53" i="15"/>
  <c r="Q22" i="15"/>
  <c r="Q55" i="15"/>
  <c r="AN51" i="15"/>
  <c r="AN22" i="15"/>
  <c r="AN55" i="15"/>
  <c r="H53" i="15"/>
  <c r="AN53" i="15"/>
  <c r="T52" i="15"/>
  <c r="T22" i="15"/>
  <c r="T55" i="15"/>
  <c r="AI51" i="15"/>
  <c r="AI22" i="15"/>
  <c r="AI55" i="15"/>
  <c r="Q53" i="15"/>
  <c r="Z51" i="15"/>
  <c r="Z22" i="15"/>
  <c r="Z55" i="15"/>
  <c r="W52" i="15"/>
  <c r="W22" i="15"/>
  <c r="W55" i="15"/>
  <c r="O52" i="15"/>
  <c r="O22" i="15"/>
  <c r="O55" i="15"/>
  <c r="K53" i="15"/>
  <c r="AJ51" i="15"/>
  <c r="AJ22" i="15"/>
  <c r="AJ55" i="15"/>
  <c r="X53" i="15"/>
  <c r="AC53" i="15"/>
  <c r="AC22" i="15"/>
  <c r="AC55" i="15"/>
  <c r="AE51" i="15"/>
  <c r="V53" i="15"/>
  <c r="J52" i="15"/>
  <c r="Y53" i="15"/>
  <c r="Y22" i="15"/>
  <c r="Y55" i="15"/>
  <c r="AH51" i="15"/>
  <c r="AH22" i="15"/>
  <c r="AH55" i="15"/>
  <c r="AP52" i="15"/>
  <c r="AP22" i="15"/>
  <c r="AP55" i="15"/>
  <c r="AI53" i="15"/>
  <c r="AJ52" i="15"/>
  <c r="AF53" i="15"/>
  <c r="AF22" i="15"/>
  <c r="AF55" i="15"/>
  <c r="M51" i="15"/>
  <c r="H51" i="15"/>
  <c r="R51" i="15"/>
  <c r="R22" i="15"/>
  <c r="R55" i="15"/>
  <c r="S51" i="15"/>
  <c r="AO50" i="15" l="1"/>
  <c r="Y50" i="15"/>
  <c r="P50" i="15"/>
  <c r="M50" i="15"/>
  <c r="AE50" i="15"/>
  <c r="U50" i="15"/>
  <c r="T50" i="15"/>
  <c r="AQ50" i="15"/>
  <c r="L50" i="15"/>
  <c r="V50" i="15"/>
  <c r="AC50" i="15"/>
  <c r="AK50" i="15"/>
  <c r="R50" i="15"/>
  <c r="O50" i="15"/>
  <c r="AD50" i="15"/>
  <c r="AL50" i="15"/>
  <c r="X50" i="15"/>
  <c r="W50" i="15"/>
  <c r="AP50" i="15"/>
  <c r="Q50" i="15"/>
  <c r="N50" i="15"/>
  <c r="AG50" i="15"/>
  <c r="AB50" i="15"/>
  <c r="AM50" i="15"/>
  <c r="AF50" i="15"/>
  <c r="AJ50" i="15"/>
  <c r="AA50" i="15"/>
  <c r="AN50" i="15"/>
  <c r="AH50" i="15"/>
  <c r="S50" i="15"/>
  <c r="Z50" i="15"/>
  <c r="AI50" i="15"/>
</calcChain>
</file>

<file path=xl/sharedStrings.xml><?xml version="1.0" encoding="utf-8"?>
<sst xmlns="http://schemas.openxmlformats.org/spreadsheetml/2006/main" count="1508" uniqueCount="183">
  <si>
    <t>GDP at market prices</t>
  </si>
  <si>
    <t>Cash crops</t>
  </si>
  <si>
    <t>Food crops</t>
  </si>
  <si>
    <t>Livestock</t>
  </si>
  <si>
    <t>Agriculture Support Services</t>
  </si>
  <si>
    <t>Forestry</t>
  </si>
  <si>
    <t>Fishing</t>
  </si>
  <si>
    <t>Industry</t>
  </si>
  <si>
    <t>Mining &amp; quarrying</t>
  </si>
  <si>
    <t>Manufacturing</t>
  </si>
  <si>
    <t>Electricity</t>
  </si>
  <si>
    <t>Water</t>
  </si>
  <si>
    <t>Construction</t>
  </si>
  <si>
    <t>Services</t>
  </si>
  <si>
    <t>Real Estate Activities</t>
  </si>
  <si>
    <t xml:space="preserve">Public Administration </t>
  </si>
  <si>
    <t>Education</t>
  </si>
  <si>
    <t>Other Service Activities</t>
  </si>
  <si>
    <t>Adjustments</t>
  </si>
  <si>
    <t>Taxes on products</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</si>
  <si>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</si>
  <si>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</si>
  <si>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</si>
  <si>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</si>
  <si>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</si>
  <si>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</si>
  <si>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</si>
  <si>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</si>
  <si>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</si>
  <si>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</si>
  <si>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</si>
  <si>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</si>
  <si>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</si>
  <si>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</si>
  <si>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</si>
  <si>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</si>
  <si>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</si>
  <si>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</si>
  <si>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</si>
  <si>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</si>
  <si>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</si>
  <si>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</si>
  <si>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</si>
  <si>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</si>
  <si>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</si>
  <si>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</si>
  <si>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Q1</t>
  </si>
  <si>
    <t>Q2</t>
  </si>
  <si>
    <t>Q3</t>
  </si>
  <si>
    <t>Q4</t>
  </si>
  <si>
    <t>Source: Uganda Bureau of Statistics</t>
  </si>
  <si>
    <t>2014Q3</t>
  </si>
  <si>
    <t>Trade &amp; Repairs</t>
  </si>
  <si>
    <t>Transportation &amp; Storage</t>
  </si>
  <si>
    <t>Information &amp; Communication</t>
  </si>
  <si>
    <t xml:space="preserve">Accommodation &amp; Food Service </t>
  </si>
  <si>
    <t xml:space="preserve">Professional, Scientific &amp; Technical </t>
  </si>
  <si>
    <t xml:space="preserve">Administrative &amp; Support Service </t>
  </si>
  <si>
    <t xml:space="preserve">Human Health &amp; Social Work </t>
  </si>
  <si>
    <t>Activities of Households</t>
  </si>
  <si>
    <t>2009/10</t>
  </si>
  <si>
    <t>2010/11</t>
  </si>
  <si>
    <t>2011/12</t>
  </si>
  <si>
    <t>2012/13</t>
  </si>
  <si>
    <t>2013/14</t>
  </si>
  <si>
    <t>2014/15</t>
  </si>
  <si>
    <t>2008/09</t>
  </si>
  <si>
    <t>2007/08</t>
  </si>
  <si>
    <t>Activity</t>
  </si>
  <si>
    <t>Uganda Bureau of Statistics</t>
  </si>
  <si>
    <t>Agriculture, Forestry &amp; Fishing</t>
  </si>
  <si>
    <t>Arts, Entertainment &amp; Recreation</t>
  </si>
  <si>
    <t xml:space="preserve">Financial &amp; Insurance </t>
  </si>
  <si>
    <t>2014Q4</t>
  </si>
  <si>
    <t>2015Q1</t>
  </si>
  <si>
    <t>2015Q2</t>
  </si>
  <si>
    <t>Taxes on Products</t>
  </si>
  <si>
    <t>2015/16</t>
  </si>
  <si>
    <t>2015Q3</t>
  </si>
  <si>
    <t>Table 10: Summary of QGDP at constant 2009/10 prices, percentage change, 2010/11-2015/16</t>
  </si>
  <si>
    <t>2016/17</t>
  </si>
  <si>
    <t>WHAT DO USERS WANT?</t>
  </si>
  <si>
    <t>The original unadjusted series and all components</t>
  </si>
  <si>
    <t>Policy Formulations</t>
  </si>
  <si>
    <t>Macro-economic model building</t>
  </si>
  <si>
    <t>To determine what actually happened</t>
  </si>
  <si>
    <t>The original unadjusted series</t>
  </si>
  <si>
    <t>Analysis of the effect of particular events such as a strike</t>
  </si>
  <si>
    <t>The irregular component</t>
  </si>
  <si>
    <t>Trend-cycle and irregular component</t>
  </si>
  <si>
    <t>Long-term forecasting</t>
  </si>
  <si>
    <t>The trend cycle component</t>
  </si>
  <si>
    <t>2017/18</t>
  </si>
  <si>
    <t>INDUSTRY</t>
  </si>
  <si>
    <t>SERVICES</t>
  </si>
  <si>
    <t>ADJUSTMENTS</t>
  </si>
  <si>
    <t>AGRICULTURE,FORESTRY&amp;FISHING</t>
  </si>
  <si>
    <t>GDP AT MARKET PRICES</t>
  </si>
  <si>
    <t>ADJUSTMENT</t>
  </si>
  <si>
    <t>ACTIVITY</t>
  </si>
  <si>
    <t>TREND CYCLE ESTIMATES</t>
  </si>
  <si>
    <t>ORIGINAL ESTIMATES</t>
  </si>
  <si>
    <t>SEASONALLY ADJUSTED ESTIMATES</t>
  </si>
  <si>
    <t>MAIN USE OF DATA</t>
  </si>
  <si>
    <t>WHAT DATA SHOULD I USE?</t>
  </si>
  <si>
    <t>WORKSHEET</t>
  </si>
  <si>
    <t>Could be Unadjusted, adjusted, trend-cycle or all components depending on the main purpose of the model</t>
  </si>
  <si>
    <t>Business Cycle analysis &amp; detection of turning points</t>
  </si>
  <si>
    <t>Short-term and medium term forecasting</t>
  </si>
  <si>
    <t>Original unadjusted series and all its components</t>
  </si>
  <si>
    <t>Table 3: Summary of QGDP at constant 2009/10 prices, IMPLICIT PRICE DEFLATORS, 2013/14-2017/18</t>
  </si>
  <si>
    <t>Table 4: Summary of QGDP at constant prices, PERCENTAGE SHARE, 2013/14-2017/18</t>
  </si>
  <si>
    <t>Table 11: SEASONALLY ADJUSTED Value Added at constant 2009/10 prices, IMPLICIT PRICE DEFLATORS, 2013/14-2017/18</t>
  </si>
  <si>
    <t>Table 15: TREND-CYCLE Value Added at constant 2009/10 prices, IMPLICIT PRICE DEFLATORS, 2013/14-2017/18</t>
  </si>
  <si>
    <t>Notes:</t>
  </si>
  <si>
    <t>a</t>
  </si>
  <si>
    <t>Seasonally adjusted data are subject to revisions as future data become available, even when the original data are not revised.</t>
  </si>
  <si>
    <t>b</t>
  </si>
  <si>
    <t>c</t>
  </si>
  <si>
    <t>d</t>
  </si>
  <si>
    <t>e</t>
  </si>
  <si>
    <t>Original (Unadjusted) data are useful in their own right. They show the actual economic events that have occurred and therefore Seasonally adjusted data should not replace the unadjusted data.</t>
  </si>
  <si>
    <t>Seasonally adjusted data is the sum of the Trend-cycle component and the Irregular component. When the Irregular component is strong, the Seasonally adjusted series may not present a smooth pattern.</t>
  </si>
  <si>
    <t>Year</t>
  </si>
  <si>
    <t>Period</t>
  </si>
  <si>
    <t xml:space="preserve">        Agriculture, Forestry &amp; Fishing</t>
  </si>
  <si>
    <t xml:space="preserve">        Industry</t>
  </si>
  <si>
    <t xml:space="preserve">        Services</t>
  </si>
  <si>
    <t xml:space="preserve">        Taxes on products</t>
  </si>
  <si>
    <t>Original_VA</t>
  </si>
  <si>
    <t>Original_VA, Deseason_VA, Trend_VA</t>
  </si>
  <si>
    <t>Deseason_VA and Trend_VA</t>
  </si>
  <si>
    <t>Trend_VA</t>
  </si>
  <si>
    <t>Seasonally adjusted and Trend-cycle estimates represent an analytical elaboration of the data designed to show the underlying movements that may be hidden by the seasonal variations.</t>
  </si>
  <si>
    <t>2018/19</t>
  </si>
  <si>
    <t xml:space="preserve"> </t>
  </si>
  <si>
    <t>2019/20</t>
  </si>
  <si>
    <t>2020/21</t>
  </si>
  <si>
    <t>2021/22</t>
  </si>
  <si>
    <t>2022/23</t>
  </si>
  <si>
    <t>2023/24</t>
  </si>
  <si>
    <t>GDP at Market Prices</t>
  </si>
  <si>
    <t>Statistical Discrepancy</t>
  </si>
  <si>
    <t xml:space="preserve">       Services</t>
  </si>
  <si>
    <t xml:space="preserve">       Goods</t>
  </si>
  <si>
    <t xml:space="preserve">   Less Imports</t>
  </si>
  <si>
    <t xml:space="preserve">   Exports</t>
  </si>
  <si>
    <t>Exports less Imports of Goods and Services</t>
  </si>
  <si>
    <t>Changes in Inventories</t>
  </si>
  <si>
    <t xml:space="preserve">   Other Asset Types</t>
  </si>
  <si>
    <t xml:space="preserve">   Other Machinery and Equipment</t>
  </si>
  <si>
    <t xml:space="preserve">   ICT Equipment</t>
  </si>
  <si>
    <t xml:space="preserve">   Transport Equipment</t>
  </si>
  <si>
    <t xml:space="preserve">   Other Structures</t>
  </si>
  <si>
    <t xml:space="preserve">   Other Buildings</t>
  </si>
  <si>
    <t xml:space="preserve">   Dwellings</t>
  </si>
  <si>
    <t>Gross Fixed Capital Formation</t>
  </si>
  <si>
    <t xml:space="preserve">   Household FCE</t>
  </si>
  <si>
    <t xml:space="preserve">   NPISH FCE</t>
  </si>
  <si>
    <t xml:space="preserve">   General Government FCE</t>
  </si>
  <si>
    <t>Final Consumption Expenditure</t>
  </si>
  <si>
    <t>QUARTERLY CHANGES  Constant prices</t>
  </si>
  <si>
    <t>EXPENDITURE  Constant prices</t>
  </si>
  <si>
    <t>Accounts for</t>
  </si>
  <si>
    <t>Updated:</t>
  </si>
  <si>
    <t>f</t>
  </si>
  <si>
    <t>2024/25</t>
  </si>
  <si>
    <t>2025/26</t>
  </si>
  <si>
    <t>TABLE 1: SUMMARY OF QGDP AT CONSTANT 2016/17 PRICES, BILLION SHILLINGS, 2016/17-2025/26</t>
  </si>
  <si>
    <t>TABLE 2: SUMMARY OF QGDP AT CONSTANT 2016/17 PRICES, PERCENTAGE CHANGE, 2016/17-2025/26</t>
  </si>
  <si>
    <t>Table 3: ORIGINAL UNADJUSTED Value Added by activity at constant 2016/17 prices, BILLION SHILLINGS, 2016/17-2025/26</t>
  </si>
  <si>
    <t>Table 4: ORIGINAL UNADJUSTED Value Added at constant 2016/17 prices, PERCENTAGE CHANGE, 2016/17-2025/26</t>
  </si>
  <si>
    <t>Table 5: ORIGINAL UNADJUSTED Value Added by activity at constant 2016/17 prices, IMPLICIT PRICE DEFLATORS, 2016/17-2025/26</t>
  </si>
  <si>
    <t>Table 6: SEASONALLY ADJUSTED Value Added at constant 2016/17 prices, BILLION SHILLINGS, 2016/17-2025/26</t>
  </si>
  <si>
    <t>Table 7: SEASONALLY ADJUSTED Value Added at constant 2016/17 prices,PERCENTAGE CHANGE, 2016/17-2025/26</t>
  </si>
  <si>
    <t>Table 8: SEASONALLY ADJUSTED Value Added at constant 2016/17 prices, DECOMPOSITION OF GROWTH, 2016/17-2025/26</t>
  </si>
  <si>
    <t>Table 9: TREND-CYCLE Value Added at constant 2016/17 prices, BILLION SHILLINGS, 2016/17-2025/26</t>
  </si>
  <si>
    <t>Table 10: TREND-CYCLE Value Added at constant 2016/17 prices, PERCENTAGE CHANGE, 2016/17-2025/26</t>
  </si>
  <si>
    <t>Original (Unadjusted) estimates have been benchmarked to the 2024/25 Annual GDP estimates (October release 2025) due to quarterly differences in source data for selected economic activities. The Denton benchmarking method revises quarterly estimates whenever new annual benchmarks are produced.</t>
  </si>
  <si>
    <t>Therefore, there were no revisions in series because the benchmarks and input data have not been revised over the period. Quarterly input data includes Government Finance statistics (GFS), Customs data, Sales data, Electricity, water and Central bank data among others.</t>
  </si>
  <si>
    <t>In terms of interpretation, original series consider year on year similar quarter changes due to seasonal effects while adjusted series consider quarter to quarter changes.</t>
  </si>
  <si>
    <t>h</t>
  </si>
  <si>
    <t>2025/27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</si>
</sst>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_-;\-* #,##0_-;_-* &quot;-&quot;_-;_-@_-"/>
    <numFmt numFmtId="165" formatCode="0.0"/>
    <numFmt numFmtId="166" formatCode="_(* #,##0_);_(* \(#,##0\);_(* &quot;-&quot;??_);_(@_)"/>
    <numFmt numFmtId="167" formatCode="_(* #,##0.0_);_(* \(#,##0.0\);_(* &quot;-&quot;??_);_(@_)"/>
    <numFmt numFmtId="168" formatCode="#,##0.0"/>
    <numFmt numFmtId="169" formatCode="#,##0.0000"/>
    <numFmt numFmtId="170" formatCode="0.0%"/>
    <numFmt numFmtId="171" formatCode="#,##0.0_);[Red]\(#,##0.0\)"/>
    <numFmt numFmtId="172" formatCode="_-* #,##0.0_-;\-* #,##0.0_-;_-* &quot;-&quot;_-;_-@_-"/>
  </numFmts>
  <fonts count="32" x14ac:knownFonts="1">
    <font>
      <sz val="11"/>
      <color theme="1"/>
      <name val="Calibri"/>
      <family val="2"/>
      <scheme val="minor"/>
    </font>
    <font>
      <sz val="11"/>
      <color theme="1"/>
      <name val="Calibri"/>
      <family val="2"/>
      <scheme val="minor"/>
    </font>
    <font>
      <b/>
      <sz val="8"/>
      <name val="Arial"/>
      <family val="2"/>
    </font>
    <font>
      <b/>
      <sz val="9"/>
      <color theme="1"/>
      <name val="Arial"/>
      <family val="2"/>
    </font>
    <font>
      <b/>
      <sz val="8"/>
      <color theme="1"/>
      <name val="Arial"/>
      <family val="2"/>
    </font>
    <font>
      <sz val="8"/>
      <color theme="1"/>
      <name val="Arial"/>
      <family val="2"/>
    </font>
    <font>
      <sz val="8"/>
      <name val="Arial"/>
      <family val="2"/>
    </font>
    <font>
      <i/>
      <sz val="8"/>
      <color theme="1"/>
      <name val="Arial"/>
      <family val="2"/>
    </font>
    <font>
      <sz val="8.5"/>
      <color theme="1"/>
      <name val="Arial"/>
      <family val="2"/>
    </font>
    <font>
      <b/>
      <sz val="8.5"/>
      <color theme="1"/>
      <name val="Arial"/>
      <family val="2"/>
    </font>
    <font>
      <b/>
      <sz val="8.5"/>
      <name val="Arial"/>
      <family val="2"/>
    </font>
    <font>
      <sz val="8.5"/>
      <name val="Arial"/>
      <family val="2"/>
    </font>
    <font>
      <i/>
      <sz val="8.5"/>
      <color theme="1"/>
      <name val="Arial"/>
      <family val="2"/>
    </font>
    <font>
      <sz val="8"/>
      <color rgb="FFFF0000"/>
      <name val="Arial"/>
      <family val="2"/>
    </font>
    <font>
      <i/>
      <sz val="8.5"/>
      <name val="Arial"/>
      <family val="2"/>
    </font>
    <font>
      <sz val="12"/>
      <color theme="1"/>
      <name val="Arial"/>
      <family val="2"/>
    </font>
    <font>
      <b/>
      <sz val="12"/>
      <color theme="1"/>
      <name val="Arial"/>
      <family val="2"/>
    </font>
    <font>
      <sz val="14"/>
      <color theme="1"/>
      <name val="Arial"/>
      <family val="2"/>
    </font>
    <font>
      <sz val="11"/>
      <color theme="1"/>
      <name val="Arial"/>
      <family val="2"/>
    </font>
    <font>
      <sz val="12"/>
      <color theme="1"/>
      <name val="Times New Roman"/>
      <family val="1"/>
    </font>
    <font>
      <b/>
      <sz val="11"/>
      <color theme="1"/>
      <name val="Arial"/>
      <family val="2"/>
    </font>
    <font>
      <sz val="9"/>
      <name val="Arial"/>
      <family val="2"/>
    </font>
    <font>
      <sz val="9"/>
      <color theme="1"/>
      <name val="Arial"/>
      <family val="2"/>
    </font>
    <font>
      <sz val="8.5"/>
      <color rgb="FFFF0000"/>
      <name val="Arial"/>
      <family val="2"/>
    </font>
    <font>
      <b/>
      <sz val="9"/>
      <name val="Arial"/>
      <family val="2"/>
    </font>
    <font>
      <sz val="10"/>
      <name val="Arial"/>
      <family val="2"/>
    </font>
    <font>
      <b/>
      <sz val="10"/>
      <name val="Arial"/>
      <family val="2"/>
    </font>
    <font>
      <b/>
      <i/>
      <sz val="10"/>
      <name val="Arial"/>
      <family val="2"/>
    </font>
    <font>
      <sz val="10"/>
      <name val="MS Sans Serif"/>
      <family val="2"/>
    </font>
    <font>
      <sz val="8"/>
      <name val="Calibri"/>
      <family val="2"/>
      <scheme val="minor"/>
    </font>
    <font>
      <b/>
      <sz val="11"/>
      <color theme="1"/>
      <name val="Calibri"/>
      <family val="2"/>
      <scheme val="minor"/>
    </font>
    <font>
      <sz val="12"/>
      <color rgb="FF000000"/>
      <name val="Times New Roman"/>
      <family val="1"/>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8">
    <border>
      <left/>
      <right/>
      <top/>
      <bottom/>
      <diagonal/>
    </border>
    <border>
      <left/>
      <right/>
      <top/>
      <bottom style="medium">
        <color indexed="64"/>
      </bottom>
      <diagonal/>
    </border>
    <border>
      <left/>
      <right/>
      <top style="medium">
        <color auto="1"/>
      </top>
      <bottom/>
      <diagonal/>
    </border>
    <border>
      <left/>
      <right/>
      <top/>
      <bottom style="thin">
        <color auto="1"/>
      </bottom>
      <diagonal/>
    </border>
    <border>
      <left style="thin">
        <color indexed="64"/>
      </left>
      <right style="thin">
        <color indexed="64"/>
      </right>
      <top style="thin">
        <color indexed="64"/>
      </top>
      <bottom style="thin">
        <color indexed="64"/>
      </bottom>
      <diagonal/>
    </border>
    <border>
      <left/>
      <right/>
      <top style="thin">
        <color auto="1"/>
      </top>
      <bottom/>
      <diagonal/>
    </border>
    <border>
      <left/>
      <right style="thin">
        <color indexed="64"/>
      </right>
      <top style="thin">
        <color auto="1"/>
      </top>
      <bottom/>
      <diagonal/>
    </border>
    <border>
      <left style="thin">
        <color indexed="64"/>
      </left>
      <right/>
      <top style="thin">
        <color auto="1"/>
      </top>
      <bottom/>
      <diagonal/>
    </border>
  </borders>
  <cellStyleXfs count="6">
    <xf numFmtId="0" fontId="0" fillId="0" borderId="0"/>
    <xf numFmtId="43" fontId="1" fillId="0" borderId="0" applyFont="0" applyFill="0" applyBorder="0" applyAlignment="0" applyProtection="0"/>
    <xf numFmtId="165" fontId="25" fillId="0" borderId="0"/>
    <xf numFmtId="40" fontId="28" fillId="0" borderId="0" applyFont="0" applyFill="0" applyBorder="0" applyAlignment="0" applyProtection="0"/>
    <xf numFmtId="9" fontId="28" fillId="0" borderId="0" applyFont="0" applyFill="0" applyBorder="0" applyAlignment="0" applyProtection="0"/>
    <xf numFmtId="164" fontId="1" fillId="0" borderId="0" applyFont="0" applyFill="0" applyBorder="0" applyAlignment="0" applyProtection="0"/>
  </cellStyleXfs>
  <cellXfs count="225">
    <xf numFmtId="0" fontId="0" fillId="0" borderId="0" xfId="0"/>
    <xf numFmtId="0" fontId="5" fillId="0" borderId="0" xfId="0" applyFont="1"/>
    <xf numFmtId="165" fontId="2" fillId="0" borderId="0" xfId="0" applyNumberFormat="1" applyFont="1"/>
    <xf numFmtId="165" fontId="6" fillId="0" borderId="0" xfId="0" applyNumberFormat="1" applyFont="1"/>
    <xf numFmtId="3" fontId="6" fillId="0" borderId="0" xfId="0" applyNumberFormat="1" applyFont="1"/>
    <xf numFmtId="167" fontId="5" fillId="0" borderId="0" xfId="1" applyNumberFormat="1" applyFont="1"/>
    <xf numFmtId="166" fontId="5" fillId="0" borderId="0" xfId="1" applyNumberFormat="1" applyFont="1"/>
    <xf numFmtId="0" fontId="4" fillId="0" borderId="2" xfId="0" applyFont="1" applyBorder="1"/>
    <xf numFmtId="0" fontId="4" fillId="0" borderId="0" xfId="0" applyFont="1"/>
    <xf numFmtId="166" fontId="5" fillId="0" borderId="0" xfId="1" applyNumberFormat="1" applyFont="1" applyBorder="1"/>
    <xf numFmtId="166" fontId="4" fillId="0" borderId="0" xfId="1" applyNumberFormat="1" applyFont="1" applyBorder="1"/>
    <xf numFmtId="0" fontId="5" fillId="0" borderId="1" xfId="0" applyFont="1" applyBorder="1"/>
    <xf numFmtId="0" fontId="2" fillId="0" borderId="3" xfId="0" applyFont="1" applyBorder="1" applyAlignment="1">
      <alignment horizontal="right"/>
    </xf>
    <xf numFmtId="0" fontId="7" fillId="0" borderId="0" xfId="0" applyFont="1"/>
    <xf numFmtId="167" fontId="5" fillId="0" borderId="0" xfId="1" applyNumberFormat="1" applyFont="1" applyBorder="1"/>
    <xf numFmtId="168" fontId="5" fillId="0" borderId="0" xfId="0" applyNumberFormat="1" applyFont="1"/>
    <xf numFmtId="3" fontId="6" fillId="0" borderId="0" xfId="0" applyNumberFormat="1" applyFont="1" applyAlignment="1">
      <alignment wrapText="1"/>
    </xf>
    <xf numFmtId="0" fontId="5" fillId="0" borderId="0" xfId="0" applyFont="1" applyAlignment="1">
      <alignment horizontal="left" vertical="top" wrapText="1"/>
    </xf>
    <xf numFmtId="168" fontId="4" fillId="0" borderId="0" xfId="0" applyNumberFormat="1" applyFont="1"/>
    <xf numFmtId="168" fontId="5" fillId="0" borderId="1" xfId="0" applyNumberFormat="1" applyFont="1" applyBorder="1"/>
    <xf numFmtId="167" fontId="4" fillId="0" borderId="0" xfId="0" applyNumberFormat="1" applyFont="1"/>
    <xf numFmtId="0" fontId="4" fillId="0" borderId="3" xfId="0" applyFont="1" applyBorder="1" applyAlignment="1">
      <alignment horizontal="center"/>
    </xf>
    <xf numFmtId="167" fontId="2" fillId="0" borderId="3" xfId="1" applyNumberFormat="1" applyFont="1" applyBorder="1" applyAlignment="1">
      <alignment horizontal="right"/>
    </xf>
    <xf numFmtId="167" fontId="5" fillId="0" borderId="0" xfId="0" applyNumberFormat="1" applyFont="1"/>
    <xf numFmtId="167" fontId="5" fillId="0" borderId="1" xfId="0" applyNumberFormat="1" applyFont="1" applyBorder="1"/>
    <xf numFmtId="167" fontId="4" fillId="0" borderId="0" xfId="1" applyNumberFormat="1" applyFont="1" applyBorder="1" applyAlignment="1">
      <alignment horizontal="right"/>
    </xf>
    <xf numFmtId="167" fontId="5" fillId="0" borderId="0" xfId="1" applyNumberFormat="1" applyFont="1" applyBorder="1" applyAlignment="1">
      <alignment horizontal="right"/>
    </xf>
    <xf numFmtId="167" fontId="5" fillId="0" borderId="1" xfId="1" applyNumberFormat="1" applyFont="1" applyBorder="1" applyAlignment="1">
      <alignment horizontal="right"/>
    </xf>
    <xf numFmtId="167" fontId="5" fillId="0" borderId="1" xfId="1" applyNumberFormat="1" applyFont="1" applyBorder="1" applyAlignment="1">
      <alignment horizontal="left"/>
    </xf>
    <xf numFmtId="43" fontId="0" fillId="0" borderId="0" xfId="1" applyFont="1"/>
    <xf numFmtId="43" fontId="0" fillId="0" borderId="0" xfId="0" applyNumberFormat="1"/>
    <xf numFmtId="0" fontId="3" fillId="0" borderId="0" xfId="0" applyFont="1"/>
    <xf numFmtId="167" fontId="3" fillId="0" borderId="0" xfId="1" applyNumberFormat="1" applyFont="1"/>
    <xf numFmtId="168" fontId="5" fillId="0" borderId="0" xfId="1" applyNumberFormat="1" applyFont="1" applyBorder="1" applyAlignment="1">
      <alignment horizontal="right"/>
    </xf>
    <xf numFmtId="168" fontId="5" fillId="0" borderId="1" xfId="1" applyNumberFormat="1" applyFont="1" applyBorder="1" applyAlignment="1">
      <alignment horizontal="right"/>
    </xf>
    <xf numFmtId="0" fontId="8" fillId="0" borderId="0" xfId="0" applyFont="1"/>
    <xf numFmtId="0" fontId="9" fillId="0" borderId="2" xfId="0" applyFont="1" applyBorder="1"/>
    <xf numFmtId="0" fontId="9" fillId="0" borderId="0" xfId="0" applyFont="1"/>
    <xf numFmtId="0" fontId="10" fillId="0" borderId="3" xfId="0" applyFont="1" applyBorder="1" applyAlignment="1">
      <alignment horizontal="right"/>
    </xf>
    <xf numFmtId="165" fontId="10" fillId="0" borderId="0" xfId="0" applyNumberFormat="1" applyFont="1"/>
    <xf numFmtId="165" fontId="11" fillId="0" borderId="0" xfId="0" applyNumberFormat="1" applyFont="1"/>
    <xf numFmtId="168" fontId="8" fillId="0" borderId="0" xfId="1" applyNumberFormat="1" applyFont="1" applyBorder="1"/>
    <xf numFmtId="3" fontId="11" fillId="0" borderId="0" xfId="0" applyNumberFormat="1" applyFont="1"/>
    <xf numFmtId="0" fontId="8" fillId="0" borderId="1" xfId="0" applyFont="1" applyBorder="1"/>
    <xf numFmtId="168" fontId="8" fillId="0" borderId="1" xfId="1" applyNumberFormat="1" applyFont="1" applyBorder="1"/>
    <xf numFmtId="168" fontId="8" fillId="0" borderId="0" xfId="0" applyNumberFormat="1" applyFont="1"/>
    <xf numFmtId="167" fontId="9" fillId="0" borderId="0" xfId="1" applyNumberFormat="1" applyFont="1" applyBorder="1"/>
    <xf numFmtId="167" fontId="8" fillId="0" borderId="0" xfId="1" applyNumberFormat="1" applyFont="1" applyBorder="1"/>
    <xf numFmtId="167" fontId="8" fillId="0" borderId="1" xfId="1" applyNumberFormat="1" applyFont="1" applyBorder="1"/>
    <xf numFmtId="168" fontId="4" fillId="0" borderId="0" xfId="1" applyNumberFormat="1" applyFont="1" applyBorder="1" applyAlignment="1">
      <alignment horizontal="right"/>
    </xf>
    <xf numFmtId="0" fontId="9" fillId="0" borderId="3" xfId="0" applyFont="1" applyBorder="1" applyAlignment="1">
      <alignment horizontal="right"/>
    </xf>
    <xf numFmtId="3" fontId="11" fillId="0" borderId="1" xfId="0" applyNumberFormat="1" applyFont="1" applyBorder="1"/>
    <xf numFmtId="165" fontId="14" fillId="0" borderId="0" xfId="0" applyNumberFormat="1" applyFont="1"/>
    <xf numFmtId="0" fontId="9" fillId="0" borderId="1" xfId="0" applyFont="1" applyBorder="1"/>
    <xf numFmtId="168" fontId="9" fillId="0" borderId="0" xfId="1" applyNumberFormat="1" applyFont="1" applyBorder="1"/>
    <xf numFmtId="0" fontId="5" fillId="0" borderId="0" xfId="0" applyFont="1" applyAlignment="1">
      <alignment horizontal="left" wrapText="1"/>
    </xf>
    <xf numFmtId="0" fontId="4" fillId="0" borderId="0" xfId="0" applyFont="1" applyAlignment="1">
      <alignment horizontal="right"/>
    </xf>
    <xf numFmtId="0" fontId="4" fillId="0" borderId="0" xfId="0" applyFont="1" applyAlignment="1">
      <alignment horizontal="center"/>
    </xf>
    <xf numFmtId="0" fontId="10" fillId="0" borderId="0" xfId="0" applyFont="1" applyAlignment="1">
      <alignment horizontal="right"/>
    </xf>
    <xf numFmtId="0" fontId="9" fillId="0" borderId="0" xfId="0" applyFont="1" applyAlignment="1">
      <alignment horizontal="right"/>
    </xf>
    <xf numFmtId="0" fontId="15" fillId="0" borderId="0" xfId="0" applyFont="1"/>
    <xf numFmtId="0" fontId="16" fillId="0" borderId="0" xfId="0" applyFont="1"/>
    <xf numFmtId="0" fontId="15" fillId="0" borderId="4" xfId="0" applyFont="1" applyBorder="1"/>
    <xf numFmtId="0" fontId="16" fillId="0" borderId="4" xfId="0" applyFont="1" applyBorder="1"/>
    <xf numFmtId="0" fontId="15" fillId="0" borderId="4" xfId="0" applyFont="1" applyBorder="1" applyAlignment="1">
      <alignment wrapText="1"/>
    </xf>
    <xf numFmtId="0" fontId="17" fillId="0" borderId="0" xfId="0" applyFont="1"/>
    <xf numFmtId="0" fontId="18" fillId="0" borderId="0" xfId="0" applyFont="1"/>
    <xf numFmtId="0" fontId="19" fillId="0" borderId="0" xfId="0" applyFont="1" applyAlignment="1">
      <alignment wrapText="1"/>
    </xf>
    <xf numFmtId="0" fontId="20" fillId="0" borderId="0" xfId="0" applyFont="1" applyAlignment="1">
      <alignment vertical="center"/>
    </xf>
    <xf numFmtId="167" fontId="8" fillId="0" borderId="0" xfId="0" applyNumberFormat="1" applyFont="1" applyAlignment="1">
      <alignment horizontal="right"/>
    </xf>
    <xf numFmtId="168" fontId="8" fillId="0" borderId="0" xfId="1" applyNumberFormat="1" applyFont="1" applyFill="1" applyBorder="1"/>
    <xf numFmtId="165" fontId="8" fillId="0" borderId="0" xfId="1" applyNumberFormat="1" applyFont="1" applyFill="1" applyBorder="1"/>
    <xf numFmtId="3" fontId="11" fillId="0" borderId="0" xfId="0" applyNumberFormat="1" applyFont="1" applyAlignment="1">
      <alignment wrapText="1"/>
    </xf>
    <xf numFmtId="165" fontId="24" fillId="0" borderId="0" xfId="0" applyNumberFormat="1" applyFont="1"/>
    <xf numFmtId="166" fontId="22" fillId="0" borderId="0" xfId="1" applyNumberFormat="1" applyFont="1" applyFill="1" applyBorder="1"/>
    <xf numFmtId="166" fontId="3" fillId="0" borderId="0" xfId="0" applyNumberFormat="1" applyFont="1"/>
    <xf numFmtId="166" fontId="9" fillId="0" borderId="0" xfId="0" applyNumberFormat="1" applyFont="1"/>
    <xf numFmtId="166" fontId="8" fillId="0" borderId="0" xfId="1" applyNumberFormat="1" applyFont="1" applyFill="1" applyBorder="1"/>
    <xf numFmtId="0" fontId="8" fillId="0" borderId="0" xfId="0" applyFont="1" applyAlignment="1">
      <alignment horizontal="left" wrapText="1"/>
    </xf>
    <xf numFmtId="0" fontId="8" fillId="0" borderId="0" xfId="0" applyFont="1" applyAlignment="1">
      <alignment horizontal="left" vertical="top" wrapText="1"/>
    </xf>
    <xf numFmtId="166" fontId="8" fillId="0" borderId="1" xfId="1" applyNumberFormat="1" applyFont="1" applyFill="1" applyBorder="1"/>
    <xf numFmtId="0" fontId="9" fillId="2" borderId="2" xfId="0" applyFont="1" applyFill="1" applyBorder="1"/>
    <xf numFmtId="0" fontId="4" fillId="2" borderId="2" xfId="0" applyFont="1" applyFill="1" applyBorder="1"/>
    <xf numFmtId="0" fontId="9" fillId="2" borderId="3" xfId="0" applyFont="1" applyFill="1" applyBorder="1" applyAlignment="1">
      <alignment horizontal="center"/>
    </xf>
    <xf numFmtId="0" fontId="10" fillId="2" borderId="3" xfId="0" applyFont="1" applyFill="1" applyBorder="1" applyAlignment="1">
      <alignment horizontal="right"/>
    </xf>
    <xf numFmtId="0" fontId="9" fillId="2" borderId="3" xfId="0" applyFont="1" applyFill="1" applyBorder="1" applyAlignment="1">
      <alignment horizontal="right"/>
    </xf>
    <xf numFmtId="0" fontId="5" fillId="2" borderId="0" xfId="0" applyFont="1" applyFill="1"/>
    <xf numFmtId="0" fontId="22" fillId="0" borderId="0" xfId="0" applyFont="1"/>
    <xf numFmtId="166" fontId="22" fillId="0" borderId="0" xfId="1" applyNumberFormat="1" applyFont="1" applyFill="1"/>
    <xf numFmtId="166" fontId="3" fillId="0" borderId="0" xfId="1" applyNumberFormat="1" applyFont="1" applyFill="1"/>
    <xf numFmtId="3" fontId="8" fillId="0" borderId="0" xfId="1" applyNumberFormat="1" applyFont="1" applyFill="1" applyBorder="1"/>
    <xf numFmtId="3" fontId="9" fillId="0" borderId="0" xfId="1" applyNumberFormat="1" applyFont="1" applyFill="1" applyBorder="1"/>
    <xf numFmtId="3" fontId="11" fillId="0" borderId="3" xfId="0" applyNumberFormat="1" applyFont="1" applyBorder="1"/>
    <xf numFmtId="3" fontId="8" fillId="0" borderId="3" xfId="1" applyNumberFormat="1" applyFont="1" applyFill="1" applyBorder="1"/>
    <xf numFmtId="168" fontId="8" fillId="0" borderId="1" xfId="1" applyNumberFormat="1" applyFont="1" applyFill="1" applyBorder="1"/>
    <xf numFmtId="0" fontId="12" fillId="0" borderId="0" xfId="0" applyFont="1"/>
    <xf numFmtId="165" fontId="8" fillId="0" borderId="3" xfId="1" applyNumberFormat="1" applyFont="1" applyFill="1" applyBorder="1"/>
    <xf numFmtId="167" fontId="8" fillId="0" borderId="0" xfId="1" applyNumberFormat="1" applyFont="1" applyFill="1" applyBorder="1"/>
    <xf numFmtId="165" fontId="8" fillId="0" borderId="1" xfId="1" applyNumberFormat="1" applyFont="1" applyFill="1" applyBorder="1"/>
    <xf numFmtId="168" fontId="9" fillId="0" borderId="0" xfId="0" applyNumberFormat="1" applyFont="1"/>
    <xf numFmtId="168" fontId="8" fillId="0" borderId="1" xfId="0" applyNumberFormat="1" applyFont="1" applyBorder="1"/>
    <xf numFmtId="0" fontId="13" fillId="0" borderId="0" xfId="0" applyFont="1"/>
    <xf numFmtId="169" fontId="5" fillId="0" borderId="0" xfId="0" applyNumberFormat="1" applyFont="1"/>
    <xf numFmtId="168" fontId="8" fillId="0" borderId="0" xfId="1" applyNumberFormat="1" applyFont="1" applyFill="1" applyBorder="1" applyAlignment="1"/>
    <xf numFmtId="167" fontId="5" fillId="0" borderId="0" xfId="1" applyNumberFormat="1" applyFont="1" applyFill="1"/>
    <xf numFmtId="165" fontId="9" fillId="0" borderId="0" xfId="1" applyNumberFormat="1" applyFont="1" applyFill="1" applyBorder="1"/>
    <xf numFmtId="165" fontId="8" fillId="0" borderId="1" xfId="0" applyNumberFormat="1" applyFont="1" applyBorder="1"/>
    <xf numFmtId="167" fontId="9" fillId="0" borderId="0" xfId="0" applyNumberFormat="1" applyFont="1" applyAlignment="1">
      <alignment horizontal="right"/>
    </xf>
    <xf numFmtId="168" fontId="11" fillId="0" borderId="1" xfId="0" applyNumberFormat="1" applyFont="1" applyBorder="1"/>
    <xf numFmtId="165" fontId="21" fillId="0" borderId="0" xfId="1" applyNumberFormat="1" applyFont="1" applyFill="1"/>
    <xf numFmtId="165" fontId="11" fillId="0" borderId="0" xfId="1" applyNumberFormat="1" applyFont="1" applyFill="1"/>
    <xf numFmtId="168" fontId="11" fillId="0" borderId="0" xfId="1" applyNumberFormat="1" applyFont="1" applyFill="1" applyBorder="1"/>
    <xf numFmtId="0" fontId="6" fillId="0" borderId="0" xfId="0" applyFont="1"/>
    <xf numFmtId="3" fontId="21" fillId="0" borderId="0" xfId="0" applyNumberFormat="1" applyFont="1" applyAlignment="1">
      <alignment wrapText="1"/>
    </xf>
    <xf numFmtId="3" fontId="21" fillId="0" borderId="0" xfId="0" applyNumberFormat="1" applyFont="1"/>
    <xf numFmtId="0" fontId="22" fillId="0" borderId="0" xfId="0" applyFont="1" applyAlignment="1">
      <alignment horizontal="left" wrapText="1"/>
    </xf>
    <xf numFmtId="0" fontId="22" fillId="0" borderId="0" xfId="0" applyFont="1" applyAlignment="1">
      <alignment horizontal="left" vertical="top" wrapText="1"/>
    </xf>
    <xf numFmtId="3" fontId="21" fillId="0" borderId="1" xfId="0" applyNumberFormat="1" applyFont="1" applyBorder="1"/>
    <xf numFmtId="166" fontId="22" fillId="0" borderId="1" xfId="1" applyNumberFormat="1" applyFont="1" applyFill="1" applyBorder="1"/>
    <xf numFmtId="166" fontId="4" fillId="0" borderId="0" xfId="0" applyNumberFormat="1" applyFont="1"/>
    <xf numFmtId="0" fontId="9" fillId="2" borderId="5" xfId="0" applyFont="1" applyFill="1" applyBorder="1"/>
    <xf numFmtId="0" fontId="9" fillId="2" borderId="0" xfId="0" applyFont="1" applyFill="1"/>
    <xf numFmtId="0" fontId="9" fillId="2" borderId="3" xfId="0" applyFont="1" applyFill="1" applyBorder="1"/>
    <xf numFmtId="0" fontId="8" fillId="2" borderId="0" xfId="0" applyFont="1" applyFill="1"/>
    <xf numFmtId="14" fontId="9" fillId="2" borderId="5" xfId="0" applyNumberFormat="1" applyFont="1" applyFill="1" applyBorder="1"/>
    <xf numFmtId="14" fontId="9" fillId="2" borderId="3" xfId="0" applyNumberFormat="1" applyFont="1" applyFill="1" applyBorder="1"/>
    <xf numFmtId="14" fontId="10" fillId="2" borderId="3" xfId="0" applyNumberFormat="1" applyFont="1" applyFill="1" applyBorder="1" applyAlignment="1">
      <alignment horizontal="right"/>
    </xf>
    <xf numFmtId="14" fontId="9" fillId="2" borderId="3" xfId="0" applyNumberFormat="1" applyFont="1" applyFill="1" applyBorder="1" applyAlignment="1">
      <alignment horizontal="right"/>
    </xf>
    <xf numFmtId="0" fontId="3" fillId="2" borderId="5" xfId="0" applyFont="1" applyFill="1" applyBorder="1"/>
    <xf numFmtId="0" fontId="3" fillId="2" borderId="3" xfId="0" applyFont="1" applyFill="1" applyBorder="1"/>
    <xf numFmtId="0" fontId="24" fillId="2" borderId="3" xfId="0" applyFont="1" applyFill="1" applyBorder="1" applyAlignment="1">
      <alignment horizontal="right"/>
    </xf>
    <xf numFmtId="0" fontId="3" fillId="2" borderId="3" xfId="0" applyFont="1" applyFill="1" applyBorder="1" applyAlignment="1">
      <alignment horizontal="right"/>
    </xf>
    <xf numFmtId="0" fontId="10" fillId="2" borderId="0" xfId="0" applyFont="1" applyFill="1" applyAlignment="1">
      <alignment horizontal="right"/>
    </xf>
    <xf numFmtId="165" fontId="10" fillId="2" borderId="0" xfId="0" applyNumberFormat="1" applyFont="1" applyFill="1"/>
    <xf numFmtId="166" fontId="9" fillId="2" borderId="0" xfId="1" applyNumberFormat="1" applyFont="1" applyFill="1" applyBorder="1"/>
    <xf numFmtId="165" fontId="9" fillId="2" borderId="0" xfId="1" applyNumberFormat="1" applyFont="1" applyFill="1" applyBorder="1"/>
    <xf numFmtId="0" fontId="4" fillId="2" borderId="0" xfId="0" applyFont="1" applyFill="1"/>
    <xf numFmtId="165" fontId="24" fillId="2" borderId="0" xfId="0" applyNumberFormat="1" applyFont="1" applyFill="1"/>
    <xf numFmtId="166" fontId="3" fillId="2" borderId="0" xfId="1" applyNumberFormat="1" applyFont="1" applyFill="1" applyBorder="1"/>
    <xf numFmtId="168" fontId="9" fillId="2" borderId="0" xfId="1" applyNumberFormat="1" applyFont="1" applyFill="1" applyBorder="1"/>
    <xf numFmtId="168" fontId="10" fillId="2" borderId="0" xfId="1" applyNumberFormat="1" applyFont="1" applyFill="1" applyBorder="1"/>
    <xf numFmtId="166" fontId="8" fillId="2" borderId="0" xfId="1" applyNumberFormat="1" applyFont="1" applyFill="1" applyBorder="1"/>
    <xf numFmtId="168" fontId="8" fillId="2" borderId="0" xfId="0" applyNumberFormat="1" applyFont="1" applyFill="1"/>
    <xf numFmtId="168" fontId="8" fillId="2" borderId="0" xfId="1" applyNumberFormat="1" applyFont="1" applyFill="1" applyBorder="1"/>
    <xf numFmtId="167" fontId="9" fillId="2" borderId="0" xfId="0" applyNumberFormat="1" applyFont="1" applyFill="1" applyAlignment="1">
      <alignment horizontal="right"/>
    </xf>
    <xf numFmtId="165" fontId="23" fillId="2" borderId="0" xfId="1" applyNumberFormat="1" applyFont="1" applyFill="1" applyBorder="1"/>
    <xf numFmtId="165" fontId="8" fillId="2" borderId="0" xfId="1" applyNumberFormat="1" applyFont="1" applyFill="1" applyBorder="1"/>
    <xf numFmtId="168" fontId="9" fillId="2" borderId="0" xfId="0" applyNumberFormat="1" applyFont="1" applyFill="1"/>
    <xf numFmtId="3" fontId="11" fillId="3" borderId="1" xfId="0" applyNumberFormat="1" applyFont="1" applyFill="1" applyBorder="1"/>
    <xf numFmtId="168" fontId="8" fillId="3" borderId="1" xfId="1" applyNumberFormat="1" applyFont="1" applyFill="1" applyBorder="1"/>
    <xf numFmtId="0" fontId="8" fillId="3" borderId="1" xfId="0" applyFont="1" applyFill="1" applyBorder="1"/>
    <xf numFmtId="165" fontId="25" fillId="0" borderId="0" xfId="2"/>
    <xf numFmtId="170" fontId="25" fillId="0" borderId="0" xfId="2" applyNumberFormat="1"/>
    <xf numFmtId="170" fontId="26" fillId="0" borderId="0" xfId="2" applyNumberFormat="1" applyFont="1"/>
    <xf numFmtId="168" fontId="25" fillId="0" borderId="0" xfId="2" applyNumberFormat="1"/>
    <xf numFmtId="168" fontId="26" fillId="0" borderId="0" xfId="2" applyNumberFormat="1" applyFont="1"/>
    <xf numFmtId="3" fontId="25" fillId="0" borderId="0" xfId="2" applyNumberFormat="1"/>
    <xf numFmtId="3" fontId="25" fillId="0" borderId="0" xfId="2" applyNumberFormat="1" applyAlignment="1">
      <alignment wrapText="1"/>
    </xf>
    <xf numFmtId="3" fontId="26" fillId="0" borderId="0" xfId="2" applyNumberFormat="1" applyFont="1" applyAlignment="1">
      <alignment wrapText="1"/>
    </xf>
    <xf numFmtId="3" fontId="26" fillId="0" borderId="0" xfId="2" applyNumberFormat="1" applyFont="1"/>
    <xf numFmtId="165" fontId="26" fillId="0" borderId="0" xfId="2" applyFont="1"/>
    <xf numFmtId="1" fontId="26" fillId="0" borderId="0" xfId="2" applyNumberFormat="1" applyFont="1" applyAlignment="1">
      <alignment horizontal="left"/>
    </xf>
    <xf numFmtId="14" fontId="25" fillId="0" borderId="0" xfId="2" applyNumberFormat="1"/>
    <xf numFmtId="14" fontId="26" fillId="0" borderId="0" xfId="2" applyNumberFormat="1" applyFont="1"/>
    <xf numFmtId="3" fontId="27" fillId="0" borderId="0" xfId="2" applyNumberFormat="1" applyFont="1" applyAlignment="1">
      <alignment wrapText="1"/>
    </xf>
    <xf numFmtId="3" fontId="25" fillId="0" borderId="0" xfId="2" applyNumberFormat="1" applyAlignment="1">
      <alignment horizontal="left" wrapText="1"/>
    </xf>
    <xf numFmtId="17" fontId="24" fillId="0" borderId="3" xfId="2" applyNumberFormat="1" applyFont="1" applyBorder="1" applyAlignment="1">
      <alignment horizontal="center"/>
    </xf>
    <xf numFmtId="168" fontId="25" fillId="0" borderId="3" xfId="2" applyNumberFormat="1" applyBorder="1"/>
    <xf numFmtId="3" fontId="25" fillId="0" borderId="3" xfId="2" applyNumberFormat="1" applyBorder="1" applyAlignment="1">
      <alignment wrapText="1"/>
    </xf>
    <xf numFmtId="40" fontId="25" fillId="0" borderId="0" xfId="3" applyFont="1" applyBorder="1" applyProtection="1"/>
    <xf numFmtId="171" fontId="25" fillId="0" borderId="3" xfId="3" applyNumberFormat="1" applyFont="1" applyBorder="1" applyProtection="1"/>
    <xf numFmtId="3" fontId="25" fillId="0" borderId="3" xfId="2" applyNumberFormat="1" applyBorder="1"/>
    <xf numFmtId="38" fontId="26" fillId="0" borderId="0" xfId="3" applyNumberFormat="1" applyFont="1" applyBorder="1" applyProtection="1"/>
    <xf numFmtId="3" fontId="27" fillId="0" borderId="0" xfId="2" applyNumberFormat="1" applyFont="1"/>
    <xf numFmtId="38" fontId="27" fillId="0" borderId="0" xfId="3" applyNumberFormat="1" applyFont="1" applyBorder="1" applyProtection="1"/>
    <xf numFmtId="38" fontId="25" fillId="0" borderId="0" xfId="3" applyNumberFormat="1" applyFont="1" applyBorder="1" applyProtection="1"/>
    <xf numFmtId="38" fontId="25" fillId="0" borderId="0" xfId="2" applyNumberFormat="1"/>
    <xf numFmtId="14" fontId="26" fillId="0" borderId="5" xfId="2" applyNumberFormat="1" applyFont="1" applyBorder="1"/>
    <xf numFmtId="14" fontId="26" fillId="0" borderId="7" xfId="2" applyNumberFormat="1" applyFont="1" applyBorder="1"/>
    <xf numFmtId="1" fontId="25" fillId="0" borderId="0" xfId="2" applyNumberFormat="1"/>
    <xf numFmtId="165" fontId="0" fillId="0" borderId="0" xfId="0" applyNumberFormat="1"/>
    <xf numFmtId="165" fontId="26" fillId="0" borderId="0" xfId="0" applyNumberFormat="1" applyFont="1"/>
    <xf numFmtId="165" fontId="25" fillId="0" borderId="0" xfId="0" applyNumberFormat="1" applyFont="1"/>
    <xf numFmtId="1" fontId="0" fillId="0" borderId="0" xfId="0" applyNumberFormat="1"/>
    <xf numFmtId="14" fontId="26" fillId="0" borderId="7" xfId="0" applyNumberFormat="1" applyFont="1" applyBorder="1"/>
    <xf numFmtId="14" fontId="26" fillId="0" borderId="5" xfId="0" applyNumberFormat="1" applyFont="1" applyBorder="1"/>
    <xf numFmtId="14" fontId="25" fillId="0" borderId="6" xfId="0" applyNumberFormat="1" applyFont="1" applyBorder="1"/>
    <xf numFmtId="14" fontId="25" fillId="0" borderId="0" xfId="0" applyNumberFormat="1" applyFont="1"/>
    <xf numFmtId="17" fontId="24" fillId="0" borderId="3" xfId="0" applyNumberFormat="1" applyFont="1" applyBorder="1" applyAlignment="1">
      <alignment horizontal="center"/>
    </xf>
    <xf numFmtId="3" fontId="25" fillId="0" borderId="0" xfId="0" applyNumberFormat="1" applyFont="1"/>
    <xf numFmtId="3" fontId="0" fillId="0" borderId="0" xfId="0" applyNumberFormat="1"/>
    <xf numFmtId="3" fontId="26" fillId="0" borderId="0" xfId="0" applyNumberFormat="1" applyFont="1"/>
    <xf numFmtId="3" fontId="26" fillId="0" borderId="0" xfId="0" applyNumberFormat="1" applyFont="1" applyAlignment="1">
      <alignment wrapText="1"/>
    </xf>
    <xf numFmtId="3" fontId="0" fillId="0" borderId="0" xfId="0" applyNumberFormat="1" applyAlignment="1">
      <alignment wrapText="1"/>
    </xf>
    <xf numFmtId="3" fontId="0" fillId="0" borderId="0" xfId="0" applyNumberFormat="1" applyAlignment="1">
      <alignment horizontal="left" wrapText="1"/>
    </xf>
    <xf numFmtId="3" fontId="27" fillId="0" borderId="0" xfId="0" applyNumberFormat="1" applyFont="1" applyAlignment="1">
      <alignment wrapText="1"/>
    </xf>
    <xf numFmtId="3" fontId="27" fillId="0" borderId="0" xfId="0" applyNumberFormat="1" applyFont="1"/>
    <xf numFmtId="3" fontId="25" fillId="0" borderId="3" xfId="0" applyNumberFormat="1" applyFont="1" applyBorder="1"/>
    <xf numFmtId="3" fontId="0" fillId="0" borderId="3" xfId="0" applyNumberFormat="1" applyBorder="1" applyAlignment="1">
      <alignment wrapText="1"/>
    </xf>
    <xf numFmtId="170" fontId="25" fillId="0" borderId="0" xfId="0" applyNumberFormat="1" applyFont="1"/>
    <xf numFmtId="170" fontId="26" fillId="0" borderId="0" xfId="0" applyNumberFormat="1" applyFont="1"/>
    <xf numFmtId="168" fontId="25" fillId="0" borderId="3" xfId="0" applyNumberFormat="1" applyFont="1" applyBorder="1"/>
    <xf numFmtId="168" fontId="25" fillId="0" borderId="0" xfId="0" applyNumberFormat="1" applyFont="1"/>
    <xf numFmtId="168" fontId="26" fillId="0" borderId="0" xfId="0" applyNumberFormat="1" applyFont="1"/>
    <xf numFmtId="14" fontId="26" fillId="0" borderId="0" xfId="0" applyNumberFormat="1" applyFont="1"/>
    <xf numFmtId="1" fontId="26" fillId="0" borderId="0" xfId="0" applyNumberFormat="1" applyFont="1" applyAlignment="1">
      <alignment horizontal="left"/>
    </xf>
    <xf numFmtId="3" fontId="25" fillId="0" borderId="0" xfId="0" applyNumberFormat="1" applyFont="1" applyAlignment="1">
      <alignment wrapText="1"/>
    </xf>
    <xf numFmtId="0" fontId="30" fillId="0" borderId="0" xfId="0" applyFont="1"/>
    <xf numFmtId="172" fontId="9" fillId="0" borderId="0" xfId="5" applyNumberFormat="1" applyFont="1"/>
    <xf numFmtId="0" fontId="31" fillId="0" borderId="0" xfId="0" applyFont="1" applyAlignment="1">
      <alignment horizontal="justify" vertical="center"/>
    </xf>
    <xf numFmtId="0" fontId="19" fillId="0" borderId="0" xfId="0" applyFont="1" applyAlignment="1">
      <alignment vertical="top" wrapText="1"/>
    </xf>
    <xf numFmtId="0" fontId="9" fillId="2" borderId="5" xfId="0" applyFont="1" applyFill="1" applyBorder="1" applyAlignment="1">
      <alignment horizontal="center"/>
    </xf>
    <xf numFmtId="14" fontId="9" fillId="2" borderId="5" xfId="0" applyNumberFormat="1" applyFont="1" applyFill="1" applyBorder="1" applyAlignment="1">
      <alignment horizontal="center"/>
    </xf>
    <xf numFmtId="0" fontId="9" fillId="0" borderId="2" xfId="0" applyFont="1" applyBorder="1" applyAlignment="1">
      <alignment horizontal="center"/>
    </xf>
    <xf numFmtId="0" fontId="3" fillId="2" borderId="5" xfId="0" applyFont="1" applyFill="1" applyBorder="1" applyAlignment="1">
      <alignment horizontal="center"/>
    </xf>
    <xf numFmtId="0" fontId="9" fillId="2" borderId="2" xfId="0" applyFont="1" applyFill="1" applyBorder="1" applyAlignment="1">
      <alignment horizontal="center"/>
    </xf>
    <xf numFmtId="0" fontId="4" fillId="2" borderId="2" xfId="0" applyFont="1" applyFill="1" applyBorder="1" applyAlignment="1">
      <alignment horizontal="center"/>
    </xf>
    <xf numFmtId="0" fontId="10" fillId="2" borderId="2" xfId="0" applyFont="1" applyFill="1" applyBorder="1" applyAlignment="1">
      <alignment horizontal="center"/>
    </xf>
    <xf numFmtId="0" fontId="4" fillId="0" borderId="2" xfId="0" applyFont="1" applyBorder="1" applyAlignment="1">
      <alignment horizontal="center"/>
    </xf>
    <xf numFmtId="167" fontId="4" fillId="0" borderId="2" xfId="1" applyNumberFormat="1" applyFont="1" applyBorder="1" applyAlignment="1">
      <alignment horizontal="center"/>
    </xf>
    <xf numFmtId="14" fontId="25" fillId="0" borderId="0" xfId="2" applyNumberFormat="1" applyAlignment="1">
      <alignment horizontal="center"/>
    </xf>
    <xf numFmtId="3" fontId="25" fillId="0" borderId="0" xfId="2" applyNumberFormat="1" applyAlignment="1">
      <alignment horizontal="center"/>
    </xf>
    <xf numFmtId="14" fontId="25" fillId="0" borderId="0" xfId="0" applyNumberFormat="1" applyFont="1" applyAlignment="1">
      <alignment horizontal="center"/>
    </xf>
    <xf numFmtId="14" fontId="0" fillId="0" borderId="0" xfId="0" applyNumberFormat="1" applyAlignment="1">
      <alignment horizontal="center"/>
    </xf>
    <xf numFmtId="3" fontId="25" fillId="0" borderId="0" xfId="0" applyNumberFormat="1" applyFont="1" applyAlignment="1">
      <alignment horizontal="center"/>
    </xf>
  </cellXfs>
  <cellStyles count="6">
    <cellStyle name="Comma" xfId="1" builtinId="3"/>
    <cellStyle name="Comma [0]" xfId="5" builtinId="6"/>
    <cellStyle name="Comma 2" xfId="3" xr:uid="{00000000-0005-0000-0000-000002000000}"/>
    <cellStyle name="Normal" xfId="0" builtinId="0"/>
    <cellStyle name="Normal 2" xfId="2" xr:uid="{00000000-0005-0000-0000-000004000000}"/>
    <cellStyle name="Percent 2" xfId="4" xr:uid="{00000000-0005-0000-0000-000006000000}"/>
  </cellStyles>
  <dxfs count="20">
    <dxf>
      <font>
        <color theme="1"/>
      </font>
    </dxf>
    <dxf>
      <font>
        <color theme="1"/>
      </font>
    </dxf>
    <dxf>
      <font>
        <color theme="1"/>
      </font>
    </dxf>
    <dxf>
      <font>
        <color rgb="FFFF0000"/>
      </font>
    </dxf>
    <dxf>
      <font>
        <color theme="1"/>
      </font>
    </dxf>
    <dxf>
      <font>
        <color rgb="FFFF0000"/>
      </font>
    </dxf>
    <dxf>
      <font>
        <color rgb="FFFF0000"/>
      </font>
    </dxf>
    <dxf>
      <font>
        <color rgb="FFFF0000"/>
      </font>
    </dxf>
    <dxf>
      <font>
        <color theme="1"/>
      </font>
    </dxf>
    <dxf>
      <font>
        <color rgb="FFFF0000"/>
      </font>
    </dxf>
    <dxf>
      <font>
        <color rgb="FFFF0000"/>
      </font>
    </dxf>
    <dxf>
      <font>
        <color rgb="FFFF0000"/>
      </font>
    </dxf>
    <dxf>
      <font>
        <color rgb="FFFF0000"/>
      </font>
    </dxf>
    <dxf>
      <font>
        <color rgb="FFFF0000"/>
      </font>
    </dxf>
    <dxf>
      <font>
        <color rgb="FFFF0000"/>
      </font>
    </dxf>
    <dxf>
      <font>
        <color theme="1"/>
      </font>
    </dxf>
    <dxf>
      <font>
        <color theme="1"/>
      </font>
    </dxf>
    <dxf>
      <font>
        <color rgb="FF9C0006"/>
      </font>
    </dxf>
    <dxf>
      <font>
        <color rgb="FFFF0000"/>
      </font>
    </dxf>
    <dxf>
      <font>
        <color rgb="FFFF0000"/>
      </font>
    </dxf>
  </dxfs>
  <tableStyles count="0" defaultTableStyle="TableStyleMedium9" defaultPivotStyle="PivotStyleLight16"/>
  <colors>
    <mruColors>
      <color rgb="FFE36D0B"/>
      <color rgb="FFB2912F"/>
      <color rgb="FFF17CB0"/>
      <color rgb="FF60BD68"/>
      <color rgb="FFF0AC00"/>
      <color rgb="FFF5C708"/>
      <color rgb="FF60B4CC"/>
      <color rgb="FF02B9A7"/>
      <color rgb="FF616A6F"/>
      <color rgb="FF928B5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1" Type="http://schemas.openxmlformats.org/officeDocument/2006/relationships/image" Target="../media/image1.png"/></Relationships>
</file>

<file path=xl/charts/_rels/chart1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2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2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b="1">
                <a:solidFill>
                  <a:sysClr val="windowText" lastClr="000000"/>
                </a:solidFill>
                <a:latin typeface="Arial" panose="020B0604020202020204" pitchFamily="34" charset="0"/>
                <a:cs typeface="Arial" panose="020B0604020202020204" pitchFamily="34" charset="0"/>
              </a:rPr>
              <a:t>QGDP at 2016/17 Constant Prices</a:t>
            </a: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764365890433904"/>
          <c:y val="0.14514145141451415"/>
          <c:w val="0.79081923270229515"/>
          <c:h val="0.48554842083853911"/>
        </c:manualLayout>
      </c:layout>
      <c:barChart>
        <c:barDir val="col"/>
        <c:grouping val="clustered"/>
        <c:varyColors val="0"/>
        <c:ser>
          <c:idx val="2"/>
          <c:order val="0"/>
          <c:tx>
            <c:strRef>
              <c:f>Summary!$A$5</c:f>
              <c:strCache>
                <c:ptCount val="1"/>
                <c:pt idx="0">
                  <c:v>ORIGINAL ESTIMATES</c:v>
                </c:pt>
              </c:strCache>
            </c:strRef>
          </c:tx>
          <c:spPr>
            <a:solidFill>
              <a:schemeClr val="accent4"/>
            </a:solidFill>
            <a:ln>
              <a:noFill/>
            </a:ln>
            <a:effectLst/>
          </c:spPr>
          <c:invertIfNegative val="0"/>
          <c:cat>
            <c:multiLvlStrRef>
              <c:extLst>
                <c:ext xmlns:c15="http://schemas.microsoft.com/office/drawing/2012/chart" uri="{02D57815-91ED-43cb-92C2-25804820EDAC}">
                  <c15:fullRef>
                    <c15:sqref>Summary!$G$3:$AM$4</c15:sqref>
                  </c15:fullRef>
                </c:ext>
              </c:extLst>
              <c:f>Summary!$Z$3:$AM$4</c:f>
              <c:multiLvlStrCache>
                <c:ptCount val="1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lvl>
                <c:lvl>
                  <c:pt idx="0">
                    <c:v>2022/23</c:v>
                  </c:pt>
                  <c:pt idx="4">
                    <c:v>2023/24</c:v>
                  </c:pt>
                  <c:pt idx="8">
                    <c:v>2024/25</c:v>
                  </c:pt>
                  <c:pt idx="12">
                    <c:v>2025/26</c:v>
                  </c:pt>
                </c:lvl>
              </c:multiLvlStrCache>
            </c:multiLvlStrRef>
          </c:cat>
          <c:val>
            <c:numRef>
              <c:extLst>
                <c:ext xmlns:c15="http://schemas.microsoft.com/office/drawing/2012/chart" uri="{02D57815-91ED-43cb-92C2-25804820EDAC}">
                  <c15:fullRef>
                    <c15:sqref>Summary!$G$6:$AM$6</c15:sqref>
                  </c15:fullRef>
                </c:ext>
              </c:extLst>
              <c:f>Summary!$Z$6:$AM$6</c:f>
              <c:numCache>
                <c:formatCode>#,##0</c:formatCode>
                <c:ptCount val="14"/>
                <c:pt idx="0">
                  <c:v>38746.737026853109</c:v>
                </c:pt>
                <c:pt idx="1">
                  <c:v>35492.012708280527</c:v>
                </c:pt>
                <c:pt idx="2">
                  <c:v>33446.227975016081</c:v>
                </c:pt>
                <c:pt idx="3">
                  <c:v>36506.451755519171</c:v>
                </c:pt>
                <c:pt idx="4">
                  <c:v>41068.072476131187</c:v>
                </c:pt>
                <c:pt idx="5">
                  <c:v>37544.310138874716</c:v>
                </c:pt>
                <c:pt idx="6">
                  <c:v>35728.791475472033</c:v>
                </c:pt>
                <c:pt idx="7">
                  <c:v>38581.883833767082</c:v>
                </c:pt>
                <c:pt idx="8">
                  <c:v>43605.835576599478</c:v>
                </c:pt>
                <c:pt idx="9">
                  <c:v>39557.990842081461</c:v>
                </c:pt>
                <c:pt idx="10">
                  <c:v>38727.98734077152</c:v>
                </c:pt>
                <c:pt idx="11">
                  <c:v>40714.044049908181</c:v>
                </c:pt>
                <c:pt idx="12">
                  <c:v>45718.883622849549</c:v>
                </c:pt>
                <c:pt idx="13">
                  <c:v>42903.876010157692</c:v>
                </c:pt>
              </c:numCache>
            </c:numRef>
          </c:val>
          <c:extLst>
            <c:ext xmlns:c16="http://schemas.microsoft.com/office/drawing/2014/chart" uri="{C3380CC4-5D6E-409C-BE32-E72D297353CC}">
              <c16:uniqueId val="{00000000-8ABD-4AD4-9528-D6BF8EF8563B}"/>
            </c:ext>
          </c:extLst>
        </c:ser>
        <c:ser>
          <c:idx val="0"/>
          <c:order val="1"/>
          <c:tx>
            <c:strRef>
              <c:f>Summary!$A$13</c:f>
              <c:strCache>
                <c:ptCount val="1"/>
                <c:pt idx="0">
                  <c:v>SEASONALLY ADJUSTED ESTIMATES</c:v>
                </c:pt>
              </c:strCache>
            </c:strRef>
          </c:tx>
          <c:spPr>
            <a:solidFill>
              <a:srgbClr val="F0AC00"/>
            </a:solidFill>
            <a:ln>
              <a:noFill/>
            </a:ln>
            <a:effectLst/>
          </c:spPr>
          <c:invertIfNegative val="0"/>
          <c:cat>
            <c:multiLvlStrRef>
              <c:extLst>
                <c:ext xmlns:c15="http://schemas.microsoft.com/office/drawing/2012/chart" uri="{02D57815-91ED-43cb-92C2-25804820EDAC}">
                  <c15:fullRef>
                    <c15:sqref>Summary!$G$3:$AM$4</c15:sqref>
                  </c15:fullRef>
                </c:ext>
              </c:extLst>
              <c:f>Summary!$Z$3:$AM$4</c:f>
              <c:multiLvlStrCache>
                <c:ptCount val="1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lvl>
                <c:lvl>
                  <c:pt idx="0">
                    <c:v>2022/23</c:v>
                  </c:pt>
                  <c:pt idx="4">
                    <c:v>2023/24</c:v>
                  </c:pt>
                  <c:pt idx="8">
                    <c:v>2024/25</c:v>
                  </c:pt>
                  <c:pt idx="12">
                    <c:v>2025/26</c:v>
                  </c:pt>
                </c:lvl>
              </c:multiLvlStrCache>
            </c:multiLvlStrRef>
          </c:cat>
          <c:val>
            <c:numRef>
              <c:extLst>
                <c:ext xmlns:c15="http://schemas.microsoft.com/office/drawing/2012/chart" uri="{02D57815-91ED-43cb-92C2-25804820EDAC}">
                  <c15:fullRef>
                    <c15:sqref>Summary!$G$14:$AM$14</c15:sqref>
                  </c15:fullRef>
                </c:ext>
              </c:extLst>
              <c:f>Summary!$Z$14:$AM$14</c:f>
              <c:numCache>
                <c:formatCode>#,##0</c:formatCode>
                <c:ptCount val="14"/>
                <c:pt idx="0">
                  <c:v>35517.737086877118</c:v>
                </c:pt>
                <c:pt idx="1">
                  <c:v>35836.54516817956</c:v>
                </c:pt>
                <c:pt idx="2">
                  <c:v>35798.781252551009</c:v>
                </c:pt>
                <c:pt idx="3">
                  <c:v>36969.932194423294</c:v>
                </c:pt>
                <c:pt idx="4">
                  <c:v>37483.150316014762</c:v>
                </c:pt>
                <c:pt idx="5">
                  <c:v>38034.022628928949</c:v>
                </c:pt>
                <c:pt idx="6">
                  <c:v>38330.505504848268</c:v>
                </c:pt>
                <c:pt idx="7">
                  <c:v>38995.257804297391</c:v>
                </c:pt>
                <c:pt idx="8">
                  <c:v>39825.160223270017</c:v>
                </c:pt>
                <c:pt idx="9">
                  <c:v>40146.527558536844</c:v>
                </c:pt>
                <c:pt idx="10">
                  <c:v>41458.227615187541</c:v>
                </c:pt>
                <c:pt idx="11">
                  <c:v>41147.853643180293</c:v>
                </c:pt>
                <c:pt idx="12">
                  <c:v>41936.504537982662</c:v>
                </c:pt>
                <c:pt idx="13">
                  <c:v>43598.399896274939</c:v>
                </c:pt>
              </c:numCache>
            </c:numRef>
          </c:val>
          <c:extLst>
            <c:ext xmlns:c16="http://schemas.microsoft.com/office/drawing/2014/chart" uri="{C3380CC4-5D6E-409C-BE32-E72D297353CC}">
              <c16:uniqueId val="{00000001-8ABD-4AD4-9528-D6BF8EF8563B}"/>
            </c:ext>
          </c:extLst>
        </c:ser>
        <c:ser>
          <c:idx val="1"/>
          <c:order val="2"/>
          <c:tx>
            <c:strRef>
              <c:f>Summary!$A$21</c:f>
              <c:strCache>
                <c:ptCount val="1"/>
                <c:pt idx="0">
                  <c:v>TREND CYCLE ESTIMATES</c:v>
                </c:pt>
              </c:strCache>
            </c:strRef>
          </c:tx>
          <c:spPr>
            <a:solidFill>
              <a:srgbClr val="60B4CC"/>
            </a:solidFill>
            <a:ln>
              <a:noFill/>
            </a:ln>
            <a:effectLst/>
          </c:spPr>
          <c:invertIfNegative val="0"/>
          <c:cat>
            <c:multiLvlStrRef>
              <c:extLst>
                <c:ext xmlns:c15="http://schemas.microsoft.com/office/drawing/2012/chart" uri="{02D57815-91ED-43cb-92C2-25804820EDAC}">
                  <c15:fullRef>
                    <c15:sqref>Summary!$G$3:$AM$4</c15:sqref>
                  </c15:fullRef>
                </c:ext>
              </c:extLst>
              <c:f>Summary!$Z$3:$AM$4</c:f>
              <c:multiLvlStrCache>
                <c:ptCount val="1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lvl>
                <c:lvl>
                  <c:pt idx="0">
                    <c:v>2022/23</c:v>
                  </c:pt>
                  <c:pt idx="4">
                    <c:v>2023/24</c:v>
                  </c:pt>
                  <c:pt idx="8">
                    <c:v>2024/25</c:v>
                  </c:pt>
                  <c:pt idx="12">
                    <c:v>2025/26</c:v>
                  </c:pt>
                </c:lvl>
              </c:multiLvlStrCache>
            </c:multiLvlStrRef>
          </c:cat>
          <c:val>
            <c:numRef>
              <c:extLst>
                <c:ext xmlns:c15="http://schemas.microsoft.com/office/drawing/2012/chart" uri="{02D57815-91ED-43cb-92C2-25804820EDAC}">
                  <c15:fullRef>
                    <c15:sqref>Summary!$G$22:$AM$22</c15:sqref>
                  </c15:fullRef>
                </c:ext>
              </c:extLst>
              <c:f>Summary!$Z$22:$AM$22</c:f>
              <c:numCache>
                <c:formatCode>#,##0</c:formatCode>
                <c:ptCount val="14"/>
                <c:pt idx="0">
                  <c:v>35348.49027688161</c:v>
                </c:pt>
                <c:pt idx="1">
                  <c:v>35585.279642430207</c:v>
                </c:pt>
                <c:pt idx="2">
                  <c:v>36078.586985308742</c:v>
                </c:pt>
                <c:pt idx="3">
                  <c:v>36779.912754784484</c:v>
                </c:pt>
                <c:pt idx="4">
                  <c:v>37191.742316204494</c:v>
                </c:pt>
                <c:pt idx="5">
                  <c:v>37418.390839011547</c:v>
                </c:pt>
                <c:pt idx="6">
                  <c:v>38268.833646374631</c:v>
                </c:pt>
                <c:pt idx="7">
                  <c:v>39291.158617664834</c:v>
                </c:pt>
                <c:pt idx="8">
                  <c:v>39872.709761417755</c:v>
                </c:pt>
                <c:pt idx="9">
                  <c:v>40241.212029566123</c:v>
                </c:pt>
                <c:pt idx="10">
                  <c:v>40656.362517762842</c:v>
                </c:pt>
                <c:pt idx="11">
                  <c:v>41347.988401317103</c:v>
                </c:pt>
                <c:pt idx="12">
                  <c:v>42239.942127499729</c:v>
                </c:pt>
                <c:pt idx="13">
                  <c:v>43273.382556345714</c:v>
                </c:pt>
              </c:numCache>
            </c:numRef>
          </c:val>
          <c:extLst>
            <c:ext xmlns:c16="http://schemas.microsoft.com/office/drawing/2014/chart" uri="{C3380CC4-5D6E-409C-BE32-E72D297353CC}">
              <c16:uniqueId val="{00000002-8ABD-4AD4-9528-D6BF8EF8563B}"/>
            </c:ext>
          </c:extLst>
        </c:ser>
        <c:dLbls>
          <c:showLegendKey val="0"/>
          <c:showVal val="0"/>
          <c:showCatName val="0"/>
          <c:showSerName val="0"/>
          <c:showPercent val="0"/>
          <c:showBubbleSize val="0"/>
        </c:dLbls>
        <c:gapWidth val="132"/>
        <c:axId val="424804456"/>
        <c:axId val="424804848"/>
      </c:barChart>
      <c:catAx>
        <c:axId val="424804456"/>
        <c:scaling>
          <c:orientation val="minMax"/>
        </c:scaling>
        <c:delete val="0"/>
        <c:axPos val="b"/>
        <c:numFmt formatCode="General" sourceLinked="0"/>
        <c:majorTickMark val="out"/>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7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24804848"/>
        <c:crosses val="autoZero"/>
        <c:auto val="1"/>
        <c:lblAlgn val="ctr"/>
        <c:lblOffset val="100"/>
        <c:noMultiLvlLbl val="0"/>
      </c:catAx>
      <c:valAx>
        <c:axId val="424804848"/>
        <c:scaling>
          <c:orientation val="minMax"/>
          <c:min val="30000"/>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Billion Shs</a:t>
                </a:r>
              </a:p>
            </c:rich>
          </c:tx>
          <c:layout>
            <c:manualLayout>
              <c:xMode val="edge"/>
              <c:yMode val="edge"/>
              <c:x val="0"/>
              <c:y val="0.28827226854945714"/>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24804456"/>
        <c:crosses val="autoZero"/>
        <c:crossBetween val="between"/>
        <c:majorUnit val="1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000000000000444" l="0.70000000000000062" r="0.70000000000000062" t="0.75000000000000444"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900">
                <a:solidFill>
                  <a:sysClr val="windowText" lastClr="000000"/>
                </a:solidFill>
                <a:latin typeface="Arial" panose="020B0604020202020204" pitchFamily="34" charset="0"/>
                <a:cs typeface="Arial" panose="020B0604020202020204" pitchFamily="34" charset="0"/>
              </a:rPr>
              <a:t>Quarter to Quarter percentage change in QGDP estimates </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lineChart>
        <c:grouping val="standard"/>
        <c:varyColors val="0"/>
        <c:ser>
          <c:idx val="0"/>
          <c:order val="0"/>
          <c:tx>
            <c:strRef>
              <c:f>Summary!$A$42</c:f>
              <c:strCache>
                <c:ptCount val="1"/>
                <c:pt idx="0">
                  <c:v>SEASONALLY ADJUSTED ESTIMATES</c:v>
                </c:pt>
              </c:strCache>
            </c:strRef>
          </c:tx>
          <c:spPr>
            <a:ln w="23495" cap="rnd">
              <a:solidFill>
                <a:srgbClr val="00B050"/>
              </a:solidFill>
              <a:round/>
            </a:ln>
            <a:effectLst/>
          </c:spPr>
          <c:marker>
            <c:symbol val="none"/>
          </c:marker>
          <c:cat>
            <c:multiLvlStrRef>
              <c:extLst>
                <c:ext xmlns:c15="http://schemas.microsoft.com/office/drawing/2012/chart" uri="{02D57815-91ED-43cb-92C2-25804820EDAC}">
                  <c15:fullRef>
                    <c15:sqref>Summary!$G$32:$AM$33</c15:sqref>
                  </c15:fullRef>
                </c:ext>
              </c:extLst>
              <c:f>Summary!$V$32:$AM$33</c:f>
              <c:multiLvlStrCache>
                <c:ptCount val="18"/>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lvl>
                <c:lvl>
                  <c:pt idx="0">
                    <c:v>2021/22</c:v>
                  </c:pt>
                  <c:pt idx="4">
                    <c:v>2022/23</c:v>
                  </c:pt>
                  <c:pt idx="8">
                    <c:v>2023/24</c:v>
                  </c:pt>
                  <c:pt idx="12">
                    <c:v>2024/25</c:v>
                  </c:pt>
                  <c:pt idx="16">
                    <c:v>2025/26</c:v>
                  </c:pt>
                </c:lvl>
              </c:multiLvlStrCache>
            </c:multiLvlStrRef>
          </c:cat>
          <c:val>
            <c:numRef>
              <c:extLst>
                <c:ext xmlns:c15="http://schemas.microsoft.com/office/drawing/2012/chart" uri="{02D57815-91ED-43cb-92C2-25804820EDAC}">
                  <c15:fullRef>
                    <c15:sqref>Summary!$G$43:$AM$43</c15:sqref>
                  </c15:fullRef>
                </c:ext>
              </c:extLst>
              <c:f>Summary!$V$43:$AM$43</c:f>
              <c:numCache>
                <c:formatCode>#,##0.0</c:formatCode>
                <c:ptCount val="18"/>
                <c:pt idx="0">
                  <c:v>-1.7322537772073932</c:v>
                </c:pt>
                <c:pt idx="1">
                  <c:v>4.7668230125172961</c:v>
                </c:pt>
                <c:pt idx="2">
                  <c:v>2.2077868322680327</c:v>
                </c:pt>
                <c:pt idx="3">
                  <c:v>0.31372912446880896</c:v>
                </c:pt>
                <c:pt idx="4">
                  <c:v>1.1491280048687269</c:v>
                </c:pt>
                <c:pt idx="5">
                  <c:v>0.89760245851990828</c:v>
                </c:pt>
                <c:pt idx="6">
                  <c:v>-0.10537822619710591</c:v>
                </c:pt>
                <c:pt idx="7">
                  <c:v>3.2714827178336625</c:v>
                </c:pt>
                <c:pt idx="8">
                  <c:v>1.388204119208214</c:v>
                </c:pt>
                <c:pt idx="9">
                  <c:v>1.4696531862179896</c:v>
                </c:pt>
                <c:pt idx="10">
                  <c:v>0.77952016491100729</c:v>
                </c:pt>
                <c:pt idx="11">
                  <c:v>1.7342643690546611</c:v>
                </c:pt>
                <c:pt idx="12">
                  <c:v>2.1282137000801393</c:v>
                </c:pt>
                <c:pt idx="13">
                  <c:v>0.80694549241022706</c:v>
                </c:pt>
                <c:pt idx="14">
                  <c:v>3.267281472197392</c:v>
                </c:pt>
                <c:pt idx="15">
                  <c:v>-0.74864264552773063</c:v>
                </c:pt>
                <c:pt idx="16">
                  <c:v>1.9166270533604868</c:v>
                </c:pt>
                <c:pt idx="17">
                  <c:v>3.9628847864205508</c:v>
                </c:pt>
              </c:numCache>
            </c:numRef>
          </c:val>
          <c:smooth val="1"/>
          <c:extLst>
            <c:ext xmlns:c16="http://schemas.microsoft.com/office/drawing/2014/chart" uri="{C3380CC4-5D6E-409C-BE32-E72D297353CC}">
              <c16:uniqueId val="{00000000-2E73-4C74-BB24-8EB7DF9FFF88}"/>
            </c:ext>
          </c:extLst>
        </c:ser>
        <c:ser>
          <c:idx val="1"/>
          <c:order val="1"/>
          <c:tx>
            <c:strRef>
              <c:f>Summary!$A$50</c:f>
              <c:strCache>
                <c:ptCount val="1"/>
                <c:pt idx="0">
                  <c:v>TREND CYCLE ESTIMATES</c:v>
                </c:pt>
              </c:strCache>
            </c:strRef>
          </c:tx>
          <c:spPr>
            <a:ln w="23495" cap="rnd">
              <a:solidFill>
                <a:srgbClr val="FF3377"/>
              </a:solidFill>
              <a:round/>
            </a:ln>
            <a:effectLst/>
          </c:spPr>
          <c:marker>
            <c:symbol val="none"/>
          </c:marker>
          <c:cat>
            <c:multiLvlStrRef>
              <c:extLst>
                <c:ext xmlns:c15="http://schemas.microsoft.com/office/drawing/2012/chart" uri="{02D57815-91ED-43cb-92C2-25804820EDAC}">
                  <c15:fullRef>
                    <c15:sqref>Summary!$G$32:$AM$33</c15:sqref>
                  </c15:fullRef>
                </c:ext>
              </c:extLst>
              <c:f>Summary!$V$32:$AM$33</c:f>
              <c:multiLvlStrCache>
                <c:ptCount val="18"/>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lvl>
                <c:lvl>
                  <c:pt idx="0">
                    <c:v>2021/22</c:v>
                  </c:pt>
                  <c:pt idx="4">
                    <c:v>2022/23</c:v>
                  </c:pt>
                  <c:pt idx="8">
                    <c:v>2023/24</c:v>
                  </c:pt>
                  <c:pt idx="12">
                    <c:v>2024/25</c:v>
                  </c:pt>
                  <c:pt idx="16">
                    <c:v>2025/26</c:v>
                  </c:pt>
                </c:lvl>
              </c:multiLvlStrCache>
            </c:multiLvlStrRef>
          </c:cat>
          <c:val>
            <c:numRef>
              <c:extLst>
                <c:ext xmlns:c15="http://schemas.microsoft.com/office/drawing/2012/chart" uri="{02D57815-91ED-43cb-92C2-25804820EDAC}">
                  <c15:fullRef>
                    <c15:sqref>Summary!$G$51:$AM$51</c15:sqref>
                  </c15:fullRef>
                </c:ext>
              </c:extLst>
              <c:f>Summary!$V$51:$AM$51</c:f>
              <c:numCache>
                <c:formatCode>0.0</c:formatCode>
                <c:ptCount val="18"/>
                <c:pt idx="0">
                  <c:v>0.79442676415435454</c:v>
                </c:pt>
                <c:pt idx="1">
                  <c:v>2.7427319989435706</c:v>
                </c:pt>
                <c:pt idx="2">
                  <c:v>2.2586389378561389</c:v>
                </c:pt>
                <c:pt idx="3">
                  <c:v>0.55744240608637252</c:v>
                </c:pt>
                <c:pt idx="4">
                  <c:v>0.8989621082689192</c:v>
                </c:pt>
                <c:pt idx="5">
                  <c:v>0.66987122701378521</c:v>
                </c:pt>
                <c:pt idx="6">
                  <c:v>1.3862679957426627</c:v>
                </c:pt>
                <c:pt idx="7">
                  <c:v>1.9438836941183979</c:v>
                </c:pt>
                <c:pt idx="8">
                  <c:v>1.1197132635026197</c:v>
                </c:pt>
                <c:pt idx="9">
                  <c:v>0.6094054988875941</c:v>
                </c:pt>
                <c:pt idx="10">
                  <c:v>2.272793640490911</c:v>
                </c:pt>
                <c:pt idx="11">
                  <c:v>2.6714296566680229</c:v>
                </c:pt>
                <c:pt idx="12">
                  <c:v>1.4801068846350018</c:v>
                </c:pt>
                <c:pt idx="13">
                  <c:v>0.92419670083456751</c:v>
                </c:pt>
                <c:pt idx="14">
                  <c:v>1.0316550303994365</c:v>
                </c:pt>
                <c:pt idx="15">
                  <c:v>1.7011504244928144</c:v>
                </c:pt>
                <c:pt idx="16">
                  <c:v>2.157187714975306</c:v>
                </c:pt>
                <c:pt idx="17">
                  <c:v>2.4465952764011423</c:v>
                </c:pt>
              </c:numCache>
            </c:numRef>
          </c:val>
          <c:smooth val="1"/>
          <c:extLst>
            <c:ext xmlns:c16="http://schemas.microsoft.com/office/drawing/2014/chart" uri="{C3380CC4-5D6E-409C-BE32-E72D297353CC}">
              <c16:uniqueId val="{00000001-2E73-4C74-BB24-8EB7DF9FFF88}"/>
            </c:ext>
          </c:extLst>
        </c:ser>
        <c:dLbls>
          <c:showLegendKey val="0"/>
          <c:showVal val="0"/>
          <c:showCatName val="0"/>
          <c:showSerName val="0"/>
          <c:showPercent val="0"/>
          <c:showBubbleSize val="0"/>
        </c:dLbls>
        <c:smooth val="0"/>
        <c:axId val="620836104"/>
        <c:axId val="620838456"/>
      </c:lineChart>
      <c:catAx>
        <c:axId val="620836104"/>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0"/>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700" b="1" i="0" u="none" strike="noStrike" kern="1200" cap="none" spc="0" normalizeH="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20838456"/>
        <c:crosses val="autoZero"/>
        <c:auto val="1"/>
        <c:lblAlgn val="ctr"/>
        <c:lblOffset val="100"/>
        <c:noMultiLvlLbl val="0"/>
      </c:catAx>
      <c:valAx>
        <c:axId val="620838456"/>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Percent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20836104"/>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solidFill>
      <a:round/>
    </a:ln>
    <a:effectLst/>
  </c:spPr>
  <c:txPr>
    <a:bodyPr/>
    <a:lstStyle/>
    <a:p>
      <a:pPr>
        <a:defRPr/>
      </a:pPr>
      <a:endParaRPr lang="en-US"/>
    </a:p>
  </c:txPr>
  <c:printSettings>
    <c:headerFooter/>
    <c:pageMargins b="0.75000000000000466" l="0.70000000000000062" r="0.70000000000000062" t="0.75000000000000466"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a:latin typeface="Arial" pitchFamily="34" charset="0"/>
                <a:cs typeface="Arial" pitchFamily="34" charset="0"/>
              </a:defRPr>
            </a:pPr>
            <a:r>
              <a:rPr lang="en-US" sz="900">
                <a:latin typeface="Arial" pitchFamily="34" charset="0"/>
                <a:cs typeface="Arial" pitchFamily="34" charset="0"/>
              </a:rPr>
              <a:t>Agriculture sector Value Added at 2016/17 Constant prices</a:t>
            </a:r>
          </a:p>
        </c:rich>
      </c:tx>
      <c:overlay val="0"/>
    </c:title>
    <c:autoTitleDeleted val="0"/>
    <c:plotArea>
      <c:layout/>
      <c:barChart>
        <c:barDir val="col"/>
        <c:grouping val="clustered"/>
        <c:varyColors val="0"/>
        <c:ser>
          <c:idx val="0"/>
          <c:order val="0"/>
          <c:tx>
            <c:strRef>
              <c:f>Summary!$A$13</c:f>
              <c:strCache>
                <c:ptCount val="1"/>
                <c:pt idx="0">
                  <c:v>SEASONALLY ADJUSTED ESTIMATES</c:v>
                </c:pt>
              </c:strCache>
            </c:strRef>
          </c:tx>
          <c:spPr>
            <a:solidFill>
              <a:srgbClr val="F0AC00"/>
            </a:solidFill>
          </c:spPr>
          <c:invertIfNegative val="0"/>
          <c:cat>
            <c:multiLvlStrRef>
              <c:extLst>
                <c:ext xmlns:c15="http://schemas.microsoft.com/office/drawing/2012/chart" uri="{02D57815-91ED-43cb-92C2-25804820EDAC}">
                  <c15:fullRef>
                    <c15:sqref>Summary!$G$3:$AK$4</c15:sqref>
                  </c15:fullRef>
                </c:ext>
              </c:extLst>
              <c:f>Summary!$Z$3:$AK$4</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2022/23</c:v>
                  </c:pt>
                  <c:pt idx="4">
                    <c:v>2023/24</c:v>
                  </c:pt>
                  <c:pt idx="8">
                    <c:v>2024/25</c:v>
                  </c:pt>
                </c:lvl>
              </c:multiLvlStrCache>
            </c:multiLvlStrRef>
          </c:cat>
          <c:val>
            <c:numRef>
              <c:extLst>
                <c:ext xmlns:c15="http://schemas.microsoft.com/office/drawing/2012/chart" uri="{02D57815-91ED-43cb-92C2-25804820EDAC}">
                  <c15:fullRef>
                    <c15:sqref>Summary!$G$15:$AK$15</c15:sqref>
                  </c15:fullRef>
                </c:ext>
              </c:extLst>
              <c:f>Summary!$Z$15:$AK$15</c:f>
              <c:numCache>
                <c:formatCode>#,##0</c:formatCode>
                <c:ptCount val="12"/>
                <c:pt idx="0">
                  <c:v>8159.0795498664365</c:v>
                </c:pt>
                <c:pt idx="1">
                  <c:v>8513.0207266517409</c:v>
                </c:pt>
                <c:pt idx="2">
                  <c:v>8383.2101083149773</c:v>
                </c:pt>
                <c:pt idx="3">
                  <c:v>8246.0464018635703</c:v>
                </c:pt>
                <c:pt idx="4">
                  <c:v>8605.2413453957088</c:v>
                </c:pt>
                <c:pt idx="5">
                  <c:v>8671.4431507111458</c:v>
                </c:pt>
                <c:pt idx="6">
                  <c:v>8843.969682352561</c:v>
                </c:pt>
                <c:pt idx="7">
                  <c:v>9113.9733736485723</c:v>
                </c:pt>
                <c:pt idx="8">
                  <c:v>9189.0095190325937</c:v>
                </c:pt>
                <c:pt idx="9">
                  <c:v>9308.9635958866911</c:v>
                </c:pt>
                <c:pt idx="10">
                  <c:v>9634.100465993215</c:v>
                </c:pt>
                <c:pt idx="11">
                  <c:v>9429.3306905696445</c:v>
                </c:pt>
              </c:numCache>
            </c:numRef>
          </c:val>
          <c:extLst>
            <c:ext xmlns:c16="http://schemas.microsoft.com/office/drawing/2014/chart" uri="{C3380CC4-5D6E-409C-BE32-E72D297353CC}">
              <c16:uniqueId val="{00000000-0220-4502-AD73-A3984CB2DED8}"/>
            </c:ext>
          </c:extLst>
        </c:ser>
        <c:ser>
          <c:idx val="1"/>
          <c:order val="1"/>
          <c:tx>
            <c:strRef>
              <c:f>Summary!$A$21</c:f>
              <c:strCache>
                <c:ptCount val="1"/>
                <c:pt idx="0">
                  <c:v>TREND CYCLE ESTIMATES</c:v>
                </c:pt>
              </c:strCache>
            </c:strRef>
          </c:tx>
          <c:spPr>
            <a:solidFill>
              <a:srgbClr val="60B4CC"/>
            </a:solidFill>
          </c:spPr>
          <c:invertIfNegative val="0"/>
          <c:cat>
            <c:multiLvlStrRef>
              <c:extLst>
                <c:ext xmlns:c15="http://schemas.microsoft.com/office/drawing/2012/chart" uri="{02D57815-91ED-43cb-92C2-25804820EDAC}">
                  <c15:fullRef>
                    <c15:sqref>Summary!$G$3:$AK$4</c15:sqref>
                  </c15:fullRef>
                </c:ext>
              </c:extLst>
              <c:f>Summary!$Z$3:$AK$4</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2022/23</c:v>
                  </c:pt>
                  <c:pt idx="4">
                    <c:v>2023/24</c:v>
                  </c:pt>
                  <c:pt idx="8">
                    <c:v>2024/25</c:v>
                  </c:pt>
                </c:lvl>
              </c:multiLvlStrCache>
            </c:multiLvlStrRef>
          </c:cat>
          <c:val>
            <c:numRef>
              <c:extLst>
                <c:ext xmlns:c15="http://schemas.microsoft.com/office/drawing/2012/chart" uri="{02D57815-91ED-43cb-92C2-25804820EDAC}">
                  <c15:fullRef>
                    <c15:sqref>Summary!$G$23:$AK$23</c15:sqref>
                  </c15:fullRef>
                </c:ext>
              </c:extLst>
              <c:f>Summary!$Z$23:$AK$23</c:f>
              <c:numCache>
                <c:formatCode>#,##0</c:formatCode>
                <c:ptCount val="12"/>
                <c:pt idx="0">
                  <c:v>8440.4734851546036</c:v>
                </c:pt>
                <c:pt idx="1">
                  <c:v>8395.4301375191226</c:v>
                </c:pt>
                <c:pt idx="2">
                  <c:v>8324.0586709393101</c:v>
                </c:pt>
                <c:pt idx="3">
                  <c:v>8334.4392528162425</c:v>
                </c:pt>
                <c:pt idx="4">
                  <c:v>8415.4908338376918</c:v>
                </c:pt>
                <c:pt idx="5">
                  <c:v>8575.3601937065305</c:v>
                </c:pt>
                <c:pt idx="6">
                  <c:v>8756.8474883642775</c:v>
                </c:pt>
                <c:pt idx="7">
                  <c:v>8934.4361454664322</c:v>
                </c:pt>
                <c:pt idx="8">
                  <c:v>9086.7845196980452</c:v>
                </c:pt>
                <c:pt idx="9">
                  <c:v>9205.3115244828623</c:v>
                </c:pt>
                <c:pt idx="10">
                  <c:v>9283.9208195232841</c:v>
                </c:pt>
                <c:pt idx="11">
                  <c:v>9390.2857602493787</c:v>
                </c:pt>
              </c:numCache>
            </c:numRef>
          </c:val>
          <c:extLst>
            <c:ext xmlns:c16="http://schemas.microsoft.com/office/drawing/2014/chart" uri="{C3380CC4-5D6E-409C-BE32-E72D297353CC}">
              <c16:uniqueId val="{00000001-0220-4502-AD73-A3984CB2DED8}"/>
            </c:ext>
          </c:extLst>
        </c:ser>
        <c:dLbls>
          <c:showLegendKey val="0"/>
          <c:showVal val="0"/>
          <c:showCatName val="0"/>
          <c:showSerName val="0"/>
          <c:showPercent val="0"/>
          <c:showBubbleSize val="0"/>
        </c:dLbls>
        <c:gapWidth val="132"/>
        <c:axId val="620838064"/>
        <c:axId val="620834928"/>
      </c:barChart>
      <c:catAx>
        <c:axId val="620838064"/>
        <c:scaling>
          <c:orientation val="minMax"/>
        </c:scaling>
        <c:delete val="0"/>
        <c:axPos val="b"/>
        <c:numFmt formatCode="General" sourceLinked="0"/>
        <c:majorTickMark val="out"/>
        <c:minorTickMark val="none"/>
        <c:tickLblPos val="nextTo"/>
        <c:spPr>
          <a:ln w="12700">
            <a:solidFill>
              <a:sysClr val="windowText" lastClr="000000"/>
            </a:solidFill>
          </a:ln>
        </c:spPr>
        <c:txPr>
          <a:bodyPr/>
          <a:lstStyle/>
          <a:p>
            <a:pPr>
              <a:defRPr sz="700" b="1">
                <a:latin typeface="Arial" pitchFamily="34" charset="0"/>
                <a:cs typeface="Arial" pitchFamily="34" charset="0"/>
              </a:defRPr>
            </a:pPr>
            <a:endParaRPr lang="en-US"/>
          </a:p>
        </c:txPr>
        <c:crossAx val="620834928"/>
        <c:crosses val="autoZero"/>
        <c:auto val="1"/>
        <c:lblAlgn val="ctr"/>
        <c:lblOffset val="100"/>
        <c:noMultiLvlLbl val="0"/>
      </c:catAx>
      <c:valAx>
        <c:axId val="620834928"/>
        <c:scaling>
          <c:orientation val="minMax"/>
        </c:scaling>
        <c:delete val="0"/>
        <c:axPos val="l"/>
        <c:title>
          <c:tx>
            <c:rich>
              <a:bodyPr rot="-5400000" vert="horz"/>
              <a:lstStyle/>
              <a:p>
                <a:pPr>
                  <a:defRPr sz="800">
                    <a:latin typeface="Arial" pitchFamily="34" charset="0"/>
                    <a:cs typeface="Arial" pitchFamily="34" charset="0"/>
                  </a:defRPr>
                </a:pPr>
                <a:r>
                  <a:rPr lang="en-US" sz="800">
                    <a:latin typeface="Arial" pitchFamily="34" charset="0"/>
                    <a:cs typeface="Arial" pitchFamily="34" charset="0"/>
                  </a:rPr>
                  <a:t>Billion Shs</a:t>
                </a:r>
              </a:p>
            </c:rich>
          </c:tx>
          <c:overlay val="0"/>
        </c:title>
        <c:numFmt formatCode="#,##0" sourceLinked="1"/>
        <c:majorTickMark val="out"/>
        <c:minorTickMark val="none"/>
        <c:tickLblPos val="nextTo"/>
        <c:spPr>
          <a:ln w="12700">
            <a:solidFill>
              <a:schemeClr val="tx1"/>
            </a:solidFill>
          </a:ln>
        </c:spPr>
        <c:txPr>
          <a:bodyPr/>
          <a:lstStyle/>
          <a:p>
            <a:pPr>
              <a:defRPr sz="800" b="1">
                <a:latin typeface="Arial" pitchFamily="34" charset="0"/>
                <a:cs typeface="Arial" pitchFamily="34" charset="0"/>
              </a:defRPr>
            </a:pPr>
            <a:endParaRPr lang="en-US"/>
          </a:p>
        </c:txPr>
        <c:crossAx val="620838064"/>
        <c:crosses val="autoZero"/>
        <c:crossBetween val="between"/>
      </c:valAx>
    </c:plotArea>
    <c:legend>
      <c:legendPos val="b"/>
      <c:layout>
        <c:manualLayout>
          <c:xMode val="edge"/>
          <c:yMode val="edge"/>
          <c:x val="1.770093774077763E-2"/>
          <c:y val="0.90557844476082561"/>
          <c:w val="0.96459808377611334"/>
          <c:h val="9.4421555239174434E-2"/>
        </c:manualLayout>
      </c:layout>
      <c:overlay val="0"/>
      <c:txPr>
        <a:bodyPr/>
        <a:lstStyle/>
        <a:p>
          <a:pPr>
            <a:defRPr sz="900" b="1">
              <a:latin typeface="+mn-lt"/>
              <a:cs typeface="Arial" pitchFamily="34" charset="0"/>
            </a:defRPr>
          </a:pPr>
          <a:endParaRPr lang="en-US"/>
        </a:p>
      </c:txPr>
    </c:legend>
    <c:plotVisOnly val="1"/>
    <c:dispBlanksAs val="gap"/>
    <c:showDLblsOverMax val="0"/>
  </c:chart>
  <c:spPr>
    <a:ln w="12700">
      <a:solidFill>
        <a:schemeClr val="tx1"/>
      </a:solidFill>
    </a:ln>
  </c:spPr>
  <c:printSettings>
    <c:headerFooter/>
    <c:pageMargins b="0.75000000000000466" l="0.70000000000000062" r="0.70000000000000062" t="0.75000000000000466"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a:latin typeface="Arial" pitchFamily="34" charset="0"/>
                <a:cs typeface="Arial" pitchFamily="34" charset="0"/>
              </a:defRPr>
            </a:pPr>
            <a:r>
              <a:rPr lang="en-US" sz="800">
                <a:latin typeface="Arial" pitchFamily="34" charset="0"/>
                <a:cs typeface="Arial" pitchFamily="34" charset="0"/>
              </a:rPr>
              <a:t> </a:t>
            </a:r>
            <a:r>
              <a:rPr lang="en-US" sz="900">
                <a:latin typeface="Arial" pitchFamily="34" charset="0"/>
                <a:cs typeface="Arial" pitchFamily="34" charset="0"/>
              </a:rPr>
              <a:t>Industry sector Value Added at 2016/17 Constant prices</a:t>
            </a:r>
          </a:p>
        </c:rich>
      </c:tx>
      <c:overlay val="0"/>
    </c:title>
    <c:autoTitleDeleted val="0"/>
    <c:plotArea>
      <c:layout/>
      <c:barChart>
        <c:barDir val="col"/>
        <c:grouping val="clustered"/>
        <c:varyColors val="0"/>
        <c:ser>
          <c:idx val="0"/>
          <c:order val="0"/>
          <c:tx>
            <c:strRef>
              <c:f>Summary!$A$13</c:f>
              <c:strCache>
                <c:ptCount val="1"/>
                <c:pt idx="0">
                  <c:v>SEASONALLY ADJUSTED ESTIMATES</c:v>
                </c:pt>
              </c:strCache>
            </c:strRef>
          </c:tx>
          <c:spPr>
            <a:solidFill>
              <a:srgbClr val="F0AC00"/>
            </a:solidFill>
          </c:spPr>
          <c:invertIfNegative val="0"/>
          <c:cat>
            <c:multiLvlStrRef>
              <c:extLst>
                <c:ext xmlns:c15="http://schemas.microsoft.com/office/drawing/2012/chart" uri="{02D57815-91ED-43cb-92C2-25804820EDAC}">
                  <c15:fullRef>
                    <c15:sqref>Summary!$G$3:$AM$4</c15:sqref>
                  </c15:fullRef>
                </c:ext>
              </c:extLst>
              <c:f>Summary!$Z$3:$AM$4</c:f>
              <c:multiLvlStrCache>
                <c:ptCount val="1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lvl>
                <c:lvl>
                  <c:pt idx="0">
                    <c:v>2022/23</c:v>
                  </c:pt>
                  <c:pt idx="4">
                    <c:v>2023/24</c:v>
                  </c:pt>
                  <c:pt idx="8">
                    <c:v>2024/25</c:v>
                  </c:pt>
                  <c:pt idx="12">
                    <c:v>2025/26</c:v>
                  </c:pt>
                </c:lvl>
              </c:multiLvlStrCache>
            </c:multiLvlStrRef>
          </c:cat>
          <c:val>
            <c:numRef>
              <c:extLst>
                <c:ext xmlns:c15="http://schemas.microsoft.com/office/drawing/2012/chart" uri="{02D57815-91ED-43cb-92C2-25804820EDAC}">
                  <c15:fullRef>
                    <c15:sqref>Summary!$G$16:$AM$16</c15:sqref>
                  </c15:fullRef>
                </c:ext>
              </c:extLst>
              <c:f>Summary!$Z$16:$AM$16</c:f>
              <c:numCache>
                <c:formatCode>#,##0</c:formatCode>
                <c:ptCount val="14"/>
                <c:pt idx="0">
                  <c:v>9270.1094557129854</c:v>
                </c:pt>
                <c:pt idx="1">
                  <c:v>9216.4309686432698</c:v>
                </c:pt>
                <c:pt idx="2">
                  <c:v>9362.2701095963803</c:v>
                </c:pt>
                <c:pt idx="3">
                  <c:v>9903.2746925504925</c:v>
                </c:pt>
                <c:pt idx="4">
                  <c:v>10051.23522890946</c:v>
                </c:pt>
                <c:pt idx="5">
                  <c:v>9693.1080935552054</c:v>
                </c:pt>
                <c:pt idx="6">
                  <c:v>10001.426479711481</c:v>
                </c:pt>
                <c:pt idx="7">
                  <c:v>9991.0365009896341</c:v>
                </c:pt>
                <c:pt idx="8">
                  <c:v>10553.50054197254</c:v>
                </c:pt>
                <c:pt idx="9">
                  <c:v>10470.413331482858</c:v>
                </c:pt>
                <c:pt idx="10">
                  <c:v>10737.85452452077</c:v>
                </c:pt>
                <c:pt idx="11">
                  <c:v>10743.283301596544</c:v>
                </c:pt>
                <c:pt idx="12">
                  <c:v>11200.126282491288</c:v>
                </c:pt>
                <c:pt idx="13">
                  <c:v>11777.904961628605</c:v>
                </c:pt>
              </c:numCache>
            </c:numRef>
          </c:val>
          <c:extLst>
            <c:ext xmlns:c16="http://schemas.microsoft.com/office/drawing/2014/chart" uri="{C3380CC4-5D6E-409C-BE32-E72D297353CC}">
              <c16:uniqueId val="{00000000-AC38-48A1-9424-1470FFD23884}"/>
            </c:ext>
          </c:extLst>
        </c:ser>
        <c:ser>
          <c:idx val="1"/>
          <c:order val="1"/>
          <c:tx>
            <c:strRef>
              <c:f>Summary!$A$21</c:f>
              <c:strCache>
                <c:ptCount val="1"/>
                <c:pt idx="0">
                  <c:v>TREND CYCLE ESTIMATES</c:v>
                </c:pt>
              </c:strCache>
            </c:strRef>
          </c:tx>
          <c:spPr>
            <a:solidFill>
              <a:srgbClr val="60B4CC"/>
            </a:solidFill>
          </c:spPr>
          <c:invertIfNegative val="0"/>
          <c:cat>
            <c:multiLvlStrRef>
              <c:extLst>
                <c:ext xmlns:c15="http://schemas.microsoft.com/office/drawing/2012/chart" uri="{02D57815-91ED-43cb-92C2-25804820EDAC}">
                  <c15:fullRef>
                    <c15:sqref>Summary!$G$3:$AM$4</c15:sqref>
                  </c15:fullRef>
                </c:ext>
              </c:extLst>
              <c:f>Summary!$Z$3:$AM$4</c:f>
              <c:multiLvlStrCache>
                <c:ptCount val="1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lvl>
                <c:lvl>
                  <c:pt idx="0">
                    <c:v>2022/23</c:v>
                  </c:pt>
                  <c:pt idx="4">
                    <c:v>2023/24</c:v>
                  </c:pt>
                  <c:pt idx="8">
                    <c:v>2024/25</c:v>
                  </c:pt>
                  <c:pt idx="12">
                    <c:v>2025/26</c:v>
                  </c:pt>
                </c:lvl>
              </c:multiLvlStrCache>
            </c:multiLvlStrRef>
          </c:cat>
          <c:val>
            <c:numRef>
              <c:extLst>
                <c:ext xmlns:c15="http://schemas.microsoft.com/office/drawing/2012/chart" uri="{02D57815-91ED-43cb-92C2-25804820EDAC}">
                  <c15:fullRef>
                    <c15:sqref>Summary!$G$24:$AM$24</c15:sqref>
                  </c15:fullRef>
                </c:ext>
              </c:extLst>
              <c:f>Summary!$Z$24:$AM$24</c:f>
              <c:numCache>
                <c:formatCode>#,##0</c:formatCode>
                <c:ptCount val="14"/>
                <c:pt idx="0">
                  <c:v>9263.2890267630082</c:v>
                </c:pt>
                <c:pt idx="1">
                  <c:v>9216.4137831703483</c:v>
                </c:pt>
                <c:pt idx="2">
                  <c:v>9447.544401947318</c:v>
                </c:pt>
                <c:pt idx="3">
                  <c:v>9800.8344196697817</c:v>
                </c:pt>
                <c:pt idx="4">
                  <c:v>9860.4727919300567</c:v>
                </c:pt>
                <c:pt idx="5">
                  <c:v>9788.7520852514372</c:v>
                </c:pt>
                <c:pt idx="6">
                  <c:v>9945.4832819435942</c:v>
                </c:pt>
                <c:pt idx="7">
                  <c:v>10259.870633778217</c:v>
                </c:pt>
                <c:pt idx="8">
                  <c:v>10474.647886841474</c:v>
                </c:pt>
                <c:pt idx="9">
                  <c:v>10592.302950120749</c:v>
                </c:pt>
                <c:pt idx="10">
                  <c:v>10632.773502781756</c:v>
                </c:pt>
                <c:pt idx="11">
                  <c:v>10784.477608730196</c:v>
                </c:pt>
                <c:pt idx="12">
                  <c:v>11190.244332138094</c:v>
                </c:pt>
                <c:pt idx="13">
                  <c:v>11740.477291681029</c:v>
                </c:pt>
              </c:numCache>
            </c:numRef>
          </c:val>
          <c:extLst>
            <c:ext xmlns:c16="http://schemas.microsoft.com/office/drawing/2014/chart" uri="{C3380CC4-5D6E-409C-BE32-E72D297353CC}">
              <c16:uniqueId val="{00000001-AC38-48A1-9424-1470FFD23884}"/>
            </c:ext>
          </c:extLst>
        </c:ser>
        <c:dLbls>
          <c:showLegendKey val="0"/>
          <c:showVal val="0"/>
          <c:showCatName val="0"/>
          <c:showSerName val="0"/>
          <c:showPercent val="0"/>
          <c:showBubbleSize val="0"/>
        </c:dLbls>
        <c:gapWidth val="132"/>
        <c:axId val="620836888"/>
        <c:axId val="620837672"/>
      </c:barChart>
      <c:catAx>
        <c:axId val="620836888"/>
        <c:scaling>
          <c:orientation val="minMax"/>
        </c:scaling>
        <c:delete val="0"/>
        <c:axPos val="b"/>
        <c:numFmt formatCode="General" sourceLinked="0"/>
        <c:majorTickMark val="out"/>
        <c:minorTickMark val="none"/>
        <c:tickLblPos val="nextTo"/>
        <c:spPr>
          <a:ln w="12700">
            <a:solidFill>
              <a:sysClr val="windowText" lastClr="000000"/>
            </a:solidFill>
          </a:ln>
        </c:spPr>
        <c:txPr>
          <a:bodyPr/>
          <a:lstStyle/>
          <a:p>
            <a:pPr>
              <a:defRPr sz="700" b="1">
                <a:latin typeface="Arial" pitchFamily="34" charset="0"/>
                <a:cs typeface="Arial" pitchFamily="34" charset="0"/>
              </a:defRPr>
            </a:pPr>
            <a:endParaRPr lang="en-US"/>
          </a:p>
        </c:txPr>
        <c:crossAx val="620837672"/>
        <c:crosses val="autoZero"/>
        <c:auto val="1"/>
        <c:lblAlgn val="ctr"/>
        <c:lblOffset val="100"/>
        <c:noMultiLvlLbl val="0"/>
      </c:catAx>
      <c:valAx>
        <c:axId val="620837672"/>
        <c:scaling>
          <c:orientation val="minMax"/>
        </c:scaling>
        <c:delete val="0"/>
        <c:axPos val="l"/>
        <c:title>
          <c:tx>
            <c:rich>
              <a:bodyPr rot="-5400000" vert="horz"/>
              <a:lstStyle/>
              <a:p>
                <a:pPr>
                  <a:defRPr sz="800">
                    <a:latin typeface="Arial" pitchFamily="34" charset="0"/>
                    <a:cs typeface="Arial" pitchFamily="34" charset="0"/>
                  </a:defRPr>
                </a:pPr>
                <a:r>
                  <a:rPr lang="en-US" sz="800">
                    <a:latin typeface="Arial" pitchFamily="34" charset="0"/>
                    <a:cs typeface="Arial" pitchFamily="34" charset="0"/>
                  </a:rPr>
                  <a:t>Billion Shs</a:t>
                </a:r>
              </a:p>
            </c:rich>
          </c:tx>
          <c:overlay val="0"/>
        </c:title>
        <c:numFmt formatCode="#,##0" sourceLinked="1"/>
        <c:majorTickMark val="out"/>
        <c:minorTickMark val="none"/>
        <c:tickLblPos val="nextTo"/>
        <c:spPr>
          <a:ln w="12700">
            <a:solidFill>
              <a:schemeClr val="tx1"/>
            </a:solidFill>
          </a:ln>
        </c:spPr>
        <c:txPr>
          <a:bodyPr/>
          <a:lstStyle/>
          <a:p>
            <a:pPr>
              <a:defRPr sz="800" b="1">
                <a:latin typeface="Arial" pitchFamily="34" charset="0"/>
                <a:cs typeface="Arial" pitchFamily="34" charset="0"/>
              </a:defRPr>
            </a:pPr>
            <a:endParaRPr lang="en-US"/>
          </a:p>
        </c:txPr>
        <c:crossAx val="620836888"/>
        <c:crosses val="autoZero"/>
        <c:crossBetween val="between"/>
      </c:valAx>
    </c:plotArea>
    <c:legend>
      <c:legendPos val="b"/>
      <c:layout>
        <c:manualLayout>
          <c:xMode val="edge"/>
          <c:yMode val="edge"/>
          <c:x val="6.6441335120879675E-3"/>
          <c:y val="0.90557844476082561"/>
          <c:w val="0.97241322046540424"/>
          <c:h val="9.4421555239174434E-2"/>
        </c:manualLayout>
      </c:layout>
      <c:overlay val="0"/>
      <c:txPr>
        <a:bodyPr/>
        <a:lstStyle/>
        <a:p>
          <a:pPr>
            <a:defRPr sz="900" b="1">
              <a:latin typeface="+mn-lt"/>
              <a:cs typeface="Arial" pitchFamily="34" charset="0"/>
            </a:defRPr>
          </a:pPr>
          <a:endParaRPr lang="en-US"/>
        </a:p>
      </c:txPr>
    </c:legend>
    <c:plotVisOnly val="1"/>
    <c:dispBlanksAs val="gap"/>
    <c:showDLblsOverMax val="0"/>
  </c:chart>
  <c:spPr>
    <a:ln w="12700">
      <a:solidFill>
        <a:schemeClr val="tx1"/>
      </a:solidFill>
    </a:ln>
  </c:spPr>
  <c:printSettings>
    <c:headerFooter/>
    <c:pageMargins b="0.75000000000000488" l="0.70000000000000062" r="0.70000000000000062" t="0.75000000000000488"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a:latin typeface="Arial" pitchFamily="34" charset="0"/>
                <a:cs typeface="Arial" pitchFamily="34" charset="0"/>
              </a:defRPr>
            </a:pPr>
            <a:r>
              <a:rPr lang="en-US" sz="800">
                <a:latin typeface="Arial" pitchFamily="34" charset="0"/>
                <a:cs typeface="Arial" pitchFamily="34" charset="0"/>
              </a:rPr>
              <a:t> </a:t>
            </a:r>
            <a:r>
              <a:rPr lang="en-US" sz="900">
                <a:latin typeface="Arial" pitchFamily="34" charset="0"/>
                <a:cs typeface="Arial" pitchFamily="34" charset="0"/>
              </a:rPr>
              <a:t>Services sector Value Added at 2016/17 Constant prices</a:t>
            </a:r>
          </a:p>
        </c:rich>
      </c:tx>
      <c:overlay val="0"/>
    </c:title>
    <c:autoTitleDeleted val="0"/>
    <c:plotArea>
      <c:layout/>
      <c:barChart>
        <c:barDir val="col"/>
        <c:grouping val="clustered"/>
        <c:varyColors val="0"/>
        <c:ser>
          <c:idx val="0"/>
          <c:order val="0"/>
          <c:tx>
            <c:strRef>
              <c:f>Summary!$A$13</c:f>
              <c:strCache>
                <c:ptCount val="1"/>
                <c:pt idx="0">
                  <c:v>SEASONALLY ADJUSTED ESTIMATES</c:v>
                </c:pt>
              </c:strCache>
            </c:strRef>
          </c:tx>
          <c:spPr>
            <a:solidFill>
              <a:srgbClr val="F0AC00"/>
            </a:solidFill>
          </c:spPr>
          <c:invertIfNegative val="0"/>
          <c:cat>
            <c:multiLvlStrRef>
              <c:extLst>
                <c:ext xmlns:c15="http://schemas.microsoft.com/office/drawing/2012/chart" uri="{02D57815-91ED-43cb-92C2-25804820EDAC}">
                  <c15:fullRef>
                    <c15:sqref>Summary!$G$3:$AM$4</c15:sqref>
                  </c15:fullRef>
                </c:ext>
              </c:extLst>
              <c:f>Summary!$Z$3:$AM$4</c:f>
              <c:multiLvlStrCache>
                <c:ptCount val="1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lvl>
                <c:lvl>
                  <c:pt idx="0">
                    <c:v>2022/23</c:v>
                  </c:pt>
                  <c:pt idx="4">
                    <c:v>2023/24</c:v>
                  </c:pt>
                  <c:pt idx="8">
                    <c:v>2024/25</c:v>
                  </c:pt>
                  <c:pt idx="12">
                    <c:v>2025/26</c:v>
                  </c:pt>
                </c:lvl>
              </c:multiLvlStrCache>
            </c:multiLvlStrRef>
          </c:cat>
          <c:val>
            <c:numRef>
              <c:extLst>
                <c:ext xmlns:c15="http://schemas.microsoft.com/office/drawing/2012/chart" uri="{02D57815-91ED-43cb-92C2-25804820EDAC}">
                  <c15:fullRef>
                    <c15:sqref>Summary!$G$17:$AM$17</c15:sqref>
                  </c15:fullRef>
                </c:ext>
              </c:extLst>
              <c:f>Summary!$Z$17:$AM$17</c:f>
              <c:numCache>
                <c:formatCode>#,##0</c:formatCode>
                <c:ptCount val="14"/>
                <c:pt idx="0">
                  <c:v>15673.29338376206</c:v>
                </c:pt>
                <c:pt idx="1">
                  <c:v>15606.615941562319</c:v>
                </c:pt>
                <c:pt idx="2">
                  <c:v>15455.051637646839</c:v>
                </c:pt>
                <c:pt idx="3">
                  <c:v>16110.687088358021</c:v>
                </c:pt>
                <c:pt idx="4">
                  <c:v>16092.727772012435</c:v>
                </c:pt>
                <c:pt idx="5">
                  <c:v>16979.163891331234</c:v>
                </c:pt>
                <c:pt idx="6">
                  <c:v>16709.108320405019</c:v>
                </c:pt>
                <c:pt idx="7">
                  <c:v>17074.679100436246</c:v>
                </c:pt>
                <c:pt idx="8">
                  <c:v>17070.877372722021</c:v>
                </c:pt>
                <c:pt idx="9">
                  <c:v>17417.404897262433</c:v>
                </c:pt>
                <c:pt idx="10">
                  <c:v>18157.64860805104</c:v>
                </c:pt>
                <c:pt idx="11">
                  <c:v>17935.607001184861</c:v>
                </c:pt>
                <c:pt idx="12">
                  <c:v>18035.152210441502</c:v>
                </c:pt>
                <c:pt idx="13">
                  <c:v>18549.363224578628</c:v>
                </c:pt>
              </c:numCache>
            </c:numRef>
          </c:val>
          <c:extLst>
            <c:ext xmlns:c16="http://schemas.microsoft.com/office/drawing/2014/chart" uri="{C3380CC4-5D6E-409C-BE32-E72D297353CC}">
              <c16:uniqueId val="{00000000-3E06-4776-B198-7CBF1D648EA3}"/>
            </c:ext>
          </c:extLst>
        </c:ser>
        <c:ser>
          <c:idx val="1"/>
          <c:order val="1"/>
          <c:tx>
            <c:strRef>
              <c:f>Summary!$A$21</c:f>
              <c:strCache>
                <c:ptCount val="1"/>
                <c:pt idx="0">
                  <c:v>TREND CYCLE ESTIMATES</c:v>
                </c:pt>
              </c:strCache>
            </c:strRef>
          </c:tx>
          <c:spPr>
            <a:solidFill>
              <a:srgbClr val="60B4CC"/>
            </a:solidFill>
          </c:spPr>
          <c:invertIfNegative val="0"/>
          <c:cat>
            <c:multiLvlStrRef>
              <c:extLst>
                <c:ext xmlns:c15="http://schemas.microsoft.com/office/drawing/2012/chart" uri="{02D57815-91ED-43cb-92C2-25804820EDAC}">
                  <c15:fullRef>
                    <c15:sqref>Summary!$G$3:$AM$4</c15:sqref>
                  </c15:fullRef>
                </c:ext>
              </c:extLst>
              <c:f>Summary!$Z$3:$AM$4</c:f>
              <c:multiLvlStrCache>
                <c:ptCount val="1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lvl>
                <c:lvl>
                  <c:pt idx="0">
                    <c:v>2022/23</c:v>
                  </c:pt>
                  <c:pt idx="4">
                    <c:v>2023/24</c:v>
                  </c:pt>
                  <c:pt idx="8">
                    <c:v>2024/25</c:v>
                  </c:pt>
                  <c:pt idx="12">
                    <c:v>2025/26</c:v>
                  </c:pt>
                </c:lvl>
              </c:multiLvlStrCache>
            </c:multiLvlStrRef>
          </c:cat>
          <c:val>
            <c:numRef>
              <c:extLst>
                <c:ext xmlns:c15="http://schemas.microsoft.com/office/drawing/2012/chart" uri="{02D57815-91ED-43cb-92C2-25804820EDAC}">
                  <c15:fullRef>
                    <c15:sqref>Summary!$G$25:$AM$25</c15:sqref>
                  </c15:fullRef>
                </c:ext>
              </c:extLst>
              <c:f>Summary!$Z$25:$AM$25</c:f>
              <c:numCache>
                <c:formatCode>#,##0</c:formatCode>
                <c:ptCount val="14"/>
                <c:pt idx="0">
                  <c:v>15218.230891592973</c:v>
                </c:pt>
                <c:pt idx="1">
                  <c:v>15479.820052737532</c:v>
                </c:pt>
                <c:pt idx="2">
                  <c:v>15701.17825117481</c:v>
                </c:pt>
                <c:pt idx="3">
                  <c:v>15943.639896464805</c:v>
                </c:pt>
                <c:pt idx="4">
                  <c:v>16194.829240215529</c:v>
                </c:pt>
                <c:pt idx="5">
                  <c:v>16336.623327154706</c:v>
                </c:pt>
                <c:pt idx="6">
                  <c:v>16815.867288184621</c:v>
                </c:pt>
                <c:pt idx="7">
                  <c:v>17245.55636466921</c:v>
                </c:pt>
                <c:pt idx="8">
                  <c:v>17370.262330648078</c:v>
                </c:pt>
                <c:pt idx="9">
                  <c:v>17488.209343528284</c:v>
                </c:pt>
                <c:pt idx="10">
                  <c:v>17789.050209808109</c:v>
                </c:pt>
                <c:pt idx="11">
                  <c:v>18148.77098219276</c:v>
                </c:pt>
                <c:pt idx="12">
                  <c:v>18347.572258549259</c:v>
                </c:pt>
                <c:pt idx="13">
                  <c:v>18470.603833914192</c:v>
                </c:pt>
              </c:numCache>
            </c:numRef>
          </c:val>
          <c:extLst>
            <c:ext xmlns:c16="http://schemas.microsoft.com/office/drawing/2014/chart" uri="{C3380CC4-5D6E-409C-BE32-E72D297353CC}">
              <c16:uniqueId val="{00000001-3E06-4776-B198-7CBF1D648EA3}"/>
            </c:ext>
          </c:extLst>
        </c:ser>
        <c:dLbls>
          <c:showLegendKey val="0"/>
          <c:showVal val="0"/>
          <c:showCatName val="0"/>
          <c:showSerName val="0"/>
          <c:showPercent val="0"/>
          <c:showBubbleSize val="0"/>
        </c:dLbls>
        <c:gapWidth val="132"/>
        <c:axId val="620837280"/>
        <c:axId val="163897968"/>
      </c:barChart>
      <c:catAx>
        <c:axId val="620837280"/>
        <c:scaling>
          <c:orientation val="minMax"/>
        </c:scaling>
        <c:delete val="0"/>
        <c:axPos val="b"/>
        <c:numFmt formatCode="General" sourceLinked="0"/>
        <c:majorTickMark val="out"/>
        <c:minorTickMark val="none"/>
        <c:tickLblPos val="nextTo"/>
        <c:spPr>
          <a:ln w="12700">
            <a:solidFill>
              <a:sysClr val="windowText" lastClr="000000"/>
            </a:solidFill>
          </a:ln>
        </c:spPr>
        <c:txPr>
          <a:bodyPr/>
          <a:lstStyle/>
          <a:p>
            <a:pPr>
              <a:defRPr sz="700" b="1">
                <a:latin typeface="Arial" pitchFamily="34" charset="0"/>
                <a:cs typeface="Arial" pitchFamily="34" charset="0"/>
              </a:defRPr>
            </a:pPr>
            <a:endParaRPr lang="en-US"/>
          </a:p>
        </c:txPr>
        <c:crossAx val="163897968"/>
        <c:crosses val="autoZero"/>
        <c:auto val="1"/>
        <c:lblAlgn val="ctr"/>
        <c:lblOffset val="100"/>
        <c:noMultiLvlLbl val="0"/>
      </c:catAx>
      <c:valAx>
        <c:axId val="163897968"/>
        <c:scaling>
          <c:orientation val="minMax"/>
        </c:scaling>
        <c:delete val="0"/>
        <c:axPos val="l"/>
        <c:title>
          <c:tx>
            <c:rich>
              <a:bodyPr rot="-5400000" vert="horz"/>
              <a:lstStyle/>
              <a:p>
                <a:pPr>
                  <a:defRPr sz="800">
                    <a:latin typeface="Arial" pitchFamily="34" charset="0"/>
                    <a:cs typeface="Arial" pitchFamily="34" charset="0"/>
                  </a:defRPr>
                </a:pPr>
                <a:r>
                  <a:rPr lang="en-US" sz="800">
                    <a:latin typeface="Arial" pitchFamily="34" charset="0"/>
                    <a:cs typeface="Arial" pitchFamily="34" charset="0"/>
                  </a:rPr>
                  <a:t>Billion Shs</a:t>
                </a:r>
              </a:p>
            </c:rich>
          </c:tx>
          <c:overlay val="0"/>
        </c:title>
        <c:numFmt formatCode="#,##0" sourceLinked="1"/>
        <c:majorTickMark val="out"/>
        <c:minorTickMark val="none"/>
        <c:tickLblPos val="nextTo"/>
        <c:spPr>
          <a:ln w="12700">
            <a:solidFill>
              <a:schemeClr val="tx1"/>
            </a:solidFill>
          </a:ln>
        </c:spPr>
        <c:txPr>
          <a:bodyPr/>
          <a:lstStyle/>
          <a:p>
            <a:pPr>
              <a:defRPr sz="800" b="1">
                <a:latin typeface="Arial" pitchFamily="34" charset="0"/>
                <a:cs typeface="Arial" pitchFamily="34" charset="0"/>
              </a:defRPr>
            </a:pPr>
            <a:endParaRPr lang="en-US"/>
          </a:p>
        </c:txPr>
        <c:crossAx val="620837280"/>
        <c:crosses val="autoZero"/>
        <c:crossBetween val="between"/>
      </c:valAx>
    </c:plotArea>
    <c:legend>
      <c:legendPos val="b"/>
      <c:layout>
        <c:manualLayout>
          <c:xMode val="edge"/>
          <c:yMode val="edge"/>
          <c:x val="1.2486351709489496E-2"/>
          <c:y val="0.88589824795885752"/>
          <c:w val="0.96427454632687049"/>
          <c:h val="0.11410175204114247"/>
        </c:manualLayout>
      </c:layout>
      <c:overlay val="0"/>
      <c:txPr>
        <a:bodyPr/>
        <a:lstStyle/>
        <a:p>
          <a:pPr>
            <a:defRPr sz="900" b="1">
              <a:latin typeface="+mn-lt"/>
              <a:cs typeface="Arial" pitchFamily="34" charset="0"/>
            </a:defRPr>
          </a:pPr>
          <a:endParaRPr lang="en-US"/>
        </a:p>
      </c:txPr>
    </c:legend>
    <c:plotVisOnly val="1"/>
    <c:dispBlanksAs val="gap"/>
    <c:showDLblsOverMax val="0"/>
  </c:chart>
  <c:spPr>
    <a:ln w="12700">
      <a:solidFill>
        <a:schemeClr val="tx1"/>
      </a:solidFill>
    </a:ln>
  </c:sp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900" b="1">
                <a:solidFill>
                  <a:sysClr val="windowText" lastClr="000000"/>
                </a:solidFill>
                <a:latin typeface="Arial" panose="020B0604020202020204" pitchFamily="34" charset="0"/>
                <a:cs typeface="Arial" panose="020B0604020202020204" pitchFamily="34" charset="0"/>
              </a:rPr>
              <a:t>Quarter to Quarter percentage changes in Agriculture sector Value Added</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lineChart>
        <c:grouping val="standard"/>
        <c:varyColors val="0"/>
        <c:ser>
          <c:idx val="0"/>
          <c:order val="0"/>
          <c:tx>
            <c:strRef>
              <c:f>Summary!$A$42</c:f>
              <c:strCache>
                <c:ptCount val="1"/>
                <c:pt idx="0">
                  <c:v>SEASONALLY ADJUSTED ESTIMATES</c:v>
                </c:pt>
              </c:strCache>
            </c:strRef>
          </c:tx>
          <c:spPr>
            <a:ln w="23495" cap="rnd">
              <a:solidFill>
                <a:srgbClr val="00B050"/>
              </a:solidFill>
              <a:round/>
            </a:ln>
            <a:effectLst/>
          </c:spPr>
          <c:marker>
            <c:symbol val="none"/>
          </c:marker>
          <c:cat>
            <c:multiLvlStrRef>
              <c:extLst>
                <c:ext xmlns:c15="http://schemas.microsoft.com/office/drawing/2012/chart" uri="{02D57815-91ED-43cb-92C2-25804820EDAC}">
                  <c15:fullRef>
                    <c15:sqref>Summary!$G$32:$AM$33</c15:sqref>
                  </c15:fullRef>
                </c:ext>
              </c:extLst>
              <c:f>Summary!$V$32:$AM$33</c:f>
              <c:multiLvlStrCache>
                <c:ptCount val="18"/>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lvl>
                <c:lvl>
                  <c:pt idx="0">
                    <c:v>2021/22</c:v>
                  </c:pt>
                  <c:pt idx="4">
                    <c:v>2022/23</c:v>
                  </c:pt>
                  <c:pt idx="8">
                    <c:v>2023/24</c:v>
                  </c:pt>
                  <c:pt idx="12">
                    <c:v>2024/25</c:v>
                  </c:pt>
                  <c:pt idx="16">
                    <c:v>2025/26</c:v>
                  </c:pt>
                </c:lvl>
              </c:multiLvlStrCache>
            </c:multiLvlStrRef>
          </c:cat>
          <c:val>
            <c:numRef>
              <c:extLst>
                <c:ext xmlns:c15="http://schemas.microsoft.com/office/drawing/2012/chart" uri="{02D57815-91ED-43cb-92C2-25804820EDAC}">
                  <c15:fullRef>
                    <c15:sqref>Summary!$G$44:$AM$44</c15:sqref>
                  </c15:fullRef>
                </c:ext>
              </c:extLst>
              <c:f>Summary!$V$44:$AM$44</c:f>
              <c:numCache>
                <c:formatCode>#,##0.0</c:formatCode>
                <c:ptCount val="18"/>
                <c:pt idx="0">
                  <c:v>3.7945184008034705</c:v>
                </c:pt>
                <c:pt idx="1">
                  <c:v>-3.7462449152126043</c:v>
                </c:pt>
                <c:pt idx="2">
                  <c:v>5.3123496714299501</c:v>
                </c:pt>
                <c:pt idx="3">
                  <c:v>5.1231288587306079</c:v>
                </c:pt>
                <c:pt idx="4">
                  <c:v>-3.410582798889783</c:v>
                </c:pt>
                <c:pt idx="5">
                  <c:v>4.338003749345698</c:v>
                </c:pt>
                <c:pt idx="6">
                  <c:v>-1.5248479065763987</c:v>
                </c:pt>
                <c:pt idx="7">
                  <c:v>-1.6361716416407046</c:v>
                </c:pt>
                <c:pt idx="8">
                  <c:v>4.355965586744226</c:v>
                </c:pt>
                <c:pt idx="9">
                  <c:v>0.76931956534675994</c:v>
                </c:pt>
                <c:pt idx="10">
                  <c:v>1.989594219126789</c:v>
                </c:pt>
                <c:pt idx="11">
                  <c:v>3.0529694356006498</c:v>
                </c:pt>
                <c:pt idx="12">
                  <c:v>0.82330880624443825</c:v>
                </c:pt>
                <c:pt idx="13">
                  <c:v>1.3054081248435434</c:v>
                </c:pt>
                <c:pt idx="14">
                  <c:v>3.4927289891883317</c:v>
                </c:pt>
                <c:pt idx="15">
                  <c:v>-2.1254685494133452</c:v>
                </c:pt>
                <c:pt idx="16">
                  <c:v>1.7463495844387333</c:v>
                </c:pt>
                <c:pt idx="17">
                  <c:v>5.3632931051978083</c:v>
                </c:pt>
              </c:numCache>
            </c:numRef>
          </c:val>
          <c:smooth val="1"/>
          <c:extLst>
            <c:ext xmlns:c16="http://schemas.microsoft.com/office/drawing/2014/chart" uri="{C3380CC4-5D6E-409C-BE32-E72D297353CC}">
              <c16:uniqueId val="{00000000-0F22-4B61-A019-FEBC80B9656E}"/>
            </c:ext>
          </c:extLst>
        </c:ser>
        <c:ser>
          <c:idx val="1"/>
          <c:order val="1"/>
          <c:tx>
            <c:strRef>
              <c:f>Summary!$A$50</c:f>
              <c:strCache>
                <c:ptCount val="1"/>
                <c:pt idx="0">
                  <c:v>TREND CYCLE ESTIMATES</c:v>
                </c:pt>
              </c:strCache>
            </c:strRef>
          </c:tx>
          <c:spPr>
            <a:ln w="23495" cap="rnd">
              <a:solidFill>
                <a:srgbClr val="FF3377"/>
              </a:solidFill>
              <a:round/>
            </a:ln>
            <a:effectLst/>
          </c:spPr>
          <c:marker>
            <c:symbol val="none"/>
          </c:marker>
          <c:cat>
            <c:multiLvlStrRef>
              <c:extLst>
                <c:ext xmlns:c15="http://schemas.microsoft.com/office/drawing/2012/chart" uri="{02D57815-91ED-43cb-92C2-25804820EDAC}">
                  <c15:fullRef>
                    <c15:sqref>Summary!$G$32:$AM$33</c15:sqref>
                  </c15:fullRef>
                </c:ext>
              </c:extLst>
              <c:f>Summary!$V$32:$AM$33</c:f>
              <c:multiLvlStrCache>
                <c:ptCount val="18"/>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lvl>
                <c:lvl>
                  <c:pt idx="0">
                    <c:v>2021/22</c:v>
                  </c:pt>
                  <c:pt idx="4">
                    <c:v>2022/23</c:v>
                  </c:pt>
                  <c:pt idx="8">
                    <c:v>2023/24</c:v>
                  </c:pt>
                  <c:pt idx="12">
                    <c:v>2024/25</c:v>
                  </c:pt>
                  <c:pt idx="16">
                    <c:v>2025/26</c:v>
                  </c:pt>
                </c:lvl>
              </c:multiLvlStrCache>
            </c:multiLvlStrRef>
          </c:cat>
          <c:val>
            <c:numRef>
              <c:extLst>
                <c:ext xmlns:c15="http://schemas.microsoft.com/office/drawing/2012/chart" uri="{02D57815-91ED-43cb-92C2-25804820EDAC}">
                  <c15:fullRef>
                    <c15:sqref>Summary!$G$52:$AM$52</c15:sqref>
                  </c15:fullRef>
                </c:ext>
              </c:extLst>
              <c:f>Summary!$V$52:$AM$52</c:f>
              <c:numCache>
                <c:formatCode>0.0</c:formatCode>
                <c:ptCount val="18"/>
                <c:pt idx="0">
                  <c:v>0.72518788029312109</c:v>
                </c:pt>
                <c:pt idx="1">
                  <c:v>3.062520514820477</c:v>
                </c:pt>
                <c:pt idx="2">
                  <c:v>3.44209737571608</c:v>
                </c:pt>
                <c:pt idx="3">
                  <c:v>3.1109351183569389</c:v>
                </c:pt>
                <c:pt idx="4">
                  <c:v>1.6546843439123604</c:v>
                </c:pt>
                <c:pt idx="5">
                  <c:v>-0.53365901468329646</c:v>
                </c:pt>
                <c:pt idx="6">
                  <c:v>-0.85012280979926969</c:v>
                </c:pt>
                <c:pt idx="7">
                  <c:v>0.12470577499859026</c:v>
                </c:pt>
                <c:pt idx="8">
                  <c:v>0.97248991279241803</c:v>
                </c:pt>
                <c:pt idx="9">
                  <c:v>1.8997033331201951</c:v>
                </c:pt>
                <c:pt idx="10">
                  <c:v>2.116381009755619</c:v>
                </c:pt>
                <c:pt idx="11">
                  <c:v>2.0279976023120927</c:v>
                </c:pt>
                <c:pt idx="12">
                  <c:v>1.7051817456764651</c:v>
                </c:pt>
                <c:pt idx="13">
                  <c:v>1.3043888575532847</c:v>
                </c:pt>
                <c:pt idx="14">
                  <c:v>0.85395583659877428</c:v>
                </c:pt>
                <c:pt idx="15">
                  <c:v>1.1456898738560817</c:v>
                </c:pt>
                <c:pt idx="16">
                  <c:v>2.1907354385744648</c:v>
                </c:pt>
                <c:pt idx="17">
                  <c:v>3.1416674495211572</c:v>
                </c:pt>
              </c:numCache>
            </c:numRef>
          </c:val>
          <c:smooth val="1"/>
          <c:extLst>
            <c:ext xmlns:c16="http://schemas.microsoft.com/office/drawing/2014/chart" uri="{C3380CC4-5D6E-409C-BE32-E72D297353CC}">
              <c16:uniqueId val="{00000001-0F22-4B61-A019-FEBC80B9656E}"/>
            </c:ext>
          </c:extLst>
        </c:ser>
        <c:dLbls>
          <c:showLegendKey val="0"/>
          <c:showVal val="0"/>
          <c:showCatName val="0"/>
          <c:showSerName val="0"/>
          <c:showPercent val="0"/>
          <c:showBubbleSize val="0"/>
        </c:dLbls>
        <c:smooth val="0"/>
        <c:axId val="163897184"/>
        <c:axId val="163898360"/>
      </c:lineChart>
      <c:catAx>
        <c:axId val="163897184"/>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0"/>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700" b="1" i="0" u="none" strike="noStrike" kern="1200" cap="none" spc="0" normalizeH="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63898360"/>
        <c:crosses val="autoZero"/>
        <c:auto val="1"/>
        <c:lblAlgn val="ctr"/>
        <c:lblOffset val="100"/>
        <c:noMultiLvlLbl val="0"/>
      </c:catAx>
      <c:valAx>
        <c:axId val="163898360"/>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Percent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3897184"/>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solidFill>
      <a:round/>
    </a:ln>
    <a:effectLst/>
  </c:spPr>
  <c:txPr>
    <a:bodyPr/>
    <a:lstStyle/>
    <a:p>
      <a:pPr>
        <a:defRPr/>
      </a:pPr>
      <a:endParaRPr lang="en-US"/>
    </a:p>
  </c:txPr>
  <c:printSettings>
    <c:headerFooter/>
    <c:pageMargins b="0.75000000000000488" l="0.70000000000000062" r="0.70000000000000062" t="0.75000000000000488"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900">
                <a:solidFill>
                  <a:sysClr val="windowText" lastClr="000000"/>
                </a:solidFill>
                <a:latin typeface="Arial" panose="020B0604020202020204" pitchFamily="34" charset="0"/>
                <a:cs typeface="Arial" panose="020B0604020202020204" pitchFamily="34" charset="0"/>
              </a:rPr>
              <a:t>Quarter to Quarter percentage changes in Industry sector Value Added</a:t>
            </a:r>
          </a:p>
        </c:rich>
      </c:tx>
      <c:layout>
        <c:manualLayout>
          <c:xMode val="edge"/>
          <c:yMode val="edge"/>
          <c:x val="0.10274221818710702"/>
          <c:y val="1.4760147601476014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lineChart>
        <c:grouping val="standard"/>
        <c:varyColors val="0"/>
        <c:ser>
          <c:idx val="0"/>
          <c:order val="0"/>
          <c:tx>
            <c:strRef>
              <c:f>Summary!$A$42</c:f>
              <c:strCache>
                <c:ptCount val="1"/>
                <c:pt idx="0">
                  <c:v>SEASONALLY ADJUSTED ESTIMATES</c:v>
                </c:pt>
              </c:strCache>
            </c:strRef>
          </c:tx>
          <c:spPr>
            <a:ln w="23495" cap="rnd">
              <a:solidFill>
                <a:srgbClr val="00B050"/>
              </a:solidFill>
              <a:round/>
            </a:ln>
            <a:effectLst/>
          </c:spPr>
          <c:marker>
            <c:symbol val="none"/>
          </c:marker>
          <c:cat>
            <c:multiLvlStrRef>
              <c:extLst>
                <c:ext xmlns:c15="http://schemas.microsoft.com/office/drawing/2012/chart" uri="{02D57815-91ED-43cb-92C2-25804820EDAC}">
                  <c15:fullRef>
                    <c15:sqref>Summary!$G$32:$AM$33</c15:sqref>
                  </c15:fullRef>
                </c:ext>
              </c:extLst>
              <c:f>Summary!$W$32:$AM$33</c:f>
              <c:multiLvlStrCache>
                <c:ptCount val="17"/>
                <c:lvl>
                  <c:pt idx="0">
                    <c:v>Q2</c:v>
                  </c:pt>
                  <c:pt idx="1">
                    <c:v>Q3</c:v>
                  </c:pt>
                  <c:pt idx="2">
                    <c:v>Q4</c:v>
                  </c:pt>
                  <c:pt idx="3">
                    <c:v>Q1</c:v>
                  </c:pt>
                  <c:pt idx="4">
                    <c:v>Q2</c:v>
                  </c:pt>
                  <c:pt idx="5">
                    <c:v>Q3</c:v>
                  </c:pt>
                  <c:pt idx="6">
                    <c:v>Q4</c:v>
                  </c:pt>
                  <c:pt idx="7">
                    <c:v>Q1</c:v>
                  </c:pt>
                  <c:pt idx="8">
                    <c:v>Q2</c:v>
                  </c:pt>
                  <c:pt idx="9">
                    <c:v>Q3</c:v>
                  </c:pt>
                  <c:pt idx="10">
                    <c:v>Q4</c:v>
                  </c:pt>
                  <c:pt idx="11">
                    <c:v>Q1</c:v>
                  </c:pt>
                  <c:pt idx="12">
                    <c:v>Q2</c:v>
                  </c:pt>
                  <c:pt idx="13">
                    <c:v>Q3</c:v>
                  </c:pt>
                  <c:pt idx="14">
                    <c:v>Q4</c:v>
                  </c:pt>
                  <c:pt idx="15">
                    <c:v>Q1</c:v>
                  </c:pt>
                  <c:pt idx="16">
                    <c:v>Q2</c:v>
                  </c:pt>
                </c:lvl>
                <c:lvl>
                  <c:pt idx="3">
                    <c:v>2022/23</c:v>
                  </c:pt>
                  <c:pt idx="7">
                    <c:v>2023/24</c:v>
                  </c:pt>
                  <c:pt idx="11">
                    <c:v>2024/25</c:v>
                  </c:pt>
                  <c:pt idx="15">
                    <c:v>2025/26</c:v>
                  </c:pt>
                </c:lvl>
              </c:multiLvlStrCache>
            </c:multiLvlStrRef>
          </c:cat>
          <c:val>
            <c:numRef>
              <c:extLst>
                <c:ext xmlns:c15="http://schemas.microsoft.com/office/drawing/2012/chart" uri="{02D57815-91ED-43cb-92C2-25804820EDAC}">
                  <c15:fullRef>
                    <c15:sqref>Summary!$G$45:$AM$45</c15:sqref>
                  </c15:fullRef>
                </c:ext>
              </c:extLst>
              <c:f>Summary!$W$45:$AM$45</c:f>
              <c:numCache>
                <c:formatCode>0.0</c:formatCode>
                <c:ptCount val="17"/>
                <c:pt idx="0">
                  <c:v>12.979608443926228</c:v>
                </c:pt>
                <c:pt idx="1">
                  <c:v>-1.2038631305172576</c:v>
                </c:pt>
                <c:pt idx="2">
                  <c:v>0.437586950678992</c:v>
                </c:pt>
                <c:pt idx="3">
                  <c:v>-0.61945777337908403</c:v>
                </c:pt>
                <c:pt idx="4">
                  <c:v>-0.57904911831040407</c:v>
                </c:pt>
                <c:pt idx="5">
                  <c:v>1.5823819594514843</c:v>
                </c:pt>
                <c:pt idx="6">
                  <c:v>5.7785620006794991</c:v>
                </c:pt>
                <c:pt idx="7">
                  <c:v>1.4940566726909799</c:v>
                </c:pt>
                <c:pt idx="8">
                  <c:v>-3.5630161586926667</c:v>
                </c:pt>
                <c:pt idx="9">
                  <c:v>3.1808000404047077</c:v>
                </c:pt>
                <c:pt idx="10">
                  <c:v>-0.10388496823852122</c:v>
                </c:pt>
                <c:pt idx="11">
                  <c:v>5.6296865788368677</c:v>
                </c:pt>
                <c:pt idx="12">
                  <c:v>-0.78729526908379865</c:v>
                </c:pt>
                <c:pt idx="13">
                  <c:v>2.5542563084282266</c:v>
                </c:pt>
                <c:pt idx="14">
                  <c:v>5.0557372176895932E-2</c:v>
                </c:pt>
                <c:pt idx="15">
                  <c:v>4.2523590607245199</c:v>
                </c:pt>
                <c:pt idx="16">
                  <c:v>5.158680041318231</c:v>
                </c:pt>
              </c:numCache>
            </c:numRef>
          </c:val>
          <c:smooth val="1"/>
          <c:extLst>
            <c:ext xmlns:c16="http://schemas.microsoft.com/office/drawing/2014/chart" uri="{C3380CC4-5D6E-409C-BE32-E72D297353CC}">
              <c16:uniqueId val="{00000000-7423-4B70-9C5E-4EDC3B65450C}"/>
            </c:ext>
          </c:extLst>
        </c:ser>
        <c:ser>
          <c:idx val="1"/>
          <c:order val="1"/>
          <c:tx>
            <c:strRef>
              <c:f>Summary!$A$50</c:f>
              <c:strCache>
                <c:ptCount val="1"/>
                <c:pt idx="0">
                  <c:v>TREND CYCLE ESTIMATES</c:v>
                </c:pt>
              </c:strCache>
            </c:strRef>
          </c:tx>
          <c:spPr>
            <a:ln w="23495" cap="rnd">
              <a:solidFill>
                <a:srgbClr val="FF3377"/>
              </a:solidFill>
              <a:round/>
            </a:ln>
            <a:effectLst/>
          </c:spPr>
          <c:marker>
            <c:symbol val="none"/>
          </c:marker>
          <c:cat>
            <c:multiLvlStrRef>
              <c:extLst>
                <c:ext xmlns:c15="http://schemas.microsoft.com/office/drawing/2012/chart" uri="{02D57815-91ED-43cb-92C2-25804820EDAC}">
                  <c15:fullRef>
                    <c15:sqref>Summary!$G$32:$AM$33</c15:sqref>
                  </c15:fullRef>
                </c:ext>
              </c:extLst>
              <c:f>Summary!$W$32:$AM$33</c:f>
              <c:multiLvlStrCache>
                <c:ptCount val="17"/>
                <c:lvl>
                  <c:pt idx="0">
                    <c:v>Q2</c:v>
                  </c:pt>
                  <c:pt idx="1">
                    <c:v>Q3</c:v>
                  </c:pt>
                  <c:pt idx="2">
                    <c:v>Q4</c:v>
                  </c:pt>
                  <c:pt idx="3">
                    <c:v>Q1</c:v>
                  </c:pt>
                  <c:pt idx="4">
                    <c:v>Q2</c:v>
                  </c:pt>
                  <c:pt idx="5">
                    <c:v>Q3</c:v>
                  </c:pt>
                  <c:pt idx="6">
                    <c:v>Q4</c:v>
                  </c:pt>
                  <c:pt idx="7">
                    <c:v>Q1</c:v>
                  </c:pt>
                  <c:pt idx="8">
                    <c:v>Q2</c:v>
                  </c:pt>
                  <c:pt idx="9">
                    <c:v>Q3</c:v>
                  </c:pt>
                  <c:pt idx="10">
                    <c:v>Q4</c:v>
                  </c:pt>
                  <c:pt idx="11">
                    <c:v>Q1</c:v>
                  </c:pt>
                  <c:pt idx="12">
                    <c:v>Q2</c:v>
                  </c:pt>
                  <c:pt idx="13">
                    <c:v>Q3</c:v>
                  </c:pt>
                  <c:pt idx="14">
                    <c:v>Q4</c:v>
                  </c:pt>
                  <c:pt idx="15">
                    <c:v>Q1</c:v>
                  </c:pt>
                  <c:pt idx="16">
                    <c:v>Q2</c:v>
                  </c:pt>
                </c:lvl>
                <c:lvl>
                  <c:pt idx="3">
                    <c:v>2022/23</c:v>
                  </c:pt>
                  <c:pt idx="7">
                    <c:v>2023/24</c:v>
                  </c:pt>
                  <c:pt idx="11">
                    <c:v>2024/25</c:v>
                  </c:pt>
                  <c:pt idx="15">
                    <c:v>2025/26</c:v>
                  </c:pt>
                </c:lvl>
              </c:multiLvlStrCache>
            </c:multiLvlStrRef>
          </c:cat>
          <c:val>
            <c:numRef>
              <c:extLst>
                <c:ext xmlns:c15="http://schemas.microsoft.com/office/drawing/2012/chart" uri="{02D57815-91ED-43cb-92C2-25804820EDAC}">
                  <c15:fullRef>
                    <c15:sqref>Summary!$G$53:$AM$53</c15:sqref>
                  </c15:fullRef>
                </c:ext>
              </c:extLst>
              <c:f>Summary!$W$53:$AM$53</c:f>
              <c:numCache>
                <c:formatCode>0.0</c:formatCode>
                <c:ptCount val="17"/>
                <c:pt idx="0">
                  <c:v>3.4747112485955522</c:v>
                </c:pt>
                <c:pt idx="1">
                  <c:v>1.686304205077227</c:v>
                </c:pt>
                <c:pt idx="2">
                  <c:v>-0.502777342806493</c:v>
                </c:pt>
                <c:pt idx="3">
                  <c:v>-0.46418427752248359</c:v>
                </c:pt>
                <c:pt idx="4">
                  <c:v>-0.50603239796610522</c:v>
                </c:pt>
                <c:pt idx="5">
                  <c:v>2.5078151243494107</c:v>
                </c:pt>
                <c:pt idx="6">
                  <c:v>3.7394904187975531</c:v>
                </c:pt>
                <c:pt idx="7">
                  <c:v>0.60850300807637758</c:v>
                </c:pt>
                <c:pt idx="8">
                  <c:v>-0.72735565719846962</c:v>
                </c:pt>
                <c:pt idx="9">
                  <c:v>1.6011356230821505</c:v>
                </c:pt>
                <c:pt idx="10">
                  <c:v>3.1611068353551541</c:v>
                </c:pt>
                <c:pt idx="11">
                  <c:v>2.0933719413201324</c:v>
                </c:pt>
                <c:pt idx="12">
                  <c:v>1.1232364519582205</c:v>
                </c:pt>
                <c:pt idx="13">
                  <c:v>0.38207510540042566</c:v>
                </c:pt>
                <c:pt idx="14">
                  <c:v>1.4267594989092025</c:v>
                </c:pt>
                <c:pt idx="15">
                  <c:v>3.762506985775782</c:v>
                </c:pt>
                <c:pt idx="16">
                  <c:v>4.9170772613309266</c:v>
                </c:pt>
              </c:numCache>
            </c:numRef>
          </c:val>
          <c:smooth val="1"/>
          <c:extLst>
            <c:ext xmlns:c16="http://schemas.microsoft.com/office/drawing/2014/chart" uri="{C3380CC4-5D6E-409C-BE32-E72D297353CC}">
              <c16:uniqueId val="{00000001-7423-4B70-9C5E-4EDC3B65450C}"/>
            </c:ext>
          </c:extLst>
        </c:ser>
        <c:dLbls>
          <c:showLegendKey val="0"/>
          <c:showVal val="0"/>
          <c:showCatName val="0"/>
          <c:showSerName val="0"/>
          <c:showPercent val="0"/>
          <c:showBubbleSize val="0"/>
        </c:dLbls>
        <c:smooth val="0"/>
        <c:axId val="963663048"/>
        <c:axId val="963662656"/>
      </c:lineChart>
      <c:catAx>
        <c:axId val="963663048"/>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0"/>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700" b="1" i="0" u="none" strike="noStrike" kern="1200" cap="none" spc="0" normalizeH="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63662656"/>
        <c:crosses val="autoZero"/>
        <c:auto val="1"/>
        <c:lblAlgn val="ctr"/>
        <c:lblOffset val="100"/>
        <c:noMultiLvlLbl val="0"/>
      </c:catAx>
      <c:valAx>
        <c:axId val="963662656"/>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Percent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63663048"/>
        <c:crosses val="autoZero"/>
        <c:crossBetween val="between"/>
      </c:valAx>
      <c:spPr>
        <a:pattFill prst="ltDnDiag">
          <a:fgClr>
            <a:schemeClr val="dk1">
              <a:lumMod val="15000"/>
              <a:lumOff val="85000"/>
            </a:schemeClr>
          </a:fgClr>
          <a:bgClr>
            <a:schemeClr val="lt1"/>
          </a:bgClr>
        </a:pattFill>
        <a:ln>
          <a:noFill/>
        </a:ln>
        <a:effectLst/>
      </c:spPr>
    </c:plotArea>
    <c:legend>
      <c:legendPos val="b"/>
      <c:layout>
        <c:manualLayout>
          <c:xMode val="edge"/>
          <c:yMode val="edge"/>
          <c:x val="4.6847985417989346E-2"/>
          <c:y val="0.91697358863352418"/>
          <c:w val="0.89999985108240754"/>
          <c:h val="8.3026411366475872E-2"/>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solidFill>
      <a:round/>
    </a:ln>
    <a:effectLst/>
  </c:spPr>
  <c:txPr>
    <a:bodyPr/>
    <a:lstStyle/>
    <a:p>
      <a:pPr>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900">
                <a:solidFill>
                  <a:sysClr val="windowText" lastClr="000000"/>
                </a:solidFill>
                <a:latin typeface="Arial" panose="020B0604020202020204" pitchFamily="34" charset="0"/>
                <a:cs typeface="Arial" panose="020B0604020202020204" pitchFamily="34" charset="0"/>
              </a:rPr>
              <a:t>Quarter to Quarter percentage changes in Services Value Added</a:t>
            </a:r>
          </a:p>
        </c:rich>
      </c:tx>
      <c:layout>
        <c:manualLayout>
          <c:xMode val="edge"/>
          <c:yMode val="edge"/>
          <c:x val="0.11097014281665496"/>
          <c:y val="1.968019680196802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lineChart>
        <c:grouping val="standard"/>
        <c:varyColors val="0"/>
        <c:ser>
          <c:idx val="0"/>
          <c:order val="0"/>
          <c:tx>
            <c:strRef>
              <c:f>Summary!$A$42</c:f>
              <c:strCache>
                <c:ptCount val="1"/>
                <c:pt idx="0">
                  <c:v>SEASONALLY ADJUSTED ESTIMATES</c:v>
                </c:pt>
              </c:strCache>
            </c:strRef>
          </c:tx>
          <c:spPr>
            <a:ln w="23495" cap="rnd">
              <a:solidFill>
                <a:srgbClr val="00B050"/>
              </a:solidFill>
              <a:round/>
            </a:ln>
            <a:effectLst/>
          </c:spPr>
          <c:marker>
            <c:symbol val="none"/>
          </c:marker>
          <c:cat>
            <c:multiLvlStrRef>
              <c:extLst>
                <c:ext xmlns:c15="http://schemas.microsoft.com/office/drawing/2012/chart" uri="{02D57815-91ED-43cb-92C2-25804820EDAC}">
                  <c15:fullRef>
                    <c15:sqref>Summary!$G$32:$AM$33</c15:sqref>
                  </c15:fullRef>
                </c:ext>
              </c:extLst>
              <c:f>Summary!$Z$32:$AM$33</c:f>
              <c:multiLvlStrCache>
                <c:ptCount val="1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lvl>
                <c:lvl>
                  <c:pt idx="0">
                    <c:v>2022/23</c:v>
                  </c:pt>
                  <c:pt idx="4">
                    <c:v>2023/24</c:v>
                  </c:pt>
                  <c:pt idx="8">
                    <c:v>2024/25</c:v>
                  </c:pt>
                  <c:pt idx="12">
                    <c:v>2025/26</c:v>
                  </c:pt>
                </c:lvl>
              </c:multiLvlStrCache>
            </c:multiLvlStrRef>
          </c:cat>
          <c:val>
            <c:numRef>
              <c:extLst>
                <c:ext xmlns:c15="http://schemas.microsoft.com/office/drawing/2012/chart" uri="{02D57815-91ED-43cb-92C2-25804820EDAC}">
                  <c15:fullRef>
                    <c15:sqref>Summary!$G$46:$AM$46</c15:sqref>
                  </c15:fullRef>
                </c:ext>
              </c:extLst>
              <c:f>Summary!$Z$46:$AM$46</c:f>
              <c:numCache>
                <c:formatCode>0.0</c:formatCode>
                <c:ptCount val="14"/>
                <c:pt idx="0">
                  <c:v>5.1582627216554489</c:v>
                </c:pt>
                <c:pt idx="1">
                  <c:v>-0.42542074959702747</c:v>
                </c:pt>
                <c:pt idx="2">
                  <c:v>-0.97115418539803766</c:v>
                </c:pt>
                <c:pt idx="3">
                  <c:v>4.2422080888693037</c:v>
                </c:pt>
                <c:pt idx="4">
                  <c:v>-0.11147455255687833</c:v>
                </c:pt>
                <c:pt idx="5">
                  <c:v>5.5083024573400197</c:v>
                </c:pt>
                <c:pt idx="6">
                  <c:v>-1.5905115979479634</c:v>
                </c:pt>
                <c:pt idx="7">
                  <c:v>2.1878533134218392</c:v>
                </c:pt>
                <c:pt idx="8">
                  <c:v>-2.2265295247203554E-2</c:v>
                </c:pt>
                <c:pt idx="9">
                  <c:v>2.0299338866679228</c:v>
                </c:pt>
                <c:pt idx="10">
                  <c:v>4.2500229807768575</c:v>
                </c:pt>
                <c:pt idx="11">
                  <c:v>-1.2228544106075878</c:v>
                </c:pt>
                <c:pt idx="12">
                  <c:v>0.55501444277890055</c:v>
                </c:pt>
                <c:pt idx="13">
                  <c:v>2.8511598246419245</c:v>
                </c:pt>
              </c:numCache>
            </c:numRef>
          </c:val>
          <c:smooth val="1"/>
          <c:extLst>
            <c:ext xmlns:c16="http://schemas.microsoft.com/office/drawing/2014/chart" uri="{C3380CC4-5D6E-409C-BE32-E72D297353CC}">
              <c16:uniqueId val="{00000000-6BA9-4D4D-8981-E76156725738}"/>
            </c:ext>
          </c:extLst>
        </c:ser>
        <c:ser>
          <c:idx val="1"/>
          <c:order val="1"/>
          <c:tx>
            <c:strRef>
              <c:f>Summary!$A$50</c:f>
              <c:strCache>
                <c:ptCount val="1"/>
                <c:pt idx="0">
                  <c:v>TREND CYCLE ESTIMATES</c:v>
                </c:pt>
              </c:strCache>
            </c:strRef>
          </c:tx>
          <c:spPr>
            <a:ln w="23495" cap="rnd">
              <a:solidFill>
                <a:srgbClr val="FF3377"/>
              </a:solidFill>
              <a:round/>
            </a:ln>
            <a:effectLst/>
          </c:spPr>
          <c:marker>
            <c:symbol val="none"/>
          </c:marker>
          <c:cat>
            <c:multiLvlStrRef>
              <c:extLst>
                <c:ext xmlns:c15="http://schemas.microsoft.com/office/drawing/2012/chart" uri="{02D57815-91ED-43cb-92C2-25804820EDAC}">
                  <c15:fullRef>
                    <c15:sqref>Summary!$G$32:$AM$33</c15:sqref>
                  </c15:fullRef>
                </c:ext>
              </c:extLst>
              <c:f>Summary!$Z$32:$AM$33</c:f>
              <c:multiLvlStrCache>
                <c:ptCount val="1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lvl>
                <c:lvl>
                  <c:pt idx="0">
                    <c:v>2022/23</c:v>
                  </c:pt>
                  <c:pt idx="4">
                    <c:v>2023/24</c:v>
                  </c:pt>
                  <c:pt idx="8">
                    <c:v>2024/25</c:v>
                  </c:pt>
                  <c:pt idx="12">
                    <c:v>2025/26</c:v>
                  </c:pt>
                </c:lvl>
              </c:multiLvlStrCache>
            </c:multiLvlStrRef>
          </c:cat>
          <c:val>
            <c:numRef>
              <c:extLst>
                <c:ext xmlns:c15="http://schemas.microsoft.com/office/drawing/2012/chart" uri="{02D57815-91ED-43cb-92C2-25804820EDAC}">
                  <c15:fullRef>
                    <c15:sqref>Summary!$G$54:$AM$54</c15:sqref>
                  </c15:fullRef>
                </c:ext>
              </c:extLst>
              <c:f>Summary!$Z$54:$AM$54</c:f>
              <c:numCache>
                <c:formatCode>0.0</c:formatCode>
                <c:ptCount val="14"/>
                <c:pt idx="0">
                  <c:v>1.619583924935597</c:v>
                </c:pt>
                <c:pt idx="1">
                  <c:v>1.7189196497805037</c:v>
                </c:pt>
                <c:pt idx="2">
                  <c:v>1.4299791449974286</c:v>
                </c:pt>
                <c:pt idx="3">
                  <c:v>1.5442257989259689</c:v>
                </c:pt>
                <c:pt idx="4">
                  <c:v>1.5754830476723214</c:v>
                </c:pt>
                <c:pt idx="5">
                  <c:v>0.87555160252674735</c:v>
                </c:pt>
                <c:pt idx="6">
                  <c:v>2.9335557993390049</c:v>
                </c:pt>
                <c:pt idx="7">
                  <c:v>2.5552596789729876</c:v>
                </c:pt>
                <c:pt idx="8">
                  <c:v>0.72311941315128525</c:v>
                </c:pt>
                <c:pt idx="9">
                  <c:v>0.67901687743714412</c:v>
                </c:pt>
                <c:pt idx="10">
                  <c:v>1.7202496857755989</c:v>
                </c:pt>
                <c:pt idx="11">
                  <c:v>2.0221471531196133</c:v>
                </c:pt>
                <c:pt idx="12">
                  <c:v>1.0953980109813521</c:v>
                </c:pt>
                <c:pt idx="13">
                  <c:v>0.6705605168422446</c:v>
                </c:pt>
              </c:numCache>
            </c:numRef>
          </c:val>
          <c:smooth val="1"/>
          <c:extLst>
            <c:ext xmlns:c16="http://schemas.microsoft.com/office/drawing/2014/chart" uri="{C3380CC4-5D6E-409C-BE32-E72D297353CC}">
              <c16:uniqueId val="{00000001-6BA9-4D4D-8981-E76156725738}"/>
            </c:ext>
          </c:extLst>
        </c:ser>
        <c:dLbls>
          <c:showLegendKey val="0"/>
          <c:showVal val="0"/>
          <c:showCatName val="0"/>
          <c:showSerName val="0"/>
          <c:showPercent val="0"/>
          <c:showBubbleSize val="0"/>
        </c:dLbls>
        <c:smooth val="0"/>
        <c:axId val="963661872"/>
        <c:axId val="963662264"/>
      </c:lineChart>
      <c:catAx>
        <c:axId val="963661872"/>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0"/>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700" b="1" i="0" u="none" strike="noStrike" kern="1200" cap="none" spc="0" normalizeH="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63662264"/>
        <c:crosses val="autoZero"/>
        <c:auto val="1"/>
        <c:lblAlgn val="ctr"/>
        <c:lblOffset val="100"/>
        <c:noMultiLvlLbl val="0"/>
      </c:catAx>
      <c:valAx>
        <c:axId val="963662264"/>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Percent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63661872"/>
        <c:crosses val="autoZero"/>
        <c:crossBetween val="between"/>
      </c:valAx>
      <c:spPr>
        <a:pattFill prst="ltDnDiag">
          <a:fgClr>
            <a:schemeClr val="dk1">
              <a:lumMod val="15000"/>
              <a:lumOff val="85000"/>
            </a:schemeClr>
          </a:fgClr>
          <a:bgClr>
            <a:schemeClr val="lt1"/>
          </a:bgClr>
        </a:pattFill>
        <a:ln>
          <a:noFill/>
        </a:ln>
        <a:effectLst/>
      </c:spPr>
    </c:plotArea>
    <c:legend>
      <c:legendPos val="b"/>
      <c:layout>
        <c:manualLayout>
          <c:xMode val="edge"/>
          <c:yMode val="edge"/>
          <c:x val="4.6869986322132268E-2"/>
          <c:y val="0.91697358863352418"/>
          <c:w val="0.9"/>
          <c:h val="8.3026411366475872E-2"/>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solidFill>
      <a:round/>
    </a:ln>
    <a:effectLst/>
  </c:spPr>
  <c:txPr>
    <a:bodyPr/>
    <a:lstStyle/>
    <a:p>
      <a:pPr>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900">
                <a:solidFill>
                  <a:sysClr val="windowText" lastClr="000000"/>
                </a:solidFill>
                <a:latin typeface="Arial" panose="020B0604020202020204" pitchFamily="34" charset="0"/>
                <a:cs typeface="Arial" panose="020B0604020202020204" pitchFamily="34" charset="0"/>
              </a:rPr>
              <a:t>GDP and Sectoral Value Added Year on Year percentage change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lineChart>
        <c:grouping val="standard"/>
        <c:varyColors val="0"/>
        <c:ser>
          <c:idx val="3"/>
          <c:order val="0"/>
          <c:tx>
            <c:strRef>
              <c:f>Summary!$A$35</c:f>
              <c:strCache>
                <c:ptCount val="1"/>
                <c:pt idx="0">
                  <c:v>GDP at market prices</c:v>
                </c:pt>
              </c:strCache>
            </c:strRef>
          </c:tx>
          <c:spPr>
            <a:ln w="22225" cap="rnd">
              <a:solidFill>
                <a:schemeClr val="accent4"/>
              </a:solidFill>
              <a:round/>
            </a:ln>
            <a:effectLst/>
          </c:spPr>
          <c:marker>
            <c:symbol val="none"/>
          </c:marker>
          <c:cat>
            <c:multiLvlStrRef>
              <c:extLst>
                <c:ext xmlns:c15="http://schemas.microsoft.com/office/drawing/2012/chart" uri="{02D57815-91ED-43cb-92C2-25804820EDAC}">
                  <c15:fullRef>
                    <c15:sqref>Summary!$G$32:$AM$33</c15:sqref>
                  </c15:fullRef>
                </c:ext>
              </c:extLst>
              <c:f>Summary!$Z$32:$AM$33</c:f>
              <c:multiLvlStrCache>
                <c:ptCount val="1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lvl>
                <c:lvl>
                  <c:pt idx="0">
                    <c:v>2022/23</c:v>
                  </c:pt>
                  <c:pt idx="4">
                    <c:v>2023/24</c:v>
                  </c:pt>
                  <c:pt idx="8">
                    <c:v>2024/25</c:v>
                  </c:pt>
                  <c:pt idx="12">
                    <c:v>2025/26</c:v>
                  </c:pt>
                </c:lvl>
              </c:multiLvlStrCache>
            </c:multiLvlStrRef>
          </c:cat>
          <c:val>
            <c:numRef>
              <c:extLst>
                <c:ext xmlns:c15="http://schemas.microsoft.com/office/drawing/2012/chart" uri="{02D57815-91ED-43cb-92C2-25804820EDAC}">
                  <c15:fullRef>
                    <c15:sqref>Summary!$G$35:$AM$35</c15:sqref>
                  </c15:fullRef>
                </c:ext>
              </c:extLst>
              <c:f>Summary!$Z$35:$AM$35</c:f>
              <c:numCache>
                <c:formatCode>0.0</c:formatCode>
                <c:ptCount val="14"/>
                <c:pt idx="0">
                  <c:v>8.7705981453641826</c:v>
                </c:pt>
                <c:pt idx="1">
                  <c:v>4.3131379207032028</c:v>
                </c:pt>
                <c:pt idx="2">
                  <c:v>2.2299522773682856</c:v>
                </c:pt>
                <c:pt idx="3">
                  <c:v>5.747511173271791</c:v>
                </c:pt>
                <c:pt idx="4">
                  <c:v>5.9910475756172588</c:v>
                </c:pt>
                <c:pt idx="5">
                  <c:v>5.7824205334947809</c:v>
                </c:pt>
                <c:pt idx="6">
                  <c:v>6.8245767569395266</c:v>
                </c:pt>
                <c:pt idx="7">
                  <c:v>5.6851103803429615</c:v>
                </c:pt>
                <c:pt idx="8">
                  <c:v>6.1794064037050678</c:v>
                </c:pt>
                <c:pt idx="9">
                  <c:v>5.3634777034342385</c:v>
                </c:pt>
                <c:pt idx="10">
                  <c:v>8.3943389671000901</c:v>
                </c:pt>
                <c:pt idx="11">
                  <c:v>5.5263248039615354</c:v>
                </c:pt>
                <c:pt idx="12">
                  <c:v>4.845791895303142</c:v>
                </c:pt>
                <c:pt idx="13">
                  <c:v>8.4581777204844943</c:v>
                </c:pt>
              </c:numCache>
            </c:numRef>
          </c:val>
          <c:smooth val="0"/>
          <c:extLst>
            <c:ext xmlns:c16="http://schemas.microsoft.com/office/drawing/2014/chart" uri="{C3380CC4-5D6E-409C-BE32-E72D297353CC}">
              <c16:uniqueId val="{00000000-97FD-4A86-8F8D-D4E39EEE7FB0}"/>
            </c:ext>
          </c:extLst>
        </c:ser>
        <c:ser>
          <c:idx val="0"/>
          <c:order val="1"/>
          <c:tx>
            <c:strRef>
              <c:f>Summary!$A$36</c:f>
              <c:strCache>
                <c:ptCount val="1"/>
                <c:pt idx="0">
                  <c:v>        Agriculture, Forestry &amp; Fishing</c:v>
                </c:pt>
              </c:strCache>
            </c:strRef>
          </c:tx>
          <c:spPr>
            <a:ln w="22225" cap="rnd">
              <a:solidFill>
                <a:srgbClr val="0070C0"/>
              </a:solidFill>
              <a:round/>
            </a:ln>
            <a:effectLst/>
          </c:spPr>
          <c:marker>
            <c:symbol val="none"/>
          </c:marker>
          <c:cat>
            <c:multiLvlStrRef>
              <c:extLst>
                <c:ext xmlns:c15="http://schemas.microsoft.com/office/drawing/2012/chart" uri="{02D57815-91ED-43cb-92C2-25804820EDAC}">
                  <c15:fullRef>
                    <c15:sqref>Summary!$G$32:$AM$33</c15:sqref>
                  </c15:fullRef>
                </c:ext>
              </c:extLst>
              <c:f>Summary!$Z$32:$AM$33</c:f>
              <c:multiLvlStrCache>
                <c:ptCount val="1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lvl>
                <c:lvl>
                  <c:pt idx="0">
                    <c:v>2022/23</c:v>
                  </c:pt>
                  <c:pt idx="4">
                    <c:v>2023/24</c:v>
                  </c:pt>
                  <c:pt idx="8">
                    <c:v>2024/25</c:v>
                  </c:pt>
                  <c:pt idx="12">
                    <c:v>2025/26</c:v>
                  </c:pt>
                </c:lvl>
              </c:multiLvlStrCache>
            </c:multiLvlStrRef>
          </c:cat>
          <c:val>
            <c:numRef>
              <c:extLst>
                <c:ext xmlns:c15="http://schemas.microsoft.com/office/drawing/2012/chart" uri="{02D57815-91ED-43cb-92C2-25804820EDAC}">
                  <c15:fullRef>
                    <c15:sqref>Summary!$G$36:$AM$36</c15:sqref>
                  </c15:fullRef>
                </c:ext>
              </c:extLst>
              <c:f>Summary!$Z$36:$AM$36</c:f>
              <c:numCache>
                <c:formatCode>0.0</c:formatCode>
                <c:ptCount val="14"/>
                <c:pt idx="0">
                  <c:v>4.360614458889045</c:v>
                </c:pt>
                <c:pt idx="1">
                  <c:v>11.82045003135026</c:v>
                </c:pt>
                <c:pt idx="2">
                  <c:v>5.4187896635948585</c:v>
                </c:pt>
                <c:pt idx="3">
                  <c:v>-2.7565253173958748</c:v>
                </c:pt>
                <c:pt idx="4">
                  <c:v>5.6546920383401256</c:v>
                </c:pt>
                <c:pt idx="5">
                  <c:v>2.0542364080081699</c:v>
                </c:pt>
                <c:pt idx="6">
                  <c:v>4.0433084994440316</c:v>
                </c:pt>
                <c:pt idx="7">
                  <c:v>10.576270358409779</c:v>
                </c:pt>
                <c:pt idx="8">
                  <c:v>6.331647981826416</c:v>
                </c:pt>
                <c:pt idx="9">
                  <c:v>7.7962920336269725</c:v>
                </c:pt>
                <c:pt idx="10">
                  <c:v>10.306568787292658</c:v>
                </c:pt>
                <c:pt idx="11">
                  <c:v>3.4652178662333943</c:v>
                </c:pt>
                <c:pt idx="12">
                  <c:v>3.0713610747832076</c:v>
                </c:pt>
                <c:pt idx="13">
                  <c:v>8.7713266407066328</c:v>
                </c:pt>
              </c:numCache>
            </c:numRef>
          </c:val>
          <c:smooth val="1"/>
          <c:extLst>
            <c:ext xmlns:c16="http://schemas.microsoft.com/office/drawing/2014/chart" uri="{C3380CC4-5D6E-409C-BE32-E72D297353CC}">
              <c16:uniqueId val="{00000001-97FD-4A86-8F8D-D4E39EEE7FB0}"/>
            </c:ext>
          </c:extLst>
        </c:ser>
        <c:ser>
          <c:idx val="1"/>
          <c:order val="2"/>
          <c:tx>
            <c:strRef>
              <c:f>Summary!$A$37</c:f>
              <c:strCache>
                <c:ptCount val="1"/>
                <c:pt idx="0">
                  <c:v>        Industry</c:v>
                </c:pt>
              </c:strCache>
            </c:strRef>
          </c:tx>
          <c:spPr>
            <a:ln w="22225" cap="rnd">
              <a:solidFill>
                <a:srgbClr val="F17CB0"/>
              </a:solidFill>
              <a:round/>
            </a:ln>
            <a:effectLst/>
          </c:spPr>
          <c:marker>
            <c:symbol val="none"/>
          </c:marker>
          <c:cat>
            <c:multiLvlStrRef>
              <c:extLst>
                <c:ext xmlns:c15="http://schemas.microsoft.com/office/drawing/2012/chart" uri="{02D57815-91ED-43cb-92C2-25804820EDAC}">
                  <c15:fullRef>
                    <c15:sqref>Summary!$G$32:$AM$33</c15:sqref>
                  </c15:fullRef>
                </c:ext>
              </c:extLst>
              <c:f>Summary!$Z$32:$AM$33</c:f>
              <c:multiLvlStrCache>
                <c:ptCount val="1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lvl>
                <c:lvl>
                  <c:pt idx="0">
                    <c:v>2022/23</c:v>
                  </c:pt>
                  <c:pt idx="4">
                    <c:v>2023/24</c:v>
                  </c:pt>
                  <c:pt idx="8">
                    <c:v>2024/25</c:v>
                  </c:pt>
                  <c:pt idx="12">
                    <c:v>2025/26</c:v>
                  </c:pt>
                </c:lvl>
              </c:multiLvlStrCache>
            </c:multiLvlStrRef>
          </c:cat>
          <c:val>
            <c:numRef>
              <c:extLst>
                <c:ext xmlns:c15="http://schemas.microsoft.com/office/drawing/2012/chart" uri="{02D57815-91ED-43cb-92C2-25804820EDAC}">
                  <c15:fullRef>
                    <c15:sqref>Summary!$G$37:$AM$37</c15:sqref>
                  </c15:fullRef>
                </c:ext>
              </c:extLst>
              <c:f>Summary!$Z$37:$AM$37</c:f>
              <c:numCache>
                <c:formatCode>0.0</c:formatCode>
                <c:ptCount val="14"/>
                <c:pt idx="0">
                  <c:v>12.288975604604691</c:v>
                </c:pt>
                <c:pt idx="1">
                  <c:v>-2.3754988308056668</c:v>
                </c:pt>
                <c:pt idx="2">
                  <c:v>0.71107423556320271</c:v>
                </c:pt>
                <c:pt idx="3">
                  <c:v>6.3594382003911543</c:v>
                </c:pt>
                <c:pt idx="4">
                  <c:v>9.895358882377181</c:v>
                </c:pt>
                <c:pt idx="5">
                  <c:v>4.4842492953972579</c:v>
                </c:pt>
                <c:pt idx="6">
                  <c:v>6.723096500061998</c:v>
                </c:pt>
                <c:pt idx="7">
                  <c:v>1.0980078659702297</c:v>
                </c:pt>
                <c:pt idx="8">
                  <c:v>5.1231152379484168</c:v>
                </c:pt>
                <c:pt idx="9">
                  <c:v>7.6514025698828592</c:v>
                </c:pt>
                <c:pt idx="10">
                  <c:v>7.3997956869305881</c:v>
                </c:pt>
                <c:pt idx="11">
                  <c:v>7.5685940787426631</c:v>
                </c:pt>
                <c:pt idx="12">
                  <c:v>5.9747365900572058</c:v>
                </c:pt>
                <c:pt idx="13">
                  <c:v>12.257991306797633</c:v>
                </c:pt>
              </c:numCache>
            </c:numRef>
          </c:val>
          <c:smooth val="1"/>
          <c:extLst>
            <c:ext xmlns:c16="http://schemas.microsoft.com/office/drawing/2014/chart" uri="{C3380CC4-5D6E-409C-BE32-E72D297353CC}">
              <c16:uniqueId val="{00000002-97FD-4A86-8F8D-D4E39EEE7FB0}"/>
            </c:ext>
          </c:extLst>
        </c:ser>
        <c:ser>
          <c:idx val="2"/>
          <c:order val="3"/>
          <c:tx>
            <c:strRef>
              <c:f>Summary!$A$38</c:f>
              <c:strCache>
                <c:ptCount val="1"/>
                <c:pt idx="0">
                  <c:v>        Services</c:v>
                </c:pt>
              </c:strCache>
            </c:strRef>
          </c:tx>
          <c:spPr>
            <a:ln w="22225" cap="rnd">
              <a:solidFill>
                <a:srgbClr val="B2912F"/>
              </a:solidFill>
              <a:round/>
            </a:ln>
            <a:effectLst/>
          </c:spPr>
          <c:marker>
            <c:symbol val="none"/>
          </c:marker>
          <c:cat>
            <c:multiLvlStrRef>
              <c:extLst>
                <c:ext xmlns:c15="http://schemas.microsoft.com/office/drawing/2012/chart" uri="{02D57815-91ED-43cb-92C2-25804820EDAC}">
                  <c15:fullRef>
                    <c15:sqref>Summary!$G$32:$AM$33</c15:sqref>
                  </c15:fullRef>
                </c:ext>
              </c:extLst>
              <c:f>Summary!$Z$32:$AM$33</c:f>
              <c:multiLvlStrCache>
                <c:ptCount val="1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lvl>
                <c:lvl>
                  <c:pt idx="0">
                    <c:v>2022/23</c:v>
                  </c:pt>
                  <c:pt idx="4">
                    <c:v>2023/24</c:v>
                  </c:pt>
                  <c:pt idx="8">
                    <c:v>2024/25</c:v>
                  </c:pt>
                  <c:pt idx="12">
                    <c:v>2025/26</c:v>
                  </c:pt>
                </c:lvl>
              </c:multiLvlStrCache>
            </c:multiLvlStrRef>
          </c:cat>
          <c:val>
            <c:numRef>
              <c:extLst>
                <c:ext xmlns:c15="http://schemas.microsoft.com/office/drawing/2012/chart" uri="{02D57815-91ED-43cb-92C2-25804820EDAC}">
                  <c15:fullRef>
                    <c15:sqref>Summary!$G$38:$AM$38</c15:sqref>
                  </c15:fullRef>
                </c:ext>
              </c:extLst>
              <c:f>Summary!$Z$38:$AM$38</c:f>
              <c:numCache>
                <c:formatCode>0.0</c:formatCode>
                <c:ptCount val="14"/>
                <c:pt idx="0">
                  <c:v>8.670368818347395</c:v>
                </c:pt>
                <c:pt idx="1">
                  <c:v>4.7269825402485477</c:v>
                </c:pt>
                <c:pt idx="2">
                  <c:v>1.5420013088479401</c:v>
                </c:pt>
                <c:pt idx="3">
                  <c:v>8.9260994726644292</c:v>
                </c:pt>
                <c:pt idx="4">
                  <c:v>2.6713069189930438</c:v>
                </c:pt>
                <c:pt idx="5">
                  <c:v>8.3223193724137232</c:v>
                </c:pt>
                <c:pt idx="6">
                  <c:v>8.0640636430651327</c:v>
                </c:pt>
                <c:pt idx="7">
                  <c:v>6.50508704291759</c:v>
                </c:pt>
                <c:pt idx="8">
                  <c:v>5.9861799343400746</c:v>
                </c:pt>
                <c:pt idx="9">
                  <c:v>2.2328288079326963</c:v>
                </c:pt>
                <c:pt idx="10">
                  <c:v>8.7021832601590798</c:v>
                </c:pt>
                <c:pt idx="11">
                  <c:v>4.9505378057879801</c:v>
                </c:pt>
                <c:pt idx="12">
                  <c:v>5.6881024182068085</c:v>
                </c:pt>
                <c:pt idx="13">
                  <c:v>6.2357551053084048</c:v>
                </c:pt>
              </c:numCache>
            </c:numRef>
          </c:val>
          <c:smooth val="1"/>
          <c:extLst>
            <c:ext xmlns:c16="http://schemas.microsoft.com/office/drawing/2014/chart" uri="{C3380CC4-5D6E-409C-BE32-E72D297353CC}">
              <c16:uniqueId val="{00000003-97FD-4A86-8F8D-D4E39EEE7FB0}"/>
            </c:ext>
          </c:extLst>
        </c:ser>
        <c:dLbls>
          <c:showLegendKey val="0"/>
          <c:showVal val="0"/>
          <c:showCatName val="0"/>
          <c:showSerName val="0"/>
          <c:showPercent val="0"/>
          <c:showBubbleSize val="0"/>
        </c:dLbls>
        <c:smooth val="0"/>
        <c:axId val="497898016"/>
        <c:axId val="509595744"/>
      </c:lineChart>
      <c:catAx>
        <c:axId val="497898016"/>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0"/>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700" b="1" i="0" u="none" strike="noStrike" kern="1200" cap="none" spc="0" normalizeH="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09595744"/>
        <c:crosses val="autoZero"/>
        <c:auto val="1"/>
        <c:lblAlgn val="ctr"/>
        <c:lblOffset val="100"/>
        <c:noMultiLvlLbl val="0"/>
      </c:catAx>
      <c:valAx>
        <c:axId val="509595744"/>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Percent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97898016"/>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solidFill>
      <a:round/>
    </a:ln>
    <a:effectLst/>
  </c:spPr>
  <c:txPr>
    <a:bodyPr/>
    <a:lstStyle/>
    <a:p>
      <a:pPr>
        <a:defRPr/>
      </a:pPr>
      <a:endParaRPr lang="en-US"/>
    </a:p>
  </c:txPr>
  <c:printSettings>
    <c:headerFooter/>
    <c:pageMargins b="0.75000000000000466" l="0.70000000000000062" r="0.70000000000000062" t="0.75000000000000466"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GB" sz="1000">
                <a:solidFill>
                  <a:schemeClr val="tx1"/>
                </a:solidFill>
                <a:latin typeface="Arial" panose="020B0604020202020204" pitchFamily="34" charset="0"/>
                <a:cs typeface="Arial" panose="020B0604020202020204" pitchFamily="34" charset="0"/>
              </a:rPr>
              <a:t>GDP and sectoral value added year on year change, deseasonalized</a:t>
            </a:r>
          </a:p>
        </c:rich>
      </c:tx>
      <c:layout>
        <c:manualLayout>
          <c:xMode val="edge"/>
          <c:yMode val="edge"/>
          <c:x val="0.16936562576531258"/>
          <c:y val="3.0418547681539808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lineChart>
        <c:grouping val="standard"/>
        <c:varyColors val="0"/>
        <c:ser>
          <c:idx val="3"/>
          <c:order val="0"/>
          <c:tx>
            <c:strRef>
              <c:f>Summary!$A$43</c:f>
              <c:strCache>
                <c:ptCount val="1"/>
                <c:pt idx="0">
                  <c:v>GDP at market prices</c:v>
                </c:pt>
              </c:strCache>
            </c:strRef>
          </c:tx>
          <c:spPr>
            <a:ln w="22225" cap="rnd">
              <a:solidFill>
                <a:schemeClr val="accent4"/>
              </a:solidFill>
              <a:round/>
            </a:ln>
            <a:effectLst/>
          </c:spPr>
          <c:marker>
            <c:symbol val="none"/>
          </c:marker>
          <c:cat>
            <c:multiLvlStrRef>
              <c:extLst>
                <c:ext xmlns:c15="http://schemas.microsoft.com/office/drawing/2012/chart" uri="{02D57815-91ED-43cb-92C2-25804820EDAC}">
                  <c15:fullRef>
                    <c15:sqref>Summary!$G$32:$AM$33</c15:sqref>
                  </c15:fullRef>
                </c:ext>
              </c:extLst>
              <c:f>Summary!$Z$32:$AM$33</c:f>
              <c:multiLvlStrCache>
                <c:ptCount val="1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lvl>
                <c:lvl>
                  <c:pt idx="0">
                    <c:v>2022/23</c:v>
                  </c:pt>
                  <c:pt idx="4">
                    <c:v>2023/24</c:v>
                  </c:pt>
                  <c:pt idx="8">
                    <c:v>2024/25</c:v>
                  </c:pt>
                  <c:pt idx="12">
                    <c:v>2025/26</c:v>
                  </c:pt>
                </c:lvl>
              </c:multiLvlStrCache>
            </c:multiLvlStrRef>
          </c:cat>
          <c:val>
            <c:numRef>
              <c:extLst>
                <c:ext xmlns:c15="http://schemas.microsoft.com/office/drawing/2012/chart" uri="{02D57815-91ED-43cb-92C2-25804820EDAC}">
                  <c15:fullRef>
                    <c15:sqref>Summary!$G$43:$AM$43</c15:sqref>
                  </c15:fullRef>
                </c:ext>
              </c:extLst>
              <c:f>Summary!$Z$43:$AM$43</c:f>
              <c:numCache>
                <c:formatCode>#,##0.0</c:formatCode>
                <c:ptCount val="14"/>
                <c:pt idx="0">
                  <c:v>1.1491280048687269</c:v>
                </c:pt>
                <c:pt idx="1">
                  <c:v>0.89760245851990828</c:v>
                </c:pt>
                <c:pt idx="2">
                  <c:v>-0.10537822619710591</c:v>
                </c:pt>
                <c:pt idx="3">
                  <c:v>3.2714827178336625</c:v>
                </c:pt>
                <c:pt idx="4">
                  <c:v>1.388204119208214</c:v>
                </c:pt>
                <c:pt idx="5">
                  <c:v>1.4696531862179896</c:v>
                </c:pt>
                <c:pt idx="6">
                  <c:v>0.77952016491100729</c:v>
                </c:pt>
                <c:pt idx="7">
                  <c:v>1.7342643690546611</c:v>
                </c:pt>
                <c:pt idx="8">
                  <c:v>2.1282137000801393</c:v>
                </c:pt>
                <c:pt idx="9">
                  <c:v>0.80694549241022706</c:v>
                </c:pt>
                <c:pt idx="10">
                  <c:v>3.267281472197392</c:v>
                </c:pt>
                <c:pt idx="11">
                  <c:v>-0.74864264552773063</c:v>
                </c:pt>
                <c:pt idx="12">
                  <c:v>1.9166270533604868</c:v>
                </c:pt>
                <c:pt idx="13">
                  <c:v>3.9628847864205508</c:v>
                </c:pt>
              </c:numCache>
            </c:numRef>
          </c:val>
          <c:smooth val="0"/>
          <c:extLst>
            <c:ext xmlns:c16="http://schemas.microsoft.com/office/drawing/2014/chart" uri="{C3380CC4-5D6E-409C-BE32-E72D297353CC}">
              <c16:uniqueId val="{00000000-97FD-4A86-8F8D-D4E39EEE7FB0}"/>
            </c:ext>
          </c:extLst>
        </c:ser>
        <c:ser>
          <c:idx val="0"/>
          <c:order val="1"/>
          <c:tx>
            <c:strRef>
              <c:f>Summary!$A$44</c:f>
              <c:strCache>
                <c:ptCount val="1"/>
                <c:pt idx="0">
                  <c:v>        Agriculture, Forestry &amp; Fishing</c:v>
                </c:pt>
              </c:strCache>
            </c:strRef>
          </c:tx>
          <c:spPr>
            <a:ln w="22225" cap="rnd">
              <a:solidFill>
                <a:srgbClr val="0070C0"/>
              </a:solidFill>
              <a:round/>
            </a:ln>
            <a:effectLst/>
          </c:spPr>
          <c:marker>
            <c:symbol val="none"/>
          </c:marker>
          <c:cat>
            <c:multiLvlStrRef>
              <c:extLst>
                <c:ext xmlns:c15="http://schemas.microsoft.com/office/drawing/2012/chart" uri="{02D57815-91ED-43cb-92C2-25804820EDAC}">
                  <c15:fullRef>
                    <c15:sqref>Summary!$G$32:$AM$33</c15:sqref>
                  </c15:fullRef>
                </c:ext>
              </c:extLst>
              <c:f>Summary!$Z$32:$AM$33</c:f>
              <c:multiLvlStrCache>
                <c:ptCount val="1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lvl>
                <c:lvl>
                  <c:pt idx="0">
                    <c:v>2022/23</c:v>
                  </c:pt>
                  <c:pt idx="4">
                    <c:v>2023/24</c:v>
                  </c:pt>
                  <c:pt idx="8">
                    <c:v>2024/25</c:v>
                  </c:pt>
                  <c:pt idx="12">
                    <c:v>2025/26</c:v>
                  </c:pt>
                </c:lvl>
              </c:multiLvlStrCache>
            </c:multiLvlStrRef>
          </c:cat>
          <c:val>
            <c:numRef>
              <c:extLst>
                <c:ext xmlns:c15="http://schemas.microsoft.com/office/drawing/2012/chart" uri="{02D57815-91ED-43cb-92C2-25804820EDAC}">
                  <c15:fullRef>
                    <c15:sqref>Summary!$G$44:$AM$44</c15:sqref>
                  </c15:fullRef>
                </c:ext>
              </c:extLst>
              <c:f>Summary!$Z$44:$AM$44</c:f>
              <c:numCache>
                <c:formatCode>#,##0.0</c:formatCode>
                <c:ptCount val="14"/>
                <c:pt idx="0">
                  <c:v>-3.410582798889783</c:v>
                </c:pt>
                <c:pt idx="1">
                  <c:v>4.338003749345698</c:v>
                </c:pt>
                <c:pt idx="2">
                  <c:v>-1.5248479065763987</c:v>
                </c:pt>
                <c:pt idx="3">
                  <c:v>-1.6361716416407046</c:v>
                </c:pt>
                <c:pt idx="4">
                  <c:v>4.355965586744226</c:v>
                </c:pt>
                <c:pt idx="5">
                  <c:v>0.76931956534675994</c:v>
                </c:pt>
                <c:pt idx="6">
                  <c:v>1.989594219126789</c:v>
                </c:pt>
                <c:pt idx="7">
                  <c:v>3.0529694356006498</c:v>
                </c:pt>
                <c:pt idx="8">
                  <c:v>0.82330880624443825</c:v>
                </c:pt>
                <c:pt idx="9">
                  <c:v>1.3054081248435434</c:v>
                </c:pt>
                <c:pt idx="10">
                  <c:v>3.4927289891883317</c:v>
                </c:pt>
                <c:pt idx="11">
                  <c:v>-2.1254685494133452</c:v>
                </c:pt>
                <c:pt idx="12">
                  <c:v>1.7463495844387333</c:v>
                </c:pt>
                <c:pt idx="13">
                  <c:v>5.3632931051978083</c:v>
                </c:pt>
              </c:numCache>
            </c:numRef>
          </c:val>
          <c:smooth val="1"/>
          <c:extLst>
            <c:ext xmlns:c16="http://schemas.microsoft.com/office/drawing/2014/chart" uri="{C3380CC4-5D6E-409C-BE32-E72D297353CC}">
              <c16:uniqueId val="{00000001-97FD-4A86-8F8D-D4E39EEE7FB0}"/>
            </c:ext>
          </c:extLst>
        </c:ser>
        <c:ser>
          <c:idx val="1"/>
          <c:order val="2"/>
          <c:tx>
            <c:strRef>
              <c:f>Summary!$A$45</c:f>
              <c:strCache>
                <c:ptCount val="1"/>
                <c:pt idx="0">
                  <c:v>        Industry</c:v>
                </c:pt>
              </c:strCache>
            </c:strRef>
          </c:tx>
          <c:spPr>
            <a:ln w="22225" cap="rnd">
              <a:solidFill>
                <a:srgbClr val="F17CB0"/>
              </a:solidFill>
              <a:round/>
            </a:ln>
            <a:effectLst/>
          </c:spPr>
          <c:marker>
            <c:symbol val="none"/>
          </c:marker>
          <c:cat>
            <c:multiLvlStrRef>
              <c:extLst>
                <c:ext xmlns:c15="http://schemas.microsoft.com/office/drawing/2012/chart" uri="{02D57815-91ED-43cb-92C2-25804820EDAC}">
                  <c15:fullRef>
                    <c15:sqref>Summary!$G$32:$AM$33</c15:sqref>
                  </c15:fullRef>
                </c:ext>
              </c:extLst>
              <c:f>Summary!$Z$32:$AM$33</c:f>
              <c:multiLvlStrCache>
                <c:ptCount val="1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lvl>
                <c:lvl>
                  <c:pt idx="0">
                    <c:v>2022/23</c:v>
                  </c:pt>
                  <c:pt idx="4">
                    <c:v>2023/24</c:v>
                  </c:pt>
                  <c:pt idx="8">
                    <c:v>2024/25</c:v>
                  </c:pt>
                  <c:pt idx="12">
                    <c:v>2025/26</c:v>
                  </c:pt>
                </c:lvl>
              </c:multiLvlStrCache>
            </c:multiLvlStrRef>
          </c:cat>
          <c:val>
            <c:numRef>
              <c:extLst>
                <c:ext xmlns:c15="http://schemas.microsoft.com/office/drawing/2012/chart" uri="{02D57815-91ED-43cb-92C2-25804820EDAC}">
                  <c15:fullRef>
                    <c15:sqref>Summary!$G$45:$AM$45</c15:sqref>
                  </c15:fullRef>
                </c:ext>
              </c:extLst>
              <c:f>Summary!$Z$45:$AM$45</c:f>
              <c:numCache>
                <c:formatCode>0.0</c:formatCode>
                <c:ptCount val="14"/>
                <c:pt idx="0">
                  <c:v>-0.61945777337908403</c:v>
                </c:pt>
                <c:pt idx="1">
                  <c:v>-0.57904911831040407</c:v>
                </c:pt>
                <c:pt idx="2">
                  <c:v>1.5823819594514843</c:v>
                </c:pt>
                <c:pt idx="3">
                  <c:v>5.7785620006794991</c:v>
                </c:pt>
                <c:pt idx="4">
                  <c:v>1.4940566726909799</c:v>
                </c:pt>
                <c:pt idx="5">
                  <c:v>-3.5630161586926667</c:v>
                </c:pt>
                <c:pt idx="6">
                  <c:v>3.1808000404047077</c:v>
                </c:pt>
                <c:pt idx="7">
                  <c:v>-0.10388496823852122</c:v>
                </c:pt>
                <c:pt idx="8">
                  <c:v>5.6296865788368677</c:v>
                </c:pt>
                <c:pt idx="9">
                  <c:v>-0.78729526908379865</c:v>
                </c:pt>
                <c:pt idx="10">
                  <c:v>2.5542563084282266</c:v>
                </c:pt>
                <c:pt idx="11">
                  <c:v>5.0557372176895932E-2</c:v>
                </c:pt>
                <c:pt idx="12">
                  <c:v>4.2523590607245199</c:v>
                </c:pt>
                <c:pt idx="13">
                  <c:v>5.158680041318231</c:v>
                </c:pt>
              </c:numCache>
            </c:numRef>
          </c:val>
          <c:smooth val="1"/>
          <c:extLst>
            <c:ext xmlns:c16="http://schemas.microsoft.com/office/drawing/2014/chart" uri="{C3380CC4-5D6E-409C-BE32-E72D297353CC}">
              <c16:uniqueId val="{00000002-97FD-4A86-8F8D-D4E39EEE7FB0}"/>
            </c:ext>
          </c:extLst>
        </c:ser>
        <c:ser>
          <c:idx val="2"/>
          <c:order val="3"/>
          <c:tx>
            <c:strRef>
              <c:f>Summary!$A$46</c:f>
              <c:strCache>
                <c:ptCount val="1"/>
                <c:pt idx="0">
                  <c:v>        Services</c:v>
                </c:pt>
              </c:strCache>
            </c:strRef>
          </c:tx>
          <c:spPr>
            <a:ln w="22225" cap="rnd">
              <a:solidFill>
                <a:srgbClr val="B2912F"/>
              </a:solidFill>
              <a:round/>
            </a:ln>
            <a:effectLst/>
          </c:spPr>
          <c:marker>
            <c:symbol val="none"/>
          </c:marker>
          <c:cat>
            <c:multiLvlStrRef>
              <c:extLst>
                <c:ext xmlns:c15="http://schemas.microsoft.com/office/drawing/2012/chart" uri="{02D57815-91ED-43cb-92C2-25804820EDAC}">
                  <c15:fullRef>
                    <c15:sqref>Summary!$G$32:$AM$33</c15:sqref>
                  </c15:fullRef>
                </c:ext>
              </c:extLst>
              <c:f>Summary!$Z$32:$AM$33</c:f>
              <c:multiLvlStrCache>
                <c:ptCount val="1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lvl>
                <c:lvl>
                  <c:pt idx="0">
                    <c:v>2022/23</c:v>
                  </c:pt>
                  <c:pt idx="4">
                    <c:v>2023/24</c:v>
                  </c:pt>
                  <c:pt idx="8">
                    <c:v>2024/25</c:v>
                  </c:pt>
                  <c:pt idx="12">
                    <c:v>2025/26</c:v>
                  </c:pt>
                </c:lvl>
              </c:multiLvlStrCache>
            </c:multiLvlStrRef>
          </c:cat>
          <c:val>
            <c:numRef>
              <c:extLst>
                <c:ext xmlns:c15="http://schemas.microsoft.com/office/drawing/2012/chart" uri="{02D57815-91ED-43cb-92C2-25804820EDAC}">
                  <c15:fullRef>
                    <c15:sqref>Summary!$G$46:$AM$46</c15:sqref>
                  </c15:fullRef>
                </c:ext>
              </c:extLst>
              <c:f>Summary!$Z$46:$AM$46</c:f>
              <c:numCache>
                <c:formatCode>0.0</c:formatCode>
                <c:ptCount val="14"/>
                <c:pt idx="0">
                  <c:v>5.1582627216554489</c:v>
                </c:pt>
                <c:pt idx="1">
                  <c:v>-0.42542074959702747</c:v>
                </c:pt>
                <c:pt idx="2">
                  <c:v>-0.97115418539803766</c:v>
                </c:pt>
                <c:pt idx="3">
                  <c:v>4.2422080888693037</c:v>
                </c:pt>
                <c:pt idx="4">
                  <c:v>-0.11147455255687833</c:v>
                </c:pt>
                <c:pt idx="5">
                  <c:v>5.5083024573400197</c:v>
                </c:pt>
                <c:pt idx="6">
                  <c:v>-1.5905115979479634</c:v>
                </c:pt>
                <c:pt idx="7">
                  <c:v>2.1878533134218392</c:v>
                </c:pt>
                <c:pt idx="8">
                  <c:v>-2.2265295247203554E-2</c:v>
                </c:pt>
                <c:pt idx="9">
                  <c:v>2.0299338866679228</c:v>
                </c:pt>
                <c:pt idx="10">
                  <c:v>4.2500229807768575</c:v>
                </c:pt>
                <c:pt idx="11">
                  <c:v>-1.2228544106075878</c:v>
                </c:pt>
                <c:pt idx="12">
                  <c:v>0.55501444277890055</c:v>
                </c:pt>
                <c:pt idx="13">
                  <c:v>2.8511598246419245</c:v>
                </c:pt>
              </c:numCache>
            </c:numRef>
          </c:val>
          <c:smooth val="1"/>
          <c:extLst>
            <c:ext xmlns:c16="http://schemas.microsoft.com/office/drawing/2014/chart" uri="{C3380CC4-5D6E-409C-BE32-E72D297353CC}">
              <c16:uniqueId val="{00000003-97FD-4A86-8F8D-D4E39EEE7FB0}"/>
            </c:ext>
          </c:extLst>
        </c:ser>
        <c:dLbls>
          <c:showLegendKey val="0"/>
          <c:showVal val="0"/>
          <c:showCatName val="0"/>
          <c:showSerName val="0"/>
          <c:showPercent val="0"/>
          <c:showBubbleSize val="0"/>
        </c:dLbls>
        <c:smooth val="0"/>
        <c:axId val="509597312"/>
        <c:axId val="509596136"/>
      </c:lineChart>
      <c:catAx>
        <c:axId val="509597312"/>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0"/>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700" b="1" i="0" u="none" strike="noStrike" kern="1200" cap="none" spc="0" normalizeH="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09596136"/>
        <c:crosses val="autoZero"/>
        <c:auto val="1"/>
        <c:lblAlgn val="ctr"/>
        <c:lblOffset val="100"/>
        <c:noMultiLvlLbl val="0"/>
      </c:catAx>
      <c:valAx>
        <c:axId val="509596136"/>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Percent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09597312"/>
        <c:crosses val="autoZero"/>
        <c:crossBetween val="between"/>
      </c:valAx>
      <c:spPr>
        <a:pattFill prst="ltDnDiag">
          <a:fgClr>
            <a:schemeClr val="dk1">
              <a:lumMod val="15000"/>
              <a:lumOff val="85000"/>
            </a:schemeClr>
          </a:fgClr>
          <a:bgClr>
            <a:schemeClr val="lt1"/>
          </a:bgClr>
        </a:pattFill>
        <a:ln>
          <a:noFill/>
        </a:ln>
        <a:effectLst/>
      </c:spPr>
    </c:plotArea>
    <c:legend>
      <c:legendPos val="b"/>
      <c:layout>
        <c:manualLayout>
          <c:xMode val="edge"/>
          <c:yMode val="edge"/>
          <c:x val="0.19471502425833134"/>
          <c:y val="0.68830964311279275"/>
          <c:w val="0.65501407778573129"/>
          <c:h val="0.28571633091318133"/>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561770101317981"/>
          <c:y val="3.8068859672787662E-2"/>
          <c:w val="0.80850416278610338"/>
          <c:h val="0.67524837410271121"/>
        </c:manualLayout>
      </c:layout>
      <c:lineChart>
        <c:grouping val="standard"/>
        <c:varyColors val="0"/>
        <c:ser>
          <c:idx val="3"/>
          <c:order val="0"/>
          <c:tx>
            <c:strRef>
              <c:f>Original_Expenditure!$B$28</c:f>
              <c:strCache>
                <c:ptCount val="1"/>
                <c:pt idx="0">
                  <c:v>Final Consumption Expenditure</c:v>
                </c:pt>
              </c:strCache>
            </c:strRef>
          </c:tx>
          <c:spPr>
            <a:ln w="22225" cap="rnd">
              <a:solidFill>
                <a:schemeClr val="accent4"/>
              </a:solidFill>
              <a:round/>
            </a:ln>
            <a:effectLst/>
          </c:spPr>
          <c:marker>
            <c:symbol val="none"/>
          </c:marker>
          <c:cat>
            <c:multiLvlStrRef>
              <c:extLst>
                <c:ext xmlns:c15="http://schemas.microsoft.com/office/drawing/2012/chart" uri="{02D57815-91ED-43cb-92C2-25804820EDAC}">
                  <c15:fullRef>
                    <c15:sqref>Original_Expenditure!$G$26:$AN$27</c15:sqref>
                  </c15:fullRef>
                </c:ext>
              </c:extLst>
              <c:f>Original_Expenditure!$AA$26:$AN$27</c:f>
              <c:multiLvlStrCache>
                <c:ptCount val="1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lvl>
                <c:lvl>
                  <c:pt idx="0">
                    <c:v>2022/23</c:v>
                  </c:pt>
                  <c:pt idx="4">
                    <c:v>2023/24</c:v>
                  </c:pt>
                  <c:pt idx="8">
                    <c:v>2024/25</c:v>
                  </c:pt>
                  <c:pt idx="12">
                    <c:v>2025/26</c:v>
                  </c:pt>
                  <c:pt idx="13">
                    <c:v>2025/27</c:v>
                  </c:pt>
                </c:lvl>
              </c:multiLvlStrCache>
            </c:multiLvlStrRef>
          </c:cat>
          <c:val>
            <c:numRef>
              <c:extLst>
                <c:ext xmlns:c15="http://schemas.microsoft.com/office/drawing/2012/chart" uri="{02D57815-91ED-43cb-92C2-25804820EDAC}">
                  <c15:fullRef>
                    <c15:sqref>Original_Expenditure!$G$28:$AN$28</c15:sqref>
                  </c15:fullRef>
                </c:ext>
              </c:extLst>
              <c:f>Original_Expenditure!$AA$28:$AN$28</c:f>
              <c:numCache>
                <c:formatCode>0.0</c:formatCode>
                <c:ptCount val="14"/>
                <c:pt idx="0">
                  <c:v>12.115040496676443</c:v>
                </c:pt>
                <c:pt idx="1">
                  <c:v>6.46455312513321</c:v>
                </c:pt>
                <c:pt idx="2">
                  <c:v>-2.1028846183067218</c:v>
                </c:pt>
                <c:pt idx="3">
                  <c:v>-1.1028759865344795</c:v>
                </c:pt>
                <c:pt idx="4">
                  <c:v>4.9713686603870766</c:v>
                </c:pt>
                <c:pt idx="5">
                  <c:v>3.3229616874974832</c:v>
                </c:pt>
                <c:pt idx="6">
                  <c:v>-0.81517638513308732</c:v>
                </c:pt>
                <c:pt idx="7">
                  <c:v>2.1236513723476236</c:v>
                </c:pt>
                <c:pt idx="8">
                  <c:v>7.7499278901043356</c:v>
                </c:pt>
                <c:pt idx="9">
                  <c:v>4.6019901179588985</c:v>
                </c:pt>
                <c:pt idx="10">
                  <c:v>22.219799791622297</c:v>
                </c:pt>
                <c:pt idx="11">
                  <c:v>8.8581538480662747</c:v>
                </c:pt>
                <c:pt idx="12">
                  <c:v>12.919051147914406</c:v>
                </c:pt>
                <c:pt idx="13">
                  <c:v>17.397270196631641</c:v>
                </c:pt>
              </c:numCache>
            </c:numRef>
          </c:val>
          <c:smooth val="1"/>
          <c:extLst>
            <c:ext xmlns:c16="http://schemas.microsoft.com/office/drawing/2014/chart" uri="{C3380CC4-5D6E-409C-BE32-E72D297353CC}">
              <c16:uniqueId val="{00000000-47F0-4C33-ADD8-D571A563ECD9}"/>
            </c:ext>
          </c:extLst>
        </c:ser>
        <c:ser>
          <c:idx val="0"/>
          <c:order val="1"/>
          <c:tx>
            <c:strRef>
              <c:f>Original_Expenditure!$B$32</c:f>
              <c:strCache>
                <c:ptCount val="1"/>
                <c:pt idx="0">
                  <c:v>Gross Fixed Capital Formation</c:v>
                </c:pt>
              </c:strCache>
            </c:strRef>
          </c:tx>
          <c:spPr>
            <a:ln w="22225" cap="rnd">
              <a:solidFill>
                <a:srgbClr val="0070C0"/>
              </a:solidFill>
              <a:round/>
            </a:ln>
            <a:effectLst/>
          </c:spPr>
          <c:marker>
            <c:symbol val="none"/>
          </c:marker>
          <c:cat>
            <c:multiLvlStrRef>
              <c:extLst>
                <c:ext xmlns:c15="http://schemas.microsoft.com/office/drawing/2012/chart" uri="{02D57815-91ED-43cb-92C2-25804820EDAC}">
                  <c15:fullRef>
                    <c15:sqref>Original_Expenditure!$G$26:$AN$27</c15:sqref>
                  </c15:fullRef>
                </c:ext>
              </c:extLst>
              <c:f>Original_Expenditure!$AA$26:$AN$27</c:f>
              <c:multiLvlStrCache>
                <c:ptCount val="1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lvl>
                <c:lvl>
                  <c:pt idx="0">
                    <c:v>2022/23</c:v>
                  </c:pt>
                  <c:pt idx="4">
                    <c:v>2023/24</c:v>
                  </c:pt>
                  <c:pt idx="8">
                    <c:v>2024/25</c:v>
                  </c:pt>
                  <c:pt idx="12">
                    <c:v>2025/26</c:v>
                  </c:pt>
                  <c:pt idx="13">
                    <c:v>2025/27</c:v>
                  </c:pt>
                </c:lvl>
              </c:multiLvlStrCache>
            </c:multiLvlStrRef>
          </c:cat>
          <c:val>
            <c:numRef>
              <c:extLst>
                <c:ext xmlns:c15="http://schemas.microsoft.com/office/drawing/2012/chart" uri="{02D57815-91ED-43cb-92C2-25804820EDAC}">
                  <c15:fullRef>
                    <c15:sqref>Original_Expenditure!$G$32:$AN$32</c15:sqref>
                  </c15:fullRef>
                </c:ext>
              </c:extLst>
              <c:f>Original_Expenditure!$AA$32:$AN$32</c:f>
              <c:numCache>
                <c:formatCode>0.0</c:formatCode>
                <c:ptCount val="14"/>
                <c:pt idx="0">
                  <c:v>3.3305177208128089</c:v>
                </c:pt>
                <c:pt idx="1">
                  <c:v>-0.40975605273019244</c:v>
                </c:pt>
                <c:pt idx="2">
                  <c:v>4.5133892713624002</c:v>
                </c:pt>
                <c:pt idx="3">
                  <c:v>7.6058135346650069</c:v>
                </c:pt>
                <c:pt idx="4">
                  <c:v>5.8380134800806616</c:v>
                </c:pt>
                <c:pt idx="5">
                  <c:v>1.1749058630949216</c:v>
                </c:pt>
                <c:pt idx="6">
                  <c:v>11.757795045453022</c:v>
                </c:pt>
                <c:pt idx="7">
                  <c:v>7.9527445115193718</c:v>
                </c:pt>
                <c:pt idx="8">
                  <c:v>3.2663763559272363</c:v>
                </c:pt>
                <c:pt idx="9">
                  <c:v>7.3418570382356663</c:v>
                </c:pt>
                <c:pt idx="10">
                  <c:v>8.7402169436859865</c:v>
                </c:pt>
                <c:pt idx="11">
                  <c:v>9.1061252281262597</c:v>
                </c:pt>
                <c:pt idx="12">
                  <c:v>13.16116749565075</c:v>
                </c:pt>
                <c:pt idx="13">
                  <c:v>15.626035927125304</c:v>
                </c:pt>
              </c:numCache>
            </c:numRef>
          </c:val>
          <c:smooth val="1"/>
          <c:extLst>
            <c:ext xmlns:c16="http://schemas.microsoft.com/office/drawing/2014/chart" uri="{C3380CC4-5D6E-409C-BE32-E72D297353CC}">
              <c16:uniqueId val="{00000001-47F0-4C33-ADD8-D571A563ECD9}"/>
            </c:ext>
          </c:extLst>
        </c:ser>
        <c:ser>
          <c:idx val="1"/>
          <c:order val="2"/>
          <c:tx>
            <c:strRef>
              <c:f>Original_Expenditure!$B$49</c:f>
              <c:strCache>
                <c:ptCount val="1"/>
                <c:pt idx="0">
                  <c:v>GDP at Market Prices</c:v>
                </c:pt>
              </c:strCache>
            </c:strRef>
          </c:tx>
          <c:spPr>
            <a:ln w="22225" cap="rnd">
              <a:solidFill>
                <a:srgbClr val="F17CB0"/>
              </a:solidFill>
              <a:round/>
            </a:ln>
            <a:effectLst/>
          </c:spPr>
          <c:marker>
            <c:symbol val="none"/>
          </c:marker>
          <c:cat>
            <c:multiLvlStrRef>
              <c:extLst>
                <c:ext xmlns:c15="http://schemas.microsoft.com/office/drawing/2012/chart" uri="{02D57815-91ED-43cb-92C2-25804820EDAC}">
                  <c15:fullRef>
                    <c15:sqref>Original_Expenditure!$G$26:$AN$27</c15:sqref>
                  </c15:fullRef>
                </c:ext>
              </c:extLst>
              <c:f>Original_Expenditure!$AA$26:$AN$27</c:f>
              <c:multiLvlStrCache>
                <c:ptCount val="14"/>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lvl>
                <c:lvl>
                  <c:pt idx="0">
                    <c:v>2022/23</c:v>
                  </c:pt>
                  <c:pt idx="4">
                    <c:v>2023/24</c:v>
                  </c:pt>
                  <c:pt idx="8">
                    <c:v>2024/25</c:v>
                  </c:pt>
                  <c:pt idx="12">
                    <c:v>2025/26</c:v>
                  </c:pt>
                  <c:pt idx="13">
                    <c:v>2025/27</c:v>
                  </c:pt>
                </c:lvl>
              </c:multiLvlStrCache>
            </c:multiLvlStrRef>
          </c:cat>
          <c:val>
            <c:numRef>
              <c:extLst>
                <c:ext xmlns:c15="http://schemas.microsoft.com/office/drawing/2012/chart" uri="{02D57815-91ED-43cb-92C2-25804820EDAC}">
                  <c15:fullRef>
                    <c15:sqref>Original_Expenditure!$G$49:$AN$49</c15:sqref>
                  </c15:fullRef>
                </c:ext>
              </c:extLst>
              <c:f>Original_Expenditure!$AA$49:$AN$49</c:f>
              <c:numCache>
                <c:formatCode>0.0</c:formatCode>
                <c:ptCount val="14"/>
                <c:pt idx="0">
                  <c:v>8.7705981453641826</c:v>
                </c:pt>
                <c:pt idx="1">
                  <c:v>4.3131379207032028</c:v>
                </c:pt>
                <c:pt idx="2">
                  <c:v>2.2299522773682856</c:v>
                </c:pt>
                <c:pt idx="3">
                  <c:v>5.747511173271791</c:v>
                </c:pt>
                <c:pt idx="4">
                  <c:v>5.9910475756172588</c:v>
                </c:pt>
                <c:pt idx="5">
                  <c:v>5.7824205334947809</c:v>
                </c:pt>
                <c:pt idx="6">
                  <c:v>6.8245767569395266</c:v>
                </c:pt>
                <c:pt idx="7">
                  <c:v>5.6851103803429615</c:v>
                </c:pt>
                <c:pt idx="8">
                  <c:v>6.1794064037050678</c:v>
                </c:pt>
                <c:pt idx="9">
                  <c:v>5.3634777034342385</c:v>
                </c:pt>
                <c:pt idx="10">
                  <c:v>8.3943389671000901</c:v>
                </c:pt>
                <c:pt idx="11">
                  <c:v>5.5263248039615354</c:v>
                </c:pt>
                <c:pt idx="12">
                  <c:v>4.845791895303142</c:v>
                </c:pt>
                <c:pt idx="13">
                  <c:v>8.4581777204844943</c:v>
                </c:pt>
              </c:numCache>
            </c:numRef>
          </c:val>
          <c:smooth val="1"/>
          <c:extLst>
            <c:ext xmlns:c16="http://schemas.microsoft.com/office/drawing/2014/chart" uri="{C3380CC4-5D6E-409C-BE32-E72D297353CC}">
              <c16:uniqueId val="{00000002-47F0-4C33-ADD8-D571A563ECD9}"/>
            </c:ext>
          </c:extLst>
        </c:ser>
        <c:dLbls>
          <c:showLegendKey val="0"/>
          <c:showVal val="0"/>
          <c:showCatName val="0"/>
          <c:showSerName val="0"/>
          <c:showPercent val="0"/>
          <c:showBubbleSize val="0"/>
        </c:dLbls>
        <c:smooth val="0"/>
        <c:axId val="890365903"/>
        <c:axId val="1"/>
      </c:lineChart>
      <c:catAx>
        <c:axId val="890365903"/>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0"/>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700" b="1" i="0" u="none" strike="noStrike" kern="1200" cap="none" spc="0" normalizeH="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Percent</a:t>
                </a:r>
              </a:p>
            </c:rich>
          </c:tx>
          <c:overlay val="0"/>
          <c:spPr>
            <a:noFill/>
            <a:ln w="25400">
              <a:noFill/>
            </a:ln>
          </c:spPr>
        </c:title>
        <c:numFmt formatCode="#,##0.0" sourceLinked="0"/>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90365903"/>
        <c:crosses val="autoZero"/>
        <c:crossBetween val="between"/>
      </c:valAx>
      <c:spPr>
        <a:blipFill dpi="0" rotWithShape="0">
          <a:blip xmlns:r="http://schemas.openxmlformats.org/officeDocument/2006/relationships" r:embed="rId1"/>
          <a:srcRect/>
          <a:tile tx="0" ty="0" sx="100000" sy="100000" flip="none" algn="tl"/>
        </a:blipFill>
        <a:ln w="25400">
          <a:noFill/>
        </a:ln>
      </c:spPr>
    </c:plotArea>
    <c:legend>
      <c:legendPos val="b"/>
      <c:layout>
        <c:manualLayout>
          <c:xMode val="edge"/>
          <c:yMode val="edge"/>
          <c:x val="0.14018186703040073"/>
          <c:y val="0.8216429525256711"/>
          <c:w val="0.81043317419968175"/>
          <c:h val="0.12005986093843535"/>
        </c:manualLayout>
      </c:layout>
      <c:overlay val="0"/>
      <c:spPr>
        <a:noFill/>
        <a:ln w="25400">
          <a:noFill/>
        </a:ln>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900">
                <a:solidFill>
                  <a:sysClr val="windowText" lastClr="000000"/>
                </a:solidFill>
                <a:latin typeface="Arial" panose="020B0604020202020204" pitchFamily="34" charset="0"/>
                <a:cs typeface="Arial" panose="020B0604020202020204" pitchFamily="34" charset="0"/>
              </a:rPr>
              <a:t>GDP and Sectoral Value Added Year on Year percentage change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lineChart>
        <c:grouping val="standard"/>
        <c:varyColors val="0"/>
        <c:ser>
          <c:idx val="3"/>
          <c:order val="0"/>
          <c:tx>
            <c:strRef>
              <c:f>Summary!$A$35</c:f>
              <c:strCache>
                <c:ptCount val="1"/>
                <c:pt idx="0">
                  <c:v>GDP at market prices</c:v>
                </c:pt>
              </c:strCache>
            </c:strRef>
          </c:tx>
          <c:spPr>
            <a:ln w="22225" cap="rnd">
              <a:solidFill>
                <a:schemeClr val="accent4"/>
              </a:solidFill>
              <a:round/>
            </a:ln>
            <a:effectLst/>
          </c:spPr>
          <c:marker>
            <c:symbol val="none"/>
          </c:marker>
          <c:cat>
            <c:multiLvlStrRef>
              <c:extLst>
                <c:ext xmlns:c15="http://schemas.microsoft.com/office/drawing/2012/chart" uri="{02D57815-91ED-43cb-92C2-25804820EDAC}">
                  <c15:fullRef>
                    <c15:sqref>Summary!$G$32:$AK$33</c15:sqref>
                  </c15:fullRef>
                </c:ext>
              </c:extLst>
              <c:f>Summary!$Z$32:$AK$33</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2022/23</c:v>
                  </c:pt>
                  <c:pt idx="4">
                    <c:v>2023/24</c:v>
                  </c:pt>
                  <c:pt idx="8">
                    <c:v>2024/25</c:v>
                  </c:pt>
                </c:lvl>
              </c:multiLvlStrCache>
            </c:multiLvlStrRef>
          </c:cat>
          <c:val>
            <c:numRef>
              <c:extLst>
                <c:ext xmlns:c15="http://schemas.microsoft.com/office/drawing/2012/chart" uri="{02D57815-91ED-43cb-92C2-25804820EDAC}">
                  <c15:fullRef>
                    <c15:sqref>Summary!$G$35:$AK$35</c15:sqref>
                  </c15:fullRef>
                </c:ext>
              </c:extLst>
              <c:f>Summary!$Z$35:$AK$35</c:f>
              <c:numCache>
                <c:formatCode>0.0</c:formatCode>
                <c:ptCount val="12"/>
                <c:pt idx="0">
                  <c:v>8.7705981453641826</c:v>
                </c:pt>
                <c:pt idx="1">
                  <c:v>4.3131379207032028</c:v>
                </c:pt>
                <c:pt idx="2">
                  <c:v>2.2299522773682856</c:v>
                </c:pt>
                <c:pt idx="3">
                  <c:v>5.747511173271791</c:v>
                </c:pt>
                <c:pt idx="4">
                  <c:v>5.9910475756172588</c:v>
                </c:pt>
                <c:pt idx="5">
                  <c:v>5.7824205334947809</c:v>
                </c:pt>
                <c:pt idx="6">
                  <c:v>6.8245767569395266</c:v>
                </c:pt>
                <c:pt idx="7">
                  <c:v>5.6851103803429615</c:v>
                </c:pt>
                <c:pt idx="8">
                  <c:v>6.1794064037050678</c:v>
                </c:pt>
                <c:pt idx="9">
                  <c:v>5.3634777034342385</c:v>
                </c:pt>
                <c:pt idx="10">
                  <c:v>8.3943389671000901</c:v>
                </c:pt>
                <c:pt idx="11">
                  <c:v>5.5263248039615354</c:v>
                </c:pt>
              </c:numCache>
            </c:numRef>
          </c:val>
          <c:smooth val="0"/>
          <c:extLst>
            <c:ext xmlns:c16="http://schemas.microsoft.com/office/drawing/2014/chart" uri="{C3380CC4-5D6E-409C-BE32-E72D297353CC}">
              <c16:uniqueId val="{00000000-7563-4DC1-A88F-E9D88E6E08E5}"/>
            </c:ext>
          </c:extLst>
        </c:ser>
        <c:ser>
          <c:idx val="0"/>
          <c:order val="1"/>
          <c:tx>
            <c:strRef>
              <c:f>Summary!$A$36</c:f>
              <c:strCache>
                <c:ptCount val="1"/>
                <c:pt idx="0">
                  <c:v>        Agriculture, Forestry &amp; Fishing</c:v>
                </c:pt>
              </c:strCache>
            </c:strRef>
          </c:tx>
          <c:spPr>
            <a:ln w="22225" cap="rnd">
              <a:solidFill>
                <a:srgbClr val="0070C0"/>
              </a:solidFill>
              <a:round/>
            </a:ln>
            <a:effectLst/>
          </c:spPr>
          <c:marker>
            <c:symbol val="none"/>
          </c:marker>
          <c:cat>
            <c:multiLvlStrRef>
              <c:extLst>
                <c:ext xmlns:c15="http://schemas.microsoft.com/office/drawing/2012/chart" uri="{02D57815-91ED-43cb-92C2-25804820EDAC}">
                  <c15:fullRef>
                    <c15:sqref>Summary!$G$32:$AK$33</c15:sqref>
                  </c15:fullRef>
                </c:ext>
              </c:extLst>
              <c:f>Summary!$Z$32:$AK$33</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2022/23</c:v>
                  </c:pt>
                  <c:pt idx="4">
                    <c:v>2023/24</c:v>
                  </c:pt>
                  <c:pt idx="8">
                    <c:v>2024/25</c:v>
                  </c:pt>
                </c:lvl>
              </c:multiLvlStrCache>
            </c:multiLvlStrRef>
          </c:cat>
          <c:val>
            <c:numRef>
              <c:extLst>
                <c:ext xmlns:c15="http://schemas.microsoft.com/office/drawing/2012/chart" uri="{02D57815-91ED-43cb-92C2-25804820EDAC}">
                  <c15:fullRef>
                    <c15:sqref>Summary!$G$36:$AK$36</c15:sqref>
                  </c15:fullRef>
                </c:ext>
              </c:extLst>
              <c:f>Summary!$Z$36:$AK$36</c:f>
              <c:numCache>
                <c:formatCode>0.0</c:formatCode>
                <c:ptCount val="12"/>
                <c:pt idx="0">
                  <c:v>4.360614458889045</c:v>
                </c:pt>
                <c:pt idx="1">
                  <c:v>11.82045003135026</c:v>
                </c:pt>
                <c:pt idx="2">
                  <c:v>5.4187896635948585</c:v>
                </c:pt>
                <c:pt idx="3">
                  <c:v>-2.7565253173958748</c:v>
                </c:pt>
                <c:pt idx="4">
                  <c:v>5.6546920383401256</c:v>
                </c:pt>
                <c:pt idx="5">
                  <c:v>2.0542364080081699</c:v>
                </c:pt>
                <c:pt idx="6">
                  <c:v>4.0433084994440316</c:v>
                </c:pt>
                <c:pt idx="7">
                  <c:v>10.576270358409779</c:v>
                </c:pt>
                <c:pt idx="8">
                  <c:v>6.331647981826416</c:v>
                </c:pt>
                <c:pt idx="9">
                  <c:v>7.7962920336269725</c:v>
                </c:pt>
                <c:pt idx="10">
                  <c:v>10.306568787292658</c:v>
                </c:pt>
                <c:pt idx="11">
                  <c:v>3.4652178662333943</c:v>
                </c:pt>
              </c:numCache>
            </c:numRef>
          </c:val>
          <c:smooth val="1"/>
          <c:extLst>
            <c:ext xmlns:c16="http://schemas.microsoft.com/office/drawing/2014/chart" uri="{C3380CC4-5D6E-409C-BE32-E72D297353CC}">
              <c16:uniqueId val="{00000001-7563-4DC1-A88F-E9D88E6E08E5}"/>
            </c:ext>
          </c:extLst>
        </c:ser>
        <c:ser>
          <c:idx val="1"/>
          <c:order val="2"/>
          <c:tx>
            <c:strRef>
              <c:f>Summary!$A$37</c:f>
              <c:strCache>
                <c:ptCount val="1"/>
                <c:pt idx="0">
                  <c:v>        Industry</c:v>
                </c:pt>
              </c:strCache>
            </c:strRef>
          </c:tx>
          <c:spPr>
            <a:ln w="22225" cap="rnd">
              <a:solidFill>
                <a:srgbClr val="F17CB0"/>
              </a:solidFill>
              <a:round/>
            </a:ln>
            <a:effectLst/>
          </c:spPr>
          <c:marker>
            <c:symbol val="none"/>
          </c:marker>
          <c:cat>
            <c:multiLvlStrRef>
              <c:extLst>
                <c:ext xmlns:c15="http://schemas.microsoft.com/office/drawing/2012/chart" uri="{02D57815-91ED-43cb-92C2-25804820EDAC}">
                  <c15:fullRef>
                    <c15:sqref>Summary!$G$32:$AK$33</c15:sqref>
                  </c15:fullRef>
                </c:ext>
              </c:extLst>
              <c:f>Summary!$Z$32:$AK$33</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2022/23</c:v>
                  </c:pt>
                  <c:pt idx="4">
                    <c:v>2023/24</c:v>
                  </c:pt>
                  <c:pt idx="8">
                    <c:v>2024/25</c:v>
                  </c:pt>
                </c:lvl>
              </c:multiLvlStrCache>
            </c:multiLvlStrRef>
          </c:cat>
          <c:val>
            <c:numRef>
              <c:extLst>
                <c:ext xmlns:c15="http://schemas.microsoft.com/office/drawing/2012/chart" uri="{02D57815-91ED-43cb-92C2-25804820EDAC}">
                  <c15:fullRef>
                    <c15:sqref>Summary!$G$37:$AK$37</c15:sqref>
                  </c15:fullRef>
                </c:ext>
              </c:extLst>
              <c:f>Summary!$Z$37:$AK$37</c:f>
              <c:numCache>
                <c:formatCode>0.0</c:formatCode>
                <c:ptCount val="12"/>
                <c:pt idx="0">
                  <c:v>12.288975604604691</c:v>
                </c:pt>
                <c:pt idx="1">
                  <c:v>-2.3754988308056668</c:v>
                </c:pt>
                <c:pt idx="2">
                  <c:v>0.71107423556320271</c:v>
                </c:pt>
                <c:pt idx="3">
                  <c:v>6.3594382003911543</c:v>
                </c:pt>
                <c:pt idx="4">
                  <c:v>9.895358882377181</c:v>
                </c:pt>
                <c:pt idx="5">
                  <c:v>4.4842492953972579</c:v>
                </c:pt>
                <c:pt idx="6">
                  <c:v>6.723096500061998</c:v>
                </c:pt>
                <c:pt idx="7">
                  <c:v>1.0980078659702297</c:v>
                </c:pt>
                <c:pt idx="8">
                  <c:v>5.1231152379484168</c:v>
                </c:pt>
                <c:pt idx="9">
                  <c:v>7.6514025698828592</c:v>
                </c:pt>
                <c:pt idx="10">
                  <c:v>7.3997956869305881</c:v>
                </c:pt>
                <c:pt idx="11">
                  <c:v>7.5685940787426631</c:v>
                </c:pt>
              </c:numCache>
            </c:numRef>
          </c:val>
          <c:smooth val="1"/>
          <c:extLst>
            <c:ext xmlns:c16="http://schemas.microsoft.com/office/drawing/2014/chart" uri="{C3380CC4-5D6E-409C-BE32-E72D297353CC}">
              <c16:uniqueId val="{00000002-7563-4DC1-A88F-E9D88E6E08E5}"/>
            </c:ext>
          </c:extLst>
        </c:ser>
        <c:ser>
          <c:idx val="2"/>
          <c:order val="3"/>
          <c:tx>
            <c:strRef>
              <c:f>Summary!$A$38</c:f>
              <c:strCache>
                <c:ptCount val="1"/>
                <c:pt idx="0">
                  <c:v>        Services</c:v>
                </c:pt>
              </c:strCache>
            </c:strRef>
          </c:tx>
          <c:spPr>
            <a:ln w="22225" cap="rnd">
              <a:solidFill>
                <a:srgbClr val="B2912F"/>
              </a:solidFill>
              <a:round/>
            </a:ln>
            <a:effectLst/>
          </c:spPr>
          <c:marker>
            <c:symbol val="none"/>
          </c:marker>
          <c:cat>
            <c:multiLvlStrRef>
              <c:extLst>
                <c:ext xmlns:c15="http://schemas.microsoft.com/office/drawing/2012/chart" uri="{02D57815-91ED-43cb-92C2-25804820EDAC}">
                  <c15:fullRef>
                    <c15:sqref>Summary!$G$32:$AK$33</c15:sqref>
                  </c15:fullRef>
                </c:ext>
              </c:extLst>
              <c:f>Summary!$Z$32:$AK$33</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2022/23</c:v>
                  </c:pt>
                  <c:pt idx="4">
                    <c:v>2023/24</c:v>
                  </c:pt>
                  <c:pt idx="8">
                    <c:v>2024/25</c:v>
                  </c:pt>
                </c:lvl>
              </c:multiLvlStrCache>
            </c:multiLvlStrRef>
          </c:cat>
          <c:val>
            <c:numRef>
              <c:extLst>
                <c:ext xmlns:c15="http://schemas.microsoft.com/office/drawing/2012/chart" uri="{02D57815-91ED-43cb-92C2-25804820EDAC}">
                  <c15:fullRef>
                    <c15:sqref>Summary!$G$38:$AK$38</c15:sqref>
                  </c15:fullRef>
                </c:ext>
              </c:extLst>
              <c:f>Summary!$Z$38:$AK$38</c:f>
              <c:numCache>
                <c:formatCode>0.0</c:formatCode>
                <c:ptCount val="12"/>
                <c:pt idx="0">
                  <c:v>8.670368818347395</c:v>
                </c:pt>
                <c:pt idx="1">
                  <c:v>4.7269825402485477</c:v>
                </c:pt>
                <c:pt idx="2">
                  <c:v>1.5420013088479401</c:v>
                </c:pt>
                <c:pt idx="3">
                  <c:v>8.9260994726644292</c:v>
                </c:pt>
                <c:pt idx="4">
                  <c:v>2.6713069189930438</c:v>
                </c:pt>
                <c:pt idx="5">
                  <c:v>8.3223193724137232</c:v>
                </c:pt>
                <c:pt idx="6">
                  <c:v>8.0640636430651327</c:v>
                </c:pt>
                <c:pt idx="7">
                  <c:v>6.50508704291759</c:v>
                </c:pt>
                <c:pt idx="8">
                  <c:v>5.9861799343400746</c:v>
                </c:pt>
                <c:pt idx="9">
                  <c:v>2.2328288079326963</c:v>
                </c:pt>
                <c:pt idx="10">
                  <c:v>8.7021832601590798</c:v>
                </c:pt>
                <c:pt idx="11">
                  <c:v>4.9505378057879801</c:v>
                </c:pt>
              </c:numCache>
            </c:numRef>
          </c:val>
          <c:smooth val="1"/>
          <c:extLst>
            <c:ext xmlns:c16="http://schemas.microsoft.com/office/drawing/2014/chart" uri="{C3380CC4-5D6E-409C-BE32-E72D297353CC}">
              <c16:uniqueId val="{00000003-7563-4DC1-A88F-E9D88E6E08E5}"/>
            </c:ext>
          </c:extLst>
        </c:ser>
        <c:dLbls>
          <c:showLegendKey val="0"/>
          <c:showVal val="0"/>
          <c:showCatName val="0"/>
          <c:showSerName val="0"/>
          <c:showPercent val="0"/>
          <c:showBubbleSize val="0"/>
        </c:dLbls>
        <c:smooth val="0"/>
        <c:axId val="497898016"/>
        <c:axId val="509595744"/>
      </c:lineChart>
      <c:catAx>
        <c:axId val="497898016"/>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0"/>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700" b="1" i="0" u="none" strike="noStrike" kern="1200" cap="none" spc="0" normalizeH="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09595744"/>
        <c:crosses val="autoZero"/>
        <c:auto val="1"/>
        <c:lblAlgn val="ctr"/>
        <c:lblOffset val="100"/>
        <c:noMultiLvlLbl val="0"/>
      </c:catAx>
      <c:valAx>
        <c:axId val="509595744"/>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Percent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97898016"/>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solidFill>
      <a:round/>
    </a:ln>
    <a:effectLst/>
  </c:spPr>
  <c:txPr>
    <a:bodyPr/>
    <a:lstStyle/>
    <a:p>
      <a:pPr>
        <a:defRPr/>
      </a:pPr>
      <a:endParaRPr lang="en-US"/>
    </a:p>
  </c:txPr>
  <c:printSettings>
    <c:headerFooter/>
    <c:pageMargins b="0.75000000000000466" l="0.70000000000000062" r="0.70000000000000062" t="0.75000000000000466"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b="1">
                <a:solidFill>
                  <a:sysClr val="windowText" lastClr="000000"/>
                </a:solidFill>
                <a:latin typeface="Arial" panose="020B0604020202020204" pitchFamily="34" charset="0"/>
                <a:cs typeface="Arial" panose="020B0604020202020204" pitchFamily="34" charset="0"/>
              </a:rPr>
              <a:t>QGDP at 2009/10 Constant Prices</a:t>
            </a: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644178280531834"/>
          <c:y val="0.14514145141451415"/>
          <c:w val="0.71110371766909419"/>
          <c:h val="0.48554842083853911"/>
        </c:manualLayout>
      </c:layout>
      <c:barChart>
        <c:barDir val="col"/>
        <c:grouping val="clustered"/>
        <c:varyColors val="0"/>
        <c:ser>
          <c:idx val="0"/>
          <c:order val="0"/>
          <c:tx>
            <c:strRef>
              <c:f>Summary!$A$5</c:f>
              <c:strCache>
                <c:ptCount val="1"/>
                <c:pt idx="0">
                  <c:v>ORIGINAL ESTIMATES</c:v>
                </c:pt>
              </c:strCache>
            </c:strRef>
          </c:tx>
          <c:spPr>
            <a:solidFill>
              <a:srgbClr val="62BDB6"/>
            </a:solidFill>
            <a:ln>
              <a:noFill/>
            </a:ln>
            <a:effectLst/>
          </c:spPr>
          <c:invertIfNegative val="0"/>
          <c:cat>
            <c:multiLvlStrRef>
              <c:f>Summary!$B$3:$H$4</c:f>
              <c:multiLvlStrCache>
                <c:ptCount val="7"/>
                <c:lvl>
                  <c:pt idx="0">
                    <c:v>Q1</c:v>
                  </c:pt>
                  <c:pt idx="1">
                    <c:v>Q2</c:v>
                  </c:pt>
                  <c:pt idx="2">
                    <c:v>Q3</c:v>
                  </c:pt>
                  <c:pt idx="3">
                    <c:v>Q4</c:v>
                  </c:pt>
                  <c:pt idx="4">
                    <c:v>Q1</c:v>
                  </c:pt>
                  <c:pt idx="5">
                    <c:v>Q2</c:v>
                  </c:pt>
                  <c:pt idx="6">
                    <c:v>Q3</c:v>
                  </c:pt>
                </c:lvl>
                <c:lvl>
                  <c:pt idx="0">
                    <c:v>2016/17</c:v>
                  </c:pt>
                  <c:pt idx="4">
                    <c:v>2017/18</c:v>
                  </c:pt>
                  <c:pt idx="5">
                    <c:v>2017/18</c:v>
                  </c:pt>
                </c:lvl>
              </c:multiLvlStrCache>
            </c:multiLvlStrRef>
          </c:cat>
          <c:val>
            <c:numRef>
              <c:f>Summary!$B$6:$H$6</c:f>
              <c:numCache>
                <c:formatCode>#,##0</c:formatCode>
                <c:ptCount val="7"/>
                <c:pt idx="0">
                  <c:v>28577.247355351661</c:v>
                </c:pt>
                <c:pt idx="1">
                  <c:v>26610.180139309006</c:v>
                </c:pt>
                <c:pt idx="2">
                  <c:v>26240.178376213596</c:v>
                </c:pt>
                <c:pt idx="3">
                  <c:v>27090.435050598862</c:v>
                </c:pt>
                <c:pt idx="4">
                  <c:v>30772.237101227405</c:v>
                </c:pt>
                <c:pt idx="5">
                  <c:v>28335.280176173645</c:v>
                </c:pt>
                <c:pt idx="6">
                  <c:v>27653.331335663122</c:v>
                </c:pt>
              </c:numCache>
            </c:numRef>
          </c:val>
          <c:extLst>
            <c:ext xmlns:c16="http://schemas.microsoft.com/office/drawing/2014/chart" uri="{C3380CC4-5D6E-409C-BE32-E72D297353CC}">
              <c16:uniqueId val="{00000000-AB23-4BD5-8379-E1AAEAEA8CF1}"/>
            </c:ext>
          </c:extLst>
        </c:ser>
        <c:dLbls>
          <c:showLegendKey val="0"/>
          <c:showVal val="0"/>
          <c:showCatName val="0"/>
          <c:showSerName val="0"/>
          <c:showPercent val="0"/>
          <c:showBubbleSize val="0"/>
        </c:dLbls>
        <c:gapWidth val="150"/>
        <c:axId val="221278072"/>
        <c:axId val="221278464"/>
      </c:barChart>
      <c:lineChart>
        <c:grouping val="standard"/>
        <c:varyColors val="0"/>
        <c:ser>
          <c:idx val="1"/>
          <c:order val="1"/>
          <c:tx>
            <c:v>Original series growth</c:v>
          </c:tx>
          <c:spPr>
            <a:ln w="28575" cap="rnd">
              <a:solidFill>
                <a:schemeClr val="accent2"/>
              </a:solidFill>
              <a:round/>
            </a:ln>
            <a:effectLst/>
          </c:spPr>
          <c:marker>
            <c:symbol val="none"/>
          </c:marker>
          <c:cat>
            <c:multiLvlStrRef>
              <c:f>Summary!$B$3:$H$4</c:f>
              <c:multiLvlStrCache>
                <c:ptCount val="7"/>
                <c:lvl>
                  <c:pt idx="0">
                    <c:v>Q1</c:v>
                  </c:pt>
                  <c:pt idx="1">
                    <c:v>Q2</c:v>
                  </c:pt>
                  <c:pt idx="2">
                    <c:v>Q3</c:v>
                  </c:pt>
                  <c:pt idx="3">
                    <c:v>Q4</c:v>
                  </c:pt>
                  <c:pt idx="4">
                    <c:v>Q1</c:v>
                  </c:pt>
                  <c:pt idx="5">
                    <c:v>Q2</c:v>
                  </c:pt>
                  <c:pt idx="6">
                    <c:v>Q3</c:v>
                  </c:pt>
                </c:lvl>
                <c:lvl>
                  <c:pt idx="0">
                    <c:v>2016/17</c:v>
                  </c:pt>
                  <c:pt idx="4">
                    <c:v>2017/18</c:v>
                  </c:pt>
                  <c:pt idx="5">
                    <c:v>2017/18</c:v>
                  </c:pt>
                </c:lvl>
              </c:multiLvlStrCache>
            </c:multiLvlStrRef>
          </c:cat>
          <c:val>
            <c:numRef>
              <c:f>Summary!$B$35:$H$35</c:f>
              <c:numCache>
                <c:formatCode>0.0</c:formatCode>
                <c:ptCount val="7"/>
                <c:pt idx="0">
                  <c:v>-0.26122599349414077</c:v>
                </c:pt>
                <c:pt idx="1">
                  <c:v>0.50756396361286704</c:v>
                </c:pt>
                <c:pt idx="2">
                  <c:v>6.7464548438344707</c:v>
                </c:pt>
                <c:pt idx="3">
                  <c:v>6.1811726662669653</c:v>
                </c:pt>
                <c:pt idx="4">
                  <c:v>7.680899838187849</c:v>
                </c:pt>
                <c:pt idx="5">
                  <c:v>6.4828574170991526</c:v>
                </c:pt>
                <c:pt idx="6">
                  <c:v>5.3854548516732992</c:v>
                </c:pt>
              </c:numCache>
            </c:numRef>
          </c:val>
          <c:smooth val="0"/>
          <c:extLst>
            <c:ext xmlns:c16="http://schemas.microsoft.com/office/drawing/2014/chart" uri="{C3380CC4-5D6E-409C-BE32-E72D297353CC}">
              <c16:uniqueId val="{00000001-AB23-4BD5-8379-E1AAEAEA8CF1}"/>
            </c:ext>
          </c:extLst>
        </c:ser>
        <c:dLbls>
          <c:showLegendKey val="0"/>
          <c:showVal val="0"/>
          <c:showCatName val="0"/>
          <c:showSerName val="0"/>
          <c:showPercent val="0"/>
          <c:showBubbleSize val="0"/>
        </c:dLbls>
        <c:marker val="1"/>
        <c:smooth val="0"/>
        <c:axId val="221279248"/>
        <c:axId val="221278856"/>
      </c:lineChart>
      <c:catAx>
        <c:axId val="221278072"/>
        <c:scaling>
          <c:orientation val="minMax"/>
        </c:scaling>
        <c:delete val="0"/>
        <c:axPos val="b"/>
        <c:numFmt formatCode="General" sourceLinked="0"/>
        <c:majorTickMark val="out"/>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21278464"/>
        <c:crosses val="autoZero"/>
        <c:auto val="1"/>
        <c:lblAlgn val="ctr"/>
        <c:lblOffset val="100"/>
        <c:noMultiLvlLbl val="0"/>
      </c:catAx>
      <c:valAx>
        <c:axId val="221278464"/>
        <c:scaling>
          <c:orientation val="minMax"/>
          <c:max val="14000"/>
          <c:min val="5000"/>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Billion Shs</a:t>
                </a:r>
              </a:p>
            </c:rich>
          </c:tx>
          <c:layout>
            <c:manualLayout>
              <c:xMode val="edge"/>
              <c:yMode val="edge"/>
              <c:x val="0"/>
              <c:y val="0.28827226854945714"/>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21278072"/>
        <c:crosses val="autoZero"/>
        <c:crossBetween val="between"/>
        <c:majorUnit val="1000"/>
      </c:valAx>
      <c:valAx>
        <c:axId val="221278856"/>
        <c:scaling>
          <c:orientation val="minMax"/>
        </c:scaling>
        <c:delete val="0"/>
        <c:axPos val="r"/>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21279248"/>
        <c:crosses val="max"/>
        <c:crossBetween val="between"/>
      </c:valAx>
      <c:catAx>
        <c:axId val="221279248"/>
        <c:scaling>
          <c:orientation val="minMax"/>
        </c:scaling>
        <c:delete val="1"/>
        <c:axPos val="b"/>
        <c:numFmt formatCode="General" sourceLinked="1"/>
        <c:majorTickMark val="out"/>
        <c:minorTickMark val="none"/>
        <c:tickLblPos val="nextTo"/>
        <c:crossAx val="2212788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000000000000444" l="0.70000000000000062" r="0.70000000000000062" t="0.75000000000000444"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a:latin typeface="Arial" pitchFamily="34" charset="0"/>
                <a:cs typeface="Arial" pitchFamily="34" charset="0"/>
              </a:defRPr>
            </a:pPr>
            <a:r>
              <a:rPr lang="en-US" sz="800">
                <a:latin typeface="Arial" pitchFamily="34" charset="0"/>
                <a:cs typeface="Arial" pitchFamily="34" charset="0"/>
              </a:rPr>
              <a:t>Quarter to Quarter percentage change in QGDP estimates </a:t>
            </a:r>
          </a:p>
        </c:rich>
      </c:tx>
      <c:overlay val="0"/>
    </c:title>
    <c:autoTitleDeleted val="0"/>
    <c:plotArea>
      <c:layout/>
      <c:lineChart>
        <c:grouping val="standard"/>
        <c:varyColors val="0"/>
        <c:ser>
          <c:idx val="0"/>
          <c:order val="0"/>
          <c:tx>
            <c:strRef>
              <c:f>Summary!$A$42</c:f>
              <c:strCache>
                <c:ptCount val="1"/>
                <c:pt idx="0">
                  <c:v>SEASONALLY ADJUSTED ESTIMATES</c:v>
                </c:pt>
              </c:strCache>
            </c:strRef>
          </c:tx>
          <c:spPr>
            <a:ln w="25400">
              <a:solidFill>
                <a:srgbClr val="00CC00"/>
              </a:solidFill>
            </a:ln>
          </c:spPr>
          <c:marker>
            <c:symbol val="none"/>
          </c:marker>
          <c:cat>
            <c:multiLvlStrRef>
              <c:f>Summary!$B$3:$H$4</c:f>
              <c:multiLvlStrCache>
                <c:ptCount val="7"/>
                <c:lvl>
                  <c:pt idx="0">
                    <c:v>Q1</c:v>
                  </c:pt>
                  <c:pt idx="1">
                    <c:v>Q2</c:v>
                  </c:pt>
                  <c:pt idx="2">
                    <c:v>Q3</c:v>
                  </c:pt>
                  <c:pt idx="3">
                    <c:v>Q4</c:v>
                  </c:pt>
                  <c:pt idx="4">
                    <c:v>Q1</c:v>
                  </c:pt>
                  <c:pt idx="5">
                    <c:v>Q2</c:v>
                  </c:pt>
                  <c:pt idx="6">
                    <c:v>Q3</c:v>
                  </c:pt>
                </c:lvl>
                <c:lvl>
                  <c:pt idx="0">
                    <c:v>2016/17</c:v>
                  </c:pt>
                  <c:pt idx="4">
                    <c:v>2017/18</c:v>
                  </c:pt>
                  <c:pt idx="5">
                    <c:v>2017/18</c:v>
                  </c:pt>
                </c:lvl>
              </c:multiLvlStrCache>
            </c:multiLvlStrRef>
          </c:cat>
          <c:val>
            <c:numRef>
              <c:f>Summary!$B$43:$H$43</c:f>
              <c:numCache>
                <c:formatCode>#,##0.0</c:formatCode>
                <c:ptCount val="7"/>
                <c:pt idx="0">
                  <c:v>0.86546068418358324</c:v>
                </c:pt>
                <c:pt idx="1">
                  <c:v>1.521711735013942</c:v>
                </c:pt>
                <c:pt idx="2">
                  <c:v>2.9807703918030004</c:v>
                </c:pt>
                <c:pt idx="3">
                  <c:v>0.93312037594219799</c:v>
                </c:pt>
                <c:pt idx="4">
                  <c:v>1.4844207361020434</c:v>
                </c:pt>
                <c:pt idx="5">
                  <c:v>0.96014432932529648</c:v>
                </c:pt>
                <c:pt idx="6">
                  <c:v>2.3199932952593594</c:v>
                </c:pt>
              </c:numCache>
            </c:numRef>
          </c:val>
          <c:smooth val="0"/>
          <c:extLst>
            <c:ext xmlns:c16="http://schemas.microsoft.com/office/drawing/2014/chart" uri="{C3380CC4-5D6E-409C-BE32-E72D297353CC}">
              <c16:uniqueId val="{00000000-7DEF-4D18-960B-322A6F472181}"/>
            </c:ext>
          </c:extLst>
        </c:ser>
        <c:ser>
          <c:idx val="1"/>
          <c:order val="1"/>
          <c:tx>
            <c:strRef>
              <c:f>Summary!$A$50</c:f>
              <c:strCache>
                <c:ptCount val="1"/>
                <c:pt idx="0">
                  <c:v>TREND CYCLE ESTIMATES</c:v>
                </c:pt>
              </c:strCache>
            </c:strRef>
          </c:tx>
          <c:spPr>
            <a:ln w="25400">
              <a:solidFill>
                <a:srgbClr val="C639A4"/>
              </a:solidFill>
            </a:ln>
          </c:spPr>
          <c:marker>
            <c:symbol val="none"/>
          </c:marker>
          <c:cat>
            <c:multiLvlStrRef>
              <c:f>Summary!$B$3:$H$4</c:f>
              <c:multiLvlStrCache>
                <c:ptCount val="7"/>
                <c:lvl>
                  <c:pt idx="0">
                    <c:v>Q1</c:v>
                  </c:pt>
                  <c:pt idx="1">
                    <c:v>Q2</c:v>
                  </c:pt>
                  <c:pt idx="2">
                    <c:v>Q3</c:v>
                  </c:pt>
                  <c:pt idx="3">
                    <c:v>Q4</c:v>
                  </c:pt>
                  <c:pt idx="4">
                    <c:v>Q1</c:v>
                  </c:pt>
                  <c:pt idx="5">
                    <c:v>Q2</c:v>
                  </c:pt>
                  <c:pt idx="6">
                    <c:v>Q3</c:v>
                  </c:pt>
                </c:lvl>
                <c:lvl>
                  <c:pt idx="0">
                    <c:v>2016/17</c:v>
                  </c:pt>
                  <c:pt idx="4">
                    <c:v>2017/18</c:v>
                  </c:pt>
                  <c:pt idx="5">
                    <c:v>2017/18</c:v>
                  </c:pt>
                </c:lvl>
              </c:multiLvlStrCache>
            </c:multiLvlStrRef>
          </c:cat>
          <c:val>
            <c:numRef>
              <c:f>Summary!$B$51:$H$51</c:f>
              <c:numCache>
                <c:formatCode>0.0</c:formatCode>
                <c:ptCount val="7"/>
                <c:pt idx="0">
                  <c:v>1.1600043162414586</c:v>
                </c:pt>
                <c:pt idx="1">
                  <c:v>1.6387807805343213</c:v>
                </c:pt>
                <c:pt idx="2">
                  <c:v>1.8069627149892797</c:v>
                </c:pt>
                <c:pt idx="3">
                  <c:v>1.6101159400478515</c:v>
                </c:pt>
                <c:pt idx="4">
                  <c:v>1.2171498282506077</c:v>
                </c:pt>
                <c:pt idx="5">
                  <c:v>1.2499810406249701</c:v>
                </c:pt>
                <c:pt idx="6">
                  <c:v>1.5546698458494879</c:v>
                </c:pt>
              </c:numCache>
            </c:numRef>
          </c:val>
          <c:smooth val="0"/>
          <c:extLst>
            <c:ext xmlns:c16="http://schemas.microsoft.com/office/drawing/2014/chart" uri="{C3380CC4-5D6E-409C-BE32-E72D297353CC}">
              <c16:uniqueId val="{00000001-7DEF-4D18-960B-322A6F472181}"/>
            </c:ext>
          </c:extLst>
        </c:ser>
        <c:dLbls>
          <c:showLegendKey val="0"/>
          <c:showVal val="0"/>
          <c:showCatName val="0"/>
          <c:showSerName val="0"/>
          <c:showPercent val="0"/>
          <c:showBubbleSize val="0"/>
        </c:dLbls>
        <c:smooth val="0"/>
        <c:axId val="962413816"/>
        <c:axId val="962412640"/>
      </c:lineChart>
      <c:catAx>
        <c:axId val="962413816"/>
        <c:scaling>
          <c:orientation val="minMax"/>
        </c:scaling>
        <c:delete val="0"/>
        <c:axPos val="b"/>
        <c:numFmt formatCode="General" sourceLinked="0"/>
        <c:majorTickMark val="out"/>
        <c:minorTickMark val="none"/>
        <c:tickLblPos val="nextTo"/>
        <c:spPr>
          <a:ln w="12700">
            <a:solidFill>
              <a:sysClr val="windowText" lastClr="000000"/>
            </a:solidFill>
          </a:ln>
        </c:spPr>
        <c:txPr>
          <a:bodyPr/>
          <a:lstStyle/>
          <a:p>
            <a:pPr>
              <a:defRPr sz="800" b="1">
                <a:latin typeface="Arial" pitchFamily="34" charset="0"/>
                <a:cs typeface="Arial" pitchFamily="34" charset="0"/>
              </a:defRPr>
            </a:pPr>
            <a:endParaRPr lang="en-US"/>
          </a:p>
        </c:txPr>
        <c:crossAx val="962412640"/>
        <c:crosses val="autoZero"/>
        <c:auto val="1"/>
        <c:lblAlgn val="ctr"/>
        <c:lblOffset val="100"/>
        <c:noMultiLvlLbl val="0"/>
      </c:catAx>
      <c:valAx>
        <c:axId val="962412640"/>
        <c:scaling>
          <c:orientation val="minMax"/>
        </c:scaling>
        <c:delete val="0"/>
        <c:axPos val="l"/>
        <c:title>
          <c:tx>
            <c:rich>
              <a:bodyPr rot="-5400000" vert="horz"/>
              <a:lstStyle/>
              <a:p>
                <a:pPr>
                  <a:defRPr sz="800">
                    <a:latin typeface="Arial" pitchFamily="34" charset="0"/>
                    <a:cs typeface="Arial" pitchFamily="34" charset="0"/>
                  </a:defRPr>
                </a:pPr>
                <a:r>
                  <a:rPr lang="en-US" sz="800">
                    <a:latin typeface="Arial" pitchFamily="34" charset="0"/>
                    <a:cs typeface="Arial" pitchFamily="34" charset="0"/>
                  </a:rPr>
                  <a:t>Percent</a:t>
                </a:r>
              </a:p>
            </c:rich>
          </c:tx>
          <c:overlay val="0"/>
        </c:title>
        <c:numFmt formatCode="#,##0.0" sourceLinked="1"/>
        <c:majorTickMark val="out"/>
        <c:minorTickMark val="none"/>
        <c:tickLblPos val="nextTo"/>
        <c:spPr>
          <a:ln w="12700">
            <a:solidFill>
              <a:schemeClr val="tx1"/>
            </a:solidFill>
          </a:ln>
        </c:spPr>
        <c:txPr>
          <a:bodyPr/>
          <a:lstStyle/>
          <a:p>
            <a:pPr>
              <a:defRPr sz="800" b="1">
                <a:latin typeface="Arial" pitchFamily="34" charset="0"/>
                <a:cs typeface="Arial" pitchFamily="34" charset="0"/>
              </a:defRPr>
            </a:pPr>
            <a:endParaRPr lang="en-US"/>
          </a:p>
        </c:txPr>
        <c:crossAx val="962413816"/>
        <c:crosses val="autoZero"/>
        <c:crossBetween val="between"/>
      </c:valAx>
    </c:plotArea>
    <c:legend>
      <c:legendPos val="b"/>
      <c:overlay val="0"/>
      <c:txPr>
        <a:bodyPr/>
        <a:lstStyle/>
        <a:p>
          <a:pPr>
            <a:defRPr sz="800" b="1">
              <a:latin typeface="Arial" pitchFamily="34" charset="0"/>
              <a:cs typeface="Arial" pitchFamily="34" charset="0"/>
            </a:defRPr>
          </a:pPr>
          <a:endParaRPr lang="en-US"/>
        </a:p>
      </c:txPr>
    </c:legend>
    <c:plotVisOnly val="1"/>
    <c:dispBlanksAs val="gap"/>
    <c:showDLblsOverMax val="0"/>
  </c:chart>
  <c:spPr>
    <a:ln w="12700">
      <a:solidFill>
        <a:schemeClr val="tx1"/>
      </a:solidFill>
    </a:ln>
  </c:spPr>
  <c:printSettings>
    <c:headerFooter/>
    <c:pageMargins b="0.75000000000000466" l="0.70000000000000062" r="0.70000000000000062" t="0.75000000000000466"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a:latin typeface="Arial" pitchFamily="34" charset="0"/>
                <a:cs typeface="Arial" pitchFamily="34" charset="0"/>
              </a:defRPr>
            </a:pPr>
            <a:r>
              <a:rPr lang="en-US" sz="800">
                <a:latin typeface="Arial" pitchFamily="34" charset="0"/>
                <a:cs typeface="Arial" pitchFamily="34" charset="0"/>
              </a:rPr>
              <a:t>Agriculture sector Value Added at 2009/10 Constant prices</a:t>
            </a:r>
          </a:p>
        </c:rich>
      </c:tx>
      <c:overlay val="0"/>
    </c:title>
    <c:autoTitleDeleted val="0"/>
    <c:plotArea>
      <c:layout>
        <c:manualLayout>
          <c:layoutTarget val="inner"/>
          <c:xMode val="edge"/>
          <c:yMode val="edge"/>
          <c:x val="0.15009062546426979"/>
          <c:y val="0.14414543200550115"/>
          <c:w val="0.71653518546030803"/>
          <c:h val="0.57733600643093042"/>
        </c:manualLayout>
      </c:layout>
      <c:barChart>
        <c:barDir val="col"/>
        <c:grouping val="clustered"/>
        <c:varyColors val="0"/>
        <c:ser>
          <c:idx val="0"/>
          <c:order val="0"/>
          <c:tx>
            <c:strRef>
              <c:f>Summary!$A$5</c:f>
              <c:strCache>
                <c:ptCount val="1"/>
                <c:pt idx="0">
                  <c:v>ORIGINAL ESTIMATES</c:v>
                </c:pt>
              </c:strCache>
            </c:strRef>
          </c:tx>
          <c:spPr>
            <a:solidFill>
              <a:srgbClr val="62BDB6"/>
            </a:solidFill>
          </c:spPr>
          <c:invertIfNegative val="0"/>
          <c:cat>
            <c:multiLvlStrRef>
              <c:f>Summary!$B$3:$H$4</c:f>
              <c:multiLvlStrCache>
                <c:ptCount val="7"/>
                <c:lvl>
                  <c:pt idx="0">
                    <c:v>Q1</c:v>
                  </c:pt>
                  <c:pt idx="1">
                    <c:v>Q2</c:v>
                  </c:pt>
                  <c:pt idx="2">
                    <c:v>Q3</c:v>
                  </c:pt>
                  <c:pt idx="3">
                    <c:v>Q4</c:v>
                  </c:pt>
                  <c:pt idx="4">
                    <c:v>Q1</c:v>
                  </c:pt>
                  <c:pt idx="5">
                    <c:v>Q2</c:v>
                  </c:pt>
                  <c:pt idx="6">
                    <c:v>Q3</c:v>
                  </c:pt>
                </c:lvl>
                <c:lvl>
                  <c:pt idx="0">
                    <c:v>2016/17</c:v>
                  </c:pt>
                  <c:pt idx="4">
                    <c:v>2017/18</c:v>
                  </c:pt>
                  <c:pt idx="5">
                    <c:v>2017/18</c:v>
                  </c:pt>
                </c:lvl>
              </c:multiLvlStrCache>
            </c:multiLvlStrRef>
          </c:cat>
          <c:val>
            <c:numRef>
              <c:f>Summary!$B$7:$H$7</c:f>
              <c:numCache>
                <c:formatCode>#,##0</c:formatCode>
                <c:ptCount val="7"/>
                <c:pt idx="0">
                  <c:v>8012.3898438440583</c:v>
                </c:pt>
                <c:pt idx="1">
                  <c:v>6110.5574830010291</c:v>
                </c:pt>
                <c:pt idx="2">
                  <c:v>5359.3297594225651</c:v>
                </c:pt>
                <c:pt idx="3">
                  <c:v>5974.7914938523681</c:v>
                </c:pt>
                <c:pt idx="4">
                  <c:v>8783.75361617198</c:v>
                </c:pt>
                <c:pt idx="5">
                  <c:v>6199.5724243031436</c:v>
                </c:pt>
                <c:pt idx="6">
                  <c:v>5495.0897018703818</c:v>
                </c:pt>
              </c:numCache>
            </c:numRef>
          </c:val>
          <c:extLst>
            <c:ext xmlns:c16="http://schemas.microsoft.com/office/drawing/2014/chart" uri="{C3380CC4-5D6E-409C-BE32-E72D297353CC}">
              <c16:uniqueId val="{00000000-C5FD-401A-BA64-505EF7608B00}"/>
            </c:ext>
          </c:extLst>
        </c:ser>
        <c:dLbls>
          <c:showLegendKey val="0"/>
          <c:showVal val="0"/>
          <c:showCatName val="0"/>
          <c:showSerName val="0"/>
          <c:showPercent val="0"/>
          <c:showBubbleSize val="0"/>
        </c:dLbls>
        <c:gapWidth val="150"/>
        <c:axId val="962413424"/>
        <c:axId val="962414208"/>
      </c:barChart>
      <c:lineChart>
        <c:grouping val="standard"/>
        <c:varyColors val="0"/>
        <c:ser>
          <c:idx val="1"/>
          <c:order val="1"/>
          <c:tx>
            <c:v>Original series growth</c:v>
          </c:tx>
          <c:marker>
            <c:symbol val="none"/>
          </c:marker>
          <c:cat>
            <c:multiLvlStrRef>
              <c:f>Summary!$B$3:$H$4</c:f>
              <c:multiLvlStrCache>
                <c:ptCount val="7"/>
                <c:lvl>
                  <c:pt idx="0">
                    <c:v>Q1</c:v>
                  </c:pt>
                  <c:pt idx="1">
                    <c:v>Q2</c:v>
                  </c:pt>
                  <c:pt idx="2">
                    <c:v>Q3</c:v>
                  </c:pt>
                  <c:pt idx="3">
                    <c:v>Q4</c:v>
                  </c:pt>
                  <c:pt idx="4">
                    <c:v>Q1</c:v>
                  </c:pt>
                  <c:pt idx="5">
                    <c:v>Q2</c:v>
                  </c:pt>
                  <c:pt idx="6">
                    <c:v>Q3</c:v>
                  </c:pt>
                </c:lvl>
                <c:lvl>
                  <c:pt idx="0">
                    <c:v>2016/17</c:v>
                  </c:pt>
                  <c:pt idx="4">
                    <c:v>2017/18</c:v>
                  </c:pt>
                  <c:pt idx="5">
                    <c:v>2017/18</c:v>
                  </c:pt>
                </c:lvl>
              </c:multiLvlStrCache>
            </c:multiLvlStrRef>
          </c:cat>
          <c:val>
            <c:numRef>
              <c:f>Summary!$B$36:$H$36</c:f>
              <c:numCache>
                <c:formatCode>0.0</c:formatCode>
                <c:ptCount val="7"/>
                <c:pt idx="0">
                  <c:v>1.1733408264864575</c:v>
                </c:pt>
                <c:pt idx="1">
                  <c:v>3.2296506496494182</c:v>
                </c:pt>
                <c:pt idx="2">
                  <c:v>1.0636812340840684</c:v>
                </c:pt>
                <c:pt idx="3">
                  <c:v>6.0861995034416916</c:v>
                </c:pt>
                <c:pt idx="4">
                  <c:v>9.6271373131021853</c:v>
                </c:pt>
                <c:pt idx="5">
                  <c:v>1.4567401018605208</c:v>
                </c:pt>
                <c:pt idx="6">
                  <c:v>2.5331515047964492</c:v>
                </c:pt>
              </c:numCache>
            </c:numRef>
          </c:val>
          <c:smooth val="0"/>
          <c:extLst>
            <c:ext xmlns:c16="http://schemas.microsoft.com/office/drawing/2014/chart" uri="{C3380CC4-5D6E-409C-BE32-E72D297353CC}">
              <c16:uniqueId val="{00000001-C5FD-401A-BA64-505EF7608B00}"/>
            </c:ext>
          </c:extLst>
        </c:ser>
        <c:dLbls>
          <c:showLegendKey val="0"/>
          <c:showVal val="0"/>
          <c:showCatName val="0"/>
          <c:showSerName val="0"/>
          <c:showPercent val="0"/>
          <c:showBubbleSize val="0"/>
        </c:dLbls>
        <c:marker val="1"/>
        <c:smooth val="0"/>
        <c:axId val="962405216"/>
        <c:axId val="962411096"/>
      </c:lineChart>
      <c:catAx>
        <c:axId val="962413424"/>
        <c:scaling>
          <c:orientation val="minMax"/>
        </c:scaling>
        <c:delete val="0"/>
        <c:axPos val="b"/>
        <c:numFmt formatCode="General" sourceLinked="0"/>
        <c:majorTickMark val="out"/>
        <c:minorTickMark val="none"/>
        <c:tickLblPos val="nextTo"/>
        <c:spPr>
          <a:ln w="12700">
            <a:solidFill>
              <a:sysClr val="windowText" lastClr="000000"/>
            </a:solidFill>
          </a:ln>
        </c:spPr>
        <c:txPr>
          <a:bodyPr/>
          <a:lstStyle/>
          <a:p>
            <a:pPr>
              <a:defRPr sz="800" b="1">
                <a:latin typeface="Arial" pitchFamily="34" charset="0"/>
                <a:cs typeface="Arial" pitchFamily="34" charset="0"/>
              </a:defRPr>
            </a:pPr>
            <a:endParaRPr lang="en-US"/>
          </a:p>
        </c:txPr>
        <c:crossAx val="962414208"/>
        <c:crosses val="autoZero"/>
        <c:auto val="1"/>
        <c:lblAlgn val="ctr"/>
        <c:lblOffset val="100"/>
        <c:noMultiLvlLbl val="0"/>
      </c:catAx>
      <c:valAx>
        <c:axId val="962414208"/>
        <c:scaling>
          <c:orientation val="minMax"/>
        </c:scaling>
        <c:delete val="0"/>
        <c:axPos val="l"/>
        <c:title>
          <c:tx>
            <c:rich>
              <a:bodyPr rot="-5400000" vert="horz"/>
              <a:lstStyle/>
              <a:p>
                <a:pPr>
                  <a:defRPr sz="800">
                    <a:latin typeface="Arial" pitchFamily="34" charset="0"/>
                    <a:cs typeface="Arial" pitchFamily="34" charset="0"/>
                  </a:defRPr>
                </a:pPr>
                <a:r>
                  <a:rPr lang="en-US" sz="800">
                    <a:latin typeface="Arial" pitchFamily="34" charset="0"/>
                    <a:cs typeface="Arial" pitchFamily="34" charset="0"/>
                  </a:rPr>
                  <a:t>Billion Shs</a:t>
                </a:r>
              </a:p>
            </c:rich>
          </c:tx>
          <c:overlay val="0"/>
        </c:title>
        <c:numFmt formatCode="#,##0" sourceLinked="1"/>
        <c:majorTickMark val="out"/>
        <c:minorTickMark val="none"/>
        <c:tickLblPos val="nextTo"/>
        <c:spPr>
          <a:ln w="12700">
            <a:solidFill>
              <a:schemeClr val="tx1"/>
            </a:solidFill>
          </a:ln>
        </c:spPr>
        <c:txPr>
          <a:bodyPr/>
          <a:lstStyle/>
          <a:p>
            <a:pPr>
              <a:defRPr sz="800" b="1">
                <a:latin typeface="Arial" pitchFamily="34" charset="0"/>
                <a:cs typeface="Arial" pitchFamily="34" charset="0"/>
              </a:defRPr>
            </a:pPr>
            <a:endParaRPr lang="en-US"/>
          </a:p>
        </c:txPr>
        <c:crossAx val="962413424"/>
        <c:crosses val="autoZero"/>
        <c:crossBetween val="between"/>
      </c:valAx>
      <c:valAx>
        <c:axId val="962411096"/>
        <c:scaling>
          <c:orientation val="minMax"/>
        </c:scaling>
        <c:delete val="0"/>
        <c:axPos val="r"/>
        <c:title>
          <c:tx>
            <c:rich>
              <a:bodyPr/>
              <a:lstStyle/>
              <a:p>
                <a:pPr>
                  <a:defRPr/>
                </a:pPr>
                <a:r>
                  <a:rPr lang="en-US"/>
                  <a:t>Percentage</a:t>
                </a:r>
              </a:p>
            </c:rich>
          </c:tx>
          <c:overlay val="0"/>
        </c:title>
        <c:numFmt formatCode="0.0" sourceLinked="1"/>
        <c:majorTickMark val="out"/>
        <c:minorTickMark val="none"/>
        <c:tickLblPos val="nextTo"/>
        <c:crossAx val="962405216"/>
        <c:crosses val="max"/>
        <c:crossBetween val="between"/>
      </c:valAx>
      <c:catAx>
        <c:axId val="962405216"/>
        <c:scaling>
          <c:orientation val="minMax"/>
        </c:scaling>
        <c:delete val="1"/>
        <c:axPos val="b"/>
        <c:numFmt formatCode="General" sourceLinked="1"/>
        <c:majorTickMark val="out"/>
        <c:minorTickMark val="none"/>
        <c:tickLblPos val="nextTo"/>
        <c:crossAx val="962411096"/>
        <c:crosses val="autoZero"/>
        <c:auto val="1"/>
        <c:lblAlgn val="ctr"/>
        <c:lblOffset val="100"/>
        <c:noMultiLvlLbl val="0"/>
      </c:catAx>
    </c:plotArea>
    <c:legend>
      <c:legendPos val="b"/>
      <c:overlay val="0"/>
      <c:txPr>
        <a:bodyPr/>
        <a:lstStyle/>
        <a:p>
          <a:pPr>
            <a:defRPr sz="800" b="1">
              <a:latin typeface="Arial" pitchFamily="34" charset="0"/>
              <a:cs typeface="Arial" pitchFamily="34" charset="0"/>
            </a:defRPr>
          </a:pPr>
          <a:endParaRPr lang="en-US"/>
        </a:p>
      </c:txPr>
    </c:legend>
    <c:plotVisOnly val="1"/>
    <c:dispBlanksAs val="gap"/>
    <c:showDLblsOverMax val="0"/>
  </c:chart>
  <c:spPr>
    <a:ln w="12700">
      <a:solidFill>
        <a:schemeClr val="tx1"/>
      </a:solidFill>
    </a:ln>
  </c:spPr>
  <c:printSettings>
    <c:headerFooter/>
    <c:pageMargins b="0.75000000000000466" l="0.70000000000000062" r="0.70000000000000062" t="0.75000000000000466"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a:latin typeface="Arial" pitchFamily="34" charset="0"/>
                <a:cs typeface="Arial" pitchFamily="34" charset="0"/>
              </a:defRPr>
            </a:pPr>
            <a:r>
              <a:rPr lang="en-US" sz="800">
                <a:latin typeface="Arial" pitchFamily="34" charset="0"/>
                <a:cs typeface="Arial" pitchFamily="34" charset="0"/>
              </a:rPr>
              <a:t> Industry sector Value Added at 2009/10 Constant prices</a:t>
            </a:r>
          </a:p>
        </c:rich>
      </c:tx>
      <c:overlay val="0"/>
    </c:title>
    <c:autoTitleDeleted val="0"/>
    <c:plotArea>
      <c:layout>
        <c:manualLayout>
          <c:layoutTarget val="inner"/>
          <c:xMode val="edge"/>
          <c:yMode val="edge"/>
          <c:x val="0.17667756908907606"/>
          <c:y val="0.14414543200550115"/>
          <c:w val="0.70131797033263721"/>
          <c:h val="0.58589689203978657"/>
        </c:manualLayout>
      </c:layout>
      <c:barChart>
        <c:barDir val="col"/>
        <c:grouping val="clustered"/>
        <c:varyColors val="0"/>
        <c:ser>
          <c:idx val="0"/>
          <c:order val="0"/>
          <c:tx>
            <c:strRef>
              <c:f>Summary!$A$5</c:f>
              <c:strCache>
                <c:ptCount val="1"/>
                <c:pt idx="0">
                  <c:v>ORIGINAL ESTIMATES</c:v>
                </c:pt>
              </c:strCache>
            </c:strRef>
          </c:tx>
          <c:spPr>
            <a:solidFill>
              <a:srgbClr val="62BDB6"/>
            </a:solidFill>
          </c:spPr>
          <c:invertIfNegative val="0"/>
          <c:cat>
            <c:multiLvlStrRef>
              <c:f>Summary!$B$3:$H$4</c:f>
              <c:multiLvlStrCache>
                <c:ptCount val="7"/>
                <c:lvl>
                  <c:pt idx="0">
                    <c:v>Q1</c:v>
                  </c:pt>
                  <c:pt idx="1">
                    <c:v>Q2</c:v>
                  </c:pt>
                  <c:pt idx="2">
                    <c:v>Q3</c:v>
                  </c:pt>
                  <c:pt idx="3">
                    <c:v>Q4</c:v>
                  </c:pt>
                  <c:pt idx="4">
                    <c:v>Q1</c:v>
                  </c:pt>
                  <c:pt idx="5">
                    <c:v>Q2</c:v>
                  </c:pt>
                  <c:pt idx="6">
                    <c:v>Q3</c:v>
                  </c:pt>
                </c:lvl>
                <c:lvl>
                  <c:pt idx="0">
                    <c:v>2016/17</c:v>
                  </c:pt>
                  <c:pt idx="4">
                    <c:v>2017/18</c:v>
                  </c:pt>
                  <c:pt idx="5">
                    <c:v>2017/18</c:v>
                  </c:pt>
                </c:lvl>
              </c:multiLvlStrCache>
            </c:multiLvlStrRef>
          </c:cat>
          <c:val>
            <c:numRef>
              <c:f>Summary!$B$8:$H$8</c:f>
              <c:numCache>
                <c:formatCode>#,##0</c:formatCode>
                <c:ptCount val="7"/>
                <c:pt idx="0">
                  <c:v>6768.713051955091</c:v>
                </c:pt>
                <c:pt idx="1">
                  <c:v>7106.8655859703567</c:v>
                </c:pt>
                <c:pt idx="2">
                  <c:v>7305.4210324818123</c:v>
                </c:pt>
                <c:pt idx="3">
                  <c:v>7067.3259345873512</c:v>
                </c:pt>
                <c:pt idx="4">
                  <c:v>7134.9058713826926</c:v>
                </c:pt>
                <c:pt idx="5">
                  <c:v>7312.6317555530877</c:v>
                </c:pt>
                <c:pt idx="6">
                  <c:v>7537.2021354850558</c:v>
                </c:pt>
              </c:numCache>
            </c:numRef>
          </c:val>
          <c:extLst>
            <c:ext xmlns:c16="http://schemas.microsoft.com/office/drawing/2014/chart" uri="{C3380CC4-5D6E-409C-BE32-E72D297353CC}">
              <c16:uniqueId val="{00000000-FA3F-4C82-A029-7880E2921519}"/>
            </c:ext>
          </c:extLst>
        </c:ser>
        <c:dLbls>
          <c:showLegendKey val="0"/>
          <c:showVal val="0"/>
          <c:showCatName val="0"/>
          <c:showSerName val="0"/>
          <c:showPercent val="0"/>
          <c:showBubbleSize val="0"/>
        </c:dLbls>
        <c:gapWidth val="150"/>
        <c:axId val="962406784"/>
        <c:axId val="962410704"/>
      </c:barChart>
      <c:lineChart>
        <c:grouping val="standard"/>
        <c:varyColors val="0"/>
        <c:ser>
          <c:idx val="1"/>
          <c:order val="1"/>
          <c:tx>
            <c:v>Original series growth</c:v>
          </c:tx>
          <c:marker>
            <c:symbol val="none"/>
          </c:marker>
          <c:cat>
            <c:multiLvlStrRef>
              <c:f>Summary!$B$3:$H$4</c:f>
              <c:multiLvlStrCache>
                <c:ptCount val="7"/>
                <c:lvl>
                  <c:pt idx="0">
                    <c:v>Q1</c:v>
                  </c:pt>
                  <c:pt idx="1">
                    <c:v>Q2</c:v>
                  </c:pt>
                  <c:pt idx="2">
                    <c:v>Q3</c:v>
                  </c:pt>
                  <c:pt idx="3">
                    <c:v>Q4</c:v>
                  </c:pt>
                  <c:pt idx="4">
                    <c:v>Q1</c:v>
                  </c:pt>
                  <c:pt idx="5">
                    <c:v>Q2</c:v>
                  </c:pt>
                  <c:pt idx="6">
                    <c:v>Q3</c:v>
                  </c:pt>
                </c:lvl>
                <c:lvl>
                  <c:pt idx="0">
                    <c:v>2016/17</c:v>
                  </c:pt>
                  <c:pt idx="4">
                    <c:v>2017/18</c:v>
                  </c:pt>
                  <c:pt idx="5">
                    <c:v>2017/18</c:v>
                  </c:pt>
                </c:lvl>
              </c:multiLvlStrCache>
            </c:multiLvlStrRef>
          </c:cat>
          <c:val>
            <c:numRef>
              <c:f>Summary!$B$53:$H$53</c:f>
              <c:numCache>
                <c:formatCode>0.0</c:formatCode>
                <c:ptCount val="7"/>
                <c:pt idx="0">
                  <c:v>3.8740070806615012</c:v>
                </c:pt>
                <c:pt idx="1">
                  <c:v>4.2216624188200491</c:v>
                </c:pt>
                <c:pt idx="2">
                  <c:v>1.7299746291821183</c:v>
                </c:pt>
                <c:pt idx="3">
                  <c:v>-0.29579553573012562</c:v>
                </c:pt>
                <c:pt idx="4">
                  <c:v>-0.46439364643919845</c:v>
                </c:pt>
                <c:pt idx="5">
                  <c:v>1.5917849153564534</c:v>
                </c:pt>
                <c:pt idx="6">
                  <c:v>3.177195030749802</c:v>
                </c:pt>
              </c:numCache>
            </c:numRef>
          </c:val>
          <c:smooth val="0"/>
          <c:extLst>
            <c:ext xmlns:c16="http://schemas.microsoft.com/office/drawing/2014/chart" uri="{C3380CC4-5D6E-409C-BE32-E72D297353CC}">
              <c16:uniqueId val="{00000001-FA3F-4C82-A029-7880E2921519}"/>
            </c:ext>
          </c:extLst>
        </c:ser>
        <c:dLbls>
          <c:showLegendKey val="0"/>
          <c:showVal val="0"/>
          <c:showCatName val="0"/>
          <c:showSerName val="0"/>
          <c:showPercent val="0"/>
          <c:showBubbleSize val="0"/>
        </c:dLbls>
        <c:marker val="1"/>
        <c:smooth val="0"/>
        <c:axId val="962406392"/>
        <c:axId val="962408744"/>
      </c:lineChart>
      <c:catAx>
        <c:axId val="962406784"/>
        <c:scaling>
          <c:orientation val="minMax"/>
        </c:scaling>
        <c:delete val="0"/>
        <c:axPos val="b"/>
        <c:numFmt formatCode="General" sourceLinked="0"/>
        <c:majorTickMark val="out"/>
        <c:minorTickMark val="none"/>
        <c:tickLblPos val="nextTo"/>
        <c:spPr>
          <a:ln w="12700">
            <a:solidFill>
              <a:sysClr val="windowText" lastClr="000000"/>
            </a:solidFill>
          </a:ln>
        </c:spPr>
        <c:txPr>
          <a:bodyPr/>
          <a:lstStyle/>
          <a:p>
            <a:pPr>
              <a:defRPr sz="800" b="1">
                <a:latin typeface="Arial" pitchFamily="34" charset="0"/>
                <a:cs typeface="Arial" pitchFamily="34" charset="0"/>
              </a:defRPr>
            </a:pPr>
            <a:endParaRPr lang="en-US"/>
          </a:p>
        </c:txPr>
        <c:crossAx val="962410704"/>
        <c:crosses val="autoZero"/>
        <c:auto val="1"/>
        <c:lblAlgn val="ctr"/>
        <c:lblOffset val="100"/>
        <c:noMultiLvlLbl val="0"/>
      </c:catAx>
      <c:valAx>
        <c:axId val="962410704"/>
        <c:scaling>
          <c:orientation val="minMax"/>
        </c:scaling>
        <c:delete val="0"/>
        <c:axPos val="l"/>
        <c:title>
          <c:tx>
            <c:rich>
              <a:bodyPr rot="-5400000" vert="horz"/>
              <a:lstStyle/>
              <a:p>
                <a:pPr>
                  <a:defRPr sz="800">
                    <a:latin typeface="Arial" pitchFamily="34" charset="0"/>
                    <a:cs typeface="Arial" pitchFamily="34" charset="0"/>
                  </a:defRPr>
                </a:pPr>
                <a:r>
                  <a:rPr lang="en-US" sz="800">
                    <a:latin typeface="Arial" pitchFamily="34" charset="0"/>
                    <a:cs typeface="Arial" pitchFamily="34" charset="0"/>
                  </a:rPr>
                  <a:t>Billion Shs</a:t>
                </a:r>
              </a:p>
            </c:rich>
          </c:tx>
          <c:overlay val="0"/>
        </c:title>
        <c:numFmt formatCode="#,##0" sourceLinked="1"/>
        <c:majorTickMark val="out"/>
        <c:minorTickMark val="none"/>
        <c:tickLblPos val="nextTo"/>
        <c:spPr>
          <a:ln w="12700">
            <a:solidFill>
              <a:schemeClr val="tx1"/>
            </a:solidFill>
          </a:ln>
        </c:spPr>
        <c:txPr>
          <a:bodyPr/>
          <a:lstStyle/>
          <a:p>
            <a:pPr>
              <a:defRPr sz="800" b="1">
                <a:latin typeface="Arial" pitchFamily="34" charset="0"/>
                <a:cs typeface="Arial" pitchFamily="34" charset="0"/>
              </a:defRPr>
            </a:pPr>
            <a:endParaRPr lang="en-US"/>
          </a:p>
        </c:txPr>
        <c:crossAx val="962406784"/>
        <c:crosses val="autoZero"/>
        <c:crossBetween val="between"/>
      </c:valAx>
      <c:valAx>
        <c:axId val="962408744"/>
        <c:scaling>
          <c:orientation val="minMax"/>
        </c:scaling>
        <c:delete val="0"/>
        <c:axPos val="r"/>
        <c:title>
          <c:tx>
            <c:rich>
              <a:bodyPr/>
              <a:lstStyle/>
              <a:p>
                <a:pPr>
                  <a:defRPr/>
                </a:pPr>
                <a:r>
                  <a:rPr lang="en-US"/>
                  <a:t>Percentage</a:t>
                </a:r>
              </a:p>
            </c:rich>
          </c:tx>
          <c:overlay val="0"/>
        </c:title>
        <c:numFmt formatCode="0.0" sourceLinked="1"/>
        <c:majorTickMark val="out"/>
        <c:minorTickMark val="none"/>
        <c:tickLblPos val="nextTo"/>
        <c:crossAx val="962406392"/>
        <c:crosses val="max"/>
        <c:crossBetween val="between"/>
      </c:valAx>
      <c:catAx>
        <c:axId val="962406392"/>
        <c:scaling>
          <c:orientation val="minMax"/>
        </c:scaling>
        <c:delete val="1"/>
        <c:axPos val="b"/>
        <c:numFmt formatCode="General" sourceLinked="1"/>
        <c:majorTickMark val="out"/>
        <c:minorTickMark val="none"/>
        <c:tickLblPos val="nextTo"/>
        <c:crossAx val="962408744"/>
        <c:crosses val="autoZero"/>
        <c:auto val="1"/>
        <c:lblAlgn val="ctr"/>
        <c:lblOffset val="100"/>
        <c:noMultiLvlLbl val="0"/>
      </c:catAx>
    </c:plotArea>
    <c:legend>
      <c:legendPos val="b"/>
      <c:overlay val="0"/>
      <c:txPr>
        <a:bodyPr/>
        <a:lstStyle/>
        <a:p>
          <a:pPr>
            <a:defRPr sz="800" b="1">
              <a:latin typeface="Arial" pitchFamily="34" charset="0"/>
              <a:cs typeface="Arial" pitchFamily="34" charset="0"/>
            </a:defRPr>
          </a:pPr>
          <a:endParaRPr lang="en-US"/>
        </a:p>
      </c:txPr>
    </c:legend>
    <c:plotVisOnly val="1"/>
    <c:dispBlanksAs val="gap"/>
    <c:showDLblsOverMax val="0"/>
  </c:chart>
  <c:spPr>
    <a:ln w="12700">
      <a:solidFill>
        <a:schemeClr val="tx1"/>
      </a:solidFill>
    </a:ln>
  </c:spPr>
  <c:printSettings>
    <c:headerFooter/>
    <c:pageMargins b="0.75000000000000488" l="0.70000000000000062" r="0.70000000000000062" t="0.75000000000000488"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a:latin typeface="Arial" pitchFamily="34" charset="0"/>
                <a:cs typeface="Arial" pitchFamily="34" charset="0"/>
              </a:defRPr>
            </a:pPr>
            <a:r>
              <a:rPr lang="en-US" sz="800">
                <a:latin typeface="Arial" pitchFamily="34" charset="0"/>
                <a:cs typeface="Arial" pitchFamily="34" charset="0"/>
              </a:rPr>
              <a:t> Services sector Value Added at 2009/10 Constant prices</a:t>
            </a:r>
          </a:p>
        </c:rich>
      </c:tx>
      <c:overlay val="0"/>
    </c:title>
    <c:autoTitleDeleted val="0"/>
    <c:plotArea>
      <c:layout>
        <c:manualLayout>
          <c:layoutTarget val="inner"/>
          <c:xMode val="edge"/>
          <c:yMode val="edge"/>
          <c:x val="0.1518997413458911"/>
          <c:y val="0.14414543200550115"/>
          <c:w val="0.72979225054495311"/>
          <c:h val="0.58589689203978657"/>
        </c:manualLayout>
      </c:layout>
      <c:barChart>
        <c:barDir val="col"/>
        <c:grouping val="clustered"/>
        <c:varyColors val="0"/>
        <c:ser>
          <c:idx val="0"/>
          <c:order val="0"/>
          <c:tx>
            <c:strRef>
              <c:f>Summary!$A$5</c:f>
              <c:strCache>
                <c:ptCount val="1"/>
                <c:pt idx="0">
                  <c:v>ORIGINAL ESTIMATES</c:v>
                </c:pt>
              </c:strCache>
            </c:strRef>
          </c:tx>
          <c:spPr>
            <a:solidFill>
              <a:srgbClr val="62BDB6"/>
            </a:solidFill>
          </c:spPr>
          <c:invertIfNegative val="0"/>
          <c:cat>
            <c:multiLvlStrRef>
              <c:f>Summary!$B$3:$H$4</c:f>
              <c:multiLvlStrCache>
                <c:ptCount val="7"/>
                <c:lvl>
                  <c:pt idx="0">
                    <c:v>Q1</c:v>
                  </c:pt>
                  <c:pt idx="1">
                    <c:v>Q2</c:v>
                  </c:pt>
                  <c:pt idx="2">
                    <c:v>Q3</c:v>
                  </c:pt>
                  <c:pt idx="3">
                    <c:v>Q4</c:v>
                  </c:pt>
                  <c:pt idx="4">
                    <c:v>Q1</c:v>
                  </c:pt>
                  <c:pt idx="5">
                    <c:v>Q2</c:v>
                  </c:pt>
                  <c:pt idx="6">
                    <c:v>Q3</c:v>
                  </c:pt>
                </c:lvl>
                <c:lvl>
                  <c:pt idx="0">
                    <c:v>2016/17</c:v>
                  </c:pt>
                  <c:pt idx="4">
                    <c:v>2017/18</c:v>
                  </c:pt>
                  <c:pt idx="5">
                    <c:v>2017/18</c:v>
                  </c:pt>
                </c:lvl>
              </c:multiLvlStrCache>
            </c:multiLvlStrRef>
          </c:cat>
          <c:val>
            <c:numRef>
              <c:f>Summary!$B$9:$H$9</c:f>
              <c:numCache>
                <c:formatCode>#,##0</c:formatCode>
                <c:ptCount val="7"/>
                <c:pt idx="0">
                  <c:v>11937.718362657837</c:v>
                </c:pt>
                <c:pt idx="1">
                  <c:v>11574.904273245027</c:v>
                </c:pt>
                <c:pt idx="2">
                  <c:v>11626.766484146794</c:v>
                </c:pt>
                <c:pt idx="3">
                  <c:v>12042.626656368144</c:v>
                </c:pt>
                <c:pt idx="4">
                  <c:v>12862.303229009287</c:v>
                </c:pt>
                <c:pt idx="5">
                  <c:v>12815.187341991386</c:v>
                </c:pt>
                <c:pt idx="6">
                  <c:v>12685.29920931673</c:v>
                </c:pt>
              </c:numCache>
            </c:numRef>
          </c:val>
          <c:extLst>
            <c:ext xmlns:c16="http://schemas.microsoft.com/office/drawing/2014/chart" uri="{C3380CC4-5D6E-409C-BE32-E72D297353CC}">
              <c16:uniqueId val="{00000000-3D13-49F3-8743-8C1D2B9491E5}"/>
            </c:ext>
          </c:extLst>
        </c:ser>
        <c:dLbls>
          <c:showLegendKey val="0"/>
          <c:showVal val="0"/>
          <c:showCatName val="0"/>
          <c:showSerName val="0"/>
          <c:showPercent val="0"/>
          <c:showBubbleSize val="0"/>
        </c:dLbls>
        <c:gapWidth val="150"/>
        <c:axId val="962409136"/>
        <c:axId val="962407176"/>
      </c:barChart>
      <c:lineChart>
        <c:grouping val="standard"/>
        <c:varyColors val="0"/>
        <c:ser>
          <c:idx val="1"/>
          <c:order val="1"/>
          <c:tx>
            <c:v>Original series growth</c:v>
          </c:tx>
          <c:marker>
            <c:symbol val="none"/>
          </c:marker>
          <c:cat>
            <c:multiLvlStrRef>
              <c:f>Summary!$B$3:$H$4</c:f>
              <c:multiLvlStrCache>
                <c:ptCount val="7"/>
                <c:lvl>
                  <c:pt idx="0">
                    <c:v>Q1</c:v>
                  </c:pt>
                  <c:pt idx="1">
                    <c:v>Q2</c:v>
                  </c:pt>
                  <c:pt idx="2">
                    <c:v>Q3</c:v>
                  </c:pt>
                  <c:pt idx="3">
                    <c:v>Q4</c:v>
                  </c:pt>
                  <c:pt idx="4">
                    <c:v>Q1</c:v>
                  </c:pt>
                  <c:pt idx="5">
                    <c:v>Q2</c:v>
                  </c:pt>
                  <c:pt idx="6">
                    <c:v>Q3</c:v>
                  </c:pt>
                </c:lvl>
                <c:lvl>
                  <c:pt idx="0">
                    <c:v>2016/17</c:v>
                  </c:pt>
                  <c:pt idx="4">
                    <c:v>2017/18</c:v>
                  </c:pt>
                  <c:pt idx="5">
                    <c:v>2017/18</c:v>
                  </c:pt>
                </c:lvl>
              </c:multiLvlStrCache>
            </c:multiLvlStrRef>
          </c:cat>
          <c:val>
            <c:numRef>
              <c:f>Summary!$B$38:$H$38</c:f>
              <c:numCache>
                <c:formatCode>0.0</c:formatCode>
                <c:ptCount val="7"/>
                <c:pt idx="0">
                  <c:v>-2.4907341406145034</c:v>
                </c:pt>
                <c:pt idx="1">
                  <c:v>-3.7360090149601177</c:v>
                </c:pt>
                <c:pt idx="2">
                  <c:v>2.5175007417198803</c:v>
                </c:pt>
                <c:pt idx="3">
                  <c:v>4.5088343483790316</c:v>
                </c:pt>
                <c:pt idx="4">
                  <c:v>7.7450718660244666</c:v>
                </c:pt>
                <c:pt idx="5">
                  <c:v>10.715277115623568</c:v>
                </c:pt>
                <c:pt idx="6">
                  <c:v>9.1042744052119318</c:v>
                </c:pt>
              </c:numCache>
            </c:numRef>
          </c:val>
          <c:smooth val="0"/>
          <c:extLst>
            <c:ext xmlns:c16="http://schemas.microsoft.com/office/drawing/2014/chart" uri="{C3380CC4-5D6E-409C-BE32-E72D297353CC}">
              <c16:uniqueId val="{00000001-3D13-49F3-8743-8C1D2B9491E5}"/>
            </c:ext>
          </c:extLst>
        </c:ser>
        <c:dLbls>
          <c:showLegendKey val="0"/>
          <c:showVal val="0"/>
          <c:showCatName val="0"/>
          <c:showSerName val="0"/>
          <c:showPercent val="0"/>
          <c:showBubbleSize val="0"/>
        </c:dLbls>
        <c:marker val="1"/>
        <c:smooth val="0"/>
        <c:axId val="962407568"/>
        <c:axId val="962409528"/>
      </c:lineChart>
      <c:catAx>
        <c:axId val="962409136"/>
        <c:scaling>
          <c:orientation val="minMax"/>
        </c:scaling>
        <c:delete val="0"/>
        <c:axPos val="b"/>
        <c:numFmt formatCode="General" sourceLinked="0"/>
        <c:majorTickMark val="out"/>
        <c:minorTickMark val="none"/>
        <c:tickLblPos val="nextTo"/>
        <c:spPr>
          <a:ln w="12700">
            <a:solidFill>
              <a:sysClr val="windowText" lastClr="000000"/>
            </a:solidFill>
          </a:ln>
        </c:spPr>
        <c:txPr>
          <a:bodyPr/>
          <a:lstStyle/>
          <a:p>
            <a:pPr>
              <a:defRPr sz="800" b="1">
                <a:latin typeface="Arial" pitchFamily="34" charset="0"/>
                <a:cs typeface="Arial" pitchFamily="34" charset="0"/>
              </a:defRPr>
            </a:pPr>
            <a:endParaRPr lang="en-US"/>
          </a:p>
        </c:txPr>
        <c:crossAx val="962407176"/>
        <c:crosses val="autoZero"/>
        <c:auto val="1"/>
        <c:lblAlgn val="ctr"/>
        <c:lblOffset val="100"/>
        <c:noMultiLvlLbl val="0"/>
      </c:catAx>
      <c:valAx>
        <c:axId val="962407176"/>
        <c:scaling>
          <c:orientation val="minMax"/>
        </c:scaling>
        <c:delete val="0"/>
        <c:axPos val="l"/>
        <c:title>
          <c:tx>
            <c:rich>
              <a:bodyPr rot="-5400000" vert="horz"/>
              <a:lstStyle/>
              <a:p>
                <a:pPr>
                  <a:defRPr sz="800">
                    <a:latin typeface="Arial" pitchFamily="34" charset="0"/>
                    <a:cs typeface="Arial" pitchFamily="34" charset="0"/>
                  </a:defRPr>
                </a:pPr>
                <a:r>
                  <a:rPr lang="en-US" sz="800">
                    <a:latin typeface="Arial" pitchFamily="34" charset="0"/>
                    <a:cs typeface="Arial" pitchFamily="34" charset="0"/>
                  </a:rPr>
                  <a:t>Billion Shs</a:t>
                </a:r>
              </a:p>
            </c:rich>
          </c:tx>
          <c:overlay val="0"/>
        </c:title>
        <c:numFmt formatCode="#,##0" sourceLinked="1"/>
        <c:majorTickMark val="out"/>
        <c:minorTickMark val="none"/>
        <c:tickLblPos val="nextTo"/>
        <c:spPr>
          <a:ln w="12700">
            <a:solidFill>
              <a:schemeClr val="tx1"/>
            </a:solidFill>
          </a:ln>
        </c:spPr>
        <c:txPr>
          <a:bodyPr/>
          <a:lstStyle/>
          <a:p>
            <a:pPr>
              <a:defRPr sz="800" b="1">
                <a:latin typeface="Arial" pitchFamily="34" charset="0"/>
                <a:cs typeface="Arial" pitchFamily="34" charset="0"/>
              </a:defRPr>
            </a:pPr>
            <a:endParaRPr lang="en-US"/>
          </a:p>
        </c:txPr>
        <c:crossAx val="962409136"/>
        <c:crosses val="autoZero"/>
        <c:crossBetween val="between"/>
      </c:valAx>
      <c:valAx>
        <c:axId val="962409528"/>
        <c:scaling>
          <c:orientation val="minMax"/>
        </c:scaling>
        <c:delete val="0"/>
        <c:axPos val="r"/>
        <c:title>
          <c:tx>
            <c:rich>
              <a:bodyPr/>
              <a:lstStyle/>
              <a:p>
                <a:pPr>
                  <a:defRPr/>
                </a:pPr>
                <a:r>
                  <a:rPr lang="en-US"/>
                  <a:t>Percentage</a:t>
                </a:r>
              </a:p>
            </c:rich>
          </c:tx>
          <c:overlay val="0"/>
        </c:title>
        <c:numFmt formatCode="0.0" sourceLinked="1"/>
        <c:majorTickMark val="out"/>
        <c:minorTickMark val="none"/>
        <c:tickLblPos val="nextTo"/>
        <c:crossAx val="962407568"/>
        <c:crosses val="max"/>
        <c:crossBetween val="between"/>
      </c:valAx>
      <c:catAx>
        <c:axId val="962407568"/>
        <c:scaling>
          <c:orientation val="minMax"/>
        </c:scaling>
        <c:delete val="1"/>
        <c:axPos val="b"/>
        <c:numFmt formatCode="General" sourceLinked="1"/>
        <c:majorTickMark val="out"/>
        <c:minorTickMark val="none"/>
        <c:tickLblPos val="nextTo"/>
        <c:crossAx val="962409528"/>
        <c:crosses val="autoZero"/>
        <c:auto val="1"/>
        <c:lblAlgn val="ctr"/>
        <c:lblOffset val="100"/>
        <c:noMultiLvlLbl val="0"/>
      </c:catAx>
    </c:plotArea>
    <c:legend>
      <c:legendPos val="b"/>
      <c:overlay val="0"/>
      <c:txPr>
        <a:bodyPr/>
        <a:lstStyle/>
        <a:p>
          <a:pPr>
            <a:defRPr sz="800" b="1">
              <a:latin typeface="Arial" pitchFamily="34" charset="0"/>
              <a:cs typeface="Arial" pitchFamily="34" charset="0"/>
            </a:defRPr>
          </a:pPr>
          <a:endParaRPr lang="en-US"/>
        </a:p>
      </c:txPr>
    </c:legend>
    <c:plotVisOnly val="1"/>
    <c:dispBlanksAs val="gap"/>
    <c:showDLblsOverMax val="0"/>
  </c:chart>
  <c:spPr>
    <a:ln w="12700">
      <a:solidFill>
        <a:schemeClr val="tx1"/>
      </a:solidFill>
    </a:ln>
  </c:spPr>
  <c:printSettings>
    <c:headerFooter/>
    <c:pageMargins b="0.75000000000000511" l="0.70000000000000062" r="0.70000000000000062" t="0.75000000000000511"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a:latin typeface="Arial" pitchFamily="34" charset="0"/>
                <a:cs typeface="Arial" pitchFamily="34" charset="0"/>
              </a:defRPr>
            </a:pPr>
            <a:r>
              <a:rPr lang="en-US" sz="800">
                <a:latin typeface="Arial" pitchFamily="34" charset="0"/>
                <a:cs typeface="Arial" pitchFamily="34" charset="0"/>
              </a:rPr>
              <a:t>Quarter to Quarter percentage changes in Agriculture sector Value Added</a:t>
            </a:r>
          </a:p>
        </c:rich>
      </c:tx>
      <c:overlay val="0"/>
    </c:title>
    <c:autoTitleDeleted val="0"/>
    <c:plotArea>
      <c:layout/>
      <c:lineChart>
        <c:grouping val="standard"/>
        <c:varyColors val="0"/>
        <c:ser>
          <c:idx val="0"/>
          <c:order val="0"/>
          <c:tx>
            <c:strRef>
              <c:f>Summary!$A$42</c:f>
              <c:strCache>
                <c:ptCount val="1"/>
                <c:pt idx="0">
                  <c:v>SEASONALLY ADJUSTED ESTIMATES</c:v>
                </c:pt>
              </c:strCache>
            </c:strRef>
          </c:tx>
          <c:spPr>
            <a:ln w="25400">
              <a:solidFill>
                <a:srgbClr val="00CC00"/>
              </a:solidFill>
            </a:ln>
          </c:spPr>
          <c:marker>
            <c:symbol val="none"/>
          </c:marker>
          <c:cat>
            <c:multiLvlStrRef>
              <c:f>Summary!$B$3:$H$4</c:f>
              <c:multiLvlStrCache>
                <c:ptCount val="7"/>
                <c:lvl>
                  <c:pt idx="0">
                    <c:v>Q1</c:v>
                  </c:pt>
                  <c:pt idx="1">
                    <c:v>Q2</c:v>
                  </c:pt>
                  <c:pt idx="2">
                    <c:v>Q3</c:v>
                  </c:pt>
                  <c:pt idx="3">
                    <c:v>Q4</c:v>
                  </c:pt>
                  <c:pt idx="4">
                    <c:v>Q1</c:v>
                  </c:pt>
                  <c:pt idx="5">
                    <c:v>Q2</c:v>
                  </c:pt>
                  <c:pt idx="6">
                    <c:v>Q3</c:v>
                  </c:pt>
                </c:lvl>
                <c:lvl>
                  <c:pt idx="0">
                    <c:v>2016/17</c:v>
                  </c:pt>
                  <c:pt idx="4">
                    <c:v>2017/18</c:v>
                  </c:pt>
                  <c:pt idx="5">
                    <c:v>2017/18</c:v>
                  </c:pt>
                </c:lvl>
              </c:multiLvlStrCache>
            </c:multiLvlStrRef>
          </c:cat>
          <c:val>
            <c:numRef>
              <c:f>Summary!$B$44:$H$44</c:f>
              <c:numCache>
                <c:formatCode>#,##0.0</c:formatCode>
                <c:ptCount val="7"/>
                <c:pt idx="0">
                  <c:v>-0.95264124405691764</c:v>
                </c:pt>
                <c:pt idx="1">
                  <c:v>4.1188552265952527</c:v>
                </c:pt>
                <c:pt idx="2">
                  <c:v>3.4125598459232354</c:v>
                </c:pt>
                <c:pt idx="3">
                  <c:v>-0.56309294986702785</c:v>
                </c:pt>
                <c:pt idx="4">
                  <c:v>1.2048156993836656</c:v>
                </c:pt>
                <c:pt idx="5">
                  <c:v>-1.3701187287456063</c:v>
                </c:pt>
                <c:pt idx="6">
                  <c:v>5.401478762228229</c:v>
                </c:pt>
              </c:numCache>
            </c:numRef>
          </c:val>
          <c:smooth val="0"/>
          <c:extLst>
            <c:ext xmlns:c16="http://schemas.microsoft.com/office/drawing/2014/chart" uri="{C3380CC4-5D6E-409C-BE32-E72D297353CC}">
              <c16:uniqueId val="{00000000-C504-4B66-A336-806C50CDAB83}"/>
            </c:ext>
          </c:extLst>
        </c:ser>
        <c:ser>
          <c:idx val="1"/>
          <c:order val="1"/>
          <c:tx>
            <c:strRef>
              <c:f>Summary!$A$50</c:f>
              <c:strCache>
                <c:ptCount val="1"/>
                <c:pt idx="0">
                  <c:v>TREND CYCLE ESTIMATES</c:v>
                </c:pt>
              </c:strCache>
            </c:strRef>
          </c:tx>
          <c:spPr>
            <a:ln w="25400">
              <a:solidFill>
                <a:srgbClr val="C639A4"/>
              </a:solidFill>
            </a:ln>
          </c:spPr>
          <c:marker>
            <c:symbol val="none"/>
          </c:marker>
          <c:cat>
            <c:multiLvlStrRef>
              <c:f>Summary!$B$3:$H$4</c:f>
              <c:multiLvlStrCache>
                <c:ptCount val="7"/>
                <c:lvl>
                  <c:pt idx="0">
                    <c:v>Q1</c:v>
                  </c:pt>
                  <c:pt idx="1">
                    <c:v>Q2</c:v>
                  </c:pt>
                  <c:pt idx="2">
                    <c:v>Q3</c:v>
                  </c:pt>
                  <c:pt idx="3">
                    <c:v>Q4</c:v>
                  </c:pt>
                  <c:pt idx="4">
                    <c:v>Q1</c:v>
                  </c:pt>
                  <c:pt idx="5">
                    <c:v>Q2</c:v>
                  </c:pt>
                  <c:pt idx="6">
                    <c:v>Q3</c:v>
                  </c:pt>
                </c:lvl>
                <c:lvl>
                  <c:pt idx="0">
                    <c:v>2016/17</c:v>
                  </c:pt>
                  <c:pt idx="4">
                    <c:v>2017/18</c:v>
                  </c:pt>
                  <c:pt idx="5">
                    <c:v>2017/18</c:v>
                  </c:pt>
                </c:lvl>
              </c:multiLvlStrCache>
            </c:multiLvlStrRef>
          </c:cat>
          <c:val>
            <c:numRef>
              <c:f>Summary!$B$52:$H$52</c:f>
              <c:numCache>
                <c:formatCode>0.0</c:formatCode>
                <c:ptCount val="7"/>
                <c:pt idx="0">
                  <c:v>-0.32447704819998924</c:v>
                </c:pt>
                <c:pt idx="1">
                  <c:v>1.2159518008814763</c:v>
                </c:pt>
                <c:pt idx="2">
                  <c:v>1.78669063701693</c:v>
                </c:pt>
                <c:pt idx="3">
                  <c:v>1.0909037323175497</c:v>
                </c:pt>
                <c:pt idx="4">
                  <c:v>0.23203631172716843</c:v>
                </c:pt>
                <c:pt idx="5">
                  <c:v>0.28155948561749966</c:v>
                </c:pt>
                <c:pt idx="6">
                  <c:v>1.2590512068637816</c:v>
                </c:pt>
              </c:numCache>
            </c:numRef>
          </c:val>
          <c:smooth val="0"/>
          <c:extLst>
            <c:ext xmlns:c16="http://schemas.microsoft.com/office/drawing/2014/chart" uri="{C3380CC4-5D6E-409C-BE32-E72D297353CC}">
              <c16:uniqueId val="{00000001-C504-4B66-A336-806C50CDAB83}"/>
            </c:ext>
          </c:extLst>
        </c:ser>
        <c:dLbls>
          <c:showLegendKey val="0"/>
          <c:showVal val="0"/>
          <c:showCatName val="0"/>
          <c:showSerName val="0"/>
          <c:showPercent val="0"/>
          <c:showBubbleSize val="0"/>
        </c:dLbls>
        <c:smooth val="0"/>
        <c:axId val="962406000"/>
        <c:axId val="962407960"/>
      </c:lineChart>
      <c:catAx>
        <c:axId val="962406000"/>
        <c:scaling>
          <c:orientation val="minMax"/>
        </c:scaling>
        <c:delete val="0"/>
        <c:axPos val="b"/>
        <c:numFmt formatCode="General" sourceLinked="0"/>
        <c:majorTickMark val="out"/>
        <c:minorTickMark val="none"/>
        <c:tickLblPos val="nextTo"/>
        <c:spPr>
          <a:ln w="12700">
            <a:solidFill>
              <a:sysClr val="windowText" lastClr="000000"/>
            </a:solidFill>
          </a:ln>
        </c:spPr>
        <c:txPr>
          <a:bodyPr/>
          <a:lstStyle/>
          <a:p>
            <a:pPr>
              <a:defRPr sz="800" b="1">
                <a:latin typeface="Arial" pitchFamily="34" charset="0"/>
                <a:cs typeface="Arial" pitchFamily="34" charset="0"/>
              </a:defRPr>
            </a:pPr>
            <a:endParaRPr lang="en-US"/>
          </a:p>
        </c:txPr>
        <c:crossAx val="962407960"/>
        <c:crosses val="autoZero"/>
        <c:auto val="1"/>
        <c:lblAlgn val="ctr"/>
        <c:lblOffset val="100"/>
        <c:noMultiLvlLbl val="0"/>
      </c:catAx>
      <c:valAx>
        <c:axId val="962407960"/>
        <c:scaling>
          <c:orientation val="minMax"/>
        </c:scaling>
        <c:delete val="0"/>
        <c:axPos val="l"/>
        <c:title>
          <c:tx>
            <c:rich>
              <a:bodyPr rot="-5400000" vert="horz"/>
              <a:lstStyle/>
              <a:p>
                <a:pPr>
                  <a:defRPr sz="800">
                    <a:latin typeface="Arial" pitchFamily="34" charset="0"/>
                    <a:cs typeface="Arial" pitchFamily="34" charset="0"/>
                  </a:defRPr>
                </a:pPr>
                <a:r>
                  <a:rPr lang="en-US" sz="800">
                    <a:latin typeface="Arial" pitchFamily="34" charset="0"/>
                    <a:cs typeface="Arial" pitchFamily="34" charset="0"/>
                  </a:rPr>
                  <a:t>Percent</a:t>
                </a:r>
              </a:p>
            </c:rich>
          </c:tx>
          <c:overlay val="0"/>
        </c:title>
        <c:numFmt formatCode="#,##0.0" sourceLinked="1"/>
        <c:majorTickMark val="out"/>
        <c:minorTickMark val="none"/>
        <c:tickLblPos val="nextTo"/>
        <c:spPr>
          <a:ln w="12700">
            <a:solidFill>
              <a:schemeClr val="tx1"/>
            </a:solidFill>
          </a:ln>
        </c:spPr>
        <c:txPr>
          <a:bodyPr/>
          <a:lstStyle/>
          <a:p>
            <a:pPr>
              <a:defRPr sz="800" b="1">
                <a:latin typeface="Arial" pitchFamily="34" charset="0"/>
                <a:cs typeface="Arial" pitchFamily="34" charset="0"/>
              </a:defRPr>
            </a:pPr>
            <a:endParaRPr lang="en-US"/>
          </a:p>
        </c:txPr>
        <c:crossAx val="962406000"/>
        <c:crosses val="autoZero"/>
        <c:crossBetween val="between"/>
      </c:valAx>
    </c:plotArea>
    <c:legend>
      <c:legendPos val="b"/>
      <c:overlay val="0"/>
      <c:txPr>
        <a:bodyPr/>
        <a:lstStyle/>
        <a:p>
          <a:pPr>
            <a:defRPr sz="800" b="1">
              <a:latin typeface="Arial" pitchFamily="34" charset="0"/>
              <a:cs typeface="Arial" pitchFamily="34" charset="0"/>
            </a:defRPr>
          </a:pPr>
          <a:endParaRPr lang="en-US"/>
        </a:p>
      </c:txPr>
    </c:legend>
    <c:plotVisOnly val="1"/>
    <c:dispBlanksAs val="gap"/>
    <c:showDLblsOverMax val="0"/>
  </c:chart>
  <c:spPr>
    <a:ln w="12700">
      <a:solidFill>
        <a:schemeClr val="tx1"/>
      </a:solidFill>
    </a:ln>
  </c:spPr>
  <c:printSettings>
    <c:headerFooter/>
    <c:pageMargins b="0.75000000000000488" l="0.70000000000000062" r="0.70000000000000062" t="0.75000000000000488"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a:latin typeface="Arial" pitchFamily="34" charset="0"/>
                <a:cs typeface="Arial" pitchFamily="34" charset="0"/>
              </a:defRPr>
            </a:pPr>
            <a:r>
              <a:rPr lang="en-US" sz="800">
                <a:latin typeface="Arial" pitchFamily="34" charset="0"/>
                <a:cs typeface="Arial" pitchFamily="34" charset="0"/>
              </a:rPr>
              <a:t>Quarter to Quarter percentage changes in Industry sector Value Added</a:t>
            </a:r>
          </a:p>
        </c:rich>
      </c:tx>
      <c:overlay val="0"/>
    </c:title>
    <c:autoTitleDeleted val="0"/>
    <c:plotArea>
      <c:layout/>
      <c:lineChart>
        <c:grouping val="standard"/>
        <c:varyColors val="0"/>
        <c:ser>
          <c:idx val="0"/>
          <c:order val="0"/>
          <c:tx>
            <c:strRef>
              <c:f>Summary!$A$42</c:f>
              <c:strCache>
                <c:ptCount val="1"/>
                <c:pt idx="0">
                  <c:v>SEASONALLY ADJUSTED ESTIMATES</c:v>
                </c:pt>
              </c:strCache>
            </c:strRef>
          </c:tx>
          <c:spPr>
            <a:ln w="25400">
              <a:solidFill>
                <a:srgbClr val="00CC00"/>
              </a:solidFill>
            </a:ln>
          </c:spPr>
          <c:marker>
            <c:symbol val="none"/>
          </c:marker>
          <c:cat>
            <c:multiLvlStrRef>
              <c:f>Summary!$B$3:$H$4</c:f>
              <c:multiLvlStrCache>
                <c:ptCount val="7"/>
                <c:lvl>
                  <c:pt idx="0">
                    <c:v>Q1</c:v>
                  </c:pt>
                  <c:pt idx="1">
                    <c:v>Q2</c:v>
                  </c:pt>
                  <c:pt idx="2">
                    <c:v>Q3</c:v>
                  </c:pt>
                  <c:pt idx="3">
                    <c:v>Q4</c:v>
                  </c:pt>
                  <c:pt idx="4">
                    <c:v>Q1</c:v>
                  </c:pt>
                  <c:pt idx="5">
                    <c:v>Q2</c:v>
                  </c:pt>
                  <c:pt idx="6">
                    <c:v>Q3</c:v>
                  </c:pt>
                </c:lvl>
                <c:lvl>
                  <c:pt idx="0">
                    <c:v>2016/17</c:v>
                  </c:pt>
                  <c:pt idx="4">
                    <c:v>2017/18</c:v>
                  </c:pt>
                  <c:pt idx="5">
                    <c:v>2017/18</c:v>
                  </c:pt>
                </c:lvl>
              </c:multiLvlStrCache>
            </c:multiLvlStrRef>
          </c:cat>
          <c:val>
            <c:numRef>
              <c:f>Summary!$B$45:$H$45</c:f>
              <c:numCache>
                <c:formatCode>0.0</c:formatCode>
                <c:ptCount val="7"/>
                <c:pt idx="0">
                  <c:v>3.1670470762466429</c:v>
                </c:pt>
                <c:pt idx="1">
                  <c:v>3.7170970166950479</c:v>
                </c:pt>
                <c:pt idx="2">
                  <c:v>2.6932197332171892</c:v>
                </c:pt>
                <c:pt idx="3">
                  <c:v>-1.5572897718329259</c:v>
                </c:pt>
                <c:pt idx="4">
                  <c:v>0.35620939432765564</c:v>
                </c:pt>
                <c:pt idx="5">
                  <c:v>0.82726373232302475</c:v>
                </c:pt>
                <c:pt idx="6">
                  <c:v>3.8360497741890542</c:v>
                </c:pt>
              </c:numCache>
            </c:numRef>
          </c:val>
          <c:smooth val="0"/>
          <c:extLst>
            <c:ext xmlns:c16="http://schemas.microsoft.com/office/drawing/2014/chart" uri="{C3380CC4-5D6E-409C-BE32-E72D297353CC}">
              <c16:uniqueId val="{00000000-8254-4175-A40F-DE5A4D5636A2}"/>
            </c:ext>
          </c:extLst>
        </c:ser>
        <c:ser>
          <c:idx val="1"/>
          <c:order val="1"/>
          <c:tx>
            <c:strRef>
              <c:f>Summary!$A$50</c:f>
              <c:strCache>
                <c:ptCount val="1"/>
                <c:pt idx="0">
                  <c:v>TREND CYCLE ESTIMATES</c:v>
                </c:pt>
              </c:strCache>
            </c:strRef>
          </c:tx>
          <c:spPr>
            <a:ln w="25400">
              <a:solidFill>
                <a:srgbClr val="C639A4"/>
              </a:solidFill>
            </a:ln>
          </c:spPr>
          <c:marker>
            <c:symbol val="none"/>
          </c:marker>
          <c:cat>
            <c:multiLvlStrRef>
              <c:f>Summary!$B$3:$H$4</c:f>
              <c:multiLvlStrCache>
                <c:ptCount val="7"/>
                <c:lvl>
                  <c:pt idx="0">
                    <c:v>Q1</c:v>
                  </c:pt>
                  <c:pt idx="1">
                    <c:v>Q2</c:v>
                  </c:pt>
                  <c:pt idx="2">
                    <c:v>Q3</c:v>
                  </c:pt>
                  <c:pt idx="3">
                    <c:v>Q4</c:v>
                  </c:pt>
                  <c:pt idx="4">
                    <c:v>Q1</c:v>
                  </c:pt>
                  <c:pt idx="5">
                    <c:v>Q2</c:v>
                  </c:pt>
                  <c:pt idx="6">
                    <c:v>Q3</c:v>
                  </c:pt>
                </c:lvl>
                <c:lvl>
                  <c:pt idx="0">
                    <c:v>2016/17</c:v>
                  </c:pt>
                  <c:pt idx="4">
                    <c:v>2017/18</c:v>
                  </c:pt>
                  <c:pt idx="5">
                    <c:v>2017/18</c:v>
                  </c:pt>
                </c:lvl>
              </c:multiLvlStrCache>
            </c:multiLvlStrRef>
          </c:cat>
          <c:val>
            <c:numRef>
              <c:f>Summary!$B$53:$H$53</c:f>
              <c:numCache>
                <c:formatCode>0.0</c:formatCode>
                <c:ptCount val="7"/>
                <c:pt idx="0">
                  <c:v>3.8740070806615012</c:v>
                </c:pt>
                <c:pt idx="1">
                  <c:v>4.2216624188200491</c:v>
                </c:pt>
                <c:pt idx="2">
                  <c:v>1.7299746291821183</c:v>
                </c:pt>
                <c:pt idx="3">
                  <c:v>-0.29579553573012562</c:v>
                </c:pt>
                <c:pt idx="4">
                  <c:v>-0.46439364643919845</c:v>
                </c:pt>
                <c:pt idx="5">
                  <c:v>1.5917849153564534</c:v>
                </c:pt>
                <c:pt idx="6">
                  <c:v>3.177195030749802</c:v>
                </c:pt>
              </c:numCache>
            </c:numRef>
          </c:val>
          <c:smooth val="0"/>
          <c:extLst>
            <c:ext xmlns:c16="http://schemas.microsoft.com/office/drawing/2014/chart" uri="{C3380CC4-5D6E-409C-BE32-E72D297353CC}">
              <c16:uniqueId val="{00000001-8254-4175-A40F-DE5A4D5636A2}"/>
            </c:ext>
          </c:extLst>
        </c:ser>
        <c:dLbls>
          <c:showLegendKey val="0"/>
          <c:showVal val="0"/>
          <c:showCatName val="0"/>
          <c:showSerName val="0"/>
          <c:showPercent val="0"/>
          <c:showBubbleSize val="0"/>
        </c:dLbls>
        <c:smooth val="0"/>
        <c:axId val="962411488"/>
        <c:axId val="962404824"/>
      </c:lineChart>
      <c:catAx>
        <c:axId val="962411488"/>
        <c:scaling>
          <c:orientation val="minMax"/>
        </c:scaling>
        <c:delete val="0"/>
        <c:axPos val="b"/>
        <c:numFmt formatCode="General" sourceLinked="0"/>
        <c:majorTickMark val="out"/>
        <c:minorTickMark val="none"/>
        <c:tickLblPos val="nextTo"/>
        <c:spPr>
          <a:ln w="12700">
            <a:solidFill>
              <a:sysClr val="windowText" lastClr="000000"/>
            </a:solidFill>
          </a:ln>
        </c:spPr>
        <c:txPr>
          <a:bodyPr/>
          <a:lstStyle/>
          <a:p>
            <a:pPr>
              <a:defRPr sz="800" b="1">
                <a:latin typeface="Arial" pitchFamily="34" charset="0"/>
                <a:cs typeface="Arial" pitchFamily="34" charset="0"/>
              </a:defRPr>
            </a:pPr>
            <a:endParaRPr lang="en-US"/>
          </a:p>
        </c:txPr>
        <c:crossAx val="962404824"/>
        <c:crosses val="autoZero"/>
        <c:auto val="1"/>
        <c:lblAlgn val="ctr"/>
        <c:lblOffset val="100"/>
        <c:noMultiLvlLbl val="0"/>
      </c:catAx>
      <c:valAx>
        <c:axId val="962404824"/>
        <c:scaling>
          <c:orientation val="minMax"/>
        </c:scaling>
        <c:delete val="0"/>
        <c:axPos val="l"/>
        <c:title>
          <c:tx>
            <c:rich>
              <a:bodyPr rot="-5400000" vert="horz"/>
              <a:lstStyle/>
              <a:p>
                <a:pPr>
                  <a:defRPr sz="800">
                    <a:latin typeface="Arial" pitchFamily="34" charset="0"/>
                    <a:cs typeface="Arial" pitchFamily="34" charset="0"/>
                  </a:defRPr>
                </a:pPr>
                <a:r>
                  <a:rPr lang="en-US" sz="800">
                    <a:latin typeface="Arial" pitchFamily="34" charset="0"/>
                    <a:cs typeface="Arial" pitchFamily="34" charset="0"/>
                  </a:rPr>
                  <a:t>Percent</a:t>
                </a:r>
              </a:p>
            </c:rich>
          </c:tx>
          <c:overlay val="0"/>
        </c:title>
        <c:numFmt formatCode="0.0" sourceLinked="1"/>
        <c:majorTickMark val="out"/>
        <c:minorTickMark val="none"/>
        <c:tickLblPos val="nextTo"/>
        <c:spPr>
          <a:ln w="12700">
            <a:solidFill>
              <a:schemeClr val="tx1"/>
            </a:solidFill>
          </a:ln>
        </c:spPr>
        <c:txPr>
          <a:bodyPr/>
          <a:lstStyle/>
          <a:p>
            <a:pPr>
              <a:defRPr sz="800" b="1">
                <a:latin typeface="Arial" pitchFamily="34" charset="0"/>
                <a:cs typeface="Arial" pitchFamily="34" charset="0"/>
              </a:defRPr>
            </a:pPr>
            <a:endParaRPr lang="en-US"/>
          </a:p>
        </c:txPr>
        <c:crossAx val="962411488"/>
        <c:crosses val="autoZero"/>
        <c:crossBetween val="between"/>
      </c:valAx>
    </c:plotArea>
    <c:legend>
      <c:legendPos val="b"/>
      <c:overlay val="0"/>
      <c:txPr>
        <a:bodyPr/>
        <a:lstStyle/>
        <a:p>
          <a:pPr>
            <a:defRPr sz="800" b="1">
              <a:latin typeface="Arial" pitchFamily="34" charset="0"/>
              <a:cs typeface="Arial" pitchFamily="34" charset="0"/>
            </a:defRPr>
          </a:pPr>
          <a:endParaRPr lang="en-US"/>
        </a:p>
      </c:txPr>
    </c:legend>
    <c:plotVisOnly val="1"/>
    <c:dispBlanksAs val="gap"/>
    <c:showDLblsOverMax val="0"/>
  </c:chart>
  <c:spPr>
    <a:ln w="12700">
      <a:solidFill>
        <a:schemeClr val="tx1"/>
      </a:solidFill>
    </a:ln>
  </c:spPr>
  <c:printSettings>
    <c:headerFooter/>
    <c:pageMargins b="0.75000000000000511" l="0.70000000000000062" r="0.70000000000000062" t="0.75000000000000511"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a:latin typeface="Arial" pitchFamily="34" charset="0"/>
                <a:cs typeface="Arial" pitchFamily="34" charset="0"/>
              </a:defRPr>
            </a:pPr>
            <a:r>
              <a:rPr lang="en-US" sz="800">
                <a:latin typeface="Arial" pitchFamily="34" charset="0"/>
                <a:cs typeface="Arial" pitchFamily="34" charset="0"/>
              </a:rPr>
              <a:t>Quarter to Quarter percentage changes in Services Value Added</a:t>
            </a:r>
          </a:p>
        </c:rich>
      </c:tx>
      <c:overlay val="0"/>
    </c:title>
    <c:autoTitleDeleted val="0"/>
    <c:plotArea>
      <c:layout/>
      <c:lineChart>
        <c:grouping val="standard"/>
        <c:varyColors val="0"/>
        <c:ser>
          <c:idx val="0"/>
          <c:order val="0"/>
          <c:tx>
            <c:strRef>
              <c:f>Summary!$A$42</c:f>
              <c:strCache>
                <c:ptCount val="1"/>
                <c:pt idx="0">
                  <c:v>SEASONALLY ADJUSTED ESTIMATES</c:v>
                </c:pt>
              </c:strCache>
            </c:strRef>
          </c:tx>
          <c:spPr>
            <a:ln w="25400">
              <a:solidFill>
                <a:srgbClr val="00CC00"/>
              </a:solidFill>
            </a:ln>
          </c:spPr>
          <c:marker>
            <c:symbol val="none"/>
          </c:marker>
          <c:cat>
            <c:multiLvlStrRef>
              <c:f>Summary!$B$3:$H$4</c:f>
              <c:multiLvlStrCache>
                <c:ptCount val="7"/>
                <c:lvl>
                  <c:pt idx="0">
                    <c:v>Q1</c:v>
                  </c:pt>
                  <c:pt idx="1">
                    <c:v>Q2</c:v>
                  </c:pt>
                  <c:pt idx="2">
                    <c:v>Q3</c:v>
                  </c:pt>
                  <c:pt idx="3">
                    <c:v>Q4</c:v>
                  </c:pt>
                  <c:pt idx="4">
                    <c:v>Q1</c:v>
                  </c:pt>
                  <c:pt idx="5">
                    <c:v>Q2</c:v>
                  </c:pt>
                  <c:pt idx="6">
                    <c:v>Q3</c:v>
                  </c:pt>
                </c:lvl>
                <c:lvl>
                  <c:pt idx="0">
                    <c:v>2016/17</c:v>
                  </c:pt>
                  <c:pt idx="4">
                    <c:v>2017/18</c:v>
                  </c:pt>
                  <c:pt idx="5">
                    <c:v>2017/18</c:v>
                  </c:pt>
                </c:lvl>
              </c:multiLvlStrCache>
            </c:multiLvlStrRef>
          </c:cat>
          <c:val>
            <c:numRef>
              <c:f>Summary!$B$46:$H$46</c:f>
              <c:numCache>
                <c:formatCode>0.0</c:formatCode>
                <c:ptCount val="7"/>
                <c:pt idx="0">
                  <c:v>-0.23506786864088136</c:v>
                </c:pt>
                <c:pt idx="1">
                  <c:v>-0.2129518283456755</c:v>
                </c:pt>
                <c:pt idx="2">
                  <c:v>1.9654659016473008</c:v>
                </c:pt>
                <c:pt idx="3">
                  <c:v>3.3749736350335846</c:v>
                </c:pt>
                <c:pt idx="4">
                  <c:v>2.2635705431087505</c:v>
                </c:pt>
                <c:pt idx="5">
                  <c:v>2.6078739332290768</c:v>
                </c:pt>
                <c:pt idx="6">
                  <c:v>0.47518545705402815</c:v>
                </c:pt>
              </c:numCache>
            </c:numRef>
          </c:val>
          <c:smooth val="0"/>
          <c:extLst>
            <c:ext xmlns:c16="http://schemas.microsoft.com/office/drawing/2014/chart" uri="{C3380CC4-5D6E-409C-BE32-E72D297353CC}">
              <c16:uniqueId val="{00000000-CFA4-4C97-9BD6-570D7F91C33F}"/>
            </c:ext>
          </c:extLst>
        </c:ser>
        <c:ser>
          <c:idx val="1"/>
          <c:order val="1"/>
          <c:tx>
            <c:strRef>
              <c:f>Summary!$A$50</c:f>
              <c:strCache>
                <c:ptCount val="1"/>
                <c:pt idx="0">
                  <c:v>TREND CYCLE ESTIMATES</c:v>
                </c:pt>
              </c:strCache>
            </c:strRef>
          </c:tx>
          <c:spPr>
            <a:ln w="25400">
              <a:solidFill>
                <a:srgbClr val="C639A4"/>
              </a:solidFill>
            </a:ln>
          </c:spPr>
          <c:marker>
            <c:symbol val="none"/>
          </c:marker>
          <c:cat>
            <c:multiLvlStrRef>
              <c:f>Summary!$B$3:$H$4</c:f>
              <c:multiLvlStrCache>
                <c:ptCount val="7"/>
                <c:lvl>
                  <c:pt idx="0">
                    <c:v>Q1</c:v>
                  </c:pt>
                  <c:pt idx="1">
                    <c:v>Q2</c:v>
                  </c:pt>
                  <c:pt idx="2">
                    <c:v>Q3</c:v>
                  </c:pt>
                  <c:pt idx="3">
                    <c:v>Q4</c:v>
                  </c:pt>
                  <c:pt idx="4">
                    <c:v>Q1</c:v>
                  </c:pt>
                  <c:pt idx="5">
                    <c:v>Q2</c:v>
                  </c:pt>
                  <c:pt idx="6">
                    <c:v>Q3</c:v>
                  </c:pt>
                </c:lvl>
                <c:lvl>
                  <c:pt idx="0">
                    <c:v>2016/17</c:v>
                  </c:pt>
                  <c:pt idx="4">
                    <c:v>2017/18</c:v>
                  </c:pt>
                  <c:pt idx="5">
                    <c:v>2017/18</c:v>
                  </c:pt>
                </c:lvl>
              </c:multiLvlStrCache>
            </c:multiLvlStrRef>
          </c:cat>
          <c:val>
            <c:numRef>
              <c:f>Summary!$B$54:$H$54</c:f>
              <c:numCache>
                <c:formatCode>0.0</c:formatCode>
                <c:ptCount val="7"/>
                <c:pt idx="0">
                  <c:v>-0.15071623907467746</c:v>
                </c:pt>
                <c:pt idx="1">
                  <c:v>0.19770636180311829</c:v>
                </c:pt>
                <c:pt idx="2">
                  <c:v>1.8198359156385013</c:v>
                </c:pt>
                <c:pt idx="3">
                  <c:v>2.9764651808363629</c:v>
                </c:pt>
                <c:pt idx="4">
                  <c:v>2.8449872535710963</c:v>
                </c:pt>
                <c:pt idx="5">
                  <c:v>1.8823433213678742</c:v>
                </c:pt>
                <c:pt idx="6">
                  <c:v>1.0901794691723143</c:v>
                </c:pt>
              </c:numCache>
            </c:numRef>
          </c:val>
          <c:smooth val="0"/>
          <c:extLst>
            <c:ext xmlns:c16="http://schemas.microsoft.com/office/drawing/2014/chart" uri="{C3380CC4-5D6E-409C-BE32-E72D297353CC}">
              <c16:uniqueId val="{00000001-CFA4-4C97-9BD6-570D7F91C33F}"/>
            </c:ext>
          </c:extLst>
        </c:ser>
        <c:dLbls>
          <c:showLegendKey val="0"/>
          <c:showVal val="0"/>
          <c:showCatName val="0"/>
          <c:showSerName val="0"/>
          <c:showPercent val="0"/>
          <c:showBubbleSize val="0"/>
        </c:dLbls>
        <c:smooth val="0"/>
        <c:axId val="479643632"/>
        <c:axId val="479642064"/>
      </c:lineChart>
      <c:catAx>
        <c:axId val="479643632"/>
        <c:scaling>
          <c:orientation val="minMax"/>
        </c:scaling>
        <c:delete val="0"/>
        <c:axPos val="b"/>
        <c:numFmt formatCode="General" sourceLinked="0"/>
        <c:majorTickMark val="out"/>
        <c:minorTickMark val="none"/>
        <c:tickLblPos val="nextTo"/>
        <c:spPr>
          <a:ln w="12700">
            <a:solidFill>
              <a:sysClr val="windowText" lastClr="000000"/>
            </a:solidFill>
          </a:ln>
        </c:spPr>
        <c:txPr>
          <a:bodyPr/>
          <a:lstStyle/>
          <a:p>
            <a:pPr>
              <a:defRPr sz="800" b="1">
                <a:latin typeface="Arial" pitchFamily="34" charset="0"/>
                <a:cs typeface="Arial" pitchFamily="34" charset="0"/>
              </a:defRPr>
            </a:pPr>
            <a:endParaRPr lang="en-US"/>
          </a:p>
        </c:txPr>
        <c:crossAx val="479642064"/>
        <c:crosses val="autoZero"/>
        <c:auto val="1"/>
        <c:lblAlgn val="ctr"/>
        <c:lblOffset val="100"/>
        <c:noMultiLvlLbl val="0"/>
      </c:catAx>
      <c:valAx>
        <c:axId val="479642064"/>
        <c:scaling>
          <c:orientation val="minMax"/>
        </c:scaling>
        <c:delete val="0"/>
        <c:axPos val="l"/>
        <c:title>
          <c:tx>
            <c:rich>
              <a:bodyPr rot="-5400000" vert="horz"/>
              <a:lstStyle/>
              <a:p>
                <a:pPr>
                  <a:defRPr sz="800">
                    <a:latin typeface="Arial" pitchFamily="34" charset="0"/>
                    <a:cs typeface="Arial" pitchFamily="34" charset="0"/>
                  </a:defRPr>
                </a:pPr>
                <a:r>
                  <a:rPr lang="en-US" sz="800">
                    <a:latin typeface="Arial" pitchFamily="34" charset="0"/>
                    <a:cs typeface="Arial" pitchFamily="34" charset="0"/>
                  </a:rPr>
                  <a:t>Percent</a:t>
                </a:r>
              </a:p>
            </c:rich>
          </c:tx>
          <c:overlay val="0"/>
        </c:title>
        <c:numFmt formatCode="0.0" sourceLinked="1"/>
        <c:majorTickMark val="out"/>
        <c:minorTickMark val="none"/>
        <c:tickLblPos val="nextTo"/>
        <c:spPr>
          <a:ln w="12700">
            <a:solidFill>
              <a:schemeClr val="tx1"/>
            </a:solidFill>
          </a:ln>
        </c:spPr>
        <c:txPr>
          <a:bodyPr/>
          <a:lstStyle/>
          <a:p>
            <a:pPr>
              <a:defRPr sz="800" b="1">
                <a:latin typeface="Arial" pitchFamily="34" charset="0"/>
                <a:cs typeface="Arial" pitchFamily="34" charset="0"/>
              </a:defRPr>
            </a:pPr>
            <a:endParaRPr lang="en-US"/>
          </a:p>
        </c:txPr>
        <c:crossAx val="479643632"/>
        <c:crosses val="autoZero"/>
        <c:crossBetween val="between"/>
      </c:valAx>
    </c:plotArea>
    <c:legend>
      <c:legendPos val="b"/>
      <c:overlay val="0"/>
      <c:txPr>
        <a:bodyPr/>
        <a:lstStyle/>
        <a:p>
          <a:pPr>
            <a:defRPr sz="800" b="1">
              <a:latin typeface="Arial" pitchFamily="34" charset="0"/>
              <a:cs typeface="Arial" pitchFamily="34" charset="0"/>
            </a:defRPr>
          </a:pPr>
          <a:endParaRPr lang="en-US"/>
        </a:p>
      </c:txPr>
    </c:legend>
    <c:plotVisOnly val="1"/>
    <c:dispBlanksAs val="gap"/>
    <c:showDLblsOverMax val="0"/>
  </c:chart>
  <c:spPr>
    <a:ln w="12700">
      <a:solidFill>
        <a:schemeClr val="tx1"/>
      </a:solidFill>
    </a:ln>
  </c:spPr>
  <c:printSettings>
    <c:headerFooter/>
    <c:pageMargins b="0.75000000000000533" l="0.70000000000000062" r="0.70000000000000062" t="0.75000000000000533"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054713679657969"/>
          <c:y val="3.8821868964492655E-2"/>
          <c:w val="0.87683231813004503"/>
          <c:h val="0.68528251676873719"/>
        </c:manualLayout>
      </c:layout>
      <c:barChart>
        <c:barDir val="col"/>
        <c:grouping val="stacked"/>
        <c:varyColors val="0"/>
        <c:ser>
          <c:idx val="0"/>
          <c:order val="0"/>
          <c:tx>
            <c:strRef>
              <c:f>Deseason_Growth_Decomp!$A$6</c:f>
              <c:strCache>
                <c:ptCount val="1"/>
                <c:pt idx="0">
                  <c:v>AGRICULTURE,FORESTRY&amp;FISHING</c:v>
                </c:pt>
              </c:strCache>
            </c:strRef>
          </c:tx>
          <c:invertIfNegative val="0"/>
          <c:dLbls>
            <c:spPr>
              <a:noFill/>
              <a:ln>
                <a:noFill/>
              </a:ln>
              <a:effectLst/>
            </c:spPr>
            <c:txPr>
              <a:bodyPr/>
              <a:lstStyle/>
              <a:p>
                <a:pPr>
                  <a:defRPr sz="800">
                    <a:latin typeface="Arial" pitchFamily="34" charset="0"/>
                    <a:cs typeface="Arial"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Deseason_Growth_Decomp!#REF!</c:f>
            </c:numRef>
          </c:val>
          <c:extLst>
            <c:ext xmlns:c15="http://schemas.microsoft.com/office/drawing/2012/chart" uri="{02D57815-91ED-43cb-92C2-25804820EDAC}">
              <c15:filteredCategoryTitle>
                <c15:cat>
                  <c:multiLvlStrRef>
                    <c:extLst>
                      <c:ext uri="{02D57815-91ED-43cb-92C2-25804820EDAC}">
                        <c15:formulaRef>
                          <c15:sqref>Deseason_Growth_Decomp!#REF!</c15:sqref>
                        </c15:formulaRef>
                      </c:ext>
                    </c:extLst>
                  </c:multiLvlStrRef>
                </c15:cat>
              </c15:filteredCategoryTitle>
            </c:ext>
            <c:ext xmlns:c16="http://schemas.microsoft.com/office/drawing/2014/chart" uri="{C3380CC4-5D6E-409C-BE32-E72D297353CC}">
              <c16:uniqueId val="{00000000-0EE0-4092-99AD-1D86CBC9938A}"/>
            </c:ext>
          </c:extLst>
        </c:ser>
        <c:ser>
          <c:idx val="1"/>
          <c:order val="1"/>
          <c:tx>
            <c:strRef>
              <c:f>Deseason_Growth_Decomp!$A$13</c:f>
              <c:strCache>
                <c:ptCount val="1"/>
                <c:pt idx="0">
                  <c:v>INDUSTRY</c:v>
                </c:pt>
              </c:strCache>
            </c:strRef>
          </c:tx>
          <c:spPr>
            <a:ln w="25400">
              <a:noFill/>
            </a:ln>
          </c:spPr>
          <c:invertIfNegative val="0"/>
          <c:dLbls>
            <c:spPr>
              <a:noFill/>
              <a:ln>
                <a:noFill/>
              </a:ln>
              <a:effectLst/>
            </c:spPr>
            <c:txPr>
              <a:bodyPr/>
              <a:lstStyle/>
              <a:p>
                <a:pPr>
                  <a:defRPr sz="800">
                    <a:latin typeface="Arial" pitchFamily="34" charset="0"/>
                    <a:cs typeface="Arial"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Deseason_Growth_Decomp!#REF!</c:f>
            </c:numRef>
          </c:val>
          <c:extLst>
            <c:ext xmlns:c15="http://schemas.microsoft.com/office/drawing/2012/chart" uri="{02D57815-91ED-43cb-92C2-25804820EDAC}">
              <c15:filteredCategoryTitle>
                <c15:cat>
                  <c:multiLvlStrRef>
                    <c:extLst>
                      <c:ext uri="{02D57815-91ED-43cb-92C2-25804820EDAC}">
                        <c15:formulaRef>
                          <c15:sqref>Deseason_Growth_Decomp!#REF!</c15:sqref>
                        </c15:formulaRef>
                      </c:ext>
                    </c:extLst>
                  </c:multiLvlStrRef>
                </c15:cat>
              </c15:filteredCategoryTitle>
            </c:ext>
            <c:ext xmlns:c16="http://schemas.microsoft.com/office/drawing/2014/chart" uri="{C3380CC4-5D6E-409C-BE32-E72D297353CC}">
              <c16:uniqueId val="{00000001-0EE0-4092-99AD-1D86CBC9938A}"/>
            </c:ext>
          </c:extLst>
        </c:ser>
        <c:ser>
          <c:idx val="2"/>
          <c:order val="2"/>
          <c:tx>
            <c:strRef>
              <c:f>Deseason_Growth_Decomp!$A$19</c:f>
              <c:strCache>
                <c:ptCount val="1"/>
                <c:pt idx="0">
                  <c:v>SERVICES</c:v>
                </c:pt>
              </c:strCache>
            </c:strRef>
          </c:tx>
          <c:spPr>
            <a:ln w="25400">
              <a:noFill/>
            </a:ln>
          </c:spPr>
          <c:invertIfNegative val="0"/>
          <c:dLbls>
            <c:spPr>
              <a:noFill/>
              <a:ln>
                <a:noFill/>
              </a:ln>
              <a:effectLst/>
            </c:spPr>
            <c:txPr>
              <a:bodyPr/>
              <a:lstStyle/>
              <a:p>
                <a:pPr>
                  <a:defRPr sz="800">
                    <a:latin typeface="Arial" pitchFamily="34" charset="0"/>
                    <a:cs typeface="Arial"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Deseason_Growth_Decomp!#REF!</c:f>
            </c:numRef>
          </c:val>
          <c:extLst>
            <c:ext xmlns:c15="http://schemas.microsoft.com/office/drawing/2012/chart" uri="{02D57815-91ED-43cb-92C2-25804820EDAC}">
              <c15:filteredCategoryTitle>
                <c15:cat>
                  <c:multiLvlStrRef>
                    <c:extLst>
                      <c:ext uri="{02D57815-91ED-43cb-92C2-25804820EDAC}">
                        <c15:formulaRef>
                          <c15:sqref>Deseason_Growth_Decomp!#REF!</c15:sqref>
                        </c15:formulaRef>
                      </c:ext>
                    </c:extLst>
                  </c:multiLvlStrRef>
                </c15:cat>
              </c15:filteredCategoryTitle>
            </c:ext>
            <c:ext xmlns:c16="http://schemas.microsoft.com/office/drawing/2014/chart" uri="{C3380CC4-5D6E-409C-BE32-E72D297353CC}">
              <c16:uniqueId val="{00000002-0EE0-4092-99AD-1D86CBC9938A}"/>
            </c:ext>
          </c:extLst>
        </c:ser>
        <c:ser>
          <c:idx val="3"/>
          <c:order val="3"/>
          <c:tx>
            <c:strRef>
              <c:f>Deseason_Growth_Decomp!$A$36</c:f>
              <c:strCache>
                <c:ptCount val="1"/>
                <c:pt idx="0">
                  <c:v>Taxes on products</c:v>
                </c:pt>
              </c:strCache>
            </c:strRef>
          </c:tx>
          <c:spPr>
            <a:ln w="25400">
              <a:noFill/>
            </a:ln>
          </c:spPr>
          <c:invertIfNegative val="0"/>
          <c:dLbls>
            <c:spPr>
              <a:noFill/>
              <a:ln>
                <a:noFill/>
              </a:ln>
              <a:effectLst/>
            </c:spPr>
            <c:txPr>
              <a:bodyPr/>
              <a:lstStyle/>
              <a:p>
                <a:pPr>
                  <a:defRPr sz="800">
                    <a:latin typeface="Arial" pitchFamily="34" charset="0"/>
                    <a:cs typeface="Arial"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Deseason_Growth_Decomp!#REF!</c:f>
            </c:numRef>
          </c:val>
          <c:extLst>
            <c:ext xmlns:c15="http://schemas.microsoft.com/office/drawing/2012/chart" uri="{02D57815-91ED-43cb-92C2-25804820EDAC}">
              <c15:filteredCategoryTitle>
                <c15:cat>
                  <c:multiLvlStrRef>
                    <c:extLst>
                      <c:ext uri="{02D57815-91ED-43cb-92C2-25804820EDAC}">
                        <c15:formulaRef>
                          <c15:sqref>Deseason_Growth_Decomp!#REF!</c15:sqref>
                        </c15:formulaRef>
                      </c:ext>
                    </c:extLst>
                  </c:multiLvlStrRef>
                </c15:cat>
              </c15:filteredCategoryTitle>
            </c:ext>
            <c:ext xmlns:c16="http://schemas.microsoft.com/office/drawing/2014/chart" uri="{C3380CC4-5D6E-409C-BE32-E72D297353CC}">
              <c16:uniqueId val="{00000003-0EE0-4092-99AD-1D86CBC9938A}"/>
            </c:ext>
          </c:extLst>
        </c:ser>
        <c:dLbls>
          <c:showLegendKey val="0"/>
          <c:showVal val="0"/>
          <c:showCatName val="0"/>
          <c:showSerName val="0"/>
          <c:showPercent val="0"/>
          <c:showBubbleSize val="0"/>
        </c:dLbls>
        <c:gapWidth val="36"/>
        <c:overlap val="100"/>
        <c:axId val="479644024"/>
        <c:axId val="479641672"/>
      </c:barChart>
      <c:catAx>
        <c:axId val="479644024"/>
        <c:scaling>
          <c:orientation val="minMax"/>
        </c:scaling>
        <c:delete val="0"/>
        <c:axPos val="b"/>
        <c:numFmt formatCode="General" sourceLinked="0"/>
        <c:majorTickMark val="out"/>
        <c:minorTickMark val="none"/>
        <c:tickLblPos val="nextTo"/>
        <c:crossAx val="479641672"/>
        <c:crosses val="autoZero"/>
        <c:auto val="1"/>
        <c:lblAlgn val="ctr"/>
        <c:lblOffset val="700"/>
        <c:noMultiLvlLbl val="0"/>
      </c:catAx>
      <c:valAx>
        <c:axId val="479641672"/>
        <c:scaling>
          <c:orientation val="minMax"/>
          <c:min val="-4"/>
        </c:scaling>
        <c:delete val="0"/>
        <c:axPos val="l"/>
        <c:numFmt formatCode="#,##0.0" sourceLinked="1"/>
        <c:majorTickMark val="out"/>
        <c:minorTickMark val="none"/>
        <c:tickLblPos val="nextTo"/>
        <c:crossAx val="479644024"/>
        <c:crosses val="autoZero"/>
        <c:crossBetween val="between"/>
        <c:majorUnit val="1"/>
      </c:valAx>
    </c:plotArea>
    <c:legend>
      <c:legendPos val="b"/>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b="1">
                <a:solidFill>
                  <a:sysClr val="windowText" lastClr="000000"/>
                </a:solidFill>
                <a:latin typeface="Arial" panose="020B0604020202020204" pitchFamily="34" charset="0"/>
                <a:cs typeface="Arial" panose="020B0604020202020204" pitchFamily="34" charset="0"/>
              </a:rPr>
              <a:t>QGDP at 2009/10 Constant Prices</a:t>
            </a: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644178280531834"/>
          <c:y val="0.14514145141451415"/>
          <c:w val="0.71110371766909419"/>
          <c:h val="0.48554842083853911"/>
        </c:manualLayout>
      </c:layout>
      <c:barChart>
        <c:barDir val="col"/>
        <c:grouping val="clustered"/>
        <c:varyColors val="0"/>
        <c:ser>
          <c:idx val="1"/>
          <c:order val="0"/>
          <c:tx>
            <c:v>Original series growth</c:v>
          </c:tx>
          <c:spPr>
            <a:solidFill>
              <a:schemeClr val="accent5"/>
            </a:solidFill>
            <a:ln>
              <a:solidFill>
                <a:schemeClr val="accent2"/>
              </a:solidFill>
            </a:ln>
            <a:effectLst/>
          </c:spPr>
          <c:invertIfNegative val="0"/>
          <c:cat>
            <c:multiLvlStrRef>
              <c:f>Summary!$B$3:$H$4</c:f>
              <c:multiLvlStrCache>
                <c:ptCount val="7"/>
                <c:lvl>
                  <c:pt idx="0">
                    <c:v>Q1</c:v>
                  </c:pt>
                  <c:pt idx="1">
                    <c:v>Q2</c:v>
                  </c:pt>
                  <c:pt idx="2">
                    <c:v>Q3</c:v>
                  </c:pt>
                  <c:pt idx="3">
                    <c:v>Q4</c:v>
                  </c:pt>
                  <c:pt idx="4">
                    <c:v>Q1</c:v>
                  </c:pt>
                  <c:pt idx="5">
                    <c:v>Q2</c:v>
                  </c:pt>
                  <c:pt idx="6">
                    <c:v>Q3</c:v>
                  </c:pt>
                </c:lvl>
                <c:lvl>
                  <c:pt idx="0">
                    <c:v>2016/17</c:v>
                  </c:pt>
                  <c:pt idx="4">
                    <c:v>2017/18</c:v>
                  </c:pt>
                  <c:pt idx="5">
                    <c:v>2017/18</c:v>
                  </c:pt>
                </c:lvl>
              </c:multiLvlStrCache>
            </c:multiLvlStrRef>
          </c:cat>
          <c:val>
            <c:numRef>
              <c:f>Summary!$B$35:$H$35</c:f>
              <c:numCache>
                <c:formatCode>0.0</c:formatCode>
                <c:ptCount val="7"/>
                <c:pt idx="0">
                  <c:v>-0.26122599349414077</c:v>
                </c:pt>
                <c:pt idx="1">
                  <c:v>0.50756396361286704</c:v>
                </c:pt>
                <c:pt idx="2">
                  <c:v>6.7464548438344707</c:v>
                </c:pt>
                <c:pt idx="3">
                  <c:v>6.1811726662669653</c:v>
                </c:pt>
                <c:pt idx="4">
                  <c:v>7.680899838187849</c:v>
                </c:pt>
                <c:pt idx="5">
                  <c:v>6.4828574170991526</c:v>
                </c:pt>
                <c:pt idx="6">
                  <c:v>5.3854548516732992</c:v>
                </c:pt>
              </c:numCache>
            </c:numRef>
          </c:val>
          <c:extLst>
            <c:ext xmlns:c16="http://schemas.microsoft.com/office/drawing/2014/chart" uri="{C3380CC4-5D6E-409C-BE32-E72D297353CC}">
              <c16:uniqueId val="{00000000-94D4-4DFC-AB0C-55585DFF0FB2}"/>
            </c:ext>
          </c:extLst>
        </c:ser>
        <c:dLbls>
          <c:showLegendKey val="0"/>
          <c:showVal val="0"/>
          <c:showCatName val="0"/>
          <c:showSerName val="0"/>
          <c:showPercent val="0"/>
          <c:showBubbleSize val="0"/>
        </c:dLbls>
        <c:gapWidth val="150"/>
        <c:axId val="479646768"/>
        <c:axId val="479649120"/>
      </c:barChart>
      <c:catAx>
        <c:axId val="479646768"/>
        <c:scaling>
          <c:orientation val="minMax"/>
        </c:scaling>
        <c:delete val="0"/>
        <c:axPos val="b"/>
        <c:numFmt formatCode="General" sourceLinked="0"/>
        <c:majorTickMark val="out"/>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79649120"/>
        <c:crosses val="autoZero"/>
        <c:auto val="1"/>
        <c:lblAlgn val="ctr"/>
        <c:lblOffset val="100"/>
        <c:noMultiLvlLbl val="0"/>
      </c:catAx>
      <c:valAx>
        <c:axId val="479649120"/>
        <c:scaling>
          <c:orientation val="minMax"/>
          <c:min val="-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Billion Shs</a:t>
                </a:r>
              </a:p>
            </c:rich>
          </c:tx>
          <c:layout>
            <c:manualLayout>
              <c:xMode val="edge"/>
              <c:yMode val="edge"/>
              <c:x val="0"/>
              <c:y val="0.28827226854945714"/>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79646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000000000000444" l="0.70000000000000062" r="0.70000000000000062" t="0.75000000000000444"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b="1">
                <a:solidFill>
                  <a:sysClr val="windowText" lastClr="000000"/>
                </a:solidFill>
                <a:latin typeface="Arial" panose="020B0604020202020204" pitchFamily="34" charset="0"/>
                <a:cs typeface="Arial" panose="020B0604020202020204" pitchFamily="34" charset="0"/>
              </a:rPr>
              <a:t>QGDP at 2009/10 Constant Prices</a:t>
            </a: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644178280531834"/>
          <c:y val="0.14514145141451415"/>
          <c:w val="0.71110371766909419"/>
          <c:h val="0.48554842083853911"/>
        </c:manualLayout>
      </c:layout>
      <c:barChart>
        <c:barDir val="col"/>
        <c:grouping val="clustered"/>
        <c:varyColors val="0"/>
        <c:ser>
          <c:idx val="1"/>
          <c:order val="0"/>
          <c:tx>
            <c:strRef>
              <c:f>Summary!$A$42</c:f>
              <c:strCache>
                <c:ptCount val="1"/>
                <c:pt idx="0">
                  <c:v>SEASONALLY ADJUSTED ESTIMATES</c:v>
                </c:pt>
              </c:strCache>
            </c:strRef>
          </c:tx>
          <c:spPr>
            <a:solidFill>
              <a:schemeClr val="accent5"/>
            </a:solidFill>
            <a:ln>
              <a:solidFill>
                <a:schemeClr val="accent2"/>
              </a:solidFill>
            </a:ln>
            <a:effectLst/>
          </c:spPr>
          <c:invertIfNegative val="0"/>
          <c:cat>
            <c:multiLvlStrRef>
              <c:f>Summary!$B$3:$H$4</c:f>
              <c:multiLvlStrCache>
                <c:ptCount val="7"/>
                <c:lvl>
                  <c:pt idx="0">
                    <c:v>Q1</c:v>
                  </c:pt>
                  <c:pt idx="1">
                    <c:v>Q2</c:v>
                  </c:pt>
                  <c:pt idx="2">
                    <c:v>Q3</c:v>
                  </c:pt>
                  <c:pt idx="3">
                    <c:v>Q4</c:v>
                  </c:pt>
                  <c:pt idx="4">
                    <c:v>Q1</c:v>
                  </c:pt>
                  <c:pt idx="5">
                    <c:v>Q2</c:v>
                  </c:pt>
                  <c:pt idx="6">
                    <c:v>Q3</c:v>
                  </c:pt>
                </c:lvl>
                <c:lvl>
                  <c:pt idx="0">
                    <c:v>2016/17</c:v>
                  </c:pt>
                  <c:pt idx="4">
                    <c:v>2017/18</c:v>
                  </c:pt>
                  <c:pt idx="5">
                    <c:v>2017/18</c:v>
                  </c:pt>
                </c:lvl>
              </c:multiLvlStrCache>
            </c:multiLvlStrRef>
          </c:cat>
          <c:val>
            <c:numRef>
              <c:f>Summary!$B$43:$H$43</c:f>
              <c:numCache>
                <c:formatCode>#,##0.0</c:formatCode>
                <c:ptCount val="7"/>
                <c:pt idx="0">
                  <c:v>0.86546068418358324</c:v>
                </c:pt>
                <c:pt idx="1">
                  <c:v>1.521711735013942</c:v>
                </c:pt>
                <c:pt idx="2">
                  <c:v>2.9807703918030004</c:v>
                </c:pt>
                <c:pt idx="3">
                  <c:v>0.93312037594219799</c:v>
                </c:pt>
                <c:pt idx="4">
                  <c:v>1.4844207361020434</c:v>
                </c:pt>
                <c:pt idx="5">
                  <c:v>0.96014432932529648</c:v>
                </c:pt>
                <c:pt idx="6">
                  <c:v>2.3199932952593594</c:v>
                </c:pt>
              </c:numCache>
            </c:numRef>
          </c:val>
          <c:extLst>
            <c:ext xmlns:c16="http://schemas.microsoft.com/office/drawing/2014/chart" uri="{C3380CC4-5D6E-409C-BE32-E72D297353CC}">
              <c16:uniqueId val="{00000000-1C77-4AC4-8049-4B1FD4FF6345}"/>
            </c:ext>
          </c:extLst>
        </c:ser>
        <c:dLbls>
          <c:showLegendKey val="0"/>
          <c:showVal val="0"/>
          <c:showCatName val="0"/>
          <c:showSerName val="0"/>
          <c:showPercent val="0"/>
          <c:showBubbleSize val="0"/>
        </c:dLbls>
        <c:gapWidth val="150"/>
        <c:axId val="479642848"/>
        <c:axId val="479645200"/>
      </c:barChart>
      <c:catAx>
        <c:axId val="479642848"/>
        <c:scaling>
          <c:orientation val="minMax"/>
        </c:scaling>
        <c:delete val="0"/>
        <c:axPos val="b"/>
        <c:numFmt formatCode="General" sourceLinked="0"/>
        <c:majorTickMark val="out"/>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79645200"/>
        <c:crosses val="autoZero"/>
        <c:auto val="1"/>
        <c:lblAlgn val="ctr"/>
        <c:lblOffset val="100"/>
        <c:noMultiLvlLbl val="0"/>
      </c:catAx>
      <c:valAx>
        <c:axId val="479645200"/>
        <c:scaling>
          <c:orientation val="minMax"/>
          <c:min val="-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Billion Shs</a:t>
                </a:r>
              </a:p>
            </c:rich>
          </c:tx>
          <c:layout>
            <c:manualLayout>
              <c:xMode val="edge"/>
              <c:yMode val="edge"/>
              <c:x val="0"/>
              <c:y val="0.28827226854945714"/>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79642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000000000000444" l="0.70000000000000062" r="0.70000000000000062" t="0.75000000000000444"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7.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8.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0</xdr:col>
      <xdr:colOff>133350</xdr:colOff>
      <xdr:row>0</xdr:row>
      <xdr:rowOff>133350</xdr:rowOff>
    </xdr:from>
    <xdr:to>
      <xdr:col>6</xdr:col>
      <xdr:colOff>476251</xdr:colOff>
      <xdr:row>15</xdr:row>
      <xdr:rowOff>0</xdr:rowOff>
    </xdr:to>
    <xdr:graphicFrame macro="">
      <xdr:nvGraphicFramePr>
        <xdr:cNvPr id="2" name="Chart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352426</xdr:colOff>
      <xdr:row>0</xdr:row>
      <xdr:rowOff>152400</xdr:rowOff>
    </xdr:from>
    <xdr:to>
      <xdr:col>14</xdr:col>
      <xdr:colOff>85725</xdr:colOff>
      <xdr:row>14</xdr:row>
      <xdr:rowOff>66675</xdr:rowOff>
    </xdr:to>
    <xdr:graphicFrame macro="">
      <xdr:nvGraphicFramePr>
        <xdr:cNvPr id="3" name="Chart 2">
          <a:extLst>
            <a:ext uri="{FF2B5EF4-FFF2-40B4-BE49-F238E27FC236}">
              <a16:creationId xmlns:a16="http://schemas.microsoft.com/office/drawing/2014/main" id="{00000000-0008-0000-0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133350</xdr:colOff>
      <xdr:row>16</xdr:row>
      <xdr:rowOff>0</xdr:rowOff>
    </xdr:from>
    <xdr:to>
      <xdr:col>6</xdr:col>
      <xdr:colOff>466725</xdr:colOff>
      <xdr:row>29</xdr:row>
      <xdr:rowOff>104775</xdr:rowOff>
    </xdr:to>
    <xdr:graphicFrame macro="">
      <xdr:nvGraphicFramePr>
        <xdr:cNvPr id="4" name="Chart 3">
          <a:extLst>
            <a:ext uri="{FF2B5EF4-FFF2-40B4-BE49-F238E27FC236}">
              <a16:creationId xmlns:a16="http://schemas.microsoft.com/office/drawing/2014/main" id="{00000000-0008-0000-0D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152400</xdr:colOff>
      <xdr:row>31</xdr:row>
      <xdr:rowOff>19050</xdr:rowOff>
    </xdr:from>
    <xdr:to>
      <xdr:col>6</xdr:col>
      <xdr:colOff>466725</xdr:colOff>
      <xdr:row>44</xdr:row>
      <xdr:rowOff>123825</xdr:rowOff>
    </xdr:to>
    <xdr:graphicFrame macro="">
      <xdr:nvGraphicFramePr>
        <xdr:cNvPr id="5" name="Chart 4">
          <a:extLst>
            <a:ext uri="{FF2B5EF4-FFF2-40B4-BE49-F238E27FC236}">
              <a16:creationId xmlns:a16="http://schemas.microsoft.com/office/drawing/2014/main" id="{00000000-0008-0000-0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200025</xdr:colOff>
      <xdr:row>46</xdr:row>
      <xdr:rowOff>0</xdr:rowOff>
    </xdr:from>
    <xdr:to>
      <xdr:col>6</xdr:col>
      <xdr:colOff>495301</xdr:colOff>
      <xdr:row>59</xdr:row>
      <xdr:rowOff>104775</xdr:rowOff>
    </xdr:to>
    <xdr:graphicFrame macro="">
      <xdr:nvGraphicFramePr>
        <xdr:cNvPr id="6" name="Chart 5">
          <a:extLst>
            <a:ext uri="{FF2B5EF4-FFF2-40B4-BE49-F238E27FC236}">
              <a16:creationId xmlns:a16="http://schemas.microsoft.com/office/drawing/2014/main" id="{00000000-0008-0000-0D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333376</xdr:colOff>
      <xdr:row>16</xdr:row>
      <xdr:rowOff>9525</xdr:rowOff>
    </xdr:from>
    <xdr:to>
      <xdr:col>14</xdr:col>
      <xdr:colOff>104776</xdr:colOff>
      <xdr:row>29</xdr:row>
      <xdr:rowOff>114300</xdr:rowOff>
    </xdr:to>
    <xdr:graphicFrame macro="">
      <xdr:nvGraphicFramePr>
        <xdr:cNvPr id="7" name="Chart 6">
          <a:extLst>
            <a:ext uri="{FF2B5EF4-FFF2-40B4-BE49-F238E27FC236}">
              <a16:creationId xmlns:a16="http://schemas.microsoft.com/office/drawing/2014/main" id="{00000000-0008-0000-0D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352426</xdr:colOff>
      <xdr:row>30</xdr:row>
      <xdr:rowOff>171450</xdr:rowOff>
    </xdr:from>
    <xdr:to>
      <xdr:col>14</xdr:col>
      <xdr:colOff>114300</xdr:colOff>
      <xdr:row>44</xdr:row>
      <xdr:rowOff>85725</xdr:rowOff>
    </xdr:to>
    <xdr:graphicFrame macro="">
      <xdr:nvGraphicFramePr>
        <xdr:cNvPr id="8" name="Chart 7">
          <a:extLst>
            <a:ext uri="{FF2B5EF4-FFF2-40B4-BE49-F238E27FC236}">
              <a16:creationId xmlns:a16="http://schemas.microsoft.com/office/drawing/2014/main" id="{00000000-0008-0000-0D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361951</xdr:colOff>
      <xdr:row>45</xdr:row>
      <xdr:rowOff>171450</xdr:rowOff>
    </xdr:from>
    <xdr:to>
      <xdr:col>14</xdr:col>
      <xdr:colOff>152401</xdr:colOff>
      <xdr:row>59</xdr:row>
      <xdr:rowOff>85725</xdr:rowOff>
    </xdr:to>
    <xdr:graphicFrame macro="">
      <xdr:nvGraphicFramePr>
        <xdr:cNvPr id="9" name="Chart 8">
          <a:extLst>
            <a:ext uri="{FF2B5EF4-FFF2-40B4-BE49-F238E27FC236}">
              <a16:creationId xmlns:a16="http://schemas.microsoft.com/office/drawing/2014/main" id="{00000000-0008-0000-0D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0</xdr:colOff>
      <xdr:row>16</xdr:row>
      <xdr:rowOff>0</xdr:rowOff>
    </xdr:from>
    <xdr:to>
      <xdr:col>24</xdr:col>
      <xdr:colOff>0</xdr:colOff>
      <xdr:row>29</xdr:row>
      <xdr:rowOff>104775</xdr:rowOff>
    </xdr:to>
    <xdr:graphicFrame macro="">
      <xdr:nvGraphicFramePr>
        <xdr:cNvPr id="11" name="Chart 10">
          <a:extLst>
            <a:ext uri="{FF2B5EF4-FFF2-40B4-BE49-F238E27FC236}">
              <a16:creationId xmlns:a16="http://schemas.microsoft.com/office/drawing/2014/main" id="{00000000-0008-0000-0D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581024</xdr:colOff>
      <xdr:row>31</xdr:row>
      <xdr:rowOff>76200</xdr:rowOff>
    </xdr:from>
    <xdr:to>
      <xdr:col>24</xdr:col>
      <xdr:colOff>228599</xdr:colOff>
      <xdr:row>45</xdr:row>
      <xdr:rowOff>38100</xdr:rowOff>
    </xdr:to>
    <xdr:graphicFrame macro="">
      <xdr:nvGraphicFramePr>
        <xdr:cNvPr id="12" name="Chart 11">
          <a:extLst>
            <a:ext uri="{FF2B5EF4-FFF2-40B4-BE49-F238E27FC236}">
              <a16:creationId xmlns:a16="http://schemas.microsoft.com/office/drawing/2014/main" id="{00000000-0008-0000-0D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609599</xdr:colOff>
      <xdr:row>62</xdr:row>
      <xdr:rowOff>152400</xdr:rowOff>
    </xdr:from>
    <xdr:to>
      <xdr:col>8</xdr:col>
      <xdr:colOff>161924</xdr:colOff>
      <xdr:row>82</xdr:row>
      <xdr:rowOff>12066</xdr:rowOff>
    </xdr:to>
    <xdr:graphicFrame macro="">
      <xdr:nvGraphicFramePr>
        <xdr:cNvPr id="16" name="Chart 15">
          <a:extLst>
            <a:ext uri="{FF2B5EF4-FFF2-40B4-BE49-F238E27FC236}">
              <a16:creationId xmlns:a16="http://schemas.microsoft.com/office/drawing/2014/main" id="{A40D8340-3492-45E1-B347-BC7E1C25BB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30</xdr:col>
      <xdr:colOff>0</xdr:colOff>
      <xdr:row>16</xdr:row>
      <xdr:rowOff>0</xdr:rowOff>
    </xdr:from>
    <xdr:to>
      <xdr:col>39</xdr:col>
      <xdr:colOff>0</xdr:colOff>
      <xdr:row>29</xdr:row>
      <xdr:rowOff>104775</xdr:rowOff>
    </xdr:to>
    <xdr:graphicFrame macro="">
      <xdr:nvGraphicFramePr>
        <xdr:cNvPr id="13" name="Chart 12">
          <a:extLst>
            <a:ext uri="{FF2B5EF4-FFF2-40B4-BE49-F238E27FC236}">
              <a16:creationId xmlns:a16="http://schemas.microsoft.com/office/drawing/2014/main" id="{4BFD1717-A2D3-4FA9-A5BD-E4919DEF2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438150</xdr:colOff>
      <xdr:row>0</xdr:row>
      <xdr:rowOff>133350</xdr:rowOff>
    </xdr:from>
    <xdr:to>
      <xdr:col>7</xdr:col>
      <xdr:colOff>228600</xdr:colOff>
      <xdr:row>14</xdr:row>
      <xdr:rowOff>47625</xdr:rowOff>
    </xdr:to>
    <xdr:graphicFrame macro="">
      <xdr:nvGraphicFramePr>
        <xdr:cNvPr id="2" name="Chart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9526</xdr:colOff>
      <xdr:row>0</xdr:row>
      <xdr:rowOff>180975</xdr:rowOff>
    </xdr:from>
    <xdr:to>
      <xdr:col>14</xdr:col>
      <xdr:colOff>352425</xdr:colOff>
      <xdr:row>14</xdr:row>
      <xdr:rowOff>95250</xdr:rowOff>
    </xdr:to>
    <xdr:graphicFrame macro="">
      <xdr:nvGraphicFramePr>
        <xdr:cNvPr id="3" name="Chart 2">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457200</xdr:colOff>
      <xdr:row>16</xdr:row>
      <xdr:rowOff>0</xdr:rowOff>
    </xdr:from>
    <xdr:to>
      <xdr:col>7</xdr:col>
      <xdr:colOff>228600</xdr:colOff>
      <xdr:row>29</xdr:row>
      <xdr:rowOff>104775</xdr:rowOff>
    </xdr:to>
    <xdr:graphicFrame macro="">
      <xdr:nvGraphicFramePr>
        <xdr:cNvPr id="4" name="Chart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466726</xdr:colOff>
      <xdr:row>31</xdr:row>
      <xdr:rowOff>19050</xdr:rowOff>
    </xdr:from>
    <xdr:to>
      <xdr:col>7</xdr:col>
      <xdr:colOff>228600</xdr:colOff>
      <xdr:row>44</xdr:row>
      <xdr:rowOff>123825</xdr:rowOff>
    </xdr:to>
    <xdr:graphicFrame macro="">
      <xdr:nvGraphicFramePr>
        <xdr:cNvPr id="5" name="Chart 4">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476250</xdr:colOff>
      <xdr:row>46</xdr:row>
      <xdr:rowOff>0</xdr:rowOff>
    </xdr:from>
    <xdr:to>
      <xdr:col>7</xdr:col>
      <xdr:colOff>142875</xdr:colOff>
      <xdr:row>59</xdr:row>
      <xdr:rowOff>104775</xdr:rowOff>
    </xdr:to>
    <xdr:graphicFrame macro="">
      <xdr:nvGraphicFramePr>
        <xdr:cNvPr id="6" name="Chart 5">
          <a:extLst>
            <a:ext uri="{FF2B5EF4-FFF2-40B4-BE49-F238E27FC236}">
              <a16:creationId xmlns:a16="http://schemas.microsoft.com/office/drawing/2014/main" id="{00000000-0008-0000-0F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28576</xdr:colOff>
      <xdr:row>16</xdr:row>
      <xdr:rowOff>0</xdr:rowOff>
    </xdr:from>
    <xdr:to>
      <xdr:col>14</xdr:col>
      <xdr:colOff>409576</xdr:colOff>
      <xdr:row>29</xdr:row>
      <xdr:rowOff>104775</xdr:rowOff>
    </xdr:to>
    <xdr:graphicFrame macro="">
      <xdr:nvGraphicFramePr>
        <xdr:cNvPr id="7" name="Chart 6">
          <a:extLst>
            <a:ext uri="{FF2B5EF4-FFF2-40B4-BE49-F238E27FC236}">
              <a16:creationId xmlns:a16="http://schemas.microsoft.com/office/drawing/2014/main" id="{00000000-0008-0000-0F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28576</xdr:colOff>
      <xdr:row>31</xdr:row>
      <xdr:rowOff>19050</xdr:rowOff>
    </xdr:from>
    <xdr:to>
      <xdr:col>14</xdr:col>
      <xdr:colOff>400050</xdr:colOff>
      <xdr:row>44</xdr:row>
      <xdr:rowOff>123825</xdr:rowOff>
    </xdr:to>
    <xdr:graphicFrame macro="">
      <xdr:nvGraphicFramePr>
        <xdr:cNvPr id="8" name="Chart 7">
          <a:extLst>
            <a:ext uri="{FF2B5EF4-FFF2-40B4-BE49-F238E27FC236}">
              <a16:creationId xmlns:a16="http://schemas.microsoft.com/office/drawing/2014/main" id="{00000000-0008-0000-0F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19051</xdr:colOff>
      <xdr:row>46</xdr:row>
      <xdr:rowOff>9525</xdr:rowOff>
    </xdr:from>
    <xdr:to>
      <xdr:col>14</xdr:col>
      <xdr:colOff>419101</xdr:colOff>
      <xdr:row>59</xdr:row>
      <xdr:rowOff>114300</xdr:rowOff>
    </xdr:to>
    <xdr:graphicFrame macro="">
      <xdr:nvGraphicFramePr>
        <xdr:cNvPr id="9" name="Chart 8">
          <a:extLst>
            <a:ext uri="{FF2B5EF4-FFF2-40B4-BE49-F238E27FC236}">
              <a16:creationId xmlns:a16="http://schemas.microsoft.com/office/drawing/2014/main" id="{00000000-0008-0000-0F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9525</xdr:colOff>
      <xdr:row>61</xdr:row>
      <xdr:rowOff>9525</xdr:rowOff>
    </xdr:from>
    <xdr:to>
      <xdr:col>8</xdr:col>
      <xdr:colOff>361950</xdr:colOff>
      <xdr:row>71</xdr:row>
      <xdr:rowOff>123825</xdr:rowOff>
    </xdr:to>
    <xdr:graphicFrame macro="">
      <xdr:nvGraphicFramePr>
        <xdr:cNvPr id="10" name="Chart 9">
          <a:extLst>
            <a:ext uri="{FF2B5EF4-FFF2-40B4-BE49-F238E27FC236}">
              <a16:creationId xmlns:a16="http://schemas.microsoft.com/office/drawing/2014/main" id="{00000000-0008-0000-0F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0</xdr:colOff>
      <xdr:row>1</xdr:row>
      <xdr:rowOff>0</xdr:rowOff>
    </xdr:from>
    <xdr:to>
      <xdr:col>22</xdr:col>
      <xdr:colOff>400050</xdr:colOff>
      <xdr:row>14</xdr:row>
      <xdr:rowOff>104775</xdr:rowOff>
    </xdr:to>
    <xdr:graphicFrame macro="">
      <xdr:nvGraphicFramePr>
        <xdr:cNvPr id="11" name="Chart 10">
          <a:extLst>
            <a:ext uri="{FF2B5EF4-FFF2-40B4-BE49-F238E27FC236}">
              <a16:creationId xmlns:a16="http://schemas.microsoft.com/office/drawing/2014/main" id="{00000000-0008-0000-0F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0</xdr:colOff>
      <xdr:row>17</xdr:row>
      <xdr:rowOff>0</xdr:rowOff>
    </xdr:from>
    <xdr:to>
      <xdr:col>22</xdr:col>
      <xdr:colOff>400050</xdr:colOff>
      <xdr:row>30</xdr:row>
      <xdr:rowOff>104775</xdr:rowOff>
    </xdr:to>
    <xdr:graphicFrame macro="">
      <xdr:nvGraphicFramePr>
        <xdr:cNvPr id="12" name="Chart 11">
          <a:extLst>
            <a:ext uri="{FF2B5EF4-FFF2-40B4-BE49-F238E27FC236}">
              <a16:creationId xmlns:a16="http://schemas.microsoft.com/office/drawing/2014/main" id="{00000000-0008-0000-0F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Working%20Folders\valuable%20files\QGDP%20201617%20rebase\QGDP%20Q22019_20\QGDP%20Constant%20Prices%20-%20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E OF DATA"/>
      <sheetName val="Summary"/>
      <sheetName val="Summary IPD"/>
      <sheetName val="Original_VA"/>
      <sheetName val="Original_Growth"/>
      <sheetName val="Original_IPD"/>
      <sheetName val="Deseason_VA"/>
      <sheetName val="Deseason_Growth"/>
      <sheetName val="Deseason_Growth_Decomp"/>
      <sheetName val="Deseason"/>
      <sheetName val="Trend_VA"/>
      <sheetName val="Trend_Growth"/>
      <sheetName val="TS IPD"/>
      <sheetName val="Graphs (2)"/>
      <sheetName val="Graphs"/>
      <sheetName val="Graphs Original"/>
    </sheetNames>
    <sheetDataSet>
      <sheetData sheetId="0"/>
      <sheetData sheetId="1">
        <row r="3">
          <cell r="AH3">
            <v>0</v>
          </cell>
          <cell r="AI3">
            <v>0</v>
          </cell>
          <cell r="AJ3" t="str">
            <v>2016/17</v>
          </cell>
          <cell r="AK3">
            <v>0</v>
          </cell>
          <cell r="AL3">
            <v>0</v>
          </cell>
          <cell r="AM3">
            <v>0</v>
          </cell>
          <cell r="AN3" t="str">
            <v>2017/18</v>
          </cell>
          <cell r="AO3">
            <v>0</v>
          </cell>
          <cell r="AP3">
            <v>0</v>
          </cell>
          <cell r="AQ3">
            <v>0</v>
          </cell>
          <cell r="AR3" t="str">
            <v>2018/19</v>
          </cell>
          <cell r="AS3">
            <v>0</v>
          </cell>
        </row>
        <row r="4">
          <cell r="AH4" t="str">
            <v>Q3</v>
          </cell>
          <cell r="AI4" t="str">
            <v>Q4</v>
          </cell>
          <cell r="AJ4" t="str">
            <v>Q1</v>
          </cell>
          <cell r="AK4" t="str">
            <v>Q2</v>
          </cell>
          <cell r="AL4" t="str">
            <v>Q3</v>
          </cell>
          <cell r="AM4" t="str">
            <v>Q4</v>
          </cell>
          <cell r="AN4" t="str">
            <v>Q1</v>
          </cell>
          <cell r="AO4" t="str">
            <v>Q2</v>
          </cell>
          <cell r="AP4" t="str">
            <v>Q3</v>
          </cell>
          <cell r="AQ4" t="str">
            <v>Q4</v>
          </cell>
          <cell r="AR4" t="str">
            <v>Q1</v>
          </cell>
          <cell r="AS4" t="str">
            <v>Q2</v>
          </cell>
        </row>
        <row r="6">
          <cell r="A6" t="str">
            <v>GDP at market prices</v>
          </cell>
          <cell r="AH6">
            <v>24503.419395209567</v>
          </cell>
          <cell r="AI6">
            <v>25303.518800953687</v>
          </cell>
          <cell r="AJ6">
            <v>28485.584832809574</v>
          </cell>
          <cell r="AK6">
            <v>26556.753963649604</v>
          </cell>
          <cell r="AL6">
            <v>26359.326436509386</v>
          </cell>
          <cell r="AM6">
            <v>27116.375688504559</v>
          </cell>
          <cell r="AN6">
            <v>30721.310112236315</v>
          </cell>
          <cell r="AO6">
            <v>28185.425203876759</v>
          </cell>
          <cell r="AP6">
            <v>27567.514433735043</v>
          </cell>
          <cell r="AQ6">
            <v>28723.158899795002</v>
          </cell>
          <cell r="AR6">
            <v>32675.490735636398</v>
          </cell>
          <cell r="AS6">
            <v>30235.225030860365</v>
          </cell>
        </row>
        <row r="7">
          <cell r="A7" t="str">
            <v xml:space="preserve">        Agriculture, Forestry &amp; Fishing</v>
          </cell>
          <cell r="AH7">
            <v>5306.676183325786</v>
          </cell>
          <cell r="AI7">
            <v>5631.0089619161381</v>
          </cell>
          <cell r="AJ7">
            <v>8026.0129412255374</v>
          </cell>
          <cell r="AK7">
            <v>6117.3269176169879</v>
          </cell>
          <cell r="AL7">
            <v>5355.5905302653164</v>
          </cell>
          <cell r="AM7">
            <v>5958.1381910121781</v>
          </cell>
          <cell r="AN7">
            <v>8717.2948238839308</v>
          </cell>
          <cell r="AO7">
            <v>6155.8184834220701</v>
          </cell>
          <cell r="AP7">
            <v>5454.4137644730508</v>
          </cell>
          <cell r="AQ7">
            <v>6096.2492813545196</v>
          </cell>
          <cell r="AR7">
            <v>9065.4997520035176</v>
          </cell>
          <cell r="AS7">
            <v>6490.8610878690024</v>
          </cell>
        </row>
        <row r="8">
          <cell r="A8" t="str">
            <v xml:space="preserve">        Industry</v>
          </cell>
          <cell r="AH8">
            <v>6342.9869177342634</v>
          </cell>
          <cell r="AI8">
            <v>6523.848444939993</v>
          </cell>
          <cell r="AJ8">
            <v>6754.5974074643782</v>
          </cell>
          <cell r="AK8">
            <v>7105.9577448816881</v>
          </cell>
          <cell r="AL8">
            <v>7322.4136952581921</v>
          </cell>
          <cell r="AM8">
            <v>7065.3567573903538</v>
          </cell>
          <cell r="AN8">
            <v>7287.5716451882163</v>
          </cell>
          <cell r="AO8">
            <v>7434.4387634631785</v>
          </cell>
          <cell r="AP8">
            <v>7795.8843185656006</v>
          </cell>
          <cell r="AQ8">
            <v>7988.2964069367745</v>
          </cell>
          <cell r="AR8">
            <v>8197.0451156972176</v>
          </cell>
          <cell r="AS8">
            <v>8524.8597975982684</v>
          </cell>
        </row>
        <row r="9">
          <cell r="A9" t="str">
            <v xml:space="preserve">        Services</v>
          </cell>
          <cell r="AH9">
            <v>11186.957054334862</v>
          </cell>
          <cell r="AI9">
            <v>11366.044635403869</v>
          </cell>
          <cell r="AJ9">
            <v>11873.876376670412</v>
          </cell>
          <cell r="AK9">
            <v>11586.159187295236</v>
          </cell>
          <cell r="AL9">
            <v>11698.707822157248</v>
          </cell>
          <cell r="AM9">
            <v>12023.272390294898</v>
          </cell>
          <cell r="AN9">
            <v>12747.340764294264</v>
          </cell>
          <cell r="AO9">
            <v>12604.938844282253</v>
          </cell>
          <cell r="AP9">
            <v>12466.952378877446</v>
          </cell>
          <cell r="AQ9">
            <v>12656.924322546936</v>
          </cell>
          <cell r="AR9">
            <v>13531.096857121407</v>
          </cell>
          <cell r="AS9">
            <v>13183.525518588534</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tabColor rgb="FF93E5FF"/>
  </sheetPr>
  <dimension ref="B1:E23"/>
  <sheetViews>
    <sheetView workbookViewId="0">
      <selection activeCell="E14" sqref="E14"/>
    </sheetView>
  </sheetViews>
  <sheetFormatPr defaultRowHeight="15" x14ac:dyDescent="0.25"/>
  <cols>
    <col min="1" max="1" width="2.28515625" customWidth="1"/>
    <col min="2" max="2" width="5.5703125" customWidth="1"/>
    <col min="3" max="3" width="64.140625" customWidth="1"/>
    <col min="4" max="4" width="50.28515625" customWidth="1"/>
    <col min="5" max="5" width="39.85546875" customWidth="1"/>
  </cols>
  <sheetData>
    <row r="1" spans="2:5" ht="15.75" x14ac:dyDescent="0.25">
      <c r="B1" s="60"/>
      <c r="C1" s="61" t="s">
        <v>81</v>
      </c>
      <c r="D1" s="60"/>
      <c r="E1" s="60"/>
    </row>
    <row r="2" spans="2:5" ht="15.75" x14ac:dyDescent="0.25">
      <c r="B2" s="62"/>
      <c r="C2" s="63" t="s">
        <v>103</v>
      </c>
      <c r="D2" s="63" t="s">
        <v>104</v>
      </c>
      <c r="E2" s="63" t="s">
        <v>105</v>
      </c>
    </row>
    <row r="3" spans="2:5" ht="18.75" customHeight="1" x14ac:dyDescent="0.25">
      <c r="B3" s="62">
        <v>1</v>
      </c>
      <c r="C3" s="62" t="s">
        <v>83</v>
      </c>
      <c r="D3" s="62" t="s">
        <v>82</v>
      </c>
      <c r="E3" s="62" t="s">
        <v>129</v>
      </c>
    </row>
    <row r="4" spans="2:5" ht="46.5" customHeight="1" x14ac:dyDescent="0.25">
      <c r="B4" s="62">
        <v>2</v>
      </c>
      <c r="C4" s="62" t="s">
        <v>84</v>
      </c>
      <c r="D4" s="64" t="s">
        <v>106</v>
      </c>
      <c r="E4" s="62" t="s">
        <v>130</v>
      </c>
    </row>
    <row r="5" spans="2:5" ht="15.75" x14ac:dyDescent="0.25">
      <c r="B5" s="62">
        <v>3</v>
      </c>
      <c r="C5" s="62" t="s">
        <v>85</v>
      </c>
      <c r="D5" s="62" t="s">
        <v>86</v>
      </c>
      <c r="E5" s="62" t="s">
        <v>129</v>
      </c>
    </row>
    <row r="6" spans="2:5" ht="15.75" x14ac:dyDescent="0.25">
      <c r="B6" s="62">
        <v>4</v>
      </c>
      <c r="C6" s="62" t="s">
        <v>87</v>
      </c>
      <c r="D6" s="62" t="s">
        <v>88</v>
      </c>
      <c r="E6" s="62" t="s">
        <v>131</v>
      </c>
    </row>
    <row r="7" spans="2:5" ht="15.75" x14ac:dyDescent="0.25">
      <c r="B7" s="62">
        <v>5</v>
      </c>
      <c r="C7" s="62" t="s">
        <v>107</v>
      </c>
      <c r="D7" s="62" t="s">
        <v>89</v>
      </c>
      <c r="E7" s="62" t="s">
        <v>132</v>
      </c>
    </row>
    <row r="8" spans="2:5" ht="15.75" x14ac:dyDescent="0.25">
      <c r="B8" s="62">
        <v>6</v>
      </c>
      <c r="C8" s="62" t="s">
        <v>108</v>
      </c>
      <c r="D8" s="62" t="s">
        <v>109</v>
      </c>
      <c r="E8" s="62" t="s">
        <v>129</v>
      </c>
    </row>
    <row r="9" spans="2:5" ht="15.75" x14ac:dyDescent="0.25">
      <c r="B9" s="62">
        <v>7</v>
      </c>
      <c r="C9" s="62" t="s">
        <v>90</v>
      </c>
      <c r="D9" s="62" t="s">
        <v>91</v>
      </c>
      <c r="E9" s="62" t="s">
        <v>132</v>
      </c>
    </row>
    <row r="10" spans="2:5" ht="15.75" x14ac:dyDescent="0.25">
      <c r="B10" s="62"/>
      <c r="C10" s="62"/>
      <c r="D10" s="62"/>
      <c r="E10" s="62"/>
    </row>
    <row r="11" spans="2:5" ht="12" customHeight="1" x14ac:dyDescent="0.25">
      <c r="B11" s="65"/>
      <c r="C11" s="65"/>
      <c r="D11" s="65"/>
      <c r="E11" s="66"/>
    </row>
    <row r="12" spans="2:5" ht="18" x14ac:dyDescent="0.25">
      <c r="B12" s="65"/>
      <c r="C12" s="60" t="s">
        <v>114</v>
      </c>
      <c r="D12" s="65"/>
      <c r="E12" s="66"/>
    </row>
    <row r="13" spans="2:5" ht="78.75" x14ac:dyDescent="0.25">
      <c r="B13" s="68" t="s">
        <v>115</v>
      </c>
      <c r="C13" s="67" t="s">
        <v>178</v>
      </c>
      <c r="D13" s="66"/>
      <c r="E13" s="66"/>
    </row>
    <row r="14" spans="2:5" ht="63" x14ac:dyDescent="0.25">
      <c r="B14" s="68" t="s">
        <v>117</v>
      </c>
      <c r="C14" s="209" t="s">
        <v>179</v>
      </c>
      <c r="D14" s="66"/>
      <c r="E14" s="66"/>
    </row>
    <row r="15" spans="2:5" ht="31.5" x14ac:dyDescent="0.25">
      <c r="B15" s="68" t="s">
        <v>118</v>
      </c>
      <c r="C15" s="210" t="s">
        <v>116</v>
      </c>
      <c r="D15" s="66"/>
      <c r="E15" s="66"/>
    </row>
    <row r="16" spans="2:5" ht="47.25" x14ac:dyDescent="0.25">
      <c r="B16" s="68" t="s">
        <v>119</v>
      </c>
      <c r="C16" s="67" t="s">
        <v>133</v>
      </c>
      <c r="D16" s="65"/>
      <c r="E16" s="66"/>
    </row>
    <row r="17" spans="2:5" ht="47.25" x14ac:dyDescent="0.25">
      <c r="B17" s="68" t="s">
        <v>120</v>
      </c>
      <c r="C17" s="67" t="s">
        <v>122</v>
      </c>
      <c r="D17" s="65"/>
      <c r="E17" s="66"/>
    </row>
    <row r="18" spans="2:5" ht="47.25" x14ac:dyDescent="0.25">
      <c r="B18" s="68" t="s">
        <v>165</v>
      </c>
      <c r="C18" s="67" t="s">
        <v>121</v>
      </c>
      <c r="D18" s="65"/>
      <c r="E18" s="66"/>
    </row>
    <row r="19" spans="2:5" ht="47.25" x14ac:dyDescent="0.25">
      <c r="B19" s="68" t="s">
        <v>181</v>
      </c>
      <c r="C19" s="67" t="s">
        <v>180</v>
      </c>
    </row>
    <row r="21" spans="2:5" x14ac:dyDescent="0.25">
      <c r="B21" s="66"/>
      <c r="C21" s="66"/>
      <c r="D21" s="66"/>
      <c r="E21" s="66"/>
    </row>
    <row r="23" spans="2:5" x14ac:dyDescent="0.25">
      <c r="B23" s="66"/>
      <c r="C23" s="66"/>
      <c r="D23" s="66"/>
      <c r="E23" s="66"/>
    </row>
  </sheetData>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2:AO57"/>
  <sheetViews>
    <sheetView showGridLines="0" tabSelected="1" view="pageBreakPreview" zoomScale="110" zoomScaleNormal="100" zoomScaleSheetLayoutView="110" workbookViewId="0">
      <pane xSplit="1" ySplit="3" topLeftCell="B4" activePane="bottomRight" state="frozen"/>
      <selection activeCell="BS41" sqref="BS41"/>
      <selection pane="topRight" activeCell="BS41" sqref="BS41"/>
      <selection pane="bottomLeft" activeCell="BS41" sqref="BS41"/>
      <selection pane="bottomRight" activeCell="F28" sqref="F28"/>
    </sheetView>
  </sheetViews>
  <sheetFormatPr defaultColWidth="9.140625" defaultRowHeight="11.25" x14ac:dyDescent="0.2"/>
  <cols>
    <col min="1" max="1" width="28.140625" style="35" customWidth="1"/>
    <col min="2" max="2" width="6.85546875" style="35" customWidth="1"/>
    <col min="3" max="3" width="7.85546875" style="35" customWidth="1"/>
    <col min="4" max="4" width="7.28515625" style="35" customWidth="1"/>
    <col min="5" max="5" width="8.85546875" style="35" customWidth="1"/>
    <col min="6" max="6" width="7.42578125" style="35" customWidth="1"/>
    <col min="7" max="7" width="8.5703125" style="35" customWidth="1"/>
    <col min="8" max="8" width="7.140625" style="35" customWidth="1"/>
    <col min="9" max="9" width="7.42578125" style="35" customWidth="1"/>
    <col min="10" max="10" width="7.85546875" style="35" customWidth="1"/>
    <col min="11" max="11" width="7.42578125" style="35" customWidth="1"/>
    <col min="12" max="13" width="7.7109375" style="35" customWidth="1"/>
    <col min="14" max="14" width="7.42578125" style="35" customWidth="1"/>
    <col min="15" max="15" width="7.28515625" style="35" customWidth="1"/>
    <col min="16" max="16" width="7.140625" style="35" customWidth="1"/>
    <col min="17" max="17" width="7.42578125" style="35" customWidth="1"/>
    <col min="18" max="18" width="7.28515625" style="35" customWidth="1"/>
    <col min="19" max="19" width="7.42578125" style="35" customWidth="1"/>
    <col min="20" max="20" width="7.28515625" style="35" customWidth="1"/>
    <col min="21" max="21" width="7.42578125" style="35" customWidth="1"/>
    <col min="22" max="22" width="7.7109375" style="35" customWidth="1"/>
    <col min="23" max="23" width="7.85546875" style="35" customWidth="1"/>
    <col min="24" max="24" width="7.5703125" style="35" customWidth="1"/>
    <col min="25" max="25" width="6.7109375" style="35" customWidth="1"/>
    <col min="26" max="27" width="6.140625" style="35" customWidth="1"/>
    <col min="28" max="29" width="6.42578125" style="35" customWidth="1"/>
    <col min="30" max="30" width="6.5703125" style="35" customWidth="1"/>
    <col min="31" max="31" width="6.42578125" style="35" customWidth="1"/>
    <col min="32" max="32" width="6.28515625" style="35" customWidth="1"/>
    <col min="33" max="33" width="6.5703125" style="35" customWidth="1"/>
    <col min="34" max="34" width="6.7109375" style="35" bestFit="1" customWidth="1"/>
    <col min="35" max="37" width="5.85546875" style="35" bestFit="1" customWidth="1"/>
    <col min="38" max="38" width="7" style="35" customWidth="1"/>
    <col min="39" max="39" width="5.85546875" style="35" bestFit="1" customWidth="1"/>
    <col min="40" max="16384" width="9.140625" style="35"/>
  </cols>
  <sheetData>
    <row r="2" spans="1:41" s="87" customFormat="1" ht="12" x14ac:dyDescent="0.2">
      <c r="A2" s="89" t="s">
        <v>168</v>
      </c>
    </row>
    <row r="3" spans="1:41" s="121" customFormat="1" ht="12" customHeight="1" x14ac:dyDescent="0.2">
      <c r="A3" s="120" t="s">
        <v>123</v>
      </c>
      <c r="B3" s="211" t="s">
        <v>80</v>
      </c>
      <c r="C3" s="211"/>
      <c r="D3" s="211"/>
      <c r="E3" s="211"/>
      <c r="F3" s="120" t="s">
        <v>92</v>
      </c>
      <c r="G3" s="211" t="s">
        <v>92</v>
      </c>
      <c r="H3" s="211"/>
      <c r="I3" s="211"/>
      <c r="J3" s="211" t="s">
        <v>134</v>
      </c>
      <c r="K3" s="211"/>
      <c r="L3" s="211"/>
      <c r="M3" s="211"/>
      <c r="N3" s="211" t="s">
        <v>136</v>
      </c>
      <c r="O3" s="211"/>
      <c r="P3" s="211"/>
      <c r="Q3" s="211"/>
      <c r="R3" s="211" t="s">
        <v>137</v>
      </c>
      <c r="S3" s="211"/>
      <c r="T3" s="211"/>
      <c r="U3" s="211"/>
      <c r="V3" s="211" t="s">
        <v>138</v>
      </c>
      <c r="W3" s="211"/>
      <c r="X3" s="211"/>
      <c r="Y3" s="211"/>
      <c r="Z3" s="211" t="s">
        <v>139</v>
      </c>
      <c r="AA3" s="211"/>
      <c r="AB3" s="211"/>
      <c r="AC3" s="211"/>
      <c r="AD3" s="211" t="s">
        <v>140</v>
      </c>
      <c r="AE3" s="211"/>
      <c r="AF3" s="211"/>
      <c r="AG3" s="211"/>
      <c r="AH3" s="211" t="s">
        <v>166</v>
      </c>
      <c r="AI3" s="211"/>
      <c r="AJ3" s="211"/>
      <c r="AK3" s="211"/>
      <c r="AL3" s="211" t="s">
        <v>167</v>
      </c>
      <c r="AM3" s="211"/>
      <c r="AN3" s="120"/>
      <c r="AO3" s="120"/>
    </row>
    <row r="4" spans="1:41" s="123" customFormat="1" ht="12" customHeight="1" x14ac:dyDescent="0.2">
      <c r="A4" s="122" t="s">
        <v>124</v>
      </c>
      <c r="B4" s="84" t="s">
        <v>46</v>
      </c>
      <c r="C4" s="84" t="s">
        <v>47</v>
      </c>
      <c r="D4" s="84" t="s">
        <v>48</v>
      </c>
      <c r="E4" s="84" t="s">
        <v>49</v>
      </c>
      <c r="F4" s="85" t="s">
        <v>46</v>
      </c>
      <c r="G4" s="85" t="s">
        <v>47</v>
      </c>
      <c r="H4" s="85" t="s">
        <v>48</v>
      </c>
      <c r="I4" s="85" t="s">
        <v>49</v>
      </c>
      <c r="J4" s="85" t="s">
        <v>46</v>
      </c>
      <c r="K4" s="85" t="s">
        <v>47</v>
      </c>
      <c r="L4" s="85" t="s">
        <v>48</v>
      </c>
      <c r="M4" s="85" t="s">
        <v>49</v>
      </c>
      <c r="N4" s="85" t="s">
        <v>46</v>
      </c>
      <c r="O4" s="85" t="s">
        <v>47</v>
      </c>
      <c r="P4" s="85" t="s">
        <v>48</v>
      </c>
      <c r="Q4" s="85" t="s">
        <v>49</v>
      </c>
      <c r="R4" s="85" t="s">
        <v>46</v>
      </c>
      <c r="S4" s="85" t="s">
        <v>47</v>
      </c>
      <c r="T4" s="85" t="s">
        <v>48</v>
      </c>
      <c r="U4" s="85" t="s">
        <v>49</v>
      </c>
      <c r="V4" s="85" t="s">
        <v>46</v>
      </c>
      <c r="W4" s="85" t="s">
        <v>47</v>
      </c>
      <c r="X4" s="85" t="s">
        <v>48</v>
      </c>
      <c r="Y4" s="85" t="s">
        <v>49</v>
      </c>
      <c r="Z4" s="85" t="s">
        <v>46</v>
      </c>
      <c r="AA4" s="85" t="s">
        <v>47</v>
      </c>
      <c r="AB4" s="85" t="s">
        <v>48</v>
      </c>
      <c r="AC4" s="85" t="s">
        <v>49</v>
      </c>
      <c r="AD4" s="85" t="s">
        <v>46</v>
      </c>
      <c r="AE4" s="85" t="s">
        <v>47</v>
      </c>
      <c r="AF4" s="85" t="s">
        <v>48</v>
      </c>
      <c r="AG4" s="85" t="s">
        <v>49</v>
      </c>
      <c r="AH4" s="85" t="s">
        <v>46</v>
      </c>
      <c r="AI4" s="85" t="s">
        <v>47</v>
      </c>
      <c r="AJ4" s="85" t="s">
        <v>48</v>
      </c>
      <c r="AK4" s="85" t="s">
        <v>49</v>
      </c>
      <c r="AL4" s="85" t="s">
        <v>46</v>
      </c>
      <c r="AM4" s="85" t="s">
        <v>47</v>
      </c>
    </row>
    <row r="5" spans="1:41" ht="12" customHeight="1" x14ac:dyDescent="0.2">
      <c r="A5" s="37" t="s">
        <v>101</v>
      </c>
      <c r="B5" s="90"/>
      <c r="C5" s="90"/>
      <c r="D5" s="90"/>
      <c r="E5" s="90"/>
      <c r="F5" s="90"/>
      <c r="G5" s="90"/>
      <c r="H5" s="90"/>
      <c r="I5" s="90"/>
      <c r="J5" s="90"/>
      <c r="K5" s="90"/>
      <c r="L5" s="90"/>
      <c r="M5" s="90"/>
      <c r="N5" s="90"/>
      <c r="O5" s="90"/>
      <c r="P5" s="90"/>
      <c r="Q5" s="90"/>
      <c r="R5" s="90"/>
      <c r="S5" s="90"/>
      <c r="T5" s="90"/>
      <c r="U5" s="90"/>
    </row>
    <row r="6" spans="1:41" s="37" customFormat="1" ht="12" customHeight="1" x14ac:dyDescent="0.2">
      <c r="A6" s="39" t="s">
        <v>0</v>
      </c>
      <c r="B6" s="91">
        <v>28577.247355351661</v>
      </c>
      <c r="C6" s="91">
        <v>26610.180139309006</v>
      </c>
      <c r="D6" s="91">
        <v>26240.178376213596</v>
      </c>
      <c r="E6" s="91">
        <v>27090.435050598862</v>
      </c>
      <c r="F6" s="91">
        <v>30772.237101227405</v>
      </c>
      <c r="G6" s="91">
        <v>28335.280176173645</v>
      </c>
      <c r="H6" s="91">
        <v>27653.331335663122</v>
      </c>
      <c r="I6" s="91">
        <v>28598.086896661713</v>
      </c>
      <c r="J6" s="91">
        <v>32487.642175718105</v>
      </c>
      <c r="K6" s="91">
        <v>29958.630874878399</v>
      </c>
      <c r="L6" s="91">
        <v>29773.235405169889</v>
      </c>
      <c r="M6" s="91">
        <v>30567.094784970548</v>
      </c>
      <c r="N6" s="91">
        <v>34943.779208652792</v>
      </c>
      <c r="O6" s="91">
        <v>32466.458134210301</v>
      </c>
      <c r="P6" s="91">
        <v>30130.072340548548</v>
      </c>
      <c r="Q6" s="91">
        <v>28870.10246360661</v>
      </c>
      <c r="R6" s="91">
        <v>34802.923492478898</v>
      </c>
      <c r="S6" s="91">
        <v>32477.008349026924</v>
      </c>
      <c r="T6" s="91">
        <v>30975.023524528337</v>
      </c>
      <c r="U6" s="91">
        <v>32626.062565576813</v>
      </c>
      <c r="V6" s="91">
        <v>35622.436290247155</v>
      </c>
      <c r="W6" s="91">
        <v>34024.489547290636</v>
      </c>
      <c r="X6" s="91">
        <v>32716.662025108297</v>
      </c>
      <c r="Y6" s="91">
        <v>34522.279863118289</v>
      </c>
      <c r="Z6" s="91">
        <v>38746.737026853109</v>
      </c>
      <c r="AA6" s="91">
        <v>35492.012708280527</v>
      </c>
      <c r="AB6" s="91">
        <v>33446.227975016081</v>
      </c>
      <c r="AC6" s="91">
        <v>36506.451755519171</v>
      </c>
      <c r="AD6" s="91">
        <v>41068.072476131187</v>
      </c>
      <c r="AE6" s="91">
        <v>37544.310138874716</v>
      </c>
      <c r="AF6" s="91">
        <v>35728.791475472033</v>
      </c>
      <c r="AG6" s="91">
        <v>38581.883833767082</v>
      </c>
      <c r="AH6" s="91">
        <v>43605.835576599478</v>
      </c>
      <c r="AI6" s="91">
        <v>39557.990842081461</v>
      </c>
      <c r="AJ6" s="91">
        <v>38727.98734077152</v>
      </c>
      <c r="AK6" s="91">
        <v>40714.044049908181</v>
      </c>
      <c r="AL6" s="91">
        <v>45718.883622849549</v>
      </c>
      <c r="AM6" s="91">
        <v>42903.876010157692</v>
      </c>
    </row>
    <row r="7" spans="1:41" ht="12" customHeight="1" x14ac:dyDescent="0.2">
      <c r="A7" s="40" t="s">
        <v>125</v>
      </c>
      <c r="B7" s="90">
        <v>8012.3898438440583</v>
      </c>
      <c r="C7" s="90">
        <v>6110.5574830010291</v>
      </c>
      <c r="D7" s="90">
        <v>5359.3297594225651</v>
      </c>
      <c r="E7" s="90">
        <v>5974.7914938523681</v>
      </c>
      <c r="F7" s="90">
        <v>8783.75361617198</v>
      </c>
      <c r="G7" s="90">
        <v>6199.5724243031436</v>
      </c>
      <c r="H7" s="90">
        <v>5495.0897018703818</v>
      </c>
      <c r="I7" s="90">
        <v>6096.0101397052103</v>
      </c>
      <c r="J7" s="90">
        <v>8974.6097339614735</v>
      </c>
      <c r="K7" s="90">
        <v>6448.4413448819614</v>
      </c>
      <c r="L7" s="90">
        <v>5935.2774332582503</v>
      </c>
      <c r="M7" s="90">
        <v>6628.7288960305441</v>
      </c>
      <c r="N7" s="90">
        <v>9517.4184915144997</v>
      </c>
      <c r="O7" s="90">
        <v>6941.2508425474216</v>
      </c>
      <c r="P7" s="90">
        <v>5858.4834939906605</v>
      </c>
      <c r="Q7" s="90">
        <v>7019.6668965617291</v>
      </c>
      <c r="R7" s="90">
        <v>10178.838113339847</v>
      </c>
      <c r="S7" s="90">
        <v>7480.051447932221</v>
      </c>
      <c r="T7" s="90">
        <v>5874.7256772867586</v>
      </c>
      <c r="U7" s="90">
        <v>7070.5839061785027</v>
      </c>
      <c r="V7" s="90">
        <v>10624.949712522255</v>
      </c>
      <c r="W7" s="90">
        <v>7330.8919880440335</v>
      </c>
      <c r="X7" s="90">
        <v>6120.4466636740835</v>
      </c>
      <c r="Y7" s="90">
        <v>7804.9867663755058</v>
      </c>
      <c r="Z7" s="90">
        <v>11088.26280593619</v>
      </c>
      <c r="AA7" s="90">
        <v>8197.4364123430387</v>
      </c>
      <c r="AB7" s="90">
        <v>6452.1007948510905</v>
      </c>
      <c r="AC7" s="90">
        <v>7589.8403301409671</v>
      </c>
      <c r="AD7" s="90">
        <v>11715.269920013694</v>
      </c>
      <c r="AE7" s="90">
        <v>8365.8311356487084</v>
      </c>
      <c r="AF7" s="90">
        <v>6712.9791346820011</v>
      </c>
      <c r="AG7" s="90">
        <v>8392.5623632282968</v>
      </c>
      <c r="AH7" s="90">
        <v>12457.039571469759</v>
      </c>
      <c r="AI7" s="90">
        <v>9018.0557620239742</v>
      </c>
      <c r="AJ7" s="90">
        <v>7404.8569468746055</v>
      </c>
      <c r="AK7" s="90">
        <v>8683.3829336736635</v>
      </c>
      <c r="AL7" s="90">
        <v>12839.640235938221</v>
      </c>
      <c r="AM7" s="90">
        <v>9809.0588895521632</v>
      </c>
    </row>
    <row r="8" spans="1:41" ht="12" customHeight="1" x14ac:dyDescent="0.2">
      <c r="A8" s="40" t="s">
        <v>126</v>
      </c>
      <c r="B8" s="90">
        <v>6768.713051955091</v>
      </c>
      <c r="C8" s="90">
        <v>7106.8655859703567</v>
      </c>
      <c r="D8" s="90">
        <v>7305.4210324818123</v>
      </c>
      <c r="E8" s="90">
        <v>7067.3259345873512</v>
      </c>
      <c r="F8" s="90">
        <v>7134.9058713826926</v>
      </c>
      <c r="G8" s="90">
        <v>7312.6317555530877</v>
      </c>
      <c r="H8" s="90">
        <v>7537.2021354850558</v>
      </c>
      <c r="I8" s="90">
        <v>7631.5343119097179</v>
      </c>
      <c r="J8" s="90">
        <v>7779.6917837189712</v>
      </c>
      <c r="K8" s="90">
        <v>8068.1838305472475</v>
      </c>
      <c r="L8" s="90">
        <v>8243.5122595824378</v>
      </c>
      <c r="M8" s="90">
        <v>8201.882353115383</v>
      </c>
      <c r="N8" s="90">
        <v>8570.2406120602482</v>
      </c>
      <c r="O8" s="90">
        <v>8886.3355817986849</v>
      </c>
      <c r="P8" s="90">
        <v>8486.7958188275043</v>
      </c>
      <c r="Q8" s="90">
        <v>7398.8510842539163</v>
      </c>
      <c r="R8" s="90">
        <v>8381.1057648712849</v>
      </c>
      <c r="S8" s="90">
        <v>8755.7883190744851</v>
      </c>
      <c r="T8" s="90">
        <v>8669.0779163346688</v>
      </c>
      <c r="U8" s="90">
        <v>8693.4801896502649</v>
      </c>
      <c r="V8" s="90">
        <v>8370.9466912534372</v>
      </c>
      <c r="W8" s="90">
        <v>9440.8924954631402</v>
      </c>
      <c r="X8" s="90">
        <v>9148.3497744816905</v>
      </c>
      <c r="Y8" s="90">
        <v>9308.0376149473814</v>
      </c>
      <c r="Z8" s="90">
        <v>9399.6502880160351</v>
      </c>
      <c r="AA8" s="90">
        <v>9216.6242046157931</v>
      </c>
      <c r="AB8" s="90">
        <v>9213.4013327072335</v>
      </c>
      <c r="AC8" s="90">
        <v>9899.9765147391226</v>
      </c>
      <c r="AD8" s="90">
        <v>10329.779417703621</v>
      </c>
      <c r="AE8" s="90">
        <v>9629.9206105706908</v>
      </c>
      <c r="AF8" s="90">
        <v>9832.8271952431387</v>
      </c>
      <c r="AG8" s="90">
        <v>10008.679035600164</v>
      </c>
      <c r="AH8" s="90">
        <v>10858.985921098454</v>
      </c>
      <c r="AI8" s="90">
        <v>10366.744603645575</v>
      </c>
      <c r="AJ8" s="90">
        <v>10560.436317940079</v>
      </c>
      <c r="AK8" s="90">
        <v>10766.195324448956</v>
      </c>
      <c r="AL8" s="90">
        <v>11507.781726235484</v>
      </c>
      <c r="AM8" s="90">
        <v>11637.499255958362</v>
      </c>
    </row>
    <row r="9" spans="1:41" ht="12" customHeight="1" x14ac:dyDescent="0.2">
      <c r="A9" s="40" t="s">
        <v>127</v>
      </c>
      <c r="B9" s="90">
        <v>11937.718362657837</v>
      </c>
      <c r="C9" s="90">
        <v>11574.904273245027</v>
      </c>
      <c r="D9" s="90">
        <v>11626.766484146794</v>
      </c>
      <c r="E9" s="90">
        <v>12042.626656368144</v>
      </c>
      <c r="F9" s="90">
        <v>12862.303229009287</v>
      </c>
      <c r="G9" s="90">
        <v>12815.187341991386</v>
      </c>
      <c r="H9" s="90">
        <v>12685.29920931673</v>
      </c>
      <c r="I9" s="90">
        <v>12837.367728743302</v>
      </c>
      <c r="J9" s="90">
        <v>13754.228723909151</v>
      </c>
      <c r="K9" s="90">
        <v>13368.754279977897</v>
      </c>
      <c r="L9" s="90">
        <v>13465.06868516828</v>
      </c>
      <c r="M9" s="90">
        <v>13600.745668228308</v>
      </c>
      <c r="N9" s="90">
        <v>14658.783555366852</v>
      </c>
      <c r="O9" s="90">
        <v>14367.919305260177</v>
      </c>
      <c r="P9" s="90">
        <v>13669.805223677016</v>
      </c>
      <c r="Q9" s="90">
        <v>12849.732418565576</v>
      </c>
      <c r="R9" s="90">
        <v>14119.435945738076</v>
      </c>
      <c r="S9" s="90">
        <v>14074.464318828872</v>
      </c>
      <c r="T9" s="90">
        <v>14391.410599937555</v>
      </c>
      <c r="U9" s="90">
        <v>14495.4005141988</v>
      </c>
      <c r="V9" s="90">
        <v>14539.216189482004</v>
      </c>
      <c r="W9" s="90">
        <v>14902.83596485801</v>
      </c>
      <c r="X9" s="90">
        <v>14962.970541892557</v>
      </c>
      <c r="Y9" s="90">
        <v>14980.554277112629</v>
      </c>
      <c r="Z9" s="90">
        <v>15799.819856406968</v>
      </c>
      <c r="AA9" s="90">
        <v>15607.290418918728</v>
      </c>
      <c r="AB9" s="90">
        <v>15193.699743491072</v>
      </c>
      <c r="AC9" s="90">
        <v>16317.733453444189</v>
      </c>
      <c r="AD9" s="90">
        <v>16221.881537419606</v>
      </c>
      <c r="AE9" s="90">
        <v>16906.178972961272</v>
      </c>
      <c r="AF9" s="90">
        <v>16418.929360542417</v>
      </c>
      <c r="AG9" s="90">
        <v>17379.216218022015</v>
      </c>
      <c r="AH9" s="90">
        <v>17192.952554985037</v>
      </c>
      <c r="AI9" s="90">
        <v>17283.665007390213</v>
      </c>
      <c r="AJ9" s="90">
        <v>17847.734682852883</v>
      </c>
      <c r="AK9" s="90">
        <v>18239.580887244832</v>
      </c>
      <c r="AL9" s="90">
        <v>18170.905305026292</v>
      </c>
      <c r="AM9" s="90">
        <v>18361.432030472952</v>
      </c>
    </row>
    <row r="10" spans="1:41" ht="12" customHeight="1" x14ac:dyDescent="0.2">
      <c r="A10" s="39" t="s">
        <v>18</v>
      </c>
      <c r="B10" s="90"/>
      <c r="C10" s="90"/>
      <c r="D10" s="90"/>
      <c r="E10" s="90"/>
      <c r="F10" s="90"/>
      <c r="G10" s="90"/>
      <c r="H10" s="90"/>
      <c r="I10" s="90"/>
      <c r="J10" s="90"/>
      <c r="K10" s="90"/>
      <c r="L10" s="90"/>
      <c r="M10" s="90"/>
      <c r="N10" s="90"/>
      <c r="O10" s="90"/>
      <c r="P10" s="90"/>
      <c r="Q10" s="90"/>
      <c r="R10" s="90"/>
      <c r="S10" s="90"/>
      <c r="T10" s="90"/>
      <c r="U10" s="90"/>
      <c r="V10" s="90"/>
      <c r="W10" s="90"/>
      <c r="X10" s="90"/>
      <c r="Y10" s="90"/>
      <c r="Z10" s="90"/>
      <c r="AA10" s="90"/>
      <c r="AB10" s="90"/>
      <c r="AC10" s="90"/>
      <c r="AD10" s="90"/>
      <c r="AE10" s="90"/>
      <c r="AF10" s="90"/>
      <c r="AG10" s="90"/>
      <c r="AH10" s="90"/>
      <c r="AI10" s="90"/>
      <c r="AJ10" s="90"/>
      <c r="AK10" s="90"/>
      <c r="AL10" s="90"/>
      <c r="AM10" s="90"/>
    </row>
    <row r="11" spans="1:41" ht="12" customHeight="1" x14ac:dyDescent="0.2">
      <c r="A11" s="92" t="s">
        <v>128</v>
      </c>
      <c r="B11" s="93">
        <v>1858.426096894676</v>
      </c>
      <c r="C11" s="93">
        <v>1817.852797092595</v>
      </c>
      <c r="D11" s="93">
        <v>1948.6611001624249</v>
      </c>
      <c r="E11" s="93">
        <v>2005.6909657910007</v>
      </c>
      <c r="F11" s="93">
        <v>1991.2743846634435</v>
      </c>
      <c r="G11" s="93">
        <v>2007.888654326028</v>
      </c>
      <c r="H11" s="93">
        <v>1935.7402889909526</v>
      </c>
      <c r="I11" s="93">
        <v>2033.1747163034834</v>
      </c>
      <c r="J11" s="93">
        <v>1979.1119341285128</v>
      </c>
      <c r="K11" s="93">
        <v>2073.2514194712935</v>
      </c>
      <c r="L11" s="93">
        <v>2129.3770271609219</v>
      </c>
      <c r="M11" s="93">
        <v>2135.73786759631</v>
      </c>
      <c r="N11" s="93">
        <v>2197.3365497111954</v>
      </c>
      <c r="O11" s="93">
        <v>2270.952404604016</v>
      </c>
      <c r="P11" s="93">
        <v>2114.9878040533677</v>
      </c>
      <c r="Q11" s="93">
        <v>1601.8520642253891</v>
      </c>
      <c r="R11" s="93">
        <v>2123.543668529685</v>
      </c>
      <c r="S11" s="93">
        <v>2166.7042631913482</v>
      </c>
      <c r="T11" s="93">
        <v>2039.8093309693538</v>
      </c>
      <c r="U11" s="93">
        <v>2366.5979555492459</v>
      </c>
      <c r="V11" s="93">
        <v>2087.3236969894551</v>
      </c>
      <c r="W11" s="93">
        <v>2349.869098925451</v>
      </c>
      <c r="X11" s="93">
        <v>2484.8950450599659</v>
      </c>
      <c r="Y11" s="93">
        <v>2428.7012046827754</v>
      </c>
      <c r="Z11" s="93">
        <v>2459.0040764939167</v>
      </c>
      <c r="AA11" s="93">
        <v>2470.6616724029691</v>
      </c>
      <c r="AB11" s="93">
        <v>2587.0261039666907</v>
      </c>
      <c r="AC11" s="93">
        <v>2698.9014571948919</v>
      </c>
      <c r="AD11" s="93">
        <v>2801.1416009942659</v>
      </c>
      <c r="AE11" s="93">
        <v>2642.3794196940421</v>
      </c>
      <c r="AF11" s="93">
        <v>2764.0557850044793</v>
      </c>
      <c r="AG11" s="93">
        <v>2801.4262169166136</v>
      </c>
      <c r="AH11" s="93">
        <v>3096.8575290462354</v>
      </c>
      <c r="AI11" s="93">
        <v>2889.5254690216975</v>
      </c>
      <c r="AJ11" s="93">
        <v>2914.9593931039526</v>
      </c>
      <c r="AK11" s="93">
        <v>3024.8849045407346</v>
      </c>
      <c r="AL11" s="93">
        <v>3200.5563556495504</v>
      </c>
      <c r="AM11" s="93">
        <v>3095.8858341742171</v>
      </c>
    </row>
    <row r="12" spans="1:41" ht="12" customHeight="1" x14ac:dyDescent="0.2">
      <c r="A12" s="42"/>
      <c r="B12" s="90"/>
      <c r="C12" s="90"/>
      <c r="D12" s="90"/>
      <c r="E12" s="90"/>
      <c r="F12" s="90"/>
      <c r="G12" s="90"/>
      <c r="H12" s="90"/>
      <c r="I12" s="90"/>
      <c r="J12" s="90"/>
      <c r="K12" s="90"/>
      <c r="L12" s="90"/>
      <c r="M12" s="90"/>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row>
    <row r="13" spans="1:41" ht="12" customHeight="1" x14ac:dyDescent="0.2">
      <c r="A13" s="37" t="s">
        <v>102</v>
      </c>
      <c r="F13" s="59"/>
      <c r="G13" s="59"/>
    </row>
    <row r="14" spans="1:41" s="37" customFormat="1" ht="12" customHeight="1" x14ac:dyDescent="0.2">
      <c r="A14" s="39" t="s">
        <v>0</v>
      </c>
      <c r="B14" s="91">
        <v>26418.329913359037</v>
      </c>
      <c r="C14" s="91">
        <v>26820.34073984532</v>
      </c>
      <c r="D14" s="91">
        <v>27619.793515599307</v>
      </c>
      <c r="E14" s="91">
        <v>27877.519436686529</v>
      </c>
      <c r="F14" s="91">
        <v>28291.33911591558</v>
      </c>
      <c r="G14" s="91">
        <v>28562.976804127233</v>
      </c>
      <c r="H14" s="91">
        <v>29225.635950909473</v>
      </c>
      <c r="I14" s="91">
        <v>29425.249775083259</v>
      </c>
      <c r="J14" s="91">
        <v>29958.925048858808</v>
      </c>
      <c r="K14" s="91">
        <v>30153.093747913452</v>
      </c>
      <c r="L14" s="91">
        <v>31561.031499686902</v>
      </c>
      <c r="M14" s="91">
        <v>31371.829680101248</v>
      </c>
      <c r="N14" s="91">
        <v>32311.887177142591</v>
      </c>
      <c r="O14" s="91">
        <v>32681.046842239568</v>
      </c>
      <c r="P14" s="91">
        <v>31941.991239438736</v>
      </c>
      <c r="Q14" s="91">
        <v>29638.436921528686</v>
      </c>
      <c r="R14" s="91">
        <v>31936.886395330035</v>
      </c>
      <c r="S14" s="91">
        <v>32665.95953993038</v>
      </c>
      <c r="T14" s="91">
        <v>32913.147622199474</v>
      </c>
      <c r="U14" s="91">
        <v>33266.262887756922</v>
      </c>
      <c r="V14" s="91">
        <v>32690.006792348013</v>
      </c>
      <c r="W14" s="91">
        <v>34248.281558919123</v>
      </c>
      <c r="X14" s="91">
        <v>35004.410609455022</v>
      </c>
      <c r="Y14" s="91">
        <v>35114.229640385529</v>
      </c>
      <c r="Z14" s="91">
        <v>35517.737086877118</v>
      </c>
      <c r="AA14" s="91">
        <v>35836.54516817956</v>
      </c>
      <c r="AB14" s="91">
        <v>35798.781252551009</v>
      </c>
      <c r="AC14" s="91">
        <v>36969.932194423294</v>
      </c>
      <c r="AD14" s="91">
        <v>37483.150316014762</v>
      </c>
      <c r="AE14" s="91">
        <v>38034.022628928949</v>
      </c>
      <c r="AF14" s="91">
        <v>38330.505504848268</v>
      </c>
      <c r="AG14" s="91">
        <v>38995.257804297391</v>
      </c>
      <c r="AH14" s="91">
        <v>39825.160223270017</v>
      </c>
      <c r="AI14" s="91">
        <v>40146.527558536844</v>
      </c>
      <c r="AJ14" s="91">
        <v>41458.227615187541</v>
      </c>
      <c r="AK14" s="91">
        <v>41147.853643180293</v>
      </c>
      <c r="AL14" s="91">
        <v>41936.504537982662</v>
      </c>
      <c r="AM14" s="91">
        <v>43598.399896274939</v>
      </c>
    </row>
    <row r="15" spans="1:41" ht="12" customHeight="1" x14ac:dyDescent="0.2">
      <c r="A15" s="40" t="s">
        <v>125</v>
      </c>
      <c r="B15" s="90">
        <v>6113.5806983651346</v>
      </c>
      <c r="C15" s="90">
        <v>6365.3902364918658</v>
      </c>
      <c r="D15" s="90">
        <v>6582.6129877387048</v>
      </c>
      <c r="E15" s="90">
        <v>6545.5467580877166</v>
      </c>
      <c r="F15" s="90">
        <v>6624.4085330396556</v>
      </c>
      <c r="G15" s="90">
        <v>6533.6462710598571</v>
      </c>
      <c r="H15" s="90">
        <v>6886.5597867902725</v>
      </c>
      <c r="I15" s="90">
        <v>6658.9337340869597</v>
      </c>
      <c r="J15" s="90">
        <v>6779.4573707274694</v>
      </c>
      <c r="K15" s="90">
        <v>6777.7826300122333</v>
      </c>
      <c r="L15" s="90">
        <v>7530.1007588596021</v>
      </c>
      <c r="M15" s="90">
        <v>7187.137654209123</v>
      </c>
      <c r="N15" s="90">
        <v>7185.5964774444828</v>
      </c>
      <c r="O15" s="90">
        <v>7287.0483450925558</v>
      </c>
      <c r="P15" s="90">
        <v>7449.7977707093951</v>
      </c>
      <c r="Q15" s="90">
        <v>7591.4129974247335</v>
      </c>
      <c r="R15" s="90">
        <v>7576.6284289150108</v>
      </c>
      <c r="S15" s="90">
        <v>7813.6823217848078</v>
      </c>
      <c r="T15" s="90">
        <v>7522.4788664419102</v>
      </c>
      <c r="U15" s="90">
        <v>7637.3367651927319</v>
      </c>
      <c r="V15" s="90">
        <v>7927.1369140792995</v>
      </c>
      <c r="W15" s="90">
        <v>7630.1669505136624</v>
      </c>
      <c r="X15" s="90">
        <v>8035.5080994388309</v>
      </c>
      <c r="Y15" s="90">
        <v>8447.1775338268162</v>
      </c>
      <c r="Z15" s="90">
        <v>8159.0795498664365</v>
      </c>
      <c r="AA15" s="90">
        <v>8513.0207266517409</v>
      </c>
      <c r="AB15" s="90">
        <v>8383.2101083149773</v>
      </c>
      <c r="AC15" s="90">
        <v>8246.0464018635703</v>
      </c>
      <c r="AD15" s="90">
        <v>8605.2413453957088</v>
      </c>
      <c r="AE15" s="90">
        <v>8671.4431507111458</v>
      </c>
      <c r="AF15" s="90">
        <v>8843.969682352561</v>
      </c>
      <c r="AG15" s="90">
        <v>9113.9733736485723</v>
      </c>
      <c r="AH15" s="90">
        <v>9189.0095190325937</v>
      </c>
      <c r="AI15" s="90">
        <v>9308.9635958866911</v>
      </c>
      <c r="AJ15" s="90">
        <v>9634.100465993215</v>
      </c>
      <c r="AK15" s="90">
        <v>9429.3306905696445</v>
      </c>
      <c r="AL15" s="90">
        <v>9593.9997678997624</v>
      </c>
      <c r="AM15" s="90">
        <v>10108.554095964224</v>
      </c>
    </row>
    <row r="16" spans="1:41" ht="12" customHeight="1" x14ac:dyDescent="0.2">
      <c r="A16" s="40" t="s">
        <v>126</v>
      </c>
      <c r="B16" s="90">
        <v>6810.6033846262262</v>
      </c>
      <c r="C16" s="90">
        <v>7063.7601198551001</v>
      </c>
      <c r="D16" s="90">
        <v>7254.0027013101644</v>
      </c>
      <c r="E16" s="90">
        <v>7141.0368591941769</v>
      </c>
      <c r="F16" s="90">
        <v>7166.4739033390269</v>
      </c>
      <c r="G16" s="90">
        <v>7225.7595428277446</v>
      </c>
      <c r="H16" s="90">
        <v>7502.9432754538329</v>
      </c>
      <c r="I16" s="90">
        <v>7726.2775249250953</v>
      </c>
      <c r="J16" s="90">
        <v>7801.3781845833555</v>
      </c>
      <c r="K16" s="90">
        <v>7960.706120394465</v>
      </c>
      <c r="L16" s="90">
        <v>8233.1104845593873</v>
      </c>
      <c r="M16" s="90">
        <v>8293.8714018755236</v>
      </c>
      <c r="N16" s="90">
        <v>8575.6379884606285</v>
      </c>
      <c r="O16" s="90">
        <v>8793.2643182345964</v>
      </c>
      <c r="P16" s="90">
        <v>8516.014871267731</v>
      </c>
      <c r="Q16" s="90">
        <v>7475.9912939983551</v>
      </c>
      <c r="R16" s="90">
        <v>8344.045827607606</v>
      </c>
      <c r="S16" s="90">
        <v>8664.339073743522</v>
      </c>
      <c r="T16" s="90">
        <v>8746.7760904859824</v>
      </c>
      <c r="U16" s="90">
        <v>8744.4019666187305</v>
      </c>
      <c r="V16" s="90">
        <v>8320.4574047383267</v>
      </c>
      <c r="W16" s="90">
        <v>9400.4201966170276</v>
      </c>
      <c r="X16" s="90">
        <v>9287.2520037562572</v>
      </c>
      <c r="Y16" s="90">
        <v>9327.8918066013684</v>
      </c>
      <c r="Z16" s="90">
        <v>9270.1094557129854</v>
      </c>
      <c r="AA16" s="90">
        <v>9216.4309686432698</v>
      </c>
      <c r="AB16" s="90">
        <v>9362.2701095963803</v>
      </c>
      <c r="AC16" s="90">
        <v>9903.2746925504925</v>
      </c>
      <c r="AD16" s="90">
        <v>10051.23522890946</v>
      </c>
      <c r="AE16" s="90">
        <v>9693.1080935552054</v>
      </c>
      <c r="AF16" s="90">
        <v>10001.426479711481</v>
      </c>
      <c r="AG16" s="90">
        <v>9991.0365009896341</v>
      </c>
      <c r="AH16" s="90">
        <v>10553.50054197254</v>
      </c>
      <c r="AI16" s="90">
        <v>10470.413331482858</v>
      </c>
      <c r="AJ16" s="90">
        <v>10737.85452452077</v>
      </c>
      <c r="AK16" s="90">
        <v>10743.283301596544</v>
      </c>
      <c r="AL16" s="90">
        <v>11200.126282491288</v>
      </c>
      <c r="AM16" s="90">
        <v>11777.904961628605</v>
      </c>
    </row>
    <row r="17" spans="1:41" ht="12" customHeight="1" x14ac:dyDescent="0.2">
      <c r="A17" s="40" t="s">
        <v>127</v>
      </c>
      <c r="B17" s="90">
        <v>11610.862423250799</v>
      </c>
      <c r="C17" s="90">
        <v>11586.136879433785</v>
      </c>
      <c r="D17" s="90">
        <v>11813.858449117239</v>
      </c>
      <c r="E17" s="90">
        <v>12212.573057055133</v>
      </c>
      <c r="F17" s="90">
        <v>12489.013263330269</v>
      </c>
      <c r="G17" s="90">
        <v>12814.710984742182</v>
      </c>
      <c r="H17" s="90">
        <v>12875.604627705181</v>
      </c>
      <c r="I17" s="90">
        <v>13027.644311745455</v>
      </c>
      <c r="J17" s="90">
        <v>13383.119979914245</v>
      </c>
      <c r="K17" s="90">
        <v>13363.711557378601</v>
      </c>
      <c r="L17" s="90">
        <v>13643.785801136801</v>
      </c>
      <c r="M17" s="90">
        <v>13769.895283018681</v>
      </c>
      <c r="N17" s="90">
        <v>14342.0350824178</v>
      </c>
      <c r="O17" s="90">
        <v>14348.651237374002</v>
      </c>
      <c r="P17" s="90">
        <v>13842.032183026371</v>
      </c>
      <c r="Q17" s="90">
        <v>12976.614004549947</v>
      </c>
      <c r="R17" s="90">
        <v>13891.505072682738</v>
      </c>
      <c r="S17" s="90">
        <v>14030.581899791439</v>
      </c>
      <c r="T17" s="90">
        <v>14588.771799198652</v>
      </c>
      <c r="U17" s="90">
        <v>14518.593520781027</v>
      </c>
      <c r="V17" s="90">
        <v>14373.180999181348</v>
      </c>
      <c r="W17" s="90">
        <v>14859.667421073058</v>
      </c>
      <c r="X17" s="90">
        <v>15183.908858392642</v>
      </c>
      <c r="Y17" s="90">
        <v>14904.481091750127</v>
      </c>
      <c r="Z17" s="90">
        <v>15673.29338376206</v>
      </c>
      <c r="AA17" s="90">
        <v>15606.615941562319</v>
      </c>
      <c r="AB17" s="90">
        <v>15455.051637646839</v>
      </c>
      <c r="AC17" s="90">
        <v>16110.687088358021</v>
      </c>
      <c r="AD17" s="90">
        <v>16092.727772012435</v>
      </c>
      <c r="AE17" s="90">
        <v>16979.163891331234</v>
      </c>
      <c r="AF17" s="90">
        <v>16709.108320405019</v>
      </c>
      <c r="AG17" s="90">
        <v>17074.679100436246</v>
      </c>
      <c r="AH17" s="90">
        <v>17070.877372722021</v>
      </c>
      <c r="AI17" s="90">
        <v>17417.404897262433</v>
      </c>
      <c r="AJ17" s="90">
        <v>18157.64860805104</v>
      </c>
      <c r="AK17" s="90">
        <v>17935.607001184861</v>
      </c>
      <c r="AL17" s="90">
        <v>18035.152210441502</v>
      </c>
      <c r="AM17" s="90">
        <v>18549.363224578628</v>
      </c>
    </row>
    <row r="18" spans="1:41" ht="12" customHeight="1" x14ac:dyDescent="0.2">
      <c r="A18" s="39" t="s">
        <v>18</v>
      </c>
      <c r="B18" s="90"/>
      <c r="C18" s="90"/>
      <c r="D18" s="90"/>
      <c r="E18" s="90"/>
      <c r="F18" s="90"/>
      <c r="G18" s="90"/>
      <c r="H18" s="90"/>
      <c r="I18" s="90"/>
      <c r="J18" s="90"/>
      <c r="K18" s="90"/>
      <c r="L18" s="90"/>
      <c r="M18" s="90"/>
      <c r="N18" s="90"/>
      <c r="O18" s="90"/>
      <c r="P18" s="90"/>
      <c r="Q18" s="90"/>
      <c r="R18" s="90"/>
      <c r="S18" s="90"/>
      <c r="T18" s="90"/>
      <c r="U18" s="90"/>
      <c r="V18" s="90"/>
      <c r="W18" s="90"/>
      <c r="X18" s="90"/>
      <c r="Y18" s="90"/>
      <c r="Z18" s="90"/>
      <c r="AA18" s="90"/>
      <c r="AB18" s="90"/>
      <c r="AC18" s="90"/>
      <c r="AD18" s="90"/>
      <c r="AE18" s="90"/>
      <c r="AF18" s="90"/>
      <c r="AG18" s="90"/>
      <c r="AH18" s="90"/>
      <c r="AI18" s="90"/>
      <c r="AJ18" s="90"/>
      <c r="AK18" s="90"/>
      <c r="AL18" s="90"/>
      <c r="AM18" s="90"/>
    </row>
    <row r="19" spans="1:41" ht="12" customHeight="1" x14ac:dyDescent="0.2">
      <c r="A19" s="92" t="s">
        <v>128</v>
      </c>
      <c r="B19" s="93">
        <v>1883.28340711688</v>
      </c>
      <c r="C19" s="93">
        <v>1805.05350406457</v>
      </c>
      <c r="D19" s="93">
        <v>1969.3193774332001</v>
      </c>
      <c r="E19" s="93">
        <v>1978.3627623494999</v>
      </c>
      <c r="F19" s="93">
        <v>2011.44341620663</v>
      </c>
      <c r="G19" s="93">
        <v>1988.8600054974499</v>
      </c>
      <c r="H19" s="93">
        <v>1960.52826096019</v>
      </c>
      <c r="I19" s="93">
        <v>2012.39420432575</v>
      </c>
      <c r="J19" s="93">
        <v>1994.96951363374</v>
      </c>
      <c r="K19" s="93">
        <v>2050.8934401281499</v>
      </c>
      <c r="L19" s="93">
        <v>2154.03445513111</v>
      </c>
      <c r="M19" s="93">
        <v>2120.9253409979201</v>
      </c>
      <c r="N19" s="93">
        <v>2208.6176288196798</v>
      </c>
      <c r="O19" s="93">
        <v>2252.0829415384101</v>
      </c>
      <c r="P19" s="93">
        <v>2134.1464144352399</v>
      </c>
      <c r="Q19" s="93">
        <v>1594.4186255556499</v>
      </c>
      <c r="R19" s="93">
        <v>2124.7070661246798</v>
      </c>
      <c r="S19" s="93">
        <v>2157.3562446106098</v>
      </c>
      <c r="T19" s="93">
        <v>2055.1208660729299</v>
      </c>
      <c r="U19" s="93">
        <v>2365.93063516443</v>
      </c>
      <c r="V19" s="93">
        <v>2069.2314743490401</v>
      </c>
      <c r="W19" s="93">
        <v>2358.0269907153802</v>
      </c>
      <c r="X19" s="93">
        <v>2497.7416478672899</v>
      </c>
      <c r="Y19" s="93">
        <v>2434.6792082072202</v>
      </c>
      <c r="Z19" s="93">
        <v>2415.2546975356399</v>
      </c>
      <c r="AA19" s="93">
        <v>2500.4775313222299</v>
      </c>
      <c r="AB19" s="93">
        <v>2598.24939699281</v>
      </c>
      <c r="AC19" s="93">
        <v>2709.9240116512101</v>
      </c>
      <c r="AD19" s="93">
        <v>2733.9459696971599</v>
      </c>
      <c r="AE19" s="93">
        <v>2690.3074933313601</v>
      </c>
      <c r="AF19" s="93">
        <v>2776.0010223792101</v>
      </c>
      <c r="AG19" s="93">
        <v>2815.5688292229402</v>
      </c>
      <c r="AH19" s="93">
        <v>3011.7727895428602</v>
      </c>
      <c r="AI19" s="93">
        <v>2949.7457339048601</v>
      </c>
      <c r="AJ19" s="93">
        <v>2928.6240166225198</v>
      </c>
      <c r="AK19" s="93">
        <v>3039.6326498292501</v>
      </c>
      <c r="AL19" s="93">
        <v>3107.22627715011</v>
      </c>
      <c r="AM19" s="93">
        <v>3162.5776141034798</v>
      </c>
    </row>
    <row r="20" spans="1:41" ht="12" customHeight="1" x14ac:dyDescent="0.2">
      <c r="B20" s="90"/>
      <c r="C20" s="90"/>
      <c r="D20" s="90"/>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row>
    <row r="21" spans="1:41" ht="12" customHeight="1" x14ac:dyDescent="0.2">
      <c r="A21" s="37" t="s">
        <v>100</v>
      </c>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row>
    <row r="22" spans="1:41" s="37" customFormat="1" ht="12" customHeight="1" x14ac:dyDescent="0.2">
      <c r="A22" s="39" t="s">
        <v>0</v>
      </c>
      <c r="B22" s="91">
        <v>26462.729253987603</v>
      </c>
      <c r="C22" s="91">
        <v>26896.395375006789</v>
      </c>
      <c r="D22" s="91">
        <v>27382.40321110926</v>
      </c>
      <c r="E22" s="91">
        <v>27823.291649979503</v>
      </c>
      <c r="F22" s="91">
        <v>28161.942796510895</v>
      </c>
      <c r="G22" s="91">
        <v>28513.96174213893</v>
      </c>
      <c r="H22" s="91">
        <v>28957.259707201025</v>
      </c>
      <c r="I22" s="91">
        <v>29462.114469886841</v>
      </c>
      <c r="J22" s="91">
        <v>29881.61258183726</v>
      </c>
      <c r="K22" s="91">
        <v>30348.905914404662</v>
      </c>
      <c r="L22" s="91">
        <v>30850.880178414609</v>
      </c>
      <c r="M22" s="91">
        <v>31471.349176961936</v>
      </c>
      <c r="N22" s="91">
        <v>32206.382432776933</v>
      </c>
      <c r="O22" s="91">
        <v>32534.764578885566</v>
      </c>
      <c r="P22" s="91">
        <v>32175.211564190682</v>
      </c>
      <c r="Q22" s="91">
        <v>32026.060183665682</v>
      </c>
      <c r="R22" s="91">
        <v>32219.260048117259</v>
      </c>
      <c r="S22" s="91">
        <v>32509.800754340748</v>
      </c>
      <c r="T22" s="91">
        <v>32839.66311724922</v>
      </c>
      <c r="U22" s="91">
        <v>32898.971049945234</v>
      </c>
      <c r="V22" s="91">
        <v>33160.329281097394</v>
      </c>
      <c r="W22" s="91">
        <v>34069.828243245109</v>
      </c>
      <c r="X22" s="91">
        <v>34839.342650007748</v>
      </c>
      <c r="Y22" s="91">
        <v>35033.551919940626</v>
      </c>
      <c r="Z22" s="91">
        <v>35348.49027688161</v>
      </c>
      <c r="AA22" s="91">
        <v>35585.279642430207</v>
      </c>
      <c r="AB22" s="91">
        <v>36078.586985308742</v>
      </c>
      <c r="AC22" s="91">
        <v>36779.912754784484</v>
      </c>
      <c r="AD22" s="91">
        <v>37191.742316204494</v>
      </c>
      <c r="AE22" s="91">
        <v>37418.390839011547</v>
      </c>
      <c r="AF22" s="91">
        <v>38268.833646374631</v>
      </c>
      <c r="AG22" s="91">
        <v>39291.158617664834</v>
      </c>
      <c r="AH22" s="91">
        <v>39872.709761417755</v>
      </c>
      <c r="AI22" s="91">
        <v>40241.212029566123</v>
      </c>
      <c r="AJ22" s="91">
        <v>40656.362517762842</v>
      </c>
      <c r="AK22" s="91">
        <v>41347.988401317103</v>
      </c>
      <c r="AL22" s="91">
        <v>42239.942127499729</v>
      </c>
      <c r="AM22" s="91">
        <v>43273.382556345714</v>
      </c>
    </row>
    <row r="23" spans="1:41" ht="12" customHeight="1" x14ac:dyDescent="0.2">
      <c r="A23" s="40" t="s">
        <v>125</v>
      </c>
      <c r="B23" s="90">
        <v>6219.3427326982692</v>
      </c>
      <c r="C23" s="90">
        <v>6294.9669426595046</v>
      </c>
      <c r="D23" s="90">
        <v>6407.4385276273133</v>
      </c>
      <c r="E23" s="90">
        <v>6477.3375136711529</v>
      </c>
      <c r="F23" s="90">
        <v>6492.3672887359962</v>
      </c>
      <c r="G23" s="90">
        <v>6510.6471646785603</v>
      </c>
      <c r="H23" s="90">
        <v>6592.6195463800887</v>
      </c>
      <c r="I23" s="90">
        <v>6679.9925623243898</v>
      </c>
      <c r="J23" s="90">
        <v>6762.4404066494153</v>
      </c>
      <c r="K23" s="90">
        <v>6851.8703377379297</v>
      </c>
      <c r="L23" s="90">
        <v>6974.0034024347569</v>
      </c>
      <c r="M23" s="90">
        <v>7093.5297288954062</v>
      </c>
      <c r="N23" s="90">
        <v>7177.9758880951231</v>
      </c>
      <c r="O23" s="90">
        <v>7247.195193067535</v>
      </c>
      <c r="P23" s="90">
        <v>7351.7641487937581</v>
      </c>
      <c r="Q23" s="90">
        <v>7498.5506402348437</v>
      </c>
      <c r="R23" s="90">
        <v>7601.7848443509365</v>
      </c>
      <c r="S23" s="90">
        <v>7595.9446104530107</v>
      </c>
      <c r="T23" s="90">
        <v>7545.8478420448664</v>
      </c>
      <c r="U23" s="90">
        <v>7498.9166254536249</v>
      </c>
      <c r="V23" s="90">
        <v>7553.2978599747012</v>
      </c>
      <c r="W23" s="90">
        <v>7784.6191564819219</v>
      </c>
      <c r="X23" s="90">
        <v>8052.5733281766779</v>
      </c>
      <c r="Y23" s="90">
        <v>8303.083659774371</v>
      </c>
      <c r="Z23" s="90">
        <v>8440.4734851546036</v>
      </c>
      <c r="AA23" s="90">
        <v>8395.4301375191226</v>
      </c>
      <c r="AB23" s="90">
        <v>8324.0586709393101</v>
      </c>
      <c r="AC23" s="90">
        <v>8334.4392528162425</v>
      </c>
      <c r="AD23" s="90">
        <v>8415.4908338376918</v>
      </c>
      <c r="AE23" s="90">
        <v>8575.3601937065305</v>
      </c>
      <c r="AF23" s="90">
        <v>8756.8474883642775</v>
      </c>
      <c r="AG23" s="90">
        <v>8934.4361454664322</v>
      </c>
      <c r="AH23" s="90">
        <v>9086.7845196980452</v>
      </c>
      <c r="AI23" s="90">
        <v>9205.3115244828623</v>
      </c>
      <c r="AJ23" s="90">
        <v>9283.9208195232841</v>
      </c>
      <c r="AK23" s="90">
        <v>9390.2857602493787</v>
      </c>
      <c r="AL23" s="90">
        <v>9596.0020781825733</v>
      </c>
      <c r="AM23" s="90">
        <v>9897.47655192821</v>
      </c>
    </row>
    <row r="24" spans="1:41" ht="12" customHeight="1" x14ac:dyDescent="0.2">
      <c r="A24" s="40" t="s">
        <v>126</v>
      </c>
      <c r="B24" s="90">
        <v>6791.0364055990331</v>
      </c>
      <c r="C24" s="90">
        <v>7077.7310373825949</v>
      </c>
      <c r="D24" s="90">
        <v>7200.1739886510622</v>
      </c>
      <c r="E24" s="90">
        <v>7178.8761954278307</v>
      </c>
      <c r="F24" s="90">
        <v>7145.5379504905277</v>
      </c>
      <c r="G24" s="90">
        <v>7259.2795457075063</v>
      </c>
      <c r="H24" s="90">
        <v>7489.9210147019612</v>
      </c>
      <c r="I24" s="90">
        <v>7702.2801920186675</v>
      </c>
      <c r="J24" s="90">
        <v>7816.3296261090254</v>
      </c>
      <c r="K24" s="90">
        <v>7986.6672497778827</v>
      </c>
      <c r="L24" s="90">
        <v>8177.1600680950778</v>
      </c>
      <c r="M24" s="90">
        <v>8347.9342586951389</v>
      </c>
      <c r="N24" s="90">
        <v>8583.3599714398206</v>
      </c>
      <c r="O24" s="90">
        <v>8719.0966538839184</v>
      </c>
      <c r="P24" s="90">
        <v>8659.4439368855838</v>
      </c>
      <c r="Q24" s="90">
        <v>8631.8724141451821</v>
      </c>
      <c r="R24" s="90">
        <v>8675.9396848380475</v>
      </c>
      <c r="S24" s="90">
        <v>8693.6963239125089</v>
      </c>
      <c r="T24" s="90">
        <v>8724.2683449703272</v>
      </c>
      <c r="U24" s="90">
        <v>8713.2737045198846</v>
      </c>
      <c r="V24" s="90">
        <v>8889.5175245068422</v>
      </c>
      <c r="W24" s="90">
        <v>9198.4025898767541</v>
      </c>
      <c r="X24" s="90">
        <v>9353.5156395497779</v>
      </c>
      <c r="Y24" s="90">
        <v>9306.4882821582596</v>
      </c>
      <c r="Z24" s="90">
        <v>9263.2890267630082</v>
      </c>
      <c r="AA24" s="90">
        <v>9216.4137831703483</v>
      </c>
      <c r="AB24" s="90">
        <v>9447.544401947318</v>
      </c>
      <c r="AC24" s="90">
        <v>9800.8344196697817</v>
      </c>
      <c r="AD24" s="90">
        <v>9860.4727919300567</v>
      </c>
      <c r="AE24" s="90">
        <v>9788.7520852514372</v>
      </c>
      <c r="AF24" s="90">
        <v>9945.4832819435942</v>
      </c>
      <c r="AG24" s="90">
        <v>10259.870633778217</v>
      </c>
      <c r="AH24" s="90">
        <v>10474.647886841474</v>
      </c>
      <c r="AI24" s="90">
        <v>10592.302950120749</v>
      </c>
      <c r="AJ24" s="90">
        <v>10632.773502781756</v>
      </c>
      <c r="AK24" s="90">
        <v>10784.477608730196</v>
      </c>
      <c r="AL24" s="90">
        <v>11190.244332138094</v>
      </c>
      <c r="AM24" s="90">
        <v>11740.477291681029</v>
      </c>
    </row>
    <row r="25" spans="1:41" ht="12" customHeight="1" x14ac:dyDescent="0.2">
      <c r="A25" s="40" t="s">
        <v>127</v>
      </c>
      <c r="B25" s="90">
        <v>11589.54227917529</v>
      </c>
      <c r="C25" s="90">
        <v>11612.455541565081</v>
      </c>
      <c r="D25" s="90">
        <v>11823.783178198035</v>
      </c>
      <c r="E25" s="90">
        <v>12175.713967554686</v>
      </c>
      <c r="F25" s="90">
        <v>12522.111477962892</v>
      </c>
      <c r="G25" s="90">
        <v>12757.820607062566</v>
      </c>
      <c r="H25" s="90">
        <v>12896.903748034598</v>
      </c>
      <c r="I25" s="90">
        <v>13088.897437921845</v>
      </c>
      <c r="J25" s="90">
        <v>13295.48077538088</v>
      </c>
      <c r="K25" s="90">
        <v>13447.92226624216</v>
      </c>
      <c r="L25" s="90">
        <v>13578.028035003494</v>
      </c>
      <c r="M25" s="90">
        <v>13877.967967005878</v>
      </c>
      <c r="N25" s="90">
        <v>14239.942663859802</v>
      </c>
      <c r="O25" s="90">
        <v>14349.331172825336</v>
      </c>
      <c r="P25" s="90">
        <v>13984.68633285053</v>
      </c>
      <c r="Q25" s="90">
        <v>13745.470626992228</v>
      </c>
      <c r="R25" s="90">
        <v>13790.337241998173</v>
      </c>
      <c r="S25" s="90">
        <v>14083.848438345687</v>
      </c>
      <c r="T25" s="90">
        <v>14424.046920421088</v>
      </c>
      <c r="U25" s="90">
        <v>14513.375721347547</v>
      </c>
      <c r="V25" s="90">
        <v>14468.768351111103</v>
      </c>
      <c r="W25" s="90">
        <v>14713.63529963673</v>
      </c>
      <c r="X25" s="90">
        <v>14970.42455606383</v>
      </c>
      <c r="Y25" s="90">
        <v>14975.687071140128</v>
      </c>
      <c r="Z25" s="90">
        <v>15218.230891592973</v>
      </c>
      <c r="AA25" s="90">
        <v>15479.820052737532</v>
      </c>
      <c r="AB25" s="90">
        <v>15701.17825117481</v>
      </c>
      <c r="AC25" s="90">
        <v>15943.639896464805</v>
      </c>
      <c r="AD25" s="90">
        <v>16194.829240215529</v>
      </c>
      <c r="AE25" s="90">
        <v>16336.623327154706</v>
      </c>
      <c r="AF25" s="90">
        <v>16815.867288184621</v>
      </c>
      <c r="AG25" s="90">
        <v>17245.55636466921</v>
      </c>
      <c r="AH25" s="90">
        <v>17370.262330648078</v>
      </c>
      <c r="AI25" s="90">
        <v>17488.209343528284</v>
      </c>
      <c r="AJ25" s="90">
        <v>17789.050209808109</v>
      </c>
      <c r="AK25" s="90">
        <v>18148.77098219276</v>
      </c>
      <c r="AL25" s="90">
        <v>18347.572258549259</v>
      </c>
      <c r="AM25" s="90">
        <v>18470.603833914192</v>
      </c>
    </row>
    <row r="26" spans="1:41" ht="12" customHeight="1" x14ac:dyDescent="0.2">
      <c r="A26" s="39" t="s">
        <v>18</v>
      </c>
      <c r="B26" s="90"/>
      <c r="C26" s="90"/>
      <c r="D26" s="90"/>
      <c r="E26" s="90"/>
      <c r="F26" s="90"/>
      <c r="G26" s="90"/>
      <c r="H26" s="90"/>
      <c r="I26" s="90"/>
      <c r="J26" s="90"/>
      <c r="K26" s="90"/>
      <c r="L26" s="90"/>
      <c r="M26" s="90"/>
      <c r="N26" s="90"/>
      <c r="O26" s="90"/>
      <c r="P26" s="90"/>
      <c r="Q26" s="90"/>
      <c r="R26" s="90"/>
      <c r="S26" s="90"/>
      <c r="T26" s="90"/>
      <c r="U26" s="90"/>
      <c r="V26" s="90"/>
      <c r="W26" s="90"/>
      <c r="X26" s="90"/>
      <c r="Y26" s="90"/>
      <c r="Z26" s="90"/>
      <c r="AA26" s="90"/>
      <c r="AB26" s="90"/>
      <c r="AC26" s="90"/>
      <c r="AD26" s="90"/>
      <c r="AE26" s="90"/>
      <c r="AF26" s="90"/>
      <c r="AG26" s="90"/>
      <c r="AH26" s="90"/>
      <c r="AI26" s="90"/>
      <c r="AJ26" s="90"/>
      <c r="AK26" s="90"/>
      <c r="AL26" s="90"/>
      <c r="AM26" s="90"/>
    </row>
    <row r="27" spans="1:41" ht="12" customHeight="1" x14ac:dyDescent="0.2">
      <c r="A27" s="42" t="s">
        <v>128</v>
      </c>
      <c r="B27" s="90">
        <v>1862.80783651501</v>
      </c>
      <c r="C27" s="90">
        <v>1911.2418533996099</v>
      </c>
      <c r="D27" s="90">
        <v>1951.00751663285</v>
      </c>
      <c r="E27" s="90">
        <v>1991.3639733258301</v>
      </c>
      <c r="F27" s="90">
        <v>2001.9260793214801</v>
      </c>
      <c r="G27" s="90">
        <v>1986.2144246902999</v>
      </c>
      <c r="H27" s="90">
        <v>1977.8153980843799</v>
      </c>
      <c r="I27" s="90">
        <v>1990.94427762194</v>
      </c>
      <c r="J27" s="90">
        <v>2007.36177369794</v>
      </c>
      <c r="K27" s="90">
        <v>2062.4460606466901</v>
      </c>
      <c r="L27" s="90">
        <v>2121.6886728812801</v>
      </c>
      <c r="M27" s="90">
        <v>2151.91722236551</v>
      </c>
      <c r="N27" s="90">
        <v>2205.1039093821901</v>
      </c>
      <c r="O27" s="90">
        <v>2219.1415591087798</v>
      </c>
      <c r="P27" s="90">
        <v>2179.3171456608102</v>
      </c>
      <c r="Q27" s="90">
        <v>2150.1665022934299</v>
      </c>
      <c r="R27" s="90">
        <v>2151.1982769300998</v>
      </c>
      <c r="S27" s="90">
        <v>2136.3113816295399</v>
      </c>
      <c r="T27" s="90">
        <v>2145.5000098129399</v>
      </c>
      <c r="U27" s="90">
        <v>2173.4049986241798</v>
      </c>
      <c r="V27" s="90">
        <v>2248.7455455047502</v>
      </c>
      <c r="W27" s="90">
        <v>2373.1711972497101</v>
      </c>
      <c r="X27" s="90">
        <v>2462.8291262174598</v>
      </c>
      <c r="Y27" s="90">
        <v>2448.29290686787</v>
      </c>
      <c r="Z27" s="90">
        <v>2426.4968733710298</v>
      </c>
      <c r="AA27" s="90">
        <v>2493.6156690032099</v>
      </c>
      <c r="AB27" s="90">
        <v>2605.8056612473101</v>
      </c>
      <c r="AC27" s="90">
        <v>2700.9991858336598</v>
      </c>
      <c r="AD27" s="90">
        <v>2720.9494502212201</v>
      </c>
      <c r="AE27" s="90">
        <v>2717.6552328988701</v>
      </c>
      <c r="AF27" s="90">
        <v>2750.63558788214</v>
      </c>
      <c r="AG27" s="90">
        <v>2851.2954737509799</v>
      </c>
      <c r="AH27" s="90">
        <v>2941.0150242301502</v>
      </c>
      <c r="AI27" s="90">
        <v>2955.38821143423</v>
      </c>
      <c r="AJ27" s="90">
        <v>2950.6179856496901</v>
      </c>
      <c r="AK27" s="90">
        <v>3024.45405014477</v>
      </c>
      <c r="AL27" s="90">
        <v>3106.1234586298101</v>
      </c>
      <c r="AM27" s="90">
        <v>3164.82487882228</v>
      </c>
    </row>
    <row r="28" spans="1:41" ht="12" customHeight="1" thickBot="1" x14ac:dyDescent="0.25">
      <c r="A28" s="43"/>
      <c r="B28" s="94"/>
      <c r="C28" s="94"/>
      <c r="D28" s="94"/>
      <c r="E28" s="94"/>
      <c r="F28" s="94"/>
      <c r="G28" s="94"/>
      <c r="H28" s="94"/>
      <c r="I28" s="94"/>
      <c r="J28" s="94"/>
      <c r="K28" s="94"/>
      <c r="L28" s="94"/>
      <c r="M28" s="94"/>
      <c r="N28" s="94"/>
      <c r="O28" s="94"/>
      <c r="P28" s="94"/>
      <c r="Q28" s="94"/>
      <c r="R28" s="94"/>
      <c r="S28" s="94"/>
      <c r="T28" s="94"/>
      <c r="U28" s="94"/>
      <c r="V28" s="94"/>
      <c r="W28" s="94"/>
      <c r="X28" s="94"/>
      <c r="Y28" s="94"/>
      <c r="Z28" s="94"/>
      <c r="AA28" s="94"/>
      <c r="AB28" s="94"/>
      <c r="AC28" s="94"/>
      <c r="AD28" s="94"/>
      <c r="AE28" s="94"/>
      <c r="AF28" s="94"/>
      <c r="AG28" s="94"/>
      <c r="AH28" s="94"/>
      <c r="AI28" s="94"/>
      <c r="AJ28" s="94"/>
      <c r="AK28" s="94"/>
      <c r="AL28" s="94"/>
      <c r="AM28" s="94"/>
    </row>
    <row r="29" spans="1:41" ht="12" customHeight="1" x14ac:dyDescent="0.2">
      <c r="A29" s="95" t="s">
        <v>50</v>
      </c>
    </row>
    <row r="30" spans="1:41" ht="12" customHeight="1" x14ac:dyDescent="0.2">
      <c r="A30" s="95"/>
    </row>
    <row r="31" spans="1:41" s="87" customFormat="1" ht="12" customHeight="1" x14ac:dyDescent="0.2">
      <c r="A31" s="89" t="s">
        <v>169</v>
      </c>
    </row>
    <row r="32" spans="1:41" s="121" customFormat="1" ht="12" customHeight="1" x14ac:dyDescent="0.2">
      <c r="A32" s="124" t="s">
        <v>123</v>
      </c>
      <c r="B32" s="212" t="s">
        <v>80</v>
      </c>
      <c r="C32" s="212"/>
      <c r="D32" s="212"/>
      <c r="E32" s="212"/>
      <c r="F32" s="124" t="s">
        <v>92</v>
      </c>
      <c r="G32" s="212" t="s">
        <v>92</v>
      </c>
      <c r="H32" s="212"/>
      <c r="I32" s="212"/>
      <c r="J32" s="211" t="s">
        <v>134</v>
      </c>
      <c r="K32" s="211"/>
      <c r="L32" s="211"/>
      <c r="M32" s="211"/>
      <c r="N32" s="211" t="s">
        <v>136</v>
      </c>
      <c r="O32" s="211"/>
      <c r="P32" s="211"/>
      <c r="Q32" s="211"/>
      <c r="R32" s="211" t="s">
        <v>137</v>
      </c>
      <c r="S32" s="211"/>
      <c r="T32" s="211"/>
      <c r="U32" s="211"/>
      <c r="V32" s="211" t="s">
        <v>138</v>
      </c>
      <c r="W32" s="211"/>
      <c r="X32" s="211"/>
      <c r="Y32" s="211"/>
      <c r="Z32" s="211" t="s">
        <v>139</v>
      </c>
      <c r="AA32" s="211"/>
      <c r="AB32" s="211"/>
      <c r="AC32" s="211"/>
      <c r="AD32" s="211" t="s">
        <v>140</v>
      </c>
      <c r="AE32" s="211"/>
      <c r="AF32" s="211"/>
      <c r="AG32" s="211"/>
      <c r="AH32" s="211" t="s">
        <v>166</v>
      </c>
      <c r="AI32" s="211"/>
      <c r="AJ32" s="211"/>
      <c r="AK32" s="211"/>
      <c r="AL32" s="211" t="s">
        <v>167</v>
      </c>
      <c r="AM32" s="211"/>
      <c r="AN32" s="120"/>
      <c r="AO32" s="120"/>
    </row>
    <row r="33" spans="1:39" s="123" customFormat="1" ht="12" customHeight="1" x14ac:dyDescent="0.2">
      <c r="A33" s="125" t="s">
        <v>124</v>
      </c>
      <c r="B33" s="126" t="s">
        <v>46</v>
      </c>
      <c r="C33" s="126" t="s">
        <v>47</v>
      </c>
      <c r="D33" s="126" t="s">
        <v>48</v>
      </c>
      <c r="E33" s="126" t="s">
        <v>49</v>
      </c>
      <c r="F33" s="127" t="s">
        <v>46</v>
      </c>
      <c r="G33" s="127" t="s">
        <v>47</v>
      </c>
      <c r="H33" s="127" t="s">
        <v>48</v>
      </c>
      <c r="I33" s="127" t="s">
        <v>49</v>
      </c>
      <c r="J33" s="85" t="s">
        <v>46</v>
      </c>
      <c r="K33" s="85" t="s">
        <v>47</v>
      </c>
      <c r="L33" s="85" t="s">
        <v>48</v>
      </c>
      <c r="M33" s="85" t="s">
        <v>49</v>
      </c>
      <c r="N33" s="85" t="s">
        <v>46</v>
      </c>
      <c r="O33" s="85" t="s">
        <v>47</v>
      </c>
      <c r="P33" s="85" t="s">
        <v>48</v>
      </c>
      <c r="Q33" s="85" t="s">
        <v>49</v>
      </c>
      <c r="R33" s="85" t="s">
        <v>46</v>
      </c>
      <c r="S33" s="85" t="s">
        <v>47</v>
      </c>
      <c r="T33" s="85" t="s">
        <v>48</v>
      </c>
      <c r="U33" s="85" t="s">
        <v>49</v>
      </c>
      <c r="V33" s="85" t="s">
        <v>46</v>
      </c>
      <c r="W33" s="85" t="s">
        <v>47</v>
      </c>
      <c r="X33" s="85" t="s">
        <v>48</v>
      </c>
      <c r="Y33" s="85" t="s">
        <v>49</v>
      </c>
      <c r="Z33" s="85" t="s">
        <v>46</v>
      </c>
      <c r="AA33" s="85" t="s">
        <v>47</v>
      </c>
      <c r="AB33" s="85" t="s">
        <v>48</v>
      </c>
      <c r="AC33" s="85" t="s">
        <v>49</v>
      </c>
      <c r="AD33" s="85" t="s">
        <v>46</v>
      </c>
      <c r="AE33" s="85" t="s">
        <v>47</v>
      </c>
      <c r="AF33" s="85" t="s">
        <v>48</v>
      </c>
      <c r="AG33" s="85" t="s">
        <v>49</v>
      </c>
      <c r="AH33" s="85" t="s">
        <v>46</v>
      </c>
      <c r="AI33" s="85" t="s">
        <v>47</v>
      </c>
      <c r="AJ33" s="85" t="s">
        <v>48</v>
      </c>
      <c r="AK33" s="85" t="s">
        <v>49</v>
      </c>
      <c r="AL33" s="85" t="s">
        <v>46</v>
      </c>
      <c r="AM33" s="85" t="s">
        <v>47</v>
      </c>
    </row>
    <row r="34" spans="1:39" ht="12" customHeight="1" x14ac:dyDescent="0.2">
      <c r="A34" s="37" t="s">
        <v>101</v>
      </c>
      <c r="B34" s="71"/>
      <c r="C34" s="71"/>
      <c r="D34" s="71"/>
      <c r="E34" s="71"/>
      <c r="F34" s="71"/>
      <c r="G34" s="71"/>
      <c r="H34" s="71"/>
      <c r="I34" s="71"/>
      <c r="J34" s="71"/>
      <c r="K34" s="71"/>
      <c r="L34" s="71"/>
      <c r="M34" s="71"/>
      <c r="N34" s="71"/>
      <c r="O34" s="71"/>
      <c r="P34" s="71"/>
      <c r="Q34" s="71"/>
      <c r="R34" s="71"/>
      <c r="S34" s="71"/>
      <c r="T34" s="71"/>
      <c r="U34" s="71"/>
    </row>
    <row r="35" spans="1:39" ht="12" customHeight="1" x14ac:dyDescent="0.2">
      <c r="A35" s="39" t="s">
        <v>0</v>
      </c>
      <c r="B35" s="71">
        <v>-0.26122599349414077</v>
      </c>
      <c r="C35" s="71">
        <v>0.50756396361286704</v>
      </c>
      <c r="D35" s="71">
        <v>6.7464548438344707</v>
      </c>
      <c r="E35" s="71">
        <v>6.1811726662669653</v>
      </c>
      <c r="F35" s="71">
        <v>7.680899838187849</v>
      </c>
      <c r="G35" s="71">
        <v>6.4828574170991526</v>
      </c>
      <c r="H35" s="71">
        <v>5.3854548516732992</v>
      </c>
      <c r="I35" s="71">
        <v>5.5652552026089541</v>
      </c>
      <c r="J35" s="71">
        <v>5.5745218290362164</v>
      </c>
      <c r="K35" s="71">
        <v>5.7290793971742193</v>
      </c>
      <c r="L35" s="71">
        <v>7.6659988765000353</v>
      </c>
      <c r="M35" s="71">
        <v>6.8851035225670376</v>
      </c>
      <c r="N35" s="71">
        <v>7.5602194202029516</v>
      </c>
      <c r="O35" s="71">
        <v>8.3709675178608389</v>
      </c>
      <c r="P35" s="71">
        <v>1.1985158163788201</v>
      </c>
      <c r="Q35" s="71">
        <v>-5.5516964673997364</v>
      </c>
      <c r="R35" s="71">
        <v>-0.40309239402191999</v>
      </c>
      <c r="S35" s="71">
        <v>3.249573690178309E-2</v>
      </c>
      <c r="T35" s="71">
        <v>2.8043450225728961</v>
      </c>
      <c r="U35" s="71">
        <v>13.009860656729334</v>
      </c>
      <c r="V35" s="71">
        <v>2.3547240160596283</v>
      </c>
      <c r="W35" s="71">
        <v>4.7648514346921855</v>
      </c>
      <c r="X35" s="71">
        <v>5.6227188954377949</v>
      </c>
      <c r="Y35" s="71">
        <v>5.8119710085462239</v>
      </c>
      <c r="Z35" s="71">
        <v>8.7705981453641826</v>
      </c>
      <c r="AA35" s="71">
        <v>4.3131379207032028</v>
      </c>
      <c r="AB35" s="71">
        <v>2.2299522773682856</v>
      </c>
      <c r="AC35" s="71">
        <v>5.747511173271791</v>
      </c>
      <c r="AD35" s="71">
        <v>5.9910475756172588</v>
      </c>
      <c r="AE35" s="71">
        <v>5.7824205334947809</v>
      </c>
      <c r="AF35" s="71">
        <v>6.8245767569395266</v>
      </c>
      <c r="AG35" s="71">
        <v>5.6851103803429615</v>
      </c>
      <c r="AH35" s="71">
        <v>6.1794064037050678</v>
      </c>
      <c r="AI35" s="71">
        <v>5.3634777034342385</v>
      </c>
      <c r="AJ35" s="71">
        <v>8.3943389671000901</v>
      </c>
      <c r="AK35" s="71">
        <v>5.5263248039615354</v>
      </c>
      <c r="AL35" s="71">
        <v>4.845791895303142</v>
      </c>
      <c r="AM35" s="71">
        <v>8.4581777204844943</v>
      </c>
    </row>
    <row r="36" spans="1:39" ht="12" customHeight="1" x14ac:dyDescent="0.2">
      <c r="A36" s="40" t="s">
        <v>125</v>
      </c>
      <c r="B36" s="71">
        <v>1.1733408264864575</v>
      </c>
      <c r="C36" s="71">
        <v>3.2296506496494182</v>
      </c>
      <c r="D36" s="71">
        <v>1.0636812340840684</v>
      </c>
      <c r="E36" s="71">
        <v>6.0861995034416916</v>
      </c>
      <c r="F36" s="71">
        <v>9.6271373131021853</v>
      </c>
      <c r="G36" s="71">
        <v>1.4567401018605208</v>
      </c>
      <c r="H36" s="71">
        <v>2.5331515047964492</v>
      </c>
      <c r="I36" s="71">
        <v>2.0288347464102685</v>
      </c>
      <c r="J36" s="71">
        <v>2.1728309573495252</v>
      </c>
      <c r="K36" s="71">
        <v>4.0142916889432279</v>
      </c>
      <c r="L36" s="71">
        <v>8.0105649820064073</v>
      </c>
      <c r="M36" s="71">
        <v>8.7388102072792009</v>
      </c>
      <c r="N36" s="71">
        <v>6.0482714418092609</v>
      </c>
      <c r="O36" s="71">
        <v>7.6423041058843788</v>
      </c>
      <c r="P36" s="71">
        <v>-1.293855933966559</v>
      </c>
      <c r="Q36" s="71">
        <v>5.8976314563911281</v>
      </c>
      <c r="R36" s="71">
        <v>6.9495695961573345</v>
      </c>
      <c r="S36" s="71">
        <v>7.762298433045256</v>
      </c>
      <c r="T36" s="71">
        <v>0.27724211074007243</v>
      </c>
      <c r="U36" s="71">
        <v>0.72534794552308046</v>
      </c>
      <c r="V36" s="71">
        <v>4.3827359686343659</v>
      </c>
      <c r="W36" s="71">
        <v>-1.9940967107842655</v>
      </c>
      <c r="X36" s="71">
        <v>4.1826801775161515</v>
      </c>
      <c r="Y36" s="71">
        <v>10.386735663447233</v>
      </c>
      <c r="Z36" s="71">
        <v>4.360614458889045</v>
      </c>
      <c r="AA36" s="71">
        <v>11.82045003135026</v>
      </c>
      <c r="AB36" s="71">
        <v>5.4187896635948585</v>
      </c>
      <c r="AC36" s="71">
        <v>-2.7565253173958748</v>
      </c>
      <c r="AD36" s="71">
        <v>5.6546920383401256</v>
      </c>
      <c r="AE36" s="71">
        <v>2.0542364080081699</v>
      </c>
      <c r="AF36" s="71">
        <v>4.0433084994440316</v>
      </c>
      <c r="AG36" s="71">
        <v>10.576270358409779</v>
      </c>
      <c r="AH36" s="71">
        <v>6.331647981826416</v>
      </c>
      <c r="AI36" s="71">
        <v>7.7962920336269725</v>
      </c>
      <c r="AJ36" s="71">
        <v>10.306568787292658</v>
      </c>
      <c r="AK36" s="71">
        <v>3.4652178662333943</v>
      </c>
      <c r="AL36" s="71">
        <v>3.0713610747832076</v>
      </c>
      <c r="AM36" s="71">
        <v>8.7713266407066328</v>
      </c>
    </row>
    <row r="37" spans="1:39" ht="12" customHeight="1" x14ac:dyDescent="0.2">
      <c r="A37" s="40" t="s">
        <v>126</v>
      </c>
      <c r="B37" s="71">
        <v>-0.60233731749581576</v>
      </c>
      <c r="C37" s="71">
        <v>4.5995316602583713</v>
      </c>
      <c r="D37" s="71">
        <v>16.22566151177449</v>
      </c>
      <c r="E37" s="71">
        <v>7.9277803032603567</v>
      </c>
      <c r="F37" s="71">
        <v>5.4100804187855012</v>
      </c>
      <c r="G37" s="71">
        <v>2.8953153411108934</v>
      </c>
      <c r="H37" s="71">
        <v>3.1727275125237098</v>
      </c>
      <c r="I37" s="71">
        <v>7.9833360247493657</v>
      </c>
      <c r="J37" s="71">
        <v>9.0370626320726011</v>
      </c>
      <c r="K37" s="71">
        <v>10.332149905133758</v>
      </c>
      <c r="L37" s="71">
        <v>9.3709855646842968</v>
      </c>
      <c r="M37" s="71">
        <v>7.473569768474797</v>
      </c>
      <c r="N37" s="71">
        <v>10.161698564918797</v>
      </c>
      <c r="O37" s="71">
        <v>10.140469880641568</v>
      </c>
      <c r="P37" s="71">
        <v>2.9512124393612504</v>
      </c>
      <c r="Q37" s="71">
        <v>-9.7908167209499801</v>
      </c>
      <c r="R37" s="71">
        <v>-2.2068790801836768</v>
      </c>
      <c r="S37" s="71">
        <v>-1.4690786941649048</v>
      </c>
      <c r="T37" s="71">
        <v>2.1478317777220646</v>
      </c>
      <c r="U37" s="71">
        <v>17.497704584858486</v>
      </c>
      <c r="V37" s="71">
        <v>-0.12121400090699952</v>
      </c>
      <c r="W37" s="71">
        <v>7.824585878762691</v>
      </c>
      <c r="X37" s="71">
        <v>5.528521750207771</v>
      </c>
      <c r="Y37" s="71">
        <v>7.0691761169336731</v>
      </c>
      <c r="Z37" s="71">
        <v>12.288975604604691</v>
      </c>
      <c r="AA37" s="71">
        <v>-2.3754988308056668</v>
      </c>
      <c r="AB37" s="71">
        <v>0.71107423556320271</v>
      </c>
      <c r="AC37" s="71">
        <v>6.3594382003911543</v>
      </c>
      <c r="AD37" s="71">
        <v>9.895358882377181</v>
      </c>
      <c r="AE37" s="71">
        <v>4.4842492953972579</v>
      </c>
      <c r="AF37" s="71">
        <v>6.723096500061998</v>
      </c>
      <c r="AG37" s="71">
        <v>1.0980078659702297</v>
      </c>
      <c r="AH37" s="71">
        <v>5.1231152379484168</v>
      </c>
      <c r="AI37" s="71">
        <v>7.6514025698828592</v>
      </c>
      <c r="AJ37" s="71">
        <v>7.3997956869305881</v>
      </c>
      <c r="AK37" s="71">
        <v>7.5685940787426631</v>
      </c>
      <c r="AL37" s="71">
        <v>5.9747365900572058</v>
      </c>
      <c r="AM37" s="71">
        <v>12.257991306797633</v>
      </c>
    </row>
    <row r="38" spans="1:39" ht="12" customHeight="1" x14ac:dyDescent="0.2">
      <c r="A38" s="40" t="s">
        <v>127</v>
      </c>
      <c r="B38" s="71">
        <v>-2.4907341406145034</v>
      </c>
      <c r="C38" s="71">
        <v>-3.7360090149601177</v>
      </c>
      <c r="D38" s="71">
        <v>2.5175007417198803</v>
      </c>
      <c r="E38" s="71">
        <v>4.5088343483790316</v>
      </c>
      <c r="F38" s="71">
        <v>7.7450718660244666</v>
      </c>
      <c r="G38" s="71">
        <v>10.715277115623568</v>
      </c>
      <c r="H38" s="71">
        <v>9.1042744052119318</v>
      </c>
      <c r="I38" s="71">
        <v>6.5993997410431993</v>
      </c>
      <c r="J38" s="71">
        <v>6.9344150811826655</v>
      </c>
      <c r="K38" s="71">
        <v>4.3196164302073292</v>
      </c>
      <c r="L38" s="71">
        <v>6.1470325846066487</v>
      </c>
      <c r="M38" s="71">
        <v>5.9465301268559756</v>
      </c>
      <c r="N38" s="71">
        <v>6.5765580143748892</v>
      </c>
      <c r="O38" s="71">
        <v>7.4738827893539028</v>
      </c>
      <c r="P38" s="71">
        <v>1.520501256219009</v>
      </c>
      <c r="Q38" s="71">
        <v>-5.5218534923207834</v>
      </c>
      <c r="R38" s="71">
        <v>-3.679347659317278</v>
      </c>
      <c r="S38" s="71">
        <v>-2.0424320334529567</v>
      </c>
      <c r="T38" s="71">
        <v>5.2788270531512138</v>
      </c>
      <c r="U38" s="71">
        <v>12.807022294530634</v>
      </c>
      <c r="V38" s="71">
        <v>2.9730666675154005</v>
      </c>
      <c r="W38" s="71">
        <v>5.8856353411684603</v>
      </c>
      <c r="X38" s="71">
        <v>3.9715352291976203</v>
      </c>
      <c r="Y38" s="71">
        <v>3.3469496923427711</v>
      </c>
      <c r="Z38" s="71">
        <v>8.670368818347395</v>
      </c>
      <c r="AA38" s="71">
        <v>4.7269825402485477</v>
      </c>
      <c r="AB38" s="71">
        <v>1.5420013088479401</v>
      </c>
      <c r="AC38" s="71">
        <v>8.9260994726644292</v>
      </c>
      <c r="AD38" s="71">
        <v>2.6713069189930438</v>
      </c>
      <c r="AE38" s="71">
        <v>8.3223193724137232</v>
      </c>
      <c r="AF38" s="71">
        <v>8.0640636430651327</v>
      </c>
      <c r="AG38" s="71">
        <v>6.50508704291759</v>
      </c>
      <c r="AH38" s="71">
        <v>5.9861799343400746</v>
      </c>
      <c r="AI38" s="71">
        <v>2.2328288079326963</v>
      </c>
      <c r="AJ38" s="71">
        <v>8.7021832601590798</v>
      </c>
      <c r="AK38" s="71">
        <v>4.9505378057879801</v>
      </c>
      <c r="AL38" s="71">
        <v>5.6881024182068085</v>
      </c>
      <c r="AM38" s="71">
        <v>6.2357551053084048</v>
      </c>
    </row>
    <row r="39" spans="1:39" ht="12" customHeight="1" x14ac:dyDescent="0.2">
      <c r="A39" s="39" t="s">
        <v>18</v>
      </c>
      <c r="B39" s="71"/>
      <c r="C39" s="71"/>
      <c r="D39" s="71"/>
      <c r="E39" s="71"/>
      <c r="F39" s="71"/>
      <c r="G39" s="71"/>
      <c r="H39" s="71"/>
      <c r="I39" s="71"/>
      <c r="J39" s="71"/>
      <c r="K39" s="71"/>
      <c r="L39" s="71"/>
      <c r="M39" s="71"/>
      <c r="N39" s="71"/>
      <c r="O39" s="71"/>
      <c r="P39" s="71"/>
      <c r="Q39" s="71"/>
      <c r="R39" s="71"/>
      <c r="S39" s="71"/>
      <c r="T39" s="71"/>
      <c r="U39" s="71"/>
      <c r="V39" s="71"/>
      <c r="W39" s="71"/>
      <c r="X39" s="71"/>
      <c r="Y39" s="71"/>
      <c r="Z39" s="71"/>
      <c r="AA39" s="71"/>
      <c r="AB39" s="71"/>
      <c r="AC39" s="71"/>
      <c r="AD39" s="71"/>
      <c r="AE39" s="71"/>
      <c r="AF39" s="71"/>
      <c r="AG39" s="71"/>
      <c r="AH39" s="71"/>
      <c r="AI39" s="71"/>
      <c r="AJ39" s="71"/>
      <c r="AK39" s="71"/>
      <c r="AL39" s="71"/>
      <c r="AM39" s="71"/>
    </row>
    <row r="40" spans="1:39" ht="12" customHeight="1" x14ac:dyDescent="0.2">
      <c r="A40" s="92" t="s">
        <v>128</v>
      </c>
      <c r="B40" s="96">
        <v>10.604422341941389</v>
      </c>
      <c r="C40" s="96">
        <v>4.5985732246940358</v>
      </c>
      <c r="D40" s="96">
        <v>17.953650929762976</v>
      </c>
      <c r="E40" s="96">
        <v>10.804191715420641</v>
      </c>
      <c r="F40" s="96">
        <v>7.1484299532141415</v>
      </c>
      <c r="G40" s="96">
        <v>10.453863895765881</v>
      </c>
      <c r="H40" s="96">
        <v>-0.6630609689081024</v>
      </c>
      <c r="I40" s="96">
        <v>1.37028839343869</v>
      </c>
      <c r="J40" s="96">
        <v>-0.6107872741498821</v>
      </c>
      <c r="K40" s="96">
        <v>3.2552982957715582</v>
      </c>
      <c r="L40" s="96">
        <v>10.003239549811038</v>
      </c>
      <c r="M40" s="96">
        <v>5.0444829197609176</v>
      </c>
      <c r="N40" s="96">
        <v>11.026390767471984</v>
      </c>
      <c r="O40" s="96">
        <v>9.5357940323098411</v>
      </c>
      <c r="P40" s="96">
        <v>-0.67574802038412596</v>
      </c>
      <c r="Q40" s="96">
        <v>-24.997721465312061</v>
      </c>
      <c r="R40" s="96">
        <v>-3.3582876137571827</v>
      </c>
      <c r="S40" s="96">
        <v>-4.5905031387412754</v>
      </c>
      <c r="T40" s="96">
        <v>-3.5545582314911894</v>
      </c>
      <c r="U40" s="96">
        <v>47.741355672171039</v>
      </c>
      <c r="V40" s="96">
        <v>-1.7056381781547336</v>
      </c>
      <c r="W40" s="96">
        <v>8.4536149600923594</v>
      </c>
      <c r="X40" s="96">
        <v>21.819966569086112</v>
      </c>
      <c r="Y40" s="96">
        <v>2.6241571361079075</v>
      </c>
      <c r="Z40" s="96">
        <v>17.806551999602927</v>
      </c>
      <c r="AA40" s="96">
        <v>5.1403958430175534</v>
      </c>
      <c r="AB40" s="96">
        <v>4.1100753574990545</v>
      </c>
      <c r="AC40" s="96">
        <v>11.125298245463199</v>
      </c>
      <c r="AD40" s="96">
        <v>13.913662355052846</v>
      </c>
      <c r="AE40" s="96">
        <v>6.9502736537803589</v>
      </c>
      <c r="AF40" s="96">
        <v>6.8429800830516863</v>
      </c>
      <c r="AG40" s="96">
        <v>3.7987589153507306</v>
      </c>
      <c r="AH40" s="96">
        <v>10.556978909848947</v>
      </c>
      <c r="AI40" s="96">
        <v>9.3531628155154145</v>
      </c>
      <c r="AJ40" s="96">
        <v>5.4594993674930148</v>
      </c>
      <c r="AK40" s="96">
        <v>7.9766044265149549</v>
      </c>
      <c r="AL40" s="96">
        <v>3.3485178323735099</v>
      </c>
      <c r="AM40" s="96">
        <v>7.1416697089154546</v>
      </c>
    </row>
    <row r="41" spans="1:39" ht="12" customHeight="1" x14ac:dyDescent="0.2">
      <c r="A41" s="57"/>
      <c r="B41" s="58"/>
      <c r="C41" s="58"/>
      <c r="D41" s="58"/>
      <c r="E41" s="58"/>
      <c r="F41" s="59"/>
      <c r="G41" s="59"/>
      <c r="H41" s="59"/>
      <c r="I41" s="59"/>
      <c r="J41" s="59"/>
      <c r="K41" s="59"/>
      <c r="L41" s="59"/>
      <c r="M41" s="59"/>
      <c r="N41" s="59"/>
      <c r="O41" s="59"/>
      <c r="P41" s="59"/>
      <c r="Q41" s="59"/>
      <c r="R41" s="59"/>
      <c r="S41" s="59"/>
      <c r="T41" s="59"/>
      <c r="U41" s="59"/>
      <c r="V41" s="59"/>
      <c r="W41" s="59"/>
      <c r="X41" s="59"/>
      <c r="Y41" s="59"/>
      <c r="Z41" s="59"/>
      <c r="AA41" s="59"/>
      <c r="AB41" s="59"/>
      <c r="AC41" s="59"/>
      <c r="AD41" s="59"/>
      <c r="AE41" s="59"/>
      <c r="AF41" s="59"/>
      <c r="AG41" s="59"/>
      <c r="AH41" s="59"/>
      <c r="AI41" s="59"/>
      <c r="AJ41" s="59"/>
      <c r="AK41" s="59"/>
      <c r="AL41" s="59"/>
      <c r="AM41" s="59"/>
    </row>
    <row r="42" spans="1:39" ht="12" customHeight="1" x14ac:dyDescent="0.2">
      <c r="A42" s="37" t="s">
        <v>102</v>
      </c>
    </row>
    <row r="43" spans="1:39" ht="12" customHeight="1" x14ac:dyDescent="0.2">
      <c r="A43" s="39" t="s">
        <v>0</v>
      </c>
      <c r="B43" s="70">
        <v>0.86546068418358324</v>
      </c>
      <c r="C43" s="70">
        <v>1.521711735013942</v>
      </c>
      <c r="D43" s="70">
        <v>2.9807703918030004</v>
      </c>
      <c r="E43" s="70">
        <v>0.93312037594219799</v>
      </c>
      <c r="F43" s="70">
        <v>1.4844207361020434</v>
      </c>
      <c r="G43" s="70">
        <v>0.96014432932529648</v>
      </c>
      <c r="H43" s="70">
        <v>2.3199932952593594</v>
      </c>
      <c r="I43" s="70">
        <v>0.68300934326657181</v>
      </c>
      <c r="J43" s="70">
        <v>1.8136643795882312</v>
      </c>
      <c r="K43" s="70">
        <v>0.64811637513022546</v>
      </c>
      <c r="L43" s="70">
        <v>4.6692978290855391</v>
      </c>
      <c r="M43" s="70">
        <v>-0.59947920139280519</v>
      </c>
      <c r="N43" s="70">
        <v>2.9965019784536473</v>
      </c>
      <c r="O43" s="70">
        <v>1.1424887165306874</v>
      </c>
      <c r="P43" s="70">
        <v>-2.2614196123167618</v>
      </c>
      <c r="Q43" s="70">
        <v>-7.2116803884970544</v>
      </c>
      <c r="R43" s="70">
        <v>7.7549618419040511</v>
      </c>
      <c r="S43" s="70">
        <v>2.2828560542049292</v>
      </c>
      <c r="T43" s="70">
        <v>0.75671459142945263</v>
      </c>
      <c r="U43" s="70">
        <v>1.0728699351722826</v>
      </c>
      <c r="V43" s="70">
        <v>-1.7322537772073932</v>
      </c>
      <c r="W43" s="70">
        <v>4.7668230125172961</v>
      </c>
      <c r="X43" s="70">
        <v>2.2077868322680327</v>
      </c>
      <c r="Y43" s="70">
        <v>0.31372912446880896</v>
      </c>
      <c r="Z43" s="70">
        <v>1.1491280048687269</v>
      </c>
      <c r="AA43" s="70">
        <v>0.89760245851990828</v>
      </c>
      <c r="AB43" s="70">
        <v>-0.10537822619710591</v>
      </c>
      <c r="AC43" s="70">
        <v>3.2714827178336625</v>
      </c>
      <c r="AD43" s="70">
        <v>1.388204119208214</v>
      </c>
      <c r="AE43" s="70">
        <v>1.4696531862179896</v>
      </c>
      <c r="AF43" s="70">
        <v>0.77952016491100729</v>
      </c>
      <c r="AG43" s="70">
        <v>1.7342643690546611</v>
      </c>
      <c r="AH43" s="70">
        <v>2.1282137000801393</v>
      </c>
      <c r="AI43" s="70">
        <v>0.80694549241022706</v>
      </c>
      <c r="AJ43" s="70">
        <v>3.267281472197392</v>
      </c>
      <c r="AK43" s="70">
        <v>-0.74864264552773063</v>
      </c>
      <c r="AL43" s="70">
        <v>1.9166270533604868</v>
      </c>
      <c r="AM43" s="70">
        <v>3.9628847864205508</v>
      </c>
    </row>
    <row r="44" spans="1:39" ht="12" customHeight="1" x14ac:dyDescent="0.2">
      <c r="A44" s="40" t="s">
        <v>125</v>
      </c>
      <c r="B44" s="70">
        <v>-0.95264124405691764</v>
      </c>
      <c r="C44" s="70">
        <v>4.1188552265952527</v>
      </c>
      <c r="D44" s="70">
        <v>3.4125598459232354</v>
      </c>
      <c r="E44" s="70">
        <v>-0.56309294986702785</v>
      </c>
      <c r="F44" s="70">
        <v>1.2048156993836656</v>
      </c>
      <c r="G44" s="70">
        <v>-1.3701187287456063</v>
      </c>
      <c r="H44" s="70">
        <v>5.401478762228229</v>
      </c>
      <c r="I44" s="70">
        <v>-3.3053666816331484</v>
      </c>
      <c r="J44" s="70">
        <v>1.8099539874312232</v>
      </c>
      <c r="K44" s="70">
        <v>-2.4703167578976615E-2</v>
      </c>
      <c r="L44" s="70">
        <v>11.099767725156617</v>
      </c>
      <c r="M44" s="70">
        <v>-4.5545619591738307</v>
      </c>
      <c r="N44" s="70">
        <v>-2.1443540374344039E-2</v>
      </c>
      <c r="O44" s="70">
        <v>1.4118781644158362</v>
      </c>
      <c r="P44" s="70">
        <v>2.2334066951325005</v>
      </c>
      <c r="Q44" s="70">
        <v>1.9009271268024319</v>
      </c>
      <c r="R44" s="70">
        <v>-0.19475384246303573</v>
      </c>
      <c r="S44" s="70">
        <v>3.1287517276829657</v>
      </c>
      <c r="T44" s="70">
        <v>-3.7268402188685434</v>
      </c>
      <c r="U44" s="70">
        <v>1.5268623653196034</v>
      </c>
      <c r="V44" s="70">
        <v>3.7945184008034705</v>
      </c>
      <c r="W44" s="70">
        <v>-3.7462449152126043</v>
      </c>
      <c r="X44" s="70">
        <v>5.3123496714299501</v>
      </c>
      <c r="Y44" s="70">
        <v>5.1231288587306079</v>
      </c>
      <c r="Z44" s="70">
        <v>-3.410582798889783</v>
      </c>
      <c r="AA44" s="70">
        <v>4.338003749345698</v>
      </c>
      <c r="AB44" s="70">
        <v>-1.5248479065763987</v>
      </c>
      <c r="AC44" s="70">
        <v>-1.6361716416407046</v>
      </c>
      <c r="AD44" s="70">
        <v>4.355965586744226</v>
      </c>
      <c r="AE44" s="70">
        <v>0.76931956534675994</v>
      </c>
      <c r="AF44" s="70">
        <v>1.989594219126789</v>
      </c>
      <c r="AG44" s="70">
        <v>3.0529694356006498</v>
      </c>
      <c r="AH44" s="70">
        <v>0.82330880624443825</v>
      </c>
      <c r="AI44" s="70">
        <v>1.3054081248435434</v>
      </c>
      <c r="AJ44" s="70">
        <v>3.4927289891883317</v>
      </c>
      <c r="AK44" s="70">
        <v>-2.1254685494133452</v>
      </c>
      <c r="AL44" s="70">
        <v>1.7463495844387333</v>
      </c>
      <c r="AM44" s="70">
        <v>5.3632931051978083</v>
      </c>
    </row>
    <row r="45" spans="1:39" ht="12" customHeight="1" x14ac:dyDescent="0.2">
      <c r="A45" s="40" t="s">
        <v>126</v>
      </c>
      <c r="B45" s="71">
        <v>3.1670470762466429</v>
      </c>
      <c r="C45" s="71">
        <v>3.7170970166950479</v>
      </c>
      <c r="D45" s="71">
        <v>2.6932197332171892</v>
      </c>
      <c r="E45" s="71">
        <v>-1.5572897718329259</v>
      </c>
      <c r="F45" s="71">
        <v>0.35620939432765564</v>
      </c>
      <c r="G45" s="71">
        <v>0.82726373232302475</v>
      </c>
      <c r="H45" s="71">
        <v>3.8360497741890542</v>
      </c>
      <c r="I45" s="71">
        <v>2.9766218572104819</v>
      </c>
      <c r="J45" s="71">
        <v>0.97201607651271615</v>
      </c>
      <c r="K45" s="71">
        <v>2.0423049881874045</v>
      </c>
      <c r="L45" s="71">
        <v>3.4218618304103998</v>
      </c>
      <c r="M45" s="71">
        <v>0.73800682536799833</v>
      </c>
      <c r="N45" s="71">
        <v>3.3972866582111294</v>
      </c>
      <c r="O45" s="70">
        <v>2.5377275727684223</v>
      </c>
      <c r="P45" s="70">
        <v>-3.1529752425607516</v>
      </c>
      <c r="Q45" s="71">
        <v>-12.212561779081932</v>
      </c>
      <c r="R45" s="71">
        <v>11.611229861999917</v>
      </c>
      <c r="S45" s="71">
        <v>3.8385844559503113</v>
      </c>
      <c r="T45" s="71">
        <v>0.9514518769501823</v>
      </c>
      <c r="U45" s="71">
        <v>-2.7142844891547835E-2</v>
      </c>
      <c r="V45" s="71">
        <v>-4.8481824543152197</v>
      </c>
      <c r="W45" s="71">
        <v>12.979608443926228</v>
      </c>
      <c r="X45" s="71">
        <v>-1.2038631305172576</v>
      </c>
      <c r="Y45" s="71">
        <v>0.437586950678992</v>
      </c>
      <c r="Z45" s="71">
        <v>-0.61945777337908403</v>
      </c>
      <c r="AA45" s="71">
        <v>-0.57904911831040407</v>
      </c>
      <c r="AB45" s="71">
        <v>1.5823819594514843</v>
      </c>
      <c r="AC45" s="71">
        <v>5.7785620006794991</v>
      </c>
      <c r="AD45" s="71">
        <v>1.4940566726909799</v>
      </c>
      <c r="AE45" s="71">
        <v>-3.5630161586926667</v>
      </c>
      <c r="AF45" s="71">
        <v>3.1808000404047077</v>
      </c>
      <c r="AG45" s="71">
        <v>-0.10388496823852122</v>
      </c>
      <c r="AH45" s="71">
        <v>5.6296865788368677</v>
      </c>
      <c r="AI45" s="71">
        <v>-0.78729526908379865</v>
      </c>
      <c r="AJ45" s="71">
        <v>2.5542563084282266</v>
      </c>
      <c r="AK45" s="71">
        <v>5.0557372176895932E-2</v>
      </c>
      <c r="AL45" s="71">
        <v>4.2523590607245199</v>
      </c>
      <c r="AM45" s="71">
        <v>5.158680041318231</v>
      </c>
    </row>
    <row r="46" spans="1:39" ht="12" customHeight="1" x14ac:dyDescent="0.2">
      <c r="A46" s="40" t="s">
        <v>127</v>
      </c>
      <c r="B46" s="71">
        <v>-0.23506786864088136</v>
      </c>
      <c r="C46" s="71">
        <v>-0.2129518283456755</v>
      </c>
      <c r="D46" s="71">
        <v>1.9654659016473008</v>
      </c>
      <c r="E46" s="71">
        <v>3.3749736350335846</v>
      </c>
      <c r="F46" s="71">
        <v>2.2635705431087505</v>
      </c>
      <c r="G46" s="71">
        <v>2.6078739332290768</v>
      </c>
      <c r="H46" s="71">
        <v>0.47518545705402815</v>
      </c>
      <c r="I46" s="71">
        <v>1.1808352961780288</v>
      </c>
      <c r="J46" s="71">
        <v>2.7286258333619084</v>
      </c>
      <c r="K46" s="71">
        <v>-0.14502165836346448</v>
      </c>
      <c r="L46" s="71">
        <v>2.0957818683504881</v>
      </c>
      <c r="M46" s="71">
        <v>0.92429977808192731</v>
      </c>
      <c r="N46" s="71">
        <v>4.1550047232726151</v>
      </c>
      <c r="O46" s="71">
        <v>4.6131214420985778E-2</v>
      </c>
      <c r="P46" s="71">
        <v>-3.5307782311137292</v>
      </c>
      <c r="Q46" s="71">
        <v>-6.2521034992075286</v>
      </c>
      <c r="R46" s="71">
        <v>7.0503065577199431</v>
      </c>
      <c r="S46" s="71">
        <v>1.0011645705848782</v>
      </c>
      <c r="T46" s="71">
        <v>3.978380251039404</v>
      </c>
      <c r="U46" s="71">
        <v>-0.48104308836662835</v>
      </c>
      <c r="V46" s="71">
        <v>-1.0015606635143004</v>
      </c>
      <c r="W46" s="71">
        <v>3.3846816645488387</v>
      </c>
      <c r="X46" s="71">
        <v>2.1820235146027933</v>
      </c>
      <c r="Y46" s="71">
        <v>-1.8402887507327659</v>
      </c>
      <c r="Z46" s="71">
        <v>5.1582627216554489</v>
      </c>
      <c r="AA46" s="71">
        <v>-0.42542074959702747</v>
      </c>
      <c r="AB46" s="71">
        <v>-0.97115418539803766</v>
      </c>
      <c r="AC46" s="71">
        <v>4.2422080888693037</v>
      </c>
      <c r="AD46" s="71">
        <v>-0.11147455255687833</v>
      </c>
      <c r="AE46" s="71">
        <v>5.5083024573400197</v>
      </c>
      <c r="AF46" s="71">
        <v>-1.5905115979479634</v>
      </c>
      <c r="AG46" s="71">
        <v>2.1878533134218392</v>
      </c>
      <c r="AH46" s="71">
        <v>-2.2265295247203554E-2</v>
      </c>
      <c r="AI46" s="71">
        <v>2.0299338866679228</v>
      </c>
      <c r="AJ46" s="71">
        <v>4.2500229807768575</v>
      </c>
      <c r="AK46" s="71">
        <v>-1.2228544106075878</v>
      </c>
      <c r="AL46" s="71">
        <v>0.55501444277890055</v>
      </c>
      <c r="AM46" s="71">
        <v>2.8511598246419245</v>
      </c>
    </row>
    <row r="47" spans="1:39" ht="12" customHeight="1" x14ac:dyDescent="0.2">
      <c r="A47" s="39" t="s">
        <v>18</v>
      </c>
    </row>
    <row r="48" spans="1:39" ht="12" customHeight="1" x14ac:dyDescent="0.2">
      <c r="A48" s="92" t="s">
        <v>128</v>
      </c>
      <c r="B48" s="96">
        <v>5.8309682522293516</v>
      </c>
      <c r="C48" s="96">
        <v>-4.1539102801352756</v>
      </c>
      <c r="D48" s="96">
        <v>9.100332649350328</v>
      </c>
      <c r="E48" s="96">
        <v>0.45921372733797039</v>
      </c>
      <c r="F48" s="96">
        <v>1.6721227515343884</v>
      </c>
      <c r="G48" s="96">
        <v>-1.1227465076681042</v>
      </c>
      <c r="H48" s="96">
        <v>-1.4245218094258827</v>
      </c>
      <c r="I48" s="96">
        <v>2.6455085804352629</v>
      </c>
      <c r="J48" s="96">
        <v>-0.86586865806682622</v>
      </c>
      <c r="K48" s="96">
        <v>2.8032471730631725</v>
      </c>
      <c r="L48" s="96">
        <v>5.0290772297031383</v>
      </c>
      <c r="M48" s="96">
        <v>-1.5370744908151712</v>
      </c>
      <c r="N48" s="96">
        <v>4.1346239835344356</v>
      </c>
      <c r="O48" s="96">
        <v>1.9679872220325745</v>
      </c>
      <c r="P48" s="96">
        <v>-5.2367754725146654</v>
      </c>
      <c r="Q48" s="96">
        <v>-25.290101242768692</v>
      </c>
      <c r="R48" s="96">
        <v>33.259047032533637</v>
      </c>
      <c r="S48" s="96">
        <v>1.536643756989986</v>
      </c>
      <c r="T48" s="96">
        <v>-4.7389196287390583</v>
      </c>
      <c r="U48" s="96">
        <v>15.123673464783472</v>
      </c>
      <c r="V48" s="96">
        <v>-12.540484340732561</v>
      </c>
      <c r="W48" s="96">
        <v>13.95665588632089</v>
      </c>
      <c r="X48" s="96">
        <v>5.925066070152285</v>
      </c>
      <c r="Y48" s="96">
        <v>-2.5247783218058539</v>
      </c>
      <c r="Z48" s="96">
        <v>-0.7978262847154971</v>
      </c>
      <c r="AA48" s="96">
        <v>3.5285236738612058</v>
      </c>
      <c r="AB48" s="96">
        <v>3.9101277434346438</v>
      </c>
      <c r="AC48" s="96">
        <v>4.2980714163794786</v>
      </c>
      <c r="AD48" s="96">
        <v>0.88644397195893898</v>
      </c>
      <c r="AE48" s="96">
        <v>-1.5961718647509948</v>
      </c>
      <c r="AF48" s="96">
        <v>3.1852689426864478</v>
      </c>
      <c r="AG48" s="96">
        <v>1.4253527475223349</v>
      </c>
      <c r="AH48" s="96">
        <v>6.9685371667532525</v>
      </c>
      <c r="AI48" s="96">
        <v>-2.0594865540110918</v>
      </c>
      <c r="AJ48" s="96">
        <v>-0.71605213424207337</v>
      </c>
      <c r="AK48" s="96">
        <v>3.790470629778997</v>
      </c>
      <c r="AL48" s="96">
        <v>2.2237432975546145</v>
      </c>
      <c r="AM48" s="96">
        <v>1.7813745127096769</v>
      </c>
    </row>
    <row r="49" spans="1:39" ht="12" customHeight="1" x14ac:dyDescent="0.2">
      <c r="A49" s="97"/>
      <c r="B49" s="71"/>
      <c r="C49" s="71"/>
      <c r="D49" s="71"/>
      <c r="E49" s="71"/>
      <c r="F49" s="71"/>
      <c r="G49" s="71"/>
      <c r="H49" s="71"/>
      <c r="I49" s="71"/>
      <c r="J49" s="71"/>
      <c r="K49" s="71"/>
      <c r="L49" s="71"/>
      <c r="M49" s="71"/>
      <c r="N49" s="71"/>
      <c r="O49" s="71"/>
      <c r="P49" s="71"/>
      <c r="Q49" s="71"/>
      <c r="R49" s="71"/>
      <c r="S49" s="71"/>
      <c r="T49" s="71"/>
      <c r="U49" s="71"/>
      <c r="V49" s="71"/>
      <c r="W49" s="71"/>
      <c r="X49" s="71"/>
      <c r="Y49" s="71"/>
      <c r="Z49" s="71"/>
      <c r="AA49" s="71"/>
      <c r="AB49" s="71"/>
      <c r="AC49" s="71"/>
      <c r="AD49" s="71"/>
      <c r="AE49" s="71"/>
      <c r="AF49" s="71"/>
      <c r="AG49" s="71"/>
      <c r="AH49" s="71"/>
      <c r="AI49" s="71"/>
      <c r="AJ49" s="71"/>
      <c r="AK49" s="71"/>
      <c r="AL49" s="71"/>
      <c r="AM49" s="71"/>
    </row>
    <row r="50" spans="1:39" ht="12" customHeight="1" x14ac:dyDescent="0.2">
      <c r="A50" s="37" t="s">
        <v>100</v>
      </c>
      <c r="B50" s="71"/>
      <c r="C50" s="71"/>
      <c r="D50" s="71"/>
      <c r="E50" s="71"/>
      <c r="F50" s="71"/>
      <c r="G50" s="71"/>
      <c r="H50" s="71"/>
      <c r="I50" s="71"/>
      <c r="J50" s="71"/>
      <c r="K50" s="71"/>
      <c r="L50" s="71"/>
      <c r="M50" s="71"/>
      <c r="N50" s="71"/>
      <c r="O50" s="71"/>
      <c r="P50" s="71"/>
      <c r="Q50" s="71"/>
      <c r="R50" s="71"/>
      <c r="S50" s="71"/>
      <c r="T50" s="71"/>
      <c r="U50" s="71"/>
      <c r="V50" s="71"/>
      <c r="W50" s="71"/>
      <c r="X50" s="71"/>
      <c r="Y50" s="71"/>
      <c r="Z50" s="71"/>
      <c r="AA50" s="71"/>
      <c r="AB50" s="71"/>
      <c r="AC50" s="71"/>
      <c r="AD50" s="71"/>
      <c r="AE50" s="71"/>
      <c r="AF50" s="71"/>
      <c r="AG50" s="71"/>
      <c r="AH50" s="71"/>
      <c r="AI50" s="71"/>
      <c r="AJ50" s="71"/>
      <c r="AK50" s="71"/>
      <c r="AL50" s="71"/>
      <c r="AM50" s="71"/>
    </row>
    <row r="51" spans="1:39" ht="12" customHeight="1" x14ac:dyDescent="0.2">
      <c r="A51" s="39" t="s">
        <v>0</v>
      </c>
      <c r="B51" s="71">
        <v>1.1600043162414586</v>
      </c>
      <c r="C51" s="71">
        <v>1.6387807805343213</v>
      </c>
      <c r="D51" s="71">
        <v>1.8069627149892797</v>
      </c>
      <c r="E51" s="71">
        <v>1.6101159400478515</v>
      </c>
      <c r="F51" s="71">
        <v>1.2171498282506077</v>
      </c>
      <c r="G51" s="71">
        <v>1.2499810406249701</v>
      </c>
      <c r="H51" s="71">
        <v>1.5546698458494879</v>
      </c>
      <c r="I51" s="71">
        <v>1.7434479912485257</v>
      </c>
      <c r="J51" s="71">
        <v>1.4238560928109489</v>
      </c>
      <c r="K51" s="71">
        <v>1.5638156451149188</v>
      </c>
      <c r="L51" s="71">
        <v>1.6540110718511691</v>
      </c>
      <c r="M51" s="71">
        <v>2.0111873468733332</v>
      </c>
      <c r="N51" s="71">
        <v>2.3355632187293196</v>
      </c>
      <c r="O51" s="71">
        <v>1.0196182287596223</v>
      </c>
      <c r="P51" s="71">
        <v>-1.1051348283867002</v>
      </c>
      <c r="Q51" s="71">
        <v>-0.4635599061328266</v>
      </c>
      <c r="R51" s="71">
        <v>0.60325829447518409</v>
      </c>
      <c r="S51" s="71">
        <v>0.90176095226763842</v>
      </c>
      <c r="T51" s="71">
        <v>1.0146551355422417</v>
      </c>
      <c r="U51" s="71">
        <v>0.18059848081957153</v>
      </c>
      <c r="V51" s="71">
        <v>0.79442676415435454</v>
      </c>
      <c r="W51" s="71">
        <v>2.7427319989435706</v>
      </c>
      <c r="X51" s="71">
        <v>2.2586389378561389</v>
      </c>
      <c r="Y51" s="71">
        <v>0.55744240608637252</v>
      </c>
      <c r="Z51" s="71">
        <v>0.8989621082689192</v>
      </c>
      <c r="AA51" s="71">
        <v>0.66987122701378521</v>
      </c>
      <c r="AB51" s="71">
        <v>1.3862679957426627</v>
      </c>
      <c r="AC51" s="71">
        <v>1.9438836941183979</v>
      </c>
      <c r="AD51" s="71">
        <v>1.1197132635026197</v>
      </c>
      <c r="AE51" s="71">
        <v>0.6094054988875941</v>
      </c>
      <c r="AF51" s="71">
        <v>2.272793640490911</v>
      </c>
      <c r="AG51" s="71">
        <v>2.6714296566680229</v>
      </c>
      <c r="AH51" s="71">
        <v>1.4801068846350018</v>
      </c>
      <c r="AI51" s="71">
        <v>0.92419670083456751</v>
      </c>
      <c r="AJ51" s="71">
        <v>1.0316550303994365</v>
      </c>
      <c r="AK51" s="71">
        <v>1.7011504244928144</v>
      </c>
      <c r="AL51" s="71">
        <v>2.157187714975306</v>
      </c>
      <c r="AM51" s="71">
        <v>2.4465952764011423</v>
      </c>
    </row>
    <row r="52" spans="1:39" ht="12" customHeight="1" x14ac:dyDescent="0.2">
      <c r="A52" s="40" t="s">
        <v>125</v>
      </c>
      <c r="B52" s="71">
        <v>-0.32447704819998924</v>
      </c>
      <c r="C52" s="71">
        <v>1.2159518008814763</v>
      </c>
      <c r="D52" s="71">
        <v>1.78669063701693</v>
      </c>
      <c r="E52" s="71">
        <v>1.0909037323175497</v>
      </c>
      <c r="F52" s="71">
        <v>0.23203631172716843</v>
      </c>
      <c r="G52" s="71">
        <v>0.28155948561749966</v>
      </c>
      <c r="H52" s="71">
        <v>1.2590512068637816</v>
      </c>
      <c r="I52" s="71">
        <v>1.3253156098212315</v>
      </c>
      <c r="J52" s="71">
        <v>1.2342505407870741</v>
      </c>
      <c r="K52" s="71">
        <v>1.3224505609037207</v>
      </c>
      <c r="L52" s="71">
        <v>1.7824777568273165</v>
      </c>
      <c r="M52" s="71">
        <v>1.7138839711337228</v>
      </c>
      <c r="N52" s="71">
        <v>1.1904674037767959</v>
      </c>
      <c r="O52" s="71">
        <v>0.96432902605891879</v>
      </c>
      <c r="P52" s="71">
        <v>1.4428886340228653</v>
      </c>
      <c r="Q52" s="71">
        <v>1.9966158934134226</v>
      </c>
      <c r="R52" s="71">
        <v>1.3767221036312005</v>
      </c>
      <c r="S52" s="71">
        <v>-7.6827140171764619E-2</v>
      </c>
      <c r="T52" s="71">
        <v>-0.65951992776783763</v>
      </c>
      <c r="U52" s="71">
        <v>-0.62194756074651636</v>
      </c>
      <c r="V52" s="71">
        <v>0.72518788029312109</v>
      </c>
      <c r="W52" s="71">
        <v>3.062520514820477</v>
      </c>
      <c r="X52" s="71">
        <v>3.44209737571608</v>
      </c>
      <c r="Y52" s="71">
        <v>3.1109351183569389</v>
      </c>
      <c r="Z52" s="71">
        <v>1.6546843439123604</v>
      </c>
      <c r="AA52" s="71">
        <v>-0.53365901468329646</v>
      </c>
      <c r="AB52" s="71">
        <v>-0.85012280979926969</v>
      </c>
      <c r="AC52" s="71">
        <v>0.12470577499859026</v>
      </c>
      <c r="AD52" s="71">
        <v>0.97248991279241803</v>
      </c>
      <c r="AE52" s="71">
        <v>1.8997033331201951</v>
      </c>
      <c r="AF52" s="71">
        <v>2.116381009755619</v>
      </c>
      <c r="AG52" s="71">
        <v>2.0279976023120927</v>
      </c>
      <c r="AH52" s="71">
        <v>1.7051817456764651</v>
      </c>
      <c r="AI52" s="71">
        <v>1.3043888575532847</v>
      </c>
      <c r="AJ52" s="71">
        <v>0.85395583659877428</v>
      </c>
      <c r="AK52" s="71">
        <v>1.1456898738560817</v>
      </c>
      <c r="AL52" s="71">
        <v>2.1907354385744648</v>
      </c>
      <c r="AM52" s="71">
        <v>3.1416674495211572</v>
      </c>
    </row>
    <row r="53" spans="1:39" ht="12" customHeight="1" x14ac:dyDescent="0.2">
      <c r="A53" s="40" t="s">
        <v>126</v>
      </c>
      <c r="B53" s="71">
        <v>3.8740070806615012</v>
      </c>
      <c r="C53" s="71">
        <v>4.2216624188200491</v>
      </c>
      <c r="D53" s="71">
        <v>1.7299746291821183</v>
      </c>
      <c r="E53" s="71">
        <v>-0.29579553573012562</v>
      </c>
      <c r="F53" s="71">
        <v>-0.46439364643919845</v>
      </c>
      <c r="G53" s="71">
        <v>1.5917849153564534</v>
      </c>
      <c r="H53" s="71">
        <v>3.177195030749802</v>
      </c>
      <c r="I53" s="71">
        <v>2.8352659113476175</v>
      </c>
      <c r="J53" s="71">
        <v>1.480722996919015</v>
      </c>
      <c r="K53" s="71">
        <v>2.1792533301036254</v>
      </c>
      <c r="L53" s="71">
        <v>2.3851352805826842</v>
      </c>
      <c r="M53" s="71">
        <v>2.0884291022548629</v>
      </c>
      <c r="N53" s="71">
        <v>2.820167306653909</v>
      </c>
      <c r="O53" s="71">
        <v>1.5813933342624154</v>
      </c>
      <c r="P53" s="71">
        <v>-0.68416166681398716</v>
      </c>
      <c r="Q53" s="71">
        <v>-0.31839830526483315</v>
      </c>
      <c r="R53" s="71">
        <v>0.5105180959423361</v>
      </c>
      <c r="S53" s="71">
        <v>0.20466531257119502</v>
      </c>
      <c r="T53" s="71">
        <v>0.35165733790043507</v>
      </c>
      <c r="U53" s="71">
        <v>-0.12602363906861758</v>
      </c>
      <c r="V53" s="71">
        <v>2.0227049667398189</v>
      </c>
      <c r="W53" s="71">
        <v>3.4747112485955522</v>
      </c>
      <c r="X53" s="71">
        <v>1.686304205077227</v>
      </c>
      <c r="Y53" s="71">
        <v>-0.502777342806493</v>
      </c>
      <c r="Z53" s="71">
        <v>-0.46418427752248359</v>
      </c>
      <c r="AA53" s="71">
        <v>-0.50603239796610522</v>
      </c>
      <c r="AB53" s="71">
        <v>2.5078151243494107</v>
      </c>
      <c r="AC53" s="71">
        <v>3.7394904187975531</v>
      </c>
      <c r="AD53" s="71">
        <v>0.60850300807637758</v>
      </c>
      <c r="AE53" s="71">
        <v>-0.72735565719846962</v>
      </c>
      <c r="AF53" s="71">
        <v>1.6011356230821505</v>
      </c>
      <c r="AG53" s="71">
        <v>3.1611068353551541</v>
      </c>
      <c r="AH53" s="71">
        <v>2.0933719413201324</v>
      </c>
      <c r="AI53" s="71">
        <v>1.1232364519582205</v>
      </c>
      <c r="AJ53" s="71">
        <v>0.38207510540042566</v>
      </c>
      <c r="AK53" s="71">
        <v>1.4267594989092025</v>
      </c>
      <c r="AL53" s="71">
        <v>3.762506985775782</v>
      </c>
      <c r="AM53" s="71">
        <v>4.9170772613309266</v>
      </c>
    </row>
    <row r="54" spans="1:39" ht="12" customHeight="1" x14ac:dyDescent="0.2">
      <c r="A54" s="40" t="s">
        <v>127</v>
      </c>
      <c r="B54" s="71">
        <v>-0.15071623907467746</v>
      </c>
      <c r="C54" s="71">
        <v>0.19770636180311829</v>
      </c>
      <c r="D54" s="71">
        <v>1.8198359156385013</v>
      </c>
      <c r="E54" s="71">
        <v>2.9764651808363629</v>
      </c>
      <c r="F54" s="71">
        <v>2.8449872535710963</v>
      </c>
      <c r="G54" s="71">
        <v>1.8823433213678742</v>
      </c>
      <c r="H54" s="71">
        <v>1.0901794691723143</v>
      </c>
      <c r="I54" s="71">
        <v>1.4886804898152972</v>
      </c>
      <c r="J54" s="71">
        <v>1.5783096967397103</v>
      </c>
      <c r="K54" s="71">
        <v>1.1465662162706725</v>
      </c>
      <c r="L54" s="71">
        <v>0.96747859026471428</v>
      </c>
      <c r="M54" s="71">
        <v>2.2090095205957283</v>
      </c>
      <c r="N54" s="71">
        <v>2.6082687156685935</v>
      </c>
      <c r="O54" s="71">
        <v>0.76818082451381997</v>
      </c>
      <c r="P54" s="71">
        <v>-2.5411974647666313</v>
      </c>
      <c r="Q54" s="71">
        <v>-1.7105546750546319</v>
      </c>
      <c r="R54" s="71">
        <v>0.32641017702108588</v>
      </c>
      <c r="S54" s="71">
        <v>2.1283830206387577</v>
      </c>
      <c r="T54" s="71">
        <v>2.4155221746717359</v>
      </c>
      <c r="U54" s="71">
        <v>0.61930470289854878</v>
      </c>
      <c r="V54" s="71">
        <v>-0.30735351370275721</v>
      </c>
      <c r="W54" s="71">
        <v>1.6923828109171701</v>
      </c>
      <c r="X54" s="71">
        <v>1.7452468489105533</v>
      </c>
      <c r="Y54" s="71">
        <v>3.5152744376687473E-2</v>
      </c>
      <c r="Z54" s="71">
        <v>1.619583924935597</v>
      </c>
      <c r="AA54" s="71">
        <v>1.7189196497805037</v>
      </c>
      <c r="AB54" s="71">
        <v>1.4299791449974286</v>
      </c>
      <c r="AC54" s="71">
        <v>1.5442257989259689</v>
      </c>
      <c r="AD54" s="71">
        <v>1.5754830476723214</v>
      </c>
      <c r="AE54" s="71">
        <v>0.87555160252674735</v>
      </c>
      <c r="AF54" s="71">
        <v>2.9335557993390049</v>
      </c>
      <c r="AG54" s="71">
        <v>2.5552596789729876</v>
      </c>
      <c r="AH54" s="71">
        <v>0.72311941315128525</v>
      </c>
      <c r="AI54" s="71">
        <v>0.67901687743714412</v>
      </c>
      <c r="AJ54" s="71">
        <v>1.7202496857755989</v>
      </c>
      <c r="AK54" s="71">
        <v>2.0221471531196133</v>
      </c>
      <c r="AL54" s="71">
        <v>1.0953980109813521</v>
      </c>
      <c r="AM54" s="71">
        <v>0.6705605168422446</v>
      </c>
    </row>
    <row r="55" spans="1:39" ht="12" customHeight="1" x14ac:dyDescent="0.2">
      <c r="A55" s="39" t="s">
        <v>18</v>
      </c>
      <c r="B55" s="71"/>
      <c r="C55" s="71"/>
      <c r="D55" s="71"/>
      <c r="E55" s="71"/>
      <c r="F55" s="71"/>
      <c r="G55" s="71"/>
      <c r="H55" s="71"/>
      <c r="I55" s="71"/>
      <c r="J55" s="71"/>
      <c r="K55" s="71"/>
      <c r="L55" s="71"/>
      <c r="M55" s="71"/>
      <c r="N55" s="71"/>
      <c r="O55" s="71"/>
      <c r="P55" s="71"/>
      <c r="Q55" s="71"/>
      <c r="R55" s="71"/>
      <c r="S55" s="71"/>
      <c r="T55" s="71"/>
      <c r="U55" s="71"/>
      <c r="V55" s="71"/>
      <c r="W55" s="71"/>
      <c r="X55" s="71"/>
      <c r="Y55" s="71"/>
      <c r="Z55" s="71"/>
      <c r="AA55" s="71"/>
      <c r="AB55" s="71"/>
      <c r="AC55" s="71"/>
      <c r="AD55" s="71"/>
      <c r="AE55" s="71"/>
      <c r="AF55" s="71"/>
      <c r="AG55" s="71"/>
      <c r="AH55" s="71"/>
      <c r="AI55" s="71"/>
      <c r="AJ55" s="71"/>
      <c r="AK55" s="71"/>
      <c r="AL55" s="71"/>
      <c r="AM55" s="71"/>
    </row>
    <row r="56" spans="1:39" ht="12" customHeight="1" thickBot="1" x14ac:dyDescent="0.25">
      <c r="A56" s="51" t="s">
        <v>128</v>
      </c>
      <c r="B56" s="98">
        <v>4.9532628487524155</v>
      </c>
      <c r="C56" s="98">
        <v>2.6000543875320803</v>
      </c>
      <c r="D56" s="98">
        <v>2.0806191096384374</v>
      </c>
      <c r="E56" s="98">
        <v>2.0684931425907216</v>
      </c>
      <c r="F56" s="98">
        <v>0.53039555486231738</v>
      </c>
      <c r="G56" s="98">
        <v>-0.78482691211582134</v>
      </c>
      <c r="H56" s="98">
        <v>-0.42286605622802176</v>
      </c>
      <c r="I56" s="98">
        <v>0.66380712528966157</v>
      </c>
      <c r="J56" s="98">
        <v>0.82460851669889923</v>
      </c>
      <c r="K56" s="98">
        <v>2.7441135758640378</v>
      </c>
      <c r="L56" s="98">
        <v>2.8724441993898342</v>
      </c>
      <c r="M56" s="98">
        <v>1.4247401077547961</v>
      </c>
      <c r="N56" s="98">
        <v>2.4715953970670945</v>
      </c>
      <c r="O56" s="98">
        <v>0.63659810618732493</v>
      </c>
      <c r="P56" s="98">
        <v>-1.7945864374674381</v>
      </c>
      <c r="Q56" s="98">
        <v>-1.3376044613525595</v>
      </c>
      <c r="R56" s="98">
        <v>4.7985801823702268E-2</v>
      </c>
      <c r="S56" s="98">
        <v>-0.6920280413112101</v>
      </c>
      <c r="T56" s="98">
        <v>0.43011652057909355</v>
      </c>
      <c r="U56" s="98">
        <v>1.3006286965094427</v>
      </c>
      <c r="V56" s="98">
        <v>3.4664752739716143</v>
      </c>
      <c r="W56" s="98">
        <v>5.5331138729184826</v>
      </c>
      <c r="X56" s="98">
        <v>3.7779798217530747</v>
      </c>
      <c r="Y56" s="98">
        <v>-0.59022443720710971</v>
      </c>
      <c r="Z56" s="98">
        <v>-0.89025432519527214</v>
      </c>
      <c r="AA56" s="98">
        <v>2.7660779772171962</v>
      </c>
      <c r="AB56" s="98">
        <v>4.4990891595153792</v>
      </c>
      <c r="AC56" s="98">
        <v>3.6531321580130394</v>
      </c>
      <c r="AD56" s="98">
        <v>0.738625338807819</v>
      </c>
      <c r="AE56" s="98">
        <v>-0.12106867042613878</v>
      </c>
      <c r="AF56" s="98">
        <v>1.2135591955897418</v>
      </c>
      <c r="AG56" s="98">
        <v>3.6595136888468494</v>
      </c>
      <c r="AH56" s="98">
        <v>3.1466240978926363</v>
      </c>
      <c r="AI56" s="98">
        <v>0.48871519137656527</v>
      </c>
      <c r="AJ56" s="98">
        <v>-0.16140775570817611</v>
      </c>
      <c r="AK56" s="98">
        <v>2.5023932225107126</v>
      </c>
      <c r="AL56" s="98">
        <v>2.7003025052118268</v>
      </c>
      <c r="AM56" s="98">
        <v>1.8898611395943954</v>
      </c>
    </row>
    <row r="57" spans="1:39" ht="12" customHeight="1" x14ac:dyDescent="0.2">
      <c r="A57" s="95" t="s">
        <v>50</v>
      </c>
    </row>
  </sheetData>
  <mergeCells count="20">
    <mergeCell ref="N32:Q32"/>
    <mergeCell ref="N3:Q3"/>
    <mergeCell ref="R3:U3"/>
    <mergeCell ref="R32:U32"/>
    <mergeCell ref="AL3:AM3"/>
    <mergeCell ref="AL32:AM32"/>
    <mergeCell ref="AH3:AK3"/>
    <mergeCell ref="AH32:AK32"/>
    <mergeCell ref="B3:E3"/>
    <mergeCell ref="B32:E32"/>
    <mergeCell ref="AD3:AG3"/>
    <mergeCell ref="AD32:AG32"/>
    <mergeCell ref="G32:I32"/>
    <mergeCell ref="G3:I3"/>
    <mergeCell ref="J32:M32"/>
    <mergeCell ref="J3:M3"/>
    <mergeCell ref="Z3:AC3"/>
    <mergeCell ref="Z32:AC32"/>
    <mergeCell ref="V3:Y3"/>
    <mergeCell ref="V32:Y32"/>
  </mergeCells>
  <phoneticPr fontId="29" type="noConversion"/>
  <conditionalFormatting sqref="B35:AM56">
    <cfRule type="cellIs" dxfId="19" priority="3" operator="lessThan">
      <formula>0</formula>
    </cfRule>
    <cfRule type="cellIs" dxfId="18" priority="4" operator="lessThan">
      <formula>-40.58231656</formula>
    </cfRule>
    <cfRule type="cellIs" dxfId="17" priority="5" operator="lessThan">
      <formula>0</formula>
    </cfRule>
  </conditionalFormatting>
  <conditionalFormatting sqref="H21">
    <cfRule type="cellIs" dxfId="16" priority="2" operator="lessThan">
      <formula>0</formula>
    </cfRule>
  </conditionalFormatting>
  <conditionalFormatting sqref="A1:XFD1048576">
    <cfRule type="cellIs" dxfId="15" priority="1" operator="lessThan">
      <formula>0</formula>
    </cfRule>
  </conditionalFormatting>
  <pageMargins left="0.51181102362204722" right="0" top="0.51181102362204722" bottom="0" header="0" footer="0"/>
  <pageSetup paperSize="9" scale="47"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AQ56"/>
  <sheetViews>
    <sheetView view="pageBreakPreview" zoomScaleSheetLayoutView="100" workbookViewId="0">
      <selection activeCell="Z24" sqref="Z24"/>
    </sheetView>
  </sheetViews>
  <sheetFormatPr defaultColWidth="9.140625" defaultRowHeight="11.25" x14ac:dyDescent="0.2"/>
  <cols>
    <col min="1" max="1" width="28.42578125" style="35" customWidth="1"/>
    <col min="2" max="8" width="7.85546875" style="35" hidden="1" customWidth="1"/>
    <col min="9" max="23" width="6.28515625" style="35" hidden="1" customWidth="1"/>
    <col min="24" max="40" width="6.28515625" style="35" customWidth="1"/>
    <col min="41" max="41" width="7.140625" style="35" customWidth="1"/>
    <col min="42" max="43" width="6.28515625" style="35" customWidth="1"/>
    <col min="44" max="16384" width="9.140625" style="35"/>
  </cols>
  <sheetData>
    <row r="2" spans="1:43" ht="12" thickBot="1" x14ac:dyDescent="0.25">
      <c r="X2" s="37" t="s">
        <v>110</v>
      </c>
    </row>
    <row r="3" spans="1:43" s="36" customFormat="1" ht="15" customHeight="1" x14ac:dyDescent="0.2">
      <c r="B3" s="213" t="s">
        <v>67</v>
      </c>
      <c r="C3" s="213"/>
      <c r="D3" s="213" t="s">
        <v>66</v>
      </c>
      <c r="E3" s="213"/>
      <c r="F3" s="213"/>
      <c r="G3" s="213"/>
      <c r="H3" s="213" t="s">
        <v>60</v>
      </c>
      <c r="I3" s="213"/>
      <c r="J3" s="213"/>
      <c r="K3" s="213"/>
      <c r="L3" s="213" t="s">
        <v>61</v>
      </c>
      <c r="M3" s="213"/>
      <c r="N3" s="213"/>
      <c r="O3" s="213"/>
      <c r="P3" s="213" t="s">
        <v>62</v>
      </c>
      <c r="Q3" s="213"/>
      <c r="R3" s="213"/>
      <c r="S3" s="213"/>
      <c r="U3" s="213" t="s">
        <v>63</v>
      </c>
      <c r="V3" s="213"/>
      <c r="W3" s="213"/>
      <c r="X3" s="213" t="s">
        <v>64</v>
      </c>
      <c r="Y3" s="213"/>
      <c r="Z3" s="213"/>
      <c r="AA3" s="213"/>
      <c r="AB3" s="213" t="s">
        <v>65</v>
      </c>
      <c r="AC3" s="213"/>
      <c r="AD3" s="213"/>
      <c r="AE3" s="213"/>
      <c r="AF3" s="213" t="s">
        <v>77</v>
      </c>
      <c r="AG3" s="213"/>
      <c r="AH3" s="213"/>
      <c r="AI3" s="213"/>
      <c r="AJ3" s="213" t="s">
        <v>80</v>
      </c>
      <c r="AK3" s="213"/>
      <c r="AL3" s="213"/>
      <c r="AM3" s="213"/>
      <c r="AN3" s="213" t="s">
        <v>92</v>
      </c>
      <c r="AO3" s="213"/>
      <c r="AP3" s="213"/>
      <c r="AQ3" s="213"/>
    </row>
    <row r="4" spans="1:43" x14ac:dyDescent="0.2">
      <c r="A4" s="21" t="s">
        <v>99</v>
      </c>
      <c r="B4" s="38" t="s">
        <v>48</v>
      </c>
      <c r="C4" s="38" t="s">
        <v>49</v>
      </c>
      <c r="D4" s="38" t="s">
        <v>46</v>
      </c>
      <c r="E4" s="38" t="s">
        <v>47</v>
      </c>
      <c r="F4" s="38" t="s">
        <v>48</v>
      </c>
      <c r="G4" s="38" t="s">
        <v>49</v>
      </c>
      <c r="H4" s="38" t="s">
        <v>46</v>
      </c>
      <c r="I4" s="38" t="s">
        <v>47</v>
      </c>
      <c r="J4" s="38" t="s">
        <v>48</v>
      </c>
      <c r="K4" s="38" t="s">
        <v>49</v>
      </c>
      <c r="L4" s="38" t="s">
        <v>46</v>
      </c>
      <c r="M4" s="38" t="s">
        <v>47</v>
      </c>
      <c r="N4" s="38" t="s">
        <v>48</v>
      </c>
      <c r="O4" s="38" t="s">
        <v>49</v>
      </c>
      <c r="P4" s="38" t="s">
        <v>46</v>
      </c>
      <c r="Q4" s="38" t="s">
        <v>47</v>
      </c>
      <c r="R4" s="38" t="s">
        <v>48</v>
      </c>
      <c r="S4" s="38" t="s">
        <v>49</v>
      </c>
      <c r="T4" s="38" t="s">
        <v>46</v>
      </c>
      <c r="U4" s="38" t="s">
        <v>47</v>
      </c>
      <c r="V4" s="38" t="s">
        <v>48</v>
      </c>
      <c r="W4" s="38" t="s">
        <v>49</v>
      </c>
      <c r="X4" s="38" t="s">
        <v>46</v>
      </c>
      <c r="Y4" s="38" t="s">
        <v>47</v>
      </c>
      <c r="Z4" s="38" t="s">
        <v>48</v>
      </c>
      <c r="AA4" s="38" t="s">
        <v>49</v>
      </c>
      <c r="AB4" s="38" t="s">
        <v>46</v>
      </c>
      <c r="AC4" s="38" t="s">
        <v>47</v>
      </c>
      <c r="AD4" s="38" t="s">
        <v>48</v>
      </c>
      <c r="AE4" s="38" t="s">
        <v>49</v>
      </c>
      <c r="AF4" s="38" t="s">
        <v>46</v>
      </c>
      <c r="AG4" s="38" t="s">
        <v>47</v>
      </c>
      <c r="AH4" s="38" t="s">
        <v>48</v>
      </c>
      <c r="AI4" s="38" t="s">
        <v>49</v>
      </c>
      <c r="AJ4" s="38" t="s">
        <v>46</v>
      </c>
      <c r="AK4" s="38" t="s">
        <v>47</v>
      </c>
      <c r="AL4" s="38" t="s">
        <v>48</v>
      </c>
      <c r="AM4" s="38" t="s">
        <v>49</v>
      </c>
      <c r="AN4" s="50" t="s">
        <v>46</v>
      </c>
      <c r="AO4" s="50" t="s">
        <v>47</v>
      </c>
      <c r="AP4" s="50" t="s">
        <v>48</v>
      </c>
      <c r="AQ4" s="50" t="s">
        <v>49</v>
      </c>
    </row>
    <row r="5" spans="1:43" ht="11.1" customHeight="1" x14ac:dyDescent="0.2">
      <c r="A5" s="37" t="s">
        <v>101</v>
      </c>
      <c r="AF5" s="45"/>
      <c r="AG5" s="45"/>
      <c r="AH5" s="45"/>
      <c r="AI5" s="45"/>
    </row>
    <row r="6" spans="1:43" ht="11.1" customHeight="1" x14ac:dyDescent="0.2">
      <c r="A6" s="39" t="s">
        <v>0</v>
      </c>
      <c r="B6" s="47" t="e">
        <f>#REF!/Summary!#REF!*100</f>
        <v>#REF!</v>
      </c>
      <c r="C6" s="47" t="e">
        <f>#REF!/Summary!#REF!*100</f>
        <v>#REF!</v>
      </c>
      <c r="D6" s="47" t="e">
        <f>#REF!/Summary!#REF!*100</f>
        <v>#REF!</v>
      </c>
      <c r="E6" s="47" t="e">
        <f>#REF!/Summary!#REF!*100</f>
        <v>#REF!</v>
      </c>
      <c r="F6" s="47" t="e">
        <f>#REF!/Summary!#REF!*100</f>
        <v>#REF!</v>
      </c>
      <c r="G6" s="47" t="e">
        <f>#REF!/Summary!#REF!*100</f>
        <v>#REF!</v>
      </c>
      <c r="H6" s="47" t="e">
        <f>#REF!/Summary!#REF!*100</f>
        <v>#REF!</v>
      </c>
      <c r="I6" s="47" t="e">
        <f>#REF!/Summary!#REF!*100</f>
        <v>#REF!</v>
      </c>
      <c r="J6" s="47" t="e">
        <f>#REF!/Summary!#REF!*100</f>
        <v>#REF!</v>
      </c>
      <c r="K6" s="47" t="e">
        <f>#REF!/Summary!#REF!*100</f>
        <v>#REF!</v>
      </c>
      <c r="L6" s="47" t="e">
        <f>#REF!/Summary!#REF!*100</f>
        <v>#REF!</v>
      </c>
      <c r="M6" s="47" t="e">
        <f>#REF!/Summary!#REF!*100</f>
        <v>#REF!</v>
      </c>
      <c r="N6" s="47" t="e">
        <f>#REF!/Summary!#REF!*100</f>
        <v>#REF!</v>
      </c>
      <c r="O6" s="47" t="e">
        <f>#REF!/Summary!#REF!*100</f>
        <v>#REF!</v>
      </c>
      <c r="P6" s="47" t="e">
        <f>#REF!/Summary!#REF!*100</f>
        <v>#REF!</v>
      </c>
      <c r="Q6" s="47" t="e">
        <f>#REF!/Summary!#REF!*100</f>
        <v>#REF!</v>
      </c>
      <c r="R6" s="47" t="e">
        <f>#REF!/Summary!#REF!*100</f>
        <v>#REF!</v>
      </c>
      <c r="S6" s="47" t="e">
        <f>#REF!/Summary!#REF!*100</f>
        <v>#REF!</v>
      </c>
      <c r="T6" s="47" t="e">
        <f>#REF!/Summary!#REF!*100</f>
        <v>#REF!</v>
      </c>
      <c r="U6" s="47" t="e">
        <f>#REF!/Summary!#REF!*100</f>
        <v>#REF!</v>
      </c>
      <c r="V6" s="47" t="e">
        <f>#REF!/Summary!#REF!*100</f>
        <v>#REF!</v>
      </c>
      <c r="W6" s="47" t="e">
        <f>#REF!/Summary!#REF!*100</f>
        <v>#REF!</v>
      </c>
      <c r="X6" s="47" t="e">
        <f>#REF!/Summary!#REF!*100</f>
        <v>#REF!</v>
      </c>
      <c r="Y6" s="47" t="e">
        <f>#REF!/Summary!#REF!*100</f>
        <v>#REF!</v>
      </c>
      <c r="Z6" s="47" t="e">
        <f>#REF!/Summary!#REF!*100</f>
        <v>#REF!</v>
      </c>
      <c r="AA6" s="47" t="e">
        <f>#REF!/Summary!#REF!*100</f>
        <v>#REF!</v>
      </c>
      <c r="AB6" s="47" t="e">
        <f>#REF!/Summary!#REF!*100</f>
        <v>#REF!</v>
      </c>
      <c r="AC6" s="47" t="e">
        <f>#REF!/Summary!#REF!*100</f>
        <v>#REF!</v>
      </c>
      <c r="AD6" s="47" t="e">
        <f>#REF!/Summary!#REF!*100</f>
        <v>#REF!</v>
      </c>
      <c r="AE6" s="47" t="e">
        <f>#REF!/Summary!#REF!*100</f>
        <v>#REF!</v>
      </c>
      <c r="AF6" s="41" t="e">
        <f>#REF!/Summary!#REF!*100</f>
        <v>#REF!</v>
      </c>
      <c r="AG6" s="41" t="e">
        <f>#REF!/Summary!#REF!*100</f>
        <v>#REF!</v>
      </c>
      <c r="AH6" s="41" t="e">
        <f>#REF!/Summary!#REF!*100</f>
        <v>#REF!</v>
      </c>
      <c r="AI6" s="41" t="e">
        <f>#REF!/Summary!#REF!*100</f>
        <v>#REF!</v>
      </c>
      <c r="AJ6" s="41" t="e">
        <f>#REF!/Summary!B6*100</f>
        <v>#REF!</v>
      </c>
      <c r="AK6" s="41" t="e">
        <f>#REF!/Summary!C6*100</f>
        <v>#REF!</v>
      </c>
      <c r="AL6" s="41" t="e">
        <f>#REF!/Summary!D6*100</f>
        <v>#REF!</v>
      </c>
      <c r="AM6" s="41" t="e">
        <f>#REF!/Summary!E6*100</f>
        <v>#REF!</v>
      </c>
      <c r="AN6" s="41" t="e">
        <f>#REF!/Summary!F6*100</f>
        <v>#REF!</v>
      </c>
      <c r="AO6" s="41" t="e">
        <f>#REF!/Summary!G6*100</f>
        <v>#REF!</v>
      </c>
      <c r="AP6" s="41" t="e">
        <f>#REF!/Summary!H6*100</f>
        <v>#REF!</v>
      </c>
      <c r="AQ6" s="41" t="e">
        <f>#REF!/Summary!I6*100</f>
        <v>#REF!</v>
      </c>
    </row>
    <row r="7" spans="1:43" ht="11.1" customHeight="1" x14ac:dyDescent="0.2">
      <c r="A7" s="40" t="s">
        <v>70</v>
      </c>
      <c r="B7" s="47" t="e">
        <f>#REF!/Summary!#REF!*100</f>
        <v>#REF!</v>
      </c>
      <c r="C7" s="47" t="e">
        <f>#REF!/Summary!#REF!*100</f>
        <v>#REF!</v>
      </c>
      <c r="D7" s="47" t="e">
        <f>#REF!/Summary!#REF!*100</f>
        <v>#REF!</v>
      </c>
      <c r="E7" s="47" t="e">
        <f>#REF!/Summary!#REF!*100</f>
        <v>#REF!</v>
      </c>
      <c r="F7" s="47" t="e">
        <f>#REF!/Summary!#REF!*100</f>
        <v>#REF!</v>
      </c>
      <c r="G7" s="47" t="e">
        <f>#REF!/Summary!#REF!*100</f>
        <v>#REF!</v>
      </c>
      <c r="H7" s="47" t="e">
        <f>#REF!/Summary!#REF!*100</f>
        <v>#REF!</v>
      </c>
      <c r="I7" s="47" t="e">
        <f>#REF!/Summary!#REF!*100</f>
        <v>#REF!</v>
      </c>
      <c r="J7" s="47" t="e">
        <f>#REF!/Summary!#REF!*100</f>
        <v>#REF!</v>
      </c>
      <c r="K7" s="47" t="e">
        <f>#REF!/Summary!#REF!*100</f>
        <v>#REF!</v>
      </c>
      <c r="L7" s="47" t="e">
        <f>#REF!/Summary!#REF!*100</f>
        <v>#REF!</v>
      </c>
      <c r="M7" s="47" t="e">
        <f>#REF!/Summary!#REF!*100</f>
        <v>#REF!</v>
      </c>
      <c r="N7" s="47" t="e">
        <f>#REF!/Summary!#REF!*100</f>
        <v>#REF!</v>
      </c>
      <c r="O7" s="47" t="e">
        <f>#REF!/Summary!#REF!*100</f>
        <v>#REF!</v>
      </c>
      <c r="P7" s="47" t="e">
        <f>#REF!/Summary!#REF!*100</f>
        <v>#REF!</v>
      </c>
      <c r="Q7" s="47" t="e">
        <f>#REF!/Summary!#REF!*100</f>
        <v>#REF!</v>
      </c>
      <c r="R7" s="47" t="e">
        <f>#REF!/Summary!#REF!*100</f>
        <v>#REF!</v>
      </c>
      <c r="S7" s="47" t="e">
        <f>#REF!/Summary!#REF!*100</f>
        <v>#REF!</v>
      </c>
      <c r="T7" s="47" t="e">
        <f>#REF!/Summary!#REF!*100</f>
        <v>#REF!</v>
      </c>
      <c r="U7" s="47" t="e">
        <f>#REF!/Summary!#REF!*100</f>
        <v>#REF!</v>
      </c>
      <c r="V7" s="47" t="e">
        <f>#REF!/Summary!#REF!*100</f>
        <v>#REF!</v>
      </c>
      <c r="W7" s="47" t="e">
        <f>#REF!/Summary!#REF!*100</f>
        <v>#REF!</v>
      </c>
      <c r="X7" s="47" t="e">
        <f>#REF!/Summary!#REF!*100</f>
        <v>#REF!</v>
      </c>
      <c r="Y7" s="47" t="e">
        <f>#REF!/Summary!#REF!*100</f>
        <v>#REF!</v>
      </c>
      <c r="Z7" s="47" t="e">
        <f>#REF!/Summary!#REF!*100</f>
        <v>#REF!</v>
      </c>
      <c r="AA7" s="47" t="e">
        <f>#REF!/Summary!#REF!*100</f>
        <v>#REF!</v>
      </c>
      <c r="AB7" s="47" t="e">
        <f>#REF!/Summary!#REF!*100</f>
        <v>#REF!</v>
      </c>
      <c r="AC7" s="47" t="e">
        <f>#REF!/Summary!#REF!*100</f>
        <v>#REF!</v>
      </c>
      <c r="AD7" s="47" t="e">
        <f>#REF!/Summary!#REF!*100</f>
        <v>#REF!</v>
      </c>
      <c r="AE7" s="47" t="e">
        <f>#REF!/Summary!#REF!*100</f>
        <v>#REF!</v>
      </c>
      <c r="AF7" s="41" t="e">
        <f>#REF!/Summary!#REF!*100</f>
        <v>#REF!</v>
      </c>
      <c r="AG7" s="41" t="e">
        <f>#REF!/Summary!#REF!*100</f>
        <v>#REF!</v>
      </c>
      <c r="AH7" s="41" t="e">
        <f>#REF!/Summary!#REF!*100</f>
        <v>#REF!</v>
      </c>
      <c r="AI7" s="41" t="e">
        <f>#REF!/Summary!#REF!*100</f>
        <v>#REF!</v>
      </c>
      <c r="AJ7" s="41" t="e">
        <f>#REF!/Summary!B7*100</f>
        <v>#REF!</v>
      </c>
      <c r="AK7" s="41" t="e">
        <f>#REF!/Summary!C7*100</f>
        <v>#REF!</v>
      </c>
      <c r="AL7" s="41" t="e">
        <f>#REF!/Summary!D7*100</f>
        <v>#REF!</v>
      </c>
      <c r="AM7" s="41" t="e">
        <f>#REF!/Summary!E7*100</f>
        <v>#REF!</v>
      </c>
      <c r="AN7" s="41" t="e">
        <f>#REF!/Summary!F7*100</f>
        <v>#REF!</v>
      </c>
      <c r="AO7" s="41" t="e">
        <f>#REF!/Summary!G7*100</f>
        <v>#REF!</v>
      </c>
      <c r="AP7" s="41" t="e">
        <f>#REF!/Summary!H7*100</f>
        <v>#REF!</v>
      </c>
      <c r="AQ7" s="41" t="e">
        <f>#REF!/Summary!I7*100</f>
        <v>#REF!</v>
      </c>
    </row>
    <row r="8" spans="1:43" ht="11.1" customHeight="1" x14ac:dyDescent="0.2">
      <c r="A8" s="40" t="s">
        <v>7</v>
      </c>
      <c r="B8" s="47" t="e">
        <f>#REF!/Summary!#REF!*100</f>
        <v>#REF!</v>
      </c>
      <c r="C8" s="47" t="e">
        <f>#REF!/Summary!#REF!*100</f>
        <v>#REF!</v>
      </c>
      <c r="D8" s="47" t="e">
        <f>#REF!/Summary!#REF!*100</f>
        <v>#REF!</v>
      </c>
      <c r="E8" s="47" t="e">
        <f>#REF!/Summary!#REF!*100</f>
        <v>#REF!</v>
      </c>
      <c r="F8" s="47" t="e">
        <f>#REF!/Summary!#REF!*100</f>
        <v>#REF!</v>
      </c>
      <c r="G8" s="47" t="e">
        <f>#REF!/Summary!#REF!*100</f>
        <v>#REF!</v>
      </c>
      <c r="H8" s="47" t="e">
        <f>#REF!/Summary!#REF!*100</f>
        <v>#REF!</v>
      </c>
      <c r="I8" s="47" t="e">
        <f>#REF!/Summary!#REF!*100</f>
        <v>#REF!</v>
      </c>
      <c r="J8" s="47" t="e">
        <f>#REF!/Summary!#REF!*100</f>
        <v>#REF!</v>
      </c>
      <c r="K8" s="47" t="e">
        <f>#REF!/Summary!#REF!*100</f>
        <v>#REF!</v>
      </c>
      <c r="L8" s="47" t="e">
        <f>#REF!/Summary!#REF!*100</f>
        <v>#REF!</v>
      </c>
      <c r="M8" s="47" t="e">
        <f>#REF!/Summary!#REF!*100</f>
        <v>#REF!</v>
      </c>
      <c r="N8" s="47" t="e">
        <f>#REF!/Summary!#REF!*100</f>
        <v>#REF!</v>
      </c>
      <c r="O8" s="47" t="e">
        <f>#REF!/Summary!#REF!*100</f>
        <v>#REF!</v>
      </c>
      <c r="P8" s="47" t="e">
        <f>#REF!/Summary!#REF!*100</f>
        <v>#REF!</v>
      </c>
      <c r="Q8" s="47" t="e">
        <f>#REF!/Summary!#REF!*100</f>
        <v>#REF!</v>
      </c>
      <c r="R8" s="47" t="e">
        <f>#REF!/Summary!#REF!*100</f>
        <v>#REF!</v>
      </c>
      <c r="S8" s="47" t="e">
        <f>#REF!/Summary!#REF!*100</f>
        <v>#REF!</v>
      </c>
      <c r="T8" s="47" t="e">
        <f>#REF!/Summary!#REF!*100</f>
        <v>#REF!</v>
      </c>
      <c r="U8" s="47" t="e">
        <f>#REF!/Summary!#REF!*100</f>
        <v>#REF!</v>
      </c>
      <c r="V8" s="47" t="e">
        <f>#REF!/Summary!#REF!*100</f>
        <v>#REF!</v>
      </c>
      <c r="W8" s="47" t="e">
        <f>#REF!/Summary!#REF!*100</f>
        <v>#REF!</v>
      </c>
      <c r="X8" s="47" t="e">
        <f>#REF!/Summary!#REF!*100</f>
        <v>#REF!</v>
      </c>
      <c r="Y8" s="47" t="e">
        <f>#REF!/Summary!#REF!*100</f>
        <v>#REF!</v>
      </c>
      <c r="Z8" s="47" t="e">
        <f>#REF!/Summary!#REF!*100</f>
        <v>#REF!</v>
      </c>
      <c r="AA8" s="47" t="e">
        <f>#REF!/Summary!#REF!*100</f>
        <v>#REF!</v>
      </c>
      <c r="AB8" s="47" t="e">
        <f>#REF!/Summary!#REF!*100</f>
        <v>#REF!</v>
      </c>
      <c r="AC8" s="47" t="e">
        <f>#REF!/Summary!#REF!*100</f>
        <v>#REF!</v>
      </c>
      <c r="AD8" s="47" t="e">
        <f>#REF!/Summary!#REF!*100</f>
        <v>#REF!</v>
      </c>
      <c r="AE8" s="47" t="e">
        <f>#REF!/Summary!#REF!*100</f>
        <v>#REF!</v>
      </c>
      <c r="AF8" s="41" t="e">
        <f>#REF!/Summary!#REF!*100</f>
        <v>#REF!</v>
      </c>
      <c r="AG8" s="41" t="e">
        <f>#REF!/Summary!#REF!*100</f>
        <v>#REF!</v>
      </c>
      <c r="AH8" s="41" t="e">
        <f>#REF!/Summary!#REF!*100</f>
        <v>#REF!</v>
      </c>
      <c r="AI8" s="41" t="e">
        <f>#REF!/Summary!#REF!*100</f>
        <v>#REF!</v>
      </c>
      <c r="AJ8" s="41" t="e">
        <f>#REF!/Summary!B8*100</f>
        <v>#REF!</v>
      </c>
      <c r="AK8" s="41" t="e">
        <f>#REF!/Summary!C8*100</f>
        <v>#REF!</v>
      </c>
      <c r="AL8" s="41" t="e">
        <f>#REF!/Summary!D8*100</f>
        <v>#REF!</v>
      </c>
      <c r="AM8" s="41" t="e">
        <f>#REF!/Summary!E8*100</f>
        <v>#REF!</v>
      </c>
      <c r="AN8" s="41" t="e">
        <f>#REF!/Summary!F8*100</f>
        <v>#REF!</v>
      </c>
      <c r="AO8" s="41" t="e">
        <f>#REF!/Summary!G8*100</f>
        <v>#REF!</v>
      </c>
      <c r="AP8" s="41" t="e">
        <f>#REF!/Summary!H8*100</f>
        <v>#REF!</v>
      </c>
      <c r="AQ8" s="41" t="e">
        <f>#REF!/Summary!I8*100</f>
        <v>#REF!</v>
      </c>
    </row>
    <row r="9" spans="1:43" ht="11.1" customHeight="1" x14ac:dyDescent="0.2">
      <c r="A9" s="40" t="s">
        <v>13</v>
      </c>
      <c r="B9" s="47" t="e">
        <f>#REF!/Summary!#REF!*100</f>
        <v>#REF!</v>
      </c>
      <c r="C9" s="47" t="e">
        <f>#REF!/Summary!#REF!*100</f>
        <v>#REF!</v>
      </c>
      <c r="D9" s="47" t="e">
        <f>#REF!/Summary!#REF!*100</f>
        <v>#REF!</v>
      </c>
      <c r="E9" s="47" t="e">
        <f>#REF!/Summary!#REF!*100</f>
        <v>#REF!</v>
      </c>
      <c r="F9" s="47" t="e">
        <f>#REF!/Summary!#REF!*100</f>
        <v>#REF!</v>
      </c>
      <c r="G9" s="47" t="e">
        <f>#REF!/Summary!#REF!*100</f>
        <v>#REF!</v>
      </c>
      <c r="H9" s="47" t="e">
        <f>#REF!/Summary!#REF!*100</f>
        <v>#REF!</v>
      </c>
      <c r="I9" s="47" t="e">
        <f>#REF!/Summary!#REF!*100</f>
        <v>#REF!</v>
      </c>
      <c r="J9" s="47" t="e">
        <f>#REF!/Summary!#REF!*100</f>
        <v>#REF!</v>
      </c>
      <c r="K9" s="47" t="e">
        <f>#REF!/Summary!#REF!*100</f>
        <v>#REF!</v>
      </c>
      <c r="L9" s="47" t="e">
        <f>#REF!/Summary!#REF!*100</f>
        <v>#REF!</v>
      </c>
      <c r="M9" s="47" t="e">
        <f>#REF!/Summary!#REF!*100</f>
        <v>#REF!</v>
      </c>
      <c r="N9" s="47" t="e">
        <f>#REF!/Summary!#REF!*100</f>
        <v>#REF!</v>
      </c>
      <c r="O9" s="47" t="e">
        <f>#REF!/Summary!#REF!*100</f>
        <v>#REF!</v>
      </c>
      <c r="P9" s="47" t="e">
        <f>#REF!/Summary!#REF!*100</f>
        <v>#REF!</v>
      </c>
      <c r="Q9" s="47" t="e">
        <f>#REF!/Summary!#REF!*100</f>
        <v>#REF!</v>
      </c>
      <c r="R9" s="47" t="e">
        <f>#REF!/Summary!#REF!*100</f>
        <v>#REF!</v>
      </c>
      <c r="S9" s="47" t="e">
        <f>#REF!/Summary!#REF!*100</f>
        <v>#REF!</v>
      </c>
      <c r="T9" s="47" t="e">
        <f>#REF!/Summary!#REF!*100</f>
        <v>#REF!</v>
      </c>
      <c r="U9" s="47" t="e">
        <f>#REF!/Summary!#REF!*100</f>
        <v>#REF!</v>
      </c>
      <c r="V9" s="47" t="e">
        <f>#REF!/Summary!#REF!*100</f>
        <v>#REF!</v>
      </c>
      <c r="W9" s="47" t="e">
        <f>#REF!/Summary!#REF!*100</f>
        <v>#REF!</v>
      </c>
      <c r="X9" s="47" t="e">
        <f>#REF!/Summary!#REF!*100</f>
        <v>#REF!</v>
      </c>
      <c r="Y9" s="47" t="e">
        <f>#REF!/Summary!#REF!*100</f>
        <v>#REF!</v>
      </c>
      <c r="Z9" s="47" t="e">
        <f>#REF!/Summary!#REF!*100</f>
        <v>#REF!</v>
      </c>
      <c r="AA9" s="47" t="e">
        <f>#REF!/Summary!#REF!*100</f>
        <v>#REF!</v>
      </c>
      <c r="AB9" s="47" t="e">
        <f>#REF!/Summary!#REF!*100</f>
        <v>#REF!</v>
      </c>
      <c r="AC9" s="47" t="e">
        <f>#REF!/Summary!#REF!*100</f>
        <v>#REF!</v>
      </c>
      <c r="AD9" s="47" t="e">
        <f>#REF!/Summary!#REF!*100</f>
        <v>#REF!</v>
      </c>
      <c r="AE9" s="47" t="e">
        <f>#REF!/Summary!#REF!*100</f>
        <v>#REF!</v>
      </c>
      <c r="AF9" s="41" t="e">
        <f>#REF!/Summary!#REF!*100</f>
        <v>#REF!</v>
      </c>
      <c r="AG9" s="41" t="e">
        <f>#REF!/Summary!#REF!*100</f>
        <v>#REF!</v>
      </c>
      <c r="AH9" s="41" t="e">
        <f>#REF!/Summary!#REF!*100</f>
        <v>#REF!</v>
      </c>
      <c r="AI9" s="41" t="e">
        <f>#REF!/Summary!#REF!*100</f>
        <v>#REF!</v>
      </c>
      <c r="AJ9" s="41" t="e">
        <f>#REF!/Summary!B9*100</f>
        <v>#REF!</v>
      </c>
      <c r="AK9" s="41" t="e">
        <f>#REF!/Summary!C9*100</f>
        <v>#REF!</v>
      </c>
      <c r="AL9" s="41" t="e">
        <f>#REF!/Summary!D9*100</f>
        <v>#REF!</v>
      </c>
      <c r="AM9" s="41" t="e">
        <f>#REF!/Summary!E9*100</f>
        <v>#REF!</v>
      </c>
      <c r="AN9" s="41" t="e">
        <f>#REF!/Summary!F9*100</f>
        <v>#REF!</v>
      </c>
      <c r="AO9" s="41" t="e">
        <f>#REF!/Summary!G9*100</f>
        <v>#REF!</v>
      </c>
      <c r="AP9" s="41" t="e">
        <f>#REF!/Summary!H9*100</f>
        <v>#REF!</v>
      </c>
      <c r="AQ9" s="41" t="e">
        <f>#REF!/Summary!I9*100</f>
        <v>#REF!</v>
      </c>
    </row>
    <row r="10" spans="1:43" ht="11.1" customHeight="1" x14ac:dyDescent="0.2">
      <c r="A10" s="39" t="s">
        <v>18</v>
      </c>
      <c r="AF10" s="45"/>
      <c r="AG10" s="45"/>
      <c r="AH10" s="45"/>
      <c r="AI10" s="45"/>
      <c r="AJ10" s="45"/>
      <c r="AK10" s="45"/>
      <c r="AL10" s="45"/>
      <c r="AM10" s="45"/>
      <c r="AN10" s="45"/>
      <c r="AO10" s="45"/>
      <c r="AP10" s="45"/>
      <c r="AQ10" s="45"/>
    </row>
    <row r="11" spans="1:43" ht="11.1" customHeight="1" x14ac:dyDescent="0.2">
      <c r="A11" s="42" t="s">
        <v>19</v>
      </c>
      <c r="B11" s="47" t="e">
        <f>#REF!/Summary!#REF!*100</f>
        <v>#REF!</v>
      </c>
      <c r="C11" s="47" t="e">
        <f>#REF!/Summary!#REF!*100</f>
        <v>#REF!</v>
      </c>
      <c r="D11" s="47" t="e">
        <f>#REF!/Summary!#REF!*100</f>
        <v>#REF!</v>
      </c>
      <c r="E11" s="47" t="e">
        <f>#REF!/Summary!#REF!*100</f>
        <v>#REF!</v>
      </c>
      <c r="F11" s="47" t="e">
        <f>#REF!/Summary!#REF!*100</f>
        <v>#REF!</v>
      </c>
      <c r="G11" s="47" t="e">
        <f>#REF!/Summary!#REF!*100</f>
        <v>#REF!</v>
      </c>
      <c r="H11" s="47" t="e">
        <f>#REF!/Summary!#REF!*100</f>
        <v>#REF!</v>
      </c>
      <c r="I11" s="47" t="e">
        <f>#REF!/Summary!#REF!*100</f>
        <v>#REF!</v>
      </c>
      <c r="J11" s="47" t="e">
        <f>#REF!/Summary!#REF!*100</f>
        <v>#REF!</v>
      </c>
      <c r="K11" s="47" t="e">
        <f>#REF!/Summary!#REF!*100</f>
        <v>#REF!</v>
      </c>
      <c r="L11" s="47" t="e">
        <f>#REF!/Summary!#REF!*100</f>
        <v>#REF!</v>
      </c>
      <c r="M11" s="47" t="e">
        <f>#REF!/Summary!#REF!*100</f>
        <v>#REF!</v>
      </c>
      <c r="N11" s="47" t="e">
        <f>#REF!/Summary!#REF!*100</f>
        <v>#REF!</v>
      </c>
      <c r="O11" s="47" t="e">
        <f>#REF!/Summary!#REF!*100</f>
        <v>#REF!</v>
      </c>
      <c r="P11" s="47" t="e">
        <f>#REF!/Summary!#REF!*100</f>
        <v>#REF!</v>
      </c>
      <c r="Q11" s="47" t="e">
        <f>#REF!/Summary!#REF!*100</f>
        <v>#REF!</v>
      </c>
      <c r="R11" s="47" t="e">
        <f>#REF!/Summary!#REF!*100</f>
        <v>#REF!</v>
      </c>
      <c r="S11" s="47" t="e">
        <f>#REF!/Summary!#REF!*100</f>
        <v>#REF!</v>
      </c>
      <c r="T11" s="47" t="e">
        <f>#REF!/Summary!#REF!*100</f>
        <v>#REF!</v>
      </c>
      <c r="U11" s="47" t="e">
        <f>#REF!/Summary!#REF!*100</f>
        <v>#REF!</v>
      </c>
      <c r="V11" s="47" t="e">
        <f>#REF!/Summary!#REF!*100</f>
        <v>#REF!</v>
      </c>
      <c r="W11" s="47" t="e">
        <f>#REF!/Summary!#REF!*100</f>
        <v>#REF!</v>
      </c>
      <c r="X11" s="47" t="e">
        <f>#REF!/Summary!#REF!*100</f>
        <v>#REF!</v>
      </c>
      <c r="Y11" s="47" t="e">
        <f>#REF!/Summary!#REF!*100</f>
        <v>#REF!</v>
      </c>
      <c r="Z11" s="47" t="e">
        <f>#REF!/Summary!#REF!*100</f>
        <v>#REF!</v>
      </c>
      <c r="AA11" s="47" t="e">
        <f>#REF!/Summary!#REF!*100</f>
        <v>#REF!</v>
      </c>
      <c r="AB11" s="47" t="e">
        <f>#REF!/Summary!#REF!*100</f>
        <v>#REF!</v>
      </c>
      <c r="AC11" s="47" t="e">
        <f>#REF!/Summary!#REF!*100</f>
        <v>#REF!</v>
      </c>
      <c r="AD11" s="47" t="e">
        <f>#REF!/Summary!#REF!*100</f>
        <v>#REF!</v>
      </c>
      <c r="AE11" s="47" t="e">
        <f>#REF!/Summary!#REF!*100</f>
        <v>#REF!</v>
      </c>
      <c r="AF11" s="41" t="e">
        <f>#REF!/Summary!#REF!*100</f>
        <v>#REF!</v>
      </c>
      <c r="AG11" s="41" t="e">
        <f>#REF!/Summary!#REF!*100</f>
        <v>#REF!</v>
      </c>
      <c r="AH11" s="41" t="e">
        <f>#REF!/Summary!#REF!*100</f>
        <v>#REF!</v>
      </c>
      <c r="AI11" s="41" t="e">
        <f>#REF!/Summary!#REF!*100</f>
        <v>#REF!</v>
      </c>
      <c r="AJ11" s="41" t="e">
        <f>#REF!/Summary!B11*100</f>
        <v>#REF!</v>
      </c>
      <c r="AK11" s="41" t="e">
        <f>#REF!/Summary!C11*100</f>
        <v>#REF!</v>
      </c>
      <c r="AL11" s="41" t="e">
        <f>#REF!/Summary!D11*100</f>
        <v>#REF!</v>
      </c>
      <c r="AM11" s="41" t="e">
        <f>#REF!/Summary!E11*100</f>
        <v>#REF!</v>
      </c>
      <c r="AN11" s="41" t="e">
        <f>#REF!/Summary!F11*100</f>
        <v>#REF!</v>
      </c>
      <c r="AO11" s="41" t="e">
        <f>#REF!/Summary!G11*100</f>
        <v>#REF!</v>
      </c>
      <c r="AP11" s="41" t="e">
        <f>#REF!/Summary!H11*100</f>
        <v>#REF!</v>
      </c>
      <c r="AQ11" s="41" t="e">
        <f>#REF!/Summary!I11*100</f>
        <v>#REF!</v>
      </c>
    </row>
    <row r="12" spans="1:43" x14ac:dyDescent="0.2">
      <c r="A12" s="57"/>
      <c r="B12" s="58"/>
      <c r="C12" s="58"/>
      <c r="D12" s="58"/>
      <c r="E12" s="58"/>
      <c r="F12" s="58"/>
      <c r="G12" s="58"/>
      <c r="H12" s="58"/>
      <c r="I12" s="58"/>
      <c r="J12" s="58"/>
      <c r="K12" s="58"/>
      <c r="L12" s="58"/>
      <c r="M12" s="58"/>
      <c r="N12" s="58"/>
      <c r="O12" s="58"/>
      <c r="P12" s="58"/>
      <c r="Q12" s="58"/>
      <c r="R12" s="58"/>
      <c r="S12" s="58"/>
      <c r="T12" s="58"/>
      <c r="U12" s="58"/>
      <c r="V12" s="58"/>
      <c r="W12" s="58"/>
      <c r="X12" s="58"/>
      <c r="Y12" s="58"/>
      <c r="Z12" s="58"/>
      <c r="AA12" s="58"/>
      <c r="AB12" s="58"/>
      <c r="AC12" s="58"/>
      <c r="AD12" s="58"/>
      <c r="AE12" s="58"/>
      <c r="AF12" s="58"/>
      <c r="AG12" s="58"/>
      <c r="AH12" s="58"/>
      <c r="AI12" s="58"/>
      <c r="AJ12" s="58"/>
      <c r="AK12" s="58"/>
      <c r="AL12" s="58"/>
      <c r="AM12" s="58"/>
      <c r="AN12" s="59"/>
      <c r="AO12" s="59"/>
      <c r="AP12" s="59"/>
      <c r="AQ12" s="59"/>
    </row>
    <row r="13" spans="1:43" ht="11.1" customHeight="1" x14ac:dyDescent="0.2">
      <c r="A13" s="37" t="s">
        <v>102</v>
      </c>
    </row>
    <row r="14" spans="1:43" ht="11.1" customHeight="1" x14ac:dyDescent="0.2">
      <c r="A14" s="39" t="s">
        <v>0</v>
      </c>
      <c r="B14" s="47" t="e">
        <f>#REF!/Summary!#REF!*100</f>
        <v>#REF!</v>
      </c>
      <c r="C14" s="47" t="e">
        <f>#REF!/Summary!#REF!*100</f>
        <v>#REF!</v>
      </c>
      <c r="D14" s="47" t="e">
        <f>#REF!/Summary!#REF!*100</f>
        <v>#REF!</v>
      </c>
      <c r="E14" s="47" t="e">
        <f>#REF!/Summary!#REF!*100</f>
        <v>#REF!</v>
      </c>
      <c r="F14" s="47" t="e">
        <f>#REF!/Summary!#REF!*100</f>
        <v>#REF!</v>
      </c>
      <c r="G14" s="47" t="e">
        <f>#REF!/Summary!#REF!*100</f>
        <v>#REF!</v>
      </c>
      <c r="H14" s="47" t="e">
        <f>#REF!/Summary!#REF!*100</f>
        <v>#REF!</v>
      </c>
      <c r="I14" s="47" t="e">
        <f>#REF!/Summary!#REF!*100</f>
        <v>#REF!</v>
      </c>
      <c r="J14" s="47" t="e">
        <f>#REF!/Summary!#REF!*100</f>
        <v>#REF!</v>
      </c>
      <c r="K14" s="47" t="e">
        <f>#REF!/Summary!#REF!*100</f>
        <v>#REF!</v>
      </c>
      <c r="L14" s="47" t="e">
        <f>#REF!/Summary!#REF!*100</f>
        <v>#REF!</v>
      </c>
      <c r="M14" s="47" t="e">
        <f>#REF!/Summary!#REF!*100</f>
        <v>#REF!</v>
      </c>
      <c r="N14" s="47" t="e">
        <f>#REF!/Summary!#REF!*100</f>
        <v>#REF!</v>
      </c>
      <c r="O14" s="47" t="e">
        <f>#REF!/Summary!#REF!*100</f>
        <v>#REF!</v>
      </c>
      <c r="P14" s="47" t="e">
        <f>#REF!/Summary!#REF!*100</f>
        <v>#REF!</v>
      </c>
      <c r="Q14" s="47" t="e">
        <f>#REF!/Summary!#REF!*100</f>
        <v>#REF!</v>
      </c>
      <c r="R14" s="47" t="e">
        <f>#REF!/Summary!#REF!*100</f>
        <v>#REF!</v>
      </c>
      <c r="S14" s="47" t="e">
        <f>#REF!/Summary!#REF!*100</f>
        <v>#REF!</v>
      </c>
      <c r="T14" s="47" t="e">
        <f>#REF!/Summary!#REF!*100</f>
        <v>#REF!</v>
      </c>
      <c r="U14" s="47" t="e">
        <f>#REF!/Summary!#REF!*100</f>
        <v>#REF!</v>
      </c>
      <c r="V14" s="47" t="e">
        <f>#REF!/Summary!#REF!*100</f>
        <v>#REF!</v>
      </c>
      <c r="W14" s="47" t="e">
        <f>#REF!/Summary!#REF!*100</f>
        <v>#REF!</v>
      </c>
      <c r="X14" s="47" t="e">
        <f>#REF!/Summary!#REF!*100</f>
        <v>#REF!</v>
      </c>
      <c r="Y14" s="47" t="e">
        <f>#REF!/Summary!#REF!*100</f>
        <v>#REF!</v>
      </c>
      <c r="Z14" s="47" t="e">
        <f>#REF!/Summary!#REF!*100</f>
        <v>#REF!</v>
      </c>
      <c r="AA14" s="47" t="e">
        <f>#REF!/Summary!#REF!*100</f>
        <v>#REF!</v>
      </c>
      <c r="AB14" s="47" t="e">
        <f>#REF!/Summary!#REF!*100</f>
        <v>#REF!</v>
      </c>
      <c r="AC14" s="47" t="e">
        <f>#REF!/Summary!#REF!*100</f>
        <v>#REF!</v>
      </c>
      <c r="AD14" s="47" t="e">
        <f>#REF!/Summary!#REF!*100</f>
        <v>#REF!</v>
      </c>
      <c r="AE14" s="47" t="e">
        <f>#REF!/Summary!#REF!*100</f>
        <v>#REF!</v>
      </c>
      <c r="AF14" s="41" t="e">
        <f>#REF!/Summary!#REF!*100</f>
        <v>#REF!</v>
      </c>
      <c r="AG14" s="41" t="e">
        <f>#REF!/Summary!#REF!*100</f>
        <v>#REF!</v>
      </c>
      <c r="AH14" s="41" t="e">
        <f>#REF!/Summary!#REF!*100</f>
        <v>#REF!</v>
      </c>
      <c r="AI14" s="41" t="e">
        <f>#REF!/Summary!#REF!*100</f>
        <v>#REF!</v>
      </c>
      <c r="AJ14" s="41" t="e">
        <f>#REF!/Summary!B14*100</f>
        <v>#REF!</v>
      </c>
      <c r="AK14" s="41" t="e">
        <f>#REF!/Summary!C14*100</f>
        <v>#REF!</v>
      </c>
      <c r="AL14" s="41" t="e">
        <f>#REF!/Summary!D14*100</f>
        <v>#REF!</v>
      </c>
      <c r="AM14" s="41" t="e">
        <f>#REF!/Summary!E14*100</f>
        <v>#REF!</v>
      </c>
      <c r="AN14" s="41" t="e">
        <f>#REF!/Summary!F14*100</f>
        <v>#REF!</v>
      </c>
      <c r="AO14" s="41" t="e">
        <f>#REF!/Summary!G14*100</f>
        <v>#REF!</v>
      </c>
      <c r="AP14" s="41" t="e">
        <f>#REF!/Summary!H14*100</f>
        <v>#REF!</v>
      </c>
      <c r="AQ14" s="41" t="e">
        <f>#REF!/Summary!I14*100</f>
        <v>#REF!</v>
      </c>
    </row>
    <row r="15" spans="1:43" ht="11.1" customHeight="1" x14ac:dyDescent="0.2">
      <c r="A15" s="40" t="s">
        <v>70</v>
      </c>
      <c r="B15" s="47" t="e">
        <f>#REF!/Summary!#REF!*100</f>
        <v>#REF!</v>
      </c>
      <c r="C15" s="47" t="e">
        <f>#REF!/Summary!#REF!*100</f>
        <v>#REF!</v>
      </c>
      <c r="D15" s="47" t="e">
        <f>#REF!/Summary!#REF!*100</f>
        <v>#REF!</v>
      </c>
      <c r="E15" s="47" t="e">
        <f>#REF!/Summary!#REF!*100</f>
        <v>#REF!</v>
      </c>
      <c r="F15" s="47" t="e">
        <f>#REF!/Summary!#REF!*100</f>
        <v>#REF!</v>
      </c>
      <c r="G15" s="47" t="e">
        <f>#REF!/Summary!#REF!*100</f>
        <v>#REF!</v>
      </c>
      <c r="H15" s="47" t="e">
        <f>#REF!/Summary!#REF!*100</f>
        <v>#REF!</v>
      </c>
      <c r="I15" s="47" t="e">
        <f>#REF!/Summary!#REF!*100</f>
        <v>#REF!</v>
      </c>
      <c r="J15" s="47" t="e">
        <f>#REF!/Summary!#REF!*100</f>
        <v>#REF!</v>
      </c>
      <c r="K15" s="47" t="e">
        <f>#REF!/Summary!#REF!*100</f>
        <v>#REF!</v>
      </c>
      <c r="L15" s="47" t="e">
        <f>#REF!/Summary!#REF!*100</f>
        <v>#REF!</v>
      </c>
      <c r="M15" s="47" t="e">
        <f>#REF!/Summary!#REF!*100</f>
        <v>#REF!</v>
      </c>
      <c r="N15" s="47" t="e">
        <f>#REF!/Summary!#REF!*100</f>
        <v>#REF!</v>
      </c>
      <c r="O15" s="47" t="e">
        <f>#REF!/Summary!#REF!*100</f>
        <v>#REF!</v>
      </c>
      <c r="P15" s="47" t="e">
        <f>#REF!/Summary!#REF!*100</f>
        <v>#REF!</v>
      </c>
      <c r="Q15" s="47" t="e">
        <f>#REF!/Summary!#REF!*100</f>
        <v>#REF!</v>
      </c>
      <c r="R15" s="47" t="e">
        <f>#REF!/Summary!#REF!*100</f>
        <v>#REF!</v>
      </c>
      <c r="S15" s="47" t="e">
        <f>#REF!/Summary!#REF!*100</f>
        <v>#REF!</v>
      </c>
      <c r="T15" s="47" t="e">
        <f>#REF!/Summary!#REF!*100</f>
        <v>#REF!</v>
      </c>
      <c r="U15" s="47" t="e">
        <f>#REF!/Summary!#REF!*100</f>
        <v>#REF!</v>
      </c>
      <c r="V15" s="47" t="e">
        <f>#REF!/Summary!#REF!*100</f>
        <v>#REF!</v>
      </c>
      <c r="W15" s="47" t="e">
        <f>#REF!/Summary!#REF!*100</f>
        <v>#REF!</v>
      </c>
      <c r="X15" s="47" t="e">
        <f>#REF!/Summary!#REF!*100</f>
        <v>#REF!</v>
      </c>
      <c r="Y15" s="47" t="e">
        <f>#REF!/Summary!#REF!*100</f>
        <v>#REF!</v>
      </c>
      <c r="Z15" s="47" t="e">
        <f>#REF!/Summary!#REF!*100</f>
        <v>#REF!</v>
      </c>
      <c r="AA15" s="47" t="e">
        <f>#REF!/Summary!#REF!*100</f>
        <v>#REF!</v>
      </c>
      <c r="AB15" s="47" t="e">
        <f>#REF!/Summary!#REF!*100</f>
        <v>#REF!</v>
      </c>
      <c r="AC15" s="47" t="e">
        <f>#REF!/Summary!#REF!*100</f>
        <v>#REF!</v>
      </c>
      <c r="AD15" s="47" t="e">
        <f>#REF!/Summary!#REF!*100</f>
        <v>#REF!</v>
      </c>
      <c r="AE15" s="47" t="e">
        <f>#REF!/Summary!#REF!*100</f>
        <v>#REF!</v>
      </c>
      <c r="AF15" s="41" t="e">
        <f>#REF!/Summary!#REF!*100</f>
        <v>#REF!</v>
      </c>
      <c r="AG15" s="41" t="e">
        <f>#REF!/Summary!#REF!*100</f>
        <v>#REF!</v>
      </c>
      <c r="AH15" s="41" t="e">
        <f>#REF!/Summary!#REF!*100</f>
        <v>#REF!</v>
      </c>
      <c r="AI15" s="41" t="e">
        <f>#REF!/Summary!#REF!*100</f>
        <v>#REF!</v>
      </c>
      <c r="AJ15" s="41" t="e">
        <f>#REF!/Summary!B15*100</f>
        <v>#REF!</v>
      </c>
      <c r="AK15" s="41" t="e">
        <f>#REF!/Summary!C15*100</f>
        <v>#REF!</v>
      </c>
      <c r="AL15" s="41" t="e">
        <f>#REF!/Summary!D15*100</f>
        <v>#REF!</v>
      </c>
      <c r="AM15" s="41" t="e">
        <f>#REF!/Summary!E15*100</f>
        <v>#REF!</v>
      </c>
      <c r="AN15" s="41" t="e">
        <f>#REF!/Summary!F15*100</f>
        <v>#REF!</v>
      </c>
      <c r="AO15" s="41" t="e">
        <f>#REF!/Summary!G15*100</f>
        <v>#REF!</v>
      </c>
      <c r="AP15" s="41" t="e">
        <f>#REF!/Summary!H15*100</f>
        <v>#REF!</v>
      </c>
      <c r="AQ15" s="41" t="e">
        <f>#REF!/Summary!I15*100</f>
        <v>#REF!</v>
      </c>
    </row>
    <row r="16" spans="1:43" ht="11.1" customHeight="1" x14ac:dyDescent="0.2">
      <c r="A16" s="40" t="s">
        <v>7</v>
      </c>
      <c r="B16" s="47" t="e">
        <f>#REF!/Summary!#REF!*100</f>
        <v>#REF!</v>
      </c>
      <c r="C16" s="47" t="e">
        <f>#REF!/Summary!#REF!*100</f>
        <v>#REF!</v>
      </c>
      <c r="D16" s="47" t="e">
        <f>#REF!/Summary!#REF!*100</f>
        <v>#REF!</v>
      </c>
      <c r="E16" s="47" t="e">
        <f>#REF!/Summary!#REF!*100</f>
        <v>#REF!</v>
      </c>
      <c r="F16" s="47" t="e">
        <f>#REF!/Summary!#REF!*100</f>
        <v>#REF!</v>
      </c>
      <c r="G16" s="47" t="e">
        <f>#REF!/Summary!#REF!*100</f>
        <v>#REF!</v>
      </c>
      <c r="H16" s="47" t="e">
        <f>#REF!/Summary!#REF!*100</f>
        <v>#REF!</v>
      </c>
      <c r="I16" s="47" t="e">
        <f>#REF!/Summary!#REF!*100</f>
        <v>#REF!</v>
      </c>
      <c r="J16" s="47" t="e">
        <f>#REF!/Summary!#REF!*100</f>
        <v>#REF!</v>
      </c>
      <c r="K16" s="47" t="e">
        <f>#REF!/Summary!#REF!*100</f>
        <v>#REF!</v>
      </c>
      <c r="L16" s="47" t="e">
        <f>#REF!/Summary!#REF!*100</f>
        <v>#REF!</v>
      </c>
      <c r="M16" s="47" t="e">
        <f>#REF!/Summary!#REF!*100</f>
        <v>#REF!</v>
      </c>
      <c r="N16" s="47" t="e">
        <f>#REF!/Summary!#REF!*100</f>
        <v>#REF!</v>
      </c>
      <c r="O16" s="47" t="e">
        <f>#REF!/Summary!#REF!*100</f>
        <v>#REF!</v>
      </c>
      <c r="P16" s="47" t="e">
        <f>#REF!/Summary!#REF!*100</f>
        <v>#REF!</v>
      </c>
      <c r="Q16" s="47" t="e">
        <f>#REF!/Summary!#REF!*100</f>
        <v>#REF!</v>
      </c>
      <c r="R16" s="47" t="e">
        <f>#REF!/Summary!#REF!*100</f>
        <v>#REF!</v>
      </c>
      <c r="S16" s="47" t="e">
        <f>#REF!/Summary!#REF!*100</f>
        <v>#REF!</v>
      </c>
      <c r="T16" s="47" t="e">
        <f>#REF!/Summary!#REF!*100</f>
        <v>#REF!</v>
      </c>
      <c r="U16" s="47" t="e">
        <f>#REF!/Summary!#REF!*100</f>
        <v>#REF!</v>
      </c>
      <c r="V16" s="47" t="e">
        <f>#REF!/Summary!#REF!*100</f>
        <v>#REF!</v>
      </c>
      <c r="W16" s="47" t="e">
        <f>#REF!/Summary!#REF!*100</f>
        <v>#REF!</v>
      </c>
      <c r="X16" s="47" t="e">
        <f>#REF!/Summary!#REF!*100</f>
        <v>#REF!</v>
      </c>
      <c r="Y16" s="47" t="e">
        <f>#REF!/Summary!#REF!*100</f>
        <v>#REF!</v>
      </c>
      <c r="Z16" s="47" t="e">
        <f>#REF!/Summary!#REF!*100</f>
        <v>#REF!</v>
      </c>
      <c r="AA16" s="47" t="e">
        <f>#REF!/Summary!#REF!*100</f>
        <v>#REF!</v>
      </c>
      <c r="AB16" s="47" t="e">
        <f>#REF!/Summary!#REF!*100</f>
        <v>#REF!</v>
      </c>
      <c r="AC16" s="47" t="e">
        <f>#REF!/Summary!#REF!*100</f>
        <v>#REF!</v>
      </c>
      <c r="AD16" s="47" t="e">
        <f>#REF!/Summary!#REF!*100</f>
        <v>#REF!</v>
      </c>
      <c r="AE16" s="47" t="e">
        <f>#REF!/Summary!#REF!*100</f>
        <v>#REF!</v>
      </c>
      <c r="AF16" s="41" t="e">
        <f>#REF!/Summary!#REF!*100</f>
        <v>#REF!</v>
      </c>
      <c r="AG16" s="41" t="e">
        <f>#REF!/Summary!#REF!*100</f>
        <v>#REF!</v>
      </c>
      <c r="AH16" s="41" t="e">
        <f>#REF!/Summary!#REF!*100</f>
        <v>#REF!</v>
      </c>
      <c r="AI16" s="41" t="e">
        <f>#REF!/Summary!#REF!*100</f>
        <v>#REF!</v>
      </c>
      <c r="AJ16" s="41" t="e">
        <f>#REF!/Summary!B16*100</f>
        <v>#REF!</v>
      </c>
      <c r="AK16" s="41" t="e">
        <f>#REF!/Summary!C16*100</f>
        <v>#REF!</v>
      </c>
      <c r="AL16" s="41" t="e">
        <f>#REF!/Summary!D16*100</f>
        <v>#REF!</v>
      </c>
      <c r="AM16" s="41" t="e">
        <f>#REF!/Summary!E16*100</f>
        <v>#REF!</v>
      </c>
      <c r="AN16" s="41" t="e">
        <f>#REF!/Summary!F16*100</f>
        <v>#REF!</v>
      </c>
      <c r="AO16" s="41" t="e">
        <f>#REF!/Summary!G16*100</f>
        <v>#REF!</v>
      </c>
      <c r="AP16" s="41" t="e">
        <f>#REF!/Summary!H16*100</f>
        <v>#REF!</v>
      </c>
      <c r="AQ16" s="41" t="e">
        <f>#REF!/Summary!I16*100</f>
        <v>#REF!</v>
      </c>
    </row>
    <row r="17" spans="1:43" ht="11.1" customHeight="1" x14ac:dyDescent="0.2">
      <c r="A17" s="40" t="s">
        <v>13</v>
      </c>
      <c r="B17" s="47" t="e">
        <f>#REF!/Summary!#REF!*100</f>
        <v>#REF!</v>
      </c>
      <c r="C17" s="47" t="e">
        <f>#REF!/Summary!#REF!*100</f>
        <v>#REF!</v>
      </c>
      <c r="D17" s="47" t="e">
        <f>#REF!/Summary!#REF!*100</f>
        <v>#REF!</v>
      </c>
      <c r="E17" s="47" t="e">
        <f>#REF!/Summary!#REF!*100</f>
        <v>#REF!</v>
      </c>
      <c r="F17" s="47" t="e">
        <f>#REF!/Summary!#REF!*100</f>
        <v>#REF!</v>
      </c>
      <c r="G17" s="47" t="e">
        <f>#REF!/Summary!#REF!*100</f>
        <v>#REF!</v>
      </c>
      <c r="H17" s="47" t="e">
        <f>#REF!/Summary!#REF!*100</f>
        <v>#REF!</v>
      </c>
      <c r="I17" s="47" t="e">
        <f>#REF!/Summary!#REF!*100</f>
        <v>#REF!</v>
      </c>
      <c r="J17" s="47" t="e">
        <f>#REF!/Summary!#REF!*100</f>
        <v>#REF!</v>
      </c>
      <c r="K17" s="47" t="e">
        <f>#REF!/Summary!#REF!*100</f>
        <v>#REF!</v>
      </c>
      <c r="L17" s="47" t="e">
        <f>#REF!/Summary!#REF!*100</f>
        <v>#REF!</v>
      </c>
      <c r="M17" s="47" t="e">
        <f>#REF!/Summary!#REF!*100</f>
        <v>#REF!</v>
      </c>
      <c r="N17" s="47" t="e">
        <f>#REF!/Summary!#REF!*100</f>
        <v>#REF!</v>
      </c>
      <c r="O17" s="47" t="e">
        <f>#REF!/Summary!#REF!*100</f>
        <v>#REF!</v>
      </c>
      <c r="P17" s="47" t="e">
        <f>#REF!/Summary!#REF!*100</f>
        <v>#REF!</v>
      </c>
      <c r="Q17" s="47" t="e">
        <f>#REF!/Summary!#REF!*100</f>
        <v>#REF!</v>
      </c>
      <c r="R17" s="47" t="e">
        <f>#REF!/Summary!#REF!*100</f>
        <v>#REF!</v>
      </c>
      <c r="S17" s="47" t="e">
        <f>#REF!/Summary!#REF!*100</f>
        <v>#REF!</v>
      </c>
      <c r="T17" s="47" t="e">
        <f>#REF!/Summary!#REF!*100</f>
        <v>#REF!</v>
      </c>
      <c r="U17" s="47" t="e">
        <f>#REF!/Summary!#REF!*100</f>
        <v>#REF!</v>
      </c>
      <c r="V17" s="47" t="e">
        <f>#REF!/Summary!#REF!*100</f>
        <v>#REF!</v>
      </c>
      <c r="W17" s="47" t="e">
        <f>#REF!/Summary!#REF!*100</f>
        <v>#REF!</v>
      </c>
      <c r="X17" s="47" t="e">
        <f>#REF!/Summary!#REF!*100</f>
        <v>#REF!</v>
      </c>
      <c r="Y17" s="47" t="e">
        <f>#REF!/Summary!#REF!*100</f>
        <v>#REF!</v>
      </c>
      <c r="Z17" s="47" t="e">
        <f>#REF!/Summary!#REF!*100</f>
        <v>#REF!</v>
      </c>
      <c r="AA17" s="47" t="e">
        <f>#REF!/Summary!#REF!*100</f>
        <v>#REF!</v>
      </c>
      <c r="AB17" s="47" t="e">
        <f>#REF!/Summary!#REF!*100</f>
        <v>#REF!</v>
      </c>
      <c r="AC17" s="47" t="e">
        <f>#REF!/Summary!#REF!*100</f>
        <v>#REF!</v>
      </c>
      <c r="AD17" s="47" t="e">
        <f>#REF!/Summary!#REF!*100</f>
        <v>#REF!</v>
      </c>
      <c r="AE17" s="47" t="e">
        <f>#REF!/Summary!#REF!*100</f>
        <v>#REF!</v>
      </c>
      <c r="AF17" s="41" t="e">
        <f>#REF!/Summary!#REF!*100</f>
        <v>#REF!</v>
      </c>
      <c r="AG17" s="41" t="e">
        <f>#REF!/Summary!#REF!*100</f>
        <v>#REF!</v>
      </c>
      <c r="AH17" s="41" t="e">
        <f>#REF!/Summary!#REF!*100</f>
        <v>#REF!</v>
      </c>
      <c r="AI17" s="41" t="e">
        <f>#REF!/Summary!#REF!*100</f>
        <v>#REF!</v>
      </c>
      <c r="AJ17" s="41" t="e">
        <f>#REF!/Summary!B17*100</f>
        <v>#REF!</v>
      </c>
      <c r="AK17" s="41" t="e">
        <f>#REF!/Summary!C17*100</f>
        <v>#REF!</v>
      </c>
      <c r="AL17" s="41" t="e">
        <f>#REF!/Summary!D17*100</f>
        <v>#REF!</v>
      </c>
      <c r="AM17" s="41" t="e">
        <f>#REF!/Summary!E17*100</f>
        <v>#REF!</v>
      </c>
      <c r="AN17" s="41" t="e">
        <f>#REF!/Summary!F17*100</f>
        <v>#REF!</v>
      </c>
      <c r="AO17" s="41" t="e">
        <f>#REF!/Summary!G17*100</f>
        <v>#REF!</v>
      </c>
      <c r="AP17" s="41" t="e">
        <f>#REF!/Summary!H17*100</f>
        <v>#REF!</v>
      </c>
      <c r="AQ17" s="41" t="e">
        <f>#REF!/Summary!I17*100</f>
        <v>#REF!</v>
      </c>
    </row>
    <row r="18" spans="1:43" ht="11.1" customHeight="1" x14ac:dyDescent="0.2">
      <c r="A18" s="39" t="s">
        <v>18</v>
      </c>
      <c r="AF18" s="45"/>
      <c r="AG18" s="45"/>
      <c r="AH18" s="45"/>
      <c r="AI18" s="45"/>
      <c r="AJ18" s="45"/>
      <c r="AK18" s="45"/>
      <c r="AL18" s="45"/>
      <c r="AM18" s="45"/>
      <c r="AN18" s="45"/>
      <c r="AO18" s="45"/>
      <c r="AP18" s="45"/>
      <c r="AQ18" s="45"/>
    </row>
    <row r="19" spans="1:43" ht="11.1" customHeight="1" x14ac:dyDescent="0.2">
      <c r="A19" s="42" t="s">
        <v>19</v>
      </c>
      <c r="B19" s="47" t="e">
        <f>#REF!/Summary!#REF!*100</f>
        <v>#REF!</v>
      </c>
      <c r="C19" s="47" t="e">
        <f>#REF!/Summary!#REF!*100</f>
        <v>#REF!</v>
      </c>
      <c r="D19" s="47" t="e">
        <f>#REF!/Summary!#REF!*100</f>
        <v>#REF!</v>
      </c>
      <c r="E19" s="47" t="e">
        <f>#REF!/Summary!#REF!*100</f>
        <v>#REF!</v>
      </c>
      <c r="F19" s="47" t="e">
        <f>#REF!/Summary!#REF!*100</f>
        <v>#REF!</v>
      </c>
      <c r="G19" s="47" t="e">
        <f>#REF!/Summary!#REF!*100</f>
        <v>#REF!</v>
      </c>
      <c r="H19" s="47" t="e">
        <f>#REF!/Summary!#REF!*100</f>
        <v>#REF!</v>
      </c>
      <c r="I19" s="47" t="e">
        <f>#REF!/Summary!#REF!*100</f>
        <v>#REF!</v>
      </c>
      <c r="J19" s="47" t="e">
        <f>#REF!/Summary!#REF!*100</f>
        <v>#REF!</v>
      </c>
      <c r="K19" s="47" t="e">
        <f>#REF!/Summary!#REF!*100</f>
        <v>#REF!</v>
      </c>
      <c r="L19" s="47" t="e">
        <f>#REF!/Summary!#REF!*100</f>
        <v>#REF!</v>
      </c>
      <c r="M19" s="47" t="e">
        <f>#REF!/Summary!#REF!*100</f>
        <v>#REF!</v>
      </c>
      <c r="N19" s="47" t="e">
        <f>#REF!/Summary!#REF!*100</f>
        <v>#REF!</v>
      </c>
      <c r="O19" s="47" t="e">
        <f>#REF!/Summary!#REF!*100</f>
        <v>#REF!</v>
      </c>
      <c r="P19" s="47" t="e">
        <f>#REF!/Summary!#REF!*100</f>
        <v>#REF!</v>
      </c>
      <c r="Q19" s="47" t="e">
        <f>#REF!/Summary!#REF!*100</f>
        <v>#REF!</v>
      </c>
      <c r="R19" s="47" t="e">
        <f>#REF!/Summary!#REF!*100</f>
        <v>#REF!</v>
      </c>
      <c r="S19" s="47" t="e">
        <f>#REF!/Summary!#REF!*100</f>
        <v>#REF!</v>
      </c>
      <c r="T19" s="47" t="e">
        <f>#REF!/Summary!#REF!*100</f>
        <v>#REF!</v>
      </c>
      <c r="U19" s="47" t="e">
        <f>#REF!/Summary!#REF!*100</f>
        <v>#REF!</v>
      </c>
      <c r="V19" s="47" t="e">
        <f>#REF!/Summary!#REF!*100</f>
        <v>#REF!</v>
      </c>
      <c r="W19" s="47" t="e">
        <f>#REF!/Summary!#REF!*100</f>
        <v>#REF!</v>
      </c>
      <c r="X19" s="47" t="e">
        <f>#REF!/Summary!#REF!*100</f>
        <v>#REF!</v>
      </c>
      <c r="Y19" s="47" t="e">
        <f>#REF!/Summary!#REF!*100</f>
        <v>#REF!</v>
      </c>
      <c r="Z19" s="47" t="e">
        <f>#REF!/Summary!#REF!*100</f>
        <v>#REF!</v>
      </c>
      <c r="AA19" s="47" t="e">
        <f>#REF!/Summary!#REF!*100</f>
        <v>#REF!</v>
      </c>
      <c r="AB19" s="47" t="e">
        <f>#REF!/Summary!#REF!*100</f>
        <v>#REF!</v>
      </c>
      <c r="AC19" s="47" t="e">
        <f>#REF!/Summary!#REF!*100</f>
        <v>#REF!</v>
      </c>
      <c r="AD19" s="47" t="e">
        <f>#REF!/Summary!#REF!*100</f>
        <v>#REF!</v>
      </c>
      <c r="AE19" s="47" t="e">
        <f>#REF!/Summary!#REF!*100</f>
        <v>#REF!</v>
      </c>
      <c r="AF19" s="41" t="e">
        <f>#REF!/Summary!#REF!*100</f>
        <v>#REF!</v>
      </c>
      <c r="AG19" s="41" t="e">
        <f>#REF!/Summary!#REF!*100</f>
        <v>#REF!</v>
      </c>
      <c r="AH19" s="41" t="e">
        <f>#REF!/Summary!#REF!*100</f>
        <v>#REF!</v>
      </c>
      <c r="AI19" s="41" t="e">
        <f>#REF!/Summary!#REF!*100</f>
        <v>#REF!</v>
      </c>
      <c r="AJ19" s="41" t="e">
        <f>#REF!/Summary!B19*100</f>
        <v>#REF!</v>
      </c>
      <c r="AK19" s="41" t="e">
        <f>#REF!/Summary!C19*100</f>
        <v>#REF!</v>
      </c>
      <c r="AL19" s="41" t="e">
        <f>#REF!/Summary!D19*100</f>
        <v>#REF!</v>
      </c>
      <c r="AM19" s="41" t="e">
        <f>#REF!/Summary!E19*100</f>
        <v>#REF!</v>
      </c>
      <c r="AN19" s="41" t="e">
        <f>#REF!/Summary!F19*100</f>
        <v>#REF!</v>
      </c>
      <c r="AO19" s="41" t="e">
        <f>#REF!/Summary!G19*100</f>
        <v>#REF!</v>
      </c>
      <c r="AP19" s="41" t="e">
        <f>#REF!/Summary!H19*100</f>
        <v>#REF!</v>
      </c>
      <c r="AQ19" s="41" t="e">
        <f>#REF!/Summary!I19*100</f>
        <v>#REF!</v>
      </c>
    </row>
    <row r="20" spans="1:43" ht="11.1" customHeight="1" x14ac:dyDescent="0.2">
      <c r="AF20" s="45"/>
      <c r="AG20" s="45"/>
      <c r="AH20" s="45"/>
      <c r="AI20" s="45"/>
    </row>
    <row r="21" spans="1:43" ht="11.1" customHeight="1" x14ac:dyDescent="0.2">
      <c r="A21" s="37" t="s">
        <v>100</v>
      </c>
      <c r="AF21" s="45"/>
      <c r="AG21" s="45"/>
      <c r="AH21" s="45"/>
      <c r="AI21" s="45"/>
    </row>
    <row r="22" spans="1:43" ht="11.1" customHeight="1" x14ac:dyDescent="0.2">
      <c r="A22" s="39" t="s">
        <v>0</v>
      </c>
      <c r="B22" s="47" t="e">
        <f>#REF!/Summary!#REF!*100</f>
        <v>#REF!</v>
      </c>
      <c r="C22" s="47" t="e">
        <f>#REF!/Summary!#REF!*100</f>
        <v>#REF!</v>
      </c>
      <c r="D22" s="47" t="e">
        <f>#REF!/Summary!#REF!*100</f>
        <v>#REF!</v>
      </c>
      <c r="E22" s="47" t="e">
        <f>#REF!/Summary!#REF!*100</f>
        <v>#REF!</v>
      </c>
      <c r="F22" s="47" t="e">
        <f>#REF!/Summary!#REF!*100</f>
        <v>#REF!</v>
      </c>
      <c r="G22" s="47" t="e">
        <f>#REF!/Summary!#REF!*100</f>
        <v>#REF!</v>
      </c>
      <c r="H22" s="47" t="e">
        <f>#REF!/Summary!#REF!*100</f>
        <v>#REF!</v>
      </c>
      <c r="I22" s="47" t="e">
        <f>#REF!/Summary!#REF!*100</f>
        <v>#REF!</v>
      </c>
      <c r="J22" s="47" t="e">
        <f>#REF!/Summary!#REF!*100</f>
        <v>#REF!</v>
      </c>
      <c r="K22" s="47" t="e">
        <f>#REF!/Summary!#REF!*100</f>
        <v>#REF!</v>
      </c>
      <c r="L22" s="47" t="e">
        <f>#REF!/Summary!#REF!*100</f>
        <v>#REF!</v>
      </c>
      <c r="M22" s="47" t="e">
        <f>#REF!/Summary!#REF!*100</f>
        <v>#REF!</v>
      </c>
      <c r="N22" s="47" t="e">
        <f>#REF!/Summary!#REF!*100</f>
        <v>#REF!</v>
      </c>
      <c r="O22" s="47" t="e">
        <f>#REF!/Summary!#REF!*100</f>
        <v>#REF!</v>
      </c>
      <c r="P22" s="47" t="e">
        <f>#REF!/Summary!#REF!*100</f>
        <v>#REF!</v>
      </c>
      <c r="Q22" s="47" t="e">
        <f>#REF!/Summary!#REF!*100</f>
        <v>#REF!</v>
      </c>
      <c r="R22" s="47" t="e">
        <f>#REF!/Summary!#REF!*100</f>
        <v>#REF!</v>
      </c>
      <c r="S22" s="47" t="e">
        <f>#REF!/Summary!#REF!*100</f>
        <v>#REF!</v>
      </c>
      <c r="T22" s="47" t="e">
        <f>#REF!/Summary!#REF!*100</f>
        <v>#REF!</v>
      </c>
      <c r="U22" s="47" t="e">
        <f>#REF!/Summary!#REF!*100</f>
        <v>#REF!</v>
      </c>
      <c r="V22" s="47" t="e">
        <f>#REF!/Summary!#REF!*100</f>
        <v>#REF!</v>
      </c>
      <c r="W22" s="47" t="e">
        <f>#REF!/Summary!#REF!*100</f>
        <v>#REF!</v>
      </c>
      <c r="X22" s="47" t="e">
        <f>#REF!/Summary!#REF!*100</f>
        <v>#REF!</v>
      </c>
      <c r="Y22" s="47" t="e">
        <f>#REF!/Summary!#REF!*100</f>
        <v>#REF!</v>
      </c>
      <c r="Z22" s="47" t="e">
        <f>#REF!/Summary!#REF!*100</f>
        <v>#REF!</v>
      </c>
      <c r="AA22" s="47" t="e">
        <f>#REF!/Summary!#REF!*100</f>
        <v>#REF!</v>
      </c>
      <c r="AB22" s="47" t="e">
        <f>#REF!/Summary!#REF!*100</f>
        <v>#REF!</v>
      </c>
      <c r="AC22" s="47" t="e">
        <f>#REF!/Summary!#REF!*100</f>
        <v>#REF!</v>
      </c>
      <c r="AD22" s="47" t="e">
        <f>#REF!/Summary!#REF!*100</f>
        <v>#REF!</v>
      </c>
      <c r="AE22" s="47" t="e">
        <f>#REF!/Summary!#REF!*100</f>
        <v>#REF!</v>
      </c>
      <c r="AF22" s="41" t="e">
        <f>#REF!/Summary!#REF!*100</f>
        <v>#REF!</v>
      </c>
      <c r="AG22" s="41" t="e">
        <f>#REF!/Summary!#REF!*100</f>
        <v>#REF!</v>
      </c>
      <c r="AH22" s="41" t="e">
        <f>#REF!/Summary!#REF!*100</f>
        <v>#REF!</v>
      </c>
      <c r="AI22" s="41" t="e">
        <f>#REF!/Summary!#REF!*100</f>
        <v>#REF!</v>
      </c>
      <c r="AJ22" s="41" t="e">
        <f>#REF!/Summary!B22*100</f>
        <v>#REF!</v>
      </c>
      <c r="AK22" s="41" t="e">
        <f>#REF!/Summary!C22*100</f>
        <v>#REF!</v>
      </c>
      <c r="AL22" s="41" t="e">
        <f>#REF!/Summary!D22*100</f>
        <v>#REF!</v>
      </c>
      <c r="AM22" s="41" t="e">
        <f>#REF!/Summary!E22*100</f>
        <v>#REF!</v>
      </c>
      <c r="AN22" s="41" t="e">
        <f>#REF!/Summary!F22*100</f>
        <v>#REF!</v>
      </c>
      <c r="AO22" s="41" t="e">
        <f>#REF!/Summary!G22*100</f>
        <v>#REF!</v>
      </c>
      <c r="AP22" s="41" t="e">
        <f>#REF!/Summary!H22*100</f>
        <v>#REF!</v>
      </c>
      <c r="AQ22" s="41" t="e">
        <f>#REF!/Summary!I22*100</f>
        <v>#REF!</v>
      </c>
    </row>
    <row r="23" spans="1:43" ht="11.1" customHeight="1" x14ac:dyDescent="0.2">
      <c r="A23" s="40" t="s">
        <v>70</v>
      </c>
      <c r="B23" s="47" t="e">
        <f>#REF!/Summary!#REF!*100</f>
        <v>#REF!</v>
      </c>
      <c r="C23" s="47" t="e">
        <f>#REF!/Summary!#REF!*100</f>
        <v>#REF!</v>
      </c>
      <c r="D23" s="47" t="e">
        <f>#REF!/Summary!#REF!*100</f>
        <v>#REF!</v>
      </c>
      <c r="E23" s="47" t="e">
        <f>#REF!/Summary!#REF!*100</f>
        <v>#REF!</v>
      </c>
      <c r="F23" s="47" t="e">
        <f>#REF!/Summary!#REF!*100</f>
        <v>#REF!</v>
      </c>
      <c r="G23" s="47" t="e">
        <f>#REF!/Summary!#REF!*100</f>
        <v>#REF!</v>
      </c>
      <c r="H23" s="47" t="e">
        <f>#REF!/Summary!#REF!*100</f>
        <v>#REF!</v>
      </c>
      <c r="I23" s="47" t="e">
        <f>#REF!/Summary!#REF!*100</f>
        <v>#REF!</v>
      </c>
      <c r="J23" s="47" t="e">
        <f>#REF!/Summary!#REF!*100</f>
        <v>#REF!</v>
      </c>
      <c r="K23" s="47" t="e">
        <f>#REF!/Summary!#REF!*100</f>
        <v>#REF!</v>
      </c>
      <c r="L23" s="47" t="e">
        <f>#REF!/Summary!#REF!*100</f>
        <v>#REF!</v>
      </c>
      <c r="M23" s="47" t="e">
        <f>#REF!/Summary!#REF!*100</f>
        <v>#REF!</v>
      </c>
      <c r="N23" s="47" t="e">
        <f>#REF!/Summary!#REF!*100</f>
        <v>#REF!</v>
      </c>
      <c r="O23" s="47" t="e">
        <f>#REF!/Summary!#REF!*100</f>
        <v>#REF!</v>
      </c>
      <c r="P23" s="47" t="e">
        <f>#REF!/Summary!#REF!*100</f>
        <v>#REF!</v>
      </c>
      <c r="Q23" s="47" t="e">
        <f>#REF!/Summary!#REF!*100</f>
        <v>#REF!</v>
      </c>
      <c r="R23" s="47" t="e">
        <f>#REF!/Summary!#REF!*100</f>
        <v>#REF!</v>
      </c>
      <c r="S23" s="47" t="e">
        <f>#REF!/Summary!#REF!*100</f>
        <v>#REF!</v>
      </c>
      <c r="T23" s="47" t="e">
        <f>#REF!/Summary!#REF!*100</f>
        <v>#REF!</v>
      </c>
      <c r="U23" s="47" t="e">
        <f>#REF!/Summary!#REF!*100</f>
        <v>#REF!</v>
      </c>
      <c r="V23" s="47" t="e">
        <f>#REF!/Summary!#REF!*100</f>
        <v>#REF!</v>
      </c>
      <c r="W23" s="47" t="e">
        <f>#REF!/Summary!#REF!*100</f>
        <v>#REF!</v>
      </c>
      <c r="X23" s="47" t="e">
        <f>#REF!/Summary!#REF!*100</f>
        <v>#REF!</v>
      </c>
      <c r="Y23" s="47" t="e">
        <f>#REF!/Summary!#REF!*100</f>
        <v>#REF!</v>
      </c>
      <c r="Z23" s="47" t="e">
        <f>#REF!/Summary!#REF!*100</f>
        <v>#REF!</v>
      </c>
      <c r="AA23" s="47" t="e">
        <f>#REF!/Summary!#REF!*100</f>
        <v>#REF!</v>
      </c>
      <c r="AB23" s="47" t="e">
        <f>#REF!/Summary!#REF!*100</f>
        <v>#REF!</v>
      </c>
      <c r="AC23" s="47" t="e">
        <f>#REF!/Summary!#REF!*100</f>
        <v>#REF!</v>
      </c>
      <c r="AD23" s="47" t="e">
        <f>#REF!/Summary!#REF!*100</f>
        <v>#REF!</v>
      </c>
      <c r="AE23" s="47" t="e">
        <f>#REF!/Summary!#REF!*100</f>
        <v>#REF!</v>
      </c>
      <c r="AF23" s="41" t="e">
        <f>#REF!/Summary!#REF!*100</f>
        <v>#REF!</v>
      </c>
      <c r="AG23" s="41" t="e">
        <f>#REF!/Summary!#REF!*100</f>
        <v>#REF!</v>
      </c>
      <c r="AH23" s="41" t="e">
        <f>#REF!/Summary!#REF!*100</f>
        <v>#REF!</v>
      </c>
      <c r="AI23" s="41" t="e">
        <f>#REF!/Summary!#REF!*100</f>
        <v>#REF!</v>
      </c>
      <c r="AJ23" s="41" t="e">
        <f>#REF!/Summary!B23*100</f>
        <v>#REF!</v>
      </c>
      <c r="AK23" s="41" t="e">
        <f>#REF!/Summary!C23*100</f>
        <v>#REF!</v>
      </c>
      <c r="AL23" s="41" t="e">
        <f>#REF!/Summary!D23*100</f>
        <v>#REF!</v>
      </c>
      <c r="AM23" s="41" t="e">
        <f>#REF!/Summary!E23*100</f>
        <v>#REF!</v>
      </c>
      <c r="AN23" s="41" t="e">
        <f>#REF!/Summary!F23*100</f>
        <v>#REF!</v>
      </c>
      <c r="AO23" s="41" t="e">
        <f>#REF!/Summary!G23*100</f>
        <v>#REF!</v>
      </c>
      <c r="AP23" s="41" t="e">
        <f>#REF!/Summary!H23*100</f>
        <v>#REF!</v>
      </c>
      <c r="AQ23" s="41" t="e">
        <f>#REF!/Summary!I23*100</f>
        <v>#REF!</v>
      </c>
    </row>
    <row r="24" spans="1:43" ht="11.1" customHeight="1" x14ac:dyDescent="0.2">
      <c r="A24" s="40" t="s">
        <v>7</v>
      </c>
      <c r="B24" s="47" t="e">
        <f>#REF!/Summary!#REF!*100</f>
        <v>#REF!</v>
      </c>
      <c r="C24" s="47" t="e">
        <f>#REF!/Summary!#REF!*100</f>
        <v>#REF!</v>
      </c>
      <c r="D24" s="47" t="e">
        <f>#REF!/Summary!#REF!*100</f>
        <v>#REF!</v>
      </c>
      <c r="E24" s="47" t="e">
        <f>#REF!/Summary!#REF!*100</f>
        <v>#REF!</v>
      </c>
      <c r="F24" s="47" t="e">
        <f>#REF!/Summary!#REF!*100</f>
        <v>#REF!</v>
      </c>
      <c r="G24" s="47" t="e">
        <f>#REF!/Summary!#REF!*100</f>
        <v>#REF!</v>
      </c>
      <c r="H24" s="47" t="e">
        <f>#REF!/Summary!#REF!*100</f>
        <v>#REF!</v>
      </c>
      <c r="I24" s="47" t="e">
        <f>#REF!/Summary!#REF!*100</f>
        <v>#REF!</v>
      </c>
      <c r="J24" s="47" t="e">
        <f>#REF!/Summary!#REF!*100</f>
        <v>#REF!</v>
      </c>
      <c r="K24" s="47" t="e">
        <f>#REF!/Summary!#REF!*100</f>
        <v>#REF!</v>
      </c>
      <c r="L24" s="47" t="e">
        <f>#REF!/Summary!#REF!*100</f>
        <v>#REF!</v>
      </c>
      <c r="M24" s="47" t="e">
        <f>#REF!/Summary!#REF!*100</f>
        <v>#REF!</v>
      </c>
      <c r="N24" s="47" t="e">
        <f>#REF!/Summary!#REF!*100</f>
        <v>#REF!</v>
      </c>
      <c r="O24" s="47" t="e">
        <f>#REF!/Summary!#REF!*100</f>
        <v>#REF!</v>
      </c>
      <c r="P24" s="47" t="e">
        <f>#REF!/Summary!#REF!*100</f>
        <v>#REF!</v>
      </c>
      <c r="Q24" s="47" t="e">
        <f>#REF!/Summary!#REF!*100</f>
        <v>#REF!</v>
      </c>
      <c r="R24" s="47" t="e">
        <f>#REF!/Summary!#REF!*100</f>
        <v>#REF!</v>
      </c>
      <c r="S24" s="47" t="e">
        <f>#REF!/Summary!#REF!*100</f>
        <v>#REF!</v>
      </c>
      <c r="T24" s="47" t="e">
        <f>#REF!/Summary!#REF!*100</f>
        <v>#REF!</v>
      </c>
      <c r="U24" s="47" t="e">
        <f>#REF!/Summary!#REF!*100</f>
        <v>#REF!</v>
      </c>
      <c r="V24" s="47" t="e">
        <f>#REF!/Summary!#REF!*100</f>
        <v>#REF!</v>
      </c>
      <c r="W24" s="47" t="e">
        <f>#REF!/Summary!#REF!*100</f>
        <v>#REF!</v>
      </c>
      <c r="X24" s="47" t="e">
        <f>#REF!/Summary!#REF!*100</f>
        <v>#REF!</v>
      </c>
      <c r="Y24" s="47" t="e">
        <f>#REF!/Summary!#REF!*100</f>
        <v>#REF!</v>
      </c>
      <c r="Z24" s="47" t="e">
        <f>#REF!/Summary!#REF!*100</f>
        <v>#REF!</v>
      </c>
      <c r="AA24" s="47" t="e">
        <f>#REF!/Summary!#REF!*100</f>
        <v>#REF!</v>
      </c>
      <c r="AB24" s="47" t="e">
        <f>#REF!/Summary!#REF!*100</f>
        <v>#REF!</v>
      </c>
      <c r="AC24" s="47" t="e">
        <f>#REF!/Summary!#REF!*100</f>
        <v>#REF!</v>
      </c>
      <c r="AD24" s="47" t="e">
        <f>#REF!/Summary!#REF!*100</f>
        <v>#REF!</v>
      </c>
      <c r="AE24" s="47" t="e">
        <f>#REF!/Summary!#REF!*100</f>
        <v>#REF!</v>
      </c>
      <c r="AF24" s="41" t="e">
        <f>#REF!/Summary!#REF!*100</f>
        <v>#REF!</v>
      </c>
      <c r="AG24" s="41" t="e">
        <f>#REF!/Summary!#REF!*100</f>
        <v>#REF!</v>
      </c>
      <c r="AH24" s="41" t="e">
        <f>#REF!/Summary!#REF!*100</f>
        <v>#REF!</v>
      </c>
      <c r="AI24" s="41" t="e">
        <f>#REF!/Summary!#REF!*100</f>
        <v>#REF!</v>
      </c>
      <c r="AJ24" s="41" t="e">
        <f>#REF!/Summary!B24*100</f>
        <v>#REF!</v>
      </c>
      <c r="AK24" s="41" t="e">
        <f>#REF!/Summary!C24*100</f>
        <v>#REF!</v>
      </c>
      <c r="AL24" s="41" t="e">
        <f>#REF!/Summary!D24*100</f>
        <v>#REF!</v>
      </c>
      <c r="AM24" s="41" t="e">
        <f>#REF!/Summary!E24*100</f>
        <v>#REF!</v>
      </c>
      <c r="AN24" s="41" t="e">
        <f>#REF!/Summary!F24*100</f>
        <v>#REF!</v>
      </c>
      <c r="AO24" s="41" t="e">
        <f>#REF!/Summary!G24*100</f>
        <v>#REF!</v>
      </c>
      <c r="AP24" s="41" t="e">
        <f>#REF!/Summary!H24*100</f>
        <v>#REF!</v>
      </c>
      <c r="AQ24" s="41" t="e">
        <f>#REF!/Summary!I24*100</f>
        <v>#REF!</v>
      </c>
    </row>
    <row r="25" spans="1:43" ht="11.1" customHeight="1" x14ac:dyDescent="0.2">
      <c r="A25" s="40" t="s">
        <v>13</v>
      </c>
      <c r="B25" s="47" t="e">
        <f>#REF!/Summary!#REF!*100</f>
        <v>#REF!</v>
      </c>
      <c r="C25" s="47" t="e">
        <f>#REF!/Summary!#REF!*100</f>
        <v>#REF!</v>
      </c>
      <c r="D25" s="47" t="e">
        <f>#REF!/Summary!#REF!*100</f>
        <v>#REF!</v>
      </c>
      <c r="E25" s="47" t="e">
        <f>#REF!/Summary!#REF!*100</f>
        <v>#REF!</v>
      </c>
      <c r="F25" s="47" t="e">
        <f>#REF!/Summary!#REF!*100</f>
        <v>#REF!</v>
      </c>
      <c r="G25" s="47" t="e">
        <f>#REF!/Summary!#REF!*100</f>
        <v>#REF!</v>
      </c>
      <c r="H25" s="47" t="e">
        <f>#REF!/Summary!#REF!*100</f>
        <v>#REF!</v>
      </c>
      <c r="I25" s="47" t="e">
        <f>#REF!/Summary!#REF!*100</f>
        <v>#REF!</v>
      </c>
      <c r="J25" s="47" t="e">
        <f>#REF!/Summary!#REF!*100</f>
        <v>#REF!</v>
      </c>
      <c r="K25" s="47" t="e">
        <f>#REF!/Summary!#REF!*100</f>
        <v>#REF!</v>
      </c>
      <c r="L25" s="47" t="e">
        <f>#REF!/Summary!#REF!*100</f>
        <v>#REF!</v>
      </c>
      <c r="M25" s="47" t="e">
        <f>#REF!/Summary!#REF!*100</f>
        <v>#REF!</v>
      </c>
      <c r="N25" s="47" t="e">
        <f>#REF!/Summary!#REF!*100</f>
        <v>#REF!</v>
      </c>
      <c r="O25" s="47" t="e">
        <f>#REF!/Summary!#REF!*100</f>
        <v>#REF!</v>
      </c>
      <c r="P25" s="47" t="e">
        <f>#REF!/Summary!#REF!*100</f>
        <v>#REF!</v>
      </c>
      <c r="Q25" s="47" t="e">
        <f>#REF!/Summary!#REF!*100</f>
        <v>#REF!</v>
      </c>
      <c r="R25" s="47" t="e">
        <f>#REF!/Summary!#REF!*100</f>
        <v>#REF!</v>
      </c>
      <c r="S25" s="47" t="e">
        <f>#REF!/Summary!#REF!*100</f>
        <v>#REF!</v>
      </c>
      <c r="T25" s="47" t="e">
        <f>#REF!/Summary!#REF!*100</f>
        <v>#REF!</v>
      </c>
      <c r="U25" s="47" t="e">
        <f>#REF!/Summary!#REF!*100</f>
        <v>#REF!</v>
      </c>
      <c r="V25" s="47" t="e">
        <f>#REF!/Summary!#REF!*100</f>
        <v>#REF!</v>
      </c>
      <c r="W25" s="47" t="e">
        <f>#REF!/Summary!#REF!*100</f>
        <v>#REF!</v>
      </c>
      <c r="X25" s="47" t="e">
        <f>#REF!/Summary!#REF!*100</f>
        <v>#REF!</v>
      </c>
      <c r="Y25" s="47" t="e">
        <f>#REF!/Summary!#REF!*100</f>
        <v>#REF!</v>
      </c>
      <c r="Z25" s="47" t="e">
        <f>#REF!/Summary!#REF!*100</f>
        <v>#REF!</v>
      </c>
      <c r="AA25" s="47" t="e">
        <f>#REF!/Summary!#REF!*100</f>
        <v>#REF!</v>
      </c>
      <c r="AB25" s="47" t="e">
        <f>#REF!/Summary!#REF!*100</f>
        <v>#REF!</v>
      </c>
      <c r="AC25" s="47" t="e">
        <f>#REF!/Summary!#REF!*100</f>
        <v>#REF!</v>
      </c>
      <c r="AD25" s="47" t="e">
        <f>#REF!/Summary!#REF!*100</f>
        <v>#REF!</v>
      </c>
      <c r="AE25" s="47" t="e">
        <f>#REF!/Summary!#REF!*100</f>
        <v>#REF!</v>
      </c>
      <c r="AF25" s="41" t="e">
        <f>#REF!/Summary!#REF!*100</f>
        <v>#REF!</v>
      </c>
      <c r="AG25" s="41" t="e">
        <f>#REF!/Summary!#REF!*100</f>
        <v>#REF!</v>
      </c>
      <c r="AH25" s="41" t="e">
        <f>#REF!/Summary!#REF!*100</f>
        <v>#REF!</v>
      </c>
      <c r="AI25" s="41" t="e">
        <f>#REF!/Summary!#REF!*100</f>
        <v>#REF!</v>
      </c>
      <c r="AJ25" s="41" t="e">
        <f>#REF!/Summary!B25*100</f>
        <v>#REF!</v>
      </c>
      <c r="AK25" s="41" t="e">
        <f>#REF!/Summary!C25*100</f>
        <v>#REF!</v>
      </c>
      <c r="AL25" s="41" t="e">
        <f>#REF!/Summary!D25*100</f>
        <v>#REF!</v>
      </c>
      <c r="AM25" s="41" t="e">
        <f>#REF!/Summary!E25*100</f>
        <v>#REF!</v>
      </c>
      <c r="AN25" s="41" t="e">
        <f>#REF!/Summary!F25*100</f>
        <v>#REF!</v>
      </c>
      <c r="AO25" s="41" t="e">
        <f>#REF!/Summary!G25*100</f>
        <v>#REF!</v>
      </c>
      <c r="AP25" s="41" t="e">
        <f>#REF!/Summary!H25*100</f>
        <v>#REF!</v>
      </c>
      <c r="AQ25" s="41" t="e">
        <f>#REF!/Summary!I25*100</f>
        <v>#REF!</v>
      </c>
    </row>
    <row r="26" spans="1:43" ht="11.1" customHeight="1" x14ac:dyDescent="0.2">
      <c r="A26" s="39" t="s">
        <v>18</v>
      </c>
      <c r="AF26" s="45"/>
      <c r="AG26" s="45"/>
      <c r="AH26" s="45"/>
      <c r="AI26" s="45"/>
      <c r="AJ26" s="45"/>
      <c r="AK26" s="45"/>
      <c r="AL26" s="45"/>
      <c r="AM26" s="45"/>
      <c r="AN26" s="45"/>
      <c r="AO26" s="45"/>
      <c r="AP26" s="45"/>
      <c r="AQ26" s="45"/>
    </row>
    <row r="27" spans="1:43" s="43" customFormat="1" ht="11.1" customHeight="1" thickBot="1" x14ac:dyDescent="0.25">
      <c r="A27" s="51" t="s">
        <v>19</v>
      </c>
      <c r="B27" s="48" t="e">
        <f>#REF!/Summary!#REF!*100</f>
        <v>#REF!</v>
      </c>
      <c r="C27" s="48" t="e">
        <f>#REF!/Summary!#REF!*100</f>
        <v>#REF!</v>
      </c>
      <c r="D27" s="48" t="e">
        <f>#REF!/Summary!#REF!*100</f>
        <v>#REF!</v>
      </c>
      <c r="E27" s="48" t="e">
        <f>#REF!/Summary!#REF!*100</f>
        <v>#REF!</v>
      </c>
      <c r="F27" s="48" t="e">
        <f>#REF!/Summary!#REF!*100</f>
        <v>#REF!</v>
      </c>
      <c r="G27" s="48" t="e">
        <f>#REF!/Summary!#REF!*100</f>
        <v>#REF!</v>
      </c>
      <c r="H27" s="48" t="e">
        <f>#REF!/Summary!#REF!*100</f>
        <v>#REF!</v>
      </c>
      <c r="I27" s="48" t="e">
        <f>#REF!/Summary!#REF!*100</f>
        <v>#REF!</v>
      </c>
      <c r="J27" s="48" t="e">
        <f>#REF!/Summary!#REF!*100</f>
        <v>#REF!</v>
      </c>
      <c r="K27" s="48" t="e">
        <f>#REF!/Summary!#REF!*100</f>
        <v>#REF!</v>
      </c>
      <c r="L27" s="48" t="e">
        <f>#REF!/Summary!#REF!*100</f>
        <v>#REF!</v>
      </c>
      <c r="M27" s="48" t="e">
        <f>#REF!/Summary!#REF!*100</f>
        <v>#REF!</v>
      </c>
      <c r="N27" s="48" t="e">
        <f>#REF!/Summary!#REF!*100</f>
        <v>#REF!</v>
      </c>
      <c r="O27" s="48" t="e">
        <f>#REF!/Summary!#REF!*100</f>
        <v>#REF!</v>
      </c>
      <c r="P27" s="48" t="e">
        <f>#REF!/Summary!#REF!*100</f>
        <v>#REF!</v>
      </c>
      <c r="Q27" s="48" t="e">
        <f>#REF!/Summary!#REF!*100</f>
        <v>#REF!</v>
      </c>
      <c r="R27" s="48" t="e">
        <f>#REF!/Summary!#REF!*100</f>
        <v>#REF!</v>
      </c>
      <c r="S27" s="48" t="e">
        <f>#REF!/Summary!#REF!*100</f>
        <v>#REF!</v>
      </c>
      <c r="T27" s="48" t="e">
        <f>#REF!/Summary!#REF!*100</f>
        <v>#REF!</v>
      </c>
      <c r="U27" s="48" t="e">
        <f>#REF!/Summary!#REF!*100</f>
        <v>#REF!</v>
      </c>
      <c r="V27" s="48" t="e">
        <f>#REF!/Summary!#REF!*100</f>
        <v>#REF!</v>
      </c>
      <c r="W27" s="48" t="e">
        <f>#REF!/Summary!#REF!*100</f>
        <v>#REF!</v>
      </c>
      <c r="X27" s="48" t="e">
        <f>#REF!/Summary!#REF!*100</f>
        <v>#REF!</v>
      </c>
      <c r="Y27" s="48" t="e">
        <f>#REF!/Summary!#REF!*100</f>
        <v>#REF!</v>
      </c>
      <c r="Z27" s="48" t="e">
        <f>#REF!/Summary!#REF!*100</f>
        <v>#REF!</v>
      </c>
      <c r="AA27" s="48" t="e">
        <f>#REF!/Summary!#REF!*100</f>
        <v>#REF!</v>
      </c>
      <c r="AB27" s="48" t="e">
        <f>#REF!/Summary!#REF!*100</f>
        <v>#REF!</v>
      </c>
      <c r="AC27" s="48" t="e">
        <f>#REF!/Summary!#REF!*100</f>
        <v>#REF!</v>
      </c>
      <c r="AD27" s="48" t="e">
        <f>#REF!/Summary!#REF!*100</f>
        <v>#REF!</v>
      </c>
      <c r="AE27" s="48" t="e">
        <f>#REF!/Summary!#REF!*100</f>
        <v>#REF!</v>
      </c>
      <c r="AF27" s="44" t="e">
        <f>#REF!/Summary!#REF!*100</f>
        <v>#REF!</v>
      </c>
      <c r="AG27" s="44" t="e">
        <f>#REF!/Summary!#REF!*100</f>
        <v>#REF!</v>
      </c>
      <c r="AH27" s="44" t="e">
        <f>#REF!/Summary!#REF!*100</f>
        <v>#REF!</v>
      </c>
      <c r="AI27" s="44" t="e">
        <f>#REF!/Summary!#REF!*100</f>
        <v>#REF!</v>
      </c>
      <c r="AJ27" s="44" t="e">
        <f>#REF!/Summary!B27*100</f>
        <v>#REF!</v>
      </c>
      <c r="AK27" s="44" t="e">
        <f>#REF!/Summary!C27*100</f>
        <v>#REF!</v>
      </c>
      <c r="AL27" s="44" t="e">
        <f>#REF!/Summary!D27*100</f>
        <v>#REF!</v>
      </c>
      <c r="AM27" s="44" t="e">
        <f>#REF!/Summary!E27*100</f>
        <v>#REF!</v>
      </c>
      <c r="AN27" s="44" t="e">
        <f>#REF!/Summary!F27*100</f>
        <v>#REF!</v>
      </c>
      <c r="AO27" s="44" t="e">
        <f>#REF!/Summary!G27*100</f>
        <v>#REF!</v>
      </c>
      <c r="AP27" s="44" t="e">
        <f>#REF!/Summary!H27*100</f>
        <v>#REF!</v>
      </c>
      <c r="AQ27" s="44" t="e">
        <f>#REF!/Summary!I27*100</f>
        <v>#REF!</v>
      </c>
    </row>
    <row r="28" spans="1:43" ht="11.1" customHeight="1" x14ac:dyDescent="0.2">
      <c r="A28" s="52" t="s">
        <v>69</v>
      </c>
      <c r="AF28" s="45"/>
      <c r="AG28" s="45"/>
      <c r="AH28" s="45"/>
    </row>
    <row r="29" spans="1:43" ht="11.1" customHeight="1" x14ac:dyDescent="0.2">
      <c r="AF29" s="45"/>
      <c r="AG29" s="45"/>
      <c r="AH29" s="45"/>
    </row>
    <row r="30" spans="1:43" ht="11.1" customHeight="1" thickBot="1" x14ac:dyDescent="0.25">
      <c r="L30" s="53"/>
      <c r="M30" s="53"/>
      <c r="N30" s="53"/>
      <c r="O30" s="53"/>
      <c r="P30" s="53"/>
      <c r="R30" s="53"/>
      <c r="S30" s="53"/>
      <c r="U30" s="53"/>
      <c r="X30" s="53" t="s">
        <v>111</v>
      </c>
      <c r="AF30" s="45"/>
      <c r="AG30" s="45"/>
      <c r="AH30" s="45"/>
    </row>
    <row r="31" spans="1:43" s="36" customFormat="1" ht="11.1" customHeight="1" x14ac:dyDescent="0.2">
      <c r="B31" s="213" t="s">
        <v>67</v>
      </c>
      <c r="C31" s="213"/>
      <c r="D31" s="213" t="s">
        <v>66</v>
      </c>
      <c r="E31" s="213"/>
      <c r="F31" s="213"/>
      <c r="G31" s="213"/>
      <c r="H31" s="213" t="s">
        <v>60</v>
      </c>
      <c r="I31" s="213"/>
      <c r="J31" s="213"/>
      <c r="K31" s="213"/>
      <c r="L31" s="213" t="s">
        <v>61</v>
      </c>
      <c r="M31" s="213"/>
      <c r="N31" s="213"/>
      <c r="O31" s="213"/>
      <c r="P31" s="213" t="s">
        <v>62</v>
      </c>
      <c r="Q31" s="213"/>
      <c r="R31" s="213"/>
      <c r="S31" s="213"/>
      <c r="U31" s="213" t="s">
        <v>63</v>
      </c>
      <c r="V31" s="213"/>
      <c r="W31" s="213"/>
      <c r="X31" s="213" t="s">
        <v>64</v>
      </c>
      <c r="Y31" s="213"/>
      <c r="Z31" s="213"/>
      <c r="AA31" s="213"/>
      <c r="AB31" s="213" t="s">
        <v>65</v>
      </c>
      <c r="AC31" s="213"/>
      <c r="AD31" s="213"/>
      <c r="AE31" s="213"/>
      <c r="AF31" s="213" t="s">
        <v>77</v>
      </c>
      <c r="AG31" s="213"/>
      <c r="AH31" s="213"/>
      <c r="AI31" s="213"/>
      <c r="AJ31" s="213" t="s">
        <v>80</v>
      </c>
      <c r="AK31" s="213"/>
      <c r="AL31" s="213"/>
      <c r="AN31" s="213" t="s">
        <v>92</v>
      </c>
      <c r="AO31" s="213"/>
      <c r="AP31" s="213"/>
      <c r="AQ31" s="213"/>
    </row>
    <row r="32" spans="1:43" ht="11.1" customHeight="1" x14ac:dyDescent="0.2">
      <c r="A32" s="21" t="s">
        <v>99</v>
      </c>
      <c r="B32" s="38" t="s">
        <v>48</v>
      </c>
      <c r="C32" s="38" t="s">
        <v>49</v>
      </c>
      <c r="D32" s="38" t="s">
        <v>46</v>
      </c>
      <c r="E32" s="38" t="s">
        <v>47</v>
      </c>
      <c r="F32" s="38" t="s">
        <v>48</v>
      </c>
      <c r="G32" s="38" t="s">
        <v>49</v>
      </c>
      <c r="H32" s="38" t="s">
        <v>46</v>
      </c>
      <c r="I32" s="38" t="s">
        <v>47</v>
      </c>
      <c r="J32" s="38" t="s">
        <v>48</v>
      </c>
      <c r="K32" s="38" t="s">
        <v>49</v>
      </c>
      <c r="L32" s="38" t="s">
        <v>46</v>
      </c>
      <c r="M32" s="38" t="s">
        <v>47</v>
      </c>
      <c r="N32" s="38" t="s">
        <v>48</v>
      </c>
      <c r="O32" s="38" t="s">
        <v>49</v>
      </c>
      <c r="P32" s="38" t="s">
        <v>46</v>
      </c>
      <c r="Q32" s="38" t="s">
        <v>47</v>
      </c>
      <c r="R32" s="38" t="s">
        <v>48</v>
      </c>
      <c r="S32" s="38" t="s">
        <v>49</v>
      </c>
      <c r="T32" s="38" t="s">
        <v>46</v>
      </c>
      <c r="U32" s="38" t="s">
        <v>47</v>
      </c>
      <c r="V32" s="38" t="s">
        <v>48</v>
      </c>
      <c r="W32" s="38" t="s">
        <v>49</v>
      </c>
      <c r="X32" s="38" t="s">
        <v>46</v>
      </c>
      <c r="Y32" s="38" t="s">
        <v>47</v>
      </c>
      <c r="Z32" s="38" t="s">
        <v>48</v>
      </c>
      <c r="AA32" s="38" t="s">
        <v>49</v>
      </c>
      <c r="AB32" s="38" t="s">
        <v>46</v>
      </c>
      <c r="AC32" s="38" t="s">
        <v>47</v>
      </c>
      <c r="AD32" s="38" t="s">
        <v>48</v>
      </c>
      <c r="AE32" s="38" t="s">
        <v>49</v>
      </c>
      <c r="AF32" s="38" t="s">
        <v>46</v>
      </c>
      <c r="AG32" s="38" t="s">
        <v>47</v>
      </c>
      <c r="AH32" s="38" t="s">
        <v>48</v>
      </c>
      <c r="AI32" s="38" t="s">
        <v>49</v>
      </c>
      <c r="AJ32" s="38" t="s">
        <v>46</v>
      </c>
      <c r="AK32" s="38" t="s">
        <v>47</v>
      </c>
      <c r="AL32" s="38" t="s">
        <v>48</v>
      </c>
      <c r="AM32" s="38" t="s">
        <v>49</v>
      </c>
      <c r="AN32" s="50" t="s">
        <v>46</v>
      </c>
      <c r="AO32" s="50" t="s">
        <v>47</v>
      </c>
      <c r="AP32" s="50" t="s">
        <v>48</v>
      </c>
      <c r="AQ32" s="50" t="s">
        <v>49</v>
      </c>
    </row>
    <row r="33" spans="1:43" ht="11.1" customHeight="1" x14ac:dyDescent="0.2">
      <c r="A33" s="37" t="s">
        <v>101</v>
      </c>
    </row>
    <row r="34" spans="1:43" s="37" customFormat="1" ht="11.1" customHeight="1" x14ac:dyDescent="0.2">
      <c r="A34" s="39" t="s">
        <v>0</v>
      </c>
      <c r="B34" s="46" t="e">
        <f>Summary!#REF!/Summary!#REF!*100</f>
        <v>#REF!</v>
      </c>
      <c r="C34" s="46" t="e">
        <f>Summary!#REF!/Summary!#REF!*100</f>
        <v>#REF!</v>
      </c>
      <c r="D34" s="46" t="e">
        <f>Summary!#REF!/Summary!#REF!*100</f>
        <v>#REF!</v>
      </c>
      <c r="E34" s="46" t="e">
        <f>Summary!#REF!/Summary!#REF!*100</f>
        <v>#REF!</v>
      </c>
      <c r="F34" s="46" t="e">
        <f>Summary!#REF!/Summary!#REF!*100</f>
        <v>#REF!</v>
      </c>
      <c r="G34" s="46" t="e">
        <f>Summary!#REF!/Summary!#REF!*100</f>
        <v>#REF!</v>
      </c>
      <c r="H34" s="46" t="e">
        <f>Summary!#REF!/Summary!#REF!*100</f>
        <v>#REF!</v>
      </c>
      <c r="I34" s="46" t="e">
        <f>Summary!#REF!/Summary!#REF!*100</f>
        <v>#REF!</v>
      </c>
      <c r="J34" s="46" t="e">
        <f>Summary!#REF!/Summary!#REF!*100</f>
        <v>#REF!</v>
      </c>
      <c r="K34" s="46" t="e">
        <f t="shared" ref="K34:AE34" si="0">SUM(K35:K39)</f>
        <v>#REF!</v>
      </c>
      <c r="L34" s="46" t="e">
        <f t="shared" si="0"/>
        <v>#REF!</v>
      </c>
      <c r="M34" s="46" t="e">
        <f t="shared" si="0"/>
        <v>#REF!</v>
      </c>
      <c r="N34" s="46" t="e">
        <f t="shared" si="0"/>
        <v>#REF!</v>
      </c>
      <c r="O34" s="46" t="e">
        <f t="shared" si="0"/>
        <v>#REF!</v>
      </c>
      <c r="P34" s="46" t="e">
        <f t="shared" si="0"/>
        <v>#REF!</v>
      </c>
      <c r="Q34" s="46" t="e">
        <f t="shared" si="0"/>
        <v>#REF!</v>
      </c>
      <c r="R34" s="46" t="e">
        <f t="shared" si="0"/>
        <v>#REF!</v>
      </c>
      <c r="S34" s="46" t="e">
        <f t="shared" si="0"/>
        <v>#REF!</v>
      </c>
      <c r="T34" s="46" t="e">
        <f t="shared" si="0"/>
        <v>#REF!</v>
      </c>
      <c r="U34" s="46" t="e">
        <f t="shared" si="0"/>
        <v>#REF!</v>
      </c>
      <c r="V34" s="46" t="e">
        <f t="shared" si="0"/>
        <v>#REF!</v>
      </c>
      <c r="W34" s="46" t="e">
        <f t="shared" si="0"/>
        <v>#REF!</v>
      </c>
      <c r="X34" s="46" t="e">
        <f t="shared" si="0"/>
        <v>#REF!</v>
      </c>
      <c r="Y34" s="46" t="e">
        <f t="shared" si="0"/>
        <v>#REF!</v>
      </c>
      <c r="Z34" s="46" t="e">
        <f t="shared" si="0"/>
        <v>#REF!</v>
      </c>
      <c r="AA34" s="46" t="e">
        <f t="shared" si="0"/>
        <v>#REF!</v>
      </c>
      <c r="AB34" s="46" t="e">
        <f t="shared" si="0"/>
        <v>#REF!</v>
      </c>
      <c r="AC34" s="46" t="e">
        <f t="shared" si="0"/>
        <v>#REF!</v>
      </c>
      <c r="AD34" s="46" t="e">
        <f t="shared" si="0"/>
        <v>#REF!</v>
      </c>
      <c r="AE34" s="46" t="e">
        <f t="shared" si="0"/>
        <v>#REF!</v>
      </c>
      <c r="AF34" s="46" t="e">
        <f t="shared" ref="AF34:AK34" si="1">SUM(AF35:AF39)</f>
        <v>#REF!</v>
      </c>
      <c r="AG34" s="46" t="e">
        <f t="shared" si="1"/>
        <v>#REF!</v>
      </c>
      <c r="AH34" s="46" t="e">
        <f t="shared" si="1"/>
        <v>#REF!</v>
      </c>
      <c r="AI34" s="46" t="e">
        <f t="shared" si="1"/>
        <v>#REF!</v>
      </c>
      <c r="AJ34" s="46">
        <f t="shared" si="1"/>
        <v>100</v>
      </c>
      <c r="AK34" s="46">
        <f t="shared" si="1"/>
        <v>100.00000000000001</v>
      </c>
      <c r="AL34" s="46">
        <f t="shared" ref="AL34:AQ34" si="2">SUM(AL35:AL39)</f>
        <v>100</v>
      </c>
      <c r="AM34" s="46">
        <f t="shared" si="2"/>
        <v>100.00000000000001</v>
      </c>
      <c r="AN34" s="46">
        <f t="shared" si="2"/>
        <v>99.999999999999986</v>
      </c>
      <c r="AO34" s="46">
        <f t="shared" si="2"/>
        <v>100.00000000000001</v>
      </c>
      <c r="AP34" s="46">
        <f t="shared" si="2"/>
        <v>99.999999999999986</v>
      </c>
      <c r="AQ34" s="46">
        <f t="shared" si="2"/>
        <v>100</v>
      </c>
    </row>
    <row r="35" spans="1:43" ht="11.1" customHeight="1" x14ac:dyDescent="0.2">
      <c r="A35" s="40" t="s">
        <v>70</v>
      </c>
      <c r="B35" s="47" t="e">
        <f>Summary!#REF!/Summary!#REF!*100</f>
        <v>#REF!</v>
      </c>
      <c r="C35" s="47" t="e">
        <f>Summary!#REF!/Summary!#REF!*100</f>
        <v>#REF!</v>
      </c>
      <c r="D35" s="47" t="e">
        <f>Summary!#REF!/Summary!#REF!*100</f>
        <v>#REF!</v>
      </c>
      <c r="E35" s="47" t="e">
        <f>Summary!#REF!/Summary!#REF!*100</f>
        <v>#REF!</v>
      </c>
      <c r="F35" s="47" t="e">
        <f>Summary!#REF!/Summary!#REF!*100</f>
        <v>#REF!</v>
      </c>
      <c r="G35" s="47" t="e">
        <f>Summary!#REF!/Summary!#REF!*100</f>
        <v>#REF!</v>
      </c>
      <c r="H35" s="47" t="e">
        <f>Summary!#REF!/Summary!#REF!*100</f>
        <v>#REF!</v>
      </c>
      <c r="I35" s="47" t="e">
        <f>Summary!#REF!/Summary!#REF!*100</f>
        <v>#REF!</v>
      </c>
      <c r="J35" s="47" t="e">
        <f>Summary!#REF!/Summary!#REF!*100</f>
        <v>#REF!</v>
      </c>
      <c r="K35" s="47" t="e">
        <f>Summary!#REF!/Summary!#REF!*100</f>
        <v>#REF!</v>
      </c>
      <c r="L35" s="47" t="e">
        <f>Summary!#REF!/Summary!#REF!*100</f>
        <v>#REF!</v>
      </c>
      <c r="M35" s="47" t="e">
        <f>Summary!#REF!/Summary!#REF!*100</f>
        <v>#REF!</v>
      </c>
      <c r="N35" s="47" t="e">
        <f>Summary!#REF!/Summary!#REF!*100</f>
        <v>#REF!</v>
      </c>
      <c r="O35" s="47" t="e">
        <f>Summary!#REF!/Summary!#REF!*100</f>
        <v>#REF!</v>
      </c>
      <c r="P35" s="47" t="e">
        <f>Summary!#REF!/Summary!#REF!*100</f>
        <v>#REF!</v>
      </c>
      <c r="Q35" s="47" t="e">
        <f>Summary!#REF!/Summary!#REF!*100</f>
        <v>#REF!</v>
      </c>
      <c r="R35" s="47" t="e">
        <f>Summary!#REF!/Summary!#REF!*100</f>
        <v>#REF!</v>
      </c>
      <c r="S35" s="47" t="e">
        <f>Summary!#REF!/Summary!#REF!*100</f>
        <v>#REF!</v>
      </c>
      <c r="T35" s="47" t="e">
        <f>Summary!#REF!/Summary!#REF!*100</f>
        <v>#REF!</v>
      </c>
      <c r="U35" s="47" t="e">
        <f>Summary!#REF!/Summary!#REF!*100</f>
        <v>#REF!</v>
      </c>
      <c r="V35" s="47" t="e">
        <f>Summary!#REF!/Summary!#REF!*100</f>
        <v>#REF!</v>
      </c>
      <c r="W35" s="47" t="e">
        <f>Summary!#REF!/Summary!#REF!*100</f>
        <v>#REF!</v>
      </c>
      <c r="X35" s="47" t="e">
        <f>Summary!#REF!/Summary!#REF!*100</f>
        <v>#REF!</v>
      </c>
      <c r="Y35" s="47" t="e">
        <f>Summary!#REF!/Summary!#REF!*100</f>
        <v>#REF!</v>
      </c>
      <c r="Z35" s="47" t="e">
        <f>Summary!#REF!/Summary!#REF!*100</f>
        <v>#REF!</v>
      </c>
      <c r="AA35" s="47" t="e">
        <f>Summary!#REF!/Summary!#REF!*100</f>
        <v>#REF!</v>
      </c>
      <c r="AB35" s="47" t="e">
        <f>Summary!#REF!/Summary!#REF!*100</f>
        <v>#REF!</v>
      </c>
      <c r="AC35" s="47" t="e">
        <f>Summary!#REF!/Summary!#REF!*100</f>
        <v>#REF!</v>
      </c>
      <c r="AD35" s="47" t="e">
        <f>Summary!#REF!/Summary!#REF!*100</f>
        <v>#REF!</v>
      </c>
      <c r="AE35" s="47" t="e">
        <f>Summary!#REF!/Summary!#REF!*100</f>
        <v>#REF!</v>
      </c>
      <c r="AF35" s="47" t="e">
        <f>Summary!#REF!/Summary!#REF!*100</f>
        <v>#REF!</v>
      </c>
      <c r="AG35" s="47" t="e">
        <f>Summary!#REF!/Summary!#REF!*100</f>
        <v>#REF!</v>
      </c>
      <c r="AH35" s="47" t="e">
        <f>Summary!#REF!/Summary!#REF!*100</f>
        <v>#REF!</v>
      </c>
      <c r="AI35" s="47" t="e">
        <f>Summary!#REF!/Summary!#REF!*100</f>
        <v>#REF!</v>
      </c>
      <c r="AJ35" s="47">
        <f>Summary!B7/Summary!B$6*100</f>
        <v>28.037654376615734</v>
      </c>
      <c r="AK35" s="47">
        <f>Summary!C7/Summary!C$6*100</f>
        <v>22.96323230812861</v>
      </c>
      <c r="AL35" s="47">
        <f>Summary!D7/Summary!D$6*100</f>
        <v>20.424136157095383</v>
      </c>
      <c r="AM35" s="47">
        <f>Summary!E7/Summary!E$6*100</f>
        <v>22.054985395003058</v>
      </c>
      <c r="AN35" s="47">
        <f>Summary!F7/Summary!F$6*100</f>
        <v>28.544410298403765</v>
      </c>
      <c r="AO35" s="47">
        <f>Summary!G7/Summary!G$6*100</f>
        <v>21.879340475045638</v>
      </c>
      <c r="AP35" s="47">
        <f>Summary!H7/Summary!H$6*100</f>
        <v>19.871347994820567</v>
      </c>
      <c r="AQ35" s="47">
        <f>Summary!I7/Summary!I$6*100</f>
        <v>21.316146642021724</v>
      </c>
    </row>
    <row r="36" spans="1:43" ht="11.1" customHeight="1" x14ac:dyDescent="0.2">
      <c r="A36" s="40" t="s">
        <v>7</v>
      </c>
      <c r="B36" s="47" t="e">
        <f>Summary!#REF!/Summary!#REF!*100</f>
        <v>#REF!</v>
      </c>
      <c r="C36" s="47" t="e">
        <f>Summary!#REF!/Summary!#REF!*100</f>
        <v>#REF!</v>
      </c>
      <c r="D36" s="47" t="e">
        <f>Summary!#REF!/Summary!#REF!*100</f>
        <v>#REF!</v>
      </c>
      <c r="E36" s="47" t="e">
        <f>Summary!#REF!/Summary!#REF!*100</f>
        <v>#REF!</v>
      </c>
      <c r="F36" s="47" t="e">
        <f>Summary!#REF!/Summary!#REF!*100</f>
        <v>#REF!</v>
      </c>
      <c r="G36" s="47" t="e">
        <f>Summary!#REF!/Summary!#REF!*100</f>
        <v>#REF!</v>
      </c>
      <c r="H36" s="47" t="e">
        <f>Summary!#REF!/Summary!#REF!*100</f>
        <v>#REF!</v>
      </c>
      <c r="I36" s="47" t="e">
        <f>Summary!#REF!/Summary!#REF!*100</f>
        <v>#REF!</v>
      </c>
      <c r="J36" s="47" t="e">
        <f>Summary!#REF!/Summary!#REF!*100</f>
        <v>#REF!</v>
      </c>
      <c r="K36" s="47" t="e">
        <f>Summary!#REF!/Summary!#REF!*100</f>
        <v>#REF!</v>
      </c>
      <c r="L36" s="47" t="e">
        <f>Summary!#REF!/Summary!#REF!*100</f>
        <v>#REF!</v>
      </c>
      <c r="M36" s="47" t="e">
        <f>Summary!#REF!/Summary!#REF!*100</f>
        <v>#REF!</v>
      </c>
      <c r="N36" s="47" t="e">
        <f>Summary!#REF!/Summary!#REF!*100</f>
        <v>#REF!</v>
      </c>
      <c r="O36" s="47" t="e">
        <f>Summary!#REF!/Summary!#REF!*100</f>
        <v>#REF!</v>
      </c>
      <c r="P36" s="47" t="e">
        <f>Summary!#REF!/Summary!#REF!*100</f>
        <v>#REF!</v>
      </c>
      <c r="Q36" s="47" t="e">
        <f>Summary!#REF!/Summary!#REF!*100</f>
        <v>#REF!</v>
      </c>
      <c r="R36" s="47" t="e">
        <f>Summary!#REF!/Summary!#REF!*100</f>
        <v>#REF!</v>
      </c>
      <c r="S36" s="47" t="e">
        <f>Summary!#REF!/Summary!#REF!*100</f>
        <v>#REF!</v>
      </c>
      <c r="T36" s="47" t="e">
        <f>Summary!#REF!/Summary!#REF!*100</f>
        <v>#REF!</v>
      </c>
      <c r="U36" s="47" t="e">
        <f>Summary!#REF!/Summary!#REF!*100</f>
        <v>#REF!</v>
      </c>
      <c r="V36" s="47" t="e">
        <f>Summary!#REF!/Summary!#REF!*100</f>
        <v>#REF!</v>
      </c>
      <c r="W36" s="47" t="e">
        <f>Summary!#REF!/Summary!#REF!*100</f>
        <v>#REF!</v>
      </c>
      <c r="X36" s="47" t="e">
        <f>Summary!#REF!/Summary!#REF!*100</f>
        <v>#REF!</v>
      </c>
      <c r="Y36" s="47" t="e">
        <f>Summary!#REF!/Summary!#REF!*100</f>
        <v>#REF!</v>
      </c>
      <c r="Z36" s="47" t="e">
        <f>Summary!#REF!/Summary!#REF!*100</f>
        <v>#REF!</v>
      </c>
      <c r="AA36" s="47" t="e">
        <f>Summary!#REF!/Summary!#REF!*100</f>
        <v>#REF!</v>
      </c>
      <c r="AB36" s="47" t="e">
        <f>Summary!#REF!/Summary!#REF!*100</f>
        <v>#REF!</v>
      </c>
      <c r="AC36" s="47" t="e">
        <f>Summary!#REF!/Summary!#REF!*100</f>
        <v>#REF!</v>
      </c>
      <c r="AD36" s="47" t="e">
        <f>Summary!#REF!/Summary!#REF!*100</f>
        <v>#REF!</v>
      </c>
      <c r="AE36" s="47" t="e">
        <f>Summary!#REF!/Summary!#REF!*100</f>
        <v>#REF!</v>
      </c>
      <c r="AF36" s="47" t="e">
        <f>Summary!#REF!/Summary!#REF!*100</f>
        <v>#REF!</v>
      </c>
      <c r="AG36" s="47" t="e">
        <f>Summary!#REF!/Summary!#REF!*100</f>
        <v>#REF!</v>
      </c>
      <c r="AH36" s="47" t="e">
        <f>Summary!#REF!/Summary!#REF!*100</f>
        <v>#REF!</v>
      </c>
      <c r="AI36" s="47" t="e">
        <f>Summary!#REF!/Summary!#REF!*100</f>
        <v>#REF!</v>
      </c>
      <c r="AJ36" s="47">
        <f>Summary!B8/Summary!B$6*100</f>
        <v>23.685671918598956</v>
      </c>
      <c r="AK36" s="47">
        <f>Summary!C8/Summary!C$6*100</f>
        <v>26.707318585461117</v>
      </c>
      <c r="AL36" s="47">
        <f>Summary!D8/Summary!D$6*100</f>
        <v>27.840592116950269</v>
      </c>
      <c r="AM36" s="47">
        <f>Summary!E8/Summary!E$6*100</f>
        <v>26.087901214532621</v>
      </c>
      <c r="AN36" s="47">
        <f>Summary!F8/Summary!F$6*100</f>
        <v>23.186178658093414</v>
      </c>
      <c r="AO36" s="47">
        <f>Summary!G8/Summary!G$6*100</f>
        <v>25.807515260435217</v>
      </c>
      <c r="AP36" s="47">
        <f>Summary!H8/Summary!H$6*100</f>
        <v>27.256036692276208</v>
      </c>
      <c r="AQ36" s="47">
        <f>Summary!I8/Summary!I$6*100</f>
        <v>26.685471442499026</v>
      </c>
    </row>
    <row r="37" spans="1:43" ht="11.1" customHeight="1" x14ac:dyDescent="0.2">
      <c r="A37" s="40" t="s">
        <v>13</v>
      </c>
      <c r="B37" s="47" t="e">
        <f>Summary!#REF!/Summary!#REF!*100</f>
        <v>#REF!</v>
      </c>
      <c r="C37" s="47" t="e">
        <f>Summary!#REF!/Summary!#REF!*100</f>
        <v>#REF!</v>
      </c>
      <c r="D37" s="47" t="e">
        <f>Summary!#REF!/Summary!#REF!*100</f>
        <v>#REF!</v>
      </c>
      <c r="E37" s="47" t="e">
        <f>Summary!#REF!/Summary!#REF!*100</f>
        <v>#REF!</v>
      </c>
      <c r="F37" s="47" t="e">
        <f>Summary!#REF!/Summary!#REF!*100</f>
        <v>#REF!</v>
      </c>
      <c r="G37" s="47" t="e">
        <f>Summary!#REF!/Summary!#REF!*100</f>
        <v>#REF!</v>
      </c>
      <c r="H37" s="47" t="e">
        <f>Summary!#REF!/Summary!#REF!*100</f>
        <v>#REF!</v>
      </c>
      <c r="I37" s="47" t="e">
        <f>Summary!#REF!/Summary!#REF!*100</f>
        <v>#REF!</v>
      </c>
      <c r="J37" s="47" t="e">
        <f>Summary!#REF!/Summary!#REF!*100</f>
        <v>#REF!</v>
      </c>
      <c r="K37" s="47" t="e">
        <f>Summary!#REF!/Summary!#REF!*100</f>
        <v>#REF!</v>
      </c>
      <c r="L37" s="47" t="e">
        <f>Summary!#REF!/Summary!#REF!*100</f>
        <v>#REF!</v>
      </c>
      <c r="M37" s="47" t="e">
        <f>Summary!#REF!/Summary!#REF!*100</f>
        <v>#REF!</v>
      </c>
      <c r="N37" s="47" t="e">
        <f>Summary!#REF!/Summary!#REF!*100</f>
        <v>#REF!</v>
      </c>
      <c r="O37" s="47" t="e">
        <f>Summary!#REF!/Summary!#REF!*100</f>
        <v>#REF!</v>
      </c>
      <c r="P37" s="47" t="e">
        <f>Summary!#REF!/Summary!#REF!*100</f>
        <v>#REF!</v>
      </c>
      <c r="Q37" s="47" t="e">
        <f>Summary!#REF!/Summary!#REF!*100</f>
        <v>#REF!</v>
      </c>
      <c r="R37" s="47" t="e">
        <f>Summary!#REF!/Summary!#REF!*100</f>
        <v>#REF!</v>
      </c>
      <c r="S37" s="47" t="e">
        <f>Summary!#REF!/Summary!#REF!*100</f>
        <v>#REF!</v>
      </c>
      <c r="T37" s="47" t="e">
        <f>Summary!#REF!/Summary!#REF!*100</f>
        <v>#REF!</v>
      </c>
      <c r="U37" s="47" t="e">
        <f>Summary!#REF!/Summary!#REF!*100</f>
        <v>#REF!</v>
      </c>
      <c r="V37" s="47" t="e">
        <f>Summary!#REF!/Summary!#REF!*100</f>
        <v>#REF!</v>
      </c>
      <c r="W37" s="47" t="e">
        <f>Summary!#REF!/Summary!#REF!*100</f>
        <v>#REF!</v>
      </c>
      <c r="X37" s="47" t="e">
        <f>Summary!#REF!/Summary!#REF!*100</f>
        <v>#REF!</v>
      </c>
      <c r="Y37" s="47" t="e">
        <f>Summary!#REF!/Summary!#REF!*100</f>
        <v>#REF!</v>
      </c>
      <c r="Z37" s="47" t="e">
        <f>Summary!#REF!/Summary!#REF!*100</f>
        <v>#REF!</v>
      </c>
      <c r="AA37" s="47" t="e">
        <f>Summary!#REF!/Summary!#REF!*100</f>
        <v>#REF!</v>
      </c>
      <c r="AB37" s="47" t="e">
        <f>Summary!#REF!/Summary!#REF!*100</f>
        <v>#REF!</v>
      </c>
      <c r="AC37" s="47" t="e">
        <f>Summary!#REF!/Summary!#REF!*100</f>
        <v>#REF!</v>
      </c>
      <c r="AD37" s="47" t="e">
        <f>Summary!#REF!/Summary!#REF!*100</f>
        <v>#REF!</v>
      </c>
      <c r="AE37" s="47" t="e">
        <f>Summary!#REF!/Summary!#REF!*100</f>
        <v>#REF!</v>
      </c>
      <c r="AF37" s="47" t="e">
        <f>Summary!#REF!/Summary!#REF!*100</f>
        <v>#REF!</v>
      </c>
      <c r="AG37" s="47" t="e">
        <f>Summary!#REF!/Summary!#REF!*100</f>
        <v>#REF!</v>
      </c>
      <c r="AH37" s="47" t="e">
        <f>Summary!#REF!/Summary!#REF!*100</f>
        <v>#REF!</v>
      </c>
      <c r="AI37" s="47" t="e">
        <f>Summary!#REF!/Summary!#REF!*100</f>
        <v>#REF!</v>
      </c>
      <c r="AJ37" s="47">
        <f>Summary!B9/Summary!B$6*100</f>
        <v>41.773506783963434</v>
      </c>
      <c r="AK37" s="47">
        <f>Summary!C9/Summary!C$6*100</f>
        <v>43.498030500539095</v>
      </c>
      <c r="AL37" s="47">
        <f>Summary!D9/Summary!D$6*100</f>
        <v>44.309022284262809</v>
      </c>
      <c r="AM37" s="47">
        <f>Summary!E9/Summary!E$6*100</f>
        <v>44.453426583497887</v>
      </c>
      <c r="AN37" s="47">
        <f>Summary!F9/Summary!F$6*100</f>
        <v>41.798401548440722</v>
      </c>
      <c r="AO37" s="47">
        <f>Summary!G9/Summary!G$6*100</f>
        <v>45.226965331958581</v>
      </c>
      <c r="AP37" s="47">
        <f>Summary!H9/Summary!H$6*100</f>
        <v>45.872589654169921</v>
      </c>
      <c r="AQ37" s="47">
        <f>Summary!I9/Summary!I$6*100</f>
        <v>44.888903845668857</v>
      </c>
    </row>
    <row r="38" spans="1:43" ht="11.1" customHeight="1" x14ac:dyDescent="0.2">
      <c r="A38" s="39" t="s">
        <v>18</v>
      </c>
    </row>
    <row r="39" spans="1:43" ht="11.1" customHeight="1" x14ac:dyDescent="0.2">
      <c r="A39" s="42" t="s">
        <v>19</v>
      </c>
      <c r="B39" s="47" t="e">
        <f>Summary!#REF!/Summary!#REF!*100</f>
        <v>#REF!</v>
      </c>
      <c r="C39" s="47" t="e">
        <f>Summary!#REF!/Summary!#REF!*100</f>
        <v>#REF!</v>
      </c>
      <c r="D39" s="47" t="e">
        <f>Summary!#REF!/Summary!#REF!*100</f>
        <v>#REF!</v>
      </c>
      <c r="E39" s="47" t="e">
        <f>Summary!#REF!/Summary!#REF!*100</f>
        <v>#REF!</v>
      </c>
      <c r="F39" s="47" t="e">
        <f>Summary!#REF!/Summary!#REF!*100</f>
        <v>#REF!</v>
      </c>
      <c r="G39" s="47" t="e">
        <f>Summary!#REF!/Summary!#REF!*100</f>
        <v>#REF!</v>
      </c>
      <c r="H39" s="47" t="e">
        <f>Summary!#REF!/Summary!#REF!*100</f>
        <v>#REF!</v>
      </c>
      <c r="I39" s="47" t="e">
        <f>Summary!#REF!/Summary!#REF!*100</f>
        <v>#REF!</v>
      </c>
      <c r="J39" s="47" t="e">
        <f>Summary!#REF!/Summary!#REF!*100</f>
        <v>#REF!</v>
      </c>
      <c r="K39" s="47" t="e">
        <f>Summary!#REF!/Summary!#REF!*100</f>
        <v>#REF!</v>
      </c>
      <c r="L39" s="47" t="e">
        <f>Summary!#REF!/Summary!#REF!*100</f>
        <v>#REF!</v>
      </c>
      <c r="M39" s="47" t="e">
        <f>Summary!#REF!/Summary!#REF!*100</f>
        <v>#REF!</v>
      </c>
      <c r="N39" s="47" t="e">
        <f>Summary!#REF!/Summary!#REF!*100</f>
        <v>#REF!</v>
      </c>
      <c r="O39" s="47" t="e">
        <f>Summary!#REF!/Summary!#REF!*100</f>
        <v>#REF!</v>
      </c>
      <c r="P39" s="47" t="e">
        <f>Summary!#REF!/Summary!#REF!*100</f>
        <v>#REF!</v>
      </c>
      <c r="Q39" s="47" t="e">
        <f>Summary!#REF!/Summary!#REF!*100</f>
        <v>#REF!</v>
      </c>
      <c r="R39" s="47" t="e">
        <f>Summary!#REF!/Summary!#REF!*100</f>
        <v>#REF!</v>
      </c>
      <c r="S39" s="47" t="e">
        <f>Summary!#REF!/Summary!#REF!*100</f>
        <v>#REF!</v>
      </c>
      <c r="T39" s="47" t="e">
        <f>Summary!#REF!/Summary!#REF!*100</f>
        <v>#REF!</v>
      </c>
      <c r="U39" s="47" t="e">
        <f>Summary!#REF!/Summary!#REF!*100</f>
        <v>#REF!</v>
      </c>
      <c r="V39" s="47" t="e">
        <f>Summary!#REF!/Summary!#REF!*100</f>
        <v>#REF!</v>
      </c>
      <c r="W39" s="47" t="e">
        <f>Summary!#REF!/Summary!#REF!*100</f>
        <v>#REF!</v>
      </c>
      <c r="X39" s="47" t="e">
        <f>Summary!#REF!/Summary!#REF!*100</f>
        <v>#REF!</v>
      </c>
      <c r="Y39" s="47" t="e">
        <f>Summary!#REF!/Summary!#REF!*100</f>
        <v>#REF!</v>
      </c>
      <c r="Z39" s="47" t="e">
        <f>Summary!#REF!/Summary!#REF!*100</f>
        <v>#REF!</v>
      </c>
      <c r="AA39" s="47" t="e">
        <f>Summary!#REF!/Summary!#REF!*100</f>
        <v>#REF!</v>
      </c>
      <c r="AB39" s="47" t="e">
        <f>Summary!#REF!/Summary!#REF!*100</f>
        <v>#REF!</v>
      </c>
      <c r="AC39" s="47" t="e">
        <f>Summary!#REF!/Summary!#REF!*100</f>
        <v>#REF!</v>
      </c>
      <c r="AD39" s="47" t="e">
        <f>Summary!#REF!/Summary!#REF!*100</f>
        <v>#REF!</v>
      </c>
      <c r="AE39" s="47" t="e">
        <f>Summary!#REF!/Summary!#REF!*100</f>
        <v>#REF!</v>
      </c>
      <c r="AF39" s="47" t="e">
        <f>Summary!#REF!/Summary!#REF!*100</f>
        <v>#REF!</v>
      </c>
      <c r="AG39" s="47" t="e">
        <f>Summary!#REF!/Summary!#REF!*100</f>
        <v>#REF!</v>
      </c>
      <c r="AH39" s="47" t="e">
        <f>Summary!#REF!/Summary!#REF!*100</f>
        <v>#REF!</v>
      </c>
      <c r="AI39" s="47" t="e">
        <f>Summary!#REF!/Summary!#REF!*100</f>
        <v>#REF!</v>
      </c>
      <c r="AJ39" s="47">
        <f>Summary!B11/Summary!B$6*100</f>
        <v>6.5031669208218847</v>
      </c>
      <c r="AK39" s="47">
        <f>Summary!C11/Summary!C$6*100</f>
        <v>6.8314186058711881</v>
      </c>
      <c r="AL39" s="47">
        <f>Summary!D11/Summary!D$6*100</f>
        <v>7.4262494416915352</v>
      </c>
      <c r="AM39" s="47">
        <f>Summary!E11/Summary!E$6*100</f>
        <v>7.4036868069664417</v>
      </c>
      <c r="AN39" s="47">
        <f>Summary!F11/Summary!F$6*100</f>
        <v>6.471009495062086</v>
      </c>
      <c r="AO39" s="47">
        <f>Summary!G11/Summary!G$6*100</f>
        <v>7.0861789325605686</v>
      </c>
      <c r="AP39" s="47">
        <f>Summary!H11/Summary!H$6*100</f>
        <v>7.0000256587332927</v>
      </c>
      <c r="AQ39" s="47">
        <f>Summary!I11/Summary!I$6*100</f>
        <v>7.1094780698103905</v>
      </c>
    </row>
    <row r="40" spans="1:43" ht="11.1" customHeight="1" x14ac:dyDescent="0.2">
      <c r="A40" s="57"/>
      <c r="B40" s="58"/>
      <c r="C40" s="58"/>
      <c r="D40" s="58"/>
      <c r="E40" s="58"/>
      <c r="F40" s="5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c r="AF40" s="58"/>
      <c r="AG40" s="58"/>
      <c r="AH40" s="58"/>
      <c r="AI40" s="58"/>
      <c r="AJ40" s="58"/>
      <c r="AK40" s="58"/>
      <c r="AL40" s="58"/>
      <c r="AM40" s="58"/>
      <c r="AN40" s="59"/>
      <c r="AO40" s="59"/>
      <c r="AP40" s="59"/>
      <c r="AQ40" s="59"/>
    </row>
    <row r="41" spans="1:43" ht="11.1" customHeight="1" x14ac:dyDescent="0.2">
      <c r="A41" s="37" t="s">
        <v>102</v>
      </c>
      <c r="AF41" s="45"/>
      <c r="AG41" s="45"/>
      <c r="AH41" s="45"/>
    </row>
    <row r="42" spans="1:43" s="37" customFormat="1" ht="11.1" customHeight="1" x14ac:dyDescent="0.2">
      <c r="A42" s="39" t="s">
        <v>0</v>
      </c>
      <c r="B42" s="46" t="e">
        <f>Summary!#REF!/Summary!#REF!*100</f>
        <v>#REF!</v>
      </c>
      <c r="C42" s="46" t="e">
        <f>Summary!#REF!/Summary!#REF!*100</f>
        <v>#REF!</v>
      </c>
      <c r="D42" s="46" t="e">
        <f>Summary!#REF!/Summary!#REF!*100</f>
        <v>#REF!</v>
      </c>
      <c r="E42" s="46" t="e">
        <f>Summary!#REF!/Summary!#REF!*100</f>
        <v>#REF!</v>
      </c>
      <c r="F42" s="46" t="e">
        <f>Summary!#REF!/Summary!#REF!*100</f>
        <v>#REF!</v>
      </c>
      <c r="G42" s="46" t="e">
        <f>Summary!#REF!/Summary!#REF!*100</f>
        <v>#REF!</v>
      </c>
      <c r="H42" s="46" t="e">
        <f>Summary!#REF!/Summary!#REF!*100</f>
        <v>#REF!</v>
      </c>
      <c r="I42" s="46" t="e">
        <f>Summary!#REF!/Summary!#REF!*100</f>
        <v>#REF!</v>
      </c>
      <c r="J42" s="46" t="e">
        <f>Summary!#REF!/Summary!#REF!*100</f>
        <v>#REF!</v>
      </c>
      <c r="K42" s="46" t="e">
        <f t="shared" ref="K42:AE42" si="3">SUM(K43:K47)</f>
        <v>#REF!</v>
      </c>
      <c r="L42" s="46" t="e">
        <f t="shared" si="3"/>
        <v>#REF!</v>
      </c>
      <c r="M42" s="46" t="e">
        <f t="shared" si="3"/>
        <v>#REF!</v>
      </c>
      <c r="N42" s="46" t="e">
        <f t="shared" si="3"/>
        <v>#REF!</v>
      </c>
      <c r="O42" s="46" t="e">
        <f t="shared" si="3"/>
        <v>#REF!</v>
      </c>
      <c r="P42" s="46" t="e">
        <f t="shared" si="3"/>
        <v>#REF!</v>
      </c>
      <c r="Q42" s="46" t="e">
        <f t="shared" si="3"/>
        <v>#REF!</v>
      </c>
      <c r="R42" s="46" t="e">
        <f t="shared" si="3"/>
        <v>#REF!</v>
      </c>
      <c r="S42" s="46" t="e">
        <f t="shared" si="3"/>
        <v>#REF!</v>
      </c>
      <c r="T42" s="46" t="e">
        <f t="shared" si="3"/>
        <v>#REF!</v>
      </c>
      <c r="U42" s="46" t="e">
        <f t="shared" si="3"/>
        <v>#REF!</v>
      </c>
      <c r="V42" s="46" t="e">
        <f t="shared" si="3"/>
        <v>#REF!</v>
      </c>
      <c r="W42" s="46" t="e">
        <f t="shared" si="3"/>
        <v>#REF!</v>
      </c>
      <c r="X42" s="46" t="e">
        <f t="shared" si="3"/>
        <v>#REF!</v>
      </c>
      <c r="Y42" s="46" t="e">
        <f t="shared" si="3"/>
        <v>#REF!</v>
      </c>
      <c r="Z42" s="46" t="e">
        <f t="shared" si="3"/>
        <v>#REF!</v>
      </c>
      <c r="AA42" s="46" t="e">
        <f t="shared" si="3"/>
        <v>#REF!</v>
      </c>
      <c r="AB42" s="46" t="e">
        <f t="shared" si="3"/>
        <v>#REF!</v>
      </c>
      <c r="AC42" s="46" t="e">
        <f t="shared" si="3"/>
        <v>#REF!</v>
      </c>
      <c r="AD42" s="46" t="e">
        <f t="shared" si="3"/>
        <v>#REF!</v>
      </c>
      <c r="AE42" s="46" t="e">
        <f t="shared" si="3"/>
        <v>#REF!</v>
      </c>
      <c r="AF42" s="54" t="e">
        <f t="shared" ref="AF42:AK42" si="4">SUM(AF43:AF47)</f>
        <v>#REF!</v>
      </c>
      <c r="AG42" s="54" t="e">
        <f t="shared" si="4"/>
        <v>#REF!</v>
      </c>
      <c r="AH42" s="54" t="e">
        <f t="shared" si="4"/>
        <v>#REF!</v>
      </c>
      <c r="AI42" s="54" t="e">
        <f t="shared" si="4"/>
        <v>#REF!</v>
      </c>
      <c r="AJ42" s="54">
        <f t="shared" si="4"/>
        <v>100.00000000000001</v>
      </c>
      <c r="AK42" s="54">
        <f t="shared" si="4"/>
        <v>100</v>
      </c>
      <c r="AL42" s="54">
        <f t="shared" ref="AL42:AQ42" si="5">SUM(AL43:AL47)</f>
        <v>100</v>
      </c>
      <c r="AM42" s="54">
        <f t="shared" si="5"/>
        <v>100</v>
      </c>
      <c r="AN42" s="54">
        <f t="shared" si="5"/>
        <v>99.999999999999986</v>
      </c>
      <c r="AO42" s="54">
        <f t="shared" si="5"/>
        <v>100.00000000000001</v>
      </c>
      <c r="AP42" s="54">
        <f t="shared" si="5"/>
        <v>100</v>
      </c>
      <c r="AQ42" s="54">
        <f t="shared" si="5"/>
        <v>100</v>
      </c>
    </row>
    <row r="43" spans="1:43" ht="11.1" customHeight="1" x14ac:dyDescent="0.2">
      <c r="A43" s="40" t="s">
        <v>70</v>
      </c>
      <c r="B43" s="47" t="e">
        <f>Summary!#REF!/Summary!#REF!*100</f>
        <v>#REF!</v>
      </c>
      <c r="C43" s="47" t="e">
        <f>Summary!#REF!/Summary!#REF!*100</f>
        <v>#REF!</v>
      </c>
      <c r="D43" s="47" t="e">
        <f>Summary!#REF!/Summary!#REF!*100</f>
        <v>#REF!</v>
      </c>
      <c r="E43" s="47" t="e">
        <f>Summary!#REF!/Summary!#REF!*100</f>
        <v>#REF!</v>
      </c>
      <c r="F43" s="47" t="e">
        <f>Summary!#REF!/Summary!#REF!*100</f>
        <v>#REF!</v>
      </c>
      <c r="G43" s="47" t="e">
        <f>Summary!#REF!/Summary!#REF!*100</f>
        <v>#REF!</v>
      </c>
      <c r="H43" s="47" t="e">
        <f>Summary!#REF!/Summary!#REF!*100</f>
        <v>#REF!</v>
      </c>
      <c r="I43" s="47" t="e">
        <f>Summary!#REF!/Summary!#REF!*100</f>
        <v>#REF!</v>
      </c>
      <c r="J43" s="47" t="e">
        <f>Summary!#REF!/Summary!#REF!*100</f>
        <v>#REF!</v>
      </c>
      <c r="K43" s="47" t="e">
        <f>Summary!#REF!/Summary!#REF!*100</f>
        <v>#REF!</v>
      </c>
      <c r="L43" s="47" t="e">
        <f>Summary!#REF!/Summary!#REF!*100</f>
        <v>#REF!</v>
      </c>
      <c r="M43" s="47" t="e">
        <f>Summary!#REF!/Summary!#REF!*100</f>
        <v>#REF!</v>
      </c>
      <c r="N43" s="47" t="e">
        <f>Summary!#REF!/Summary!#REF!*100</f>
        <v>#REF!</v>
      </c>
      <c r="O43" s="47" t="e">
        <f>Summary!#REF!/Summary!#REF!*100</f>
        <v>#REF!</v>
      </c>
      <c r="P43" s="47" t="e">
        <f>Summary!#REF!/Summary!#REF!*100</f>
        <v>#REF!</v>
      </c>
      <c r="Q43" s="47" t="e">
        <f>Summary!#REF!/Summary!#REF!*100</f>
        <v>#REF!</v>
      </c>
      <c r="R43" s="47" t="e">
        <f>Summary!#REF!/Summary!#REF!*100</f>
        <v>#REF!</v>
      </c>
      <c r="S43" s="47" t="e">
        <f>Summary!#REF!/Summary!#REF!*100</f>
        <v>#REF!</v>
      </c>
      <c r="T43" s="47" t="e">
        <f>Summary!#REF!/Summary!#REF!*100</f>
        <v>#REF!</v>
      </c>
      <c r="U43" s="47" t="e">
        <f>Summary!#REF!/Summary!#REF!*100</f>
        <v>#REF!</v>
      </c>
      <c r="V43" s="47" t="e">
        <f>Summary!#REF!/Summary!#REF!*100</f>
        <v>#REF!</v>
      </c>
      <c r="W43" s="47" t="e">
        <f>Summary!#REF!/Summary!#REF!*100</f>
        <v>#REF!</v>
      </c>
      <c r="X43" s="47" t="e">
        <f>Summary!#REF!/Summary!#REF!*100</f>
        <v>#REF!</v>
      </c>
      <c r="Y43" s="47" t="e">
        <f>Summary!#REF!/Summary!#REF!*100</f>
        <v>#REF!</v>
      </c>
      <c r="Z43" s="47" t="e">
        <f>Summary!#REF!/Summary!#REF!*100</f>
        <v>#REF!</v>
      </c>
      <c r="AA43" s="47" t="e">
        <f>Summary!#REF!/Summary!#REF!*100</f>
        <v>#REF!</v>
      </c>
      <c r="AB43" s="47" t="e">
        <f>Summary!#REF!/Summary!#REF!*100</f>
        <v>#REF!</v>
      </c>
      <c r="AC43" s="47" t="e">
        <f>Summary!#REF!/Summary!#REF!*100</f>
        <v>#REF!</v>
      </c>
      <c r="AD43" s="47" t="e">
        <f>Summary!#REF!/Summary!#REF!*100</f>
        <v>#REF!</v>
      </c>
      <c r="AE43" s="47" t="e">
        <f>Summary!#REF!/Summary!#REF!*100</f>
        <v>#REF!</v>
      </c>
      <c r="AF43" s="41" t="e">
        <f>Summary!#REF!/Summary!#REF!*100</f>
        <v>#REF!</v>
      </c>
      <c r="AG43" s="41" t="e">
        <f>Summary!#REF!/Summary!#REF!*100</f>
        <v>#REF!</v>
      </c>
      <c r="AH43" s="41" t="e">
        <f>Summary!#REF!/Summary!#REF!*100</f>
        <v>#REF!</v>
      </c>
      <c r="AI43" s="41" t="e">
        <f>Summary!#REF!/Summary!#REF!*100</f>
        <v>#REF!</v>
      </c>
      <c r="AJ43" s="41">
        <f>Summary!B15/Summary!B$14*100</f>
        <v>23.141435202055153</v>
      </c>
      <c r="AK43" s="41">
        <f>Summary!C15/Summary!C$14*100</f>
        <v>23.733442830706469</v>
      </c>
      <c r="AL43" s="41">
        <f>Summary!D15/Summary!D$14*100</f>
        <v>23.832955101640891</v>
      </c>
      <c r="AM43" s="41">
        <f>Summary!E15/Summary!E$14*100</f>
        <v>23.479659920795694</v>
      </c>
      <c r="AN43" s="41">
        <f>Summary!F15/Summary!F$14*100</f>
        <v>23.414969881411611</v>
      </c>
      <c r="AO43" s="41">
        <f>Summary!G15/Summary!G$14*100</f>
        <v>22.874528505431453</v>
      </c>
      <c r="AP43" s="41">
        <f>Summary!H15/Summary!H$14*100</f>
        <v>23.563421505549716</v>
      </c>
      <c r="AQ43" s="41">
        <f>Summary!I15/Summary!I$14*100</f>
        <v>22.629999014402991</v>
      </c>
    </row>
    <row r="44" spans="1:43" ht="11.1" customHeight="1" x14ac:dyDescent="0.2">
      <c r="A44" s="40" t="s">
        <v>7</v>
      </c>
      <c r="B44" s="47" t="e">
        <f>Summary!#REF!/Summary!#REF!*100</f>
        <v>#REF!</v>
      </c>
      <c r="C44" s="47" t="e">
        <f>Summary!#REF!/Summary!#REF!*100</f>
        <v>#REF!</v>
      </c>
      <c r="D44" s="47" t="e">
        <f>Summary!#REF!/Summary!#REF!*100</f>
        <v>#REF!</v>
      </c>
      <c r="E44" s="47" t="e">
        <f>Summary!#REF!/Summary!#REF!*100</f>
        <v>#REF!</v>
      </c>
      <c r="F44" s="47" t="e">
        <f>Summary!#REF!/Summary!#REF!*100</f>
        <v>#REF!</v>
      </c>
      <c r="G44" s="47" t="e">
        <f>Summary!#REF!/Summary!#REF!*100</f>
        <v>#REF!</v>
      </c>
      <c r="H44" s="47" t="e">
        <f>Summary!#REF!/Summary!#REF!*100</f>
        <v>#REF!</v>
      </c>
      <c r="I44" s="47" t="e">
        <f>Summary!#REF!/Summary!#REF!*100</f>
        <v>#REF!</v>
      </c>
      <c r="J44" s="47" t="e">
        <f>Summary!#REF!/Summary!#REF!*100</f>
        <v>#REF!</v>
      </c>
      <c r="K44" s="47" t="e">
        <f>Summary!#REF!/Summary!#REF!*100</f>
        <v>#REF!</v>
      </c>
      <c r="L44" s="47" t="e">
        <f>Summary!#REF!/Summary!#REF!*100</f>
        <v>#REF!</v>
      </c>
      <c r="M44" s="47" t="e">
        <f>Summary!#REF!/Summary!#REF!*100</f>
        <v>#REF!</v>
      </c>
      <c r="N44" s="47" t="e">
        <f>Summary!#REF!/Summary!#REF!*100</f>
        <v>#REF!</v>
      </c>
      <c r="O44" s="47" t="e">
        <f>Summary!#REF!/Summary!#REF!*100</f>
        <v>#REF!</v>
      </c>
      <c r="P44" s="47" t="e">
        <f>Summary!#REF!/Summary!#REF!*100</f>
        <v>#REF!</v>
      </c>
      <c r="Q44" s="47" t="e">
        <f>Summary!#REF!/Summary!#REF!*100</f>
        <v>#REF!</v>
      </c>
      <c r="R44" s="47" t="e">
        <f>Summary!#REF!/Summary!#REF!*100</f>
        <v>#REF!</v>
      </c>
      <c r="S44" s="47" t="e">
        <f>Summary!#REF!/Summary!#REF!*100</f>
        <v>#REF!</v>
      </c>
      <c r="T44" s="47" t="e">
        <f>Summary!#REF!/Summary!#REF!*100</f>
        <v>#REF!</v>
      </c>
      <c r="U44" s="47" t="e">
        <f>Summary!#REF!/Summary!#REF!*100</f>
        <v>#REF!</v>
      </c>
      <c r="V44" s="47" t="e">
        <f>Summary!#REF!/Summary!#REF!*100</f>
        <v>#REF!</v>
      </c>
      <c r="W44" s="47" t="e">
        <f>Summary!#REF!/Summary!#REF!*100</f>
        <v>#REF!</v>
      </c>
      <c r="X44" s="47" t="e">
        <f>Summary!#REF!/Summary!#REF!*100</f>
        <v>#REF!</v>
      </c>
      <c r="Y44" s="47" t="e">
        <f>Summary!#REF!/Summary!#REF!*100</f>
        <v>#REF!</v>
      </c>
      <c r="Z44" s="47" t="e">
        <f>Summary!#REF!/Summary!#REF!*100</f>
        <v>#REF!</v>
      </c>
      <c r="AA44" s="47" t="e">
        <f>Summary!#REF!/Summary!#REF!*100</f>
        <v>#REF!</v>
      </c>
      <c r="AB44" s="47" t="e">
        <f>Summary!#REF!/Summary!#REF!*100</f>
        <v>#REF!</v>
      </c>
      <c r="AC44" s="47" t="e">
        <f>Summary!#REF!/Summary!#REF!*100</f>
        <v>#REF!</v>
      </c>
      <c r="AD44" s="47" t="e">
        <f>Summary!#REF!/Summary!#REF!*100</f>
        <v>#REF!</v>
      </c>
      <c r="AE44" s="47" t="e">
        <f>Summary!#REF!/Summary!#REF!*100</f>
        <v>#REF!</v>
      </c>
      <c r="AF44" s="41" t="e">
        <f>Summary!#REF!/Summary!#REF!*100</f>
        <v>#REF!</v>
      </c>
      <c r="AG44" s="41" t="e">
        <f>Summary!#REF!/Summary!#REF!*100</f>
        <v>#REF!</v>
      </c>
      <c r="AH44" s="41" t="e">
        <f>Summary!#REF!/Summary!#REF!*100</f>
        <v>#REF!</v>
      </c>
      <c r="AI44" s="41" t="e">
        <f>Summary!#REF!/Summary!#REF!*100</f>
        <v>#REF!</v>
      </c>
      <c r="AJ44" s="41">
        <f>Summary!B16/Summary!B$14*100</f>
        <v>25.779840765718838</v>
      </c>
      <c r="AK44" s="41">
        <f>Summary!C16/Summary!C$14*100</f>
        <v>26.337324303120834</v>
      </c>
      <c r="AL44" s="41">
        <f>Summary!D16/Summary!D$14*100</f>
        <v>26.263783243756677</v>
      </c>
      <c r="AM44" s="41">
        <f>Summary!E16/Summary!E$14*100</f>
        <v>25.61575421160552</v>
      </c>
      <c r="AN44" s="41">
        <f>Summary!F16/Summary!F$14*100</f>
        <v>25.330981591138098</v>
      </c>
      <c r="AO44" s="41">
        <f>Summary!G16/Summary!G$14*100</f>
        <v>25.29764174224184</v>
      </c>
      <c r="AP44" s="41">
        <f>Summary!H16/Summary!H$14*100</f>
        <v>25.672472236554867</v>
      </c>
      <c r="AQ44" s="41">
        <f>Summary!I16/Summary!I$14*100</f>
        <v>26.257304811283404</v>
      </c>
    </row>
    <row r="45" spans="1:43" ht="11.1" customHeight="1" x14ac:dyDescent="0.2">
      <c r="A45" s="40" t="s">
        <v>13</v>
      </c>
      <c r="B45" s="47" t="e">
        <f>Summary!#REF!/Summary!#REF!*100</f>
        <v>#REF!</v>
      </c>
      <c r="C45" s="47" t="e">
        <f>Summary!#REF!/Summary!#REF!*100</f>
        <v>#REF!</v>
      </c>
      <c r="D45" s="47" t="e">
        <f>Summary!#REF!/Summary!#REF!*100</f>
        <v>#REF!</v>
      </c>
      <c r="E45" s="47" t="e">
        <f>Summary!#REF!/Summary!#REF!*100</f>
        <v>#REF!</v>
      </c>
      <c r="F45" s="47" t="e">
        <f>Summary!#REF!/Summary!#REF!*100</f>
        <v>#REF!</v>
      </c>
      <c r="G45" s="47" t="e">
        <f>Summary!#REF!/Summary!#REF!*100</f>
        <v>#REF!</v>
      </c>
      <c r="H45" s="47" t="e">
        <f>Summary!#REF!/Summary!#REF!*100</f>
        <v>#REF!</v>
      </c>
      <c r="I45" s="47" t="e">
        <f>Summary!#REF!/Summary!#REF!*100</f>
        <v>#REF!</v>
      </c>
      <c r="J45" s="47" t="e">
        <f>Summary!#REF!/Summary!#REF!*100</f>
        <v>#REF!</v>
      </c>
      <c r="K45" s="47" t="e">
        <f>Summary!#REF!/Summary!#REF!*100</f>
        <v>#REF!</v>
      </c>
      <c r="L45" s="47" t="e">
        <f>Summary!#REF!/Summary!#REF!*100</f>
        <v>#REF!</v>
      </c>
      <c r="M45" s="47" t="e">
        <f>Summary!#REF!/Summary!#REF!*100</f>
        <v>#REF!</v>
      </c>
      <c r="N45" s="47" t="e">
        <f>Summary!#REF!/Summary!#REF!*100</f>
        <v>#REF!</v>
      </c>
      <c r="O45" s="47" t="e">
        <f>Summary!#REF!/Summary!#REF!*100</f>
        <v>#REF!</v>
      </c>
      <c r="P45" s="47" t="e">
        <f>Summary!#REF!/Summary!#REF!*100</f>
        <v>#REF!</v>
      </c>
      <c r="Q45" s="47" t="e">
        <f>Summary!#REF!/Summary!#REF!*100</f>
        <v>#REF!</v>
      </c>
      <c r="R45" s="47" t="e">
        <f>Summary!#REF!/Summary!#REF!*100</f>
        <v>#REF!</v>
      </c>
      <c r="S45" s="47" t="e">
        <f>Summary!#REF!/Summary!#REF!*100</f>
        <v>#REF!</v>
      </c>
      <c r="T45" s="47" t="e">
        <f>Summary!#REF!/Summary!#REF!*100</f>
        <v>#REF!</v>
      </c>
      <c r="U45" s="47" t="e">
        <f>Summary!#REF!/Summary!#REF!*100</f>
        <v>#REF!</v>
      </c>
      <c r="V45" s="47" t="e">
        <f>Summary!#REF!/Summary!#REF!*100</f>
        <v>#REF!</v>
      </c>
      <c r="W45" s="47" t="e">
        <f>Summary!#REF!/Summary!#REF!*100</f>
        <v>#REF!</v>
      </c>
      <c r="X45" s="47" t="e">
        <f>Summary!#REF!/Summary!#REF!*100</f>
        <v>#REF!</v>
      </c>
      <c r="Y45" s="47" t="e">
        <f>Summary!#REF!/Summary!#REF!*100</f>
        <v>#REF!</v>
      </c>
      <c r="Z45" s="47" t="e">
        <f>Summary!#REF!/Summary!#REF!*100</f>
        <v>#REF!</v>
      </c>
      <c r="AA45" s="47" t="e">
        <f>Summary!#REF!/Summary!#REF!*100</f>
        <v>#REF!</v>
      </c>
      <c r="AB45" s="47" t="e">
        <f>Summary!#REF!/Summary!#REF!*100</f>
        <v>#REF!</v>
      </c>
      <c r="AC45" s="47" t="e">
        <f>Summary!#REF!/Summary!#REF!*100</f>
        <v>#REF!</v>
      </c>
      <c r="AD45" s="47" t="e">
        <f>Summary!#REF!/Summary!#REF!*100</f>
        <v>#REF!</v>
      </c>
      <c r="AE45" s="47" t="e">
        <f>Summary!#REF!/Summary!#REF!*100</f>
        <v>#REF!</v>
      </c>
      <c r="AF45" s="47" t="e">
        <f>Summary!#REF!/Summary!#REF!*100</f>
        <v>#REF!</v>
      </c>
      <c r="AG45" s="47" t="e">
        <f>Summary!#REF!/Summary!#REF!*100</f>
        <v>#REF!</v>
      </c>
      <c r="AH45" s="47" t="e">
        <f>Summary!#REF!/Summary!#REF!*100</f>
        <v>#REF!</v>
      </c>
      <c r="AI45" s="47" t="e">
        <f>Summary!#REF!/Summary!#REF!*100</f>
        <v>#REF!</v>
      </c>
      <c r="AJ45" s="47">
        <f>Summary!B17/Summary!B$14*100</f>
        <v>43.950024325267812</v>
      </c>
      <c r="AK45" s="47">
        <f>Summary!C17/Summary!C$14*100</f>
        <v>43.199066677855356</v>
      </c>
      <c r="AL45" s="47">
        <f>Summary!D17/Summary!D$14*100</f>
        <v>42.773159916799962</v>
      </c>
      <c r="AM45" s="47">
        <f>Summary!E17/Summary!E$14*100</f>
        <v>43.807961769308328</v>
      </c>
      <c r="AN45" s="47">
        <f>Summary!F17/Summary!F$14*100</f>
        <v>44.144298762812703</v>
      </c>
      <c r="AO45" s="47">
        <f>Summary!G17/Summary!G$14*100</f>
        <v>44.864759974494355</v>
      </c>
      <c r="AP45" s="47">
        <f>Summary!H17/Summary!H$14*100</f>
        <v>44.055857841151628</v>
      </c>
      <c r="AQ45" s="47">
        <f>Summary!I17/Summary!I$14*100</f>
        <v>44.273691510945184</v>
      </c>
    </row>
    <row r="46" spans="1:43" ht="11.1" customHeight="1" x14ac:dyDescent="0.2">
      <c r="A46" s="39" t="s">
        <v>18</v>
      </c>
      <c r="Z46" s="35">
        <v>8.5</v>
      </c>
    </row>
    <row r="47" spans="1:43" ht="11.1" customHeight="1" x14ac:dyDescent="0.2">
      <c r="A47" s="42" t="s">
        <v>19</v>
      </c>
      <c r="B47" s="47" t="e">
        <f>Summary!#REF!/Summary!#REF!*100</f>
        <v>#REF!</v>
      </c>
      <c r="C47" s="47" t="e">
        <f>Summary!#REF!/Summary!#REF!*100</f>
        <v>#REF!</v>
      </c>
      <c r="D47" s="47" t="e">
        <f>Summary!#REF!/Summary!#REF!*100</f>
        <v>#REF!</v>
      </c>
      <c r="E47" s="47" t="e">
        <f>Summary!#REF!/Summary!#REF!*100</f>
        <v>#REF!</v>
      </c>
      <c r="F47" s="47" t="e">
        <f>Summary!#REF!/Summary!#REF!*100</f>
        <v>#REF!</v>
      </c>
      <c r="G47" s="47" t="e">
        <f>Summary!#REF!/Summary!#REF!*100</f>
        <v>#REF!</v>
      </c>
      <c r="H47" s="47" t="e">
        <f>Summary!#REF!/Summary!#REF!*100</f>
        <v>#REF!</v>
      </c>
      <c r="I47" s="47" t="e">
        <f>Summary!#REF!/Summary!#REF!*100</f>
        <v>#REF!</v>
      </c>
      <c r="J47" s="47" t="e">
        <f>Summary!#REF!/Summary!#REF!*100</f>
        <v>#REF!</v>
      </c>
      <c r="K47" s="47" t="e">
        <f>Summary!#REF!/Summary!#REF!*100</f>
        <v>#REF!</v>
      </c>
      <c r="L47" s="47" t="e">
        <f>Summary!#REF!/Summary!#REF!*100</f>
        <v>#REF!</v>
      </c>
      <c r="M47" s="47" t="e">
        <f>Summary!#REF!/Summary!#REF!*100</f>
        <v>#REF!</v>
      </c>
      <c r="N47" s="47" t="e">
        <f>Summary!#REF!/Summary!#REF!*100</f>
        <v>#REF!</v>
      </c>
      <c r="O47" s="47" t="e">
        <f>Summary!#REF!/Summary!#REF!*100</f>
        <v>#REF!</v>
      </c>
      <c r="P47" s="47" t="e">
        <f>Summary!#REF!/Summary!#REF!*100</f>
        <v>#REF!</v>
      </c>
      <c r="Q47" s="47" t="e">
        <f>Summary!#REF!/Summary!#REF!*100</f>
        <v>#REF!</v>
      </c>
      <c r="R47" s="47" t="e">
        <f>Summary!#REF!/Summary!#REF!*100</f>
        <v>#REF!</v>
      </c>
      <c r="S47" s="47" t="e">
        <f>Summary!#REF!/Summary!#REF!*100</f>
        <v>#REF!</v>
      </c>
      <c r="T47" s="47" t="e">
        <f>Summary!#REF!/Summary!#REF!*100</f>
        <v>#REF!</v>
      </c>
      <c r="U47" s="47" t="e">
        <f>Summary!#REF!/Summary!#REF!*100</f>
        <v>#REF!</v>
      </c>
      <c r="V47" s="47" t="e">
        <f>Summary!#REF!/Summary!#REF!*100</f>
        <v>#REF!</v>
      </c>
      <c r="W47" s="47" t="e">
        <f>Summary!#REF!/Summary!#REF!*100</f>
        <v>#REF!</v>
      </c>
      <c r="X47" s="47" t="e">
        <f>Summary!#REF!/Summary!#REF!*100</f>
        <v>#REF!</v>
      </c>
      <c r="Y47" s="47" t="e">
        <f>Summary!#REF!/Summary!#REF!*100</f>
        <v>#REF!</v>
      </c>
      <c r="Z47" s="47" t="e">
        <f>Summary!#REF!/Summary!#REF!*100</f>
        <v>#REF!</v>
      </c>
      <c r="AA47" s="47" t="e">
        <f>Summary!#REF!/Summary!#REF!*100</f>
        <v>#REF!</v>
      </c>
      <c r="AB47" s="47" t="e">
        <f>Summary!#REF!/Summary!#REF!*100</f>
        <v>#REF!</v>
      </c>
      <c r="AC47" s="47" t="e">
        <f>Summary!#REF!/Summary!#REF!*100</f>
        <v>#REF!</v>
      </c>
      <c r="AD47" s="47" t="e">
        <f>Summary!#REF!/Summary!#REF!*100</f>
        <v>#REF!</v>
      </c>
      <c r="AE47" s="47" t="e">
        <f>Summary!#REF!/Summary!#REF!*100</f>
        <v>#REF!</v>
      </c>
      <c r="AF47" s="47" t="e">
        <f>Summary!#REF!/Summary!#REF!*100</f>
        <v>#REF!</v>
      </c>
      <c r="AG47" s="47" t="e">
        <f>Summary!#REF!/Summary!#REF!*100</f>
        <v>#REF!</v>
      </c>
      <c r="AH47" s="47" t="e">
        <f>Summary!#REF!/Summary!#REF!*100</f>
        <v>#REF!</v>
      </c>
      <c r="AI47" s="47" t="e">
        <f>Summary!#REF!/Summary!#REF!*100</f>
        <v>#REF!</v>
      </c>
      <c r="AJ47" s="47">
        <f>Summary!B19/Summary!B$14*100</f>
        <v>7.1286997069582148</v>
      </c>
      <c r="AK47" s="47">
        <f>Summary!C19/Summary!C$14*100</f>
        <v>6.7301661883173383</v>
      </c>
      <c r="AL47" s="47">
        <f>Summary!D19/Summary!D$14*100</f>
        <v>7.1301017378024705</v>
      </c>
      <c r="AM47" s="47">
        <f>Summary!E19/Summary!E$14*100</f>
        <v>7.096624098290448</v>
      </c>
      <c r="AN47" s="47">
        <f>Summary!F19/Summary!F$14*100</f>
        <v>7.1097497646375896</v>
      </c>
      <c r="AO47" s="47">
        <f>Summary!G19/Summary!G$14*100</f>
        <v>6.9630697778323576</v>
      </c>
      <c r="AP47" s="47">
        <f>Summary!H19/Summary!H$14*100</f>
        <v>6.7082484167437952</v>
      </c>
      <c r="AQ47" s="47">
        <f>Summary!I19/Summary!I$14*100</f>
        <v>6.8390046633684216</v>
      </c>
    </row>
    <row r="48" spans="1:43" ht="11.1" customHeight="1" x14ac:dyDescent="0.2"/>
    <row r="49" spans="1:43" ht="11.1" customHeight="1" x14ac:dyDescent="0.2">
      <c r="A49" s="37" t="s">
        <v>100</v>
      </c>
    </row>
    <row r="50" spans="1:43" s="37" customFormat="1" ht="11.1" customHeight="1" x14ac:dyDescent="0.2">
      <c r="A50" s="39" t="s">
        <v>0</v>
      </c>
      <c r="B50" s="46" t="e">
        <f>Summary!#REF!/Summary!#REF!*100</f>
        <v>#REF!</v>
      </c>
      <c r="C50" s="46" t="e">
        <f>Summary!#REF!/Summary!#REF!*100</f>
        <v>#REF!</v>
      </c>
      <c r="D50" s="46" t="e">
        <f>Summary!#REF!/Summary!#REF!*100</f>
        <v>#REF!</v>
      </c>
      <c r="E50" s="46" t="e">
        <f>Summary!#REF!/Summary!#REF!*100</f>
        <v>#REF!</v>
      </c>
      <c r="F50" s="46" t="e">
        <f>Summary!#REF!/Summary!#REF!*100</f>
        <v>#REF!</v>
      </c>
      <c r="G50" s="46" t="e">
        <f>Summary!#REF!/Summary!#REF!*100</f>
        <v>#REF!</v>
      </c>
      <c r="H50" s="46" t="e">
        <f>Summary!#REF!/Summary!#REF!*100</f>
        <v>#REF!</v>
      </c>
      <c r="I50" s="46" t="e">
        <f>Summary!#REF!/Summary!#REF!*100</f>
        <v>#REF!</v>
      </c>
      <c r="J50" s="46" t="e">
        <f>Summary!#REF!/Summary!#REF!*100</f>
        <v>#REF!</v>
      </c>
      <c r="K50" s="46" t="e">
        <f t="shared" ref="K50:AE50" si="6">SUM(K51:K55)</f>
        <v>#REF!</v>
      </c>
      <c r="L50" s="46" t="e">
        <f t="shared" si="6"/>
        <v>#REF!</v>
      </c>
      <c r="M50" s="46" t="e">
        <f t="shared" si="6"/>
        <v>#REF!</v>
      </c>
      <c r="N50" s="46" t="e">
        <f t="shared" si="6"/>
        <v>#REF!</v>
      </c>
      <c r="O50" s="46" t="e">
        <f t="shared" si="6"/>
        <v>#REF!</v>
      </c>
      <c r="P50" s="46" t="e">
        <f t="shared" si="6"/>
        <v>#REF!</v>
      </c>
      <c r="Q50" s="46" t="e">
        <f t="shared" si="6"/>
        <v>#REF!</v>
      </c>
      <c r="R50" s="46" t="e">
        <f t="shared" si="6"/>
        <v>#REF!</v>
      </c>
      <c r="S50" s="46" t="e">
        <f t="shared" si="6"/>
        <v>#REF!</v>
      </c>
      <c r="T50" s="46" t="e">
        <f t="shared" si="6"/>
        <v>#REF!</v>
      </c>
      <c r="U50" s="46" t="e">
        <f t="shared" si="6"/>
        <v>#REF!</v>
      </c>
      <c r="V50" s="46" t="e">
        <f t="shared" si="6"/>
        <v>#REF!</v>
      </c>
      <c r="W50" s="46" t="e">
        <f t="shared" si="6"/>
        <v>#REF!</v>
      </c>
      <c r="X50" s="46" t="e">
        <f t="shared" si="6"/>
        <v>#REF!</v>
      </c>
      <c r="Y50" s="46" t="e">
        <f t="shared" si="6"/>
        <v>#REF!</v>
      </c>
      <c r="Z50" s="46" t="e">
        <f t="shared" si="6"/>
        <v>#REF!</v>
      </c>
      <c r="AA50" s="46" t="e">
        <f t="shared" si="6"/>
        <v>#REF!</v>
      </c>
      <c r="AB50" s="46" t="e">
        <f t="shared" si="6"/>
        <v>#REF!</v>
      </c>
      <c r="AC50" s="46" t="e">
        <f t="shared" si="6"/>
        <v>#REF!</v>
      </c>
      <c r="AD50" s="46" t="e">
        <f t="shared" si="6"/>
        <v>#REF!</v>
      </c>
      <c r="AE50" s="46" t="e">
        <f t="shared" si="6"/>
        <v>#REF!</v>
      </c>
      <c r="AF50" s="46" t="e">
        <f t="shared" ref="AF50:AK50" si="7">SUM(AF51:AF55)</f>
        <v>#REF!</v>
      </c>
      <c r="AG50" s="46" t="e">
        <f t="shared" si="7"/>
        <v>#REF!</v>
      </c>
      <c r="AH50" s="46" t="e">
        <f t="shared" si="7"/>
        <v>#REF!</v>
      </c>
      <c r="AI50" s="46" t="e">
        <f t="shared" si="7"/>
        <v>#REF!</v>
      </c>
      <c r="AJ50" s="46">
        <f t="shared" si="7"/>
        <v>100</v>
      </c>
      <c r="AK50" s="46">
        <f t="shared" si="7"/>
        <v>100.00000000000001</v>
      </c>
      <c r="AL50" s="46">
        <f t="shared" ref="AL50:AQ50" si="8">SUM(AL51:AL55)</f>
        <v>100</v>
      </c>
      <c r="AM50" s="46">
        <f t="shared" si="8"/>
        <v>99.999999999999986</v>
      </c>
      <c r="AN50" s="46">
        <f t="shared" si="8"/>
        <v>100</v>
      </c>
      <c r="AO50" s="46">
        <f t="shared" si="8"/>
        <v>100</v>
      </c>
      <c r="AP50" s="46">
        <f t="shared" si="8"/>
        <v>100.00000000000001</v>
      </c>
      <c r="AQ50" s="46">
        <f t="shared" si="8"/>
        <v>100</v>
      </c>
    </row>
    <row r="51" spans="1:43" ht="11.1" customHeight="1" x14ac:dyDescent="0.2">
      <c r="A51" s="40" t="s">
        <v>70</v>
      </c>
      <c r="B51" s="47" t="e">
        <f>Summary!#REF!/Summary!#REF!*100</f>
        <v>#REF!</v>
      </c>
      <c r="C51" s="47" t="e">
        <f>Summary!#REF!/Summary!#REF!*100</f>
        <v>#REF!</v>
      </c>
      <c r="D51" s="47" t="e">
        <f>Summary!#REF!/Summary!#REF!*100</f>
        <v>#REF!</v>
      </c>
      <c r="E51" s="47" t="e">
        <f>Summary!#REF!/Summary!#REF!*100</f>
        <v>#REF!</v>
      </c>
      <c r="F51" s="47" t="e">
        <f>Summary!#REF!/Summary!#REF!*100</f>
        <v>#REF!</v>
      </c>
      <c r="G51" s="47" t="e">
        <f>Summary!#REF!/Summary!#REF!*100</f>
        <v>#REF!</v>
      </c>
      <c r="H51" s="47" t="e">
        <f>Summary!#REF!/Summary!#REF!*100</f>
        <v>#REF!</v>
      </c>
      <c r="I51" s="47" t="e">
        <f>Summary!#REF!/Summary!#REF!*100</f>
        <v>#REF!</v>
      </c>
      <c r="J51" s="47" t="e">
        <f>Summary!#REF!/Summary!#REF!*100</f>
        <v>#REF!</v>
      </c>
      <c r="K51" s="47" t="e">
        <f>Summary!#REF!/Summary!#REF!*100</f>
        <v>#REF!</v>
      </c>
      <c r="L51" s="47" t="e">
        <f>Summary!#REF!/Summary!#REF!*100</f>
        <v>#REF!</v>
      </c>
      <c r="M51" s="47" t="e">
        <f>Summary!#REF!/Summary!#REF!*100</f>
        <v>#REF!</v>
      </c>
      <c r="N51" s="47" t="e">
        <f>Summary!#REF!/Summary!#REF!*100</f>
        <v>#REF!</v>
      </c>
      <c r="O51" s="47" t="e">
        <f>Summary!#REF!/Summary!#REF!*100</f>
        <v>#REF!</v>
      </c>
      <c r="P51" s="47" t="e">
        <f>Summary!#REF!/Summary!#REF!*100</f>
        <v>#REF!</v>
      </c>
      <c r="Q51" s="47" t="e">
        <f>Summary!#REF!/Summary!#REF!*100</f>
        <v>#REF!</v>
      </c>
      <c r="R51" s="47" t="e">
        <f>Summary!#REF!/Summary!#REF!*100</f>
        <v>#REF!</v>
      </c>
      <c r="S51" s="47" t="e">
        <f>Summary!#REF!/Summary!#REF!*100</f>
        <v>#REF!</v>
      </c>
      <c r="T51" s="47" t="e">
        <f>Summary!#REF!/Summary!#REF!*100</f>
        <v>#REF!</v>
      </c>
      <c r="U51" s="47" t="e">
        <f>Summary!#REF!/Summary!#REF!*100</f>
        <v>#REF!</v>
      </c>
      <c r="V51" s="47" t="e">
        <f>Summary!#REF!/Summary!#REF!*100</f>
        <v>#REF!</v>
      </c>
      <c r="W51" s="47" t="e">
        <f>Summary!#REF!/Summary!#REF!*100</f>
        <v>#REF!</v>
      </c>
      <c r="X51" s="47" t="e">
        <f>Summary!#REF!/Summary!#REF!*100</f>
        <v>#REF!</v>
      </c>
      <c r="Y51" s="47" t="e">
        <f>Summary!#REF!/Summary!#REF!*100</f>
        <v>#REF!</v>
      </c>
      <c r="Z51" s="47" t="e">
        <f>Summary!#REF!/Summary!#REF!*100</f>
        <v>#REF!</v>
      </c>
      <c r="AA51" s="47" t="e">
        <f>Summary!#REF!/Summary!#REF!*100</f>
        <v>#REF!</v>
      </c>
      <c r="AB51" s="47" t="e">
        <f>Summary!#REF!/Summary!#REF!*100</f>
        <v>#REF!</v>
      </c>
      <c r="AC51" s="47" t="e">
        <f>Summary!#REF!/Summary!#REF!*100</f>
        <v>#REF!</v>
      </c>
      <c r="AD51" s="47" t="e">
        <f>Summary!#REF!/Summary!#REF!*100</f>
        <v>#REF!</v>
      </c>
      <c r="AE51" s="47" t="e">
        <f>Summary!#REF!/Summary!#REF!*100</f>
        <v>#REF!</v>
      </c>
      <c r="AF51" s="47" t="e">
        <f>Summary!#REF!/Summary!#REF!*100</f>
        <v>#REF!</v>
      </c>
      <c r="AG51" s="47" t="e">
        <f>Summary!#REF!/Summary!#REF!*100</f>
        <v>#REF!</v>
      </c>
      <c r="AH51" s="47" t="e">
        <f>Summary!#REF!/Summary!#REF!*100</f>
        <v>#REF!</v>
      </c>
      <c r="AI51" s="47" t="e">
        <f>Summary!#REF!/Summary!#REF!*100</f>
        <v>#REF!</v>
      </c>
      <c r="AJ51" s="47">
        <f>Summary!B23/Summary!B$22*100</f>
        <v>23.502272471616251</v>
      </c>
      <c r="AK51" s="47">
        <f>Summary!C23/Summary!C$22*100</f>
        <v>23.404500323894855</v>
      </c>
      <c r="AL51" s="47">
        <f>Summary!D23/Summary!D$22*100</f>
        <v>23.399839956442406</v>
      </c>
      <c r="AM51" s="47">
        <f>Summary!E23/Summary!E$22*100</f>
        <v>23.280270340248993</v>
      </c>
      <c r="AN51" s="47">
        <f>Summary!F23/Summary!F$22*100</f>
        <v>23.053691059767239</v>
      </c>
      <c r="AO51" s="47">
        <f>Summary!G23/Summary!G$22*100</f>
        <v>22.833190363220897</v>
      </c>
      <c r="AP51" s="47">
        <f>Summary!H23/Summary!H$22*100</f>
        <v>22.766724521038334</v>
      </c>
      <c r="AQ51" s="47">
        <f>Summary!I23/Summary!I$22*100</f>
        <v>22.673160710009441</v>
      </c>
    </row>
    <row r="52" spans="1:43" ht="11.1" customHeight="1" x14ac:dyDescent="0.2">
      <c r="A52" s="40" t="s">
        <v>7</v>
      </c>
      <c r="B52" s="47" t="e">
        <f>Summary!#REF!/Summary!#REF!*100</f>
        <v>#REF!</v>
      </c>
      <c r="C52" s="47" t="e">
        <f>Summary!#REF!/Summary!#REF!*100</f>
        <v>#REF!</v>
      </c>
      <c r="D52" s="47" t="e">
        <f>Summary!#REF!/Summary!#REF!*100</f>
        <v>#REF!</v>
      </c>
      <c r="E52" s="47" t="e">
        <f>Summary!#REF!/Summary!#REF!*100</f>
        <v>#REF!</v>
      </c>
      <c r="F52" s="47" t="e">
        <f>Summary!#REF!/Summary!#REF!*100</f>
        <v>#REF!</v>
      </c>
      <c r="G52" s="47" t="e">
        <f>Summary!#REF!/Summary!#REF!*100</f>
        <v>#REF!</v>
      </c>
      <c r="H52" s="47" t="e">
        <f>Summary!#REF!/Summary!#REF!*100</f>
        <v>#REF!</v>
      </c>
      <c r="I52" s="47" t="e">
        <f>Summary!#REF!/Summary!#REF!*100</f>
        <v>#REF!</v>
      </c>
      <c r="J52" s="47" t="e">
        <f>Summary!#REF!/Summary!#REF!*100</f>
        <v>#REF!</v>
      </c>
      <c r="K52" s="47" t="e">
        <f>Summary!#REF!/Summary!#REF!*100</f>
        <v>#REF!</v>
      </c>
      <c r="L52" s="47" t="e">
        <f>Summary!#REF!/Summary!#REF!*100</f>
        <v>#REF!</v>
      </c>
      <c r="M52" s="47" t="e">
        <f>Summary!#REF!/Summary!#REF!*100</f>
        <v>#REF!</v>
      </c>
      <c r="N52" s="47" t="e">
        <f>Summary!#REF!/Summary!#REF!*100</f>
        <v>#REF!</v>
      </c>
      <c r="O52" s="47" t="e">
        <f>Summary!#REF!/Summary!#REF!*100</f>
        <v>#REF!</v>
      </c>
      <c r="P52" s="47" t="e">
        <f>Summary!#REF!/Summary!#REF!*100</f>
        <v>#REF!</v>
      </c>
      <c r="Q52" s="47" t="e">
        <f>Summary!#REF!/Summary!#REF!*100</f>
        <v>#REF!</v>
      </c>
      <c r="R52" s="47" t="e">
        <f>Summary!#REF!/Summary!#REF!*100</f>
        <v>#REF!</v>
      </c>
      <c r="S52" s="47" t="e">
        <f>Summary!#REF!/Summary!#REF!*100</f>
        <v>#REF!</v>
      </c>
      <c r="T52" s="47" t="e">
        <f>Summary!#REF!/Summary!#REF!*100</f>
        <v>#REF!</v>
      </c>
      <c r="U52" s="47" t="e">
        <f>Summary!#REF!/Summary!#REF!*100</f>
        <v>#REF!</v>
      </c>
      <c r="V52" s="47" t="e">
        <f>Summary!#REF!/Summary!#REF!*100</f>
        <v>#REF!</v>
      </c>
      <c r="W52" s="47" t="e">
        <f>Summary!#REF!/Summary!#REF!*100</f>
        <v>#REF!</v>
      </c>
      <c r="X52" s="47" t="e">
        <f>Summary!#REF!/Summary!#REF!*100</f>
        <v>#REF!</v>
      </c>
      <c r="Y52" s="47" t="e">
        <f>Summary!#REF!/Summary!#REF!*100</f>
        <v>#REF!</v>
      </c>
      <c r="Z52" s="47" t="e">
        <f>Summary!#REF!/Summary!#REF!*100</f>
        <v>#REF!</v>
      </c>
      <c r="AA52" s="47" t="e">
        <f>Summary!#REF!/Summary!#REF!*100</f>
        <v>#REF!</v>
      </c>
      <c r="AB52" s="47" t="e">
        <f>Summary!#REF!/Summary!#REF!*100</f>
        <v>#REF!</v>
      </c>
      <c r="AC52" s="47" t="e">
        <f>Summary!#REF!/Summary!#REF!*100</f>
        <v>#REF!</v>
      </c>
      <c r="AD52" s="47" t="e">
        <f>Summary!#REF!/Summary!#REF!*100</f>
        <v>#REF!</v>
      </c>
      <c r="AE52" s="47" t="e">
        <f>Summary!#REF!/Summary!#REF!*100</f>
        <v>#REF!</v>
      </c>
      <c r="AF52" s="47" t="e">
        <f>Summary!#REF!/Summary!#REF!*100</f>
        <v>#REF!</v>
      </c>
      <c r="AG52" s="47" t="e">
        <f>Summary!#REF!/Summary!#REF!*100</f>
        <v>#REF!</v>
      </c>
      <c r="AH52" s="47" t="e">
        <f>Summary!#REF!/Summary!#REF!*100</f>
        <v>#REF!</v>
      </c>
      <c r="AI52" s="47" t="e">
        <f>Summary!#REF!/Summary!#REF!*100</f>
        <v>#REF!</v>
      </c>
      <c r="AJ52" s="47">
        <f>Summary!B24/Summary!B$22*100</f>
        <v>25.662645528430172</v>
      </c>
      <c r="AK52" s="47">
        <f>Summary!C24/Summary!C$22*100</f>
        <v>26.314794003807318</v>
      </c>
      <c r="AL52" s="47">
        <f>Summary!D24/Summary!D$22*100</f>
        <v>26.294894327353614</v>
      </c>
      <c r="AM52" s="47">
        <f>Summary!E24/Summary!E$22*100</f>
        <v>25.801678269196159</v>
      </c>
      <c r="AN52" s="47">
        <f>Summary!F24/Summary!F$22*100</f>
        <v>25.373029134111512</v>
      </c>
      <c r="AO52" s="47">
        <f>Summary!G24/Summary!G$22*100</f>
        <v>25.45868445555038</v>
      </c>
      <c r="AP52" s="47">
        <f>Summary!H24/Summary!H$22*100</f>
        <v>25.865434403792655</v>
      </c>
      <c r="AQ52" s="47">
        <f>Summary!I24/Summary!I$22*100</f>
        <v>26.142998663219334</v>
      </c>
    </row>
    <row r="53" spans="1:43" ht="11.1" customHeight="1" x14ac:dyDescent="0.2">
      <c r="A53" s="40" t="s">
        <v>13</v>
      </c>
      <c r="B53" s="47" t="e">
        <f>Summary!#REF!/Summary!#REF!*100</f>
        <v>#REF!</v>
      </c>
      <c r="C53" s="47" t="e">
        <f>Summary!#REF!/Summary!#REF!*100</f>
        <v>#REF!</v>
      </c>
      <c r="D53" s="47" t="e">
        <f>Summary!#REF!/Summary!#REF!*100</f>
        <v>#REF!</v>
      </c>
      <c r="E53" s="47" t="e">
        <f>Summary!#REF!/Summary!#REF!*100</f>
        <v>#REF!</v>
      </c>
      <c r="F53" s="47" t="e">
        <f>Summary!#REF!/Summary!#REF!*100</f>
        <v>#REF!</v>
      </c>
      <c r="G53" s="47" t="e">
        <f>Summary!#REF!/Summary!#REF!*100</f>
        <v>#REF!</v>
      </c>
      <c r="H53" s="47" t="e">
        <f>Summary!#REF!/Summary!#REF!*100</f>
        <v>#REF!</v>
      </c>
      <c r="I53" s="47" t="e">
        <f>Summary!#REF!/Summary!#REF!*100</f>
        <v>#REF!</v>
      </c>
      <c r="J53" s="47" t="e">
        <f>Summary!#REF!/Summary!#REF!*100</f>
        <v>#REF!</v>
      </c>
      <c r="K53" s="47" t="e">
        <f>Summary!#REF!/Summary!#REF!*100</f>
        <v>#REF!</v>
      </c>
      <c r="L53" s="47" t="e">
        <f>Summary!#REF!/Summary!#REF!*100</f>
        <v>#REF!</v>
      </c>
      <c r="M53" s="47" t="e">
        <f>Summary!#REF!/Summary!#REF!*100</f>
        <v>#REF!</v>
      </c>
      <c r="N53" s="47" t="e">
        <f>Summary!#REF!/Summary!#REF!*100</f>
        <v>#REF!</v>
      </c>
      <c r="O53" s="47" t="e">
        <f>Summary!#REF!/Summary!#REF!*100</f>
        <v>#REF!</v>
      </c>
      <c r="P53" s="47" t="e">
        <f>Summary!#REF!/Summary!#REF!*100</f>
        <v>#REF!</v>
      </c>
      <c r="Q53" s="47" t="e">
        <f>Summary!#REF!/Summary!#REF!*100</f>
        <v>#REF!</v>
      </c>
      <c r="R53" s="47" t="e">
        <f>Summary!#REF!/Summary!#REF!*100</f>
        <v>#REF!</v>
      </c>
      <c r="S53" s="47" t="e">
        <f>Summary!#REF!/Summary!#REF!*100</f>
        <v>#REF!</v>
      </c>
      <c r="T53" s="47" t="e">
        <f>Summary!#REF!/Summary!#REF!*100</f>
        <v>#REF!</v>
      </c>
      <c r="U53" s="47" t="e">
        <f>Summary!#REF!/Summary!#REF!*100</f>
        <v>#REF!</v>
      </c>
      <c r="V53" s="47" t="e">
        <f>Summary!#REF!/Summary!#REF!*100</f>
        <v>#REF!</v>
      </c>
      <c r="W53" s="47" t="e">
        <f>Summary!#REF!/Summary!#REF!*100</f>
        <v>#REF!</v>
      </c>
      <c r="X53" s="47" t="e">
        <f>Summary!#REF!/Summary!#REF!*100</f>
        <v>#REF!</v>
      </c>
      <c r="Y53" s="47" t="e">
        <f>Summary!#REF!/Summary!#REF!*100</f>
        <v>#REF!</v>
      </c>
      <c r="Z53" s="47" t="e">
        <f>Summary!#REF!/Summary!#REF!*100</f>
        <v>#REF!</v>
      </c>
      <c r="AA53" s="47" t="e">
        <f>Summary!#REF!/Summary!#REF!*100</f>
        <v>#REF!</v>
      </c>
      <c r="AB53" s="47" t="e">
        <f>Summary!#REF!/Summary!#REF!*100</f>
        <v>#REF!</v>
      </c>
      <c r="AC53" s="47" t="e">
        <f>Summary!#REF!/Summary!#REF!*100</f>
        <v>#REF!</v>
      </c>
      <c r="AD53" s="47" t="e">
        <f>Summary!#REF!/Summary!#REF!*100</f>
        <v>#REF!</v>
      </c>
      <c r="AE53" s="47" t="e">
        <f>Summary!#REF!/Summary!#REF!*100</f>
        <v>#REF!</v>
      </c>
      <c r="AF53" s="47" t="e">
        <f>Summary!#REF!/Summary!#REF!*100</f>
        <v>#REF!</v>
      </c>
      <c r="AG53" s="47" t="e">
        <f>Summary!#REF!/Summary!#REF!*100</f>
        <v>#REF!</v>
      </c>
      <c r="AH53" s="47" t="e">
        <f>Summary!#REF!/Summary!#REF!*100</f>
        <v>#REF!</v>
      </c>
      <c r="AI53" s="47" t="e">
        <f>Summary!#REF!/Summary!#REF!*100</f>
        <v>#REF!</v>
      </c>
      <c r="AJ53" s="47">
        <f>Summary!B25/Summary!B$22*100</f>
        <v>43.795717999982529</v>
      </c>
      <c r="AK53" s="47">
        <f>Summary!C25/Summary!C$22*100</f>
        <v>43.174765167067115</v>
      </c>
      <c r="AL53" s="47">
        <f>Summary!D25/Summary!D$22*100</f>
        <v>43.180224493228671</v>
      </c>
      <c r="AM53" s="47">
        <f>Summary!E25/Summary!E$22*100</f>
        <v>43.760868127059496</v>
      </c>
      <c r="AN53" s="47">
        <f>Summary!F25/Summary!F$22*100</f>
        <v>44.464657741987565</v>
      </c>
      <c r="AO53" s="47">
        <f>Summary!G25/Summary!G$22*100</f>
        <v>44.742364187886992</v>
      </c>
      <c r="AP53" s="47">
        <f>Summary!H25/Summary!H$22*100</f>
        <v>44.537721726574233</v>
      </c>
      <c r="AQ53" s="47">
        <f>Summary!I25/Summary!I$22*100</f>
        <v>44.426198436300204</v>
      </c>
    </row>
    <row r="54" spans="1:43" ht="11.1" customHeight="1" x14ac:dyDescent="0.2">
      <c r="A54" s="39" t="s">
        <v>18</v>
      </c>
    </row>
    <row r="55" spans="1:43" s="43" customFormat="1" ht="11.1" customHeight="1" thickBot="1" x14ac:dyDescent="0.25">
      <c r="A55" s="51" t="s">
        <v>19</v>
      </c>
      <c r="B55" s="48" t="e">
        <f>Summary!#REF!/Summary!#REF!*100</f>
        <v>#REF!</v>
      </c>
      <c r="C55" s="48" t="e">
        <f>Summary!#REF!/Summary!#REF!*100</f>
        <v>#REF!</v>
      </c>
      <c r="D55" s="48" t="e">
        <f>Summary!#REF!/Summary!#REF!*100</f>
        <v>#REF!</v>
      </c>
      <c r="E55" s="48" t="e">
        <f>Summary!#REF!/Summary!#REF!*100</f>
        <v>#REF!</v>
      </c>
      <c r="F55" s="48" t="e">
        <f>Summary!#REF!/Summary!#REF!*100</f>
        <v>#REF!</v>
      </c>
      <c r="G55" s="48" t="e">
        <f>Summary!#REF!/Summary!#REF!*100</f>
        <v>#REF!</v>
      </c>
      <c r="H55" s="48" t="e">
        <f>Summary!#REF!/Summary!#REF!*100</f>
        <v>#REF!</v>
      </c>
      <c r="I55" s="48" t="e">
        <f>Summary!#REF!/Summary!#REF!*100</f>
        <v>#REF!</v>
      </c>
      <c r="J55" s="48" t="e">
        <f>Summary!#REF!/Summary!#REF!*100</f>
        <v>#REF!</v>
      </c>
      <c r="K55" s="48" t="e">
        <f>Summary!#REF!/Summary!#REF!*100</f>
        <v>#REF!</v>
      </c>
      <c r="L55" s="48" t="e">
        <f>Summary!#REF!/Summary!#REF!*100</f>
        <v>#REF!</v>
      </c>
      <c r="M55" s="48" t="e">
        <f>Summary!#REF!/Summary!#REF!*100</f>
        <v>#REF!</v>
      </c>
      <c r="N55" s="48" t="e">
        <f>Summary!#REF!/Summary!#REF!*100</f>
        <v>#REF!</v>
      </c>
      <c r="O55" s="48" t="e">
        <f>Summary!#REF!/Summary!#REF!*100</f>
        <v>#REF!</v>
      </c>
      <c r="P55" s="48" t="e">
        <f>Summary!#REF!/Summary!#REF!*100</f>
        <v>#REF!</v>
      </c>
      <c r="Q55" s="48" t="e">
        <f>Summary!#REF!/Summary!#REF!*100</f>
        <v>#REF!</v>
      </c>
      <c r="R55" s="48" t="e">
        <f>Summary!#REF!/Summary!#REF!*100</f>
        <v>#REF!</v>
      </c>
      <c r="S55" s="48" t="e">
        <f>Summary!#REF!/Summary!#REF!*100</f>
        <v>#REF!</v>
      </c>
      <c r="T55" s="48" t="e">
        <f>Summary!#REF!/Summary!#REF!*100</f>
        <v>#REF!</v>
      </c>
      <c r="U55" s="48" t="e">
        <f>Summary!#REF!/Summary!#REF!*100</f>
        <v>#REF!</v>
      </c>
      <c r="V55" s="48" t="e">
        <f>Summary!#REF!/Summary!#REF!*100</f>
        <v>#REF!</v>
      </c>
      <c r="W55" s="48" t="e">
        <f>Summary!#REF!/Summary!#REF!*100</f>
        <v>#REF!</v>
      </c>
      <c r="X55" s="48" t="e">
        <f>Summary!#REF!/Summary!#REF!*100</f>
        <v>#REF!</v>
      </c>
      <c r="Y55" s="48" t="e">
        <f>Summary!#REF!/Summary!#REF!*100</f>
        <v>#REF!</v>
      </c>
      <c r="Z55" s="48" t="e">
        <f>Summary!#REF!/Summary!#REF!*100</f>
        <v>#REF!</v>
      </c>
      <c r="AA55" s="48" t="e">
        <f>Summary!#REF!/Summary!#REF!*100</f>
        <v>#REF!</v>
      </c>
      <c r="AB55" s="48" t="e">
        <f>Summary!#REF!/Summary!#REF!*100</f>
        <v>#REF!</v>
      </c>
      <c r="AC55" s="48" t="e">
        <f>Summary!#REF!/Summary!#REF!*100</f>
        <v>#REF!</v>
      </c>
      <c r="AD55" s="48" t="e">
        <f>Summary!#REF!/Summary!#REF!*100</f>
        <v>#REF!</v>
      </c>
      <c r="AE55" s="48" t="e">
        <f>Summary!#REF!/Summary!#REF!*100</f>
        <v>#REF!</v>
      </c>
      <c r="AF55" s="48" t="e">
        <f>Summary!#REF!/Summary!#REF!*100</f>
        <v>#REF!</v>
      </c>
      <c r="AG55" s="48" t="e">
        <f>Summary!#REF!/Summary!#REF!*100</f>
        <v>#REF!</v>
      </c>
      <c r="AH55" s="48" t="e">
        <f>Summary!#REF!/Summary!#REF!*100</f>
        <v>#REF!</v>
      </c>
      <c r="AI55" s="48" t="e">
        <f>Summary!#REF!/Summary!#REF!*100</f>
        <v>#REF!</v>
      </c>
      <c r="AJ55" s="48">
        <f>Summary!B27/Summary!B$22*100</f>
        <v>7.0393639999710462</v>
      </c>
      <c r="AK55" s="48">
        <f>Summary!C27/Summary!C$22*100</f>
        <v>7.1059405052307216</v>
      </c>
      <c r="AL55" s="48">
        <f>Summary!D27/Summary!D$22*100</f>
        <v>7.1250412229753106</v>
      </c>
      <c r="AM55" s="48">
        <f>Summary!E27/Summary!E$22*100</f>
        <v>7.1571832634953427</v>
      </c>
      <c r="AN55" s="48">
        <f>Summary!F27/Summary!F$22*100</f>
        <v>7.1086220641336837</v>
      </c>
      <c r="AO55" s="48">
        <f>Summary!G27/Summary!G$22*100</f>
        <v>6.9657609933417381</v>
      </c>
      <c r="AP55" s="48">
        <f>Summary!H27/Summary!H$22*100</f>
        <v>6.8301193485947893</v>
      </c>
      <c r="AQ55" s="48">
        <f>Summary!I27/Summary!I$22*100</f>
        <v>6.7576421904710182</v>
      </c>
    </row>
    <row r="56" spans="1:43" x14ac:dyDescent="0.2">
      <c r="A56" s="52" t="s">
        <v>69</v>
      </c>
    </row>
  </sheetData>
  <mergeCells count="22">
    <mergeCell ref="AN3:AQ3"/>
    <mergeCell ref="AN31:AQ31"/>
    <mergeCell ref="X31:AA31"/>
    <mergeCell ref="AB3:AE3"/>
    <mergeCell ref="AB31:AE31"/>
    <mergeCell ref="AJ3:AM3"/>
    <mergeCell ref="AF3:AI3"/>
    <mergeCell ref="AF31:AI31"/>
    <mergeCell ref="X3:AA3"/>
    <mergeCell ref="AJ31:AL31"/>
    <mergeCell ref="U3:W3"/>
    <mergeCell ref="U31:W31"/>
    <mergeCell ref="B31:C31"/>
    <mergeCell ref="D31:G31"/>
    <mergeCell ref="H31:K31"/>
    <mergeCell ref="L31:O31"/>
    <mergeCell ref="P31:S31"/>
    <mergeCell ref="B3:C3"/>
    <mergeCell ref="D3:G3"/>
    <mergeCell ref="H3:K3"/>
    <mergeCell ref="L3:O3"/>
    <mergeCell ref="P3:S3"/>
  </mergeCells>
  <pageMargins left="0.5" right="0" top="0.5" bottom="0" header="0" footer="0"/>
  <pageSetup paperSize="9" scale="8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2">
    <pageSetUpPr fitToPage="1"/>
  </sheetPr>
  <dimension ref="A1:AM37"/>
  <sheetViews>
    <sheetView showGridLines="0" view="pageBreakPreview" zoomScaleNormal="100" zoomScaleSheetLayoutView="100" workbookViewId="0">
      <pane xSplit="1" ySplit="4" topLeftCell="B12" activePane="bottomRight" state="frozen"/>
      <selection activeCell="BS41" sqref="BS41"/>
      <selection pane="topRight" activeCell="BS41" sqref="BS41"/>
      <selection pane="bottomLeft" activeCell="BS41" sqref="BS41"/>
      <selection pane="bottomRight" activeCell="I28" sqref="I28"/>
    </sheetView>
  </sheetViews>
  <sheetFormatPr defaultColWidth="9.140625" defaultRowHeight="11.25" x14ac:dyDescent="0.2"/>
  <cols>
    <col min="1" max="1" width="28.85546875" style="1" customWidth="1"/>
    <col min="2" max="8" width="7.28515625" style="1" customWidth="1"/>
    <col min="9" max="10" width="7.42578125" style="1" customWidth="1"/>
    <col min="11" max="11" width="7.5703125" style="1" customWidth="1"/>
    <col min="12" max="12" width="7.42578125" style="1" customWidth="1"/>
    <col min="13" max="13" width="8" style="112" customWidth="1"/>
    <col min="14" max="14" width="7.42578125" style="1" customWidth="1"/>
    <col min="15" max="15" width="7.5703125" style="1" customWidth="1"/>
    <col min="16" max="17" width="7.5703125" style="112" customWidth="1"/>
    <col min="18" max="20" width="7.5703125" style="1" customWidth="1"/>
    <col min="21" max="21" width="8.85546875" style="1" customWidth="1"/>
    <col min="22" max="25" width="7.5703125" style="1" bestFit="1" customWidth="1"/>
    <col min="26" max="26" width="7.85546875" style="1" customWidth="1"/>
    <col min="27" max="27" width="7.5703125" style="1" bestFit="1" customWidth="1"/>
    <col min="28" max="28" width="8" style="1" customWidth="1"/>
    <col min="29" max="29" width="7.7109375" style="1" customWidth="1"/>
    <col min="30" max="30" width="8.42578125" style="1" customWidth="1"/>
    <col min="31" max="31" width="8.140625" style="1" customWidth="1"/>
    <col min="32" max="32" width="8.85546875" style="1" customWidth="1"/>
    <col min="33" max="33" width="7.85546875" style="1" customWidth="1"/>
    <col min="34" max="34" width="7.5703125" style="1" bestFit="1" customWidth="1"/>
    <col min="35" max="35" width="7.85546875" style="1" customWidth="1"/>
    <col min="36" max="36" width="9.140625" style="1"/>
    <col min="37" max="37" width="7.7109375" style="1" customWidth="1"/>
    <col min="38" max="16384" width="9.140625" style="1"/>
  </cols>
  <sheetData>
    <row r="1" spans="1:39" ht="15.75" customHeight="1" thickBot="1" x14ac:dyDescent="0.25">
      <c r="A1" s="31" t="s">
        <v>170</v>
      </c>
      <c r="B1" s="31"/>
      <c r="D1" s="88"/>
      <c r="E1" s="87"/>
      <c r="F1" s="87"/>
      <c r="G1" s="87"/>
      <c r="H1" s="87"/>
      <c r="I1" s="87"/>
      <c r="J1" s="87"/>
      <c r="K1" s="87"/>
      <c r="L1" s="87"/>
      <c r="N1" s="87"/>
      <c r="O1" s="87"/>
    </row>
    <row r="2" spans="1:39" ht="12.75" hidden="1" customHeight="1" thickBot="1" x14ac:dyDescent="0.25">
      <c r="A2" s="87"/>
      <c r="B2" s="87"/>
      <c r="C2" s="87"/>
      <c r="D2" s="87"/>
      <c r="E2" s="87"/>
      <c r="F2" s="87"/>
      <c r="G2" s="87"/>
      <c r="H2" s="87"/>
      <c r="I2" s="87"/>
      <c r="J2" s="87"/>
      <c r="K2" s="87"/>
      <c r="L2" s="87"/>
      <c r="N2" s="87"/>
      <c r="O2" s="87"/>
    </row>
    <row r="3" spans="1:39" s="81" customFormat="1" ht="12" customHeight="1" x14ac:dyDescent="0.2">
      <c r="A3" s="128" t="s">
        <v>123</v>
      </c>
      <c r="B3" s="214" t="s">
        <v>80</v>
      </c>
      <c r="C3" s="214"/>
      <c r="D3" s="214"/>
      <c r="E3" s="214"/>
      <c r="F3" s="214" t="s">
        <v>92</v>
      </c>
      <c r="G3" s="214"/>
      <c r="H3" s="214"/>
      <c r="I3" s="214"/>
      <c r="J3" s="214" t="s">
        <v>134</v>
      </c>
      <c r="K3" s="214"/>
      <c r="L3" s="214"/>
      <c r="M3" s="214"/>
      <c r="N3" s="214" t="s">
        <v>136</v>
      </c>
      <c r="O3" s="214"/>
      <c r="P3" s="214"/>
      <c r="Q3" s="214"/>
      <c r="R3" s="214" t="s">
        <v>137</v>
      </c>
      <c r="S3" s="214"/>
      <c r="T3" s="214"/>
      <c r="V3" s="215" t="s">
        <v>138</v>
      </c>
      <c r="W3" s="215"/>
      <c r="X3" s="215"/>
      <c r="Y3" s="215"/>
      <c r="Z3" s="215" t="s">
        <v>139</v>
      </c>
      <c r="AA3" s="215"/>
      <c r="AB3" s="215"/>
      <c r="AC3" s="215"/>
      <c r="AD3" s="215" t="s">
        <v>140</v>
      </c>
      <c r="AE3" s="215"/>
      <c r="AF3" s="215"/>
      <c r="AG3" s="215"/>
      <c r="AH3" s="215" t="s">
        <v>166</v>
      </c>
      <c r="AI3" s="215"/>
      <c r="AJ3" s="215"/>
      <c r="AK3" s="215"/>
      <c r="AL3" s="215" t="s">
        <v>167</v>
      </c>
      <c r="AM3" s="215"/>
    </row>
    <row r="4" spans="1:39" s="123" customFormat="1" ht="12" customHeight="1" x14ac:dyDescent="0.2">
      <c r="A4" s="129" t="s">
        <v>124</v>
      </c>
      <c r="B4" s="130" t="s">
        <v>46</v>
      </c>
      <c r="C4" s="130" t="s">
        <v>47</v>
      </c>
      <c r="D4" s="130" t="s">
        <v>48</v>
      </c>
      <c r="E4" s="130" t="s">
        <v>49</v>
      </c>
      <c r="F4" s="131" t="s">
        <v>46</v>
      </c>
      <c r="G4" s="130" t="s">
        <v>47</v>
      </c>
      <c r="H4" s="131" t="s">
        <v>48</v>
      </c>
      <c r="I4" s="131" t="s">
        <v>49</v>
      </c>
      <c r="J4" s="131" t="s">
        <v>46</v>
      </c>
      <c r="K4" s="131" t="s">
        <v>47</v>
      </c>
      <c r="L4" s="131" t="s">
        <v>48</v>
      </c>
      <c r="M4" s="131" t="s">
        <v>49</v>
      </c>
      <c r="N4" s="131" t="s">
        <v>46</v>
      </c>
      <c r="O4" s="131" t="s">
        <v>47</v>
      </c>
      <c r="P4" s="131" t="s">
        <v>48</v>
      </c>
      <c r="Q4" s="131" t="s">
        <v>49</v>
      </c>
      <c r="R4" s="131" t="s">
        <v>46</v>
      </c>
      <c r="S4" s="131" t="s">
        <v>47</v>
      </c>
      <c r="T4" s="131" t="s">
        <v>48</v>
      </c>
      <c r="U4" s="131" t="s">
        <v>49</v>
      </c>
      <c r="V4" s="131" t="s">
        <v>46</v>
      </c>
      <c r="W4" s="131" t="s">
        <v>47</v>
      </c>
      <c r="X4" s="131" t="s">
        <v>48</v>
      </c>
      <c r="Y4" s="131" t="s">
        <v>49</v>
      </c>
      <c r="Z4" s="131" t="s">
        <v>46</v>
      </c>
      <c r="AA4" s="131" t="s">
        <v>47</v>
      </c>
      <c r="AB4" s="131" t="s">
        <v>48</v>
      </c>
      <c r="AC4" s="131" t="s">
        <v>49</v>
      </c>
      <c r="AD4" s="131" t="s">
        <v>46</v>
      </c>
      <c r="AE4" s="131" t="s">
        <v>47</v>
      </c>
      <c r="AF4" s="131" t="s">
        <v>48</v>
      </c>
      <c r="AG4" s="131" t="s">
        <v>49</v>
      </c>
      <c r="AH4" s="131" t="s">
        <v>46</v>
      </c>
      <c r="AI4" s="131" t="s">
        <v>47</v>
      </c>
      <c r="AJ4" s="131" t="s">
        <v>48</v>
      </c>
      <c r="AK4" s="131" t="s">
        <v>49</v>
      </c>
      <c r="AL4" s="131" t="s">
        <v>46</v>
      </c>
      <c r="AM4" s="131" t="s">
        <v>47</v>
      </c>
    </row>
    <row r="5" spans="1:39" s="37" customFormat="1" ht="23.1" customHeight="1" x14ac:dyDescent="0.2">
      <c r="A5" s="73" t="s">
        <v>97</v>
      </c>
      <c r="B5" s="75">
        <v>28577.247355351661</v>
      </c>
      <c r="C5" s="75">
        <v>26610.180139309006</v>
      </c>
      <c r="D5" s="75">
        <v>26240.178376213596</v>
      </c>
      <c r="E5" s="75">
        <v>27090.435050598862</v>
      </c>
      <c r="F5" s="75">
        <v>30772.237101227405</v>
      </c>
      <c r="G5" s="75">
        <v>28335.280176173645</v>
      </c>
      <c r="H5" s="75">
        <v>27653.331335663122</v>
      </c>
      <c r="I5" s="75">
        <v>28598.086896661713</v>
      </c>
      <c r="J5" s="75">
        <v>32487.642175718105</v>
      </c>
      <c r="K5" s="75">
        <v>29958.630874878399</v>
      </c>
      <c r="L5" s="75">
        <v>29773.235405169889</v>
      </c>
      <c r="M5" s="75">
        <v>30567.094784970548</v>
      </c>
      <c r="N5" s="75">
        <v>34943.779208652792</v>
      </c>
      <c r="O5" s="75">
        <v>32466.458134210301</v>
      </c>
      <c r="P5" s="75">
        <v>30130.072340548548</v>
      </c>
      <c r="Q5" s="75">
        <v>28870.10246360661</v>
      </c>
      <c r="R5" s="75">
        <v>34802.923492478898</v>
      </c>
      <c r="S5" s="75">
        <v>32477.008349026924</v>
      </c>
      <c r="T5" s="75">
        <v>30975.023524528337</v>
      </c>
      <c r="U5" s="75">
        <v>32626.062565576813</v>
      </c>
      <c r="V5" s="75">
        <v>35622.436290247155</v>
      </c>
      <c r="W5" s="75">
        <v>34024.489547290636</v>
      </c>
      <c r="X5" s="75">
        <v>32716.662025108297</v>
      </c>
      <c r="Y5" s="75">
        <v>34522.279863118289</v>
      </c>
      <c r="Z5" s="75">
        <v>38746.737026853109</v>
      </c>
      <c r="AA5" s="75">
        <v>35492.012708280527</v>
      </c>
      <c r="AB5" s="75">
        <v>33446.227975016081</v>
      </c>
      <c r="AC5" s="75">
        <v>36506.451755519171</v>
      </c>
      <c r="AD5" s="75">
        <v>41068.072476131187</v>
      </c>
      <c r="AE5" s="75">
        <v>37544.310138874716</v>
      </c>
      <c r="AF5" s="75">
        <v>35728.791475472033</v>
      </c>
      <c r="AG5" s="75">
        <v>38581.883833767082</v>
      </c>
      <c r="AH5" s="75">
        <v>43605.835576599478</v>
      </c>
      <c r="AI5" s="75">
        <v>39557.990842081461</v>
      </c>
      <c r="AJ5" s="75">
        <v>38727.98734077152</v>
      </c>
      <c r="AK5" s="75">
        <v>40714.044049908181</v>
      </c>
      <c r="AL5" s="75">
        <v>45718.883622849549</v>
      </c>
      <c r="AM5" s="75">
        <v>42903.876010157692</v>
      </c>
    </row>
    <row r="6" spans="1:39" s="121" customFormat="1" ht="23.1" customHeight="1" x14ac:dyDescent="0.2">
      <c r="A6" s="137" t="s">
        <v>96</v>
      </c>
      <c r="B6" s="138">
        <v>8012.3898438440583</v>
      </c>
      <c r="C6" s="138">
        <v>6110.5574830010291</v>
      </c>
      <c r="D6" s="138">
        <v>5359.3297594225651</v>
      </c>
      <c r="E6" s="138">
        <v>5974.7914938523681</v>
      </c>
      <c r="F6" s="138">
        <v>8783.75361617198</v>
      </c>
      <c r="G6" s="138">
        <v>6199.5724243031436</v>
      </c>
      <c r="H6" s="138">
        <v>5495.0897018703818</v>
      </c>
      <c r="I6" s="138">
        <v>6096.0101397052103</v>
      </c>
      <c r="J6" s="138">
        <v>8974.6097339614735</v>
      </c>
      <c r="K6" s="138">
        <v>6448.4413448819614</v>
      </c>
      <c r="L6" s="138">
        <v>5935.2774332582503</v>
      </c>
      <c r="M6" s="138">
        <v>6628.7288960305441</v>
      </c>
      <c r="N6" s="138">
        <v>9517.4184915144997</v>
      </c>
      <c r="O6" s="138">
        <v>6941.2508425474216</v>
      </c>
      <c r="P6" s="138">
        <v>5858.4834939906605</v>
      </c>
      <c r="Q6" s="138">
        <v>7019.6668965617291</v>
      </c>
      <c r="R6" s="138">
        <v>10178.838113339847</v>
      </c>
      <c r="S6" s="138">
        <v>7480.051447932221</v>
      </c>
      <c r="T6" s="138">
        <v>5874.7256772867586</v>
      </c>
      <c r="U6" s="138">
        <v>7070.5839061785027</v>
      </c>
      <c r="V6" s="138">
        <v>10624.949712522255</v>
      </c>
      <c r="W6" s="138">
        <v>7330.8919880440335</v>
      </c>
      <c r="X6" s="138">
        <v>6120.4466636740835</v>
      </c>
      <c r="Y6" s="138">
        <v>7804.9867663755058</v>
      </c>
      <c r="Z6" s="138">
        <v>11088.26280593619</v>
      </c>
      <c r="AA6" s="138">
        <v>8197.4364123430387</v>
      </c>
      <c r="AB6" s="138">
        <v>6452.1007948510905</v>
      </c>
      <c r="AC6" s="138">
        <v>7589.8403301409671</v>
      </c>
      <c r="AD6" s="138">
        <v>11715.269920013694</v>
      </c>
      <c r="AE6" s="138">
        <v>8365.8311356487084</v>
      </c>
      <c r="AF6" s="138">
        <v>6712.9791346820011</v>
      </c>
      <c r="AG6" s="138">
        <v>8392.5623632282968</v>
      </c>
      <c r="AH6" s="138">
        <v>12457.039571469759</v>
      </c>
      <c r="AI6" s="138">
        <v>9018.0557620239742</v>
      </c>
      <c r="AJ6" s="138">
        <v>7404.8569468746055</v>
      </c>
      <c r="AK6" s="138">
        <v>8683.3829336736635</v>
      </c>
      <c r="AL6" s="138">
        <v>12839.640235938221</v>
      </c>
      <c r="AM6" s="138">
        <v>9809.0588895521632</v>
      </c>
    </row>
    <row r="7" spans="1:39" s="35" customFormat="1" ht="23.1" customHeight="1" x14ac:dyDescent="0.2">
      <c r="A7" s="113" t="s">
        <v>1</v>
      </c>
      <c r="B7" s="74">
        <v>503.80348979638592</v>
      </c>
      <c r="C7" s="74">
        <v>751.47234756516627</v>
      </c>
      <c r="D7" s="74">
        <v>756.66379966751811</v>
      </c>
      <c r="E7" s="74">
        <v>540.01006290475459</v>
      </c>
      <c r="F7" s="74">
        <v>711.49019191576656</v>
      </c>
      <c r="G7" s="74">
        <v>721.04284581521335</v>
      </c>
      <c r="H7" s="74">
        <v>772.20685018143377</v>
      </c>
      <c r="I7" s="74">
        <v>498.20843107823475</v>
      </c>
      <c r="J7" s="74">
        <v>708.23323325697652</v>
      </c>
      <c r="K7" s="74">
        <v>768.35836505822601</v>
      </c>
      <c r="L7" s="74">
        <v>790.47224516226902</v>
      </c>
      <c r="M7" s="74">
        <v>563.82243883157196</v>
      </c>
      <c r="N7" s="74">
        <v>726.02295632793528</v>
      </c>
      <c r="O7" s="74">
        <v>837.12849584969968</v>
      </c>
      <c r="P7" s="74">
        <v>928.12523894349204</v>
      </c>
      <c r="Q7" s="74">
        <v>560.87770957455052</v>
      </c>
      <c r="R7" s="74">
        <v>782.35957415657026</v>
      </c>
      <c r="S7" s="74">
        <v>933.39017905880007</v>
      </c>
      <c r="T7" s="74">
        <v>1033.3275548697179</v>
      </c>
      <c r="U7" s="74">
        <v>683.94950154845685</v>
      </c>
      <c r="V7" s="74">
        <v>965.22972237615249</v>
      </c>
      <c r="W7" s="74">
        <v>980.05040332063106</v>
      </c>
      <c r="X7" s="74">
        <v>993.72888658205727</v>
      </c>
      <c r="Y7" s="74">
        <v>688.45779339571595</v>
      </c>
      <c r="Z7" s="74">
        <v>969.15812437540535</v>
      </c>
      <c r="AA7" s="74">
        <v>928.29382980042101</v>
      </c>
      <c r="AB7" s="74">
        <v>1072.7337089713899</v>
      </c>
      <c r="AC7" s="74">
        <v>681.86824089328275</v>
      </c>
      <c r="AD7" s="74">
        <v>1030.9452675058033</v>
      </c>
      <c r="AE7" s="74">
        <v>1070.8633752803398</v>
      </c>
      <c r="AF7" s="74">
        <v>1245.771235795426</v>
      </c>
      <c r="AG7" s="74">
        <v>753.11773093368481</v>
      </c>
      <c r="AH7" s="74">
        <v>1200.8309265676537</v>
      </c>
      <c r="AI7" s="74">
        <v>1173.3745085049218</v>
      </c>
      <c r="AJ7" s="74">
        <v>1357.3297513756709</v>
      </c>
      <c r="AK7" s="74">
        <v>833.80664103983827</v>
      </c>
      <c r="AL7" s="74">
        <v>1285.3573338976021</v>
      </c>
      <c r="AM7" s="74">
        <v>1320.8623656487625</v>
      </c>
    </row>
    <row r="8" spans="1:39" s="35" customFormat="1" ht="23.1" customHeight="1" x14ac:dyDescent="0.2">
      <c r="A8" s="113" t="s">
        <v>2</v>
      </c>
      <c r="B8" s="74">
        <v>5158.2444205057345</v>
      </c>
      <c r="C8" s="74">
        <v>2956.6064566827604</v>
      </c>
      <c r="D8" s="74">
        <v>2216.3688091414588</v>
      </c>
      <c r="E8" s="74">
        <v>3063.7253290156641</v>
      </c>
      <c r="F8" s="74">
        <v>5764.4523599320146</v>
      </c>
      <c r="G8" s="74">
        <v>3189.0325815060137</v>
      </c>
      <c r="H8" s="74">
        <v>2406.5074764728147</v>
      </c>
      <c r="I8" s="74">
        <v>3180.2594725886775</v>
      </c>
      <c r="J8" s="74">
        <v>5806.2349398273072</v>
      </c>
      <c r="K8" s="74">
        <v>3120.4628024521453</v>
      </c>
      <c r="L8" s="74">
        <v>2491.5732165027798</v>
      </c>
      <c r="M8" s="74">
        <v>3355.7461627053376</v>
      </c>
      <c r="N8" s="74">
        <v>6087.3682421375433</v>
      </c>
      <c r="O8" s="74">
        <v>3386.363654416285</v>
      </c>
      <c r="P8" s="74">
        <v>2210.2086796823992</v>
      </c>
      <c r="Q8" s="74">
        <v>3770.8715711411828</v>
      </c>
      <c r="R8" s="74">
        <v>6729.393204981222</v>
      </c>
      <c r="S8" s="74">
        <v>3733.7503682590163</v>
      </c>
      <c r="T8" s="74">
        <v>2032.2914264633821</v>
      </c>
      <c r="U8" s="74">
        <v>3595.1715115068132</v>
      </c>
      <c r="V8" s="74">
        <v>6847.8466172009894</v>
      </c>
      <c r="W8" s="74">
        <v>3553.4940313316215</v>
      </c>
      <c r="X8" s="74">
        <v>2141.0816182257618</v>
      </c>
      <c r="Y8" s="74">
        <v>4113.218134231849</v>
      </c>
      <c r="Z8" s="74">
        <v>7367.0189755228857</v>
      </c>
      <c r="AA8" s="74">
        <v>4243.1851028897354</v>
      </c>
      <c r="AB8" s="74">
        <v>2047.1733289149602</v>
      </c>
      <c r="AC8" s="74">
        <v>3777.0372805557809</v>
      </c>
      <c r="AD8" s="74">
        <v>7740.0658605019926</v>
      </c>
      <c r="AE8" s="74">
        <v>4232.3299027083349</v>
      </c>
      <c r="AF8" s="74">
        <v>2190.2829782258741</v>
      </c>
      <c r="AG8" s="74">
        <v>4166.6735682641865</v>
      </c>
      <c r="AH8" s="74">
        <v>8152.8623893732956</v>
      </c>
      <c r="AI8" s="74">
        <v>4529.7878459103213</v>
      </c>
      <c r="AJ8" s="74">
        <v>2262.5052763917824</v>
      </c>
      <c r="AK8" s="74">
        <v>4257.0001331126869</v>
      </c>
      <c r="AL8" s="74">
        <v>8108.2688902013924</v>
      </c>
      <c r="AM8" s="74">
        <v>4878.8645126492529</v>
      </c>
    </row>
    <row r="9" spans="1:39" s="35" customFormat="1" ht="23.1" customHeight="1" x14ac:dyDescent="0.2">
      <c r="A9" s="113" t="s">
        <v>3</v>
      </c>
      <c r="B9" s="74">
        <v>803.94775824915166</v>
      </c>
      <c r="C9" s="74">
        <v>820.59321518736385</v>
      </c>
      <c r="D9" s="74">
        <v>836.92931655571408</v>
      </c>
      <c r="E9" s="74">
        <v>847.61995957857721</v>
      </c>
      <c r="F9" s="74">
        <v>869.77219933402728</v>
      </c>
      <c r="G9" s="74">
        <v>875.22137389866259</v>
      </c>
      <c r="H9" s="74">
        <v>895.75738935389847</v>
      </c>
      <c r="I9" s="74">
        <v>904.19997947753302</v>
      </c>
      <c r="J9" s="74">
        <v>927.0688620100766</v>
      </c>
      <c r="K9" s="74">
        <v>942.41423690795887</v>
      </c>
      <c r="L9" s="74">
        <v>958.71970740000779</v>
      </c>
      <c r="M9" s="74">
        <v>977.13017291877156</v>
      </c>
      <c r="N9" s="74">
        <v>999.62611295133183</v>
      </c>
      <c r="O9" s="74">
        <v>1016.5699163403615</v>
      </c>
      <c r="P9" s="74">
        <v>1037.6778643015537</v>
      </c>
      <c r="Q9" s="74">
        <v>1051.9474828662387</v>
      </c>
      <c r="R9" s="74">
        <v>1075.0902551497784</v>
      </c>
      <c r="S9" s="74">
        <v>1093.5813547709745</v>
      </c>
      <c r="T9" s="74">
        <v>1117.6449535854119</v>
      </c>
      <c r="U9" s="74">
        <v>1139.380466377231</v>
      </c>
      <c r="V9" s="74">
        <v>1164.91478544969</v>
      </c>
      <c r="W9" s="74">
        <v>1183.7106407513986</v>
      </c>
      <c r="X9" s="74">
        <v>1209.218429624374</v>
      </c>
      <c r="Y9" s="74">
        <v>1235.4276412480087</v>
      </c>
      <c r="Z9" s="74">
        <v>1266.692741292017</v>
      </c>
      <c r="AA9" s="74">
        <v>1289.0045360190331</v>
      </c>
      <c r="AB9" s="74">
        <v>1324.744269388719</v>
      </c>
      <c r="AC9" s="74">
        <v>1336.3724775720505</v>
      </c>
      <c r="AD9" s="74">
        <v>1364.9638185924966</v>
      </c>
      <c r="AE9" s="74">
        <v>1392.5444827179699</v>
      </c>
      <c r="AF9" s="74">
        <v>1421.1592001054839</v>
      </c>
      <c r="AG9" s="74">
        <v>1449.5255402924874</v>
      </c>
      <c r="AH9" s="74">
        <v>1480.2990628608577</v>
      </c>
      <c r="AI9" s="74">
        <v>1512.2661495710715</v>
      </c>
      <c r="AJ9" s="74">
        <v>1550.661334969325</v>
      </c>
      <c r="AK9" s="74">
        <v>1577.5315740637261</v>
      </c>
      <c r="AL9" s="74">
        <v>1617.345943341998</v>
      </c>
      <c r="AM9" s="74">
        <v>1651.7309728484613</v>
      </c>
    </row>
    <row r="10" spans="1:39" s="35" customFormat="1" ht="23.1" customHeight="1" x14ac:dyDescent="0.2">
      <c r="A10" s="113" t="s">
        <v>4</v>
      </c>
      <c r="B10" s="74">
        <v>6.2837287836023057</v>
      </c>
      <c r="C10" s="74">
        <v>3.3250369696652839</v>
      </c>
      <c r="D10" s="74">
        <v>2.0494801867508468</v>
      </c>
      <c r="E10" s="74">
        <v>4.8141938345286261</v>
      </c>
      <c r="F10" s="74">
        <v>6.2956095406532908</v>
      </c>
      <c r="G10" s="74">
        <v>3.2755886587393666</v>
      </c>
      <c r="H10" s="74">
        <v>2.0080247638773487</v>
      </c>
      <c r="I10" s="74">
        <v>4.832908270118109</v>
      </c>
      <c r="J10" s="74">
        <v>6.6083068465190458</v>
      </c>
      <c r="K10" s="74">
        <v>3.588417092620757</v>
      </c>
      <c r="L10" s="74">
        <v>2.1829168340673513</v>
      </c>
      <c r="M10" s="74">
        <v>5.4791026586170899</v>
      </c>
      <c r="N10" s="74">
        <v>7.7829336152549216</v>
      </c>
      <c r="O10" s="74">
        <v>4.3860542656918264</v>
      </c>
      <c r="P10" s="74">
        <v>2.1540787044907046</v>
      </c>
      <c r="Q10" s="74">
        <v>4.6823231061630217</v>
      </c>
      <c r="R10" s="74">
        <v>7.2284747259370805</v>
      </c>
      <c r="S10" s="74">
        <v>3.9801091117841167</v>
      </c>
      <c r="T10" s="74">
        <v>2.7383125865785325</v>
      </c>
      <c r="U10" s="74">
        <v>5.4484673626327806</v>
      </c>
      <c r="V10" s="74">
        <v>7.7592654202388989</v>
      </c>
      <c r="W10" s="74">
        <v>4.0780685091511497</v>
      </c>
      <c r="X10" s="74">
        <v>2.8418930687694592</v>
      </c>
      <c r="Y10" s="74">
        <v>5.5823033163410072</v>
      </c>
      <c r="Z10" s="74">
        <v>7.9640724636461462</v>
      </c>
      <c r="AA10" s="74">
        <v>4.2517334082025844</v>
      </c>
      <c r="AB10" s="74">
        <v>2.8588657471492036</v>
      </c>
      <c r="AC10" s="74">
        <v>5.6398940803907633</v>
      </c>
      <c r="AD10" s="74">
        <v>8.3887801885679902</v>
      </c>
      <c r="AE10" s="74">
        <v>4.5610538476175666</v>
      </c>
      <c r="AF10" s="74">
        <v>3.0962640655085232</v>
      </c>
      <c r="AG10" s="74">
        <v>6.1329907340475724</v>
      </c>
      <c r="AH10" s="74">
        <v>8.748103851917115</v>
      </c>
      <c r="AI10" s="74">
        <v>4.4104034392607572</v>
      </c>
      <c r="AJ10" s="74">
        <v>3.0707098026699855</v>
      </c>
      <c r="AK10" s="74">
        <v>7.1536238605262135</v>
      </c>
      <c r="AL10" s="74">
        <v>7.7163284648726389</v>
      </c>
      <c r="AM10" s="74">
        <v>4.4194805688743966</v>
      </c>
    </row>
    <row r="11" spans="1:39" s="35" customFormat="1" ht="23.1" customHeight="1" x14ac:dyDescent="0.2">
      <c r="A11" s="113" t="s">
        <v>5</v>
      </c>
      <c r="B11" s="74">
        <v>977.93029016561798</v>
      </c>
      <c r="C11" s="74">
        <v>992.65351964523632</v>
      </c>
      <c r="D11" s="74">
        <v>1004.7215280880122</v>
      </c>
      <c r="E11" s="74">
        <v>1027.2691351249121</v>
      </c>
      <c r="F11" s="74">
        <v>1007.3810783016236</v>
      </c>
      <c r="G11" s="74">
        <v>1003.7500542649735</v>
      </c>
      <c r="H11" s="74">
        <v>1044.064799775914</v>
      </c>
      <c r="I11" s="74">
        <v>1082.2854954224765</v>
      </c>
      <c r="J11" s="74">
        <v>1044.1092557919137</v>
      </c>
      <c r="K11" s="74">
        <v>1056.6286920887833</v>
      </c>
      <c r="L11" s="74">
        <v>1070.8267986754433</v>
      </c>
      <c r="M11" s="74">
        <v>1114.9791089923965</v>
      </c>
      <c r="N11" s="74">
        <v>1086.4175905345678</v>
      </c>
      <c r="O11" s="74">
        <v>1108.0609682743002</v>
      </c>
      <c r="P11" s="74">
        <v>1120.3877807922488</v>
      </c>
      <c r="Q11" s="74">
        <v>1111.3553929637778</v>
      </c>
      <c r="R11" s="74">
        <v>1056.8780422126724</v>
      </c>
      <c r="S11" s="74">
        <v>1149.2584818091548</v>
      </c>
      <c r="T11" s="74">
        <v>1181.6023731817108</v>
      </c>
      <c r="U11" s="74">
        <v>1168.9939396810221</v>
      </c>
      <c r="V11" s="74">
        <v>1107.616450575724</v>
      </c>
      <c r="W11" s="74">
        <v>1115.7608526772206</v>
      </c>
      <c r="X11" s="74">
        <v>1243.7005461386634</v>
      </c>
      <c r="Y11" s="74">
        <v>1233.5857280105674</v>
      </c>
      <c r="Z11" s="74">
        <v>1152.8066217363037</v>
      </c>
      <c r="AA11" s="74">
        <v>1158.893619941226</v>
      </c>
      <c r="AB11" s="74">
        <v>1275.3325364733266</v>
      </c>
      <c r="AC11" s="74">
        <v>1260.9316618596511</v>
      </c>
      <c r="AD11" s="74">
        <v>1214.7921233897325</v>
      </c>
      <c r="AE11" s="74">
        <v>1190.4313606677856</v>
      </c>
      <c r="AF11" s="74">
        <v>1200.1466631360211</v>
      </c>
      <c r="AG11" s="74">
        <v>1391.5843604378074</v>
      </c>
      <c r="AH11" s="74">
        <v>1260.4901121718524</v>
      </c>
      <c r="AI11" s="74">
        <v>1251.7751935650003</v>
      </c>
      <c r="AJ11" s="74">
        <v>1287.4127598253131</v>
      </c>
      <c r="AK11" s="74">
        <v>1362.3896940277577</v>
      </c>
      <c r="AL11" s="74">
        <v>1383.2162658800482</v>
      </c>
      <c r="AM11" s="74">
        <v>1355.0945327665511</v>
      </c>
    </row>
    <row r="12" spans="1:39" s="35" customFormat="1" ht="23.1" customHeight="1" x14ac:dyDescent="0.2">
      <c r="A12" s="113" t="s">
        <v>6</v>
      </c>
      <c r="B12" s="74">
        <v>562.18015634356573</v>
      </c>
      <c r="C12" s="74">
        <v>585.90690695083777</v>
      </c>
      <c r="D12" s="74">
        <v>542.59682578311129</v>
      </c>
      <c r="E12" s="74">
        <v>491.35281339393094</v>
      </c>
      <c r="F12" s="74">
        <v>424.36217714789444</v>
      </c>
      <c r="G12" s="74">
        <v>407.24998015954111</v>
      </c>
      <c r="H12" s="74">
        <v>374.54516132244282</v>
      </c>
      <c r="I12" s="74">
        <v>426.22385286816973</v>
      </c>
      <c r="J12" s="74">
        <v>482.35513622868046</v>
      </c>
      <c r="K12" s="74">
        <v>556.98883128222644</v>
      </c>
      <c r="L12" s="74">
        <v>621.50254868368324</v>
      </c>
      <c r="M12" s="74">
        <v>611.57190992384915</v>
      </c>
      <c r="N12" s="74">
        <v>610.20065594786649</v>
      </c>
      <c r="O12" s="74">
        <v>588.74175340108275</v>
      </c>
      <c r="P12" s="74">
        <v>559.9298515664758</v>
      </c>
      <c r="Q12" s="74">
        <v>519.93241690981756</v>
      </c>
      <c r="R12" s="74">
        <v>527.88856211366692</v>
      </c>
      <c r="S12" s="74">
        <v>566.09095492249048</v>
      </c>
      <c r="T12" s="74">
        <v>507.12105659995757</v>
      </c>
      <c r="U12" s="74">
        <v>477.64001970234636</v>
      </c>
      <c r="V12" s="74">
        <v>531.58287149946034</v>
      </c>
      <c r="W12" s="74">
        <v>493.79799145401051</v>
      </c>
      <c r="X12" s="74">
        <v>529.87529003445718</v>
      </c>
      <c r="Y12" s="74">
        <v>528.71516617302416</v>
      </c>
      <c r="Z12" s="74">
        <v>324.62227054593257</v>
      </c>
      <c r="AA12" s="74">
        <v>573.80759028442026</v>
      </c>
      <c r="AB12" s="74">
        <v>729.25808535554597</v>
      </c>
      <c r="AC12" s="74">
        <v>527.9907751798105</v>
      </c>
      <c r="AD12" s="74">
        <v>356.11406983510039</v>
      </c>
      <c r="AE12" s="74">
        <v>475.10096042666078</v>
      </c>
      <c r="AF12" s="74">
        <v>652.52279335368746</v>
      </c>
      <c r="AG12" s="74">
        <v>625.52817256608216</v>
      </c>
      <c r="AH12" s="74">
        <v>353.80897664418501</v>
      </c>
      <c r="AI12" s="74">
        <v>546.44166103339876</v>
      </c>
      <c r="AJ12" s="74">
        <v>943.87711450984477</v>
      </c>
      <c r="AK12" s="74">
        <v>645.50126756912857</v>
      </c>
      <c r="AL12" s="74">
        <v>437.73547415230865</v>
      </c>
      <c r="AM12" s="74">
        <v>598.08702507026146</v>
      </c>
    </row>
    <row r="13" spans="1:39" s="121" customFormat="1" ht="23.1" customHeight="1" x14ac:dyDescent="0.2">
      <c r="A13" s="137" t="s">
        <v>93</v>
      </c>
      <c r="B13" s="138">
        <v>6768.713051955091</v>
      </c>
      <c r="C13" s="138">
        <v>7106.8655859703567</v>
      </c>
      <c r="D13" s="138">
        <v>7305.4210324818123</v>
      </c>
      <c r="E13" s="138">
        <v>7067.3259345873512</v>
      </c>
      <c r="F13" s="138">
        <v>7134.9058713826926</v>
      </c>
      <c r="G13" s="138">
        <v>7312.6317555530877</v>
      </c>
      <c r="H13" s="138">
        <v>7537.2021354850558</v>
      </c>
      <c r="I13" s="138">
        <v>7631.5343119097179</v>
      </c>
      <c r="J13" s="138">
        <v>7779.6917837189712</v>
      </c>
      <c r="K13" s="138">
        <v>8068.1838305472475</v>
      </c>
      <c r="L13" s="138">
        <v>8243.5122595824378</v>
      </c>
      <c r="M13" s="138">
        <v>8201.882353115383</v>
      </c>
      <c r="N13" s="138">
        <v>8570.2406120602482</v>
      </c>
      <c r="O13" s="138">
        <v>8886.3355817986849</v>
      </c>
      <c r="P13" s="138">
        <v>8486.7958188275043</v>
      </c>
      <c r="Q13" s="138">
        <v>7398.8510842539163</v>
      </c>
      <c r="R13" s="138">
        <v>8381.1057648712849</v>
      </c>
      <c r="S13" s="138">
        <v>8755.7883190744851</v>
      </c>
      <c r="T13" s="138">
        <v>8669.0779163346688</v>
      </c>
      <c r="U13" s="138">
        <v>8693.4801896502649</v>
      </c>
      <c r="V13" s="138">
        <v>8370.9466912534372</v>
      </c>
      <c r="W13" s="138">
        <v>9440.8924954631402</v>
      </c>
      <c r="X13" s="138">
        <v>9148.3497744816905</v>
      </c>
      <c r="Y13" s="138">
        <v>9308.0376149473814</v>
      </c>
      <c r="Z13" s="138">
        <v>9399.6502880160351</v>
      </c>
      <c r="AA13" s="138">
        <v>9216.6242046157931</v>
      </c>
      <c r="AB13" s="138">
        <v>9213.4013327072335</v>
      </c>
      <c r="AC13" s="138">
        <v>9899.9765147391226</v>
      </c>
      <c r="AD13" s="138">
        <v>10329.779417703621</v>
      </c>
      <c r="AE13" s="138">
        <v>9629.9206105706908</v>
      </c>
      <c r="AF13" s="138">
        <v>9832.8271952431387</v>
      </c>
      <c r="AG13" s="138">
        <v>10008.679035600164</v>
      </c>
      <c r="AH13" s="138">
        <v>10858.985921098454</v>
      </c>
      <c r="AI13" s="138">
        <v>10366.744603645575</v>
      </c>
      <c r="AJ13" s="138">
        <v>10560.436317940079</v>
      </c>
      <c r="AK13" s="138">
        <v>10766.195324448956</v>
      </c>
      <c r="AL13" s="138">
        <v>11507.781726235484</v>
      </c>
      <c r="AM13" s="138">
        <v>11637.499255958362</v>
      </c>
    </row>
    <row r="14" spans="1:39" s="35" customFormat="1" ht="23.1" customHeight="1" x14ac:dyDescent="0.2">
      <c r="A14" s="113" t="s">
        <v>8</v>
      </c>
      <c r="B14" s="74">
        <v>282.95292618460553</v>
      </c>
      <c r="C14" s="74">
        <v>276.5992894766074</v>
      </c>
      <c r="D14" s="74">
        <v>375.75679071827415</v>
      </c>
      <c r="E14" s="74">
        <v>401.80833387777938</v>
      </c>
      <c r="F14" s="74">
        <v>319.75550395877957</v>
      </c>
      <c r="G14" s="74">
        <v>224.76186636043755</v>
      </c>
      <c r="H14" s="74">
        <v>339.81151728125394</v>
      </c>
      <c r="I14" s="74">
        <v>399.51643961271208</v>
      </c>
      <c r="J14" s="74">
        <v>397.45267292462597</v>
      </c>
      <c r="K14" s="74">
        <v>270.96658313943936</v>
      </c>
      <c r="L14" s="74">
        <v>456.76541461273945</v>
      </c>
      <c r="M14" s="74">
        <v>382.76324562381956</v>
      </c>
      <c r="N14" s="74">
        <v>454.84010582626212</v>
      </c>
      <c r="O14" s="74">
        <v>474.18066896887399</v>
      </c>
      <c r="P14" s="74">
        <v>511.09848968849326</v>
      </c>
      <c r="Q14" s="74">
        <v>317.00351899078322</v>
      </c>
      <c r="R14" s="74">
        <v>645.34983263086565</v>
      </c>
      <c r="S14" s="74">
        <v>468.64606329714383</v>
      </c>
      <c r="T14" s="74">
        <v>394.79031030703123</v>
      </c>
      <c r="U14" s="74">
        <v>370.03531760579705</v>
      </c>
      <c r="V14" s="74">
        <v>281.63208992293153</v>
      </c>
      <c r="W14" s="74">
        <v>699.91945430684416</v>
      </c>
      <c r="X14" s="74">
        <v>555.65764157598312</v>
      </c>
      <c r="Y14" s="74">
        <v>685.74265214397428</v>
      </c>
      <c r="Z14" s="74">
        <v>531.92635714743244</v>
      </c>
      <c r="AA14" s="74">
        <v>337.30453528073684</v>
      </c>
      <c r="AB14" s="74">
        <v>418.13259378911772</v>
      </c>
      <c r="AC14" s="74">
        <v>1047.8038515116034</v>
      </c>
      <c r="AD14" s="74">
        <v>1057.9919785267657</v>
      </c>
      <c r="AE14" s="74">
        <v>661.67504433790009</v>
      </c>
      <c r="AF14" s="74">
        <v>435.10339234358952</v>
      </c>
      <c r="AG14" s="74">
        <v>254.56754551142575</v>
      </c>
      <c r="AH14" s="74">
        <v>967.23315298925763</v>
      </c>
      <c r="AI14" s="74">
        <v>725.91079152351051</v>
      </c>
      <c r="AJ14" s="74">
        <v>433.19398125947265</v>
      </c>
      <c r="AK14" s="74">
        <v>365.5809763449875</v>
      </c>
      <c r="AL14" s="74">
        <v>866.42073505321332</v>
      </c>
      <c r="AM14" s="74">
        <v>924.27909956714677</v>
      </c>
    </row>
    <row r="15" spans="1:39" s="35" customFormat="1" ht="23.1" customHeight="1" x14ac:dyDescent="0.2">
      <c r="A15" s="114" t="s">
        <v>9</v>
      </c>
      <c r="B15" s="74">
        <v>4040.7049941675509</v>
      </c>
      <c r="C15" s="74">
        <v>4238.5857735437357</v>
      </c>
      <c r="D15" s="74">
        <v>4435.5483940878757</v>
      </c>
      <c r="E15" s="74">
        <v>4130.4120849190558</v>
      </c>
      <c r="F15" s="74">
        <v>4261.464045942671</v>
      </c>
      <c r="G15" s="74">
        <v>4439.8417891892414</v>
      </c>
      <c r="H15" s="74">
        <v>4503.4214913874566</v>
      </c>
      <c r="I15" s="74">
        <v>4419.5601188101991</v>
      </c>
      <c r="J15" s="74">
        <v>4561.6634656467413</v>
      </c>
      <c r="K15" s="74">
        <v>4852.9223242069929</v>
      </c>
      <c r="L15" s="74">
        <v>4835.1147075231156</v>
      </c>
      <c r="M15" s="74">
        <v>4731.8722276178996</v>
      </c>
      <c r="N15" s="74">
        <v>5096.633589806791</v>
      </c>
      <c r="O15" s="74">
        <v>5278.1396385798498</v>
      </c>
      <c r="P15" s="74">
        <v>4784.5995902491886</v>
      </c>
      <c r="Q15" s="74">
        <v>4060.5316772617734</v>
      </c>
      <c r="R15" s="74">
        <v>4909.3532912501742</v>
      </c>
      <c r="S15" s="74">
        <v>5000.3957739343159</v>
      </c>
      <c r="T15" s="74">
        <v>4890.4732847468586</v>
      </c>
      <c r="U15" s="74">
        <v>4843.5144818919125</v>
      </c>
      <c r="V15" s="74">
        <v>4617.223879709255</v>
      </c>
      <c r="W15" s="74">
        <v>5323.9038899106681</v>
      </c>
      <c r="X15" s="74">
        <v>5273.5153658240752</v>
      </c>
      <c r="Y15" s="74">
        <v>5182.5960845238606</v>
      </c>
      <c r="Z15" s="74">
        <v>5339.1513198480261</v>
      </c>
      <c r="AA15" s="74">
        <v>5395.2733781765282</v>
      </c>
      <c r="AB15" s="74">
        <v>5202.2022446654901</v>
      </c>
      <c r="AC15" s="74">
        <v>5098.4633416636307</v>
      </c>
      <c r="AD15" s="74">
        <v>5590.3484277300704</v>
      </c>
      <c r="AE15" s="74">
        <v>5307.7672160332031</v>
      </c>
      <c r="AF15" s="74">
        <v>5461.8901112457406</v>
      </c>
      <c r="AG15" s="74">
        <v>5659.4203855721798</v>
      </c>
      <c r="AH15" s="74">
        <v>5935.8740582735909</v>
      </c>
      <c r="AI15" s="74">
        <v>5719.2051835598795</v>
      </c>
      <c r="AJ15" s="74">
        <v>5747.7098818738359</v>
      </c>
      <c r="AK15" s="74">
        <v>5854.8502563964212</v>
      </c>
      <c r="AL15" s="74">
        <v>6218.0588315785617</v>
      </c>
      <c r="AM15" s="74">
        <v>6229.6418960016535</v>
      </c>
    </row>
    <row r="16" spans="1:39" s="35" customFormat="1" ht="23.1" customHeight="1" x14ac:dyDescent="0.2">
      <c r="A16" s="114" t="s">
        <v>10</v>
      </c>
      <c r="B16" s="74">
        <v>330.50836804634116</v>
      </c>
      <c r="C16" s="74">
        <v>338.39281461157509</v>
      </c>
      <c r="D16" s="74">
        <v>360.0476937849686</v>
      </c>
      <c r="E16" s="74">
        <v>350.52748246315502</v>
      </c>
      <c r="F16" s="74">
        <v>365.87467532364178</v>
      </c>
      <c r="G16" s="74">
        <v>364.64893848015731</v>
      </c>
      <c r="H16" s="74">
        <v>366.75833029324343</v>
      </c>
      <c r="I16" s="74">
        <v>356.45256389060819</v>
      </c>
      <c r="J16" s="74">
        <v>365.71697269562162</v>
      </c>
      <c r="K16" s="74">
        <v>363.92829625652041</v>
      </c>
      <c r="L16" s="74">
        <v>374.53323218730395</v>
      </c>
      <c r="M16" s="74">
        <v>385.58107039673024</v>
      </c>
      <c r="N16" s="74">
        <v>410.67752626297602</v>
      </c>
      <c r="O16" s="74">
        <v>420.90578258958169</v>
      </c>
      <c r="P16" s="74">
        <v>438.26558572475363</v>
      </c>
      <c r="Q16" s="74">
        <v>382.38905608691908</v>
      </c>
      <c r="R16" s="74">
        <v>446.83510930435654</v>
      </c>
      <c r="S16" s="74">
        <v>458.60371441295138</v>
      </c>
      <c r="T16" s="74">
        <v>470.86524449152085</v>
      </c>
      <c r="U16" s="74">
        <v>468.11348192252706</v>
      </c>
      <c r="V16" s="74">
        <v>469.51958283529763</v>
      </c>
      <c r="W16" s="74">
        <v>473.62344416230093</v>
      </c>
      <c r="X16" s="74">
        <v>480.90713772938966</v>
      </c>
      <c r="Y16" s="74">
        <v>478.24728054275135</v>
      </c>
      <c r="Z16" s="74">
        <v>498.13322786212655</v>
      </c>
      <c r="AA16" s="74">
        <v>511.18189765157939</v>
      </c>
      <c r="AB16" s="74">
        <v>524.08966727040161</v>
      </c>
      <c r="AC16" s="74">
        <v>529.54458185930537</v>
      </c>
      <c r="AD16" s="74">
        <v>557.4673002443468</v>
      </c>
      <c r="AE16" s="74">
        <v>553.71387414521314</v>
      </c>
      <c r="AF16" s="74">
        <v>569.86152380181329</v>
      </c>
      <c r="AG16" s="74">
        <v>565.9279930662243</v>
      </c>
      <c r="AH16" s="74">
        <v>593.40249604430824</v>
      </c>
      <c r="AI16" s="74">
        <v>611.79591523110844</v>
      </c>
      <c r="AJ16" s="74">
        <v>646.30896447459838</v>
      </c>
      <c r="AK16" s="74">
        <v>661.7343016422069</v>
      </c>
      <c r="AL16" s="74">
        <v>749.36437915163367</v>
      </c>
      <c r="AM16" s="74">
        <v>677.86404415559912</v>
      </c>
    </row>
    <row r="17" spans="1:39" s="35" customFormat="1" ht="23.1" customHeight="1" x14ac:dyDescent="0.2">
      <c r="A17" s="114" t="s">
        <v>11</v>
      </c>
      <c r="B17" s="74">
        <v>633.10374514434454</v>
      </c>
      <c r="C17" s="74">
        <v>640.73532661485285</v>
      </c>
      <c r="D17" s="74">
        <v>648.32158703638481</v>
      </c>
      <c r="E17" s="74">
        <v>655.80608345940107</v>
      </c>
      <c r="F17" s="74">
        <v>661.96280163826577</v>
      </c>
      <c r="G17" s="74">
        <v>666.40452060004088</v>
      </c>
      <c r="H17" s="74">
        <v>673.05645102005803</v>
      </c>
      <c r="I17" s="74">
        <v>680.18633713730947</v>
      </c>
      <c r="J17" s="74">
        <v>691.54730640684772</v>
      </c>
      <c r="K17" s="74">
        <v>698.09537914804696</v>
      </c>
      <c r="L17" s="74">
        <v>705.55612236759941</v>
      </c>
      <c r="M17" s="74">
        <v>713.26476900293994</v>
      </c>
      <c r="N17" s="74">
        <v>721.45542033651361</v>
      </c>
      <c r="O17" s="74">
        <v>725.38767999020035</v>
      </c>
      <c r="P17" s="74">
        <v>735.24121014040043</v>
      </c>
      <c r="Q17" s="74">
        <v>741.47985081597528</v>
      </c>
      <c r="R17" s="74">
        <v>754.12433249436174</v>
      </c>
      <c r="S17" s="74">
        <v>760.22154040875569</v>
      </c>
      <c r="T17" s="74">
        <v>768.94239267692649</v>
      </c>
      <c r="U17" s="74">
        <v>779.62605908501655</v>
      </c>
      <c r="V17" s="74">
        <v>798.69216668957176</v>
      </c>
      <c r="W17" s="74">
        <v>808.41428271848724</v>
      </c>
      <c r="X17" s="74">
        <v>819.56839930772674</v>
      </c>
      <c r="Y17" s="74">
        <v>828.62438215727832</v>
      </c>
      <c r="Z17" s="74">
        <v>836.37557265089106</v>
      </c>
      <c r="AA17" s="74">
        <v>839.77321368577918</v>
      </c>
      <c r="AB17" s="74">
        <v>851.65136575292865</v>
      </c>
      <c r="AC17" s="74">
        <v>863.70849194558014</v>
      </c>
      <c r="AD17" s="74">
        <v>880.67205100801721</v>
      </c>
      <c r="AE17" s="74">
        <v>884.92462901220938</v>
      </c>
      <c r="AF17" s="74">
        <v>895.73851470258364</v>
      </c>
      <c r="AG17" s="74">
        <v>910.04133260987965</v>
      </c>
      <c r="AH17" s="74">
        <v>911.34444581317632</v>
      </c>
      <c r="AI17" s="74">
        <v>912.32805996886248</v>
      </c>
      <c r="AJ17" s="74">
        <v>917.12229690116578</v>
      </c>
      <c r="AK17" s="74">
        <v>924.106975262834</v>
      </c>
      <c r="AL17" s="74">
        <v>937.019711378784</v>
      </c>
      <c r="AM17" s="74">
        <v>942.69241975819671</v>
      </c>
    </row>
    <row r="18" spans="1:39" s="35" customFormat="1" ht="23.1" customHeight="1" x14ac:dyDescent="0.2">
      <c r="A18" s="113" t="s">
        <v>12</v>
      </c>
      <c r="B18" s="74">
        <v>1481.4430184122493</v>
      </c>
      <c r="C18" s="74">
        <v>1612.5523817235855</v>
      </c>
      <c r="D18" s="74">
        <v>1485.7465668543086</v>
      </c>
      <c r="E18" s="74">
        <v>1528.7719498679596</v>
      </c>
      <c r="F18" s="74">
        <v>1525.8488445193345</v>
      </c>
      <c r="G18" s="74">
        <v>1616.9746409232114</v>
      </c>
      <c r="H18" s="74">
        <v>1654.154345503043</v>
      </c>
      <c r="I18" s="74">
        <v>1775.81885245889</v>
      </c>
      <c r="J18" s="74">
        <v>1763.3113660451345</v>
      </c>
      <c r="K18" s="74">
        <v>1882.2712477962475</v>
      </c>
      <c r="L18" s="74">
        <v>1871.5427828916788</v>
      </c>
      <c r="M18" s="74">
        <v>1988.4010404739936</v>
      </c>
      <c r="N18" s="74">
        <v>1886.6339698277056</v>
      </c>
      <c r="O18" s="74">
        <v>1987.7218116701792</v>
      </c>
      <c r="P18" s="74">
        <v>2017.5909430246679</v>
      </c>
      <c r="Q18" s="74">
        <v>1897.4469810984644</v>
      </c>
      <c r="R18" s="74">
        <v>1625.4431991915262</v>
      </c>
      <c r="S18" s="74">
        <v>2067.9212270213184</v>
      </c>
      <c r="T18" s="74">
        <v>2144.0066841123321</v>
      </c>
      <c r="U18" s="74">
        <v>2232.1908491450117</v>
      </c>
      <c r="V18" s="74">
        <v>2203.8789720963809</v>
      </c>
      <c r="W18" s="74">
        <v>2135.031424364839</v>
      </c>
      <c r="X18" s="74">
        <v>2018.7012300445165</v>
      </c>
      <c r="Y18" s="74">
        <v>2132.827215579518</v>
      </c>
      <c r="Z18" s="74">
        <v>2194.0638105075595</v>
      </c>
      <c r="AA18" s="74">
        <v>2133.0911798211691</v>
      </c>
      <c r="AB18" s="74">
        <v>2217.3254612292944</v>
      </c>
      <c r="AC18" s="74">
        <v>2360.4562477590034</v>
      </c>
      <c r="AD18" s="74">
        <v>2243.2996601944219</v>
      </c>
      <c r="AE18" s="74">
        <v>2221.8398470421671</v>
      </c>
      <c r="AF18" s="74">
        <v>2470.2336531494116</v>
      </c>
      <c r="AG18" s="74">
        <v>2618.7217788404546</v>
      </c>
      <c r="AH18" s="74">
        <v>2451.1317679781214</v>
      </c>
      <c r="AI18" s="74">
        <v>2397.504653362214</v>
      </c>
      <c r="AJ18" s="74">
        <v>2816.1011934310045</v>
      </c>
      <c r="AK18" s="74">
        <v>2959.9228148025077</v>
      </c>
      <c r="AL18" s="74">
        <v>2736.9180690732928</v>
      </c>
      <c r="AM18" s="74">
        <v>2863.0217964757667</v>
      </c>
    </row>
    <row r="19" spans="1:39" s="121" customFormat="1" ht="23.1" customHeight="1" x14ac:dyDescent="0.2">
      <c r="A19" s="137" t="s">
        <v>94</v>
      </c>
      <c r="B19" s="138">
        <v>11937.718362657837</v>
      </c>
      <c r="C19" s="138">
        <v>11574.904273245027</v>
      </c>
      <c r="D19" s="138">
        <v>11626.766484146794</v>
      </c>
      <c r="E19" s="138">
        <v>12042.626656368144</v>
      </c>
      <c r="F19" s="138">
        <v>12862.303229009287</v>
      </c>
      <c r="G19" s="138">
        <v>12815.187341991386</v>
      </c>
      <c r="H19" s="138">
        <v>12685.29920931673</v>
      </c>
      <c r="I19" s="138">
        <v>12837.367728743302</v>
      </c>
      <c r="J19" s="138">
        <v>13754.228723909151</v>
      </c>
      <c r="K19" s="138">
        <v>13368.754279977897</v>
      </c>
      <c r="L19" s="138">
        <v>13465.06868516828</v>
      </c>
      <c r="M19" s="138">
        <v>13600.745668228308</v>
      </c>
      <c r="N19" s="138">
        <v>14658.783555366852</v>
      </c>
      <c r="O19" s="138">
        <v>14367.919305260177</v>
      </c>
      <c r="P19" s="138">
        <v>13669.805223677016</v>
      </c>
      <c r="Q19" s="138">
        <v>12849.732418565576</v>
      </c>
      <c r="R19" s="138">
        <v>14119.435945738076</v>
      </c>
      <c r="S19" s="138">
        <v>14074.464318828872</v>
      </c>
      <c r="T19" s="138">
        <v>14391.410599937555</v>
      </c>
      <c r="U19" s="138">
        <v>14495.4005141988</v>
      </c>
      <c r="V19" s="138">
        <v>14539.216189482004</v>
      </c>
      <c r="W19" s="138">
        <v>14902.83596485801</v>
      </c>
      <c r="X19" s="138">
        <v>14962.970541892557</v>
      </c>
      <c r="Y19" s="138">
        <v>14980.554277112629</v>
      </c>
      <c r="Z19" s="138">
        <v>15799.819856406968</v>
      </c>
      <c r="AA19" s="138">
        <v>15607.290418918728</v>
      </c>
      <c r="AB19" s="138">
        <v>15193.699743491072</v>
      </c>
      <c r="AC19" s="138">
        <v>16317.733453444189</v>
      </c>
      <c r="AD19" s="138">
        <v>16221.881537419606</v>
      </c>
      <c r="AE19" s="138">
        <v>16906.178972961272</v>
      </c>
      <c r="AF19" s="138">
        <v>16418.929360542417</v>
      </c>
      <c r="AG19" s="138">
        <v>17379.216218022015</v>
      </c>
      <c r="AH19" s="138">
        <v>17192.952554985037</v>
      </c>
      <c r="AI19" s="138">
        <v>17283.665007390213</v>
      </c>
      <c r="AJ19" s="138">
        <v>17847.734682852883</v>
      </c>
      <c r="AK19" s="138">
        <v>18239.580887244832</v>
      </c>
      <c r="AL19" s="138">
        <v>18170.905305026292</v>
      </c>
      <c r="AM19" s="138">
        <v>18361.432030472952</v>
      </c>
    </row>
    <row r="20" spans="1:39" s="35" customFormat="1" ht="23.1" customHeight="1" x14ac:dyDescent="0.2">
      <c r="A20" s="115" t="s">
        <v>52</v>
      </c>
      <c r="B20" s="74">
        <v>2581.7994981182806</v>
      </c>
      <c r="C20" s="74">
        <v>2378.603853236782</v>
      </c>
      <c r="D20" s="74">
        <v>2381.2123404270765</v>
      </c>
      <c r="E20" s="74">
        <v>2490.3874322532711</v>
      </c>
      <c r="F20" s="74">
        <v>2728.7348320760193</v>
      </c>
      <c r="G20" s="74">
        <v>2654.0458440786983</v>
      </c>
      <c r="H20" s="74">
        <v>2561.1413833149763</v>
      </c>
      <c r="I20" s="74">
        <v>2622.9045293246641</v>
      </c>
      <c r="J20" s="74">
        <v>2934.8670291004337</v>
      </c>
      <c r="K20" s="74">
        <v>2739.3981234107855</v>
      </c>
      <c r="L20" s="74">
        <v>2717.6812510080554</v>
      </c>
      <c r="M20" s="74">
        <v>2697.1794979645106</v>
      </c>
      <c r="N20" s="74">
        <v>3063.0224811998219</v>
      </c>
      <c r="O20" s="74">
        <v>2879.0819451476409</v>
      </c>
      <c r="P20" s="74">
        <v>2631.3389542391251</v>
      </c>
      <c r="Q20" s="74">
        <v>2371.8194607861883</v>
      </c>
      <c r="R20" s="74">
        <v>2978.3840370358776</v>
      </c>
      <c r="S20" s="74">
        <v>2672.5033802211101</v>
      </c>
      <c r="T20" s="74">
        <v>2555.1284786172077</v>
      </c>
      <c r="U20" s="74">
        <v>2673.0822437457459</v>
      </c>
      <c r="V20" s="74">
        <v>2816.4133951866702</v>
      </c>
      <c r="W20" s="74">
        <v>2785.6657755707693</v>
      </c>
      <c r="X20" s="74">
        <v>2789.0296497040131</v>
      </c>
      <c r="Y20" s="74">
        <v>2857.0468613486705</v>
      </c>
      <c r="Z20" s="74">
        <v>2985.1145635294733</v>
      </c>
      <c r="AA20" s="74">
        <v>2847.3790883621946</v>
      </c>
      <c r="AB20" s="74">
        <v>2769.6298717575728</v>
      </c>
      <c r="AC20" s="74">
        <v>3078.6420418075309</v>
      </c>
      <c r="AD20" s="74">
        <v>3345.8518748791489</v>
      </c>
      <c r="AE20" s="74">
        <v>3089.9691724907366</v>
      </c>
      <c r="AF20" s="74">
        <v>3035.3387345785545</v>
      </c>
      <c r="AG20" s="74">
        <v>3300.1772384437613</v>
      </c>
      <c r="AH20" s="74">
        <v>3689.4726485263332</v>
      </c>
      <c r="AI20" s="74">
        <v>3320.7793803181376</v>
      </c>
      <c r="AJ20" s="74">
        <v>3379.997726013773</v>
      </c>
      <c r="AK20" s="74">
        <v>3531.4851823777171</v>
      </c>
      <c r="AL20" s="74">
        <v>3917.3704549072163</v>
      </c>
      <c r="AM20" s="74">
        <v>3483.4312454366618</v>
      </c>
    </row>
    <row r="21" spans="1:39" s="35" customFormat="1" ht="23.1" customHeight="1" x14ac:dyDescent="0.2">
      <c r="A21" s="115" t="s">
        <v>53</v>
      </c>
      <c r="B21" s="74">
        <v>901.02620856347301</v>
      </c>
      <c r="C21" s="74">
        <v>873.66813444819297</v>
      </c>
      <c r="D21" s="74">
        <v>904.15095012671884</v>
      </c>
      <c r="E21" s="74">
        <v>941.82499839854006</v>
      </c>
      <c r="F21" s="74">
        <v>1000.4552891971605</v>
      </c>
      <c r="G21" s="74">
        <v>978.44799271019633</v>
      </c>
      <c r="H21" s="74">
        <v>1015.7341204793715</v>
      </c>
      <c r="I21" s="74">
        <v>1033.5312964081857</v>
      </c>
      <c r="J21" s="74">
        <v>1031.3830098858491</v>
      </c>
      <c r="K21" s="74">
        <v>982.43123748649953</v>
      </c>
      <c r="L21" s="74">
        <v>1020.3884543969707</v>
      </c>
      <c r="M21" s="74">
        <v>1028.1967932473899</v>
      </c>
      <c r="N21" s="74">
        <v>1073.4473250380618</v>
      </c>
      <c r="O21" s="74">
        <v>1000.6676012198242</v>
      </c>
      <c r="P21" s="74">
        <v>996.80411327237459</v>
      </c>
      <c r="Q21" s="74">
        <v>922.11300114003507</v>
      </c>
      <c r="R21" s="74">
        <v>995.37264803395897</v>
      </c>
      <c r="S21" s="74">
        <v>973.87433041437191</v>
      </c>
      <c r="T21" s="74">
        <v>1010.8926800744855</v>
      </c>
      <c r="U21" s="74">
        <v>999.69646355743066</v>
      </c>
      <c r="V21" s="74">
        <v>908.85411333485479</v>
      </c>
      <c r="W21" s="74">
        <v>952.95385834083231</v>
      </c>
      <c r="X21" s="74">
        <v>1043.1162906594482</v>
      </c>
      <c r="Y21" s="74">
        <v>921.92420076374981</v>
      </c>
      <c r="Z21" s="74">
        <v>847.41531599636198</v>
      </c>
      <c r="AA21" s="74">
        <v>930.88416931880863</v>
      </c>
      <c r="AB21" s="74">
        <v>943.35095774946262</v>
      </c>
      <c r="AC21" s="74">
        <v>899.08927026937124</v>
      </c>
      <c r="AD21" s="74">
        <v>899.09743788442699</v>
      </c>
      <c r="AE21" s="74">
        <v>990.62691561966642</v>
      </c>
      <c r="AF21" s="74">
        <v>1061.0937957704643</v>
      </c>
      <c r="AG21" s="74">
        <v>1045.1162247533819</v>
      </c>
      <c r="AH21" s="74">
        <v>1026.4782080631005</v>
      </c>
      <c r="AI21" s="74">
        <v>1087.5657241313295</v>
      </c>
      <c r="AJ21" s="74">
        <v>1200.610042804612</v>
      </c>
      <c r="AK21" s="74">
        <v>1170.1635072269448</v>
      </c>
      <c r="AL21" s="74">
        <v>1104.0377150002962</v>
      </c>
      <c r="AM21" s="74">
        <v>1217.0649827658847</v>
      </c>
    </row>
    <row r="22" spans="1:39" s="35" customFormat="1" ht="23.1" customHeight="1" x14ac:dyDescent="0.2">
      <c r="A22" s="115" t="s">
        <v>55</v>
      </c>
      <c r="B22" s="74">
        <v>797.28830179851252</v>
      </c>
      <c r="C22" s="74">
        <v>775.55156091806077</v>
      </c>
      <c r="D22" s="74">
        <v>794.87162632362447</v>
      </c>
      <c r="E22" s="74">
        <v>843.81452141787815</v>
      </c>
      <c r="F22" s="74">
        <v>947.22414354213799</v>
      </c>
      <c r="G22" s="74">
        <v>867.39412104573557</v>
      </c>
      <c r="H22" s="74">
        <v>863.67113088851181</v>
      </c>
      <c r="I22" s="74">
        <v>875.83582785978183</v>
      </c>
      <c r="J22" s="74">
        <v>947.31658058140169</v>
      </c>
      <c r="K22" s="74">
        <v>864.23428084239742</v>
      </c>
      <c r="L22" s="74">
        <v>855.91835875169113</v>
      </c>
      <c r="M22" s="74">
        <v>903.49026466320186</v>
      </c>
      <c r="N22" s="74">
        <v>995.90627327825666</v>
      </c>
      <c r="O22" s="74">
        <v>944.16418317039734</v>
      </c>
      <c r="P22" s="74">
        <v>832.42797456315031</v>
      </c>
      <c r="Q22" s="74">
        <v>492.71397681507949</v>
      </c>
      <c r="R22" s="74">
        <v>750.58558958294725</v>
      </c>
      <c r="S22" s="74">
        <v>767.87301116454626</v>
      </c>
      <c r="T22" s="74">
        <v>854.75135705061325</v>
      </c>
      <c r="U22" s="74">
        <v>873.82454060754935</v>
      </c>
      <c r="V22" s="74">
        <v>761.4809250295101</v>
      </c>
      <c r="W22" s="74">
        <v>886.87268735685063</v>
      </c>
      <c r="X22" s="74">
        <v>688.95007288412523</v>
      </c>
      <c r="Y22" s="74">
        <v>829.10185029007857</v>
      </c>
      <c r="Z22" s="74">
        <v>766.6063340472241</v>
      </c>
      <c r="AA22" s="74">
        <v>882.80830860017466</v>
      </c>
      <c r="AB22" s="74">
        <v>787.96953916098846</v>
      </c>
      <c r="AC22" s="74">
        <v>1121.1679170864982</v>
      </c>
      <c r="AD22" s="74">
        <v>941.96678157951862</v>
      </c>
      <c r="AE22" s="74">
        <v>866.4112219748813</v>
      </c>
      <c r="AF22" s="74">
        <v>897.61901789173066</v>
      </c>
      <c r="AG22" s="74">
        <v>1332.3742090531196</v>
      </c>
      <c r="AH22" s="74">
        <v>1064.2204362640832</v>
      </c>
      <c r="AI22" s="74">
        <v>1016.1992710600634</v>
      </c>
      <c r="AJ22" s="74">
        <v>1027.4122954787993</v>
      </c>
      <c r="AK22" s="74">
        <v>1097.1327889612346</v>
      </c>
      <c r="AL22" s="74">
        <v>1246.5694878776233</v>
      </c>
      <c r="AM22" s="74">
        <v>1177.7220650540837</v>
      </c>
    </row>
    <row r="23" spans="1:39" s="35" customFormat="1" ht="23.1" customHeight="1" x14ac:dyDescent="0.2">
      <c r="A23" s="115" t="s">
        <v>54</v>
      </c>
      <c r="B23" s="74">
        <v>494.88045067947093</v>
      </c>
      <c r="C23" s="74">
        <v>543.27083418730535</v>
      </c>
      <c r="D23" s="74">
        <v>548.40987457953383</v>
      </c>
      <c r="E23" s="74">
        <v>543.29651404093613</v>
      </c>
      <c r="F23" s="74">
        <v>566.74804679092904</v>
      </c>
      <c r="G23" s="74">
        <v>601.760251747231</v>
      </c>
      <c r="H23" s="74">
        <v>604.2423454020601</v>
      </c>
      <c r="I23" s="74">
        <v>578.91972013029022</v>
      </c>
      <c r="J23" s="74">
        <v>552.36342252062389</v>
      </c>
      <c r="K23" s="74">
        <v>545.52921370125739</v>
      </c>
      <c r="L23" s="74">
        <v>536.10911481194307</v>
      </c>
      <c r="M23" s="74">
        <v>556.92780780240628</v>
      </c>
      <c r="N23" s="74">
        <v>664.96032236517192</v>
      </c>
      <c r="O23" s="74">
        <v>710.54188882078381</v>
      </c>
      <c r="P23" s="74">
        <v>644.65457398831518</v>
      </c>
      <c r="Q23" s="74">
        <v>601.25356349217941</v>
      </c>
      <c r="R23" s="74">
        <v>672.14434573664471</v>
      </c>
      <c r="S23" s="74">
        <v>719.3868695149207</v>
      </c>
      <c r="T23" s="74">
        <v>751.79339496834621</v>
      </c>
      <c r="U23" s="74">
        <v>786.39179051602832</v>
      </c>
      <c r="V23" s="74">
        <v>768.75195580975549</v>
      </c>
      <c r="W23" s="74">
        <v>788.24526779563837</v>
      </c>
      <c r="X23" s="74">
        <v>788.57925121149276</v>
      </c>
      <c r="Y23" s="74">
        <v>800.01880420635496</v>
      </c>
      <c r="Z23" s="74">
        <v>810.36353719099679</v>
      </c>
      <c r="AA23" s="74">
        <v>829.08520952113986</v>
      </c>
      <c r="AB23" s="74">
        <v>884.20446892117502</v>
      </c>
      <c r="AC23" s="74">
        <v>946.01090497415191</v>
      </c>
      <c r="AD23" s="74">
        <v>1026.8136680167702</v>
      </c>
      <c r="AE23" s="74">
        <v>974.74836265009662</v>
      </c>
      <c r="AF23" s="74">
        <v>893.74536197528607</v>
      </c>
      <c r="AG23" s="74">
        <v>778.35298941021381</v>
      </c>
      <c r="AH23" s="74">
        <v>1037.0178042366358</v>
      </c>
      <c r="AI23" s="74">
        <v>957.53611419057813</v>
      </c>
      <c r="AJ23" s="74">
        <v>1045.1964985785601</v>
      </c>
      <c r="AK23" s="74">
        <v>881.41367418006496</v>
      </c>
      <c r="AL23" s="74">
        <v>982.39984822834981</v>
      </c>
      <c r="AM23" s="74">
        <v>997.86054028822002</v>
      </c>
    </row>
    <row r="24" spans="1:39" s="35" customFormat="1" ht="23.1" customHeight="1" x14ac:dyDescent="0.2">
      <c r="A24" s="115" t="s">
        <v>72</v>
      </c>
      <c r="B24" s="74">
        <v>719.18137451676796</v>
      </c>
      <c r="C24" s="74">
        <v>675.5665367435754</v>
      </c>
      <c r="D24" s="74">
        <v>743.03581922444778</v>
      </c>
      <c r="E24" s="74">
        <v>733.66812447115365</v>
      </c>
      <c r="F24" s="74">
        <v>748.48481153316175</v>
      </c>
      <c r="G24" s="74">
        <v>737.21910926965006</v>
      </c>
      <c r="H24" s="74">
        <v>709.02503370386944</v>
      </c>
      <c r="I24" s="74">
        <v>743.16891093031597</v>
      </c>
      <c r="J24" s="74">
        <v>779.19308627071143</v>
      </c>
      <c r="K24" s="74">
        <v>783.15159504395524</v>
      </c>
      <c r="L24" s="74">
        <v>842.14793864495584</v>
      </c>
      <c r="M24" s="74">
        <v>858.16253664223359</v>
      </c>
      <c r="N24" s="74">
        <v>932.5250508429142</v>
      </c>
      <c r="O24" s="74">
        <v>926.5386241987477</v>
      </c>
      <c r="P24" s="74">
        <v>922.55548979022933</v>
      </c>
      <c r="Q24" s="74">
        <v>794.41472579823721</v>
      </c>
      <c r="R24" s="74">
        <v>954.64192249187863</v>
      </c>
      <c r="S24" s="74">
        <v>910.82774155697052</v>
      </c>
      <c r="T24" s="74">
        <v>1016.3062182577072</v>
      </c>
      <c r="U24" s="74">
        <v>980.81810133913893</v>
      </c>
      <c r="V24" s="74">
        <v>951.84296804345252</v>
      </c>
      <c r="W24" s="74">
        <v>939.73639309715202</v>
      </c>
      <c r="X24" s="74">
        <v>1081.64878471886</v>
      </c>
      <c r="Y24" s="74">
        <v>1063.3883188324942</v>
      </c>
      <c r="Z24" s="74">
        <v>972.98678762600309</v>
      </c>
      <c r="AA24" s="74">
        <v>1078.2270156625846</v>
      </c>
      <c r="AB24" s="74">
        <v>874.31989987828138</v>
      </c>
      <c r="AC24" s="74">
        <v>1134.9334087037573</v>
      </c>
      <c r="AD24" s="74">
        <v>989.32878806738813</v>
      </c>
      <c r="AE24" s="74">
        <v>1067.9682251626521</v>
      </c>
      <c r="AF24" s="74">
        <v>924.6638270975966</v>
      </c>
      <c r="AG24" s="74">
        <v>1154.5005004850714</v>
      </c>
      <c r="AH24" s="74">
        <v>1100.2485989627025</v>
      </c>
      <c r="AI24" s="74">
        <v>1087.5195600354468</v>
      </c>
      <c r="AJ24" s="74">
        <v>982.39624979283724</v>
      </c>
      <c r="AK24" s="74">
        <v>1167.657634004659</v>
      </c>
      <c r="AL24" s="74">
        <v>1185.9539566341039</v>
      </c>
      <c r="AM24" s="74">
        <v>1170.9144014490064</v>
      </c>
    </row>
    <row r="25" spans="1:39" s="35" customFormat="1" ht="23.1" customHeight="1" x14ac:dyDescent="0.2">
      <c r="A25" s="115" t="s">
        <v>14</v>
      </c>
      <c r="B25" s="74">
        <v>1593.4065444309567</v>
      </c>
      <c r="C25" s="74">
        <v>1600.4127683284255</v>
      </c>
      <c r="D25" s="74">
        <v>1632.1101067619663</v>
      </c>
      <c r="E25" s="74">
        <v>1689.2674575451986</v>
      </c>
      <c r="F25" s="74">
        <v>1743.1422857262078</v>
      </c>
      <c r="G25" s="74">
        <v>1817.3890923041224</v>
      </c>
      <c r="H25" s="74">
        <v>1834.7881764383483</v>
      </c>
      <c r="I25" s="74">
        <v>1875.7380843646647</v>
      </c>
      <c r="J25" s="74">
        <v>1987.6581347867041</v>
      </c>
      <c r="K25" s="74">
        <v>2007.2198722743917</v>
      </c>
      <c r="L25" s="74">
        <v>2028.1004316868516</v>
      </c>
      <c r="M25" s="74">
        <v>1985.6779309421584</v>
      </c>
      <c r="N25" s="74">
        <v>2077.9734238958949</v>
      </c>
      <c r="O25" s="74">
        <v>2032.9092677651297</v>
      </c>
      <c r="P25" s="74">
        <v>2151.2884942366609</v>
      </c>
      <c r="Q25" s="74">
        <v>2157.5835166765855</v>
      </c>
      <c r="R25" s="74">
        <v>2156.2907463530228</v>
      </c>
      <c r="S25" s="74">
        <v>2161.797125108601</v>
      </c>
      <c r="T25" s="74">
        <v>2184.4351537872217</v>
      </c>
      <c r="U25" s="74">
        <v>2244.60804711423</v>
      </c>
      <c r="V25" s="74">
        <v>2303.9769499396225</v>
      </c>
      <c r="W25" s="74">
        <v>2371.6533334556475</v>
      </c>
      <c r="X25" s="74">
        <v>2399.9618796326972</v>
      </c>
      <c r="Y25" s="74">
        <v>2456.7065996832052</v>
      </c>
      <c r="Z25" s="74">
        <v>2501.9405707536516</v>
      </c>
      <c r="AA25" s="74">
        <v>2539.72896628014</v>
      </c>
      <c r="AB25" s="74">
        <v>2552.8887998796135</v>
      </c>
      <c r="AC25" s="74">
        <v>2645.3363159447476</v>
      </c>
      <c r="AD25" s="74">
        <v>2684.6060574259677</v>
      </c>
      <c r="AE25" s="74">
        <v>2751.3307219929648</v>
      </c>
      <c r="AF25" s="74">
        <v>2772.5132363677963</v>
      </c>
      <c r="AG25" s="74">
        <v>2790.4963499842975</v>
      </c>
      <c r="AH25" s="74">
        <v>2776.4510492303252</v>
      </c>
      <c r="AI25" s="74">
        <v>2834.124974448006</v>
      </c>
      <c r="AJ25" s="74">
        <v>2961.880470251001</v>
      </c>
      <c r="AK25" s="74">
        <v>2963.9416875915804</v>
      </c>
      <c r="AL25" s="74">
        <v>3003.4374382586407</v>
      </c>
      <c r="AM25" s="74">
        <v>3008.15604383454</v>
      </c>
    </row>
    <row r="26" spans="1:39" s="35" customFormat="1" ht="23.1" customHeight="1" x14ac:dyDescent="0.2">
      <c r="A26" s="115" t="s">
        <v>56</v>
      </c>
      <c r="B26" s="74">
        <v>689.75871842146535</v>
      </c>
      <c r="C26" s="74">
        <v>627.41175526687823</v>
      </c>
      <c r="D26" s="74">
        <v>486.6931430512218</v>
      </c>
      <c r="E26" s="74">
        <v>526.51123324742832</v>
      </c>
      <c r="F26" s="74">
        <v>660.70148880501449</v>
      </c>
      <c r="G26" s="74">
        <v>653.02752645097462</v>
      </c>
      <c r="H26" s="74">
        <v>568.29308154724515</v>
      </c>
      <c r="I26" s="74">
        <v>623.02338109096218</v>
      </c>
      <c r="J26" s="74">
        <v>680.92423482842923</v>
      </c>
      <c r="K26" s="74">
        <v>622.0297836546257</v>
      </c>
      <c r="L26" s="74">
        <v>625.55208370738615</v>
      </c>
      <c r="M26" s="74">
        <v>738.06521704752481</v>
      </c>
      <c r="N26" s="74">
        <v>884.05431548554509</v>
      </c>
      <c r="O26" s="74">
        <v>793.30135699051073</v>
      </c>
      <c r="P26" s="74">
        <v>465.32416621844692</v>
      </c>
      <c r="Q26" s="74">
        <v>599.43754906501795</v>
      </c>
      <c r="R26" s="74">
        <v>616.05394539315557</v>
      </c>
      <c r="S26" s="74">
        <v>734.7845117642579</v>
      </c>
      <c r="T26" s="74">
        <v>733.69232862666206</v>
      </c>
      <c r="U26" s="74">
        <v>716.44431530191844</v>
      </c>
      <c r="V26" s="74">
        <v>789.858686045382</v>
      </c>
      <c r="W26" s="74">
        <v>774.88967856892179</v>
      </c>
      <c r="X26" s="74">
        <v>655.92511595710948</v>
      </c>
      <c r="Y26" s="74">
        <v>667.96348426370503</v>
      </c>
      <c r="Z26" s="74">
        <v>1166.7696294203317</v>
      </c>
      <c r="AA26" s="74">
        <v>909.4001397941571</v>
      </c>
      <c r="AB26" s="74">
        <v>857.22834892125024</v>
      </c>
      <c r="AC26" s="74">
        <v>781.06624976937951</v>
      </c>
      <c r="AD26" s="74">
        <v>658.84499089482097</v>
      </c>
      <c r="AE26" s="74">
        <v>1316.953649054464</v>
      </c>
      <c r="AF26" s="74">
        <v>963.68444074723891</v>
      </c>
      <c r="AG26" s="74">
        <v>910.23288589251126</v>
      </c>
      <c r="AH26" s="74">
        <v>706.59633263058322</v>
      </c>
      <c r="AI26" s="74">
        <v>993.97375504076308</v>
      </c>
      <c r="AJ26" s="74">
        <v>1111.7440968492497</v>
      </c>
      <c r="AK26" s="74">
        <v>1094.1242466875215</v>
      </c>
      <c r="AL26" s="74">
        <v>764.2536050141232</v>
      </c>
      <c r="AM26" s="74">
        <v>797.94231245561048</v>
      </c>
    </row>
    <row r="27" spans="1:39" s="35" customFormat="1" ht="23.1" customHeight="1" x14ac:dyDescent="0.2">
      <c r="A27" s="115" t="s">
        <v>57</v>
      </c>
      <c r="B27" s="74">
        <v>470.80986844431681</v>
      </c>
      <c r="C27" s="74">
        <v>473.02447096626042</v>
      </c>
      <c r="D27" s="74">
        <v>474.5572954475042</v>
      </c>
      <c r="E27" s="74">
        <v>482.65233788610863</v>
      </c>
      <c r="F27" s="74">
        <v>489.97219009795941</v>
      </c>
      <c r="G27" s="74">
        <v>484.48746958790304</v>
      </c>
      <c r="H27" s="74">
        <v>495.97889979813971</v>
      </c>
      <c r="I27" s="74">
        <v>528.95649625676799</v>
      </c>
      <c r="J27" s="74">
        <v>559.54198906632882</v>
      </c>
      <c r="K27" s="74">
        <v>570.90939365517124</v>
      </c>
      <c r="L27" s="74">
        <v>589.24100371362954</v>
      </c>
      <c r="M27" s="74">
        <v>624.49284685592079</v>
      </c>
      <c r="N27" s="74">
        <v>645.213392701163</v>
      </c>
      <c r="O27" s="74">
        <v>658.25886948481764</v>
      </c>
      <c r="P27" s="74">
        <v>599.64515406550197</v>
      </c>
      <c r="Q27" s="74">
        <v>616.09823211885953</v>
      </c>
      <c r="R27" s="74">
        <v>638.48901499666999</v>
      </c>
      <c r="S27" s="74">
        <v>645.77249922266674</v>
      </c>
      <c r="T27" s="74">
        <v>647.34062041844231</v>
      </c>
      <c r="U27" s="74">
        <v>645.52047266224099</v>
      </c>
      <c r="V27" s="74">
        <v>652.41772042106572</v>
      </c>
      <c r="W27" s="74">
        <v>662.11036007639291</v>
      </c>
      <c r="X27" s="74">
        <v>664.77171610490143</v>
      </c>
      <c r="Y27" s="74">
        <v>689.15508738533185</v>
      </c>
      <c r="Z27" s="74">
        <v>773.92689839165496</v>
      </c>
      <c r="AA27" s="74">
        <v>762.78121154149733</v>
      </c>
      <c r="AB27" s="74">
        <v>800.29215792592947</v>
      </c>
      <c r="AC27" s="74">
        <v>806.16424447890415</v>
      </c>
      <c r="AD27" s="74">
        <v>776.12887084954491</v>
      </c>
      <c r="AE27" s="74">
        <v>754.28535235745471</v>
      </c>
      <c r="AF27" s="74">
        <v>853.35787574273388</v>
      </c>
      <c r="AG27" s="74">
        <v>870.17090222973479</v>
      </c>
      <c r="AH27" s="74">
        <v>796.84952335909247</v>
      </c>
      <c r="AI27" s="74">
        <v>786.74984326058268</v>
      </c>
      <c r="AJ27" s="74">
        <v>949.32457363902859</v>
      </c>
      <c r="AK27" s="74">
        <v>869.51053566493465</v>
      </c>
      <c r="AL27" s="74">
        <v>849.80831681879863</v>
      </c>
      <c r="AM27" s="74">
        <v>1088.9849531871707</v>
      </c>
    </row>
    <row r="28" spans="1:39" s="35" customFormat="1" ht="23.1" customHeight="1" x14ac:dyDescent="0.2">
      <c r="A28" s="115" t="s">
        <v>15</v>
      </c>
      <c r="B28" s="74">
        <v>622.10756005473468</v>
      </c>
      <c r="C28" s="74">
        <v>656.08391377617454</v>
      </c>
      <c r="D28" s="74">
        <v>671.46536152558781</v>
      </c>
      <c r="E28" s="74">
        <v>727.98279123562645</v>
      </c>
      <c r="F28" s="74">
        <v>749.78266889435065</v>
      </c>
      <c r="G28" s="74">
        <v>757.35038725342736</v>
      </c>
      <c r="H28" s="74">
        <v>726.59740125221697</v>
      </c>
      <c r="I28" s="74">
        <v>699.5221752437219</v>
      </c>
      <c r="J28" s="74">
        <v>756.12903587910773</v>
      </c>
      <c r="K28" s="74">
        <v>744.08972478361818</v>
      </c>
      <c r="L28" s="74">
        <v>766.22651353526135</v>
      </c>
      <c r="M28" s="74">
        <v>791.00814926948055</v>
      </c>
      <c r="N28" s="74">
        <v>864.00656522008683</v>
      </c>
      <c r="O28" s="74">
        <v>904.94422873899293</v>
      </c>
      <c r="P28" s="74">
        <v>892.5421554112761</v>
      </c>
      <c r="Q28" s="74">
        <v>891.66541067745879</v>
      </c>
      <c r="R28" s="74">
        <v>969.65450016831733</v>
      </c>
      <c r="S28" s="74">
        <v>1006.1981368614913</v>
      </c>
      <c r="T28" s="74">
        <v>1091.9076330994371</v>
      </c>
      <c r="U28" s="74">
        <v>931.36965656644861</v>
      </c>
      <c r="V28" s="74">
        <v>1026.5495118408817</v>
      </c>
      <c r="W28" s="74">
        <v>1050.8031434424565</v>
      </c>
      <c r="X28" s="74">
        <v>1043.7314872510417</v>
      </c>
      <c r="Y28" s="74">
        <v>1019.197509181911</v>
      </c>
      <c r="Z28" s="74">
        <v>1103.6321038256121</v>
      </c>
      <c r="AA28" s="74">
        <v>1103.7489245071338</v>
      </c>
      <c r="AB28" s="74">
        <v>947.50232490533449</v>
      </c>
      <c r="AC28" s="74">
        <v>1032.4462016994125</v>
      </c>
      <c r="AD28" s="74">
        <v>911.04444873427485</v>
      </c>
      <c r="AE28" s="74">
        <v>1176.6651139731721</v>
      </c>
      <c r="AF28" s="74">
        <v>1073.1794464788104</v>
      </c>
      <c r="AG28" s="74">
        <v>1310.9405322742286</v>
      </c>
      <c r="AH28" s="74">
        <v>941.0817020532379</v>
      </c>
      <c r="AI28" s="74">
        <v>1234.95641044331</v>
      </c>
      <c r="AJ28" s="74">
        <v>1144.0360715996947</v>
      </c>
      <c r="AK28" s="74">
        <v>1327.5570537468475</v>
      </c>
      <c r="AL28" s="74">
        <v>895.71411248067852</v>
      </c>
      <c r="AM28" s="74">
        <v>1337.9321285885355</v>
      </c>
    </row>
    <row r="29" spans="1:39" s="35" customFormat="1" ht="23.1" customHeight="1" x14ac:dyDescent="0.2">
      <c r="A29" s="115" t="s">
        <v>16</v>
      </c>
      <c r="B29" s="74">
        <v>1262.7644049139021</v>
      </c>
      <c r="C29" s="74">
        <v>1177.1819309052121</v>
      </c>
      <c r="D29" s="74">
        <v>1161.0949484830144</v>
      </c>
      <c r="E29" s="74">
        <v>1175.4622550892475</v>
      </c>
      <c r="F29" s="74">
        <v>1271.8285315125277</v>
      </c>
      <c r="G29" s="74">
        <v>1265.1907869883778</v>
      </c>
      <c r="H29" s="74">
        <v>1295.4424572277796</v>
      </c>
      <c r="I29" s="74">
        <v>1274.8986143615155</v>
      </c>
      <c r="J29" s="74">
        <v>1410.9429461177317</v>
      </c>
      <c r="K29" s="74">
        <v>1428.3316620991877</v>
      </c>
      <c r="L29" s="74">
        <v>1406.4601692012641</v>
      </c>
      <c r="M29" s="74">
        <v>1326.9039182304004</v>
      </c>
      <c r="N29" s="74">
        <v>1299.942933619642</v>
      </c>
      <c r="O29" s="74">
        <v>1348.56919318053</v>
      </c>
      <c r="P29" s="74">
        <v>1420.4133393112918</v>
      </c>
      <c r="Q29" s="74">
        <v>1389.6732792154992</v>
      </c>
      <c r="R29" s="74">
        <v>1140.266015449507</v>
      </c>
      <c r="S29" s="74">
        <v>1241.9525653180594</v>
      </c>
      <c r="T29" s="74">
        <v>1395.9329977842795</v>
      </c>
      <c r="U29" s="74">
        <v>1452.0120139203539</v>
      </c>
      <c r="V29" s="74">
        <v>1301.9595847607172</v>
      </c>
      <c r="W29" s="74">
        <v>1203.4466518879467</v>
      </c>
      <c r="X29" s="74">
        <v>1459.38719100769</v>
      </c>
      <c r="Y29" s="74">
        <v>1341.6418598921521</v>
      </c>
      <c r="Z29" s="74">
        <v>1476.4992859887207</v>
      </c>
      <c r="AA29" s="74">
        <v>1194.5058341980357</v>
      </c>
      <c r="AB29" s="74">
        <v>1331.6369445602052</v>
      </c>
      <c r="AC29" s="74">
        <v>1485.7404434275716</v>
      </c>
      <c r="AD29" s="74">
        <v>1626.5683128380215</v>
      </c>
      <c r="AE29" s="74">
        <v>1287.1458389514255</v>
      </c>
      <c r="AF29" s="74">
        <v>1373.0591216660828</v>
      </c>
      <c r="AG29" s="74">
        <v>1436.7573275209143</v>
      </c>
      <c r="AH29" s="74">
        <v>1582.1136434131768</v>
      </c>
      <c r="AI29" s="74">
        <v>1350.2059310058951</v>
      </c>
      <c r="AJ29" s="74">
        <v>1465.7468157334981</v>
      </c>
      <c r="AK29" s="74">
        <v>1626.2914046810108</v>
      </c>
      <c r="AL29" s="74">
        <v>1666.332589331058</v>
      </c>
      <c r="AM29" s="74">
        <v>1474.2683326571309</v>
      </c>
    </row>
    <row r="30" spans="1:39" s="35" customFormat="1" ht="23.1" customHeight="1" x14ac:dyDescent="0.2">
      <c r="A30" s="115" t="s">
        <v>58</v>
      </c>
      <c r="B30" s="74">
        <v>795.58237464049023</v>
      </c>
      <c r="C30" s="74">
        <v>797.5488012950824</v>
      </c>
      <c r="D30" s="74">
        <v>828.82403388864134</v>
      </c>
      <c r="E30" s="74">
        <v>887.80898659920979</v>
      </c>
      <c r="F30" s="74">
        <v>951.65180144422141</v>
      </c>
      <c r="G30" s="74">
        <v>978.53458743572423</v>
      </c>
      <c r="H30" s="74">
        <v>982.57413828879351</v>
      </c>
      <c r="I30" s="74">
        <v>954.56778090590853</v>
      </c>
      <c r="J30" s="74">
        <v>1046.5356565598679</v>
      </c>
      <c r="K30" s="74">
        <v>1009.6087180342506</v>
      </c>
      <c r="L30" s="74">
        <v>999.91182469370517</v>
      </c>
      <c r="M30" s="74">
        <v>1017.3272289850574</v>
      </c>
      <c r="N30" s="74">
        <v>1065.8616929671653</v>
      </c>
      <c r="O30" s="74">
        <v>1077.9567466323683</v>
      </c>
      <c r="P30" s="74">
        <v>1027.2172640244464</v>
      </c>
      <c r="Q30" s="74">
        <v>943.14959854702784</v>
      </c>
      <c r="R30" s="74">
        <v>1159.703939043264</v>
      </c>
      <c r="S30" s="74">
        <v>1140.0349653701969</v>
      </c>
      <c r="T30" s="74">
        <v>1040.6162609817368</v>
      </c>
      <c r="U30" s="74">
        <v>1064.0391211219496</v>
      </c>
      <c r="V30" s="74">
        <v>1103.2920565065604</v>
      </c>
      <c r="W30" s="74">
        <v>1340.2157274800059</v>
      </c>
      <c r="X30" s="74">
        <v>1206.1840224865573</v>
      </c>
      <c r="Y30" s="74">
        <v>1175.8966717090384</v>
      </c>
      <c r="Z30" s="74">
        <v>1228.5626138301407</v>
      </c>
      <c r="AA30" s="74">
        <v>1353.1350839569379</v>
      </c>
      <c r="AB30" s="74">
        <v>1260.4530756344684</v>
      </c>
      <c r="AC30" s="74">
        <v>1194.7142684614598</v>
      </c>
      <c r="AD30" s="74">
        <v>1143.1602756391503</v>
      </c>
      <c r="AE30" s="74">
        <v>1308.5992119564821</v>
      </c>
      <c r="AF30" s="74">
        <v>1353.2297393631327</v>
      </c>
      <c r="AG30" s="74">
        <v>1352.1463208627013</v>
      </c>
      <c r="AH30" s="74">
        <v>1230.9890712206104</v>
      </c>
      <c r="AI30" s="74">
        <v>1391.968554714387</v>
      </c>
      <c r="AJ30" s="74">
        <v>1349.7148630790696</v>
      </c>
      <c r="AK30" s="74">
        <v>1281.1538017837302</v>
      </c>
      <c r="AL30" s="74">
        <v>1282.841574744501</v>
      </c>
      <c r="AM30" s="74">
        <v>1465.992722117393</v>
      </c>
    </row>
    <row r="31" spans="1:39" s="35" customFormat="1" ht="23.1" customHeight="1" x14ac:dyDescent="0.2">
      <c r="A31" s="115" t="s">
        <v>71</v>
      </c>
      <c r="B31" s="74">
        <v>23.529963666085351</v>
      </c>
      <c r="C31" s="74">
        <v>25.139866439484098</v>
      </c>
      <c r="D31" s="74">
        <v>34.487971593576887</v>
      </c>
      <c r="E31" s="74">
        <v>47.938420470403585</v>
      </c>
      <c r="F31" s="74">
        <v>42.600408894130965</v>
      </c>
      <c r="G31" s="74">
        <v>54.701635000022776</v>
      </c>
      <c r="H31" s="74">
        <v>61.210847718420503</v>
      </c>
      <c r="I31" s="74">
        <v>58.723966551997535</v>
      </c>
      <c r="J31" s="74">
        <v>69.900472526673155</v>
      </c>
      <c r="K31" s="74">
        <v>64.229482741491722</v>
      </c>
      <c r="L31" s="74">
        <v>69.872224772909519</v>
      </c>
      <c r="M31" s="74">
        <v>61.210509597545872</v>
      </c>
      <c r="N31" s="74">
        <v>68.802654216223431</v>
      </c>
      <c r="O31" s="74">
        <v>65.283691646480392</v>
      </c>
      <c r="P31" s="74">
        <v>64.511884973492755</v>
      </c>
      <c r="Q31" s="74">
        <v>45.10838720109922</v>
      </c>
      <c r="R31" s="74">
        <v>50.878761740939446</v>
      </c>
      <c r="S31" s="74">
        <v>50.763307481111731</v>
      </c>
      <c r="T31" s="74">
        <v>51.9146091153073</v>
      </c>
      <c r="U31" s="74">
        <v>56.832852380757487</v>
      </c>
      <c r="V31" s="74">
        <v>64.786263965160032</v>
      </c>
      <c r="W31" s="74">
        <v>49.084135731340176</v>
      </c>
      <c r="X31" s="74">
        <v>45.466031590075609</v>
      </c>
      <c r="Y31" s="74">
        <v>46.476711082960279</v>
      </c>
      <c r="Z31" s="74">
        <v>43.971354721318797</v>
      </c>
      <c r="AA31" s="74">
        <v>47.885843038388501</v>
      </c>
      <c r="AB31" s="74">
        <v>59.802109496325834</v>
      </c>
      <c r="AC31" s="74">
        <v>62.674774067827101</v>
      </c>
      <c r="AD31" s="74">
        <v>71.074552790136252</v>
      </c>
      <c r="AE31" s="74">
        <v>43.396551761688563</v>
      </c>
      <c r="AF31" s="74">
        <v>64.611947035212197</v>
      </c>
      <c r="AG31" s="74">
        <v>52.351606372785348</v>
      </c>
      <c r="AH31" s="74">
        <v>73.444892441371906</v>
      </c>
      <c r="AI31" s="74">
        <v>48.226391486309105</v>
      </c>
      <c r="AJ31" s="74">
        <v>67.768417371942832</v>
      </c>
      <c r="AK31" s="74">
        <v>45.645730003138134</v>
      </c>
      <c r="AL31" s="74">
        <v>73.163227865112859</v>
      </c>
      <c r="AM31" s="74">
        <v>48.134456610039209</v>
      </c>
    </row>
    <row r="32" spans="1:39" s="35" customFormat="1" ht="23.1" customHeight="1" x14ac:dyDescent="0.2">
      <c r="A32" s="115" t="s">
        <v>17</v>
      </c>
      <c r="B32" s="74">
        <v>765.14872574255958</v>
      </c>
      <c r="C32" s="74">
        <v>749.38331394234365</v>
      </c>
      <c r="D32" s="74">
        <v>742.20571423866966</v>
      </c>
      <c r="E32" s="74">
        <v>726.79950325515085</v>
      </c>
      <c r="F32" s="74">
        <v>734.22014635956987</v>
      </c>
      <c r="G32" s="74">
        <v>737.32273582074606</v>
      </c>
      <c r="H32" s="74">
        <v>736.7168847191648</v>
      </c>
      <c r="I32" s="74">
        <v>736.11098208462124</v>
      </c>
      <c r="J32" s="74">
        <v>764.40279842052087</v>
      </c>
      <c r="K32" s="74">
        <v>772.90951024240826</v>
      </c>
      <c r="L32" s="74">
        <v>771.16594814534722</v>
      </c>
      <c r="M32" s="74">
        <v>774.19156040938299</v>
      </c>
      <c r="N32" s="74">
        <v>783.52470217241046</v>
      </c>
      <c r="O32" s="74">
        <v>784.52660584538989</v>
      </c>
      <c r="P32" s="74">
        <v>778.27840433102313</v>
      </c>
      <c r="Q32" s="74">
        <v>780.26925451064483</v>
      </c>
      <c r="R32" s="74">
        <v>790.90127146890438</v>
      </c>
      <c r="S32" s="74">
        <v>800.97532528897239</v>
      </c>
      <c r="T32" s="74">
        <v>807.25490328615865</v>
      </c>
      <c r="U32" s="74">
        <v>819.57875256557782</v>
      </c>
      <c r="V32" s="74">
        <v>836.1540490276077</v>
      </c>
      <c r="W32" s="74">
        <v>842.58559960805576</v>
      </c>
      <c r="X32" s="74">
        <v>839.89139658274064</v>
      </c>
      <c r="Y32" s="74">
        <v>853.95522525482318</v>
      </c>
      <c r="Z32" s="74">
        <v>862.2564554852687</v>
      </c>
      <c r="AA32" s="74">
        <v>866.23763298585561</v>
      </c>
      <c r="AB32" s="74">
        <v>861.085847260278</v>
      </c>
      <c r="AC32" s="74">
        <v>864.5437319583225</v>
      </c>
      <c r="AD32" s="74">
        <v>880.43574814374267</v>
      </c>
      <c r="AE32" s="74">
        <v>1009.3632394728503</v>
      </c>
      <c r="AF32" s="74">
        <v>882.2295878832731</v>
      </c>
      <c r="AG32" s="74">
        <v>773.10835223686547</v>
      </c>
      <c r="AH32" s="74">
        <v>893.7428843479654</v>
      </c>
      <c r="AI32" s="74">
        <v>897.84578057681904</v>
      </c>
      <c r="AJ32" s="74">
        <v>883.90585782321898</v>
      </c>
      <c r="AK32" s="74">
        <v>903.50210075848361</v>
      </c>
      <c r="AL32" s="74">
        <v>917.21411591444144</v>
      </c>
      <c r="AM32" s="74">
        <v>811.21898407732567</v>
      </c>
    </row>
    <row r="33" spans="1:39" s="35" customFormat="1" ht="23.1" customHeight="1" x14ac:dyDescent="0.2">
      <c r="A33" s="115" t="s">
        <v>59</v>
      </c>
      <c r="B33" s="74">
        <v>220.43436866681935</v>
      </c>
      <c r="C33" s="74">
        <v>222.05653279124749</v>
      </c>
      <c r="D33" s="74">
        <v>223.64729847521164</v>
      </c>
      <c r="E33" s="74">
        <v>225.21208045798932</v>
      </c>
      <c r="F33" s="74">
        <v>226.75658413589358</v>
      </c>
      <c r="G33" s="74">
        <v>228.31580229857758</v>
      </c>
      <c r="H33" s="74">
        <v>229.88330853783248</v>
      </c>
      <c r="I33" s="74">
        <v>231.46596322990712</v>
      </c>
      <c r="J33" s="74">
        <v>233.07032736476614</v>
      </c>
      <c r="K33" s="74">
        <v>234.68168200785547</v>
      </c>
      <c r="L33" s="74">
        <v>236.29336809831105</v>
      </c>
      <c r="M33" s="74">
        <v>237.91140657109389</v>
      </c>
      <c r="N33" s="74">
        <v>239.54242236449258</v>
      </c>
      <c r="O33" s="74">
        <v>241.17510241856166</v>
      </c>
      <c r="P33" s="74">
        <v>242.80325525168178</v>
      </c>
      <c r="Q33" s="74">
        <v>244.43246252166256</v>
      </c>
      <c r="R33" s="74">
        <v>246.06920824298464</v>
      </c>
      <c r="S33" s="74">
        <v>247.72054954159748</v>
      </c>
      <c r="T33" s="74">
        <v>249.4439638699495</v>
      </c>
      <c r="U33" s="74">
        <v>251.18214279942876</v>
      </c>
      <c r="V33" s="74">
        <v>252.87800957076306</v>
      </c>
      <c r="W33" s="74">
        <v>254.57335244600054</v>
      </c>
      <c r="X33" s="74">
        <v>256.32765210179963</v>
      </c>
      <c r="Y33" s="74">
        <v>258.08109321815465</v>
      </c>
      <c r="Z33" s="74">
        <v>259.77440560020614</v>
      </c>
      <c r="AA33" s="74">
        <v>261.48299115167907</v>
      </c>
      <c r="AB33" s="74">
        <v>263.33539744018924</v>
      </c>
      <c r="AC33" s="74">
        <v>265.20368079525139</v>
      </c>
      <c r="AD33" s="74">
        <v>266.95972967669434</v>
      </c>
      <c r="AE33" s="74">
        <v>268.71539554273738</v>
      </c>
      <c r="AF33" s="74">
        <v>270.60322794450548</v>
      </c>
      <c r="AG33" s="74">
        <v>272.49077850242827</v>
      </c>
      <c r="AH33" s="74">
        <v>274.24576023581909</v>
      </c>
      <c r="AI33" s="74">
        <v>276.01331667858585</v>
      </c>
      <c r="AJ33" s="74">
        <v>278.00070383759828</v>
      </c>
      <c r="AK33" s="74">
        <v>280.00153957696159</v>
      </c>
      <c r="AL33" s="74">
        <v>281.80886195134985</v>
      </c>
      <c r="AM33" s="74">
        <v>281.80886195134985</v>
      </c>
    </row>
    <row r="34" spans="1:39" s="35" customFormat="1" ht="18" customHeight="1" x14ac:dyDescent="0.2">
      <c r="A34" s="11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208"/>
      <c r="AE34" s="208"/>
      <c r="AF34" s="208"/>
      <c r="AG34" s="208"/>
      <c r="AH34" s="208"/>
      <c r="AI34" s="208"/>
      <c r="AJ34" s="208"/>
      <c r="AK34" s="208"/>
      <c r="AL34" s="208"/>
      <c r="AM34" s="208"/>
    </row>
    <row r="35" spans="1:39" s="123" customFormat="1" ht="18" customHeight="1" x14ac:dyDescent="0.2">
      <c r="A35" s="137" t="s">
        <v>95</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6"/>
      <c r="AF35" s="76"/>
      <c r="AG35" s="76"/>
      <c r="AH35" s="76"/>
      <c r="AI35" s="76"/>
      <c r="AJ35" s="76"/>
      <c r="AK35" s="76"/>
      <c r="AL35" s="76"/>
      <c r="AM35" s="76"/>
    </row>
    <row r="36" spans="1:39" s="43" customFormat="1" ht="18" customHeight="1" thickBot="1" x14ac:dyDescent="0.25">
      <c r="A36" s="117" t="s">
        <v>19</v>
      </c>
      <c r="B36" s="118">
        <v>1858.426096894676</v>
      </c>
      <c r="C36" s="118">
        <v>1817.852797092595</v>
      </c>
      <c r="D36" s="118">
        <v>1948.6611001624249</v>
      </c>
      <c r="E36" s="118">
        <v>2005.6909657910007</v>
      </c>
      <c r="F36" s="118">
        <v>1991.2743846634435</v>
      </c>
      <c r="G36" s="118">
        <v>2007.888654326028</v>
      </c>
      <c r="H36" s="118">
        <v>1935.7402889909526</v>
      </c>
      <c r="I36" s="118">
        <v>2033.1747163034834</v>
      </c>
      <c r="J36" s="118">
        <v>1979.1119341285128</v>
      </c>
      <c r="K36" s="118">
        <v>2073.2514194712935</v>
      </c>
      <c r="L36" s="118">
        <v>2129.3770271609219</v>
      </c>
      <c r="M36" s="118">
        <v>2135.73786759631</v>
      </c>
      <c r="N36" s="118">
        <v>2197.3365497111954</v>
      </c>
      <c r="O36" s="118">
        <v>2270.952404604016</v>
      </c>
      <c r="P36" s="118">
        <v>2114.9878040533677</v>
      </c>
      <c r="Q36" s="118">
        <v>1601.8520642253891</v>
      </c>
      <c r="R36" s="118">
        <v>2123.543668529685</v>
      </c>
      <c r="S36" s="118">
        <v>2166.7042631913482</v>
      </c>
      <c r="T36" s="118">
        <v>2039.8093309693538</v>
      </c>
      <c r="U36" s="118">
        <v>2366.5979555492459</v>
      </c>
      <c r="V36" s="118">
        <v>2087.3236969894551</v>
      </c>
      <c r="W36" s="118">
        <v>2349.869098925451</v>
      </c>
      <c r="X36" s="118">
        <v>2484.8950450599659</v>
      </c>
      <c r="Y36" s="118">
        <v>2428.7012046827754</v>
      </c>
      <c r="Z36" s="118">
        <v>2459.0040764939167</v>
      </c>
      <c r="AA36" s="118">
        <v>2470.6616724029691</v>
      </c>
      <c r="AB36" s="118">
        <v>2587.0261039666907</v>
      </c>
      <c r="AC36" s="118">
        <v>2698.9014571948919</v>
      </c>
      <c r="AD36" s="118">
        <v>2801.1416009942659</v>
      </c>
      <c r="AE36" s="118">
        <v>2642.3794196940421</v>
      </c>
      <c r="AF36" s="118">
        <v>2764.0557850044793</v>
      </c>
      <c r="AG36" s="118">
        <v>2801.4262169166136</v>
      </c>
      <c r="AH36" s="118">
        <v>3096.8575290462354</v>
      </c>
      <c r="AI36" s="118">
        <v>2889.5254690216975</v>
      </c>
      <c r="AJ36" s="118">
        <v>2914.9593931039526</v>
      </c>
      <c r="AK36" s="118">
        <v>3024.8849045407346</v>
      </c>
      <c r="AL36" s="118">
        <v>3200.5563556495504</v>
      </c>
      <c r="AM36" s="118">
        <v>3095.8858341742171</v>
      </c>
    </row>
    <row r="37" spans="1:39" ht="15" customHeight="1" x14ac:dyDescent="0.2">
      <c r="A37" s="13" t="s">
        <v>50</v>
      </c>
      <c r="R37" s="119"/>
      <c r="S37" s="119"/>
      <c r="T37" s="119"/>
      <c r="U37" s="119"/>
      <c r="V37" s="119"/>
      <c r="W37" s="119"/>
      <c r="X37" s="119"/>
      <c r="Y37" s="119"/>
      <c r="Z37" s="119"/>
      <c r="AA37" s="119"/>
    </row>
  </sheetData>
  <mergeCells count="10">
    <mergeCell ref="F3:I3"/>
    <mergeCell ref="V3:Y3"/>
    <mergeCell ref="B3:E3"/>
    <mergeCell ref="R3:T3"/>
    <mergeCell ref="N3:Q3"/>
    <mergeCell ref="J3:M3"/>
    <mergeCell ref="AD3:AG3"/>
    <mergeCell ref="AL3:AM3"/>
    <mergeCell ref="AH3:AK3"/>
    <mergeCell ref="Z3:AC3"/>
  </mergeCells>
  <phoneticPr fontId="29" type="noConversion"/>
  <pageMargins left="0.11811023622047245" right="0" top="0.51181102362204722" bottom="0" header="0" footer="0"/>
  <pageSetup paperSize="9" scale="44"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3">
    <pageSetUpPr fitToPage="1"/>
  </sheetPr>
  <dimension ref="A1:AM37"/>
  <sheetViews>
    <sheetView showGridLines="0" view="pageBreakPreview" zoomScale="110" zoomScaleNormal="100" zoomScaleSheetLayoutView="110" workbookViewId="0">
      <pane xSplit="1" ySplit="4" topLeftCell="B5" activePane="bottomRight" state="frozen"/>
      <selection activeCell="BS41" sqref="BS41"/>
      <selection pane="topRight" activeCell="BS41" sqref="BS41"/>
      <selection pane="bottomLeft" activeCell="BS41" sqref="BS41"/>
      <selection pane="bottomRight" activeCell="G17" sqref="G17"/>
    </sheetView>
  </sheetViews>
  <sheetFormatPr defaultColWidth="9.140625" defaultRowHeight="11.25" x14ac:dyDescent="0.2"/>
  <cols>
    <col min="1" max="1" width="26.28515625" style="35" customWidth="1"/>
    <col min="2" max="2" width="7.140625" style="35" customWidth="1"/>
    <col min="3" max="3" width="5.42578125" style="35" customWidth="1"/>
    <col min="4" max="4" width="6.140625" style="35" customWidth="1"/>
    <col min="5" max="5" width="5.5703125" style="35" customWidth="1"/>
    <col min="6" max="7" width="6.140625" style="35" customWidth="1"/>
    <col min="8" max="8" width="6.140625" style="110" customWidth="1"/>
    <col min="9" max="9" width="6" style="110" customWidth="1"/>
    <col min="10" max="11" width="6.42578125" style="110" customWidth="1"/>
    <col min="12" max="12" width="6.5703125" style="110" customWidth="1"/>
    <col min="13" max="13" width="6.5703125" style="35" customWidth="1"/>
    <col min="14" max="14" width="6.42578125" style="110" customWidth="1"/>
    <col min="15" max="15" width="6.140625" style="110" customWidth="1"/>
    <col min="16" max="16" width="6.28515625" style="35" customWidth="1"/>
    <col min="17" max="17" width="6.5703125" style="35" customWidth="1"/>
    <col min="18" max="18" width="6.140625" style="35" customWidth="1"/>
    <col min="19" max="19" width="5.5703125" style="35" customWidth="1"/>
    <col min="20" max="20" width="5.85546875" style="35" customWidth="1"/>
    <col min="21" max="21" width="7.140625" style="35" customWidth="1"/>
    <col min="22" max="22" width="6.7109375" style="35" customWidth="1"/>
    <col min="23" max="25" width="6" style="35" customWidth="1"/>
    <col min="26" max="27" width="6.28515625" style="35" customWidth="1"/>
    <col min="28" max="28" width="5.7109375" style="35" customWidth="1"/>
    <col min="29" max="29" width="5.28515625" style="35" customWidth="1"/>
    <col min="30" max="30" width="6.140625" style="35" customWidth="1"/>
    <col min="31" max="31" width="5.7109375" style="35" customWidth="1"/>
    <col min="32" max="32" width="5.28515625" style="35" customWidth="1"/>
    <col min="33" max="33" width="5" style="35" customWidth="1"/>
    <col min="34" max="35" width="4.5703125" style="35" bestFit="1" customWidth="1"/>
    <col min="36" max="36" width="5.5703125" style="35" customWidth="1"/>
    <col min="37" max="37" width="4.7109375" style="35" customWidth="1"/>
    <col min="38" max="38" width="5.85546875" style="35" customWidth="1"/>
    <col min="39" max="16384" width="9.140625" style="35"/>
  </cols>
  <sheetData>
    <row r="1" spans="1:39" s="87" customFormat="1" ht="15.75" customHeight="1" x14ac:dyDescent="0.2">
      <c r="A1" s="31" t="s">
        <v>171</v>
      </c>
      <c r="B1" s="31"/>
      <c r="H1" s="109"/>
      <c r="I1" s="109"/>
      <c r="J1" s="109"/>
      <c r="K1" s="109"/>
      <c r="L1" s="109"/>
      <c r="N1" s="109"/>
      <c r="O1" s="109"/>
    </row>
    <row r="2" spans="1:39" ht="2.25" customHeight="1" thickBot="1" x14ac:dyDescent="0.25"/>
    <row r="3" spans="1:39" s="81" customFormat="1" ht="12" customHeight="1" x14ac:dyDescent="0.2">
      <c r="A3" s="120"/>
      <c r="B3" s="211" t="s">
        <v>80</v>
      </c>
      <c r="C3" s="211"/>
      <c r="D3" s="211"/>
      <c r="E3" s="211"/>
      <c r="F3" s="211" t="s">
        <v>92</v>
      </c>
      <c r="G3" s="211"/>
      <c r="H3" s="211"/>
      <c r="I3" s="211"/>
      <c r="J3" s="211" t="s">
        <v>134</v>
      </c>
      <c r="K3" s="211"/>
      <c r="L3" s="211"/>
      <c r="M3" s="211"/>
      <c r="N3" s="211" t="s">
        <v>136</v>
      </c>
      <c r="O3" s="211"/>
      <c r="P3" s="211"/>
      <c r="Q3" s="211"/>
      <c r="R3" s="211" t="s">
        <v>137</v>
      </c>
      <c r="S3" s="211"/>
      <c r="T3" s="211"/>
      <c r="U3" s="211"/>
      <c r="V3" s="215" t="s">
        <v>138</v>
      </c>
      <c r="W3" s="215"/>
      <c r="X3" s="215"/>
      <c r="Y3" s="215"/>
      <c r="Z3" s="215" t="s">
        <v>139</v>
      </c>
      <c r="AA3" s="215"/>
      <c r="AB3" s="215"/>
      <c r="AC3" s="215"/>
      <c r="AD3" s="215" t="s">
        <v>140</v>
      </c>
      <c r="AE3" s="215"/>
      <c r="AF3" s="215"/>
      <c r="AG3" s="215"/>
      <c r="AH3" s="215" t="s">
        <v>166</v>
      </c>
      <c r="AI3" s="215"/>
      <c r="AJ3" s="215"/>
      <c r="AK3" s="215"/>
      <c r="AL3" s="215" t="s">
        <v>167</v>
      </c>
      <c r="AM3" s="215"/>
    </row>
    <row r="4" spans="1:39" s="123" customFormat="1" x14ac:dyDescent="0.2">
      <c r="A4" s="83"/>
      <c r="B4" s="84" t="s">
        <v>46</v>
      </c>
      <c r="C4" s="84" t="s">
        <v>47</v>
      </c>
      <c r="D4" s="84" t="s">
        <v>48</v>
      </c>
      <c r="E4" s="84" t="s">
        <v>49</v>
      </c>
      <c r="F4" s="84" t="s">
        <v>46</v>
      </c>
      <c r="G4" s="84" t="s">
        <v>47</v>
      </c>
      <c r="H4" s="84" t="s">
        <v>48</v>
      </c>
      <c r="I4" s="84" t="s">
        <v>49</v>
      </c>
      <c r="J4" s="84" t="s">
        <v>46</v>
      </c>
      <c r="K4" s="84" t="s">
        <v>47</v>
      </c>
      <c r="L4" s="84" t="s">
        <v>48</v>
      </c>
      <c r="M4" s="84" t="s">
        <v>49</v>
      </c>
      <c r="N4" s="84" t="s">
        <v>46</v>
      </c>
      <c r="O4" s="84" t="s">
        <v>47</v>
      </c>
      <c r="P4" s="84" t="s">
        <v>48</v>
      </c>
      <c r="Q4" s="84" t="s">
        <v>49</v>
      </c>
      <c r="R4" s="84" t="s">
        <v>46</v>
      </c>
      <c r="S4" s="84" t="s">
        <v>47</v>
      </c>
      <c r="T4" s="84" t="s">
        <v>48</v>
      </c>
      <c r="U4" s="84" t="s">
        <v>49</v>
      </c>
      <c r="V4" s="84" t="s">
        <v>46</v>
      </c>
      <c r="W4" s="84" t="s">
        <v>47</v>
      </c>
      <c r="X4" s="84" t="s">
        <v>48</v>
      </c>
      <c r="Y4" s="84" t="s">
        <v>49</v>
      </c>
      <c r="Z4" s="84" t="s">
        <v>46</v>
      </c>
      <c r="AA4" s="84" t="s">
        <v>47</v>
      </c>
      <c r="AB4" s="84" t="s">
        <v>48</v>
      </c>
      <c r="AC4" s="84" t="s">
        <v>49</v>
      </c>
      <c r="AD4" s="84" t="s">
        <v>46</v>
      </c>
      <c r="AE4" s="84" t="s">
        <v>47</v>
      </c>
      <c r="AF4" s="84" t="s">
        <v>48</v>
      </c>
      <c r="AG4" s="84" t="s">
        <v>49</v>
      </c>
      <c r="AH4" s="84" t="s">
        <v>46</v>
      </c>
      <c r="AI4" s="84" t="s">
        <v>47</v>
      </c>
      <c r="AJ4" s="84" t="s">
        <v>48</v>
      </c>
      <c r="AK4" s="84" t="s">
        <v>49</v>
      </c>
      <c r="AL4" s="84" t="s">
        <v>46</v>
      </c>
      <c r="AM4" s="84" t="s">
        <v>47</v>
      </c>
    </row>
    <row r="5" spans="1:39" s="37" customFormat="1" ht="18" customHeight="1" x14ac:dyDescent="0.2">
      <c r="A5" s="39" t="s">
        <v>97</v>
      </c>
      <c r="B5" s="99">
        <v>-0.26122599349414077</v>
      </c>
      <c r="C5" s="99">
        <v>0.50756396361286704</v>
      </c>
      <c r="D5" s="99">
        <v>6.7464548438344707</v>
      </c>
      <c r="E5" s="99">
        <v>6.1811726662669653</v>
      </c>
      <c r="F5" s="99">
        <v>7.680899838187849</v>
      </c>
      <c r="G5" s="99">
        <v>6.4828574170991526</v>
      </c>
      <c r="H5" s="99">
        <v>5.3854548516732992</v>
      </c>
      <c r="I5" s="99">
        <v>5.5652552026089541</v>
      </c>
      <c r="J5" s="99">
        <v>5.5745218290362164</v>
      </c>
      <c r="K5" s="99">
        <v>5.7290793971742193</v>
      </c>
      <c r="L5" s="99">
        <v>7.6659988765000353</v>
      </c>
      <c r="M5" s="99">
        <v>6.8851035225670376</v>
      </c>
      <c r="N5" s="99">
        <v>7.5602194202029516</v>
      </c>
      <c r="O5" s="99">
        <v>8.3709675178608389</v>
      </c>
      <c r="P5" s="99">
        <v>1.1985158163788201</v>
      </c>
      <c r="Q5" s="99">
        <v>-5.5516964673997364</v>
      </c>
      <c r="R5" s="99">
        <v>-0.40309239402191999</v>
      </c>
      <c r="S5" s="99">
        <v>3.249573690178309E-2</v>
      </c>
      <c r="T5" s="99">
        <v>2.8043450225728961</v>
      </c>
      <c r="U5" s="99">
        <v>13.009860656729334</v>
      </c>
      <c r="V5" s="99">
        <v>2.3547240160596283</v>
      </c>
      <c r="W5" s="99">
        <v>4.7648514346921855</v>
      </c>
      <c r="X5" s="99">
        <v>5.6227188954377949</v>
      </c>
      <c r="Y5" s="99">
        <v>5.8119710085462239</v>
      </c>
      <c r="Z5" s="99">
        <v>8.7705981453641826</v>
      </c>
      <c r="AA5" s="99">
        <v>4.3131379207032028</v>
      </c>
      <c r="AB5" s="99">
        <v>2.2299522773682856</v>
      </c>
      <c r="AC5" s="99">
        <v>5.747511173271791</v>
      </c>
      <c r="AD5" s="99">
        <v>5.9910475756172588</v>
      </c>
      <c r="AE5" s="99">
        <v>5.7824205334947809</v>
      </c>
      <c r="AF5" s="99">
        <v>6.8245767569395266</v>
      </c>
      <c r="AG5" s="99">
        <v>5.6851103803429615</v>
      </c>
      <c r="AH5" s="99">
        <v>6.1794064037050678</v>
      </c>
      <c r="AI5" s="99">
        <v>5.3634777034342385</v>
      </c>
      <c r="AJ5" s="99">
        <v>8.3943389671000901</v>
      </c>
      <c r="AK5" s="99">
        <v>5.5263248039615354</v>
      </c>
      <c r="AL5" s="99">
        <v>4.845791895303142</v>
      </c>
      <c r="AM5" s="99">
        <v>8.4581777204844943</v>
      </c>
    </row>
    <row r="6" spans="1:39" s="121" customFormat="1" ht="17.100000000000001" customHeight="1" x14ac:dyDescent="0.2">
      <c r="A6" s="133" t="s">
        <v>96</v>
      </c>
      <c r="B6" s="139">
        <v>1.1733408264864575</v>
      </c>
      <c r="C6" s="140">
        <v>3.2296506496494182</v>
      </c>
      <c r="D6" s="139">
        <v>1.0636812340840684</v>
      </c>
      <c r="E6" s="139">
        <v>6.0861995034416916</v>
      </c>
      <c r="F6" s="139">
        <v>9.6271373131021853</v>
      </c>
      <c r="G6" s="139">
        <v>1.4567401018605208</v>
      </c>
      <c r="H6" s="139">
        <v>2.5331515047964492</v>
      </c>
      <c r="I6" s="139">
        <v>2.0288347464102685</v>
      </c>
      <c r="J6" s="139">
        <v>2.1728309573495252</v>
      </c>
      <c r="K6" s="139">
        <v>4.0142916889432279</v>
      </c>
      <c r="L6" s="139">
        <v>8.0105649820064073</v>
      </c>
      <c r="M6" s="139">
        <v>8.7388102072792009</v>
      </c>
      <c r="N6" s="139">
        <v>6.0482714418092609</v>
      </c>
      <c r="O6" s="139">
        <v>7.6423041058843788</v>
      </c>
      <c r="P6" s="139">
        <v>-1.293855933966559</v>
      </c>
      <c r="Q6" s="139">
        <v>5.8976314563911281</v>
      </c>
      <c r="R6" s="139">
        <v>6.9495695961573345</v>
      </c>
      <c r="S6" s="139">
        <v>7.762298433045256</v>
      </c>
      <c r="T6" s="139">
        <v>0.27724211074007243</v>
      </c>
      <c r="U6" s="139">
        <v>0.72534794552308046</v>
      </c>
      <c r="V6" s="139">
        <v>4.3827359686343659</v>
      </c>
      <c r="W6" s="139">
        <v>-1.9940967107842655</v>
      </c>
      <c r="X6" s="139">
        <v>4.1826801775161515</v>
      </c>
      <c r="Y6" s="139">
        <v>10.386735663447233</v>
      </c>
      <c r="Z6" s="139">
        <v>4.360614458889045</v>
      </c>
      <c r="AA6" s="139">
        <v>11.82045003135026</v>
      </c>
      <c r="AB6" s="139">
        <v>5.4187896635948585</v>
      </c>
      <c r="AC6" s="139">
        <v>-2.7565253173958748</v>
      </c>
      <c r="AD6" s="139">
        <v>5.6546920383401256</v>
      </c>
      <c r="AE6" s="139">
        <v>2.0542364080081699</v>
      </c>
      <c r="AF6" s="139">
        <v>4.0433084994440316</v>
      </c>
      <c r="AG6" s="139">
        <v>10.576270358409779</v>
      </c>
      <c r="AH6" s="139">
        <v>6.331647981826416</v>
      </c>
      <c r="AI6" s="139">
        <v>7.7962920336269725</v>
      </c>
      <c r="AJ6" s="139">
        <v>10.306568787292658</v>
      </c>
      <c r="AK6" s="139">
        <v>3.4652178662333943</v>
      </c>
      <c r="AL6" s="139">
        <v>3.0713610747832076</v>
      </c>
      <c r="AM6" s="139">
        <v>8.7713266407066328</v>
      </c>
    </row>
    <row r="7" spans="1:39" ht="17.100000000000001" customHeight="1" x14ac:dyDescent="0.2">
      <c r="A7" s="72" t="s">
        <v>1</v>
      </c>
      <c r="B7" s="70">
        <v>-16.007926529556858</v>
      </c>
      <c r="C7" s="70">
        <v>23.751210507270869</v>
      </c>
      <c r="D7" s="70">
        <v>12.020404395046501</v>
      </c>
      <c r="E7" s="70">
        <v>19.986915771371748</v>
      </c>
      <c r="F7" s="70">
        <v>41.223752182287974</v>
      </c>
      <c r="G7" s="70">
        <v>-4.0493175628547151</v>
      </c>
      <c r="H7" s="70">
        <v>2.0541554281763297</v>
      </c>
      <c r="I7" s="70">
        <v>-7.7408986791219654</v>
      </c>
      <c r="J7" s="70">
        <v>-0.45776578451774963</v>
      </c>
      <c r="K7" s="70">
        <v>6.5620953758326994</v>
      </c>
      <c r="L7" s="70">
        <v>2.3653500323836507</v>
      </c>
      <c r="M7" s="70">
        <v>13.169991445414485</v>
      </c>
      <c r="N7" s="70">
        <v>2.5118452842361805</v>
      </c>
      <c r="O7" s="70">
        <v>8.9502677290774777</v>
      </c>
      <c r="P7" s="70">
        <v>17.414019862641151</v>
      </c>
      <c r="Q7" s="70">
        <v>-0.5222795430284588</v>
      </c>
      <c r="R7" s="70">
        <v>7.7596193533016056</v>
      </c>
      <c r="S7" s="70">
        <v>11.49903314560965</v>
      </c>
      <c r="T7" s="70">
        <v>11.334926743936013</v>
      </c>
      <c r="U7" s="70">
        <v>21.942714048533229</v>
      </c>
      <c r="V7" s="70">
        <v>23.374181675571236</v>
      </c>
      <c r="W7" s="70">
        <v>4.9990052722519218</v>
      </c>
      <c r="X7" s="70">
        <v>-3.8321506187506293</v>
      </c>
      <c r="Y7" s="70">
        <v>0.65915565945326993</v>
      </c>
      <c r="Z7" s="70">
        <v>0.40699140403406275</v>
      </c>
      <c r="AA7" s="70">
        <v>-5.2810113995001799</v>
      </c>
      <c r="AB7" s="70">
        <v>7.950339721035049</v>
      </c>
      <c r="AC7" s="70">
        <v>-0.95714691091391968</v>
      </c>
      <c r="AD7" s="70">
        <v>6.3753418122783678</v>
      </c>
      <c r="AE7" s="70">
        <v>15.358234742395149</v>
      </c>
      <c r="AF7" s="70">
        <v>16.130520126001848</v>
      </c>
      <c r="AG7" s="70">
        <v>10.449158028985405</v>
      </c>
      <c r="AH7" s="70">
        <v>16.478630283919916</v>
      </c>
      <c r="AI7" s="70">
        <v>9.5727555532231889</v>
      </c>
      <c r="AJ7" s="70">
        <v>8.9549760320974734</v>
      </c>
      <c r="AK7" s="70">
        <v>10.713983590071452</v>
      </c>
      <c r="AL7" s="70">
        <v>7.038993205442412</v>
      </c>
      <c r="AM7" s="70">
        <v>12.569546728244951</v>
      </c>
    </row>
    <row r="8" spans="1:39" ht="17.100000000000001" customHeight="1" x14ac:dyDescent="0.2">
      <c r="A8" s="72" t="s">
        <v>2</v>
      </c>
      <c r="B8" s="70">
        <v>1.7376880568293007</v>
      </c>
      <c r="C8" s="70">
        <v>-3.4995387365084007</v>
      </c>
      <c r="D8" s="70">
        <v>6.182164436435067</v>
      </c>
      <c r="E8" s="70">
        <v>6.4109611746215656</v>
      </c>
      <c r="F8" s="70">
        <v>11.752214319592969</v>
      </c>
      <c r="G8" s="70">
        <v>7.8612466091963373</v>
      </c>
      <c r="H8" s="70">
        <v>8.5788369944173937</v>
      </c>
      <c r="I8" s="70">
        <v>3.8036746463317783</v>
      </c>
      <c r="J8" s="70">
        <v>0.72483173225124098</v>
      </c>
      <c r="K8" s="70">
        <v>-2.1501749292723304</v>
      </c>
      <c r="L8" s="70">
        <v>3.5348213484316604</v>
      </c>
      <c r="M8" s="70">
        <v>5.5179991327505507</v>
      </c>
      <c r="N8" s="70">
        <v>4.841920887179918</v>
      </c>
      <c r="O8" s="70">
        <v>8.5211992193974453</v>
      </c>
      <c r="P8" s="70">
        <v>-11.292645745137253</v>
      </c>
      <c r="Q8" s="70">
        <v>12.370584314433941</v>
      </c>
      <c r="R8" s="70">
        <v>10.546839575097477</v>
      </c>
      <c r="S8" s="70">
        <v>10.258399548722164</v>
      </c>
      <c r="T8" s="70">
        <v>-8.04979434089379</v>
      </c>
      <c r="U8" s="70">
        <v>-4.6594018470164311</v>
      </c>
      <c r="V8" s="70">
        <v>1.7602391272378837</v>
      </c>
      <c r="W8" s="70">
        <v>-4.8277554509206571</v>
      </c>
      <c r="X8" s="70">
        <v>5.3530802888686946</v>
      </c>
      <c r="Y8" s="70">
        <v>14.40951067471914</v>
      </c>
      <c r="Z8" s="70">
        <v>7.5815418677427138</v>
      </c>
      <c r="AA8" s="70">
        <v>19.408814689908517</v>
      </c>
      <c r="AB8" s="70">
        <v>-4.3860209957161782</v>
      </c>
      <c r="AC8" s="70">
        <v>-8.1731832036389349</v>
      </c>
      <c r="AD8" s="70">
        <v>5.0637426918345829</v>
      </c>
      <c r="AE8" s="70">
        <v>-0.25582669429169425</v>
      </c>
      <c r="AF8" s="70">
        <v>6.9905975859291258</v>
      </c>
      <c r="AG8" s="70">
        <v>10.315923798641236</v>
      </c>
      <c r="AH8" s="70">
        <v>5.3332431055635787</v>
      </c>
      <c r="AI8" s="70">
        <v>7.0282314951780611</v>
      </c>
      <c r="AJ8" s="70">
        <v>3.2973957650169972</v>
      </c>
      <c r="AK8" s="70">
        <v>2.167833965599808</v>
      </c>
      <c r="AL8" s="70">
        <v>-0.54696739675169637</v>
      </c>
      <c r="AM8" s="70">
        <v>7.7062475906921835</v>
      </c>
    </row>
    <row r="9" spans="1:39" ht="17.100000000000001" customHeight="1" x14ac:dyDescent="0.2">
      <c r="A9" s="72" t="s">
        <v>3</v>
      </c>
      <c r="B9" s="70">
        <v>5.6220550874429565</v>
      </c>
      <c r="C9" s="70">
        <v>7.3369226315447955</v>
      </c>
      <c r="D9" s="70">
        <v>8.0046055714737552</v>
      </c>
      <c r="E9" s="70">
        <v>7.0651484133683384</v>
      </c>
      <c r="F9" s="70">
        <v>8.1876515494276667</v>
      </c>
      <c r="G9" s="70">
        <v>6.6571545682138744</v>
      </c>
      <c r="H9" s="70">
        <v>7.0290371760765247</v>
      </c>
      <c r="I9" s="70">
        <v>6.6751637050980417</v>
      </c>
      <c r="J9" s="70">
        <v>6.5875481786978884</v>
      </c>
      <c r="K9" s="70">
        <v>7.6772420113538242</v>
      </c>
      <c r="L9" s="70">
        <v>7.0289476586426369</v>
      </c>
      <c r="M9" s="70">
        <v>8.0657150073570207</v>
      </c>
      <c r="N9" s="70">
        <v>7.8265222697627923</v>
      </c>
      <c r="O9" s="70">
        <v>7.8686926118291423</v>
      </c>
      <c r="P9" s="70">
        <v>8.235791576213213</v>
      </c>
      <c r="Q9" s="70">
        <v>7.6568416390194294</v>
      </c>
      <c r="R9" s="70">
        <v>7.5492367817046713</v>
      </c>
      <c r="S9" s="70">
        <v>7.5756165112433438</v>
      </c>
      <c r="T9" s="70">
        <v>7.706350114511018</v>
      </c>
      <c r="U9" s="70">
        <v>8.3115350276578237</v>
      </c>
      <c r="V9" s="70">
        <v>8.355068783262066</v>
      </c>
      <c r="W9" s="70">
        <v>8.241662642401181</v>
      </c>
      <c r="X9" s="70">
        <v>8.1934317105976984</v>
      </c>
      <c r="Y9" s="70">
        <v>8.4297719423055426</v>
      </c>
      <c r="Z9" s="70">
        <v>8.7369442909970285</v>
      </c>
      <c r="AA9" s="70">
        <v>8.8952393974253585</v>
      </c>
      <c r="AB9" s="70">
        <v>9.5537610851855312</v>
      </c>
      <c r="AC9" s="70">
        <v>8.1708416546410589</v>
      </c>
      <c r="AD9" s="70">
        <v>7.7580832428426172</v>
      </c>
      <c r="AE9" s="70">
        <v>8.0325509961904462</v>
      </c>
      <c r="AF9" s="70">
        <v>7.2780032301067443</v>
      </c>
      <c r="AG9" s="70">
        <v>8.4671799681190549</v>
      </c>
      <c r="AH9" s="70">
        <v>8.4496924165572871</v>
      </c>
      <c r="AI9" s="70">
        <v>8.5973315997366804</v>
      </c>
      <c r="AJ9" s="70">
        <v>9.1124298287080574</v>
      </c>
      <c r="AK9" s="70">
        <v>8.8308919169102431</v>
      </c>
      <c r="AL9" s="70">
        <v>9.2580535865692362</v>
      </c>
      <c r="AM9" s="70">
        <v>9.2222406298617887</v>
      </c>
    </row>
    <row r="10" spans="1:39" ht="17.100000000000001" customHeight="1" x14ac:dyDescent="0.2">
      <c r="A10" s="72" t="s">
        <v>4</v>
      </c>
      <c r="B10" s="70">
        <v>1.7603391158527604</v>
      </c>
      <c r="C10" s="70">
        <v>5.0997732246232719</v>
      </c>
      <c r="D10" s="70">
        <v>4.9594274749672707</v>
      </c>
      <c r="E10" s="70">
        <v>5.1449868992363035</v>
      </c>
      <c r="F10" s="70">
        <v>0.18907176710090123</v>
      </c>
      <c r="G10" s="70">
        <v>-1.4871507107151127</v>
      </c>
      <c r="H10" s="70">
        <v>-2.0227286480490214</v>
      </c>
      <c r="I10" s="70">
        <v>0.38873456767067882</v>
      </c>
      <c r="J10" s="70">
        <v>4.9669107311459237</v>
      </c>
      <c r="K10" s="70">
        <v>9.5502966481079596</v>
      </c>
      <c r="L10" s="70">
        <v>8.7096570389051831</v>
      </c>
      <c r="M10" s="70">
        <v>13.37071494806561</v>
      </c>
      <c r="N10" s="70">
        <v>17.775003431546388</v>
      </c>
      <c r="O10" s="70">
        <v>22.228106501647638</v>
      </c>
      <c r="P10" s="70">
        <v>-1.321082375956284</v>
      </c>
      <c r="Q10" s="70">
        <v>-14.542154109869754</v>
      </c>
      <c r="R10" s="70">
        <v>-7.124034672878043</v>
      </c>
      <c r="S10" s="70">
        <v>-9.2553609535352734</v>
      </c>
      <c r="T10" s="70">
        <v>27.122216141399534</v>
      </c>
      <c r="U10" s="70">
        <v>16.362481595115376</v>
      </c>
      <c r="V10" s="70">
        <v>7.3430525031407345</v>
      </c>
      <c r="W10" s="70">
        <v>2.4612239166257988</v>
      </c>
      <c r="X10" s="70">
        <v>3.7826390857863545</v>
      </c>
      <c r="Y10" s="70">
        <v>2.4563963551679446</v>
      </c>
      <c r="Z10" s="70">
        <v>2.6395158860404333</v>
      </c>
      <c r="AA10" s="70">
        <v>4.2585086214645962</v>
      </c>
      <c r="AB10" s="70">
        <v>0.59723142176821842</v>
      </c>
      <c r="AC10" s="70">
        <v>1.0316666935881402</v>
      </c>
      <c r="AD10" s="70">
        <v>5.3327958385677832</v>
      </c>
      <c r="AE10" s="70">
        <v>7.2751607336958291</v>
      </c>
      <c r="AF10" s="70">
        <v>8.3039337749961852</v>
      </c>
      <c r="AG10" s="70">
        <v>8.7430126635045688</v>
      </c>
      <c r="AH10" s="70">
        <v>4.2833839398820128</v>
      </c>
      <c r="AI10" s="70">
        <v>-3.3029736852482117</v>
      </c>
      <c r="AJ10" s="70">
        <v>-0.82532569244350151</v>
      </c>
      <c r="AK10" s="70">
        <v>16.641687077930033</v>
      </c>
      <c r="AL10" s="70">
        <v>-11.794274559490582</v>
      </c>
      <c r="AM10" s="70">
        <v>0.20581177524114924</v>
      </c>
    </row>
    <row r="11" spans="1:39" ht="17.100000000000001" customHeight="1" x14ac:dyDescent="0.2">
      <c r="A11" s="72" t="s">
        <v>5</v>
      </c>
      <c r="B11" s="70">
        <v>9.2270812926319223</v>
      </c>
      <c r="C11" s="70">
        <v>12.389945063117169</v>
      </c>
      <c r="D11" s="70">
        <v>-13.360354157265631</v>
      </c>
      <c r="E11" s="70">
        <v>10.596832875286278</v>
      </c>
      <c r="F11" s="70">
        <v>3.0115426868532635</v>
      </c>
      <c r="G11" s="70">
        <v>1.117865841416954</v>
      </c>
      <c r="H11" s="70">
        <v>3.915838427665852</v>
      </c>
      <c r="I11" s="70">
        <v>5.3555936235614388</v>
      </c>
      <c r="J11" s="70">
        <v>3.6459070238058722</v>
      </c>
      <c r="K11" s="70">
        <v>5.2681080911653577</v>
      </c>
      <c r="L11" s="70">
        <v>2.5632507585039876</v>
      </c>
      <c r="M11" s="70">
        <v>3.0207938393517653</v>
      </c>
      <c r="N11" s="70">
        <v>4.0520984282018446</v>
      </c>
      <c r="O11" s="70">
        <v>4.8675827725105369</v>
      </c>
      <c r="P11" s="70">
        <v>4.6282911651174485</v>
      </c>
      <c r="Q11" s="70">
        <v>-0.32500304260349999</v>
      </c>
      <c r="R11" s="70">
        <v>-2.7189865645824596</v>
      </c>
      <c r="S11" s="70">
        <v>3.7179825582175141</v>
      </c>
      <c r="T11" s="70">
        <v>5.4636968948533093</v>
      </c>
      <c r="U11" s="70">
        <v>5.1863289711073346</v>
      </c>
      <c r="V11" s="70">
        <v>4.8007817682375054</v>
      </c>
      <c r="W11" s="70">
        <v>-2.9147167205764268</v>
      </c>
      <c r="X11" s="70">
        <v>5.2554204668479265</v>
      </c>
      <c r="Y11" s="70">
        <v>5.525416868043842</v>
      </c>
      <c r="Z11" s="70">
        <v>4.0799476332344486</v>
      </c>
      <c r="AA11" s="70">
        <v>3.8657716983446999</v>
      </c>
      <c r="AB11" s="70">
        <v>2.5433767342847524</v>
      </c>
      <c r="AC11" s="70">
        <v>2.2167842273260518</v>
      </c>
      <c r="AD11" s="70">
        <v>5.3769210277495816</v>
      </c>
      <c r="AE11" s="70">
        <v>2.7213663259410437</v>
      </c>
      <c r="AF11" s="70">
        <v>-5.8953936473084001</v>
      </c>
      <c r="AG11" s="70">
        <v>10.361600277803063</v>
      </c>
      <c r="AH11" s="70">
        <v>3.7617949525886818</v>
      </c>
      <c r="AI11" s="70">
        <v>5.1530760129507414</v>
      </c>
      <c r="AJ11" s="70">
        <v>7.2712860327639461</v>
      </c>
      <c r="AK11" s="70">
        <v>-2.09794441789104</v>
      </c>
      <c r="AL11" s="70">
        <v>9.7363836910022261</v>
      </c>
      <c r="AM11" s="70">
        <v>8.2538254258978974</v>
      </c>
    </row>
    <row r="12" spans="1:39" ht="17.100000000000001" customHeight="1" x14ac:dyDescent="0.2">
      <c r="A12" s="72" t="s">
        <v>6</v>
      </c>
      <c r="B12" s="70">
        <v>-4.2045750489688061</v>
      </c>
      <c r="C12" s="70">
        <v>-1.9275875798144493</v>
      </c>
      <c r="D12" s="70">
        <v>-10.109137266742563</v>
      </c>
      <c r="E12" s="70">
        <v>-14.947847652228186</v>
      </c>
      <c r="F12" s="70">
        <v>-24.514913527372251</v>
      </c>
      <c r="G12" s="70">
        <v>-30.492374244410026</v>
      </c>
      <c r="H12" s="70">
        <v>-30.971737480794381</v>
      </c>
      <c r="I12" s="70">
        <v>-13.255029532830932</v>
      </c>
      <c r="J12" s="70">
        <v>13.665911385070228</v>
      </c>
      <c r="K12" s="70">
        <v>36.768289359774741</v>
      </c>
      <c r="L12" s="70">
        <v>65.935276400123314</v>
      </c>
      <c r="M12" s="70">
        <v>43.486082678954908</v>
      </c>
      <c r="N12" s="70">
        <v>26.504438351948135</v>
      </c>
      <c r="O12" s="70">
        <v>5.7008184608942525</v>
      </c>
      <c r="P12" s="70">
        <v>-9.9070707348853038</v>
      </c>
      <c r="Q12" s="70">
        <v>-14.984254758437521</v>
      </c>
      <c r="R12" s="70">
        <v>-13.489348631777286</v>
      </c>
      <c r="S12" s="70">
        <v>-3.8473232699637205</v>
      </c>
      <c r="T12" s="70">
        <v>-9.4313233735938251</v>
      </c>
      <c r="U12" s="70">
        <v>-8.1342104919776226</v>
      </c>
      <c r="V12" s="70">
        <v>0.69982751113253361</v>
      </c>
      <c r="W12" s="70">
        <v>-12.770556187102189</v>
      </c>
      <c r="X12" s="70">
        <v>4.4869431348517841</v>
      </c>
      <c r="Y12" s="70">
        <v>10.693230123913523</v>
      </c>
      <c r="Z12" s="70">
        <v>-38.932894953846883</v>
      </c>
      <c r="AA12" s="70">
        <v>16.202900824853074</v>
      </c>
      <c r="AB12" s="70">
        <v>37.628249339221533</v>
      </c>
      <c r="AC12" s="70">
        <v>-0.13700968679544179</v>
      </c>
      <c r="AD12" s="70">
        <v>9.701059399346379</v>
      </c>
      <c r="AE12" s="70">
        <v>-17.202043250915068</v>
      </c>
      <c r="AF12" s="70">
        <v>-10.522377954088313</v>
      </c>
      <c r="AG12" s="70">
        <v>18.473314681123874</v>
      </c>
      <c r="AH12" s="70">
        <v>-0.64729068188257299</v>
      </c>
      <c r="AI12" s="70">
        <v>15.015903260366169</v>
      </c>
      <c r="AJ12" s="70">
        <v>44.650443497723799</v>
      </c>
      <c r="AK12" s="70">
        <v>3.1929968751225779</v>
      </c>
      <c r="AL12" s="70">
        <v>23.720850246410219</v>
      </c>
      <c r="AM12" s="70">
        <v>9.4512127679273092</v>
      </c>
    </row>
    <row r="13" spans="1:39" s="121" customFormat="1" ht="17.100000000000001" customHeight="1" x14ac:dyDescent="0.2">
      <c r="A13" s="133" t="s">
        <v>93</v>
      </c>
      <c r="B13" s="139">
        <v>-0.60233731749581576</v>
      </c>
      <c r="C13" s="139">
        <v>4.5995316602583713</v>
      </c>
      <c r="D13" s="139">
        <v>16.22566151177449</v>
      </c>
      <c r="E13" s="139">
        <v>7.9277803032603567</v>
      </c>
      <c r="F13" s="139">
        <v>5.4100804187855012</v>
      </c>
      <c r="G13" s="139">
        <v>2.8953153411108934</v>
      </c>
      <c r="H13" s="139">
        <v>3.1727275125237098</v>
      </c>
      <c r="I13" s="139">
        <v>7.9833360247493657</v>
      </c>
      <c r="J13" s="139">
        <v>9.0370626320726011</v>
      </c>
      <c r="K13" s="139">
        <v>10.332149905133758</v>
      </c>
      <c r="L13" s="139">
        <v>9.3709855646842968</v>
      </c>
      <c r="M13" s="139">
        <v>7.473569768474797</v>
      </c>
      <c r="N13" s="139">
        <v>10.161698564918797</v>
      </c>
      <c r="O13" s="139">
        <v>10.140469880641568</v>
      </c>
      <c r="P13" s="139">
        <v>2.9512124393612504</v>
      </c>
      <c r="Q13" s="139">
        <v>-9.7908167209499801</v>
      </c>
      <c r="R13" s="139">
        <v>-2.2068790801836768</v>
      </c>
      <c r="S13" s="139">
        <v>-1.4690786941649048</v>
      </c>
      <c r="T13" s="139">
        <v>2.1478317777220646</v>
      </c>
      <c r="U13" s="139">
        <v>17.497704584858486</v>
      </c>
      <c r="V13" s="139">
        <v>-0.12121400090699952</v>
      </c>
      <c r="W13" s="139">
        <v>7.824585878762691</v>
      </c>
      <c r="X13" s="139">
        <v>5.528521750207771</v>
      </c>
      <c r="Y13" s="139">
        <v>7.0691761169336731</v>
      </c>
      <c r="Z13" s="139">
        <v>12.288975604604691</v>
      </c>
      <c r="AA13" s="139">
        <v>-2.3754988308056668</v>
      </c>
      <c r="AB13" s="139">
        <v>0.71107423556320271</v>
      </c>
      <c r="AC13" s="139">
        <v>6.3594382003911543</v>
      </c>
      <c r="AD13" s="139">
        <v>9.895358882377181</v>
      </c>
      <c r="AE13" s="139">
        <v>4.4842492953972579</v>
      </c>
      <c r="AF13" s="139">
        <v>6.723096500061998</v>
      </c>
      <c r="AG13" s="139">
        <v>1.0980078659702297</v>
      </c>
      <c r="AH13" s="139">
        <v>5.1231152379484168</v>
      </c>
      <c r="AI13" s="139">
        <v>7.6514025698828592</v>
      </c>
      <c r="AJ13" s="139">
        <v>7.3997956869305881</v>
      </c>
      <c r="AK13" s="139">
        <v>7.5685940787426631</v>
      </c>
      <c r="AL13" s="139">
        <v>5.9747365900572058</v>
      </c>
      <c r="AM13" s="139">
        <v>12.257991306797633</v>
      </c>
    </row>
    <row r="14" spans="1:39" ht="17.100000000000001" customHeight="1" x14ac:dyDescent="0.2">
      <c r="A14" s="72" t="s">
        <v>8</v>
      </c>
      <c r="B14" s="70">
        <v>-1.017641239369782</v>
      </c>
      <c r="C14" s="70">
        <v>27.163368756284022</v>
      </c>
      <c r="D14" s="70">
        <v>42.921378796726813</v>
      </c>
      <c r="E14" s="70">
        <v>66.601671769989395</v>
      </c>
      <c r="F14" s="70">
        <v>13.006607943740844</v>
      </c>
      <c r="G14" s="70">
        <v>-18.74098202286013</v>
      </c>
      <c r="H14" s="70">
        <v>-9.5661008197108988</v>
      </c>
      <c r="I14" s="70">
        <v>-0.57039490518990821</v>
      </c>
      <c r="J14" s="70">
        <v>24.298930903113568</v>
      </c>
      <c r="K14" s="70">
        <v>20.557186824968788</v>
      </c>
      <c r="L14" s="70">
        <v>34.417284695705462</v>
      </c>
      <c r="M14" s="70">
        <v>-4.1933678636936538</v>
      </c>
      <c r="N14" s="70">
        <v>14.438809149113263</v>
      </c>
      <c r="O14" s="70">
        <v>74.9959952533559</v>
      </c>
      <c r="P14" s="70">
        <v>11.895181495258168</v>
      </c>
      <c r="Q14" s="70">
        <v>-17.180261528471075</v>
      </c>
      <c r="R14" s="70">
        <v>41.884988672782875</v>
      </c>
      <c r="S14" s="70">
        <v>-1.1671934420619423</v>
      </c>
      <c r="T14" s="70">
        <v>-22.756510091107895</v>
      </c>
      <c r="U14" s="70">
        <v>16.729088302819672</v>
      </c>
      <c r="V14" s="70">
        <v>-56.359779505200144</v>
      </c>
      <c r="W14" s="70">
        <v>49.349265708663822</v>
      </c>
      <c r="X14" s="70">
        <v>40.747537887605255</v>
      </c>
      <c r="Y14" s="70">
        <v>85.318162758319176</v>
      </c>
      <c r="Z14" s="70">
        <v>88.872779835917768</v>
      </c>
      <c r="AA14" s="70">
        <v>-51.8080926019149</v>
      </c>
      <c r="AB14" s="70">
        <v>-24.749960676651583</v>
      </c>
      <c r="AC14" s="70">
        <v>52.798407425241066</v>
      </c>
      <c r="AD14" s="70">
        <v>98.898205420854012</v>
      </c>
      <c r="AE14" s="70">
        <v>96.165475150576114</v>
      </c>
      <c r="AF14" s="70">
        <v>4.0587121899975376</v>
      </c>
      <c r="AG14" s="70">
        <v>-75.704656444603017</v>
      </c>
      <c r="AH14" s="70">
        <v>-8.5784039368510197</v>
      </c>
      <c r="AI14" s="70">
        <v>9.7080504600090212</v>
      </c>
      <c r="AJ14" s="70">
        <v>-0.43884077157666512</v>
      </c>
      <c r="AK14" s="70">
        <v>43.608634639791163</v>
      </c>
      <c r="AL14" s="70">
        <v>-10.422762869994795</v>
      </c>
      <c r="AM14" s="70">
        <v>27.326816236924834</v>
      </c>
    </row>
    <row r="15" spans="1:39" ht="17.100000000000001" customHeight="1" x14ac:dyDescent="0.2">
      <c r="A15" s="42" t="s">
        <v>9</v>
      </c>
      <c r="B15" s="70">
        <v>-5.770258612921042</v>
      </c>
      <c r="C15" s="70">
        <v>-0.17316159708411494</v>
      </c>
      <c r="D15" s="70">
        <v>19.811422903350497</v>
      </c>
      <c r="E15" s="70">
        <v>2.5311368368806875</v>
      </c>
      <c r="F15" s="70">
        <v>5.4633795858338718</v>
      </c>
      <c r="G15" s="70">
        <v>4.7481878720420978</v>
      </c>
      <c r="H15" s="70">
        <v>1.5302075700503792</v>
      </c>
      <c r="I15" s="70">
        <v>7.000464552843999</v>
      </c>
      <c r="J15" s="70">
        <v>7.0445137273864811</v>
      </c>
      <c r="K15" s="70">
        <v>9.3039471817121679</v>
      </c>
      <c r="L15" s="70">
        <v>7.3653602437614207</v>
      </c>
      <c r="M15" s="70">
        <v>7.0665880859604346</v>
      </c>
      <c r="N15" s="70">
        <v>11.727522825584046</v>
      </c>
      <c r="O15" s="70">
        <v>8.762087788873508</v>
      </c>
      <c r="P15" s="70">
        <v>-1.0447553021922906</v>
      </c>
      <c r="Q15" s="70">
        <v>-14.18763056275697</v>
      </c>
      <c r="R15" s="70">
        <v>-3.674588240582477</v>
      </c>
      <c r="S15" s="70">
        <v>-5.262154540501407</v>
      </c>
      <c r="T15" s="70">
        <v>2.2128015626100783</v>
      </c>
      <c r="U15" s="70">
        <v>19.282765580051951</v>
      </c>
      <c r="V15" s="70">
        <v>-5.9504662673508291</v>
      </c>
      <c r="W15" s="70">
        <v>6.4696502157431279</v>
      </c>
      <c r="X15" s="70">
        <v>7.8324133222832604</v>
      </c>
      <c r="Y15" s="70">
        <v>7.0007347742976123</v>
      </c>
      <c r="Z15" s="70">
        <v>15.635530330494408</v>
      </c>
      <c r="AA15" s="70">
        <v>1.3405480215582521</v>
      </c>
      <c r="AB15" s="70">
        <v>-1.3522881078671389</v>
      </c>
      <c r="AC15" s="70">
        <v>-1.6233706329432995</v>
      </c>
      <c r="AD15" s="70">
        <v>4.7048134213434123</v>
      </c>
      <c r="AE15" s="70">
        <v>-1.6219041373747745</v>
      </c>
      <c r="AF15" s="70">
        <v>4.9918833287679876</v>
      </c>
      <c r="AG15" s="70">
        <v>11.002472829892085</v>
      </c>
      <c r="AH15" s="70">
        <v>6.1807530426832402</v>
      </c>
      <c r="AI15" s="70">
        <v>7.751620423063077</v>
      </c>
      <c r="AJ15" s="70">
        <v>5.2329828101009834</v>
      </c>
      <c r="AK15" s="70">
        <v>3.453178196877893</v>
      </c>
      <c r="AL15" s="70">
        <v>4.7538874736005265</v>
      </c>
      <c r="AM15" s="70">
        <v>8.9249589070356841</v>
      </c>
    </row>
    <row r="16" spans="1:39" ht="17.100000000000001" customHeight="1" x14ac:dyDescent="0.2">
      <c r="A16" s="42" t="s">
        <v>10</v>
      </c>
      <c r="B16" s="70">
        <v>6.1415030488861211</v>
      </c>
      <c r="C16" s="70">
        <v>9.432327904209048</v>
      </c>
      <c r="D16" s="70">
        <v>14.545286016086067</v>
      </c>
      <c r="E16" s="70">
        <v>9.0047430813798854</v>
      </c>
      <c r="F16" s="70">
        <v>10.700578471387413</v>
      </c>
      <c r="G16" s="70">
        <v>7.7590666039172085</v>
      </c>
      <c r="H16" s="70">
        <v>1.8638187729325129</v>
      </c>
      <c r="I16" s="70">
        <v>1.6903329193527661</v>
      </c>
      <c r="J16" s="70">
        <v>-4.3102908907444171E-2</v>
      </c>
      <c r="K16" s="70">
        <v>-0.19762630508139978</v>
      </c>
      <c r="L16" s="70">
        <v>2.1198978324075357</v>
      </c>
      <c r="M16" s="70">
        <v>8.1717764036230314</v>
      </c>
      <c r="N16" s="70">
        <v>12.293811040805625</v>
      </c>
      <c r="O16" s="70">
        <v>15.656239682143269</v>
      </c>
      <c r="P16" s="70">
        <v>17.016474924066859</v>
      </c>
      <c r="Q16" s="70">
        <v>-0.82784518091794101</v>
      </c>
      <c r="R16" s="70">
        <v>8.8043734387907904</v>
      </c>
      <c r="S16" s="70">
        <v>8.9563824928792446</v>
      </c>
      <c r="T16" s="70">
        <v>7.4383341582382245</v>
      </c>
      <c r="U16" s="70">
        <v>22.418116959948332</v>
      </c>
      <c r="V16" s="70">
        <v>5.0766990011722246</v>
      </c>
      <c r="W16" s="70">
        <v>3.2750998906705187</v>
      </c>
      <c r="X16" s="70">
        <v>2.1326469420593686</v>
      </c>
      <c r="Y16" s="70">
        <v>2.1648166548429826</v>
      </c>
      <c r="Z16" s="70">
        <v>6.0942388928783453</v>
      </c>
      <c r="AA16" s="70">
        <v>7.9300241472860744</v>
      </c>
      <c r="AB16" s="70">
        <v>8.9793904380165657</v>
      </c>
      <c r="AC16" s="70">
        <v>10.726104131389501</v>
      </c>
      <c r="AD16" s="70">
        <v>11.911285789319548</v>
      </c>
      <c r="AE16" s="70">
        <v>8.3203213355226069</v>
      </c>
      <c r="AF16" s="70">
        <v>8.7335926254382468</v>
      </c>
      <c r="AG16" s="70">
        <v>6.8706984177180352</v>
      </c>
      <c r="AH16" s="70">
        <v>6.4461531257905991</v>
      </c>
      <c r="AI16" s="70">
        <v>10.489540500598537</v>
      </c>
      <c r="AJ16" s="70">
        <v>13.415090768502559</v>
      </c>
      <c r="AK16" s="70">
        <v>16.929063370217733</v>
      </c>
      <c r="AL16" s="70">
        <v>26.282646963399369</v>
      </c>
      <c r="AM16" s="70">
        <v>10.799047080844471</v>
      </c>
    </row>
    <row r="17" spans="1:39" ht="17.100000000000001" customHeight="1" x14ac:dyDescent="0.2">
      <c r="A17" s="42" t="s">
        <v>11</v>
      </c>
      <c r="B17" s="70">
        <v>5.6486196218575646</v>
      </c>
      <c r="C17" s="70">
        <v>5.9771138877069641</v>
      </c>
      <c r="D17" s="70">
        <v>5.230248166647411</v>
      </c>
      <c r="E17" s="70">
        <v>5.4762480695195181</v>
      </c>
      <c r="F17" s="70">
        <v>4.5583455658347871</v>
      </c>
      <c r="G17" s="70">
        <v>4.0062086354445414</v>
      </c>
      <c r="H17" s="70">
        <v>3.8152152385888538</v>
      </c>
      <c r="I17" s="70">
        <v>3.7176010245744795</v>
      </c>
      <c r="J17" s="70">
        <v>4.4692095530691978</v>
      </c>
      <c r="K17" s="70">
        <v>4.7554987351333011</v>
      </c>
      <c r="L17" s="70">
        <v>4.8286694672172281</v>
      </c>
      <c r="M17" s="70">
        <v>4.8631426507105724</v>
      </c>
      <c r="N17" s="70">
        <v>4.3248109930559719</v>
      </c>
      <c r="O17" s="70">
        <v>3.909537529880347</v>
      </c>
      <c r="P17" s="70">
        <v>4.2073318949013228</v>
      </c>
      <c r="Q17" s="70">
        <v>3.9557655220342269</v>
      </c>
      <c r="R17" s="70">
        <v>4.5281955387638684</v>
      </c>
      <c r="S17" s="70">
        <v>4.8021025693496533</v>
      </c>
      <c r="T17" s="70">
        <v>4.5836906408021516</v>
      </c>
      <c r="U17" s="70">
        <v>5.144604836808786</v>
      </c>
      <c r="V17" s="70">
        <v>5.9098788190266038</v>
      </c>
      <c r="W17" s="70">
        <v>6.3393023938547399</v>
      </c>
      <c r="X17" s="70">
        <v>6.5838490780246062</v>
      </c>
      <c r="Y17" s="70">
        <v>6.2848493199120448</v>
      </c>
      <c r="Z17" s="70">
        <v>4.7181389192171297</v>
      </c>
      <c r="AA17" s="70">
        <v>3.8790669137907852</v>
      </c>
      <c r="AB17" s="70">
        <v>3.9146173122709182</v>
      </c>
      <c r="AC17" s="70">
        <v>4.2340185183740608</v>
      </c>
      <c r="AD17" s="70">
        <v>5.2962424783316475</v>
      </c>
      <c r="AE17" s="70">
        <v>5.3766200910671857</v>
      </c>
      <c r="AF17" s="70">
        <v>5.1766662653888185</v>
      </c>
      <c r="AG17" s="70">
        <v>5.3644072156718847</v>
      </c>
      <c r="AH17" s="70">
        <v>3.4828395848433669</v>
      </c>
      <c r="AI17" s="70">
        <v>3.0966966064942758</v>
      </c>
      <c r="AJ17" s="70">
        <v>2.3872795294151539</v>
      </c>
      <c r="AK17" s="70">
        <v>1.5456048147413082</v>
      </c>
      <c r="AL17" s="70">
        <v>2.8172954455983001</v>
      </c>
      <c r="AM17" s="70">
        <v>3.3282282022949694</v>
      </c>
    </row>
    <row r="18" spans="1:39" ht="17.100000000000001" customHeight="1" x14ac:dyDescent="0.2">
      <c r="A18" s="72" t="s">
        <v>12</v>
      </c>
      <c r="B18" s="70">
        <v>11.799601069471333</v>
      </c>
      <c r="C18" s="70">
        <v>13.793985613682015</v>
      </c>
      <c r="D18" s="70">
        <v>6.8802813408518571</v>
      </c>
      <c r="E18" s="70">
        <v>14.49369969127674</v>
      </c>
      <c r="F18" s="70">
        <v>2.9974710842862962</v>
      </c>
      <c r="G18" s="70">
        <v>0.27423972391513729</v>
      </c>
      <c r="H18" s="70">
        <v>11.334892666472385</v>
      </c>
      <c r="I18" s="70">
        <v>16.159827017513486</v>
      </c>
      <c r="J18" s="70">
        <v>15.562650414471712</v>
      </c>
      <c r="K18" s="70">
        <v>16.406973873230623</v>
      </c>
      <c r="L18" s="70">
        <v>13.141968159115525</v>
      </c>
      <c r="M18" s="70">
        <v>11.970938799346076</v>
      </c>
      <c r="N18" s="70">
        <v>6.9938075689472079</v>
      </c>
      <c r="O18" s="70">
        <v>5.6023043436163933</v>
      </c>
      <c r="P18" s="70">
        <v>7.803623912210722</v>
      </c>
      <c r="Q18" s="70">
        <v>-4.574231129644124</v>
      </c>
      <c r="R18" s="70">
        <v>-13.844273707211595</v>
      </c>
      <c r="S18" s="70">
        <v>4.0347404189196689</v>
      </c>
      <c r="T18" s="70">
        <v>6.2656774667191995</v>
      </c>
      <c r="U18" s="70">
        <v>17.641803506560084</v>
      </c>
      <c r="V18" s="70">
        <v>35.586341816961742</v>
      </c>
      <c r="W18" s="70">
        <v>3.2452975706520393</v>
      </c>
      <c r="X18" s="70">
        <v>-5.8444525847966222</v>
      </c>
      <c r="Y18" s="70">
        <v>-4.451395076883891</v>
      </c>
      <c r="Z18" s="70">
        <v>-0.44535846628115383</v>
      </c>
      <c r="AA18" s="70">
        <v>-9.0876626991431841E-2</v>
      </c>
      <c r="AB18" s="70">
        <v>9.8392089046479558</v>
      </c>
      <c r="AC18" s="70">
        <v>10.672642889997807</v>
      </c>
      <c r="AD18" s="70">
        <v>2.2440482109530091</v>
      </c>
      <c r="AE18" s="70">
        <v>4.1605660395838573</v>
      </c>
      <c r="AF18" s="70">
        <v>11.406002246503943</v>
      </c>
      <c r="AG18" s="70">
        <v>10.94133946886946</v>
      </c>
      <c r="AH18" s="70">
        <v>9.2645718033803384</v>
      </c>
      <c r="AI18" s="70">
        <v>7.9062767081930385</v>
      </c>
      <c r="AJ18" s="70">
        <v>14.001409941145893</v>
      </c>
      <c r="AK18" s="70">
        <v>13.02929691573167</v>
      </c>
      <c r="AL18" s="70">
        <v>11.659360986982325</v>
      </c>
      <c r="AM18" s="70">
        <v>19.416735749009728</v>
      </c>
    </row>
    <row r="19" spans="1:39" s="121" customFormat="1" ht="17.100000000000001" customHeight="1" x14ac:dyDescent="0.2">
      <c r="A19" s="133" t="s">
        <v>94</v>
      </c>
      <c r="B19" s="139">
        <v>-2.4907341406145034</v>
      </c>
      <c r="C19" s="139">
        <v>-3.7360090149601177</v>
      </c>
      <c r="D19" s="139">
        <v>2.5175007417198803</v>
      </c>
      <c r="E19" s="139">
        <v>4.5088343483790316</v>
      </c>
      <c r="F19" s="139">
        <v>7.7450718660244666</v>
      </c>
      <c r="G19" s="139">
        <v>10.715277115623568</v>
      </c>
      <c r="H19" s="139">
        <v>9.1042744052119318</v>
      </c>
      <c r="I19" s="139">
        <v>6.5993997410431993</v>
      </c>
      <c r="J19" s="139">
        <v>6.9344150811826655</v>
      </c>
      <c r="K19" s="139">
        <v>4.3196164302073292</v>
      </c>
      <c r="L19" s="139">
        <v>6.1470325846066487</v>
      </c>
      <c r="M19" s="139">
        <v>5.9465301268559756</v>
      </c>
      <c r="N19" s="139">
        <v>6.5765580143748892</v>
      </c>
      <c r="O19" s="139">
        <v>7.4738827893539028</v>
      </c>
      <c r="P19" s="139">
        <v>1.520501256219009</v>
      </c>
      <c r="Q19" s="139">
        <v>-5.5218534923207834</v>
      </c>
      <c r="R19" s="139">
        <v>-3.679347659317278</v>
      </c>
      <c r="S19" s="139">
        <v>-2.0424320334529567</v>
      </c>
      <c r="T19" s="139">
        <v>5.2788270531512138</v>
      </c>
      <c r="U19" s="139">
        <v>12.807022294530634</v>
      </c>
      <c r="V19" s="139">
        <v>2.9730666675154005</v>
      </c>
      <c r="W19" s="139">
        <v>5.8856353411684603</v>
      </c>
      <c r="X19" s="139">
        <v>3.9715352291976203</v>
      </c>
      <c r="Y19" s="139">
        <v>3.3469496923427711</v>
      </c>
      <c r="Z19" s="139">
        <v>8.670368818347395</v>
      </c>
      <c r="AA19" s="139">
        <v>4.7269825402485477</v>
      </c>
      <c r="AB19" s="139">
        <v>1.5420013088479401</v>
      </c>
      <c r="AC19" s="139">
        <v>8.9260994726644292</v>
      </c>
      <c r="AD19" s="139">
        <v>2.6713069189930438</v>
      </c>
      <c r="AE19" s="139">
        <v>8.3223193724137232</v>
      </c>
      <c r="AF19" s="139">
        <v>8.0640636430651327</v>
      </c>
      <c r="AG19" s="139">
        <v>6.50508704291759</v>
      </c>
      <c r="AH19" s="139">
        <v>5.9861799343400746</v>
      </c>
      <c r="AI19" s="139">
        <v>2.2328288079326963</v>
      </c>
      <c r="AJ19" s="139">
        <v>8.7021832601590798</v>
      </c>
      <c r="AK19" s="139">
        <v>4.9505378057879801</v>
      </c>
      <c r="AL19" s="139">
        <v>5.6881024182068085</v>
      </c>
      <c r="AM19" s="139">
        <v>6.2357551053084048</v>
      </c>
    </row>
    <row r="20" spans="1:39" ht="17.100000000000001" customHeight="1" x14ac:dyDescent="0.2">
      <c r="A20" s="78" t="s">
        <v>52</v>
      </c>
      <c r="B20" s="70">
        <v>-8.164960281978761</v>
      </c>
      <c r="C20" s="70">
        <v>-7.3821219615019302</v>
      </c>
      <c r="D20" s="70">
        <v>8.0452780168016158</v>
      </c>
      <c r="E20" s="70">
        <v>4.9308722284144402</v>
      </c>
      <c r="F20" s="70">
        <v>5.6911984863592613</v>
      </c>
      <c r="G20" s="70">
        <v>11.57998590085092</v>
      </c>
      <c r="H20" s="70">
        <v>7.5561947934315254</v>
      </c>
      <c r="I20" s="70">
        <v>5.3211438250591048</v>
      </c>
      <c r="J20" s="70">
        <v>7.5541307495821775</v>
      </c>
      <c r="K20" s="70">
        <v>3.2159308597668801</v>
      </c>
      <c r="L20" s="70">
        <v>6.1121134785016684</v>
      </c>
      <c r="M20" s="70">
        <v>2.8317831552553852</v>
      </c>
      <c r="N20" s="70">
        <v>4.3666527590065618</v>
      </c>
      <c r="O20" s="70">
        <v>5.0990697753321435</v>
      </c>
      <c r="P20" s="70">
        <v>-3.1770575278798341</v>
      </c>
      <c r="Q20" s="70">
        <v>-12.062973095556407</v>
      </c>
      <c r="R20" s="70">
        <v>-2.7632328748299129</v>
      </c>
      <c r="S20" s="70">
        <v>-7.1751540547393962</v>
      </c>
      <c r="T20" s="70">
        <v>-2.8962622051842191</v>
      </c>
      <c r="U20" s="70">
        <v>12.701758626253024</v>
      </c>
      <c r="V20" s="70">
        <v>-5.43820541055553</v>
      </c>
      <c r="W20" s="70">
        <v>4.2343218791475179</v>
      </c>
      <c r="X20" s="70">
        <v>9.1541843411877544</v>
      </c>
      <c r="Y20" s="70">
        <v>6.8821158807720773</v>
      </c>
      <c r="Z20" s="70">
        <v>5.9899291997090431</v>
      </c>
      <c r="AA20" s="70">
        <v>2.2153882684932125</v>
      </c>
      <c r="AB20" s="70">
        <v>-0.69557446076269347</v>
      </c>
      <c r="AC20" s="70">
        <v>7.7560919093310199</v>
      </c>
      <c r="AD20" s="70">
        <v>12.084538253806754</v>
      </c>
      <c r="AE20" s="70">
        <v>8.5197677091910951</v>
      </c>
      <c r="AF20" s="70">
        <v>9.5936596268860299</v>
      </c>
      <c r="AG20" s="70">
        <v>7.1958738179955128</v>
      </c>
      <c r="AH20" s="70">
        <v>10.27005338243181</v>
      </c>
      <c r="AI20" s="70">
        <v>7.4696605352004619</v>
      </c>
      <c r="AJ20" s="70">
        <v>11.354877381850859</v>
      </c>
      <c r="AK20" s="70">
        <v>7.008955193055999</v>
      </c>
      <c r="AL20" s="70">
        <v>6.1769750880769081</v>
      </c>
      <c r="AM20" s="70">
        <v>4.8980027424448069</v>
      </c>
    </row>
    <row r="21" spans="1:39" ht="17.100000000000001" customHeight="1" x14ac:dyDescent="0.2">
      <c r="A21" s="78" t="s">
        <v>53</v>
      </c>
      <c r="B21" s="70">
        <v>0.51489417529264614</v>
      </c>
      <c r="C21" s="70">
        <v>-4.1751832634171144</v>
      </c>
      <c r="D21" s="70">
        <v>5.5160879801765761</v>
      </c>
      <c r="E21" s="70">
        <v>7.8892463918477818</v>
      </c>
      <c r="F21" s="70">
        <v>11.035093062632395</v>
      </c>
      <c r="G21" s="70">
        <v>11.993096020170423</v>
      </c>
      <c r="H21" s="70">
        <v>12.341210318588281</v>
      </c>
      <c r="I21" s="70">
        <v>9.7370847201530211</v>
      </c>
      <c r="J21" s="70">
        <v>3.0913646039602005</v>
      </c>
      <c r="K21" s="70">
        <v>0.40709826234810453</v>
      </c>
      <c r="L21" s="70">
        <v>0.45822364571179719</v>
      </c>
      <c r="M21" s="70">
        <v>-0.51614336008349859</v>
      </c>
      <c r="N21" s="70">
        <v>4.0784378595559945</v>
      </c>
      <c r="O21" s="70">
        <v>1.8562483599342317</v>
      </c>
      <c r="P21" s="70">
        <v>-2.3113100724502011</v>
      </c>
      <c r="Q21" s="70">
        <v>-10.317459926353855</v>
      </c>
      <c r="R21" s="70">
        <v>-7.2732657842651482</v>
      </c>
      <c r="S21" s="70">
        <v>-2.677539551874264</v>
      </c>
      <c r="T21" s="70">
        <v>1.4133736623397342</v>
      </c>
      <c r="U21" s="70">
        <v>8.4136610503785292</v>
      </c>
      <c r="V21" s="70">
        <v>-8.6920747591360819</v>
      </c>
      <c r="W21" s="70">
        <v>-2.1481695759080321</v>
      </c>
      <c r="X21" s="70">
        <v>3.1876391253113479</v>
      </c>
      <c r="Y21" s="70">
        <v>-7.7795876677334004</v>
      </c>
      <c r="Z21" s="70">
        <v>-6.7600285279070471</v>
      </c>
      <c r="AA21" s="70">
        <v>-2.3159242001967173</v>
      </c>
      <c r="AB21" s="70">
        <v>-9.5641620980643332</v>
      </c>
      <c r="AC21" s="70">
        <v>-2.476877217829998</v>
      </c>
      <c r="AD21" s="70">
        <v>6.0987948780815815</v>
      </c>
      <c r="AE21" s="70">
        <v>6.4178496390776107</v>
      </c>
      <c r="AF21" s="70">
        <v>12.481339744637454</v>
      </c>
      <c r="AG21" s="70">
        <v>16.241652449067743</v>
      </c>
      <c r="AH21" s="70">
        <v>14.16762686793993</v>
      </c>
      <c r="AI21" s="70">
        <v>9.7856021256019545</v>
      </c>
      <c r="AJ21" s="70">
        <v>13.148342549005697</v>
      </c>
      <c r="AK21" s="70">
        <v>11.964916390334546</v>
      </c>
      <c r="AL21" s="70">
        <v>7.555884414102243</v>
      </c>
      <c r="AM21" s="70">
        <v>11.907258178625479</v>
      </c>
    </row>
    <row r="22" spans="1:39" ht="17.100000000000001" customHeight="1" x14ac:dyDescent="0.2">
      <c r="A22" s="78" t="s">
        <v>55</v>
      </c>
      <c r="B22" s="70">
        <v>18.569913089976573</v>
      </c>
      <c r="C22" s="70">
        <v>22.009302084251381</v>
      </c>
      <c r="D22" s="70">
        <v>10.226658496625118</v>
      </c>
      <c r="E22" s="70">
        <v>28.965843935743841</v>
      </c>
      <c r="F22" s="70">
        <v>18.805724529684209</v>
      </c>
      <c r="G22" s="70">
        <v>11.842224908806308</v>
      </c>
      <c r="H22" s="70">
        <v>8.6554233773688871</v>
      </c>
      <c r="I22" s="70">
        <v>3.7948276107049761</v>
      </c>
      <c r="J22" s="70">
        <v>9.7587292188450192E-3</v>
      </c>
      <c r="K22" s="70">
        <v>-0.36429117129922473</v>
      </c>
      <c r="L22" s="70">
        <v>-0.89765326865156592</v>
      </c>
      <c r="M22" s="70">
        <v>3.1574909273804463</v>
      </c>
      <c r="N22" s="70">
        <v>5.1291926788649356</v>
      </c>
      <c r="O22" s="70">
        <v>9.2486382569885617</v>
      </c>
      <c r="P22" s="70">
        <v>-2.7444655145381192</v>
      </c>
      <c r="Q22" s="70">
        <v>-45.465491318962833</v>
      </c>
      <c r="R22" s="70">
        <v>-24.632908766382144</v>
      </c>
      <c r="S22" s="70">
        <v>-18.671664859588844</v>
      </c>
      <c r="T22" s="70">
        <v>2.6817194003094347</v>
      </c>
      <c r="U22" s="70">
        <v>77.34924961049046</v>
      </c>
      <c r="V22" s="70">
        <v>1.4515780209178653</v>
      </c>
      <c r="W22" s="70">
        <v>15.497311985458516</v>
      </c>
      <c r="X22" s="70">
        <v>-19.397604086713404</v>
      </c>
      <c r="Y22" s="70">
        <v>-5.1180400914783375</v>
      </c>
      <c r="Z22" s="70">
        <v>0.67308436091362278</v>
      </c>
      <c r="AA22" s="70">
        <v>-0.45828209782725615</v>
      </c>
      <c r="AB22" s="70">
        <v>14.372516989851224</v>
      </c>
      <c r="AC22" s="70">
        <v>35.226801953732732</v>
      </c>
      <c r="AD22" s="70">
        <v>22.874901986068387</v>
      </c>
      <c r="AE22" s="70">
        <v>-1.8573779228803766</v>
      </c>
      <c r="AF22" s="70">
        <v>13.915446382292185</v>
      </c>
      <c r="AG22" s="70">
        <v>18.838060628373011</v>
      </c>
      <c r="AH22" s="70">
        <v>12.978552649124842</v>
      </c>
      <c r="AI22" s="70">
        <v>17.288332062892508</v>
      </c>
      <c r="AJ22" s="70">
        <v>14.459729016428224</v>
      </c>
      <c r="AK22" s="70">
        <v>-17.655807091842789</v>
      </c>
      <c r="AL22" s="70">
        <v>17.134518883481633</v>
      </c>
      <c r="AM22" s="70">
        <v>15.89479530186293</v>
      </c>
    </row>
    <row r="23" spans="1:39" ht="17.100000000000001" customHeight="1" x14ac:dyDescent="0.2">
      <c r="A23" s="78" t="s">
        <v>54</v>
      </c>
      <c r="B23" s="70">
        <v>14.6728950217746</v>
      </c>
      <c r="C23" s="70">
        <v>18.612604987698699</v>
      </c>
      <c r="D23" s="111">
        <v>35.864433214656088</v>
      </c>
      <c r="E23" s="70">
        <v>9.4178928986411456</v>
      </c>
      <c r="F23" s="70">
        <v>14.522213599826772</v>
      </c>
      <c r="G23" s="70">
        <v>10.766161899234227</v>
      </c>
      <c r="H23" s="70">
        <v>10.180792398264726</v>
      </c>
      <c r="I23" s="70">
        <v>6.5568626281798492</v>
      </c>
      <c r="J23" s="70">
        <v>-2.5380986051481869</v>
      </c>
      <c r="K23" s="70">
        <v>-9.3444254389858585</v>
      </c>
      <c r="L23" s="70">
        <v>-11.275811950051507</v>
      </c>
      <c r="M23" s="70">
        <v>-3.7987844537295201</v>
      </c>
      <c r="N23" s="70">
        <v>20.38456842973595</v>
      </c>
      <c r="O23" s="70">
        <v>30.248183044123955</v>
      </c>
      <c r="P23" s="70">
        <v>20.246896793472313</v>
      </c>
      <c r="Q23" s="70">
        <v>7.9589769210266503</v>
      </c>
      <c r="R23" s="70">
        <v>1.0803687272528117</v>
      </c>
      <c r="S23" s="70">
        <v>1.2448218512234321</v>
      </c>
      <c r="T23" s="70">
        <v>16.61957043400626</v>
      </c>
      <c r="U23" s="70">
        <v>30.792038212386743</v>
      </c>
      <c r="V23" s="70">
        <v>14.373045118341722</v>
      </c>
      <c r="W23" s="70">
        <v>9.57181750163838</v>
      </c>
      <c r="X23" s="70">
        <v>4.8930805310806624</v>
      </c>
      <c r="Y23" s="70">
        <v>1.7328529944831361</v>
      </c>
      <c r="Z23" s="70">
        <v>5.4128748638317514</v>
      </c>
      <c r="AA23" s="70">
        <v>5.1811210791930407</v>
      </c>
      <c r="AB23" s="70">
        <v>12.126266011028486</v>
      </c>
      <c r="AC23" s="70">
        <v>18.248583658308615</v>
      </c>
      <c r="AD23" s="70">
        <v>26.710250510044563</v>
      </c>
      <c r="AE23" s="70">
        <v>17.569141441214263</v>
      </c>
      <c r="AF23" s="70">
        <v>1.0790369636733521</v>
      </c>
      <c r="AG23" s="70">
        <v>-17.72261975865057</v>
      </c>
      <c r="AH23" s="70">
        <v>0.99376708138043668</v>
      </c>
      <c r="AI23" s="70">
        <v>-1.7658145547146842</v>
      </c>
      <c r="AJ23" s="70">
        <v>16.945669655677833</v>
      </c>
      <c r="AK23" s="70">
        <v>13.240867083705044</v>
      </c>
      <c r="AL23" s="70">
        <v>-5.2668291503915938</v>
      </c>
      <c r="AM23" s="70">
        <v>4.2112694759015801</v>
      </c>
    </row>
    <row r="24" spans="1:39" ht="17.100000000000001" customHeight="1" x14ac:dyDescent="0.2">
      <c r="A24" s="78" t="s">
        <v>72</v>
      </c>
      <c r="B24" s="70">
        <v>-8.3042827977690905</v>
      </c>
      <c r="C24" s="70">
        <v>-8.9860085861669603</v>
      </c>
      <c r="D24" s="111">
        <v>-1.1196074612851104</v>
      </c>
      <c r="E24" s="70">
        <v>2.244390477135938</v>
      </c>
      <c r="F24" s="70">
        <v>4.0745544941404255</v>
      </c>
      <c r="G24" s="70">
        <v>9.1260548255184037</v>
      </c>
      <c r="H24" s="70">
        <v>-4.5772740210663692</v>
      </c>
      <c r="I24" s="70">
        <v>1.2949705925973998</v>
      </c>
      <c r="J24" s="70">
        <v>4.1027251674818022</v>
      </c>
      <c r="K24" s="70">
        <v>6.2305066698297606</v>
      </c>
      <c r="L24" s="70">
        <v>18.775487269563239</v>
      </c>
      <c r="M24" s="70">
        <v>15.473417149267711</v>
      </c>
      <c r="N24" s="70">
        <v>19.678301472881831</v>
      </c>
      <c r="O24" s="70">
        <v>18.308974924164545</v>
      </c>
      <c r="P24" s="70">
        <v>9.5479128375771882</v>
      </c>
      <c r="Q24" s="70">
        <v>-7.4284075710674742</v>
      </c>
      <c r="R24" s="70">
        <v>2.37171876819533</v>
      </c>
      <c r="S24" s="70">
        <v>-1.6956532875640917</v>
      </c>
      <c r="T24" s="70">
        <v>10.162069328620538</v>
      </c>
      <c r="U24" s="70">
        <v>23.464239708497537</v>
      </c>
      <c r="V24" s="70">
        <v>-0.29319416867007453</v>
      </c>
      <c r="W24" s="70">
        <v>3.1738879067039649</v>
      </c>
      <c r="X24" s="70">
        <v>6.4294171665280286</v>
      </c>
      <c r="Y24" s="70">
        <v>8.4185046524549065</v>
      </c>
      <c r="Z24" s="70">
        <v>2.2213558635635566</v>
      </c>
      <c r="AA24" s="70">
        <v>14.737177742898711</v>
      </c>
      <c r="AB24" s="70">
        <v>-19.167856310629261</v>
      </c>
      <c r="AC24" s="70">
        <v>6.7280304479753195</v>
      </c>
      <c r="AD24" s="70">
        <v>1.6795706426043111</v>
      </c>
      <c r="AE24" s="70">
        <v>-0.95144995913762909</v>
      </c>
      <c r="AF24" s="70">
        <v>5.758067181854587</v>
      </c>
      <c r="AG24" s="70">
        <v>1.7240739968754859</v>
      </c>
      <c r="AH24" s="70">
        <v>11.211622691379631</v>
      </c>
      <c r="AI24" s="70">
        <v>1.8307037992461916</v>
      </c>
      <c r="AJ24" s="70">
        <v>6.2436121110582832</v>
      </c>
      <c r="AK24" s="70">
        <v>1.1396386154929772</v>
      </c>
      <c r="AL24" s="70">
        <v>7.7896357016226103</v>
      </c>
      <c r="AM24" s="70">
        <v>7.668353239627379</v>
      </c>
    </row>
    <row r="25" spans="1:39" ht="17.100000000000001" customHeight="1" x14ac:dyDescent="0.2">
      <c r="A25" s="78" t="s">
        <v>14</v>
      </c>
      <c r="B25" s="70">
        <v>-1.7230917312696326</v>
      </c>
      <c r="C25" s="70">
        <v>0.7337932285686799</v>
      </c>
      <c r="D25" s="70">
        <v>2.1718462112660708</v>
      </c>
      <c r="E25" s="70">
        <v>5.3882714395013132</v>
      </c>
      <c r="F25" s="70">
        <v>9.3972088804696874</v>
      </c>
      <c r="G25" s="70">
        <v>13.557522675998213</v>
      </c>
      <c r="H25" s="70">
        <v>12.418161546618078</v>
      </c>
      <c r="I25" s="70">
        <v>11.038549637985717</v>
      </c>
      <c r="J25" s="70">
        <v>14.027302938074794</v>
      </c>
      <c r="K25" s="70">
        <v>10.445247018050384</v>
      </c>
      <c r="L25" s="70">
        <v>10.535944025089417</v>
      </c>
      <c r="M25" s="70">
        <v>5.8611512712731129</v>
      </c>
      <c r="N25" s="70">
        <v>4.5438039634960958</v>
      </c>
      <c r="O25" s="70">
        <v>1.2798495992184966</v>
      </c>
      <c r="P25" s="70">
        <v>6.0740612558002782</v>
      </c>
      <c r="Q25" s="70">
        <v>8.65727432710408</v>
      </c>
      <c r="R25" s="70">
        <v>3.7689280120962509</v>
      </c>
      <c r="S25" s="70">
        <v>6.340069347274091</v>
      </c>
      <c r="T25" s="70">
        <v>1.5407817054458928</v>
      </c>
      <c r="U25" s="70">
        <v>4.0334258101717424</v>
      </c>
      <c r="V25" s="70">
        <v>6.8490858125873855</v>
      </c>
      <c r="W25" s="70">
        <v>9.7074885478212423</v>
      </c>
      <c r="X25" s="70">
        <v>9.8664739702531534</v>
      </c>
      <c r="Y25" s="70">
        <v>9.4492467333732844</v>
      </c>
      <c r="Z25" s="70">
        <v>8.5922570023635458</v>
      </c>
      <c r="AA25" s="70">
        <v>7.0868549991492946</v>
      </c>
      <c r="AB25" s="70">
        <v>6.3720562207563614</v>
      </c>
      <c r="AC25" s="70">
        <v>7.678154008535909</v>
      </c>
      <c r="AD25" s="70">
        <v>7.3009522611199529</v>
      </c>
      <c r="AE25" s="70">
        <v>8.3316668243836656</v>
      </c>
      <c r="AF25" s="70">
        <v>8.6029770077936654</v>
      </c>
      <c r="AG25" s="70">
        <v>5.4873942932926356</v>
      </c>
      <c r="AH25" s="70">
        <v>3.4211720393873879</v>
      </c>
      <c r="AI25" s="70">
        <v>3.0092439194321141</v>
      </c>
      <c r="AJ25" s="70">
        <v>6.8301651872829439</v>
      </c>
      <c r="AK25" s="70">
        <v>6.2155729968347284</v>
      </c>
      <c r="AL25" s="70">
        <v>8.1754147652356224</v>
      </c>
      <c r="AM25" s="70">
        <v>6.1405573485844522</v>
      </c>
    </row>
    <row r="26" spans="1:39" ht="17.100000000000001" customHeight="1" x14ac:dyDescent="0.2">
      <c r="A26" s="78" t="s">
        <v>56</v>
      </c>
      <c r="B26" s="70">
        <v>-5.8708964590704067</v>
      </c>
      <c r="C26" s="70">
        <v>-24.399644718591475</v>
      </c>
      <c r="D26" s="111">
        <v>-24.899574768463307</v>
      </c>
      <c r="E26" s="70">
        <v>-18.798684267310563</v>
      </c>
      <c r="F26" s="70">
        <v>-4.2126657975341324</v>
      </c>
      <c r="G26" s="70">
        <v>4.0827687669320767</v>
      </c>
      <c r="H26" s="70">
        <v>16.766198509485754</v>
      </c>
      <c r="I26" s="70">
        <v>18.330501183852043</v>
      </c>
      <c r="J26" s="70">
        <v>3.0607992211415747</v>
      </c>
      <c r="K26" s="70">
        <v>-4.7467742998236417</v>
      </c>
      <c r="L26" s="70">
        <v>10.07561133847461</v>
      </c>
      <c r="M26" s="70">
        <v>18.465091270750623</v>
      </c>
      <c r="N26" s="70">
        <v>29.831524605420757</v>
      </c>
      <c r="O26" s="70">
        <v>27.534304278745193</v>
      </c>
      <c r="P26" s="70">
        <v>-25.613841223153667</v>
      </c>
      <c r="Q26" s="70">
        <v>-18.782577037982872</v>
      </c>
      <c r="R26" s="70">
        <v>-30.314921311729236</v>
      </c>
      <c r="S26" s="70">
        <v>-7.3763702419776367</v>
      </c>
      <c r="T26" s="70">
        <v>57.673377376714498</v>
      </c>
      <c r="U26" s="70">
        <v>19.519425571421678</v>
      </c>
      <c r="V26" s="70">
        <v>28.212584620541147</v>
      </c>
      <c r="W26" s="70">
        <v>5.4580854879982654</v>
      </c>
      <c r="X26" s="70">
        <v>-10.599431074210441</v>
      </c>
      <c r="Y26" s="70">
        <v>-6.7668665942004154</v>
      </c>
      <c r="Z26" s="70">
        <v>47.718781857302247</v>
      </c>
      <c r="AA26" s="70">
        <v>17.358659554435075</v>
      </c>
      <c r="AB26" s="70">
        <v>30.689971776794088</v>
      </c>
      <c r="AC26" s="70">
        <v>16.932477324018301</v>
      </c>
      <c r="AD26" s="70">
        <v>-43.532555674924033</v>
      </c>
      <c r="AE26" s="70">
        <v>44.815641808957366</v>
      </c>
      <c r="AF26" s="70">
        <v>12.418638739602429</v>
      </c>
      <c r="AG26" s="70">
        <v>16.537218982547252</v>
      </c>
      <c r="AH26" s="70">
        <v>7.2477354151100126</v>
      </c>
      <c r="AI26" s="70">
        <v>-24.524773081086902</v>
      </c>
      <c r="AJ26" s="70">
        <v>15.363914767286847</v>
      </c>
      <c r="AK26" s="70">
        <v>20.202671606915089</v>
      </c>
      <c r="AL26" s="70">
        <v>8.1598601239392323</v>
      </c>
      <c r="AM26" s="70">
        <v>-19.721993824385564</v>
      </c>
    </row>
    <row r="27" spans="1:39" ht="17.100000000000001" customHeight="1" x14ac:dyDescent="0.2">
      <c r="A27" s="78" t="s">
        <v>57</v>
      </c>
      <c r="B27" s="70">
        <v>-11.066273846339136</v>
      </c>
      <c r="C27" s="70">
        <v>-8.7950511079303961</v>
      </c>
      <c r="D27" s="70">
        <v>8.0255994568361189</v>
      </c>
      <c r="E27" s="70">
        <v>5.5964168685720628</v>
      </c>
      <c r="F27" s="70">
        <v>4.0700764656781852</v>
      </c>
      <c r="G27" s="70">
        <v>2.4233415658658997</v>
      </c>
      <c r="H27" s="70">
        <v>4.5140185507916541</v>
      </c>
      <c r="I27" s="70">
        <v>9.5936877822781383</v>
      </c>
      <c r="J27" s="70">
        <v>14.198724004001217</v>
      </c>
      <c r="K27" s="70">
        <v>17.837803760080174</v>
      </c>
      <c r="L27" s="70">
        <v>18.803643452059539</v>
      </c>
      <c r="M27" s="70">
        <v>18.061286944243736</v>
      </c>
      <c r="N27" s="70">
        <v>15.310987434167078</v>
      </c>
      <c r="O27" s="70">
        <v>15.300059308956726</v>
      </c>
      <c r="P27" s="70">
        <v>1.765686754027862</v>
      </c>
      <c r="Q27" s="70">
        <v>-1.3442291259739614</v>
      </c>
      <c r="R27" s="70">
        <v>-1.0421943779470588</v>
      </c>
      <c r="S27" s="70">
        <v>-1.8968783925271349</v>
      </c>
      <c r="T27" s="70">
        <v>7.9539484359328894</v>
      </c>
      <c r="U27" s="70">
        <v>4.7755762002747115</v>
      </c>
      <c r="V27" s="70">
        <v>2.1815105815827351</v>
      </c>
      <c r="W27" s="70">
        <v>2.5299716035279474</v>
      </c>
      <c r="X27" s="70">
        <v>2.6927239132918279</v>
      </c>
      <c r="Y27" s="70">
        <v>6.7596019911086547</v>
      </c>
      <c r="Z27" s="70">
        <v>18.624444764033711</v>
      </c>
      <c r="AA27" s="70">
        <v>15.204542555940259</v>
      </c>
      <c r="AB27" s="70">
        <v>20.386012000492947</v>
      </c>
      <c r="AC27" s="70">
        <v>16.97863938544042</v>
      </c>
      <c r="AD27" s="70">
        <v>0.28451943749028263</v>
      </c>
      <c r="AE27" s="70">
        <v>-1.1138002687393733</v>
      </c>
      <c r="AF27" s="70">
        <v>6.6307931786226293</v>
      </c>
      <c r="AG27" s="70">
        <v>7.9396547526371375</v>
      </c>
      <c r="AH27" s="70">
        <v>2.6697438128885587</v>
      </c>
      <c r="AI27" s="70">
        <v>4.3040065409811978</v>
      </c>
      <c r="AJ27" s="70">
        <v>11.24577397411004</v>
      </c>
      <c r="AK27" s="70">
        <v>-7.5889295207187679E-2</v>
      </c>
      <c r="AL27" s="70">
        <v>6.6460218532176762</v>
      </c>
      <c r="AM27" s="70">
        <v>38.41565556263906</v>
      </c>
    </row>
    <row r="28" spans="1:39" ht="17.100000000000001" customHeight="1" x14ac:dyDescent="0.2">
      <c r="A28" s="78" t="s">
        <v>15</v>
      </c>
      <c r="B28" s="70">
        <v>17.964240903791627</v>
      </c>
      <c r="C28" s="70">
        <v>17.511495249604426</v>
      </c>
      <c r="D28" s="70">
        <v>21.546595055050098</v>
      </c>
      <c r="E28" s="70">
        <v>17.673423350583551</v>
      </c>
      <c r="F28" s="111">
        <v>20.522995867207072</v>
      </c>
      <c r="G28" s="111">
        <v>15.434988017676087</v>
      </c>
      <c r="H28" s="111">
        <v>8.2107049574929203</v>
      </c>
      <c r="I28" s="111">
        <v>-3.9095176884054506</v>
      </c>
      <c r="J28" s="111">
        <v>0.8464275380111852</v>
      </c>
      <c r="K28" s="111">
        <v>-1.7509283276264886</v>
      </c>
      <c r="L28" s="111">
        <v>5.4540674402010936</v>
      </c>
      <c r="M28" s="111">
        <v>13.078352232920111</v>
      </c>
      <c r="N28" s="111">
        <v>14.267079324041054</v>
      </c>
      <c r="O28" s="111">
        <v>21.617621988013802</v>
      </c>
      <c r="P28" s="111">
        <v>16.485417777206912</v>
      </c>
      <c r="Q28" s="111">
        <v>12.725186396744226</v>
      </c>
      <c r="R28" s="111">
        <v>12.227677334988662</v>
      </c>
      <c r="S28" s="111">
        <v>11.188966668541788</v>
      </c>
      <c r="T28" s="111">
        <v>22.336813614847696</v>
      </c>
      <c r="U28" s="111">
        <v>4.4528188952427605</v>
      </c>
      <c r="V28" s="111">
        <v>5.8675550582901748</v>
      </c>
      <c r="W28" s="111">
        <v>4.4330241675954563</v>
      </c>
      <c r="X28" s="111">
        <v>-4.4121081662965356</v>
      </c>
      <c r="Y28" s="111">
        <v>9.4299671452949383</v>
      </c>
      <c r="Z28" s="111">
        <v>7.5089015284319327</v>
      </c>
      <c r="AA28" s="111">
        <v>5.0386013208169045</v>
      </c>
      <c r="AB28" s="111">
        <v>-9.2197239923415104</v>
      </c>
      <c r="AC28" s="111">
        <v>1.2999141381473844</v>
      </c>
      <c r="AD28" s="111">
        <v>-17.450349117586793</v>
      </c>
      <c r="AE28" s="111">
        <v>6.6062297182847285</v>
      </c>
      <c r="AF28" s="111">
        <v>13.264043609184007</v>
      </c>
      <c r="AG28" s="111">
        <v>26.974222009477366</v>
      </c>
      <c r="AH28" s="111">
        <v>3.2970129350652577</v>
      </c>
      <c r="AI28" s="111">
        <v>4.9539410812741158</v>
      </c>
      <c r="AJ28" s="111">
        <v>6.6024955428815479</v>
      </c>
      <c r="AK28" s="111">
        <v>1.267526715631595</v>
      </c>
      <c r="AL28" s="111">
        <v>-4.8207918051723979</v>
      </c>
      <c r="AM28" s="111">
        <v>8.3384091352876499</v>
      </c>
    </row>
    <row r="29" spans="1:39" ht="17.100000000000001" customHeight="1" x14ac:dyDescent="0.2">
      <c r="A29" s="78" t="s">
        <v>16</v>
      </c>
      <c r="B29" s="70">
        <v>-9.9388563373696943</v>
      </c>
      <c r="C29" s="70">
        <v>-12.667114760753929</v>
      </c>
      <c r="D29" s="70">
        <v>-12.208822793161145</v>
      </c>
      <c r="E29" s="70">
        <v>-6.2875494727900545</v>
      </c>
      <c r="F29" s="70">
        <v>0.71780029302010995</v>
      </c>
      <c r="G29" s="70">
        <v>7.4762323284634391</v>
      </c>
      <c r="H29" s="70">
        <v>11.570759903855588</v>
      </c>
      <c r="I29" s="70">
        <v>8.459340896889822</v>
      </c>
      <c r="J29" s="70">
        <v>10.938142301286602</v>
      </c>
      <c r="K29" s="70">
        <v>12.894567111031963</v>
      </c>
      <c r="L29" s="70">
        <v>8.5698682603826413</v>
      </c>
      <c r="M29" s="70">
        <v>4.079171730446185</v>
      </c>
      <c r="N29" s="70">
        <v>-7.8670801539857393</v>
      </c>
      <c r="O29" s="70">
        <v>-5.5843100755347379</v>
      </c>
      <c r="P29" s="70">
        <v>0.99207716048950179</v>
      </c>
      <c r="Q29" s="70">
        <v>4.7305128971817156</v>
      </c>
      <c r="R29" s="70">
        <v>-12.283379065381016</v>
      </c>
      <c r="S29" s="70">
        <v>-7.9059071200507596</v>
      </c>
      <c r="T29" s="70">
        <v>-1.7234660397431933</v>
      </c>
      <c r="U29" s="70">
        <v>4.4858554623750324</v>
      </c>
      <c r="V29" s="70">
        <v>14.180337493218076</v>
      </c>
      <c r="W29" s="70">
        <v>-3.1004335032917774</v>
      </c>
      <c r="X29" s="70">
        <v>4.5456474862424878</v>
      </c>
      <c r="Y29" s="70">
        <v>-7.6011873848211735</v>
      </c>
      <c r="Z29" s="70">
        <v>13.405923138549758</v>
      </c>
      <c r="AA29" s="70">
        <v>-0.74293427763373332</v>
      </c>
      <c r="AB29" s="70">
        <v>-8.7536910858642578</v>
      </c>
      <c r="AC29" s="70">
        <v>10.740465681877499</v>
      </c>
      <c r="AD29" s="70">
        <v>10.163840123282464</v>
      </c>
      <c r="AE29" s="70">
        <v>7.7555087720091453</v>
      </c>
      <c r="AF29" s="70">
        <v>3.1106208997196294</v>
      </c>
      <c r="AG29" s="70">
        <v>-3.2968824482999426</v>
      </c>
      <c r="AH29" s="70">
        <v>-2.7330342706160637</v>
      </c>
      <c r="AI29" s="70">
        <v>4.899218887724599</v>
      </c>
      <c r="AJ29" s="70">
        <v>6.7504517908119732</v>
      </c>
      <c r="AK29" s="70">
        <v>13.191794712272831</v>
      </c>
      <c r="AL29" s="70">
        <v>5.3231919381082626</v>
      </c>
      <c r="AM29" s="70">
        <v>9.1884059166300815</v>
      </c>
    </row>
    <row r="30" spans="1:39" ht="17.100000000000001" customHeight="1" x14ac:dyDescent="0.2">
      <c r="A30" s="78" t="s">
        <v>58</v>
      </c>
      <c r="B30" s="70">
        <v>-4.4485443518881063</v>
      </c>
      <c r="C30" s="111">
        <v>-4.4884766261499509</v>
      </c>
      <c r="D30" s="111">
        <v>0.8301448878084372</v>
      </c>
      <c r="E30" s="70">
        <v>8.3253780872245109</v>
      </c>
      <c r="F30" s="70">
        <v>19.61700406878122</v>
      </c>
      <c r="G30" s="70">
        <v>22.692753828574741</v>
      </c>
      <c r="H30" s="70">
        <v>18.550391652953646</v>
      </c>
      <c r="I30" s="70">
        <v>7.5194997250952689</v>
      </c>
      <c r="J30" s="70">
        <v>9.9704382392437285</v>
      </c>
      <c r="K30" s="70">
        <v>3.1755781550815598</v>
      </c>
      <c r="L30" s="70">
        <v>1.7645168674097489</v>
      </c>
      <c r="M30" s="70">
        <v>6.5746455447709184</v>
      </c>
      <c r="N30" s="70">
        <v>1.8466677447785296</v>
      </c>
      <c r="O30" s="70">
        <v>6.7697542005376254</v>
      </c>
      <c r="P30" s="70">
        <v>2.7307847208533076</v>
      </c>
      <c r="Q30" s="70">
        <v>-7.2914228897651086</v>
      </c>
      <c r="R30" s="70">
        <v>8.8043548891281631</v>
      </c>
      <c r="S30" s="70">
        <v>5.7588784458900033</v>
      </c>
      <c r="T30" s="70">
        <v>1.3043975628676208</v>
      </c>
      <c r="U30" s="70">
        <v>12.8176402514679</v>
      </c>
      <c r="V30" s="70">
        <v>-4.8643348218030962</v>
      </c>
      <c r="W30" s="70">
        <v>17.55917741038806</v>
      </c>
      <c r="X30" s="70">
        <v>15.910549134473516</v>
      </c>
      <c r="Y30" s="70">
        <v>10.512541161939936</v>
      </c>
      <c r="Z30" s="70">
        <v>11.354251721908915</v>
      </c>
      <c r="AA30" s="70">
        <v>0.96397588925658528</v>
      </c>
      <c r="AB30" s="70">
        <v>4.4992349538866439</v>
      </c>
      <c r="AC30" s="70">
        <v>1.6002763852602797</v>
      </c>
      <c r="AD30" s="70">
        <v>-6.9514029834215618</v>
      </c>
      <c r="AE30" s="70">
        <v>-3.2913101233190023</v>
      </c>
      <c r="AF30" s="70">
        <v>7.3605805342625397</v>
      </c>
      <c r="AG30" s="70">
        <v>13.177381115903209</v>
      </c>
      <c r="AH30" s="70">
        <v>7.6829817701944192</v>
      </c>
      <c r="AI30" s="70">
        <v>6.370884377445063</v>
      </c>
      <c r="AJ30" s="70">
        <v>-0.25973980484033099</v>
      </c>
      <c r="AK30" s="70">
        <v>-5.2503577448390519</v>
      </c>
      <c r="AL30" s="70">
        <v>4.2122635152621823</v>
      </c>
      <c r="AM30" s="70">
        <v>5.3179482505044673</v>
      </c>
    </row>
    <row r="31" spans="1:39" ht="17.100000000000001" customHeight="1" x14ac:dyDescent="0.2">
      <c r="A31" s="78" t="s">
        <v>71</v>
      </c>
      <c r="B31" s="70">
        <v>-8.234407221294159</v>
      </c>
      <c r="C31" s="70">
        <v>-9.5157975917222295</v>
      </c>
      <c r="D31" s="70">
        <v>26.711123295232262</v>
      </c>
      <c r="E31" s="70">
        <v>134.33676811872454</v>
      </c>
      <c r="F31" s="111">
        <v>81.047491184750896</v>
      </c>
      <c r="G31" s="111">
        <v>117.58920291680485</v>
      </c>
      <c r="H31" s="111">
        <v>77.484626929525021</v>
      </c>
      <c r="I31" s="111">
        <v>22.498751472741517</v>
      </c>
      <c r="J31" s="111">
        <v>64.084041306709864</v>
      </c>
      <c r="K31" s="111">
        <v>17.417848189482775</v>
      </c>
      <c r="L31" s="111">
        <v>14.150068782469249</v>
      </c>
      <c r="M31" s="111">
        <v>4.2342900038038422</v>
      </c>
      <c r="N31" s="111">
        <v>-1.5705449058742937</v>
      </c>
      <c r="O31" s="111">
        <v>1.6413161993404257</v>
      </c>
      <c r="P31" s="111">
        <v>-7.6716317776316822</v>
      </c>
      <c r="Q31" s="111">
        <v>-26.306140076788775</v>
      </c>
      <c r="R31" s="111">
        <v>-26.051164274789841</v>
      </c>
      <c r="S31" s="111">
        <v>-22.241977742310304</v>
      </c>
      <c r="T31" s="111">
        <v>-19.527062127174766</v>
      </c>
      <c r="U31" s="111">
        <v>25.991763188936545</v>
      </c>
      <c r="V31" s="111">
        <v>27.334592565427851</v>
      </c>
      <c r="W31" s="111">
        <v>-3.3078454361870513</v>
      </c>
      <c r="X31" s="111">
        <v>-12.421508386798763</v>
      </c>
      <c r="Y31" s="111">
        <v>-18.222103702300885</v>
      </c>
      <c r="Z31" s="111">
        <v>-32.128584008231783</v>
      </c>
      <c r="AA31" s="111">
        <v>-2.4413034376534082</v>
      </c>
      <c r="AB31" s="111">
        <v>31.531403566304483</v>
      </c>
      <c r="AC31" s="111">
        <v>34.851999221617703</v>
      </c>
      <c r="AD31" s="111">
        <v>61.638305757445558</v>
      </c>
      <c r="AE31" s="111">
        <v>-9.3749864090332924</v>
      </c>
      <c r="AF31" s="111">
        <v>8.0429228657592269</v>
      </c>
      <c r="AG31" s="111">
        <v>-16.47100902808193</v>
      </c>
      <c r="AH31" s="111">
        <v>3.3350046650798104</v>
      </c>
      <c r="AI31" s="111">
        <v>11.129547230258119</v>
      </c>
      <c r="AJ31" s="111">
        <v>4.8852735160734628</v>
      </c>
      <c r="AK31" s="111">
        <v>-12.809303924498527</v>
      </c>
      <c r="AL31" s="111">
        <v>-0.38350464803783568</v>
      </c>
      <c r="AM31" s="111">
        <v>-0.19063187901171563</v>
      </c>
    </row>
    <row r="32" spans="1:39" ht="17.100000000000001" customHeight="1" x14ac:dyDescent="0.2">
      <c r="A32" s="78" t="s">
        <v>17</v>
      </c>
      <c r="B32" s="70">
        <v>0.59627966247526309</v>
      </c>
      <c r="C32" s="70">
        <v>-4.6550946202886356</v>
      </c>
      <c r="D32" s="70">
        <v>-4.5959918034813585</v>
      </c>
      <c r="E32" s="70">
        <v>-5.3886510275995896</v>
      </c>
      <c r="F32" s="70">
        <v>-4.0421657048404835</v>
      </c>
      <c r="G32" s="70">
        <v>-1.6094004092711223</v>
      </c>
      <c r="H32" s="70">
        <v>-0.73952940730658279</v>
      </c>
      <c r="I32" s="70">
        <v>1.2811619693968712</v>
      </c>
      <c r="J32" s="70">
        <v>4.1108449843828776</v>
      </c>
      <c r="K32" s="70">
        <v>4.8264854307047855</v>
      </c>
      <c r="L32" s="70">
        <v>4.6760246901785596</v>
      </c>
      <c r="M32" s="70">
        <v>5.1732115471120776</v>
      </c>
      <c r="N32" s="70">
        <v>2.5015481093738856</v>
      </c>
      <c r="O32" s="70">
        <v>1.5030343719458328</v>
      </c>
      <c r="P32" s="70">
        <v>0.92229904637015636</v>
      </c>
      <c r="Q32" s="70">
        <v>0.78503750390253035</v>
      </c>
      <c r="R32" s="70">
        <v>0.9414596982126433</v>
      </c>
      <c r="S32" s="70">
        <v>2.0966426531650484</v>
      </c>
      <c r="T32" s="70">
        <v>3.7231534106413555</v>
      </c>
      <c r="U32" s="70">
        <v>5.0379401504915711</v>
      </c>
      <c r="V32" s="70">
        <v>5.7216721215604283</v>
      </c>
      <c r="W32" s="70">
        <v>5.1949508312345793</v>
      </c>
      <c r="X32" s="70">
        <v>4.0428981185157253</v>
      </c>
      <c r="Y32" s="70">
        <v>4.1944075028341743</v>
      </c>
      <c r="Z32" s="70">
        <v>3.1217221860034616</v>
      </c>
      <c r="AA32" s="70">
        <v>2.8070778077387004</v>
      </c>
      <c r="AB32" s="70">
        <v>2.523475149736143</v>
      </c>
      <c r="AC32" s="70">
        <v>1.2399369885393696</v>
      </c>
      <c r="AD32" s="70">
        <v>2.1083394090964269</v>
      </c>
      <c r="AE32" s="70">
        <v>16.522672421152109</v>
      </c>
      <c r="AF32" s="70">
        <v>2.4554741771994459</v>
      </c>
      <c r="AG32" s="70">
        <v>-10.576142807066802</v>
      </c>
      <c r="AH32" s="70">
        <v>1.5114261582720445</v>
      </c>
      <c r="AI32" s="70">
        <v>-11.048298029386562</v>
      </c>
      <c r="AJ32" s="70">
        <v>0.19000382247071901</v>
      </c>
      <c r="AK32" s="70">
        <v>16.866167354723906</v>
      </c>
      <c r="AL32" s="70">
        <v>2.62617269211598</v>
      </c>
      <c r="AM32" s="70">
        <v>-9.6482935458960579</v>
      </c>
    </row>
    <row r="33" spans="1:39" ht="17.100000000000001" customHeight="1" x14ac:dyDescent="0.2">
      <c r="A33" s="78" t="s">
        <v>59</v>
      </c>
      <c r="B33" s="70">
        <v>2.6609965224414278</v>
      </c>
      <c r="C33" s="70">
        <v>2.8320844466986683</v>
      </c>
      <c r="D33" s="70">
        <v>2.9241440159659238</v>
      </c>
      <c r="E33" s="70">
        <v>2.9363260182924567</v>
      </c>
      <c r="F33" s="70">
        <v>2.8680715749140218</v>
      </c>
      <c r="G33" s="70">
        <v>2.8187729622953128</v>
      </c>
      <c r="H33" s="70">
        <v>2.7883234472926288</v>
      </c>
      <c r="I33" s="70">
        <v>2.7768860174818055</v>
      </c>
      <c r="J33" s="70">
        <v>2.7843704088825083</v>
      </c>
      <c r="K33" s="70">
        <v>2.7881905874184598</v>
      </c>
      <c r="L33" s="70">
        <v>2.7883971225443061</v>
      </c>
      <c r="M33" s="70">
        <v>2.7846182009856557</v>
      </c>
      <c r="N33" s="70">
        <v>2.7768850170263315</v>
      </c>
      <c r="O33" s="70">
        <v>2.7669055186372971</v>
      </c>
      <c r="P33" s="70">
        <v>2.7550020577226997</v>
      </c>
      <c r="Q33" s="70">
        <v>2.7409597734524782</v>
      </c>
      <c r="R33" s="70">
        <v>2.7246889357079196</v>
      </c>
      <c r="S33" s="70">
        <v>2.7139812764238602</v>
      </c>
      <c r="T33" s="70">
        <v>2.7350163042024311</v>
      </c>
      <c r="U33" s="70">
        <v>2.7613681947699531</v>
      </c>
      <c r="V33" s="70">
        <v>2.7670269581454354</v>
      </c>
      <c r="W33" s="70">
        <v>2.7663441394280897</v>
      </c>
      <c r="X33" s="70">
        <v>2.7596130710298539</v>
      </c>
      <c r="Y33" s="70">
        <v>2.7465927083179409</v>
      </c>
      <c r="Z33" s="70">
        <v>2.7271632045621885</v>
      </c>
      <c r="AA33" s="70">
        <v>2.7142034463894626</v>
      </c>
      <c r="AB33" s="70">
        <v>2.7339014269153195</v>
      </c>
      <c r="AC33" s="70">
        <v>2.7598254053721183</v>
      </c>
      <c r="AD33" s="70">
        <v>2.765986148591737</v>
      </c>
      <c r="AE33" s="70">
        <v>2.7659177215327846</v>
      </c>
      <c r="AF33" s="70">
        <v>2.7599140012944723</v>
      </c>
      <c r="AG33" s="70">
        <v>2.7477362626813662</v>
      </c>
      <c r="AH33" s="70">
        <v>2.7292620381166088</v>
      </c>
      <c r="AI33" s="70">
        <v>2.7158552345348586</v>
      </c>
      <c r="AJ33" s="70">
        <v>2.7336983188573916</v>
      </c>
      <c r="AK33" s="70">
        <v>2.7563358715518405</v>
      </c>
      <c r="AL33" s="70">
        <v>2.7577825484074614</v>
      </c>
      <c r="AM33" s="70">
        <v>2.099733934037995</v>
      </c>
    </row>
    <row r="34" spans="1:39" ht="17.100000000000001" customHeight="1" x14ac:dyDescent="0.2">
      <c r="A34" s="79" t="s">
        <v>135</v>
      </c>
      <c r="B34" s="70"/>
      <c r="C34" s="70"/>
      <c r="D34" s="70"/>
      <c r="E34" s="70"/>
      <c r="F34" s="70"/>
      <c r="G34" s="70"/>
      <c r="H34" s="70"/>
      <c r="I34" s="70"/>
      <c r="J34" s="70"/>
      <c r="K34" s="70"/>
      <c r="L34" s="70"/>
      <c r="M34" s="70"/>
      <c r="N34" s="70"/>
      <c r="O34" s="70"/>
      <c r="P34" s="70"/>
      <c r="Q34" s="70"/>
      <c r="R34" s="70"/>
      <c r="S34" s="70"/>
      <c r="T34" s="70"/>
      <c r="U34" s="70"/>
      <c r="V34" s="70"/>
      <c r="W34" s="70"/>
    </row>
    <row r="35" spans="1:39" s="123" customFormat="1" ht="17.100000000000001" customHeight="1" x14ac:dyDescent="0.2">
      <c r="A35" s="133" t="s">
        <v>95</v>
      </c>
      <c r="B35" s="143"/>
      <c r="C35" s="143"/>
      <c r="D35" s="143"/>
      <c r="E35" s="143"/>
      <c r="F35" s="143"/>
      <c r="G35" s="143"/>
      <c r="H35" s="143"/>
      <c r="I35" s="143"/>
      <c r="J35" s="143"/>
      <c r="K35" s="143"/>
      <c r="L35" s="143"/>
      <c r="M35" s="143"/>
      <c r="N35" s="143"/>
      <c r="O35" s="143"/>
      <c r="P35" s="143"/>
      <c r="Q35" s="143"/>
      <c r="R35" s="143"/>
      <c r="S35" s="143"/>
      <c r="T35" s="143"/>
      <c r="U35" s="143"/>
      <c r="V35" s="143"/>
      <c r="W35" s="143"/>
    </row>
    <row r="36" spans="1:39" s="150" customFormat="1" ht="17.100000000000001" customHeight="1" thickBot="1" x14ac:dyDescent="0.25">
      <c r="A36" s="148" t="s">
        <v>19</v>
      </c>
      <c r="B36" s="149">
        <v>10.604422341941389</v>
      </c>
      <c r="C36" s="149">
        <v>4.5985732246940358</v>
      </c>
      <c r="D36" s="149">
        <v>17.953650929762976</v>
      </c>
      <c r="E36" s="149">
        <v>10.804191715420641</v>
      </c>
      <c r="F36" s="149">
        <v>7.1484299532141415</v>
      </c>
      <c r="G36" s="149">
        <v>10.453863895765881</v>
      </c>
      <c r="H36" s="149">
        <v>-0.6630609689081024</v>
      </c>
      <c r="I36" s="149">
        <v>1.37028839343869</v>
      </c>
      <c r="J36" s="149">
        <v>-0.6107872741498821</v>
      </c>
      <c r="K36" s="149">
        <v>3.2552982957715582</v>
      </c>
      <c r="L36" s="149">
        <v>10.003239549811038</v>
      </c>
      <c r="M36" s="149">
        <v>5.0444829197609176</v>
      </c>
      <c r="N36" s="149">
        <v>11.026390767471984</v>
      </c>
      <c r="O36" s="149">
        <v>9.5357940323098411</v>
      </c>
      <c r="P36" s="149">
        <v>-0.67574802038412596</v>
      </c>
      <c r="Q36" s="149">
        <v>-24.997721465312061</v>
      </c>
      <c r="R36" s="149">
        <v>-3.3582876137571827</v>
      </c>
      <c r="S36" s="149">
        <v>-4.5905031387412754</v>
      </c>
      <c r="T36" s="149">
        <v>-3.5545582314911894</v>
      </c>
      <c r="U36" s="149">
        <v>47.741355672171039</v>
      </c>
      <c r="V36" s="149">
        <v>-1.7056381781547336</v>
      </c>
      <c r="W36" s="149">
        <v>8.4536149600923594</v>
      </c>
      <c r="X36" s="149">
        <v>21.819966569086112</v>
      </c>
      <c r="Y36" s="149">
        <v>2.6241571361079075</v>
      </c>
      <c r="Z36" s="149">
        <v>17.806551999602927</v>
      </c>
      <c r="AA36" s="149">
        <v>5.1403958430175534</v>
      </c>
      <c r="AB36" s="149">
        <v>4.1100753574990545</v>
      </c>
      <c r="AC36" s="149">
        <v>11.125298245463199</v>
      </c>
      <c r="AD36" s="149">
        <v>13.913662355052846</v>
      </c>
      <c r="AE36" s="149">
        <v>6.9502736537803589</v>
      </c>
      <c r="AF36" s="149">
        <v>6.8429800830516863</v>
      </c>
      <c r="AG36" s="149">
        <v>3.7987589153507306</v>
      </c>
      <c r="AH36" s="149">
        <v>10.556978909848947</v>
      </c>
      <c r="AI36" s="149">
        <v>9.3531628155154145</v>
      </c>
      <c r="AJ36" s="149">
        <v>5.4594993674930148</v>
      </c>
      <c r="AK36" s="149">
        <v>7.9766044265149549</v>
      </c>
      <c r="AL36" s="149">
        <v>3.3485178323735099</v>
      </c>
      <c r="AM36" s="149">
        <v>7.1416697089154546</v>
      </c>
    </row>
    <row r="37" spans="1:39" x14ac:dyDescent="0.2">
      <c r="A37" s="95" t="s">
        <v>50</v>
      </c>
    </row>
  </sheetData>
  <mergeCells count="10">
    <mergeCell ref="B3:E3"/>
    <mergeCell ref="F3:I3"/>
    <mergeCell ref="J3:M3"/>
    <mergeCell ref="N3:Q3"/>
    <mergeCell ref="AL3:AM3"/>
    <mergeCell ref="AD3:AG3"/>
    <mergeCell ref="Z3:AC3"/>
    <mergeCell ref="V3:Y3"/>
    <mergeCell ref="R3:U3"/>
    <mergeCell ref="AH3:AK3"/>
  </mergeCells>
  <phoneticPr fontId="29" type="noConversion"/>
  <conditionalFormatting sqref="A5:M36">
    <cfRule type="cellIs" dxfId="14" priority="3" operator="lessThan">
      <formula>0</formula>
    </cfRule>
  </conditionalFormatting>
  <conditionalFormatting sqref="N20:P22">
    <cfRule type="cellIs" dxfId="13" priority="2" operator="lessThan">
      <formula>0</formula>
    </cfRule>
  </conditionalFormatting>
  <conditionalFormatting sqref="N12:R19 S12:AM21 Q20:R21 X30:AM33 N30:W36 X36:AM36">
    <cfRule type="cellIs" dxfId="12" priority="24" operator="lessThan">
      <formula>0</formula>
    </cfRule>
  </conditionalFormatting>
  <conditionalFormatting sqref="N5:AM11">
    <cfRule type="cellIs" dxfId="11" priority="8" operator="lessThan">
      <formula>0</formula>
    </cfRule>
  </conditionalFormatting>
  <conditionalFormatting sqref="N23:AM29">
    <cfRule type="cellIs" dxfId="10" priority="12" operator="lessThan">
      <formula>0</formula>
    </cfRule>
  </conditionalFormatting>
  <conditionalFormatting sqref="Q22:AM22">
    <cfRule type="cellIs" dxfId="9" priority="20" operator="lessThan">
      <formula>0</formula>
    </cfRule>
  </conditionalFormatting>
  <conditionalFormatting sqref="A1:XFD1048576">
    <cfRule type="cellIs" dxfId="8" priority="1" operator="lessThan">
      <formula>0</formula>
    </cfRule>
  </conditionalFormatting>
  <pageMargins left="0.31496062992125984" right="0" top="0.51181102362204722" bottom="0" header="0" footer="0"/>
  <pageSetup paperSize="9" scale="5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pageSetUpPr fitToPage="1"/>
  </sheetPr>
  <dimension ref="A1:AM37"/>
  <sheetViews>
    <sheetView showGridLines="0" view="pageBreakPreview" topLeftCell="G1" zoomScale="120" zoomScaleNormal="100" zoomScaleSheetLayoutView="120" workbookViewId="0">
      <selection activeCell="AA32" sqref="AA32"/>
    </sheetView>
  </sheetViews>
  <sheetFormatPr defaultColWidth="9.140625" defaultRowHeight="11.25" x14ac:dyDescent="0.2"/>
  <cols>
    <col min="1" max="1" width="25.42578125" style="35" customWidth="1"/>
    <col min="2" max="2" width="6.28515625" style="35" customWidth="1"/>
    <col min="3" max="3" width="6.28515625" style="35" bestFit="1" customWidth="1"/>
    <col min="4" max="4" width="6.140625" style="35" customWidth="1"/>
    <col min="5" max="5" width="6.7109375" style="35" customWidth="1"/>
    <col min="6" max="6" width="7.42578125" style="35" customWidth="1"/>
    <col min="7" max="7" width="6.28515625" style="35" bestFit="1" customWidth="1"/>
    <col min="8" max="10" width="7" style="35" customWidth="1"/>
    <col min="11" max="16" width="6.28515625" style="35" bestFit="1" customWidth="1"/>
    <col min="17" max="17" width="6.28515625" style="35" customWidth="1"/>
    <col min="18" max="25" width="6.28515625" style="35" bestFit="1" customWidth="1"/>
    <col min="26" max="26" width="6.5703125" style="35" bestFit="1" customWidth="1"/>
    <col min="27" max="27" width="6.28515625" style="35" bestFit="1" customWidth="1"/>
    <col min="28" max="28" width="6.85546875" style="35" customWidth="1"/>
    <col min="29" max="29" width="6.28515625" style="35" bestFit="1" customWidth="1"/>
    <col min="30" max="30" width="6.5703125" style="35" bestFit="1" customWidth="1"/>
    <col min="31" max="31" width="6.28515625" style="35" bestFit="1" customWidth="1"/>
    <col min="32" max="32" width="6.7109375" style="35" customWidth="1"/>
    <col min="33" max="33" width="6.28515625" style="35" customWidth="1"/>
    <col min="34" max="34" width="6.5703125" style="35" bestFit="1" customWidth="1"/>
    <col min="35" max="35" width="6.7109375" style="35" customWidth="1"/>
    <col min="36" max="36" width="7" style="35" customWidth="1"/>
    <col min="37" max="37" width="6.85546875" style="35" customWidth="1"/>
    <col min="38" max="38" width="7.140625" style="35" customWidth="1"/>
    <col min="39" max="39" width="6.28515625" style="35" bestFit="1" customWidth="1"/>
    <col min="40" max="16384" width="9.140625" style="35"/>
  </cols>
  <sheetData>
    <row r="1" spans="1:39" s="87" customFormat="1" ht="17.25" customHeight="1" x14ac:dyDescent="0.2">
      <c r="A1" s="31" t="s">
        <v>172</v>
      </c>
      <c r="B1" s="31"/>
    </row>
    <row r="2" spans="1:39" ht="3.75" customHeight="1" thickBot="1" x14ac:dyDescent="0.25"/>
    <row r="3" spans="1:39" s="81" customFormat="1" ht="12" customHeight="1" x14ac:dyDescent="0.2">
      <c r="B3" s="215" t="s">
        <v>80</v>
      </c>
      <c r="C3" s="215"/>
      <c r="D3" s="215"/>
      <c r="E3" s="215"/>
      <c r="F3" s="215" t="s">
        <v>92</v>
      </c>
      <c r="G3" s="215"/>
      <c r="H3" s="215"/>
      <c r="I3" s="215"/>
      <c r="J3" s="217" t="s">
        <v>134</v>
      </c>
      <c r="K3" s="217"/>
      <c r="L3" s="217"/>
      <c r="M3" s="217"/>
      <c r="N3" s="217" t="s">
        <v>136</v>
      </c>
      <c r="O3" s="217"/>
      <c r="P3" s="217"/>
      <c r="Q3" s="217"/>
      <c r="R3" s="216" t="s">
        <v>137</v>
      </c>
      <c r="S3" s="216"/>
      <c r="T3" s="216"/>
      <c r="U3" s="216"/>
      <c r="V3" s="215" t="s">
        <v>138</v>
      </c>
      <c r="W3" s="215"/>
      <c r="X3" s="215"/>
      <c r="Y3" s="215"/>
      <c r="Z3" s="215" t="s">
        <v>139</v>
      </c>
      <c r="AA3" s="215"/>
      <c r="AB3" s="215"/>
      <c r="AC3" s="215"/>
      <c r="AD3" s="215" t="s">
        <v>140</v>
      </c>
      <c r="AE3" s="215"/>
      <c r="AF3" s="215"/>
      <c r="AG3" s="215"/>
      <c r="AH3" s="215" t="s">
        <v>166</v>
      </c>
      <c r="AI3" s="215"/>
      <c r="AJ3" s="215"/>
      <c r="AK3" s="215"/>
      <c r="AL3" s="215" t="s">
        <v>167</v>
      </c>
      <c r="AM3" s="215"/>
    </row>
    <row r="4" spans="1:39" s="123" customFormat="1" ht="13.5" customHeight="1" x14ac:dyDescent="0.2">
      <c r="A4" s="83"/>
      <c r="B4" s="84" t="s">
        <v>46</v>
      </c>
      <c r="C4" s="84" t="s">
        <v>47</v>
      </c>
      <c r="D4" s="84" t="s">
        <v>48</v>
      </c>
      <c r="E4" s="84" t="s">
        <v>49</v>
      </c>
      <c r="F4" s="84" t="s">
        <v>46</v>
      </c>
      <c r="G4" s="84" t="s">
        <v>47</v>
      </c>
      <c r="H4" s="84" t="s">
        <v>48</v>
      </c>
      <c r="I4" s="84" t="s">
        <v>49</v>
      </c>
      <c r="J4" s="132" t="s">
        <v>46</v>
      </c>
      <c r="K4" s="132" t="s">
        <v>47</v>
      </c>
      <c r="L4" s="84" t="s">
        <v>48</v>
      </c>
      <c r="M4" s="84" t="s">
        <v>49</v>
      </c>
      <c r="N4" s="132" t="s">
        <v>46</v>
      </c>
      <c r="O4" s="132" t="s">
        <v>47</v>
      </c>
      <c r="P4" s="132" t="s">
        <v>48</v>
      </c>
      <c r="Q4" s="132" t="s">
        <v>49</v>
      </c>
      <c r="R4" s="132" t="s">
        <v>46</v>
      </c>
      <c r="S4" s="132" t="s">
        <v>47</v>
      </c>
      <c r="T4" s="132" t="s">
        <v>48</v>
      </c>
      <c r="U4" s="132" t="s">
        <v>49</v>
      </c>
      <c r="V4" s="132" t="s">
        <v>46</v>
      </c>
      <c r="W4" s="132" t="s">
        <v>47</v>
      </c>
      <c r="X4" s="132" t="s">
        <v>48</v>
      </c>
      <c r="Y4" s="132" t="s">
        <v>49</v>
      </c>
      <c r="Z4" s="132" t="s">
        <v>46</v>
      </c>
      <c r="AA4" s="132" t="s">
        <v>47</v>
      </c>
      <c r="AB4" s="132" t="s">
        <v>48</v>
      </c>
      <c r="AC4" s="132" t="s">
        <v>49</v>
      </c>
      <c r="AD4" s="132" t="s">
        <v>46</v>
      </c>
      <c r="AE4" s="132" t="s">
        <v>47</v>
      </c>
      <c r="AF4" s="132" t="s">
        <v>48</v>
      </c>
      <c r="AG4" s="132" t="s">
        <v>49</v>
      </c>
      <c r="AH4" s="132" t="s">
        <v>46</v>
      </c>
      <c r="AI4" s="132" t="s">
        <v>47</v>
      </c>
      <c r="AJ4" s="132" t="s">
        <v>48</v>
      </c>
      <c r="AK4" s="132" t="s">
        <v>49</v>
      </c>
      <c r="AL4" s="132" t="s">
        <v>46</v>
      </c>
      <c r="AM4" s="132" t="s">
        <v>47</v>
      </c>
    </row>
    <row r="5" spans="1:39" s="37" customFormat="1" ht="17.100000000000001" customHeight="1" x14ac:dyDescent="0.2">
      <c r="A5" s="39" t="s">
        <v>97</v>
      </c>
      <c r="B5" s="107">
        <v>97.21583590241886</v>
      </c>
      <c r="C5" s="107">
        <v>99.797340009737724</v>
      </c>
      <c r="D5" s="107">
        <v>101.85497454499499</v>
      </c>
      <c r="E5" s="107">
        <v>101.33928089122992</v>
      </c>
      <c r="F5" s="107">
        <v>102.2665844621645</v>
      </c>
      <c r="G5" s="107">
        <v>100.32083859868617</v>
      </c>
      <c r="H5" s="107">
        <v>106.43320772754463</v>
      </c>
      <c r="I5" s="107">
        <v>108.94625030634192</v>
      </c>
      <c r="J5" s="107">
        <v>105.17889387602084</v>
      </c>
      <c r="K5" s="107">
        <v>107.41317920238555</v>
      </c>
      <c r="L5" s="107">
        <v>108.25571558289717</v>
      </c>
      <c r="M5" s="107">
        <v>109.62404320668224</v>
      </c>
      <c r="N5" s="107">
        <v>108.59652606769849</v>
      </c>
      <c r="O5" s="107">
        <v>112.1193674264713</v>
      </c>
      <c r="P5" s="107">
        <v>111.87089079488244</v>
      </c>
      <c r="Q5" s="107">
        <v>109.57130145402306</v>
      </c>
      <c r="R5" s="107">
        <v>111.8221156666003</v>
      </c>
      <c r="S5" s="107">
        <v>113.61348158140309</v>
      </c>
      <c r="T5" s="107">
        <v>113.49601524466458</v>
      </c>
      <c r="U5" s="107">
        <v>114.44594293884106</v>
      </c>
      <c r="V5" s="107">
        <v>115.62812229941224</v>
      </c>
      <c r="W5" s="107">
        <v>117.15356176820453</v>
      </c>
      <c r="X5" s="107">
        <v>120.01326147791443</v>
      </c>
      <c r="Y5" s="107">
        <v>122.92107798288434</v>
      </c>
      <c r="Z5" s="107">
        <v>124.85851008036752</v>
      </c>
      <c r="AA5" s="107">
        <v>124.95111645386996</v>
      </c>
      <c r="AB5" s="107">
        <v>125.78235912121711</v>
      </c>
      <c r="AC5" s="107">
        <v>132.05519770625719</v>
      </c>
      <c r="AD5" s="107">
        <v>131.4793552864171</v>
      </c>
      <c r="AE5" s="107">
        <v>132.18531693654262</v>
      </c>
      <c r="AF5" s="107">
        <v>133.38064195931202</v>
      </c>
      <c r="AG5" s="107">
        <v>135.88858115862047</v>
      </c>
      <c r="AH5" s="107">
        <v>137.0238324027257</v>
      </c>
      <c r="AI5" s="107">
        <v>139.24655890990044</v>
      </c>
      <c r="AJ5" s="107">
        <v>141.3205116921614</v>
      </c>
      <c r="AK5" s="107">
        <v>143.21957025678665</v>
      </c>
      <c r="AL5" s="107">
        <v>138.14076707043682</v>
      </c>
      <c r="AM5" s="107">
        <v>144.51254397466491</v>
      </c>
    </row>
    <row r="6" spans="1:39" s="133" customFormat="1" ht="17.100000000000001" customHeight="1" x14ac:dyDescent="0.2">
      <c r="A6" s="133" t="s">
        <v>96</v>
      </c>
      <c r="B6" s="133">
        <v>99.737591430457854</v>
      </c>
      <c r="C6" s="133">
        <v>100.23804793144457</v>
      </c>
      <c r="D6" s="133">
        <v>101.19891923806503</v>
      </c>
      <c r="E6" s="133">
        <v>99.033022429499752</v>
      </c>
      <c r="F6" s="133">
        <v>102.14390147362538</v>
      </c>
      <c r="G6" s="133">
        <v>94.090335933916819</v>
      </c>
      <c r="H6" s="133">
        <v>110.99282417017926</v>
      </c>
      <c r="I6" s="133">
        <v>116.61138775325628</v>
      </c>
      <c r="J6" s="133">
        <v>100.94100250527124</v>
      </c>
      <c r="K6" s="133">
        <v>106.60955079198453</v>
      </c>
      <c r="L6" s="133">
        <v>112.26614939269469</v>
      </c>
      <c r="M6" s="133">
        <v>116.33675491864453</v>
      </c>
      <c r="N6" s="133">
        <v>109.1623024453871</v>
      </c>
      <c r="O6" s="133">
        <v>119.14168218425938</v>
      </c>
      <c r="P6" s="133">
        <v>116.55240001810843</v>
      </c>
      <c r="Q6" s="133">
        <v>113.09196762029234</v>
      </c>
      <c r="R6" s="133">
        <v>111.07646087807174</v>
      </c>
      <c r="S6" s="133">
        <v>116.78886699139959</v>
      </c>
      <c r="T6" s="133">
        <v>113.68909961209044</v>
      </c>
      <c r="U6" s="133">
        <v>122.17880746325791</v>
      </c>
      <c r="V6" s="133">
        <v>116.82436342177675</v>
      </c>
      <c r="W6" s="133">
        <v>125.01555968806879</v>
      </c>
      <c r="X6" s="133">
        <v>124.38789281589312</v>
      </c>
      <c r="Y6" s="133">
        <v>126.69700956695003</v>
      </c>
      <c r="Z6" s="133">
        <v>126.59092927065186</v>
      </c>
      <c r="AA6" s="133">
        <v>130.35159240189472</v>
      </c>
      <c r="AB6" s="133">
        <v>131.35435762372165</v>
      </c>
      <c r="AC6" s="133">
        <v>143.45017121310707</v>
      </c>
      <c r="AD6" s="133">
        <v>131.11951703799451</v>
      </c>
      <c r="AE6" s="133">
        <v>138.64970770638595</v>
      </c>
      <c r="AF6" s="133">
        <v>149.1508753754934</v>
      </c>
      <c r="AG6" s="133">
        <v>157.02048262248002</v>
      </c>
      <c r="AH6" s="133">
        <v>144.1743759594404</v>
      </c>
      <c r="AI6" s="133">
        <v>155.71278513926688</v>
      </c>
      <c r="AJ6" s="133">
        <v>173.06380378624831</v>
      </c>
      <c r="AK6" s="133">
        <v>169.65936023735375</v>
      </c>
      <c r="AL6" s="133">
        <v>143.33397894515252</v>
      </c>
      <c r="AM6" s="133">
        <v>162.06103588904875</v>
      </c>
    </row>
    <row r="7" spans="1:39" ht="17.100000000000001" customHeight="1" x14ac:dyDescent="0.2">
      <c r="A7" s="72" t="s">
        <v>1</v>
      </c>
      <c r="B7" s="69">
        <v>99.772367292144111</v>
      </c>
      <c r="C7" s="69">
        <v>99.947414168972244</v>
      </c>
      <c r="D7" s="69">
        <v>99.685327511547882</v>
      </c>
      <c r="E7" s="69">
        <v>100.72646837200317</v>
      </c>
      <c r="F7" s="69">
        <v>105.81673110405161</v>
      </c>
      <c r="G7" s="69">
        <v>98.947391734236618</v>
      </c>
      <c r="H7" s="69">
        <v>96.08313685713054</v>
      </c>
      <c r="I7" s="69">
        <v>99.648114615649547</v>
      </c>
      <c r="J7" s="69">
        <v>99.414191861632375</v>
      </c>
      <c r="K7" s="69">
        <v>92.198660431096755</v>
      </c>
      <c r="L7" s="69">
        <v>90.703541065528597</v>
      </c>
      <c r="M7" s="69">
        <v>85.10956705575235</v>
      </c>
      <c r="N7" s="69">
        <v>87.523450663146434</v>
      </c>
      <c r="O7" s="69">
        <v>91.094545660438925</v>
      </c>
      <c r="P7" s="69">
        <v>95.195837570694749</v>
      </c>
      <c r="Q7" s="69">
        <v>83.117463603477944</v>
      </c>
      <c r="R7" s="69">
        <v>83.505255719825527</v>
      </c>
      <c r="S7" s="69">
        <v>82.513326847889715</v>
      </c>
      <c r="T7" s="69">
        <v>91.362994670871345</v>
      </c>
      <c r="U7" s="69">
        <v>99.879565654457238</v>
      </c>
      <c r="V7" s="69">
        <v>99.839085004151812</v>
      </c>
      <c r="W7" s="69">
        <v>129.30555339502885</v>
      </c>
      <c r="X7" s="69">
        <v>134.38605352005672</v>
      </c>
      <c r="Y7" s="69">
        <v>130.05267879206056</v>
      </c>
      <c r="Z7" s="69">
        <v>121.6146772566094</v>
      </c>
      <c r="AA7" s="69">
        <v>125.57802885291716</v>
      </c>
      <c r="AB7" s="69">
        <v>122.30877605764179</v>
      </c>
      <c r="AC7" s="69">
        <v>145.72256540539698</v>
      </c>
      <c r="AD7" s="69">
        <v>144.71131447084363</v>
      </c>
      <c r="AE7" s="69">
        <v>161.23451375580063</v>
      </c>
      <c r="AF7" s="69">
        <v>185.19541311328214</v>
      </c>
      <c r="AG7" s="69">
        <v>226.18064304487331</v>
      </c>
      <c r="AH7" s="69">
        <v>182.796877124806</v>
      </c>
      <c r="AI7" s="69">
        <v>228.95284751660409</v>
      </c>
      <c r="AJ7" s="69">
        <v>251.13170939764245</v>
      </c>
      <c r="AK7" s="69">
        <v>369.85491214856052</v>
      </c>
      <c r="AL7" s="69">
        <v>208.02325246881367</v>
      </c>
      <c r="AM7" s="69">
        <v>236.88199434939455</v>
      </c>
    </row>
    <row r="8" spans="1:39" ht="17.100000000000001" customHeight="1" x14ac:dyDescent="0.2">
      <c r="A8" s="72" t="s">
        <v>2</v>
      </c>
      <c r="B8" s="69">
        <v>102.75752396993714</v>
      </c>
      <c r="C8" s="69">
        <v>100.34971398153067</v>
      </c>
      <c r="D8" s="69">
        <v>98.214039025065176</v>
      </c>
      <c r="E8" s="69">
        <v>96.311810023594376</v>
      </c>
      <c r="F8" s="69">
        <v>104.09123453765801</v>
      </c>
      <c r="G8" s="69">
        <v>95.676742032026013</v>
      </c>
      <c r="H8" s="69">
        <v>104.08750896977909</v>
      </c>
      <c r="I8" s="69">
        <v>107.29511502870676</v>
      </c>
      <c r="J8" s="69">
        <v>98.311579725990285</v>
      </c>
      <c r="K8" s="69">
        <v>101.05843408847389</v>
      </c>
      <c r="L8" s="69">
        <v>103.59143225892871</v>
      </c>
      <c r="M8" s="69">
        <v>111.69825324723264</v>
      </c>
      <c r="N8" s="69">
        <v>103.71696815957741</v>
      </c>
      <c r="O8" s="69">
        <v>105.27323208065012</v>
      </c>
      <c r="P8" s="69">
        <v>105.65048611178651</v>
      </c>
      <c r="Q8" s="69">
        <v>105.10923622058743</v>
      </c>
      <c r="R8" s="69">
        <v>105.48663840208654</v>
      </c>
      <c r="S8" s="69">
        <v>99.341063058247443</v>
      </c>
      <c r="T8" s="69">
        <v>100.55750833175657</v>
      </c>
      <c r="U8" s="69">
        <v>115.43198334989135</v>
      </c>
      <c r="V8" s="69">
        <v>110.68596894678764</v>
      </c>
      <c r="W8" s="69">
        <v>112.2430324664422</v>
      </c>
      <c r="X8" s="69">
        <v>101.09980446144142</v>
      </c>
      <c r="Y8" s="69">
        <v>116.94817085884249</v>
      </c>
      <c r="Z8" s="69">
        <v>122.99656760214914</v>
      </c>
      <c r="AA8" s="69">
        <v>122.02213569694844</v>
      </c>
      <c r="AB8" s="69">
        <v>109.09078959614989</v>
      </c>
      <c r="AC8" s="69">
        <v>137.56287090834886</v>
      </c>
      <c r="AD8" s="69">
        <v>123.11562596571717</v>
      </c>
      <c r="AE8" s="69">
        <v>123.66148145271845</v>
      </c>
      <c r="AF8" s="69">
        <v>111.28913119237684</v>
      </c>
      <c r="AG8" s="69">
        <v>139.30162653340852</v>
      </c>
      <c r="AH8" s="69">
        <v>132.83579354168856</v>
      </c>
      <c r="AI8" s="69">
        <v>133.07466376799638</v>
      </c>
      <c r="AJ8" s="69">
        <v>121.68379168988707</v>
      </c>
      <c r="AK8" s="69">
        <v>125.97285361895534</v>
      </c>
      <c r="AL8" s="69">
        <v>123.03798562405635</v>
      </c>
      <c r="AM8" s="69">
        <v>137.14502579789897</v>
      </c>
    </row>
    <row r="9" spans="1:39" ht="17.100000000000001" customHeight="1" x14ac:dyDescent="0.2">
      <c r="A9" s="72" t="s">
        <v>3</v>
      </c>
      <c r="B9" s="69">
        <v>98.505191951293938</v>
      </c>
      <c r="C9" s="69">
        <v>98.757796402089767</v>
      </c>
      <c r="D9" s="69">
        <v>100.92045494279425</v>
      </c>
      <c r="E9" s="69">
        <v>101.71154027404519</v>
      </c>
      <c r="F9" s="69">
        <v>107.75110592980985</v>
      </c>
      <c r="G9" s="69">
        <v>108.34239837454187</v>
      </c>
      <c r="H9" s="69">
        <v>110.46132596570799</v>
      </c>
      <c r="I9" s="69">
        <v>110.6698446598035</v>
      </c>
      <c r="J9" s="69">
        <v>114.3590727524367</v>
      </c>
      <c r="K9" s="69">
        <v>116.52011140510727</v>
      </c>
      <c r="L9" s="69">
        <v>120.52752811405279</v>
      </c>
      <c r="M9" s="69">
        <v>120.41221588565017</v>
      </c>
      <c r="N9" s="69">
        <v>123.2884862161645</v>
      </c>
      <c r="O9" s="69">
        <v>126.62880283347464</v>
      </c>
      <c r="P9" s="69">
        <v>130.81910284159349</v>
      </c>
      <c r="Q9" s="69">
        <v>132.20313752312279</v>
      </c>
      <c r="R9" s="69">
        <v>131.72257688160832</v>
      </c>
      <c r="S9" s="69">
        <v>132.04385027480515</v>
      </c>
      <c r="T9" s="69">
        <v>129.43380744342309</v>
      </c>
      <c r="U9" s="69">
        <v>134.16453604279383</v>
      </c>
      <c r="V9" s="69">
        <v>135.7007947853823</v>
      </c>
      <c r="W9" s="69">
        <v>136.93405855134571</v>
      </c>
      <c r="X9" s="69">
        <v>133.02029179038809</v>
      </c>
      <c r="Y9" s="69">
        <v>133.21036819554328</v>
      </c>
      <c r="Z9" s="69">
        <v>136.95173739050588</v>
      </c>
      <c r="AA9" s="69">
        <v>139.33305312648534</v>
      </c>
      <c r="AB9" s="69">
        <v>145.36231362250822</v>
      </c>
      <c r="AC9" s="69">
        <v>147.65167301545122</v>
      </c>
      <c r="AD9" s="69">
        <v>147.94710808159789</v>
      </c>
      <c r="AE9" s="69">
        <v>149.34966705490521</v>
      </c>
      <c r="AF9" s="69">
        <v>152.95487358474671</v>
      </c>
      <c r="AG9" s="69">
        <v>155.18395657337584</v>
      </c>
      <c r="AH9" s="69">
        <v>159.41719601827967</v>
      </c>
      <c r="AI9" s="69">
        <v>161.84656463695819</v>
      </c>
      <c r="AJ9" s="69">
        <v>166.66256538448158</v>
      </c>
      <c r="AK9" s="69">
        <v>169.94578670701785</v>
      </c>
      <c r="AL9" s="69">
        <v>170.13189973494568</v>
      </c>
      <c r="AM9" s="69">
        <v>171.44876884709868</v>
      </c>
    </row>
    <row r="10" spans="1:39" ht="17.100000000000001" customHeight="1" x14ac:dyDescent="0.2">
      <c r="A10" s="72" t="s">
        <v>4</v>
      </c>
      <c r="B10" s="69">
        <v>88.439806538125708</v>
      </c>
      <c r="C10" s="69">
        <v>107.36704768899175</v>
      </c>
      <c r="D10" s="69">
        <v>136.79855977237321</v>
      </c>
      <c r="E10" s="69">
        <v>94.334979933372793</v>
      </c>
      <c r="F10" s="69">
        <v>77.40139807875147</v>
      </c>
      <c r="G10" s="69">
        <v>90.847300895422634</v>
      </c>
      <c r="H10" s="69">
        <v>118.76131968058934</v>
      </c>
      <c r="I10" s="69">
        <v>87.647031049200592</v>
      </c>
      <c r="J10" s="69">
        <v>85.864393497632648</v>
      </c>
      <c r="K10" s="69">
        <v>108.21439956262748</v>
      </c>
      <c r="L10" s="69">
        <v>144.61751751148734</v>
      </c>
      <c r="M10" s="69">
        <v>101.51428997225909</v>
      </c>
      <c r="N10" s="69">
        <v>87.121765663151891</v>
      </c>
      <c r="O10" s="69">
        <v>102.08231675751873</v>
      </c>
      <c r="P10" s="69">
        <v>154.07710241846615</v>
      </c>
      <c r="Q10" s="69">
        <v>104.68773978819871</v>
      </c>
      <c r="R10" s="69">
        <v>85.635646088254745</v>
      </c>
      <c r="S10" s="69">
        <v>108.84554093297237</v>
      </c>
      <c r="T10" s="69">
        <v>144.37766670103855</v>
      </c>
      <c r="U10" s="69">
        <v>103.7951508202336</v>
      </c>
      <c r="V10" s="69">
        <v>89.094779480911129</v>
      </c>
      <c r="W10" s="69">
        <v>115.16745294221393</v>
      </c>
      <c r="X10" s="69">
        <v>141.56271580190781</v>
      </c>
      <c r="Y10" s="69">
        <v>102.45637115966424</v>
      </c>
      <c r="Z10" s="69">
        <v>88.338806344369942</v>
      </c>
      <c r="AA10" s="69">
        <v>113.10300958684361</v>
      </c>
      <c r="AB10" s="69">
        <v>153.24617037094731</v>
      </c>
      <c r="AC10" s="69">
        <v>107.70575589827867</v>
      </c>
      <c r="AD10" s="69">
        <v>88.644333595626037</v>
      </c>
      <c r="AE10" s="69">
        <v>111.42295404988678</v>
      </c>
      <c r="AF10" s="69">
        <v>151.4452641800475</v>
      </c>
      <c r="AG10" s="69">
        <v>105.26230371856767</v>
      </c>
      <c r="AH10" s="69">
        <v>90.506312549470053</v>
      </c>
      <c r="AI10" s="69">
        <v>117.73875729830625</v>
      </c>
      <c r="AJ10" s="69">
        <v>147.83691988655815</v>
      </c>
      <c r="AK10" s="69">
        <v>95.903418740116891</v>
      </c>
      <c r="AL10" s="69">
        <v>92.280156338561696</v>
      </c>
      <c r="AM10" s="69">
        <v>121.60390331388393</v>
      </c>
    </row>
    <row r="11" spans="1:39" ht="17.100000000000001" customHeight="1" x14ac:dyDescent="0.2">
      <c r="A11" s="72" t="s">
        <v>5</v>
      </c>
      <c r="B11" s="69">
        <v>86.405515964393871</v>
      </c>
      <c r="C11" s="69">
        <v>103.79917894085399</v>
      </c>
      <c r="D11" s="69">
        <v>108.3932400603158</v>
      </c>
      <c r="E11" s="69">
        <v>101.06137754352827</v>
      </c>
      <c r="F11" s="69">
        <v>80.820458919071498</v>
      </c>
      <c r="G11" s="69">
        <v>63.400907276293793</v>
      </c>
      <c r="H11" s="69">
        <v>136.99288177545677</v>
      </c>
      <c r="I11" s="69">
        <v>155.2997725694444</v>
      </c>
      <c r="J11" s="69">
        <v>93.706837590610959</v>
      </c>
      <c r="K11" s="69">
        <v>114.53052348710371</v>
      </c>
      <c r="L11" s="69">
        <v>128.10361282555797</v>
      </c>
      <c r="M11" s="69">
        <v>133.24455707332007</v>
      </c>
      <c r="N11" s="69">
        <v>126.97268566567124</v>
      </c>
      <c r="O11" s="69">
        <v>154.59370699866804</v>
      </c>
      <c r="P11" s="69">
        <v>120.23834357585477</v>
      </c>
      <c r="Q11" s="69">
        <v>118.04490755312396</v>
      </c>
      <c r="R11" s="69">
        <v>118.82763652587572</v>
      </c>
      <c r="S11" s="69">
        <v>168.29650879113333</v>
      </c>
      <c r="T11" s="69">
        <v>122.08633915085616</v>
      </c>
      <c r="U11" s="69">
        <v>125.67033720732206</v>
      </c>
      <c r="V11" s="69">
        <v>131.22553858531657</v>
      </c>
      <c r="W11" s="69">
        <v>135.19180547030871</v>
      </c>
      <c r="X11" s="69">
        <v>134.93644549187059</v>
      </c>
      <c r="Y11" s="69">
        <v>134.47539525030967</v>
      </c>
      <c r="Z11" s="69">
        <v>136.47611333528326</v>
      </c>
      <c r="AA11" s="69">
        <v>143.52795130774328</v>
      </c>
      <c r="AB11" s="69">
        <v>137.4043136078036</v>
      </c>
      <c r="AC11" s="69">
        <v>139.18001165716427</v>
      </c>
      <c r="AD11" s="69">
        <v>145.52086613928853</v>
      </c>
      <c r="AE11" s="69">
        <v>149.79948692886919</v>
      </c>
      <c r="AF11" s="69">
        <v>155.31669780483753</v>
      </c>
      <c r="AG11" s="69">
        <v>158.35140401083095</v>
      </c>
      <c r="AH11" s="69">
        <v>158.95804363699278</v>
      </c>
      <c r="AI11" s="69">
        <v>161.29439132016745</v>
      </c>
      <c r="AJ11" s="69">
        <v>172.31060945801443</v>
      </c>
      <c r="AK11" s="69">
        <v>163.6148317066955</v>
      </c>
      <c r="AL11" s="69">
        <v>164.09121129486749</v>
      </c>
      <c r="AM11" s="69">
        <v>164.17629173370884</v>
      </c>
    </row>
    <row r="12" spans="1:39" ht="17.100000000000001" customHeight="1" x14ac:dyDescent="0.2">
      <c r="A12" s="72" t="s">
        <v>6</v>
      </c>
      <c r="B12" s="69">
        <v>97.077495886390125</v>
      </c>
      <c r="C12" s="69">
        <v>96.046702248067177</v>
      </c>
      <c r="D12" s="69">
        <v>102.47552205150181</v>
      </c>
      <c r="E12" s="69">
        <v>105.32413328871341</v>
      </c>
      <c r="F12" s="69">
        <v>109.02745605108757</v>
      </c>
      <c r="G12" s="69">
        <v>118.10551890414447</v>
      </c>
      <c r="H12" s="69">
        <v>114.85298486258624</v>
      </c>
      <c r="I12" s="69">
        <v>120.6464922178903</v>
      </c>
      <c r="J12" s="69">
        <v>124.91047618225839</v>
      </c>
      <c r="K12" s="69">
        <v>125.78343981646493</v>
      </c>
      <c r="L12" s="69">
        <v>134.32267854564324</v>
      </c>
      <c r="M12" s="69">
        <v>133.37372960701578</v>
      </c>
      <c r="N12" s="69">
        <v>134.66077123005212</v>
      </c>
      <c r="O12" s="69">
        <v>159.26676112747217</v>
      </c>
      <c r="P12" s="69">
        <v>161.02638241810391</v>
      </c>
      <c r="Q12" s="69">
        <v>154.14502199902614</v>
      </c>
      <c r="R12" s="69">
        <v>165.97843188993537</v>
      </c>
      <c r="S12" s="69">
        <v>154.40058385329007</v>
      </c>
      <c r="T12" s="69">
        <v>157.37526331032663</v>
      </c>
      <c r="U12" s="69">
        <v>167.966063318756</v>
      </c>
      <c r="V12" s="69">
        <v>155.77262382144755</v>
      </c>
      <c r="W12" s="69">
        <v>156.93253811606834</v>
      </c>
      <c r="X12" s="69">
        <v>155.1870854476895</v>
      </c>
      <c r="Y12" s="69">
        <v>165.05810562118762</v>
      </c>
      <c r="Z12" s="69">
        <v>148.42394234743836</v>
      </c>
      <c r="AA12" s="69">
        <v>153.00882264087869</v>
      </c>
      <c r="AB12" s="69">
        <v>171.04624807704622</v>
      </c>
      <c r="AC12" s="69">
        <v>182.57638894645859</v>
      </c>
      <c r="AD12" s="69">
        <v>153.10927272886894</v>
      </c>
      <c r="AE12" s="69">
        <v>162.22541885257723</v>
      </c>
      <c r="AF12" s="69">
        <v>187.78799801059131</v>
      </c>
      <c r="AG12" s="69">
        <v>193.58219430412188</v>
      </c>
      <c r="AH12" s="69">
        <v>159.24946802442037</v>
      </c>
      <c r="AI12" s="69">
        <v>156.65071210511513</v>
      </c>
      <c r="AJ12" s="69">
        <v>195.58468764115025</v>
      </c>
      <c r="AK12" s="69">
        <v>212.04481168877675</v>
      </c>
      <c r="AL12" s="69">
        <v>165.62423832246108</v>
      </c>
      <c r="AM12" s="69">
        <v>169.65201786544802</v>
      </c>
    </row>
    <row r="13" spans="1:39" s="133" customFormat="1" ht="17.100000000000001" customHeight="1" x14ac:dyDescent="0.2">
      <c r="A13" s="133" t="s">
        <v>93</v>
      </c>
      <c r="B13" s="133">
        <v>96.933265997692502</v>
      </c>
      <c r="C13" s="133">
        <v>98.425229844112224</v>
      </c>
      <c r="D13" s="133">
        <v>102.02209479653777</v>
      </c>
      <c r="E13" s="133">
        <v>102.43051878428611</v>
      </c>
      <c r="F13" s="133">
        <v>105.67279720720389</v>
      </c>
      <c r="G13" s="133">
        <v>105.27360539304253</v>
      </c>
      <c r="H13" s="133">
        <v>106.5099727189352</v>
      </c>
      <c r="I13" s="133">
        <v>109.34370807467585</v>
      </c>
      <c r="J13" s="133">
        <v>111.46770288806131</v>
      </c>
      <c r="K13" s="133">
        <v>108.46497903768868</v>
      </c>
      <c r="L13" s="133">
        <v>108.24197742154691</v>
      </c>
      <c r="M13" s="133">
        <v>107.49893984203428</v>
      </c>
      <c r="N13" s="133">
        <v>108.76951066415161</v>
      </c>
      <c r="O13" s="133">
        <v>110.34755327993038</v>
      </c>
      <c r="P13" s="133">
        <v>112.08224480265498</v>
      </c>
      <c r="Q13" s="133">
        <v>113.05142935962155</v>
      </c>
      <c r="R13" s="133">
        <v>115.37585338482418</v>
      </c>
      <c r="S13" s="133">
        <v>115.57811666896281</v>
      </c>
      <c r="T13" s="133">
        <v>118.03020708779522</v>
      </c>
      <c r="U13" s="133">
        <v>117.83228143648283</v>
      </c>
      <c r="V13" s="133">
        <v>119.16088201219988</v>
      </c>
      <c r="W13" s="133">
        <v>113.40245003162495</v>
      </c>
      <c r="X13" s="133">
        <v>123.02174488995992</v>
      </c>
      <c r="Y13" s="133">
        <v>124.9064136053584</v>
      </c>
      <c r="Z13" s="133">
        <v>125.63704899403109</v>
      </c>
      <c r="AA13" s="133">
        <v>122.83104641391891</v>
      </c>
      <c r="AB13" s="133">
        <v>123.61649860301327</v>
      </c>
      <c r="AC13" s="133">
        <v>127.37306204652094</v>
      </c>
      <c r="AD13" s="133">
        <v>128.9109267580472</v>
      </c>
      <c r="AE13" s="133">
        <v>129.29454312038752</v>
      </c>
      <c r="AF13" s="133">
        <v>125.21424514166586</v>
      </c>
      <c r="AG13" s="133">
        <v>125.63411342362301</v>
      </c>
      <c r="AH13" s="133">
        <v>127.18904005782822</v>
      </c>
      <c r="AI13" s="133">
        <v>130.4651088546174</v>
      </c>
      <c r="AJ13" s="133">
        <v>129.99549258739148</v>
      </c>
      <c r="AK13" s="133">
        <v>132.30539760506949</v>
      </c>
      <c r="AL13" s="133">
        <v>129.18592133801471</v>
      </c>
      <c r="AM13" s="133">
        <v>130.95822500802046</v>
      </c>
    </row>
    <row r="14" spans="1:39" ht="17.100000000000001" customHeight="1" x14ac:dyDescent="0.2">
      <c r="A14" s="72" t="s">
        <v>8</v>
      </c>
      <c r="B14" s="69">
        <v>106.47369845849714</v>
      </c>
      <c r="C14" s="69">
        <v>105.47760023110442</v>
      </c>
      <c r="D14" s="69">
        <v>104.40306260054315</v>
      </c>
      <c r="E14" s="69">
        <v>87.552938790806806</v>
      </c>
      <c r="F14" s="69">
        <v>104.96697552575733</v>
      </c>
      <c r="G14" s="69">
        <v>119.47703356034177</v>
      </c>
      <c r="H14" s="69">
        <v>116.27097328412211</v>
      </c>
      <c r="I14" s="69">
        <v>134.45700039312436</v>
      </c>
      <c r="J14" s="69">
        <v>160.28021643270316</v>
      </c>
      <c r="K14" s="69">
        <v>161.90769119736876</v>
      </c>
      <c r="L14" s="69">
        <v>142.78990757663982</v>
      </c>
      <c r="M14" s="69">
        <v>140.903413147843</v>
      </c>
      <c r="N14" s="69">
        <v>124.3296254633982</v>
      </c>
      <c r="O14" s="69">
        <v>127.32376388373754</v>
      </c>
      <c r="P14" s="69">
        <v>122.89786623515731</v>
      </c>
      <c r="Q14" s="69">
        <v>147.92698685448343</v>
      </c>
      <c r="R14" s="69">
        <v>133.97546680573021</v>
      </c>
      <c r="S14" s="69">
        <v>148.69934213174355</v>
      </c>
      <c r="T14" s="69">
        <v>168.11231652958901</v>
      </c>
      <c r="U14" s="69">
        <v>154.30862418297417</v>
      </c>
      <c r="V14" s="69">
        <v>136.13166447689778</v>
      </c>
      <c r="W14" s="69">
        <v>65.561307407872988</v>
      </c>
      <c r="X14" s="69">
        <v>135.17824194407549</v>
      </c>
      <c r="Y14" s="69">
        <v>106.99264866917547</v>
      </c>
      <c r="Z14" s="69">
        <v>106.19465259903404</v>
      </c>
      <c r="AA14" s="69">
        <v>95.016501234543554</v>
      </c>
      <c r="AB14" s="69">
        <v>106.70184794694745</v>
      </c>
      <c r="AC14" s="69">
        <v>129.24526761377157</v>
      </c>
      <c r="AD14" s="69">
        <v>121.77040857863311</v>
      </c>
      <c r="AE14" s="69">
        <v>94.269127319391529</v>
      </c>
      <c r="AF14" s="69">
        <v>97.415383650393679</v>
      </c>
      <c r="AG14" s="69">
        <v>103.83743690507914</v>
      </c>
      <c r="AH14" s="69">
        <v>80.447826978715455</v>
      </c>
      <c r="AI14" s="69">
        <v>127.0964952432734</v>
      </c>
      <c r="AJ14" s="69">
        <v>121.72326351196428</v>
      </c>
      <c r="AK14" s="69">
        <v>107.74948098239017</v>
      </c>
      <c r="AL14" s="69">
        <v>89.358530266376775</v>
      </c>
      <c r="AM14" s="69">
        <v>101.56044912460655</v>
      </c>
    </row>
    <row r="15" spans="1:39" ht="17.100000000000001" customHeight="1" x14ac:dyDescent="0.2">
      <c r="A15" s="42" t="s">
        <v>9</v>
      </c>
      <c r="B15" s="69">
        <v>95.562872554479199</v>
      </c>
      <c r="C15" s="69">
        <v>98.243412527540869</v>
      </c>
      <c r="D15" s="69">
        <v>102.10076479088599</v>
      </c>
      <c r="E15" s="69">
        <v>103.88739076754105</v>
      </c>
      <c r="F15" s="69">
        <v>107.7290938855291</v>
      </c>
      <c r="G15" s="69">
        <v>106.10423624478787</v>
      </c>
      <c r="H15" s="69">
        <v>107.58899220107448</v>
      </c>
      <c r="I15" s="69">
        <v>110.07518281637248</v>
      </c>
      <c r="J15" s="69">
        <v>109.69785563974401</v>
      </c>
      <c r="K15" s="69">
        <v>106.73218803711084</v>
      </c>
      <c r="L15" s="69">
        <v>106.95549152361201</v>
      </c>
      <c r="M15" s="69">
        <v>107.23689467213097</v>
      </c>
      <c r="N15" s="69">
        <v>110.58498793900047</v>
      </c>
      <c r="O15" s="69">
        <v>113.17243408747257</v>
      </c>
      <c r="P15" s="69">
        <v>117.42755292158009</v>
      </c>
      <c r="Q15" s="69">
        <v>119.10495255945757</v>
      </c>
      <c r="R15" s="69">
        <v>121.06880227952419</v>
      </c>
      <c r="S15" s="69">
        <v>122.57134532740127</v>
      </c>
      <c r="T15" s="69">
        <v>126.09667781303916</v>
      </c>
      <c r="U15" s="69">
        <v>126.6324730667455</v>
      </c>
      <c r="V15" s="69">
        <v>128.66390860954857</v>
      </c>
      <c r="W15" s="69">
        <v>123.97293932384159</v>
      </c>
      <c r="X15" s="69">
        <v>131.54375811267863</v>
      </c>
      <c r="Y15" s="69">
        <v>138.29609809110968</v>
      </c>
      <c r="Z15" s="69">
        <v>137.59516137660231</v>
      </c>
      <c r="AA15" s="69">
        <v>133.69206994794726</v>
      </c>
      <c r="AB15" s="69">
        <v>135.76711549165836</v>
      </c>
      <c r="AC15" s="69">
        <v>137.6228008564967</v>
      </c>
      <c r="AD15" s="69">
        <v>139.22406913423481</v>
      </c>
      <c r="AE15" s="69">
        <v>141.23140074179096</v>
      </c>
      <c r="AF15" s="69">
        <v>139.82765833617796</v>
      </c>
      <c r="AG15" s="69">
        <v>138.91914717779534</v>
      </c>
      <c r="AH15" s="69">
        <v>143.36814793942378</v>
      </c>
      <c r="AI15" s="69">
        <v>136.02035490461947</v>
      </c>
      <c r="AJ15" s="69">
        <v>142.7829548435468</v>
      </c>
      <c r="AK15" s="69">
        <v>144.93102168966971</v>
      </c>
      <c r="AL15" s="69">
        <v>143.72908612682662</v>
      </c>
      <c r="AM15" s="69">
        <v>142.40217957870533</v>
      </c>
    </row>
    <row r="16" spans="1:39" ht="17.100000000000001" customHeight="1" x14ac:dyDescent="0.2">
      <c r="A16" s="42" t="s">
        <v>10</v>
      </c>
      <c r="B16" s="69">
        <v>94.097287754022958</v>
      </c>
      <c r="C16" s="69">
        <v>94.195905281416032</v>
      </c>
      <c r="D16" s="69">
        <v>106.22287681362185</v>
      </c>
      <c r="E16" s="69">
        <v>104.77687878376938</v>
      </c>
      <c r="F16" s="69">
        <v>104.30515097985665</v>
      </c>
      <c r="G16" s="69">
        <v>103.92619263390388</v>
      </c>
      <c r="H16" s="69">
        <v>108.92026308346101</v>
      </c>
      <c r="I16" s="69">
        <v>108.3764668352547</v>
      </c>
      <c r="J16" s="69">
        <v>117.52896894506347</v>
      </c>
      <c r="K16" s="69">
        <v>116.87987178011569</v>
      </c>
      <c r="L16" s="69">
        <v>117.067965339184</v>
      </c>
      <c r="M16" s="69">
        <v>116.43945356481336</v>
      </c>
      <c r="N16" s="69">
        <v>116.6946479302966</v>
      </c>
      <c r="O16" s="69">
        <v>116.89553359726284</v>
      </c>
      <c r="P16" s="69">
        <v>117.14702906926992</v>
      </c>
      <c r="Q16" s="69">
        <v>116.93719067439264</v>
      </c>
      <c r="R16" s="69">
        <v>116.58565948294731</v>
      </c>
      <c r="S16" s="69">
        <v>115.83389585485671</v>
      </c>
      <c r="T16" s="69">
        <v>115.37569208617462</v>
      </c>
      <c r="U16" s="69">
        <v>115.10669929577162</v>
      </c>
      <c r="V16" s="69">
        <v>114.12434695833052</v>
      </c>
      <c r="W16" s="69">
        <v>114.15974746642465</v>
      </c>
      <c r="X16" s="69">
        <v>114.65458245452444</v>
      </c>
      <c r="Y16" s="69">
        <v>115.49626891331089</v>
      </c>
      <c r="Z16" s="69">
        <v>116.62739563468172</v>
      </c>
      <c r="AA16" s="69">
        <v>104.34724048644159</v>
      </c>
      <c r="AB16" s="69">
        <v>102.59173172091873</v>
      </c>
      <c r="AC16" s="69">
        <v>101.18211892285795</v>
      </c>
      <c r="AD16" s="69">
        <v>99.28184699073806</v>
      </c>
      <c r="AE16" s="69">
        <v>98.003931249581356</v>
      </c>
      <c r="AF16" s="69">
        <v>96.418539835035986</v>
      </c>
      <c r="AG16" s="69">
        <v>98.464027952136064</v>
      </c>
      <c r="AH16" s="69">
        <v>97.075128707514878</v>
      </c>
      <c r="AI16" s="69">
        <v>96.721011672707789</v>
      </c>
      <c r="AJ16" s="69">
        <v>94.577707465792841</v>
      </c>
      <c r="AK16" s="69">
        <v>92.401641464806488</v>
      </c>
      <c r="AL16" s="69">
        <v>92.180405007884531</v>
      </c>
      <c r="AM16" s="69">
        <v>92.00070548088145</v>
      </c>
    </row>
    <row r="17" spans="1:39" ht="17.100000000000001" customHeight="1" x14ac:dyDescent="0.2">
      <c r="A17" s="42" t="s">
        <v>11</v>
      </c>
      <c r="B17" s="69">
        <v>97.658184604731218</v>
      </c>
      <c r="C17" s="69">
        <v>98.171361701105482</v>
      </c>
      <c r="D17" s="69">
        <v>100.24411737130767</v>
      </c>
      <c r="E17" s="69">
        <v>103.80603162466582</v>
      </c>
      <c r="F17" s="69">
        <v>105.90269857990877</v>
      </c>
      <c r="G17" s="69">
        <v>107.57449302323255</v>
      </c>
      <c r="H17" s="69">
        <v>107.05860867892225</v>
      </c>
      <c r="I17" s="69">
        <v>109.85286016778018</v>
      </c>
      <c r="J17" s="69">
        <v>109.00103754634654</v>
      </c>
      <c r="K17" s="69">
        <v>107.59977568997061</v>
      </c>
      <c r="L17" s="69">
        <v>104.93841622946991</v>
      </c>
      <c r="M17" s="69">
        <v>103.63962173317709</v>
      </c>
      <c r="N17" s="69">
        <v>105.16966937188369</v>
      </c>
      <c r="O17" s="69">
        <v>107.70155971803955</v>
      </c>
      <c r="P17" s="69">
        <v>106.98108245161831</v>
      </c>
      <c r="Q17" s="69">
        <v>106.89520723610295</v>
      </c>
      <c r="R17" s="69">
        <v>106.54524204089071</v>
      </c>
      <c r="S17" s="69">
        <v>106.36690150159968</v>
      </c>
      <c r="T17" s="69">
        <v>106.42658266721017</v>
      </c>
      <c r="U17" s="69">
        <v>106.08999587475824</v>
      </c>
      <c r="V17" s="69">
        <v>106.6809095863029</v>
      </c>
      <c r="W17" s="69">
        <v>107.20590656077296</v>
      </c>
      <c r="X17" s="69">
        <v>107.167613915986</v>
      </c>
      <c r="Y17" s="69">
        <v>107.35466902676288</v>
      </c>
      <c r="Z17" s="69">
        <v>113.48759459678632</v>
      </c>
      <c r="AA17" s="69">
        <v>114.94803382303513</v>
      </c>
      <c r="AB17" s="69">
        <v>115.66572543480747</v>
      </c>
      <c r="AC17" s="69">
        <v>113.81492658293911</v>
      </c>
      <c r="AD17" s="69">
        <v>119.84481419317714</v>
      </c>
      <c r="AE17" s="69">
        <v>120.40285957256087</v>
      </c>
      <c r="AF17" s="69">
        <v>120.17808586147258</v>
      </c>
      <c r="AG17" s="69">
        <v>121.8227961253604</v>
      </c>
      <c r="AH17" s="69">
        <v>125.90244070012236</v>
      </c>
      <c r="AI17" s="69">
        <v>132.69389544095404</v>
      </c>
      <c r="AJ17" s="69">
        <v>134.70794731971316</v>
      </c>
      <c r="AK17" s="69">
        <v>135.64668403877477</v>
      </c>
      <c r="AL17" s="69">
        <v>136.0291549451656</v>
      </c>
      <c r="AM17" s="69">
        <v>136.11703585843566</v>
      </c>
    </row>
    <row r="18" spans="1:39" ht="17.100000000000001" customHeight="1" x14ac:dyDescent="0.2">
      <c r="A18" s="72" t="s">
        <v>12</v>
      </c>
      <c r="B18" s="69">
        <v>99.171778153062789</v>
      </c>
      <c r="C18" s="69">
        <v>98.681843513304386</v>
      </c>
      <c r="D18" s="69">
        <v>100.94291335671126</v>
      </c>
      <c r="E18" s="69">
        <v>101.27659954288202</v>
      </c>
      <c r="F18" s="69">
        <v>100.30598576856111</v>
      </c>
      <c r="G18" s="69">
        <v>100.37417922029749</v>
      </c>
      <c r="H18" s="69">
        <v>100.80951495626513</v>
      </c>
      <c r="I18" s="69">
        <v>101.87249985457466</v>
      </c>
      <c r="J18" s="69">
        <v>104.75413614300371</v>
      </c>
      <c r="K18" s="69">
        <v>103.93294779746287</v>
      </c>
      <c r="L18" s="69">
        <v>102.61305415629704</v>
      </c>
      <c r="M18" s="69">
        <v>101.3429293986763</v>
      </c>
      <c r="N18" s="69">
        <v>99.765253479525597</v>
      </c>
      <c r="O18" s="69">
        <v>98.375748284770822</v>
      </c>
      <c r="P18" s="69">
        <v>97.42509005080791</v>
      </c>
      <c r="Q18" s="69">
        <v>95.892923520707697</v>
      </c>
      <c r="R18" s="69">
        <v>94.561124347873346</v>
      </c>
      <c r="S18" s="69">
        <v>94.491346299820975</v>
      </c>
      <c r="T18" s="69">
        <v>95.153247844205751</v>
      </c>
      <c r="U18" s="69">
        <v>97.36319066312646</v>
      </c>
      <c r="V18" s="69">
        <v>102.67871095227821</v>
      </c>
      <c r="W18" s="69">
        <v>104.90579654472931</v>
      </c>
      <c r="X18" s="69">
        <v>105.84315265349677</v>
      </c>
      <c r="Y18" s="69">
        <v>107.05925101389948</v>
      </c>
      <c r="Z18" s="69">
        <v>107.9280226444294</v>
      </c>
      <c r="AA18" s="69">
        <v>107.29130324499663</v>
      </c>
      <c r="AB18" s="69">
        <v>106.3221273148699</v>
      </c>
      <c r="AC18" s="69">
        <v>115.23978355178063</v>
      </c>
      <c r="AD18" s="69">
        <v>117.50008686368653</v>
      </c>
      <c r="AE18" s="69">
        <v>122.54873634047728</v>
      </c>
      <c r="AF18" s="69">
        <v>106.26833219840522</v>
      </c>
      <c r="AG18" s="69">
        <v>106.23835454433912</v>
      </c>
      <c r="AH18" s="69">
        <v>114.22144242191099</v>
      </c>
      <c r="AI18" s="69">
        <v>125.99581085325934</v>
      </c>
      <c r="AJ18" s="69">
        <v>111.76240894369431</v>
      </c>
      <c r="AK18" s="69">
        <v>118.24219834726752</v>
      </c>
      <c r="AL18" s="69">
        <v>116.54228168828722</v>
      </c>
      <c r="AM18" s="69">
        <v>123.07310893898318</v>
      </c>
    </row>
    <row r="19" spans="1:39" s="133" customFormat="1" ht="17.100000000000001" customHeight="1" x14ac:dyDescent="0.2">
      <c r="A19" s="133" t="s">
        <v>94</v>
      </c>
      <c r="B19" s="133">
        <v>96.003322512589619</v>
      </c>
      <c r="C19" s="133">
        <v>100.26857049270663</v>
      </c>
      <c r="D19" s="133">
        <v>101.90742973137377</v>
      </c>
      <c r="E19" s="133">
        <v>101.86215956499174</v>
      </c>
      <c r="F19" s="133">
        <v>100.98822298815573</v>
      </c>
      <c r="G19" s="133">
        <v>99.579723888979359</v>
      </c>
      <c r="H19" s="133">
        <v>102.94704818537753</v>
      </c>
      <c r="I19" s="133">
        <v>104.43642610397139</v>
      </c>
      <c r="J19" s="133">
        <v>102.4253701994737</v>
      </c>
      <c r="K19" s="133">
        <v>104.76742120785197</v>
      </c>
      <c r="L19" s="133">
        <v>105.11752685878824</v>
      </c>
      <c r="M19" s="133">
        <v>106.96503277877278</v>
      </c>
      <c r="N19" s="133">
        <v>107.45924679756662</v>
      </c>
      <c r="O19" s="133">
        <v>108.99152722909879</v>
      </c>
      <c r="P19" s="133">
        <v>107.87334726126845</v>
      </c>
      <c r="Q19" s="133">
        <v>106.47606402591916</v>
      </c>
      <c r="R19" s="133">
        <v>109.29747574231902</v>
      </c>
      <c r="S19" s="133">
        <v>108.86213071463654</v>
      </c>
      <c r="T19" s="133">
        <v>108.48926947108544</v>
      </c>
      <c r="U19" s="133">
        <v>108.27843897855496</v>
      </c>
      <c r="V19" s="133">
        <v>110.79199593971634</v>
      </c>
      <c r="W19" s="133">
        <v>112.65241931980241</v>
      </c>
      <c r="X19" s="133">
        <v>114.73137905218181</v>
      </c>
      <c r="Y19" s="133">
        <v>118.31953249297355</v>
      </c>
      <c r="Z19" s="133">
        <v>122.17354414424189</v>
      </c>
      <c r="AA19" s="133">
        <v>122.67946673492638</v>
      </c>
      <c r="AB19" s="133">
        <v>122.62984800791091</v>
      </c>
      <c r="AC19" s="133">
        <v>126.96398281773121</v>
      </c>
      <c r="AD19" s="133">
        <v>133.75659789854376</v>
      </c>
      <c r="AE19" s="133">
        <v>129.60196681255863</v>
      </c>
      <c r="AF19" s="133">
        <v>131.3017635548938</v>
      </c>
      <c r="AG19" s="133">
        <v>130.70426412327211</v>
      </c>
      <c r="AH19" s="133">
        <v>138.95726920751125</v>
      </c>
      <c r="AI19" s="133">
        <v>135.20505367560847</v>
      </c>
      <c r="AJ19" s="133">
        <v>134.74805228989356</v>
      </c>
      <c r="AK19" s="133">
        <v>134.90826395125012</v>
      </c>
      <c r="AL19" s="133">
        <v>141.36578067905478</v>
      </c>
      <c r="AM19" s="133">
        <v>143.42696967933287</v>
      </c>
    </row>
    <row r="20" spans="1:39" ht="17.100000000000001" customHeight="1" x14ac:dyDescent="0.2">
      <c r="A20" s="78" t="s">
        <v>52</v>
      </c>
      <c r="B20" s="69">
        <v>90.1376922760426</v>
      </c>
      <c r="C20" s="69">
        <v>100.36737917576357</v>
      </c>
      <c r="D20" s="69">
        <v>105.34762934167222</v>
      </c>
      <c r="E20" s="69">
        <v>104.76022745496485</v>
      </c>
      <c r="F20" s="69">
        <v>101.52128748109415</v>
      </c>
      <c r="G20" s="69">
        <v>92.612758036092245</v>
      </c>
      <c r="H20" s="69">
        <v>108.4873320827779</v>
      </c>
      <c r="I20" s="69">
        <v>111.25956545229221</v>
      </c>
      <c r="J20" s="69">
        <v>98.598288995365436</v>
      </c>
      <c r="K20" s="69">
        <v>105.34168903587799</v>
      </c>
      <c r="L20" s="69">
        <v>104.74254942071187</v>
      </c>
      <c r="M20" s="69">
        <v>103.52642009658568</v>
      </c>
      <c r="N20" s="69">
        <v>100.93345016373971</v>
      </c>
      <c r="O20" s="69">
        <v>107.84316657363</v>
      </c>
      <c r="P20" s="69">
        <v>109.31895514429569</v>
      </c>
      <c r="Q20" s="69">
        <v>113.20888344278681</v>
      </c>
      <c r="R20" s="69">
        <v>102.39781332578947</v>
      </c>
      <c r="S20" s="69">
        <v>110.19456189632497</v>
      </c>
      <c r="T20" s="69">
        <v>111.86522868096253</v>
      </c>
      <c r="U20" s="69">
        <v>107.9702050961822</v>
      </c>
      <c r="V20" s="69">
        <v>107.12526669710867</v>
      </c>
      <c r="W20" s="69">
        <v>113.51102867562044</v>
      </c>
      <c r="X20" s="69">
        <v>126.99344520580836</v>
      </c>
      <c r="Y20" s="69">
        <v>137.38304552562636</v>
      </c>
      <c r="Z20" s="69">
        <v>139.86450844376401</v>
      </c>
      <c r="AA20" s="69">
        <v>134.61701345702195</v>
      </c>
      <c r="AB20" s="69">
        <v>143.55661270165658</v>
      </c>
      <c r="AC20" s="69">
        <v>154.18902452461671</v>
      </c>
      <c r="AD20" s="69">
        <v>164.75067631487346</v>
      </c>
      <c r="AE20" s="69">
        <v>149.37820039276099</v>
      </c>
      <c r="AF20" s="69">
        <v>147.65645465744083</v>
      </c>
      <c r="AG20" s="69">
        <v>139.9783234031992</v>
      </c>
      <c r="AH20" s="69">
        <v>165.38967205005403</v>
      </c>
      <c r="AI20" s="69">
        <v>158.40701559264602</v>
      </c>
      <c r="AJ20" s="69">
        <v>152.37844101276607</v>
      </c>
      <c r="AK20" s="69">
        <v>150.90240219260181</v>
      </c>
      <c r="AL20" s="69">
        <v>163.1535293526693</v>
      </c>
      <c r="AM20" s="69">
        <v>184.57362763234795</v>
      </c>
    </row>
    <row r="21" spans="1:39" ht="17.100000000000001" customHeight="1" x14ac:dyDescent="0.2">
      <c r="A21" s="78" t="s">
        <v>53</v>
      </c>
      <c r="B21" s="69">
        <v>96.668922266848696</v>
      </c>
      <c r="C21" s="69">
        <v>102.50261415832982</v>
      </c>
      <c r="D21" s="69">
        <v>100.98371694439976</v>
      </c>
      <c r="E21" s="69">
        <v>99.920904082306777</v>
      </c>
      <c r="F21" s="69">
        <v>102.09513717691183</v>
      </c>
      <c r="G21" s="69">
        <v>102.57426851859152</v>
      </c>
      <c r="H21" s="69">
        <v>102.00251009385958</v>
      </c>
      <c r="I21" s="69">
        <v>101.61239124040694</v>
      </c>
      <c r="J21" s="69">
        <v>108.62672446958517</v>
      </c>
      <c r="K21" s="69">
        <v>111.49121686654257</v>
      </c>
      <c r="L21" s="69">
        <v>109.73226749951468</v>
      </c>
      <c r="M21" s="69">
        <v>114.96424295211295</v>
      </c>
      <c r="N21" s="69">
        <v>123.49235029444053</v>
      </c>
      <c r="O21" s="69">
        <v>125.32869014148784</v>
      </c>
      <c r="P21" s="69">
        <v>116.26476153749417</v>
      </c>
      <c r="Q21" s="69">
        <v>114.23984507931767</v>
      </c>
      <c r="R21" s="69">
        <v>134.83166917278112</v>
      </c>
      <c r="S21" s="69">
        <v>124.22809021677008</v>
      </c>
      <c r="T21" s="69">
        <v>109.96433359726367</v>
      </c>
      <c r="U21" s="69">
        <v>114.12555919974727</v>
      </c>
      <c r="V21" s="69">
        <v>131.16763735508039</v>
      </c>
      <c r="W21" s="69">
        <v>141.09244856582845</v>
      </c>
      <c r="X21" s="69">
        <v>126.4959698483386</v>
      </c>
      <c r="Y21" s="69">
        <v>143.94993066428734</v>
      </c>
      <c r="Z21" s="69">
        <v>166.3301075773746</v>
      </c>
      <c r="AA21" s="69">
        <v>179.78422869043098</v>
      </c>
      <c r="AB21" s="69">
        <v>182.92644990429361</v>
      </c>
      <c r="AC21" s="69">
        <v>185.84648751377514</v>
      </c>
      <c r="AD21" s="69">
        <v>184.79399096937669</v>
      </c>
      <c r="AE21" s="69">
        <v>190.30128054909085</v>
      </c>
      <c r="AF21" s="69">
        <v>189.21167167138208</v>
      </c>
      <c r="AG21" s="69">
        <v>192.98774408197582</v>
      </c>
      <c r="AH21" s="69">
        <v>194.81404189878978</v>
      </c>
      <c r="AI21" s="69">
        <v>197.95277052285138</v>
      </c>
      <c r="AJ21" s="69">
        <v>192.06597198477121</v>
      </c>
      <c r="AK21" s="69">
        <v>188.23962534974277</v>
      </c>
      <c r="AL21" s="69">
        <v>188.14067624566789</v>
      </c>
      <c r="AM21" s="69">
        <v>190.10354012492289</v>
      </c>
    </row>
    <row r="22" spans="1:39" ht="17.100000000000001" customHeight="1" x14ac:dyDescent="0.2">
      <c r="A22" s="78" t="s">
        <v>55</v>
      </c>
      <c r="B22" s="69">
        <v>96.081196294715937</v>
      </c>
      <c r="C22" s="69">
        <v>98.700612471231935</v>
      </c>
      <c r="D22" s="69">
        <v>101.77958819386859</v>
      </c>
      <c r="E22" s="69">
        <v>103.22062982636039</v>
      </c>
      <c r="F22" s="69">
        <v>103.94581188589636</v>
      </c>
      <c r="G22" s="69">
        <v>103.27583894249013</v>
      </c>
      <c r="H22" s="69">
        <v>102.4201158143343</v>
      </c>
      <c r="I22" s="69">
        <v>103.25332193292334</v>
      </c>
      <c r="J22" s="69">
        <v>105.75917027874455</v>
      </c>
      <c r="K22" s="69">
        <v>106.04807335251918</v>
      </c>
      <c r="L22" s="69">
        <v>107.14054522374971</v>
      </c>
      <c r="M22" s="69">
        <v>109.76414527784254</v>
      </c>
      <c r="N22" s="69">
        <v>112.38398176965563</v>
      </c>
      <c r="O22" s="69">
        <v>113.00893479668272</v>
      </c>
      <c r="P22" s="69">
        <v>112.59556251195085</v>
      </c>
      <c r="Q22" s="69">
        <v>105.81470940281822</v>
      </c>
      <c r="R22" s="69">
        <v>108.91583794036164</v>
      </c>
      <c r="S22" s="69">
        <v>107.95935756227151</v>
      </c>
      <c r="T22" s="69">
        <v>109.08946217030493</v>
      </c>
      <c r="U22" s="69">
        <v>110.98587934759165</v>
      </c>
      <c r="V22" s="69">
        <v>111.15650641583092</v>
      </c>
      <c r="W22" s="69">
        <v>113.55698284557565</v>
      </c>
      <c r="X22" s="69">
        <v>113.80407935491417</v>
      </c>
      <c r="Y22" s="69">
        <v>115.36847038108158</v>
      </c>
      <c r="Z22" s="69">
        <v>113.54317592833081</v>
      </c>
      <c r="AA22" s="69">
        <v>112.45825628418787</v>
      </c>
      <c r="AB22" s="69">
        <v>111.7323165858284</v>
      </c>
      <c r="AC22" s="69">
        <v>114.53633598374586</v>
      </c>
      <c r="AD22" s="69">
        <v>114.5683028874343</v>
      </c>
      <c r="AE22" s="69">
        <v>114.40025419344502</v>
      </c>
      <c r="AF22" s="69">
        <v>117.2543352048589</v>
      </c>
      <c r="AG22" s="69">
        <v>122.42122308089969</v>
      </c>
      <c r="AH22" s="69">
        <v>122.66021726868408</v>
      </c>
      <c r="AI22" s="69">
        <v>124.30453330138398</v>
      </c>
      <c r="AJ22" s="69">
        <v>126.2955636396365</v>
      </c>
      <c r="AK22" s="69">
        <v>128.72402312403986</v>
      </c>
      <c r="AL22" s="69">
        <v>130.02758634545967</v>
      </c>
      <c r="AM22" s="69">
        <v>130.78813598919368</v>
      </c>
    </row>
    <row r="23" spans="1:39" ht="17.100000000000001" customHeight="1" x14ac:dyDescent="0.2">
      <c r="A23" s="78" t="s">
        <v>54</v>
      </c>
      <c r="B23" s="69">
        <v>113.53309708934623</v>
      </c>
      <c r="C23" s="69">
        <v>103.47050569472461</v>
      </c>
      <c r="D23" s="69">
        <v>96.400584483960145</v>
      </c>
      <c r="E23" s="69">
        <v>87.835860293628713</v>
      </c>
      <c r="F23" s="69">
        <v>81.396684836832065</v>
      </c>
      <c r="G23" s="69">
        <v>79.725346148966025</v>
      </c>
      <c r="H23" s="69">
        <v>82.13563396620674</v>
      </c>
      <c r="I23" s="69">
        <v>91.149900431533908</v>
      </c>
      <c r="J23" s="69">
        <v>102.57683238733135</v>
      </c>
      <c r="K23" s="69">
        <v>111.04539358664437</v>
      </c>
      <c r="L23" s="69">
        <v>112.91157582706313</v>
      </c>
      <c r="M23" s="69">
        <v>111.47875201153934</v>
      </c>
      <c r="N23" s="69">
        <v>101.88294672266092</v>
      </c>
      <c r="O23" s="69">
        <v>98.061291860186984</v>
      </c>
      <c r="P23" s="69">
        <v>94.828923033439466</v>
      </c>
      <c r="Q23" s="69">
        <v>94.746496290375788</v>
      </c>
      <c r="R23" s="69">
        <v>91.624071426441517</v>
      </c>
      <c r="S23" s="69">
        <v>91.009341003505568</v>
      </c>
      <c r="T23" s="69">
        <v>91.971594656145271</v>
      </c>
      <c r="U23" s="69">
        <v>91.068352858602466</v>
      </c>
      <c r="V23" s="69">
        <v>88.471276873404392</v>
      </c>
      <c r="W23" s="69">
        <v>88.838705192313881</v>
      </c>
      <c r="X23" s="69">
        <v>87.964105682058602</v>
      </c>
      <c r="Y23" s="69">
        <v>83.859179659771272</v>
      </c>
      <c r="Z23" s="69">
        <v>77.557326248106435</v>
      </c>
      <c r="AA23" s="69">
        <v>77.155205356844348</v>
      </c>
      <c r="AB23" s="69">
        <v>79.743436846501012</v>
      </c>
      <c r="AC23" s="69">
        <v>89.945051724093659</v>
      </c>
      <c r="AD23" s="69">
        <v>107.96404419930631</v>
      </c>
      <c r="AE23" s="69">
        <v>122.1753149848409</v>
      </c>
      <c r="AF23" s="69">
        <v>127.22357549180924</v>
      </c>
      <c r="AG23" s="69">
        <v>126.41129901896299</v>
      </c>
      <c r="AH23" s="69">
        <v>118.22286564057069</v>
      </c>
      <c r="AI23" s="69">
        <v>113.84765821808334</v>
      </c>
      <c r="AJ23" s="69">
        <v>112.61468458350741</v>
      </c>
      <c r="AK23" s="69">
        <v>113.22399927508333</v>
      </c>
      <c r="AL23" s="69">
        <v>113.09177171183687</v>
      </c>
      <c r="AM23" s="69">
        <v>113.97477368965419</v>
      </c>
    </row>
    <row r="24" spans="1:39" ht="17.100000000000001" customHeight="1" x14ac:dyDescent="0.2">
      <c r="A24" s="78" t="s">
        <v>72</v>
      </c>
      <c r="B24" s="69">
        <v>97.806571077506206</v>
      </c>
      <c r="C24" s="69">
        <v>98.32345500347121</v>
      </c>
      <c r="D24" s="69">
        <v>100.78719866678108</v>
      </c>
      <c r="E24" s="69">
        <v>102.89664229265992</v>
      </c>
      <c r="F24" s="69">
        <v>103.6040937768723</v>
      </c>
      <c r="G24" s="69">
        <v>105.38867455879874</v>
      </c>
      <c r="H24" s="69">
        <v>104.63272671341106</v>
      </c>
      <c r="I24" s="69">
        <v>103.85215614804312</v>
      </c>
      <c r="J24" s="69">
        <v>100.23472977871167</v>
      </c>
      <c r="K24" s="69">
        <v>102.95042739703975</v>
      </c>
      <c r="L24" s="69">
        <v>105.28247793425574</v>
      </c>
      <c r="M24" s="69">
        <v>114.50749126903732</v>
      </c>
      <c r="N24" s="69">
        <v>117.1255211939425</v>
      </c>
      <c r="O24" s="69">
        <v>114.99303056008677</v>
      </c>
      <c r="P24" s="69">
        <v>104.63732031541555</v>
      </c>
      <c r="Q24" s="69">
        <v>87.266256810944569</v>
      </c>
      <c r="R24" s="69">
        <v>117.86197740147426</v>
      </c>
      <c r="S24" s="69">
        <v>105.98608222690483</v>
      </c>
      <c r="T24" s="69">
        <v>103.6908253400934</v>
      </c>
      <c r="U24" s="69">
        <v>97.740446125398378</v>
      </c>
      <c r="V24" s="69">
        <v>120.59550419205654</v>
      </c>
      <c r="W24" s="69">
        <v>115.96051509918411</v>
      </c>
      <c r="X24" s="69">
        <v>114.94382571330357</v>
      </c>
      <c r="Y24" s="69">
        <v>110.62724386079377</v>
      </c>
      <c r="Z24" s="69">
        <v>138.84769294244313</v>
      </c>
      <c r="AA24" s="69">
        <v>139.69329469765589</v>
      </c>
      <c r="AB24" s="69">
        <v>105.14140665586498</v>
      </c>
      <c r="AC24" s="69">
        <v>118.87518925092435</v>
      </c>
      <c r="AD24" s="69">
        <v>142.41836740775429</v>
      </c>
      <c r="AE24" s="69">
        <v>135.12556526909151</v>
      </c>
      <c r="AF24" s="69">
        <v>145.51428825764791</v>
      </c>
      <c r="AG24" s="69">
        <v>117.89839950737498</v>
      </c>
      <c r="AH24" s="69">
        <v>143.66602762243537</v>
      </c>
      <c r="AI24" s="69">
        <v>137.46559741262786</v>
      </c>
      <c r="AJ24" s="69">
        <v>149.13037144718584</v>
      </c>
      <c r="AK24" s="69">
        <v>125.51375428902149</v>
      </c>
      <c r="AL24" s="69">
        <v>147.59835324056493</v>
      </c>
      <c r="AM24" s="69">
        <v>143.19314963664235</v>
      </c>
    </row>
    <row r="25" spans="1:39" ht="17.100000000000001" customHeight="1" x14ac:dyDescent="0.2">
      <c r="A25" s="78" t="s">
        <v>14</v>
      </c>
      <c r="B25" s="69">
        <v>98.747197846055485</v>
      </c>
      <c r="C25" s="69">
        <v>99.978585459669702</v>
      </c>
      <c r="D25" s="69">
        <v>100.61316633687738</v>
      </c>
      <c r="E25" s="69">
        <v>100.60957800057162</v>
      </c>
      <c r="F25" s="69">
        <v>101.55467847959159</v>
      </c>
      <c r="G25" s="69">
        <v>101.52593577380505</v>
      </c>
      <c r="H25" s="69">
        <v>102.44671517102699</v>
      </c>
      <c r="I25" s="69">
        <v>102.823363467289</v>
      </c>
      <c r="J25" s="69">
        <v>102.45125611542846</v>
      </c>
      <c r="K25" s="69">
        <v>102.87698709710817</v>
      </c>
      <c r="L25" s="69">
        <v>103.72389442963079</v>
      </c>
      <c r="M25" s="69">
        <v>105.13114911988235</v>
      </c>
      <c r="N25" s="69">
        <v>105.1280334241532</v>
      </c>
      <c r="O25" s="69">
        <v>106.1141247604058</v>
      </c>
      <c r="P25" s="69">
        <v>105.85436151772925</v>
      </c>
      <c r="Q25" s="69">
        <v>106.04063909192536</v>
      </c>
      <c r="R25" s="69">
        <v>105.81920500229032</v>
      </c>
      <c r="S25" s="69">
        <v>105.9274605507879</v>
      </c>
      <c r="T25" s="69">
        <v>106.09679179542466</v>
      </c>
      <c r="U25" s="69">
        <v>106.21235723896582</v>
      </c>
      <c r="V25" s="69">
        <v>106.42366298802858</v>
      </c>
      <c r="W25" s="69">
        <v>106.77585709101176</v>
      </c>
      <c r="X25" s="69">
        <v>107.43083223288707</v>
      </c>
      <c r="Y25" s="69">
        <v>107.93290080216688</v>
      </c>
      <c r="Z25" s="69">
        <v>108.83389443143943</v>
      </c>
      <c r="AA25" s="69">
        <v>109.36135339929889</v>
      </c>
      <c r="AB25" s="69">
        <v>109.92994709019838</v>
      </c>
      <c r="AC25" s="69">
        <v>109.67495861287988</v>
      </c>
      <c r="AD25" s="69">
        <v>109.94961015169508</v>
      </c>
      <c r="AE25" s="69">
        <v>110.17634972375848</v>
      </c>
      <c r="AF25" s="69">
        <v>110.78129864009389</v>
      </c>
      <c r="AG25" s="69">
        <v>111.27524293706597</v>
      </c>
      <c r="AH25" s="69">
        <v>112.28308799930147</v>
      </c>
      <c r="AI25" s="69">
        <v>112.45626800568256</v>
      </c>
      <c r="AJ25" s="69">
        <v>112.18763426061335</v>
      </c>
      <c r="AK25" s="69">
        <v>112.78719629640224</v>
      </c>
      <c r="AL25" s="69">
        <v>112.60109242194143</v>
      </c>
      <c r="AM25" s="69">
        <v>112.61754856452781</v>
      </c>
    </row>
    <row r="26" spans="1:39" ht="17.100000000000001" customHeight="1" x14ac:dyDescent="0.2">
      <c r="A26" s="78" t="s">
        <v>56</v>
      </c>
      <c r="B26" s="69">
        <v>97.495571197819231</v>
      </c>
      <c r="C26" s="69">
        <v>99.088058861894254</v>
      </c>
      <c r="D26" s="69">
        <v>101.70893734081616</v>
      </c>
      <c r="E26" s="69">
        <v>102.78794831478892</v>
      </c>
      <c r="F26" s="69">
        <v>103.33676486795851</v>
      </c>
      <c r="G26" s="69">
        <v>103.17805986572874</v>
      </c>
      <c r="H26" s="69">
        <v>103.24202670382418</v>
      </c>
      <c r="I26" s="69">
        <v>104.74434461214</v>
      </c>
      <c r="J26" s="69">
        <v>102.30455247452623</v>
      </c>
      <c r="K26" s="69">
        <v>102.39283448125627</v>
      </c>
      <c r="L26" s="69">
        <v>102.35733838112451</v>
      </c>
      <c r="M26" s="69">
        <v>104.79771548510392</v>
      </c>
      <c r="N26" s="69">
        <v>104.81382038601159</v>
      </c>
      <c r="O26" s="69">
        <v>105.53337954417039</v>
      </c>
      <c r="P26" s="69">
        <v>105.76418009804142</v>
      </c>
      <c r="Q26" s="69">
        <v>107.70209852033487</v>
      </c>
      <c r="R26" s="69">
        <v>106.16323538506676</v>
      </c>
      <c r="S26" s="69">
        <v>105.47842518887262</v>
      </c>
      <c r="T26" s="69">
        <v>105.60439371529597</v>
      </c>
      <c r="U26" s="69">
        <v>106.04981969267766</v>
      </c>
      <c r="V26" s="69">
        <v>105.98273297307121</v>
      </c>
      <c r="W26" s="69">
        <v>107.61402828170704</v>
      </c>
      <c r="X26" s="69">
        <v>109.59785041039734</v>
      </c>
      <c r="Y26" s="69">
        <v>111.30014646562682</v>
      </c>
      <c r="Z26" s="69">
        <v>113.43526071951106</v>
      </c>
      <c r="AA26" s="69">
        <v>116.20944113306936</v>
      </c>
      <c r="AB26" s="69">
        <v>115.80387628291602</v>
      </c>
      <c r="AC26" s="69">
        <v>116.32871254656519</v>
      </c>
      <c r="AD26" s="69">
        <v>117.59149015575461</v>
      </c>
      <c r="AE26" s="69">
        <v>118.81318194847552</v>
      </c>
      <c r="AF26" s="69">
        <v>118.36419713625099</v>
      </c>
      <c r="AG26" s="69">
        <v>119.14278552328284</v>
      </c>
      <c r="AH26" s="69">
        <v>119.50155054888221</v>
      </c>
      <c r="AI26" s="69">
        <v>120.26337340986004</v>
      </c>
      <c r="AJ26" s="69">
        <v>120.86207142543748</v>
      </c>
      <c r="AK26" s="69">
        <v>123.0112843374404</v>
      </c>
      <c r="AL26" s="69">
        <v>122.74719269427339</v>
      </c>
      <c r="AM26" s="69">
        <v>123.15449272784673</v>
      </c>
    </row>
    <row r="27" spans="1:39" ht="17.100000000000001" customHeight="1" x14ac:dyDescent="0.2">
      <c r="A27" s="78" t="s">
        <v>57</v>
      </c>
      <c r="B27" s="69">
        <v>94.002622699370193</v>
      </c>
      <c r="C27" s="69">
        <v>100.6771456431014</v>
      </c>
      <c r="D27" s="69">
        <v>102.23093600402377</v>
      </c>
      <c r="E27" s="69">
        <v>102.99306744947374</v>
      </c>
      <c r="F27" s="69">
        <v>101.2103368828913</v>
      </c>
      <c r="G27" s="69">
        <v>101.13595513055846</v>
      </c>
      <c r="H27" s="69">
        <v>100.39167956306365</v>
      </c>
      <c r="I27" s="69">
        <v>99.766430579387006</v>
      </c>
      <c r="J27" s="69">
        <v>101.43763712042295</v>
      </c>
      <c r="K27" s="69">
        <v>102.11508140456264</v>
      </c>
      <c r="L27" s="69">
        <v>101.97293573114692</v>
      </c>
      <c r="M27" s="69">
        <v>101.00265823669423</v>
      </c>
      <c r="N27" s="69">
        <v>102.67873433614108</v>
      </c>
      <c r="O27" s="69">
        <v>101.94079749862961</v>
      </c>
      <c r="P27" s="69">
        <v>103.0048252807765</v>
      </c>
      <c r="Q27" s="69">
        <v>101.6517186750127</v>
      </c>
      <c r="R27" s="69">
        <v>107.53292016261892</v>
      </c>
      <c r="S27" s="69">
        <v>109.14571754999105</v>
      </c>
      <c r="T27" s="69">
        <v>110.24839023808116</v>
      </c>
      <c r="U27" s="69">
        <v>113.80321928955297</v>
      </c>
      <c r="V27" s="69">
        <v>117.30030721063254</v>
      </c>
      <c r="W27" s="69">
        <v>119.11218177236233</v>
      </c>
      <c r="X27" s="69">
        <v>118.47973280795388</v>
      </c>
      <c r="Y27" s="69">
        <v>118.82493262304892</v>
      </c>
      <c r="Z27" s="69">
        <v>118.69562207080271</v>
      </c>
      <c r="AA27" s="69">
        <v>120.03831947645966</v>
      </c>
      <c r="AB27" s="69">
        <v>119.42760339825158</v>
      </c>
      <c r="AC27" s="69">
        <v>123.74255322836005</v>
      </c>
      <c r="AD27" s="69">
        <v>127.72119322593991</v>
      </c>
      <c r="AE27" s="69">
        <v>133.30153437039357</v>
      </c>
      <c r="AF27" s="69">
        <v>122.74168137133697</v>
      </c>
      <c r="AG27" s="69">
        <v>122.98620850736523</v>
      </c>
      <c r="AH27" s="69">
        <v>128.19823875489507</v>
      </c>
      <c r="AI27" s="69">
        <v>128.08209483823885</v>
      </c>
      <c r="AJ27" s="69">
        <v>115.10926870357139</v>
      </c>
      <c r="AK27" s="69">
        <v>134.17826332128769</v>
      </c>
      <c r="AL27" s="69">
        <v>126.8523113258826</v>
      </c>
      <c r="AM27" s="69">
        <v>124.25801479925033</v>
      </c>
    </row>
    <row r="28" spans="1:39" ht="17.100000000000001" customHeight="1" x14ac:dyDescent="0.2">
      <c r="A28" s="78" t="s">
        <v>15</v>
      </c>
      <c r="B28" s="69">
        <v>97.636454395057442</v>
      </c>
      <c r="C28" s="69">
        <v>100.16643587479818</v>
      </c>
      <c r="D28" s="69">
        <v>100.39305708881656</v>
      </c>
      <c r="E28" s="69">
        <v>101.50726017456206</v>
      </c>
      <c r="F28" s="69">
        <v>102.56326672177143</v>
      </c>
      <c r="G28" s="69">
        <v>104.11336701590899</v>
      </c>
      <c r="H28" s="69">
        <v>104.4924099859565</v>
      </c>
      <c r="I28" s="69">
        <v>104.61620024444547</v>
      </c>
      <c r="J28" s="69">
        <v>106.02981349416578</v>
      </c>
      <c r="K28" s="69">
        <v>106.19718747548583</v>
      </c>
      <c r="L28" s="69">
        <v>106.63587698041697</v>
      </c>
      <c r="M28" s="69">
        <v>106.82537549986151</v>
      </c>
      <c r="N28" s="69">
        <v>108.26652811371527</v>
      </c>
      <c r="O28" s="69">
        <v>108.39207238089352</v>
      </c>
      <c r="P28" s="69">
        <v>109.10149792393824</v>
      </c>
      <c r="Q28" s="69">
        <v>109.27943377178192</v>
      </c>
      <c r="R28" s="69">
        <v>111.35045905752033</v>
      </c>
      <c r="S28" s="69">
        <v>111.55832880198912</v>
      </c>
      <c r="T28" s="69">
        <v>110.85299731235135</v>
      </c>
      <c r="U28" s="69">
        <v>111.91630914060843</v>
      </c>
      <c r="V28" s="69">
        <v>113.05146731760227</v>
      </c>
      <c r="W28" s="69">
        <v>114.06853563463612</v>
      </c>
      <c r="X28" s="69">
        <v>115.85115845804827</v>
      </c>
      <c r="Y28" s="69">
        <v>118.71889450485997</v>
      </c>
      <c r="Z28" s="69">
        <v>123.56091049538477</v>
      </c>
      <c r="AA28" s="69">
        <v>125.8029510856046</v>
      </c>
      <c r="AB28" s="69">
        <v>126.12987694961775</v>
      </c>
      <c r="AC28" s="69">
        <v>127.03640359078874</v>
      </c>
      <c r="AD28" s="69">
        <v>131.36057927359042</v>
      </c>
      <c r="AE28" s="69">
        <v>127.28317530818715</v>
      </c>
      <c r="AF28" s="69">
        <v>128.8565001700633</v>
      </c>
      <c r="AG28" s="69">
        <v>130.78008747986073</v>
      </c>
      <c r="AH28" s="69">
        <v>131.50967246331194</v>
      </c>
      <c r="AI28" s="69">
        <v>133.06431231358036</v>
      </c>
      <c r="AJ28" s="69">
        <v>134.68468975546267</v>
      </c>
      <c r="AK28" s="69">
        <v>136.18723810552035</v>
      </c>
      <c r="AL28" s="69">
        <v>137.49182934740134</v>
      </c>
      <c r="AM28" s="69">
        <v>138.40789488602641</v>
      </c>
    </row>
    <row r="29" spans="1:39" ht="17.100000000000001" customHeight="1" x14ac:dyDescent="0.2">
      <c r="A29" s="78" t="s">
        <v>16</v>
      </c>
      <c r="B29" s="69">
        <v>92.765957471454897</v>
      </c>
      <c r="C29" s="69">
        <v>100.26293480693241</v>
      </c>
      <c r="D29" s="69">
        <v>102.01567370462148</v>
      </c>
      <c r="E29" s="69">
        <v>105.51696213183351</v>
      </c>
      <c r="F29" s="69">
        <v>100.20902341357116</v>
      </c>
      <c r="G29" s="69">
        <v>103.35524441618959</v>
      </c>
      <c r="H29" s="69">
        <v>104.20661298633136</v>
      </c>
      <c r="I29" s="69">
        <v>106.52466970375194</v>
      </c>
      <c r="J29" s="69">
        <v>101.77901823737945</v>
      </c>
      <c r="K29" s="69">
        <v>103.05575875916806</v>
      </c>
      <c r="L29" s="69">
        <v>103.92346799564085</v>
      </c>
      <c r="M29" s="69">
        <v>108.22474918104209</v>
      </c>
      <c r="N29" s="69">
        <v>108.20013294458153</v>
      </c>
      <c r="O29" s="69">
        <v>108.18604928821512</v>
      </c>
      <c r="P29" s="69">
        <v>105.53342306289169</v>
      </c>
      <c r="Q29" s="69">
        <v>100.91298038927042</v>
      </c>
      <c r="R29" s="69">
        <v>109.76589549793196</v>
      </c>
      <c r="S29" s="69">
        <v>103.80020156961068</v>
      </c>
      <c r="T29" s="69">
        <v>104.64363197661876</v>
      </c>
      <c r="U29" s="69">
        <v>107.67526872675633</v>
      </c>
      <c r="V29" s="69">
        <v>109.44704600785312</v>
      </c>
      <c r="W29" s="69">
        <v>109.34011136397315</v>
      </c>
      <c r="X29" s="69">
        <v>106.86419050422312</v>
      </c>
      <c r="Y29" s="69">
        <v>115.33396449057969</v>
      </c>
      <c r="Z29" s="69">
        <v>119.1567833972297</v>
      </c>
      <c r="AA29" s="69">
        <v>118.18786641312522</v>
      </c>
      <c r="AB29" s="69">
        <v>122.4684956471834</v>
      </c>
      <c r="AC29" s="69">
        <v>127.59233802700824</v>
      </c>
      <c r="AD29" s="69">
        <v>131.66907481893907</v>
      </c>
      <c r="AE29" s="69">
        <v>112.79609563247594</v>
      </c>
      <c r="AF29" s="69">
        <v>133.14927973956065</v>
      </c>
      <c r="AG29" s="69">
        <v>135.44433764827281</v>
      </c>
      <c r="AH29" s="69">
        <v>139.15328815348582</v>
      </c>
      <c r="AI29" s="69">
        <v>124.02831013294791</v>
      </c>
      <c r="AJ29" s="69">
        <v>136.58171266906422</v>
      </c>
      <c r="AK29" s="69">
        <v>138.49380871931896</v>
      </c>
      <c r="AL29" s="69">
        <v>159.97945157081907</v>
      </c>
      <c r="AM29" s="69">
        <v>144.1119485717953</v>
      </c>
    </row>
    <row r="30" spans="1:39" ht="17.100000000000001" customHeight="1" x14ac:dyDescent="0.2">
      <c r="A30" s="78" t="s">
        <v>58</v>
      </c>
      <c r="B30" s="69">
        <v>98.496917615339015</v>
      </c>
      <c r="C30" s="69">
        <v>100.10977666400969</v>
      </c>
      <c r="D30" s="69">
        <v>100.53121331469808</v>
      </c>
      <c r="E30" s="69">
        <v>100.75240423764254</v>
      </c>
      <c r="F30" s="69">
        <v>101.11535168009516</v>
      </c>
      <c r="G30" s="69">
        <v>102.24093130359351</v>
      </c>
      <c r="H30" s="69">
        <v>103.86576517700649</v>
      </c>
      <c r="I30" s="69">
        <v>104.96623599320485</v>
      </c>
      <c r="J30" s="69">
        <v>106.38716532267709</v>
      </c>
      <c r="K30" s="69">
        <v>106.2449502348243</v>
      </c>
      <c r="L30" s="69">
        <v>106.61235213199811</v>
      </c>
      <c r="M30" s="69">
        <v>105.49026432163664</v>
      </c>
      <c r="N30" s="69">
        <v>107.49709610027406</v>
      </c>
      <c r="O30" s="69">
        <v>108.2279034784023</v>
      </c>
      <c r="P30" s="69">
        <v>110.88503301165618</v>
      </c>
      <c r="Q30" s="69">
        <v>110.79821091361966</v>
      </c>
      <c r="R30" s="69">
        <v>111.69789503919978</v>
      </c>
      <c r="S30" s="69">
        <v>113.12911622723767</v>
      </c>
      <c r="T30" s="69">
        <v>117.79653573530813</v>
      </c>
      <c r="U30" s="69">
        <v>119.04710534249283</v>
      </c>
      <c r="V30" s="69">
        <v>119.27066501246124</v>
      </c>
      <c r="W30" s="69">
        <v>119.17456194199296</v>
      </c>
      <c r="X30" s="69">
        <v>121.4735392943324</v>
      </c>
      <c r="Y30" s="69">
        <v>120.1450559115292</v>
      </c>
      <c r="Z30" s="69">
        <v>121.87804554187585</v>
      </c>
      <c r="AA30" s="69">
        <v>122.31069358244291</v>
      </c>
      <c r="AB30" s="69">
        <v>122.53395312979754</v>
      </c>
      <c r="AC30" s="69">
        <v>123.64464333071827</v>
      </c>
      <c r="AD30" s="69">
        <v>124.41711576655344</v>
      </c>
      <c r="AE30" s="69">
        <v>127.20897983494478</v>
      </c>
      <c r="AF30" s="69">
        <v>117.01220469303468</v>
      </c>
      <c r="AG30" s="69">
        <v>133.13443884167836</v>
      </c>
      <c r="AH30" s="69">
        <v>130.99426573252543</v>
      </c>
      <c r="AI30" s="69">
        <v>128.26707523694256</v>
      </c>
      <c r="AJ30" s="69">
        <v>127.8574429312489</v>
      </c>
      <c r="AK30" s="69">
        <v>128.98058577966799</v>
      </c>
      <c r="AL30" s="69">
        <v>131.91297981152024</v>
      </c>
      <c r="AM30" s="69">
        <v>132.44552259846319</v>
      </c>
    </row>
    <row r="31" spans="1:39" ht="17.100000000000001" customHeight="1" x14ac:dyDescent="0.2">
      <c r="A31" s="78" t="s">
        <v>71</v>
      </c>
      <c r="B31" s="69">
        <v>107.21827108771205</v>
      </c>
      <c r="C31" s="69">
        <v>103.89700806958714</v>
      </c>
      <c r="D31" s="69">
        <v>97.896825619285295</v>
      </c>
      <c r="E31" s="69">
        <v>95.926405196621815</v>
      </c>
      <c r="F31" s="69">
        <v>98.617523913797669</v>
      </c>
      <c r="G31" s="69">
        <v>98.083639897736731</v>
      </c>
      <c r="H31" s="69">
        <v>98.457574034084743</v>
      </c>
      <c r="I31" s="69">
        <v>98.111285503832676</v>
      </c>
      <c r="J31" s="69">
        <v>93.823617039327644</v>
      </c>
      <c r="K31" s="69">
        <v>93.266810004662915</v>
      </c>
      <c r="L31" s="69">
        <v>93.491500559562411</v>
      </c>
      <c r="M31" s="69">
        <v>95.551424789082745</v>
      </c>
      <c r="N31" s="69">
        <v>103.72703174637938</v>
      </c>
      <c r="O31" s="69">
        <v>103.30951061749336</v>
      </c>
      <c r="P31" s="69">
        <v>103.4398973096349</v>
      </c>
      <c r="Q31" s="69">
        <v>101.82884947982622</v>
      </c>
      <c r="R31" s="69">
        <v>107.48126582661376</v>
      </c>
      <c r="S31" s="69">
        <v>109.10837084846285</v>
      </c>
      <c r="T31" s="69">
        <v>108.59336700065498</v>
      </c>
      <c r="U31" s="69">
        <v>109.66354920945534</v>
      </c>
      <c r="V31" s="69">
        <v>113.61590031658227</v>
      </c>
      <c r="W31" s="69">
        <v>112.45036682315381</v>
      </c>
      <c r="X31" s="69">
        <v>111.38710367144664</v>
      </c>
      <c r="Y31" s="69">
        <v>116.73288611217001</v>
      </c>
      <c r="Z31" s="69">
        <v>120.58603924117371</v>
      </c>
      <c r="AA31" s="69">
        <v>122.97053919625247</v>
      </c>
      <c r="AB31" s="69">
        <v>122.27006397689027</v>
      </c>
      <c r="AC31" s="69">
        <v>124.22070319367799</v>
      </c>
      <c r="AD31" s="69">
        <v>128.07416339167645</v>
      </c>
      <c r="AE31" s="69">
        <v>133.75554588998503</v>
      </c>
      <c r="AF31" s="69">
        <v>138.52195534637076</v>
      </c>
      <c r="AG31" s="69">
        <v>143.94813405358477</v>
      </c>
      <c r="AH31" s="69">
        <v>145.50563694995864</v>
      </c>
      <c r="AI31" s="69">
        <v>148.26835178625234</v>
      </c>
      <c r="AJ31" s="69">
        <v>151.86470251549537</v>
      </c>
      <c r="AK31" s="69">
        <v>157.27241763105354</v>
      </c>
      <c r="AL31" s="69">
        <v>145.40764211237061</v>
      </c>
      <c r="AM31" s="69">
        <v>148.21579771789058</v>
      </c>
    </row>
    <row r="32" spans="1:39" ht="17.100000000000001" customHeight="1" x14ac:dyDescent="0.2">
      <c r="A32" s="78" t="s">
        <v>17</v>
      </c>
      <c r="B32" s="69">
        <v>96.820264342185524</v>
      </c>
      <c r="C32" s="69">
        <v>100.2344735421661</v>
      </c>
      <c r="D32" s="69">
        <v>103.30208180944848</v>
      </c>
      <c r="E32" s="69">
        <v>99.73367639868404</v>
      </c>
      <c r="F32" s="69">
        <v>101.69818877104204</v>
      </c>
      <c r="G32" s="69">
        <v>101.88671845167769</v>
      </c>
      <c r="H32" s="69">
        <v>98.851691415348654</v>
      </c>
      <c r="I32" s="69">
        <v>99.548055948053559</v>
      </c>
      <c r="J32" s="69">
        <v>99.442887802539914</v>
      </c>
      <c r="K32" s="69">
        <v>99.298324505215561</v>
      </c>
      <c r="L32" s="69">
        <v>100.19208950236251</v>
      </c>
      <c r="M32" s="69">
        <v>105.75184395235753</v>
      </c>
      <c r="N32" s="69">
        <v>109.19026533735526</v>
      </c>
      <c r="O32" s="69">
        <v>111.01721069251045</v>
      </c>
      <c r="P32" s="69">
        <v>111.35600917007463</v>
      </c>
      <c r="Q32" s="69">
        <v>110.5017995552209</v>
      </c>
      <c r="R32" s="69">
        <v>114.53259882557593</v>
      </c>
      <c r="S32" s="69">
        <v>114.39063166645218</v>
      </c>
      <c r="T32" s="69">
        <v>115.00991208802529</v>
      </c>
      <c r="U32" s="69">
        <v>113.2557544566243</v>
      </c>
      <c r="V32" s="69">
        <v>108.79857967483673</v>
      </c>
      <c r="W32" s="69">
        <v>103.61132625360294</v>
      </c>
      <c r="X32" s="69">
        <v>109.60337800934057</v>
      </c>
      <c r="Y32" s="69">
        <v>108.06637119777058</v>
      </c>
      <c r="Z32" s="69">
        <v>105.54713682867791</v>
      </c>
      <c r="AA32" s="69">
        <v>104.81050303965034</v>
      </c>
      <c r="AB32" s="69">
        <v>103.93502145001226</v>
      </c>
      <c r="AC32" s="69">
        <v>105.17113479948223</v>
      </c>
      <c r="AD32" s="69">
        <v>115.61221957424925</v>
      </c>
      <c r="AE32" s="69">
        <v>115.30208799529088</v>
      </c>
      <c r="AF32" s="69">
        <v>117.68301438714958</v>
      </c>
      <c r="AG32" s="69">
        <v>122.75625020578178</v>
      </c>
      <c r="AH32" s="69">
        <v>131.34225677133554</v>
      </c>
      <c r="AI32" s="69">
        <v>130.81201479538137</v>
      </c>
      <c r="AJ32" s="69">
        <v>129.92579411294983</v>
      </c>
      <c r="AK32" s="69">
        <v>130.33071941985108</v>
      </c>
      <c r="AL32" s="69">
        <v>137.07436445255249</v>
      </c>
      <c r="AM32" s="69">
        <v>140.241915294509</v>
      </c>
    </row>
    <row r="33" spans="1:39" ht="17.100000000000001" customHeight="1" x14ac:dyDescent="0.2">
      <c r="A33" s="78" t="s">
        <v>59</v>
      </c>
      <c r="B33" s="69">
        <v>97.136674650837463</v>
      </c>
      <c r="C33" s="69">
        <v>99.142048831727408</v>
      </c>
      <c r="D33" s="69">
        <v>100.95860580624012</v>
      </c>
      <c r="E33" s="69">
        <v>102.69656661959625</v>
      </c>
      <c r="F33" s="69">
        <v>102.7650041198096</v>
      </c>
      <c r="G33" s="69">
        <v>103.72044398243538</v>
      </c>
      <c r="H33" s="69">
        <v>104.06692315645812</v>
      </c>
      <c r="I33" s="69">
        <v>105.14765968589286</v>
      </c>
      <c r="J33" s="69">
        <v>105.88384675782716</v>
      </c>
      <c r="K33" s="69">
        <v>106.27332582722346</v>
      </c>
      <c r="L33" s="69">
        <v>106.38411922501143</v>
      </c>
      <c r="M33" s="69">
        <v>107.28480863667436</v>
      </c>
      <c r="N33" s="69">
        <v>107.60228457700461</v>
      </c>
      <c r="O33" s="69">
        <v>108.32186631485496</v>
      </c>
      <c r="P33" s="69">
        <v>108.89799465254721</v>
      </c>
      <c r="Q33" s="69">
        <v>110.20219289653421</v>
      </c>
      <c r="R33" s="69">
        <v>110.61554442206823</v>
      </c>
      <c r="S33" s="69">
        <v>111.06746366505477</v>
      </c>
      <c r="T33" s="69">
        <v>111.30050751266999</v>
      </c>
      <c r="U33" s="69">
        <v>112.34583350779035</v>
      </c>
      <c r="V33" s="69">
        <v>112.91445377479383</v>
      </c>
      <c r="W33" s="69">
        <v>113.89132816423573</v>
      </c>
      <c r="X33" s="69">
        <v>115.05043751430379</v>
      </c>
      <c r="Y33" s="69">
        <v>119.24795374523154</v>
      </c>
      <c r="Z33" s="69">
        <v>123.22686815341312</v>
      </c>
      <c r="AA33" s="69">
        <v>126.03663042337445</v>
      </c>
      <c r="AB33" s="69">
        <v>126.16875275682271</v>
      </c>
      <c r="AC33" s="69">
        <v>126.9131028870562</v>
      </c>
      <c r="AD33" s="69">
        <v>127.31755641790994</v>
      </c>
      <c r="AE33" s="69">
        <v>129.16218770885243</v>
      </c>
      <c r="AF33" s="69">
        <v>130.04935165183878</v>
      </c>
      <c r="AG33" s="69">
        <v>131.34408009097743</v>
      </c>
      <c r="AH33" s="69">
        <v>131.71412151015031</v>
      </c>
      <c r="AI33" s="69">
        <v>133.07909666112693</v>
      </c>
      <c r="AJ33" s="69">
        <v>134.64642174491362</v>
      </c>
      <c r="AK33" s="69">
        <v>136.24795982886062</v>
      </c>
      <c r="AL33" s="69">
        <v>136.76319038351653</v>
      </c>
      <c r="AM33" s="69">
        <v>137.37986917890112</v>
      </c>
    </row>
    <row r="34" spans="1:39" ht="17.100000000000001" customHeight="1" x14ac:dyDescent="0.2">
      <c r="A34" s="79"/>
      <c r="B34" s="107"/>
      <c r="C34" s="107"/>
      <c r="D34" s="107"/>
      <c r="E34" s="107"/>
      <c r="F34" s="107"/>
      <c r="G34" s="107"/>
      <c r="H34" s="107"/>
      <c r="I34" s="107"/>
      <c r="J34" s="107"/>
      <c r="K34" s="107"/>
      <c r="L34" s="107"/>
      <c r="M34" s="107"/>
      <c r="N34" s="107"/>
      <c r="O34" s="107"/>
      <c r="P34" s="107"/>
      <c r="Q34" s="107"/>
      <c r="R34" s="107"/>
      <c r="S34" s="107"/>
      <c r="T34" s="107"/>
      <c r="U34" s="107"/>
      <c r="V34" s="107"/>
      <c r="W34" s="107"/>
      <c r="X34" s="107"/>
      <c r="Y34" s="107"/>
      <c r="Z34" s="107"/>
      <c r="AA34" s="107"/>
      <c r="AB34" s="107"/>
      <c r="AC34" s="107"/>
      <c r="AD34" s="107"/>
      <c r="AE34" s="107"/>
      <c r="AF34" s="107"/>
      <c r="AG34" s="107"/>
      <c r="AH34" s="107"/>
      <c r="AI34" s="107"/>
      <c r="AJ34" s="107"/>
      <c r="AK34" s="107"/>
      <c r="AL34" s="107"/>
      <c r="AM34" s="107"/>
    </row>
    <row r="35" spans="1:39" s="123" customFormat="1" ht="17.100000000000001" customHeight="1" x14ac:dyDescent="0.2">
      <c r="A35" s="133" t="s">
        <v>95</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4"/>
      <c r="AC35" s="144"/>
      <c r="AD35" s="144"/>
      <c r="AE35" s="144"/>
      <c r="AF35" s="144"/>
      <c r="AG35" s="144"/>
      <c r="AH35" s="144"/>
      <c r="AI35" s="144"/>
      <c r="AJ35" s="144"/>
      <c r="AK35" s="144"/>
      <c r="AL35" s="144"/>
      <c r="AM35" s="144"/>
    </row>
    <row r="36" spans="1:39" s="108" customFormat="1" ht="17.100000000000001" customHeight="1" thickBot="1" x14ac:dyDescent="0.25">
      <c r="A36" s="108" t="s">
        <v>19</v>
      </c>
      <c r="B36" s="108">
        <v>95.161403699301943</v>
      </c>
      <c r="C36" s="108">
        <v>100.67969071437398</v>
      </c>
      <c r="D36" s="108">
        <v>102.71979846262415</v>
      </c>
      <c r="E36" s="108">
        <v>101.22483002056455</v>
      </c>
      <c r="F36" s="108">
        <v>98.860365155175884</v>
      </c>
      <c r="G36" s="108">
        <v>106.25055815407001</v>
      </c>
      <c r="H36" s="108">
        <v>116.0361913375279</v>
      </c>
      <c r="I36" s="108">
        <v>112.94703952400783</v>
      </c>
      <c r="J36" s="108">
        <v>118.81178614740251</v>
      </c>
      <c r="K36" s="108">
        <v>122.87995976524218</v>
      </c>
      <c r="L36" s="108">
        <v>116.97476340438561</v>
      </c>
      <c r="M36" s="108">
        <v>113.88375428192212</v>
      </c>
      <c r="N36" s="108">
        <v>113.05823699281751</v>
      </c>
      <c r="O36" s="108">
        <v>117.37788468865506</v>
      </c>
      <c r="P36" s="108">
        <v>123.89241574564322</v>
      </c>
      <c r="Q36" s="108">
        <v>102.89785177376788</v>
      </c>
      <c r="R36" s="108">
        <v>118.15687562474086</v>
      </c>
      <c r="S36" s="108">
        <v>125.57577080387436</v>
      </c>
      <c r="T36" s="108">
        <v>128.99381381348866</v>
      </c>
      <c r="U36" s="108">
        <v>116.6793201650663</v>
      </c>
      <c r="V36" s="108">
        <v>129.0572524845264</v>
      </c>
      <c r="W36" s="108">
        <v>136.24320921549216</v>
      </c>
      <c r="X36" s="108">
        <v>129.9675228740638</v>
      </c>
      <c r="Y36" s="108">
        <v>131.56068636002726</v>
      </c>
      <c r="Z36" s="108">
        <v>131.32229168501891</v>
      </c>
      <c r="AA36" s="108">
        <v>129.29170572951503</v>
      </c>
      <c r="AB36" s="108">
        <v>138.11395232108325</v>
      </c>
      <c r="AC36" s="108">
        <v>147.96689058327013</v>
      </c>
      <c r="AD36" s="108">
        <v>129.26802204725814</v>
      </c>
      <c r="AE36" s="108">
        <v>138.78259066388961</v>
      </c>
      <c r="AF36" s="108">
        <v>136.4798842255434</v>
      </c>
      <c r="AG36" s="108">
        <v>141.37944219171729</v>
      </c>
      <c r="AH36" s="108">
        <v>132.01222966010133</v>
      </c>
      <c r="AI36" s="108">
        <v>143.53574977333105</v>
      </c>
      <c r="AJ36" s="108">
        <v>141.95383705020024</v>
      </c>
      <c r="AK36" s="108">
        <v>156.28189770771274</v>
      </c>
      <c r="AL36" s="108">
        <v>131.19510622934416</v>
      </c>
      <c r="AM36" s="108">
        <v>146.30100944550827</v>
      </c>
    </row>
    <row r="37" spans="1:39" x14ac:dyDescent="0.2">
      <c r="A37" s="95" t="s">
        <v>50</v>
      </c>
    </row>
  </sheetData>
  <mergeCells count="10">
    <mergeCell ref="AL3:AM3"/>
    <mergeCell ref="AH3:AK3"/>
    <mergeCell ref="AD3:AG3"/>
    <mergeCell ref="Z3:AC3"/>
    <mergeCell ref="V3:Y3"/>
    <mergeCell ref="R3:U3"/>
    <mergeCell ref="B3:E3"/>
    <mergeCell ref="F3:I3"/>
    <mergeCell ref="J3:M3"/>
    <mergeCell ref="N3:Q3"/>
  </mergeCells>
  <phoneticPr fontId="29" type="noConversion"/>
  <pageMargins left="0.51181102362204722" right="0" top="0.51181102362204722" bottom="0" header="0" footer="0"/>
  <pageSetup paperSize="9" scale="51"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pageSetUpPr fitToPage="1"/>
  </sheetPr>
  <dimension ref="A1:AM38"/>
  <sheetViews>
    <sheetView showGridLines="0" view="pageBreakPreview" zoomScaleNormal="100" zoomScaleSheetLayoutView="100" workbookViewId="0">
      <pane xSplit="1" ySplit="4" topLeftCell="F5" activePane="bottomRight" state="frozen"/>
      <selection activeCell="BS41" sqref="BS41"/>
      <selection pane="topRight" activeCell="BS41" sqref="BS41"/>
      <selection pane="bottomLeft" activeCell="BS41" sqref="BS41"/>
      <selection pane="bottomRight" activeCell="AK13" sqref="AK13"/>
    </sheetView>
  </sheetViews>
  <sheetFormatPr defaultColWidth="9.140625" defaultRowHeight="11.25" x14ac:dyDescent="0.2"/>
  <cols>
    <col min="1" max="1" width="26.42578125" style="1" customWidth="1"/>
    <col min="2" max="10" width="6.7109375" style="1" customWidth="1"/>
    <col min="11" max="16" width="6.85546875" style="1" bestFit="1" customWidth="1"/>
    <col min="17" max="17" width="6.85546875" style="1" customWidth="1"/>
    <col min="18" max="24" width="6.85546875" style="1" bestFit="1" customWidth="1"/>
    <col min="25" max="25" width="7.140625" style="1" customWidth="1"/>
    <col min="26" max="26" width="6.7109375" style="1" customWidth="1"/>
    <col min="27" max="29" width="6.85546875" style="1" customWidth="1"/>
    <col min="30" max="30" width="6.85546875" style="1" bestFit="1" customWidth="1"/>
    <col min="31" max="31" width="6.7109375" style="1" bestFit="1" customWidth="1"/>
    <col min="32" max="32" width="6.85546875" style="1" bestFit="1" customWidth="1"/>
    <col min="33" max="33" width="7.140625" style="1" customWidth="1"/>
    <col min="34" max="34" width="6.85546875" style="1" bestFit="1" customWidth="1"/>
    <col min="35" max="35" width="6.7109375" style="1" bestFit="1" customWidth="1"/>
    <col min="36" max="36" width="6.85546875" style="1" bestFit="1" customWidth="1"/>
    <col min="37" max="37" width="6.7109375" style="1" bestFit="1" customWidth="1"/>
    <col min="38" max="39" width="6.85546875" style="1" bestFit="1" customWidth="1"/>
    <col min="40" max="16384" width="9.140625" style="1"/>
  </cols>
  <sheetData>
    <row r="1" spans="1:39" ht="16.5" customHeight="1" x14ac:dyDescent="0.2">
      <c r="A1" s="31" t="s">
        <v>173</v>
      </c>
      <c r="B1" s="31"/>
    </row>
    <row r="2" spans="1:39" ht="1.5" customHeight="1" thickBot="1" x14ac:dyDescent="0.25"/>
    <row r="3" spans="1:39" s="82" customFormat="1" ht="12" customHeight="1" x14ac:dyDescent="0.2">
      <c r="A3" s="81"/>
      <c r="B3" s="215" t="s">
        <v>80</v>
      </c>
      <c r="C3" s="215"/>
      <c r="D3" s="215"/>
      <c r="E3" s="215"/>
      <c r="F3" s="215" t="s">
        <v>92</v>
      </c>
      <c r="G3" s="215"/>
      <c r="H3" s="215"/>
      <c r="I3" s="215"/>
      <c r="J3" s="215" t="s">
        <v>134</v>
      </c>
      <c r="K3" s="215"/>
      <c r="L3" s="215"/>
      <c r="M3" s="215"/>
      <c r="N3" s="215" t="s">
        <v>136</v>
      </c>
      <c r="O3" s="215"/>
      <c r="P3" s="215"/>
      <c r="Q3" s="215"/>
      <c r="R3" s="216" t="s">
        <v>137</v>
      </c>
      <c r="S3" s="216"/>
      <c r="T3" s="216"/>
      <c r="U3" s="216"/>
      <c r="V3" s="216" t="s">
        <v>138</v>
      </c>
      <c r="W3" s="216"/>
      <c r="X3" s="216"/>
      <c r="Y3" s="216"/>
      <c r="Z3" s="216" t="s">
        <v>139</v>
      </c>
      <c r="AA3" s="216"/>
      <c r="AB3" s="216"/>
      <c r="AC3" s="216"/>
      <c r="AD3" s="216" t="s">
        <v>140</v>
      </c>
      <c r="AE3" s="216"/>
      <c r="AF3" s="216"/>
      <c r="AG3" s="216"/>
      <c r="AH3" s="216" t="s">
        <v>166</v>
      </c>
      <c r="AI3" s="216"/>
      <c r="AJ3" s="216"/>
      <c r="AK3" s="216"/>
      <c r="AL3" s="216" t="s">
        <v>167</v>
      </c>
      <c r="AM3" s="216"/>
    </row>
    <row r="4" spans="1:39" s="86" customFormat="1" ht="12" customHeight="1" x14ac:dyDescent="0.2">
      <c r="A4" s="83"/>
      <c r="B4" s="84" t="s">
        <v>46</v>
      </c>
      <c r="C4" s="84" t="s">
        <v>47</v>
      </c>
      <c r="D4" s="84" t="s">
        <v>48</v>
      </c>
      <c r="E4" s="84" t="s">
        <v>49</v>
      </c>
      <c r="F4" s="85" t="s">
        <v>46</v>
      </c>
      <c r="G4" s="84" t="s">
        <v>47</v>
      </c>
      <c r="H4" s="85" t="s">
        <v>48</v>
      </c>
      <c r="I4" s="85" t="s">
        <v>49</v>
      </c>
      <c r="J4" s="85" t="s">
        <v>46</v>
      </c>
      <c r="K4" s="85" t="s">
        <v>47</v>
      </c>
      <c r="L4" s="85" t="s">
        <v>48</v>
      </c>
      <c r="M4" s="85" t="s">
        <v>49</v>
      </c>
      <c r="N4" s="131" t="s">
        <v>46</v>
      </c>
      <c r="O4" s="131" t="s">
        <v>47</v>
      </c>
      <c r="P4" s="131" t="s">
        <v>48</v>
      </c>
      <c r="Q4" s="131" t="s">
        <v>49</v>
      </c>
      <c r="R4" s="131" t="s">
        <v>46</v>
      </c>
      <c r="S4" s="131" t="s">
        <v>47</v>
      </c>
      <c r="T4" s="131" t="s">
        <v>48</v>
      </c>
      <c r="U4" s="131" t="s">
        <v>49</v>
      </c>
      <c r="V4" s="131" t="s">
        <v>46</v>
      </c>
      <c r="W4" s="131" t="s">
        <v>47</v>
      </c>
      <c r="X4" s="131" t="s">
        <v>48</v>
      </c>
      <c r="Y4" s="131" t="s">
        <v>49</v>
      </c>
      <c r="Z4" s="131" t="s">
        <v>46</v>
      </c>
      <c r="AA4" s="131" t="s">
        <v>47</v>
      </c>
      <c r="AB4" s="131" t="s">
        <v>48</v>
      </c>
      <c r="AC4" s="131" t="s">
        <v>49</v>
      </c>
      <c r="AD4" s="131" t="s">
        <v>46</v>
      </c>
      <c r="AE4" s="131" t="s">
        <v>47</v>
      </c>
      <c r="AF4" s="131" t="s">
        <v>48</v>
      </c>
      <c r="AG4" s="131" t="s">
        <v>49</v>
      </c>
      <c r="AH4" s="131" t="s">
        <v>46</v>
      </c>
      <c r="AI4" s="131" t="s">
        <v>47</v>
      </c>
      <c r="AJ4" s="131" t="s">
        <v>48</v>
      </c>
      <c r="AK4" s="131" t="s">
        <v>49</v>
      </c>
      <c r="AL4" s="131" t="s">
        <v>46</v>
      </c>
      <c r="AM4" s="131" t="s">
        <v>47</v>
      </c>
    </row>
    <row r="5" spans="1:39" s="8" customFormat="1" ht="17.100000000000001" customHeight="1" x14ac:dyDescent="0.2">
      <c r="A5" s="39" t="s">
        <v>97</v>
      </c>
      <c r="B5" s="76">
        <v>26418.329913359037</v>
      </c>
      <c r="C5" s="76">
        <v>26820.34073984532</v>
      </c>
      <c r="D5" s="76">
        <v>27619.793515599307</v>
      </c>
      <c r="E5" s="76">
        <v>27877.519436686529</v>
      </c>
      <c r="F5" s="76">
        <v>28291.33911591558</v>
      </c>
      <c r="G5" s="76">
        <v>28562.976804127233</v>
      </c>
      <c r="H5" s="76">
        <v>29225.635950909473</v>
      </c>
      <c r="I5" s="76">
        <v>29425.249775083259</v>
      </c>
      <c r="J5" s="76">
        <v>29958.925048858808</v>
      </c>
      <c r="K5" s="76">
        <v>30153.093747913452</v>
      </c>
      <c r="L5" s="76">
        <v>31561.031499686902</v>
      </c>
      <c r="M5" s="76">
        <v>31371.829680101248</v>
      </c>
      <c r="N5" s="76">
        <v>32311.887177142591</v>
      </c>
      <c r="O5" s="76">
        <v>32681.046842239568</v>
      </c>
      <c r="P5" s="76">
        <v>31941.991239438736</v>
      </c>
      <c r="Q5" s="76">
        <v>29638.436921528686</v>
      </c>
      <c r="R5" s="76">
        <v>31936.886395330035</v>
      </c>
      <c r="S5" s="76">
        <v>32665.95953993038</v>
      </c>
      <c r="T5" s="76">
        <v>32913.147622199474</v>
      </c>
      <c r="U5" s="76">
        <v>33266.262887756922</v>
      </c>
      <c r="V5" s="76">
        <v>32690.006792348013</v>
      </c>
      <c r="W5" s="76">
        <v>34248.281558919123</v>
      </c>
      <c r="X5" s="76">
        <v>35004.410609455022</v>
      </c>
      <c r="Y5" s="76">
        <v>35114.229640385529</v>
      </c>
      <c r="Z5" s="76">
        <v>35517.737086877118</v>
      </c>
      <c r="AA5" s="76">
        <v>35836.54516817956</v>
      </c>
      <c r="AB5" s="76">
        <v>35798.781252551009</v>
      </c>
      <c r="AC5" s="76">
        <v>36969.932194423294</v>
      </c>
      <c r="AD5" s="76">
        <v>37483.150316014762</v>
      </c>
      <c r="AE5" s="76">
        <v>38034.022628928949</v>
      </c>
      <c r="AF5" s="76">
        <v>38330.505504848268</v>
      </c>
      <c r="AG5" s="76">
        <v>38995.257804297391</v>
      </c>
      <c r="AH5" s="76">
        <v>39825.160223270017</v>
      </c>
      <c r="AI5" s="76">
        <v>40146.527558536844</v>
      </c>
      <c r="AJ5" s="76">
        <v>41458.227615187541</v>
      </c>
      <c r="AK5" s="76">
        <v>41147.853643180293</v>
      </c>
      <c r="AL5" s="76">
        <v>41936.504537982662</v>
      </c>
      <c r="AM5" s="76">
        <v>43598.399896274939</v>
      </c>
    </row>
    <row r="6" spans="1:39" s="136" customFormat="1" ht="17.100000000000001" customHeight="1" x14ac:dyDescent="0.2">
      <c r="A6" s="133" t="s">
        <v>96</v>
      </c>
      <c r="B6" s="134">
        <v>6113.5806983651346</v>
      </c>
      <c r="C6" s="134">
        <v>6365.3902364918658</v>
      </c>
      <c r="D6" s="134">
        <v>6582.6129877387048</v>
      </c>
      <c r="E6" s="134">
        <v>6545.5467580877166</v>
      </c>
      <c r="F6" s="134">
        <v>6624.4085330396556</v>
      </c>
      <c r="G6" s="134">
        <v>6533.6462710598571</v>
      </c>
      <c r="H6" s="134">
        <v>6886.5597867902725</v>
      </c>
      <c r="I6" s="134">
        <v>6658.9337340869597</v>
      </c>
      <c r="J6" s="134">
        <v>6779.4573707274694</v>
      </c>
      <c r="K6" s="134">
        <v>6777.7826300122333</v>
      </c>
      <c r="L6" s="134">
        <v>7530.1007588596021</v>
      </c>
      <c r="M6" s="134">
        <v>7187.137654209123</v>
      </c>
      <c r="N6" s="134">
        <v>7185.5964774444828</v>
      </c>
      <c r="O6" s="134">
        <v>7287.0483450925558</v>
      </c>
      <c r="P6" s="134">
        <v>7449.7977707093951</v>
      </c>
      <c r="Q6" s="134">
        <v>7591.4129974247335</v>
      </c>
      <c r="R6" s="134">
        <v>7576.6284289150108</v>
      </c>
      <c r="S6" s="134">
        <v>7813.6823217848078</v>
      </c>
      <c r="T6" s="134">
        <v>7522.4788664419102</v>
      </c>
      <c r="U6" s="134">
        <v>7637.3367651927319</v>
      </c>
      <c r="V6" s="134">
        <v>7927.1369140792995</v>
      </c>
      <c r="W6" s="134">
        <v>7630.1669505136624</v>
      </c>
      <c r="X6" s="134">
        <v>8035.5080994388309</v>
      </c>
      <c r="Y6" s="134">
        <v>8447.1775338268162</v>
      </c>
      <c r="Z6" s="134">
        <v>8159.0795498664365</v>
      </c>
      <c r="AA6" s="134">
        <v>8513.0207266517409</v>
      </c>
      <c r="AB6" s="134">
        <v>8383.2101083149773</v>
      </c>
      <c r="AC6" s="134">
        <v>8246.0464018635703</v>
      </c>
      <c r="AD6" s="134">
        <v>8605.2413453957088</v>
      </c>
      <c r="AE6" s="134">
        <v>8671.4431507111458</v>
      </c>
      <c r="AF6" s="134">
        <v>8843.969682352561</v>
      </c>
      <c r="AG6" s="134">
        <v>9113.9733736485723</v>
      </c>
      <c r="AH6" s="134">
        <v>9189.0095190325937</v>
      </c>
      <c r="AI6" s="134">
        <v>9308.9635958866911</v>
      </c>
      <c r="AJ6" s="134">
        <v>9634.100465993215</v>
      </c>
      <c r="AK6" s="134">
        <v>9429.3306905696445</v>
      </c>
      <c r="AL6" s="134">
        <v>9593.9997678997624</v>
      </c>
      <c r="AM6" s="134">
        <v>10108.554095964224</v>
      </c>
    </row>
    <row r="7" spans="1:39" ht="17.100000000000001" customHeight="1" x14ac:dyDescent="0.2">
      <c r="A7" s="72" t="s">
        <v>1</v>
      </c>
      <c r="B7" s="77">
        <v>503.29632130167801</v>
      </c>
      <c r="C7" s="77">
        <v>710.83298336638495</v>
      </c>
      <c r="D7" s="77">
        <v>654.68381231088495</v>
      </c>
      <c r="E7" s="77">
        <v>689.97222278373602</v>
      </c>
      <c r="F7" s="77">
        <v>709.65641066907097</v>
      </c>
      <c r="G7" s="77">
        <v>670.79428780936701</v>
      </c>
      <c r="H7" s="77">
        <v>664.81656311846996</v>
      </c>
      <c r="I7" s="77">
        <v>663.46589903270001</v>
      </c>
      <c r="J7" s="77">
        <v>709.16013889313501</v>
      </c>
      <c r="K7" s="77">
        <v>706.23062234651798</v>
      </c>
      <c r="L7" s="77">
        <v>675.59063187585798</v>
      </c>
      <c r="M7" s="77">
        <v>745.91241463196604</v>
      </c>
      <c r="N7" s="77">
        <v>727.03459481795699</v>
      </c>
      <c r="O7" s="77">
        <v>768.452637628307</v>
      </c>
      <c r="P7" s="77">
        <v>801.870242565269</v>
      </c>
      <c r="Q7" s="77">
        <v>763.86523119675599</v>
      </c>
      <c r="R7" s="77">
        <v>774.63834799030894</v>
      </c>
      <c r="S7" s="77">
        <v>864.80681199899698</v>
      </c>
      <c r="T7" s="77">
        <v>898.74535877836399</v>
      </c>
      <c r="U7" s="77">
        <v>905.64557845006004</v>
      </c>
      <c r="V7" s="77">
        <v>939.73282799230299</v>
      </c>
      <c r="W7" s="77">
        <v>921.77074504470295</v>
      </c>
      <c r="X7" s="77">
        <v>850.02555579993896</v>
      </c>
      <c r="Y7" s="77">
        <v>925.76686566362605</v>
      </c>
      <c r="Z7" s="77">
        <v>924.82376297599103</v>
      </c>
      <c r="AA7" s="77">
        <v>885.18484367720305</v>
      </c>
      <c r="AB7" s="77">
        <v>916.574238604225</v>
      </c>
      <c r="AC7" s="77">
        <v>931.72516798571803</v>
      </c>
      <c r="AD7" s="77">
        <v>975.85508452529496</v>
      </c>
      <c r="AE7" s="77">
        <v>1037.1507800178599</v>
      </c>
      <c r="AF7" s="77">
        <v>1078.9022292124801</v>
      </c>
      <c r="AG7" s="77">
        <v>1012.0310477381699</v>
      </c>
      <c r="AH7" s="77">
        <v>1141.1690008892101</v>
      </c>
      <c r="AI7" s="77">
        <v>1144.19918233157</v>
      </c>
      <c r="AJ7" s="77">
        <v>1183.12093337382</v>
      </c>
      <c r="AK7" s="77">
        <v>1098.19749141735</v>
      </c>
      <c r="AL7" s="77">
        <v>1224.97569535194</v>
      </c>
      <c r="AM7" s="77">
        <v>1290.88560567888</v>
      </c>
    </row>
    <row r="8" spans="1:39" ht="17.100000000000001" customHeight="1" x14ac:dyDescent="0.2">
      <c r="A8" s="72" t="s">
        <v>2</v>
      </c>
      <c r="B8" s="77">
        <v>3247.5871500426301</v>
      </c>
      <c r="C8" s="77">
        <v>3276.5302078278901</v>
      </c>
      <c r="D8" s="77">
        <v>3540.1141353635198</v>
      </c>
      <c r="E8" s="77">
        <v>3485.1205346093998</v>
      </c>
      <c r="F8" s="77">
        <v>3588.4064785414298</v>
      </c>
      <c r="G8" s="77">
        <v>3582.1453395087501</v>
      </c>
      <c r="H8" s="77">
        <v>3913.4832105138998</v>
      </c>
      <c r="I8" s="77">
        <v>3586.87159294409</v>
      </c>
      <c r="J8" s="77">
        <v>3585.23735152483</v>
      </c>
      <c r="K8" s="77">
        <v>3511.1462906505699</v>
      </c>
      <c r="L8" s="77">
        <v>4220.99658242854</v>
      </c>
      <c r="M8" s="77">
        <v>3744.6507243404999</v>
      </c>
      <c r="N8" s="77">
        <v>3721.82828292554</v>
      </c>
      <c r="O8" s="77">
        <v>3791.5553996131398</v>
      </c>
      <c r="P8" s="77">
        <v>3961.9235797248898</v>
      </c>
      <c r="Q8" s="77">
        <v>4159.1174176340901</v>
      </c>
      <c r="R8" s="77">
        <v>4084.7043640936699</v>
      </c>
      <c r="S8" s="77">
        <v>4119.4212981932897</v>
      </c>
      <c r="T8" s="77">
        <v>3866.9148288239498</v>
      </c>
      <c r="U8" s="77">
        <v>3972.0725181603498</v>
      </c>
      <c r="V8" s="77">
        <v>4100.8811836633504</v>
      </c>
      <c r="W8" s="77">
        <v>3883.8983588256401</v>
      </c>
      <c r="X8" s="77">
        <v>4273.9309809168599</v>
      </c>
      <c r="Y8" s="77">
        <v>4566.6634448858204</v>
      </c>
      <c r="Z8" s="77">
        <v>4381.4789879113296</v>
      </c>
      <c r="AA8" s="77">
        <v>4559.54513565049</v>
      </c>
      <c r="AB8" s="77">
        <v>4232.1354594655104</v>
      </c>
      <c r="AC8" s="77">
        <v>4249.0298759419302</v>
      </c>
      <c r="AD8" s="77">
        <v>4561.01185353247</v>
      </c>
      <c r="AE8" s="77">
        <v>4516.1355518324499</v>
      </c>
      <c r="AF8" s="77">
        <v>4603.3385249787098</v>
      </c>
      <c r="AG8" s="77">
        <v>4706.6802868482</v>
      </c>
      <c r="AH8" s="77">
        <v>4805.8781244899101</v>
      </c>
      <c r="AI8" s="77">
        <v>4787.2360018919599</v>
      </c>
      <c r="AJ8" s="77">
        <v>4790.1824415943502</v>
      </c>
      <c r="AK8" s="77">
        <v>4821.6983297188199</v>
      </c>
      <c r="AL8" s="77">
        <v>4777.2362712699296</v>
      </c>
      <c r="AM8" s="77">
        <v>5144.5355001942198</v>
      </c>
    </row>
    <row r="9" spans="1:39" ht="17.100000000000001" customHeight="1" x14ac:dyDescent="0.2">
      <c r="A9" s="72" t="s">
        <v>3</v>
      </c>
      <c r="B9" s="77">
        <v>802.21645002699904</v>
      </c>
      <c r="C9" s="77">
        <v>821.04987043629899</v>
      </c>
      <c r="D9" s="77">
        <v>836.02238065033305</v>
      </c>
      <c r="E9" s="77">
        <v>849.95016494103402</v>
      </c>
      <c r="F9" s="77">
        <v>867.88349095422996</v>
      </c>
      <c r="G9" s="77">
        <v>875.60992309470498</v>
      </c>
      <c r="H9" s="77">
        <v>894.96076420426198</v>
      </c>
      <c r="I9" s="77">
        <v>906.56364156846098</v>
      </c>
      <c r="J9" s="77">
        <v>925.00599181847701</v>
      </c>
      <c r="K9" s="77">
        <v>942.90374567430501</v>
      </c>
      <c r="L9" s="77">
        <v>958.00889512846004</v>
      </c>
      <c r="M9" s="77">
        <v>979.44664077270602</v>
      </c>
      <c r="N9" s="77">
        <v>997.41556390781898</v>
      </c>
      <c r="O9" s="77">
        <v>1017.16276245961</v>
      </c>
      <c r="P9" s="77">
        <v>1037.1609597561301</v>
      </c>
      <c r="Q9" s="77">
        <v>1053.9591127926101</v>
      </c>
      <c r="R9" s="77">
        <v>1072.94275169651</v>
      </c>
      <c r="S9" s="77">
        <v>1094.2655127723101</v>
      </c>
      <c r="T9" s="77">
        <v>1117.25754152885</v>
      </c>
      <c r="U9" s="77">
        <v>1141.0180363972199</v>
      </c>
      <c r="V9" s="77">
        <v>1163.0540685067001</v>
      </c>
      <c r="W9" s="77">
        <v>1184.3332775281699</v>
      </c>
      <c r="X9" s="77">
        <v>1208.91599788444</v>
      </c>
      <c r="Y9" s="77">
        <v>1236.7748783397501</v>
      </c>
      <c r="Z9" s="77">
        <v>1265.1188224825601</v>
      </c>
      <c r="AA9" s="77">
        <v>1289.57077959446</v>
      </c>
      <c r="AB9" s="77">
        <v>1324.4009022694299</v>
      </c>
      <c r="AC9" s="77">
        <v>1337.6003039700499</v>
      </c>
      <c r="AD9" s="77">
        <v>1363.6458119293</v>
      </c>
      <c r="AE9" s="77">
        <v>1392.9688863643401</v>
      </c>
      <c r="AF9" s="77">
        <v>1420.8064003698701</v>
      </c>
      <c r="AG9" s="77">
        <v>1450.66731037572</v>
      </c>
      <c r="AH9" s="77">
        <v>1479.22522903716</v>
      </c>
      <c r="AI9" s="77">
        <v>1512.5412658640901</v>
      </c>
      <c r="AJ9" s="77">
        <v>1550.2704699276501</v>
      </c>
      <c r="AK9" s="77">
        <v>1578.6671985185201</v>
      </c>
      <c r="AL9" s="77">
        <v>1616.40821115727</v>
      </c>
      <c r="AM9" s="77">
        <v>1651.8822327217699</v>
      </c>
    </row>
    <row r="10" spans="1:39" ht="17.100000000000001" customHeight="1" x14ac:dyDescent="0.2">
      <c r="A10" s="72" t="s">
        <v>4</v>
      </c>
      <c r="B10" s="77">
        <v>4.0799984715160296</v>
      </c>
      <c r="C10" s="77">
        <v>4.1050673400409803</v>
      </c>
      <c r="D10" s="77">
        <v>4.1434358606229704</v>
      </c>
      <c r="E10" s="77">
        <v>4.1787639807520804</v>
      </c>
      <c r="F10" s="77">
        <v>4.0862557448366701</v>
      </c>
      <c r="G10" s="77">
        <v>4.0174433583056697</v>
      </c>
      <c r="H10" s="77">
        <v>4.0500986018279903</v>
      </c>
      <c r="I10" s="77">
        <v>4.2471733809341297</v>
      </c>
      <c r="J10" s="77">
        <v>4.2716475446607998</v>
      </c>
      <c r="K10" s="77">
        <v>4.3753032483674499</v>
      </c>
      <c r="L10" s="77">
        <v>4.3327386771217702</v>
      </c>
      <c r="M10" s="77">
        <v>4.9040640779361899</v>
      </c>
      <c r="N10" s="77">
        <v>5.0061099434319001</v>
      </c>
      <c r="O10" s="77">
        <v>5.3388341783807602</v>
      </c>
      <c r="P10" s="77">
        <v>4.1480272485316503</v>
      </c>
      <c r="Q10" s="77">
        <v>4.2807176156244102</v>
      </c>
      <c r="R10" s="77">
        <v>4.6282603528997699</v>
      </c>
      <c r="S10" s="77">
        <v>4.8545926032699303</v>
      </c>
      <c r="T10" s="77">
        <v>5.1152568293855101</v>
      </c>
      <c r="U10" s="77">
        <v>5.0403181952666403</v>
      </c>
      <c r="V10" s="77">
        <v>4.9733821408157803</v>
      </c>
      <c r="W10" s="77">
        <v>4.9806351797247403</v>
      </c>
      <c r="X10" s="77">
        <v>5.2000083063642704</v>
      </c>
      <c r="Y10" s="77">
        <v>5.1848424532695896</v>
      </c>
      <c r="Z10" s="77">
        <v>5.1189172513999104</v>
      </c>
      <c r="AA10" s="77">
        <v>5.1979802741819698</v>
      </c>
      <c r="AB10" s="77">
        <v>5.1817555232210104</v>
      </c>
      <c r="AC10" s="77">
        <v>5.2290971442254204</v>
      </c>
      <c r="AD10" s="77">
        <v>5.4102962492986597</v>
      </c>
      <c r="AE10" s="77">
        <v>5.5776222974986203</v>
      </c>
      <c r="AF10" s="77">
        <v>5.5930663951815101</v>
      </c>
      <c r="AG10" s="77">
        <v>5.6771782420950796</v>
      </c>
      <c r="AH10" s="77">
        <v>5.6485222966525601</v>
      </c>
      <c r="AI10" s="77">
        <v>5.4027254487246603</v>
      </c>
      <c r="AJ10" s="77">
        <v>5.5356848970437103</v>
      </c>
      <c r="AK10" s="77">
        <v>6.6136967460147398</v>
      </c>
      <c r="AL10" s="77">
        <v>4.9875102971677796</v>
      </c>
      <c r="AM10" s="77">
        <v>5.4154925630964899</v>
      </c>
    </row>
    <row r="11" spans="1:39" ht="17.100000000000001" customHeight="1" x14ac:dyDescent="0.2">
      <c r="A11" s="72" t="s">
        <v>5</v>
      </c>
      <c r="B11" s="77">
        <v>984.77389673626897</v>
      </c>
      <c r="C11" s="77">
        <v>981.27088871957801</v>
      </c>
      <c r="D11" s="77">
        <v>1007.34708074313</v>
      </c>
      <c r="E11" s="77">
        <v>1019.55612712482</v>
      </c>
      <c r="F11" s="77">
        <v>1019.88973390281</v>
      </c>
      <c r="G11" s="77">
        <v>1005.9333851784399</v>
      </c>
      <c r="H11" s="77">
        <v>1038.3109028964</v>
      </c>
      <c r="I11" s="77">
        <v>1066.2146525538301</v>
      </c>
      <c r="J11" s="77">
        <v>1062.5455424474401</v>
      </c>
      <c r="K11" s="77">
        <v>1066.9156165480099</v>
      </c>
      <c r="L11" s="77">
        <v>1058.1310004245499</v>
      </c>
      <c r="M11" s="77">
        <v>1093.6539315759101</v>
      </c>
      <c r="N11" s="77">
        <v>1108.9099147286299</v>
      </c>
      <c r="O11" s="77">
        <v>1126.5173272741499</v>
      </c>
      <c r="P11" s="77">
        <v>1099.9410705993901</v>
      </c>
      <c r="Q11" s="77">
        <v>1085.91321441639</v>
      </c>
      <c r="R11" s="77">
        <v>1083.40741417862</v>
      </c>
      <c r="S11" s="77">
        <v>1175.18441179758</v>
      </c>
      <c r="T11" s="77">
        <v>1153.33923103694</v>
      </c>
      <c r="U11" s="77">
        <v>1141.32585151424</v>
      </c>
      <c r="V11" s="77">
        <v>1136.17562616386</v>
      </c>
      <c r="W11" s="77">
        <v>1147.70669214647</v>
      </c>
      <c r="X11" s="77">
        <v>1211.07678897602</v>
      </c>
      <c r="Y11" s="77">
        <v>1204.02990260504</v>
      </c>
      <c r="Z11" s="77">
        <v>1180.0474661922001</v>
      </c>
      <c r="AA11" s="77">
        <v>1196.9187748690299</v>
      </c>
      <c r="AB11" s="77">
        <v>1241.1561885234601</v>
      </c>
      <c r="AC11" s="77">
        <v>1228.9551537418699</v>
      </c>
      <c r="AD11" s="77">
        <v>1240.2377841520399</v>
      </c>
      <c r="AE11" s="77">
        <v>1232.00348893963</v>
      </c>
      <c r="AF11" s="77">
        <v>1167.1098422671801</v>
      </c>
      <c r="AG11" s="77">
        <v>1358.0152257818399</v>
      </c>
      <c r="AH11" s="77">
        <v>1283.28516212112</v>
      </c>
      <c r="AI11" s="77">
        <v>1295.68416586892</v>
      </c>
      <c r="AJ11" s="77">
        <v>1255.2839135693901</v>
      </c>
      <c r="AK11" s="77">
        <v>1328.3632143264499</v>
      </c>
      <c r="AL11" s="77">
        <v>1404.74321625414</v>
      </c>
      <c r="AM11" s="77">
        <v>1399.5019308032799</v>
      </c>
    </row>
    <row r="12" spans="1:39" ht="17.100000000000001" customHeight="1" x14ac:dyDescent="0.2">
      <c r="A12" s="72" t="s">
        <v>6</v>
      </c>
      <c r="B12" s="77">
        <v>571.62688178604299</v>
      </c>
      <c r="C12" s="77">
        <v>571.60121880167299</v>
      </c>
      <c r="D12" s="77">
        <v>540.30214281021404</v>
      </c>
      <c r="E12" s="77">
        <v>496.76894464797499</v>
      </c>
      <c r="F12" s="77">
        <v>434.48616322727901</v>
      </c>
      <c r="G12" s="77">
        <v>395.14589211028903</v>
      </c>
      <c r="H12" s="77">
        <v>370.93824745541298</v>
      </c>
      <c r="I12" s="77">
        <v>431.57077460694398</v>
      </c>
      <c r="J12" s="77">
        <v>493.23669849892701</v>
      </c>
      <c r="K12" s="77">
        <v>546.21105154446298</v>
      </c>
      <c r="L12" s="77">
        <v>613.04091032507301</v>
      </c>
      <c r="M12" s="77">
        <v>618.56987881010502</v>
      </c>
      <c r="N12" s="77">
        <v>625.40201112110606</v>
      </c>
      <c r="O12" s="77">
        <v>578.02138393896803</v>
      </c>
      <c r="P12" s="77">
        <v>544.75389081518495</v>
      </c>
      <c r="Q12" s="77">
        <v>524.27730376926195</v>
      </c>
      <c r="R12" s="77">
        <v>556.307290603002</v>
      </c>
      <c r="S12" s="77">
        <v>555.14969441936103</v>
      </c>
      <c r="T12" s="77">
        <v>481.10664944441999</v>
      </c>
      <c r="U12" s="77">
        <v>472.23446247559599</v>
      </c>
      <c r="V12" s="77">
        <v>582.31982561227096</v>
      </c>
      <c r="W12" s="77">
        <v>487.47724178895402</v>
      </c>
      <c r="X12" s="77">
        <v>486.35876755520798</v>
      </c>
      <c r="Y12" s="77">
        <v>508.75759987931002</v>
      </c>
      <c r="Z12" s="77">
        <v>402.491593052957</v>
      </c>
      <c r="AA12" s="77">
        <v>576.603212586376</v>
      </c>
      <c r="AB12" s="77">
        <v>663.76156392913094</v>
      </c>
      <c r="AC12" s="77">
        <v>493.50680307977598</v>
      </c>
      <c r="AD12" s="77">
        <v>459.080515007305</v>
      </c>
      <c r="AE12" s="77">
        <v>487.606821259367</v>
      </c>
      <c r="AF12" s="77">
        <v>568.21961912914105</v>
      </c>
      <c r="AG12" s="77">
        <v>580.90232466254804</v>
      </c>
      <c r="AH12" s="77">
        <v>473.80348019854102</v>
      </c>
      <c r="AI12" s="77">
        <v>563.90025448142705</v>
      </c>
      <c r="AJ12" s="77">
        <v>849.70702263095995</v>
      </c>
      <c r="AK12" s="77">
        <v>595.79075984248902</v>
      </c>
      <c r="AL12" s="77">
        <v>565.64886356931504</v>
      </c>
      <c r="AM12" s="77">
        <v>616.33333400297897</v>
      </c>
    </row>
    <row r="13" spans="1:39" s="136" customFormat="1" ht="17.100000000000001" customHeight="1" x14ac:dyDescent="0.2">
      <c r="A13" s="133" t="s">
        <v>93</v>
      </c>
      <c r="B13" s="134">
        <v>6810.6033846262262</v>
      </c>
      <c r="C13" s="134">
        <v>7063.7601198551001</v>
      </c>
      <c r="D13" s="134">
        <v>7254.0027013101644</v>
      </c>
      <c r="E13" s="134">
        <v>7141.0368591941769</v>
      </c>
      <c r="F13" s="134">
        <v>7166.4739033390269</v>
      </c>
      <c r="G13" s="134">
        <v>7225.7595428277446</v>
      </c>
      <c r="H13" s="134">
        <v>7502.9432754538329</v>
      </c>
      <c r="I13" s="134">
        <v>7726.2775249250953</v>
      </c>
      <c r="J13" s="134">
        <v>7801.3781845833555</v>
      </c>
      <c r="K13" s="134">
        <v>7960.706120394465</v>
      </c>
      <c r="L13" s="134">
        <v>8233.1104845593873</v>
      </c>
      <c r="M13" s="134">
        <v>8293.8714018755236</v>
      </c>
      <c r="N13" s="134">
        <v>8575.6379884606285</v>
      </c>
      <c r="O13" s="134">
        <v>8793.2643182345964</v>
      </c>
      <c r="P13" s="134">
        <v>8516.014871267731</v>
      </c>
      <c r="Q13" s="134">
        <v>7475.9912939983551</v>
      </c>
      <c r="R13" s="134">
        <v>8344.045827607606</v>
      </c>
      <c r="S13" s="134">
        <v>8664.339073743522</v>
      </c>
      <c r="T13" s="134">
        <v>8746.7760904859824</v>
      </c>
      <c r="U13" s="134">
        <v>8744.4019666187305</v>
      </c>
      <c r="V13" s="134">
        <v>8320.4574047383267</v>
      </c>
      <c r="W13" s="134">
        <v>9400.4201966170276</v>
      </c>
      <c r="X13" s="134">
        <v>9287.2520037562572</v>
      </c>
      <c r="Y13" s="134">
        <v>9327.8918066013684</v>
      </c>
      <c r="Z13" s="134">
        <v>9270.1094557129854</v>
      </c>
      <c r="AA13" s="134">
        <v>9216.4309686432698</v>
      </c>
      <c r="AB13" s="134">
        <v>9362.2701095963803</v>
      </c>
      <c r="AC13" s="134">
        <v>9903.2746925504925</v>
      </c>
      <c r="AD13" s="134">
        <v>10051.23522890946</v>
      </c>
      <c r="AE13" s="134">
        <v>9693.1080935552054</v>
      </c>
      <c r="AF13" s="134">
        <v>10001.426479711481</v>
      </c>
      <c r="AG13" s="134">
        <v>9991.0365009896341</v>
      </c>
      <c r="AH13" s="134">
        <v>10553.50054197254</v>
      </c>
      <c r="AI13" s="134">
        <v>10470.413331482858</v>
      </c>
      <c r="AJ13" s="134">
        <v>10737.85452452077</v>
      </c>
      <c r="AK13" s="134">
        <v>10743.283301596544</v>
      </c>
      <c r="AL13" s="134">
        <v>11200.126282491288</v>
      </c>
      <c r="AM13" s="134">
        <v>11777.904961628605</v>
      </c>
    </row>
    <row r="14" spans="1:39" ht="17.100000000000001" customHeight="1" x14ac:dyDescent="0.2">
      <c r="A14" s="72" t="s">
        <v>8</v>
      </c>
      <c r="B14" s="77">
        <v>279.59312003478198</v>
      </c>
      <c r="C14" s="77">
        <v>345.39172117348699</v>
      </c>
      <c r="D14" s="77">
        <v>338.303829118821</v>
      </c>
      <c r="E14" s="77">
        <v>382.32306122625499</v>
      </c>
      <c r="F14" s="77">
        <v>309.05654229747699</v>
      </c>
      <c r="G14" s="77">
        <v>272.067488059352</v>
      </c>
      <c r="H14" s="77">
        <v>310.88999745102501</v>
      </c>
      <c r="I14" s="77">
        <v>390.58963322992997</v>
      </c>
      <c r="J14" s="77">
        <v>378.22495139326901</v>
      </c>
      <c r="K14" s="77">
        <v>313.76870496465801</v>
      </c>
      <c r="L14" s="77">
        <v>432.68766950121602</v>
      </c>
      <c r="M14" s="77">
        <v>378.94469892837998</v>
      </c>
      <c r="N14" s="77">
        <v>424.97731060985001</v>
      </c>
      <c r="O14" s="77">
        <v>529.31731648313598</v>
      </c>
      <c r="P14" s="77">
        <v>509.24228319553299</v>
      </c>
      <c r="Q14" s="77">
        <v>312.14721088753299</v>
      </c>
      <c r="R14" s="77">
        <v>594.24487057901695</v>
      </c>
      <c r="S14" s="77">
        <v>501.17590646637302</v>
      </c>
      <c r="T14" s="77">
        <v>422.125892337479</v>
      </c>
      <c r="U14" s="77">
        <v>364.284927835426</v>
      </c>
      <c r="V14" s="77">
        <v>249.28243045300201</v>
      </c>
      <c r="W14" s="77">
        <v>728.53757738595198</v>
      </c>
      <c r="X14" s="77">
        <v>641.83587907188905</v>
      </c>
      <c r="Y14" s="77">
        <v>678.19367234255901</v>
      </c>
      <c r="Z14" s="77">
        <v>451.98361427461498</v>
      </c>
      <c r="AA14" s="77">
        <v>342.60878630313198</v>
      </c>
      <c r="AB14" s="77">
        <v>518.87753505608498</v>
      </c>
      <c r="AC14" s="77">
        <v>1052.8731542109399</v>
      </c>
      <c r="AD14" s="77">
        <v>855.23706250202702</v>
      </c>
      <c r="AE14" s="77">
        <v>671.13576552340703</v>
      </c>
      <c r="AF14" s="77">
        <v>564.91015229582194</v>
      </c>
      <c r="AG14" s="77">
        <v>260.58697512752599</v>
      </c>
      <c r="AH14" s="77">
        <v>756.03454572803503</v>
      </c>
      <c r="AI14" s="77">
        <v>735.19235739411499</v>
      </c>
      <c r="AJ14" s="77">
        <v>576.91568489762199</v>
      </c>
      <c r="AK14" s="77">
        <v>379.13373454438602</v>
      </c>
      <c r="AL14" s="77">
        <v>663.20976440351899</v>
      </c>
      <c r="AM14" s="77">
        <v>943.15897670317099</v>
      </c>
    </row>
    <row r="15" spans="1:39" ht="17.100000000000001" customHeight="1" x14ac:dyDescent="0.2">
      <c r="A15" s="42" t="s">
        <v>9</v>
      </c>
      <c r="B15" s="77">
        <v>4065.9475759024899</v>
      </c>
      <c r="C15" s="77">
        <v>4167.4455167441902</v>
      </c>
      <c r="D15" s="77">
        <v>4379.7396980885296</v>
      </c>
      <c r="E15" s="77">
        <v>4248.1633099403898</v>
      </c>
      <c r="F15" s="77">
        <v>4280.8725590084596</v>
      </c>
      <c r="G15" s="77">
        <v>4339.8829389765897</v>
      </c>
      <c r="H15" s="77">
        <v>4463.7070345430102</v>
      </c>
      <c r="I15" s="77">
        <v>4548.9121362463902</v>
      </c>
      <c r="J15" s="77">
        <v>4580.3004251599796</v>
      </c>
      <c r="K15" s="77">
        <v>4727.7723030705101</v>
      </c>
      <c r="L15" s="77">
        <v>4819.2489634972799</v>
      </c>
      <c r="M15" s="77">
        <v>4855.8436255135002</v>
      </c>
      <c r="N15" s="77">
        <v>5115.8421147972704</v>
      </c>
      <c r="O15" s="77">
        <v>5140.21019446848</v>
      </c>
      <c r="P15" s="77">
        <v>4788.4090625638701</v>
      </c>
      <c r="Q15" s="77">
        <v>4180.4202891181703</v>
      </c>
      <c r="R15" s="77">
        <v>4913.8243556954803</v>
      </c>
      <c r="S15" s="77">
        <v>4865.0387480025802</v>
      </c>
      <c r="T15" s="77">
        <v>4918.2703592190301</v>
      </c>
      <c r="U15" s="77">
        <v>4951.2893691782501</v>
      </c>
      <c r="V15" s="77">
        <v>4594.0412934266096</v>
      </c>
      <c r="W15" s="77">
        <v>5215.5774168972903</v>
      </c>
      <c r="X15" s="77">
        <v>5312.0112316649002</v>
      </c>
      <c r="Y15" s="77">
        <v>5282.1413626692702</v>
      </c>
      <c r="Z15" s="77">
        <v>5280.8115170061401</v>
      </c>
      <c r="AA15" s="77">
        <v>5323.8341582282601</v>
      </c>
      <c r="AB15" s="77">
        <v>5246.5769644369102</v>
      </c>
      <c r="AC15" s="77">
        <v>5189.5747144656398</v>
      </c>
      <c r="AD15" s="77">
        <v>5498.8241379724204</v>
      </c>
      <c r="AE15" s="77">
        <v>5272.7982208371504</v>
      </c>
      <c r="AF15" s="77">
        <v>5506.6987741040703</v>
      </c>
      <c r="AG15" s="77">
        <v>5748.7105276619004</v>
      </c>
      <c r="AH15" s="77">
        <v>5814.5781442129401</v>
      </c>
      <c r="AI15" s="77">
        <v>5711.6919284936803</v>
      </c>
      <c r="AJ15" s="77">
        <v>5794.7468306974697</v>
      </c>
      <c r="AK15" s="77">
        <v>5941.3568503608303</v>
      </c>
      <c r="AL15" s="77">
        <v>6080.6431744014199</v>
      </c>
      <c r="AM15" s="77">
        <v>6241.9486178638499</v>
      </c>
    </row>
    <row r="16" spans="1:39" ht="17.100000000000001" customHeight="1" x14ac:dyDescent="0.2">
      <c r="A16" s="42" t="s">
        <v>10</v>
      </c>
      <c r="B16" s="77">
        <v>327.91569488435101</v>
      </c>
      <c r="C16" s="77">
        <v>340.55794590801497</v>
      </c>
      <c r="D16" s="77">
        <v>358.506641693826</v>
      </c>
      <c r="E16" s="77">
        <v>352.86581943367599</v>
      </c>
      <c r="F16" s="77">
        <v>363.25320116267301</v>
      </c>
      <c r="G16" s="77">
        <v>366.34658743999302</v>
      </c>
      <c r="H16" s="77">
        <v>364.71317860330799</v>
      </c>
      <c r="I16" s="77">
        <v>359.46387583809002</v>
      </c>
      <c r="J16" s="77">
        <v>363.55748780350802</v>
      </c>
      <c r="K16" s="77">
        <v>365.02414230039102</v>
      </c>
      <c r="L16" s="77">
        <v>372.04481301442598</v>
      </c>
      <c r="M16" s="77">
        <v>389.35000683497299</v>
      </c>
      <c r="N16" s="77">
        <v>408.69814781984297</v>
      </c>
      <c r="O16" s="77">
        <v>421.58589700153499</v>
      </c>
      <c r="P16" s="77">
        <v>435.14902706521599</v>
      </c>
      <c r="Q16" s="77">
        <v>386.45990715741101</v>
      </c>
      <c r="R16" s="77">
        <v>444.86438270241501</v>
      </c>
      <c r="S16" s="77">
        <v>459.04174133994798</v>
      </c>
      <c r="T16" s="77">
        <v>467.363912023068</v>
      </c>
      <c r="U16" s="77">
        <v>473.32123912528903</v>
      </c>
      <c r="V16" s="77">
        <v>467.55330572665702</v>
      </c>
      <c r="W16" s="77">
        <v>473.946869939745</v>
      </c>
      <c r="X16" s="77">
        <v>477.39240292345301</v>
      </c>
      <c r="Y16" s="77">
        <v>483.47467004270902</v>
      </c>
      <c r="Z16" s="77">
        <v>495.92268173700501</v>
      </c>
      <c r="AA16" s="77">
        <v>511.83145417534598</v>
      </c>
      <c r="AB16" s="77">
        <v>520.14571062328798</v>
      </c>
      <c r="AC16" s="77">
        <v>535.41815094557705</v>
      </c>
      <c r="AD16" s="77">
        <v>554.56890925868697</v>
      </c>
      <c r="AE16" s="77">
        <v>554.79152741800203</v>
      </c>
      <c r="AF16" s="77">
        <v>565.74518969941903</v>
      </c>
      <c r="AG16" s="77">
        <v>572.09127778315496</v>
      </c>
      <c r="AH16" s="77">
        <v>589.69083320878406</v>
      </c>
      <c r="AI16" s="77">
        <v>613.66967297279598</v>
      </c>
      <c r="AJ16" s="77">
        <v>641.58663781795997</v>
      </c>
      <c r="AK16" s="77">
        <v>668.97905037351404</v>
      </c>
      <c r="AL16" s="77">
        <v>744.20131042089804</v>
      </c>
      <c r="AM16" s="77">
        <v>680.46150264223297</v>
      </c>
    </row>
    <row r="17" spans="1:39" ht="17.100000000000001" customHeight="1" x14ac:dyDescent="0.2">
      <c r="A17" s="42" t="s">
        <v>11</v>
      </c>
      <c r="B17" s="77">
        <v>631.85356333551294</v>
      </c>
      <c r="C17" s="77">
        <v>641.58805143302698</v>
      </c>
      <c r="D17" s="77">
        <v>648.17959842402695</v>
      </c>
      <c r="E17" s="77">
        <v>656.47180457701597</v>
      </c>
      <c r="F17" s="77">
        <v>660.59693972299704</v>
      </c>
      <c r="G17" s="77">
        <v>667.04113852525995</v>
      </c>
      <c r="H17" s="77">
        <v>673.21646060224998</v>
      </c>
      <c r="I17" s="77">
        <v>680.90351308225604</v>
      </c>
      <c r="J17" s="77">
        <v>689.95324800787898</v>
      </c>
      <c r="K17" s="77">
        <v>698.64695137596595</v>
      </c>
      <c r="L17" s="77">
        <v>705.99333672977605</v>
      </c>
      <c r="M17" s="77">
        <v>714.01122115328997</v>
      </c>
      <c r="N17" s="77">
        <v>719.58156636752597</v>
      </c>
      <c r="O17" s="77">
        <v>725.99261185840396</v>
      </c>
      <c r="P17" s="77">
        <v>735.88347525836298</v>
      </c>
      <c r="Q17" s="77">
        <v>742.24989568618003</v>
      </c>
      <c r="R17" s="77">
        <v>751.84340016662497</v>
      </c>
      <c r="S17" s="77">
        <v>761.11841585284003</v>
      </c>
      <c r="T17" s="77">
        <v>769.68739611132503</v>
      </c>
      <c r="U17" s="77">
        <v>780.37130421356505</v>
      </c>
      <c r="V17" s="77">
        <v>795.99014034665799</v>
      </c>
      <c r="W17" s="77">
        <v>809.64509081230995</v>
      </c>
      <c r="X17" s="77">
        <v>820.48827821995496</v>
      </c>
      <c r="Y17" s="77">
        <v>829.26035461433105</v>
      </c>
      <c r="Z17" s="77">
        <v>833.31934543355396</v>
      </c>
      <c r="AA17" s="77">
        <v>841.32368232122201</v>
      </c>
      <c r="AB17" s="77">
        <v>852.73836246899702</v>
      </c>
      <c r="AC17" s="77">
        <v>864.11565702516498</v>
      </c>
      <c r="AD17" s="77">
        <v>877.36645608726496</v>
      </c>
      <c r="AE17" s="77">
        <v>886.76086420823697</v>
      </c>
      <c r="AF17" s="77">
        <v>896.98294503813997</v>
      </c>
      <c r="AG17" s="77">
        <v>910.27924192957403</v>
      </c>
      <c r="AH17" s="77">
        <v>907.85907189433101</v>
      </c>
      <c r="AI17" s="77">
        <v>914.37990840102702</v>
      </c>
      <c r="AJ17" s="77">
        <v>918.41902307883799</v>
      </c>
      <c r="AK17" s="77">
        <v>924.25315263022298</v>
      </c>
      <c r="AL17" s="77">
        <v>933.40992464546002</v>
      </c>
      <c r="AM17" s="77">
        <v>944.90284283590995</v>
      </c>
    </row>
    <row r="18" spans="1:39" ht="17.100000000000001" customHeight="1" x14ac:dyDescent="0.2">
      <c r="A18" s="72" t="s">
        <v>12</v>
      </c>
      <c r="B18" s="77">
        <v>1505.29343046909</v>
      </c>
      <c r="C18" s="77">
        <v>1568.7768845963799</v>
      </c>
      <c r="D18" s="77">
        <v>1529.27293398496</v>
      </c>
      <c r="E18" s="77">
        <v>1501.2128640168401</v>
      </c>
      <c r="F18" s="77">
        <v>1552.69466114742</v>
      </c>
      <c r="G18" s="77">
        <v>1580.42138982655</v>
      </c>
      <c r="H18" s="77">
        <v>1690.4166042542399</v>
      </c>
      <c r="I18" s="77">
        <v>1746.40836652843</v>
      </c>
      <c r="J18" s="77">
        <v>1789.34207221872</v>
      </c>
      <c r="K18" s="77">
        <v>1855.4940186829399</v>
      </c>
      <c r="L18" s="77">
        <v>1903.13570181669</v>
      </c>
      <c r="M18" s="77">
        <v>1955.72184944538</v>
      </c>
      <c r="N18" s="77">
        <v>1906.5388488661399</v>
      </c>
      <c r="O18" s="77">
        <v>1976.1582984230399</v>
      </c>
      <c r="P18" s="77">
        <v>2047.3310231847499</v>
      </c>
      <c r="Q18" s="77">
        <v>1854.7139911490599</v>
      </c>
      <c r="R18" s="77">
        <v>1639.2688184640699</v>
      </c>
      <c r="S18" s="77">
        <v>2077.9642620817799</v>
      </c>
      <c r="T18" s="77">
        <v>2169.32853079508</v>
      </c>
      <c r="U18" s="77">
        <v>2175.1351262662001</v>
      </c>
      <c r="V18" s="77">
        <v>2213.5902347853998</v>
      </c>
      <c r="W18" s="77">
        <v>2172.71324158173</v>
      </c>
      <c r="X18" s="77">
        <v>2035.52421187606</v>
      </c>
      <c r="Y18" s="77">
        <v>2054.8217469325</v>
      </c>
      <c r="Z18" s="77">
        <v>2208.07229726167</v>
      </c>
      <c r="AA18" s="77">
        <v>2196.83288761531</v>
      </c>
      <c r="AB18" s="77">
        <v>2223.9315370110999</v>
      </c>
      <c r="AC18" s="77">
        <v>2261.2930159031698</v>
      </c>
      <c r="AD18" s="77">
        <v>2265.2386630890601</v>
      </c>
      <c r="AE18" s="77">
        <v>2307.6217155684099</v>
      </c>
      <c r="AF18" s="77">
        <v>2467.0894185740299</v>
      </c>
      <c r="AG18" s="77">
        <v>2499.3684784874799</v>
      </c>
      <c r="AH18" s="77">
        <v>2485.33794692845</v>
      </c>
      <c r="AI18" s="77">
        <v>2495.4794642212401</v>
      </c>
      <c r="AJ18" s="77">
        <v>2806.1863480288798</v>
      </c>
      <c r="AK18" s="77">
        <v>2829.5605136875902</v>
      </c>
      <c r="AL18" s="77">
        <v>2778.6621086199898</v>
      </c>
      <c r="AM18" s="77">
        <v>2967.4330215834402</v>
      </c>
    </row>
    <row r="19" spans="1:39" s="136" customFormat="1" ht="17.100000000000001" customHeight="1" x14ac:dyDescent="0.2">
      <c r="A19" s="133" t="s">
        <v>94</v>
      </c>
      <c r="B19" s="134">
        <v>11610.862423250799</v>
      </c>
      <c r="C19" s="134">
        <v>11586.136879433785</v>
      </c>
      <c r="D19" s="134">
        <v>11813.858449117239</v>
      </c>
      <c r="E19" s="134">
        <v>12212.573057055133</v>
      </c>
      <c r="F19" s="134">
        <v>12489.013263330269</v>
      </c>
      <c r="G19" s="134">
        <v>12814.710984742182</v>
      </c>
      <c r="H19" s="134">
        <v>12875.604627705181</v>
      </c>
      <c r="I19" s="134">
        <v>13027.644311745455</v>
      </c>
      <c r="J19" s="134">
        <v>13383.119979914245</v>
      </c>
      <c r="K19" s="134">
        <v>13363.711557378601</v>
      </c>
      <c r="L19" s="134">
        <v>13643.785801136801</v>
      </c>
      <c r="M19" s="134">
        <v>13769.895283018681</v>
      </c>
      <c r="N19" s="134">
        <v>14342.0350824178</v>
      </c>
      <c r="O19" s="134">
        <v>14348.651237374002</v>
      </c>
      <c r="P19" s="134">
        <v>13842.032183026371</v>
      </c>
      <c r="Q19" s="134">
        <v>12976.614004549947</v>
      </c>
      <c r="R19" s="134">
        <v>13891.505072682738</v>
      </c>
      <c r="S19" s="134">
        <v>14030.581899791439</v>
      </c>
      <c r="T19" s="134">
        <v>14588.771799198652</v>
      </c>
      <c r="U19" s="134">
        <v>14518.593520781027</v>
      </c>
      <c r="V19" s="134">
        <v>14373.180999181348</v>
      </c>
      <c r="W19" s="134">
        <v>14859.667421073058</v>
      </c>
      <c r="X19" s="134">
        <v>15183.908858392642</v>
      </c>
      <c r="Y19" s="134">
        <v>14904.481091750127</v>
      </c>
      <c r="Z19" s="134">
        <v>15673.29338376206</v>
      </c>
      <c r="AA19" s="134">
        <v>15606.615941562319</v>
      </c>
      <c r="AB19" s="134">
        <v>15455.051637646839</v>
      </c>
      <c r="AC19" s="134">
        <v>16110.687088358021</v>
      </c>
      <c r="AD19" s="134">
        <v>16092.727772012435</v>
      </c>
      <c r="AE19" s="134">
        <v>16979.163891331234</v>
      </c>
      <c r="AF19" s="134">
        <v>16709.108320405019</v>
      </c>
      <c r="AG19" s="134">
        <v>17074.679100436246</v>
      </c>
      <c r="AH19" s="134">
        <v>17070.877372722021</v>
      </c>
      <c r="AI19" s="134">
        <v>17417.404897262433</v>
      </c>
      <c r="AJ19" s="134">
        <v>18157.64860805104</v>
      </c>
      <c r="AK19" s="134">
        <v>17935.607001184861</v>
      </c>
      <c r="AL19" s="134">
        <v>18035.152210441502</v>
      </c>
      <c r="AM19" s="134">
        <v>18549.363224578628</v>
      </c>
    </row>
    <row r="20" spans="1:39" ht="17.100000000000001" customHeight="1" x14ac:dyDescent="0.2">
      <c r="A20" s="78" t="s">
        <v>52</v>
      </c>
      <c r="B20" s="77">
        <v>2399.63761205832</v>
      </c>
      <c r="C20" s="77">
        <v>2400.0585804870102</v>
      </c>
      <c r="D20" s="77">
        <v>2491.6835437936002</v>
      </c>
      <c r="E20" s="77">
        <v>2550.8514755578099</v>
      </c>
      <c r="F20" s="77">
        <v>2545.0496799440002</v>
      </c>
      <c r="G20" s="77">
        <v>2661.7462499341</v>
      </c>
      <c r="H20" s="77">
        <v>2667.7364360430402</v>
      </c>
      <c r="I20" s="77">
        <v>2695.74699335383</v>
      </c>
      <c r="J20" s="77">
        <v>2754.7872807032099</v>
      </c>
      <c r="K20" s="77">
        <v>2738.03176274832</v>
      </c>
      <c r="L20" s="77">
        <v>2824.04971734231</v>
      </c>
      <c r="M20" s="77">
        <v>2768.55237751494</v>
      </c>
      <c r="N20" s="77">
        <v>2889.7369256066099</v>
      </c>
      <c r="O20" s="77">
        <v>2875.6849389807298</v>
      </c>
      <c r="P20" s="77">
        <v>2741.12546054415</v>
      </c>
      <c r="Q20" s="77">
        <v>2432.5683557878601</v>
      </c>
      <c r="R20" s="77">
        <v>2808.7061472231799</v>
      </c>
      <c r="S20" s="77">
        <v>2671.9144726944101</v>
      </c>
      <c r="T20" s="77">
        <v>2676.4465382701801</v>
      </c>
      <c r="U20" s="77">
        <v>2717.1363638196099</v>
      </c>
      <c r="V20" s="77">
        <v>2639.3441732460501</v>
      </c>
      <c r="W20" s="77">
        <v>2800.8502748700598</v>
      </c>
      <c r="X20" s="77">
        <v>2921.68944497353</v>
      </c>
      <c r="Y20" s="77">
        <v>2883.9961375686999</v>
      </c>
      <c r="Z20" s="77">
        <v>2792.3700842656499</v>
      </c>
      <c r="AA20" s="77">
        <v>2885.5452308387698</v>
      </c>
      <c r="AB20" s="77">
        <v>2909.9433559433301</v>
      </c>
      <c r="AC20" s="77">
        <v>3095.6133033281199</v>
      </c>
      <c r="AD20" s="77">
        <v>3130.22987485257</v>
      </c>
      <c r="AE20" s="77">
        <v>3153.80458501353</v>
      </c>
      <c r="AF20" s="77">
        <v>3178.7743495007899</v>
      </c>
      <c r="AG20" s="77">
        <v>3314.3450195366599</v>
      </c>
      <c r="AH20" s="77">
        <v>3451.2128492081802</v>
      </c>
      <c r="AI20" s="77">
        <v>3404.4908514440799</v>
      </c>
      <c r="AJ20" s="77">
        <v>3526.0169354723198</v>
      </c>
      <c r="AK20" s="77">
        <v>3544.5407311263102</v>
      </c>
      <c r="AL20" s="77">
        <v>3666.7200272125301</v>
      </c>
      <c r="AM20" s="77">
        <v>3579.6625544193198</v>
      </c>
    </row>
    <row r="21" spans="1:39" ht="17.100000000000001" customHeight="1" x14ac:dyDescent="0.2">
      <c r="A21" s="78" t="s">
        <v>53</v>
      </c>
      <c r="B21" s="77">
        <v>878.49812323239598</v>
      </c>
      <c r="C21" s="77">
        <v>891.12502124969399</v>
      </c>
      <c r="D21" s="77">
        <v>906.95615105568902</v>
      </c>
      <c r="E21" s="77">
        <v>943.79651570168403</v>
      </c>
      <c r="F21" s="77">
        <v>977.67449453993504</v>
      </c>
      <c r="G21" s="77">
        <v>998.87605860143401</v>
      </c>
      <c r="H21" s="77">
        <v>1013.75801817414</v>
      </c>
      <c r="I21" s="77">
        <v>1035.3785066350399</v>
      </c>
      <c r="J21" s="77">
        <v>1014.6841555546901</v>
      </c>
      <c r="K21" s="77">
        <v>1003.16301666499</v>
      </c>
      <c r="L21" s="77">
        <v>1008.94322843521</v>
      </c>
      <c r="M21" s="77">
        <v>1030.2494910344301</v>
      </c>
      <c r="N21" s="77">
        <v>1069.3088129974999</v>
      </c>
      <c r="O21" s="77">
        <v>1018.25778574546</v>
      </c>
      <c r="P21" s="77">
        <v>975.31901146419796</v>
      </c>
      <c r="Q21" s="77">
        <v>924.13301761417301</v>
      </c>
      <c r="R21" s="77">
        <v>1007.69808256752</v>
      </c>
      <c r="S21" s="77">
        <v>985.16206833147703</v>
      </c>
      <c r="T21" s="77">
        <v>978.11624275494205</v>
      </c>
      <c r="U21" s="77">
        <v>1003.69290388977</v>
      </c>
      <c r="V21" s="77">
        <v>934.40345588436605</v>
      </c>
      <c r="W21" s="77">
        <v>957.91581823157901</v>
      </c>
      <c r="X21" s="77">
        <v>1001.23892123749</v>
      </c>
      <c r="Y21" s="77">
        <v>924.82978789253104</v>
      </c>
      <c r="Z21" s="77">
        <v>883.91709361104597</v>
      </c>
      <c r="AA21" s="77">
        <v>931.011932078016</v>
      </c>
      <c r="AB21" s="77">
        <v>899.43989828497899</v>
      </c>
      <c r="AC21" s="77">
        <v>901.846113216302</v>
      </c>
      <c r="AD21" s="77">
        <v>947.36443619644797</v>
      </c>
      <c r="AE21" s="77">
        <v>986.70481722781597</v>
      </c>
      <c r="AF21" s="77">
        <v>1008.68194803044</v>
      </c>
      <c r="AG21" s="77">
        <v>1048.02743845093</v>
      </c>
      <c r="AH21" s="77">
        <v>1086.79054706029</v>
      </c>
      <c r="AI21" s="77">
        <v>1080.98969868623</v>
      </c>
      <c r="AJ21" s="77">
        <v>1139.93806076791</v>
      </c>
      <c r="AK21" s="77">
        <v>1175.09181196489</v>
      </c>
      <c r="AL21" s="77">
        <v>1168.4146093972299</v>
      </c>
      <c r="AM21" s="77">
        <v>1209.70413120596</v>
      </c>
    </row>
    <row r="22" spans="1:39" ht="17.100000000000001" customHeight="1" x14ac:dyDescent="0.2">
      <c r="A22" s="78" t="s">
        <v>55</v>
      </c>
      <c r="B22" s="77">
        <v>750.42310149554396</v>
      </c>
      <c r="C22" s="77">
        <v>795.99705065483602</v>
      </c>
      <c r="D22" s="77">
        <v>809.52393870916399</v>
      </c>
      <c r="E22" s="77">
        <v>861.17280944884999</v>
      </c>
      <c r="F22" s="77">
        <v>890.04581891190196</v>
      </c>
      <c r="G22" s="77">
        <v>885.55268558975604</v>
      </c>
      <c r="H22" s="77">
        <v>890.68712298594301</v>
      </c>
      <c r="I22" s="77">
        <v>882.52966738118596</v>
      </c>
      <c r="J22" s="77">
        <v>897.46177029786202</v>
      </c>
      <c r="K22" s="77">
        <v>878.69412643703504</v>
      </c>
      <c r="L22" s="77">
        <v>890.87671660640399</v>
      </c>
      <c r="M22" s="77">
        <v>890.20340731594399</v>
      </c>
      <c r="N22" s="77">
        <v>963.90689879387298</v>
      </c>
      <c r="O22" s="77">
        <v>952.10790136103105</v>
      </c>
      <c r="P22" s="77">
        <v>877.453956830989</v>
      </c>
      <c r="Q22" s="77">
        <v>469.95811256966101</v>
      </c>
      <c r="R22" s="77">
        <v>748.68954796194703</v>
      </c>
      <c r="S22" s="77">
        <v>766.84150268300095</v>
      </c>
      <c r="T22" s="77">
        <v>918.02605066776698</v>
      </c>
      <c r="U22" s="77">
        <v>805.361503614345</v>
      </c>
      <c r="V22" s="77">
        <v>774.62571623852898</v>
      </c>
      <c r="W22" s="77">
        <v>885.56214381470295</v>
      </c>
      <c r="X22" s="77">
        <v>759.43339056484604</v>
      </c>
      <c r="Y22" s="77">
        <v>735.89008397978898</v>
      </c>
      <c r="Z22" s="77">
        <v>786.45244424714599</v>
      </c>
      <c r="AA22" s="77">
        <v>895.189547494061</v>
      </c>
      <c r="AB22" s="77">
        <v>881.682038694158</v>
      </c>
      <c r="AC22" s="77">
        <v>971.29477405016803</v>
      </c>
      <c r="AD22" s="77">
        <v>956.41608525629101</v>
      </c>
      <c r="AE22" s="77">
        <v>906.22952958700705</v>
      </c>
      <c r="AF22" s="77">
        <v>1004.00669772864</v>
      </c>
      <c r="AG22" s="77">
        <v>1139.39582542061</v>
      </c>
      <c r="AH22" s="77">
        <v>1070.5022850207199</v>
      </c>
      <c r="AI22" s="77">
        <v>1089.64306522484</v>
      </c>
      <c r="AJ22" s="77">
        <v>1138.29427305439</v>
      </c>
      <c r="AK22" s="77">
        <v>938.44390630092801</v>
      </c>
      <c r="AL22" s="77">
        <v>1243.79306198471</v>
      </c>
      <c r="AM22" s="77">
        <v>1281.9036128802099</v>
      </c>
    </row>
    <row r="23" spans="1:39" ht="17.100000000000001" customHeight="1" x14ac:dyDescent="0.2">
      <c r="A23" s="78" t="s">
        <v>54</v>
      </c>
      <c r="B23" s="77">
        <v>493.31360504294901</v>
      </c>
      <c r="C23" s="77">
        <v>525.21199628955503</v>
      </c>
      <c r="D23" s="77">
        <v>551.87771063695504</v>
      </c>
      <c r="E23" s="77">
        <v>560.73694815819397</v>
      </c>
      <c r="F23" s="77">
        <v>563.83798289508002</v>
      </c>
      <c r="G23" s="77">
        <v>583.35831605732596</v>
      </c>
      <c r="H23" s="77">
        <v>607.27832280489395</v>
      </c>
      <c r="I23" s="77">
        <v>599.08752552518695</v>
      </c>
      <c r="J23" s="77">
        <v>546.42140284048196</v>
      </c>
      <c r="K23" s="77">
        <v>527.916891121606</v>
      </c>
      <c r="L23" s="77">
        <v>540.29527200990401</v>
      </c>
      <c r="M23" s="77">
        <v>576.89795767200098</v>
      </c>
      <c r="N23" s="77">
        <v>656.318506444337</v>
      </c>
      <c r="O23" s="77">
        <v>695.27625007114</v>
      </c>
      <c r="P23" s="77">
        <v>650.49128499570202</v>
      </c>
      <c r="Q23" s="77">
        <v>620.33533866583798</v>
      </c>
      <c r="R23" s="77">
        <v>658.91650881081398</v>
      </c>
      <c r="S23" s="77">
        <v>707.43897619620304</v>
      </c>
      <c r="T23" s="77">
        <v>761.09162429355297</v>
      </c>
      <c r="U23" s="77">
        <v>803.48265427542401</v>
      </c>
      <c r="V23" s="77">
        <v>749.85815514205296</v>
      </c>
      <c r="W23" s="77">
        <v>780.39461089046904</v>
      </c>
      <c r="X23" s="77">
        <v>801.33009120935606</v>
      </c>
      <c r="Y23" s="77">
        <v>816.12209842590403</v>
      </c>
      <c r="Z23" s="77">
        <v>785.10836753753199</v>
      </c>
      <c r="AA23" s="77">
        <v>824.62434968183004</v>
      </c>
      <c r="AB23" s="77">
        <v>900.49827850230997</v>
      </c>
      <c r="AC23" s="77">
        <v>961.32487170290506</v>
      </c>
      <c r="AD23" s="77">
        <v>996.60381808973</v>
      </c>
      <c r="AE23" s="77">
        <v>972.32637086195598</v>
      </c>
      <c r="AF23" s="77">
        <v>912.31465769269005</v>
      </c>
      <c r="AG23" s="77">
        <v>794.97863635789702</v>
      </c>
      <c r="AH23" s="77">
        <v>1002.50704641245</v>
      </c>
      <c r="AI23" s="77">
        <v>955.54568596563104</v>
      </c>
      <c r="AJ23" s="77">
        <v>1065.51134110924</v>
      </c>
      <c r="AK23" s="77">
        <v>899.39578069808101</v>
      </c>
      <c r="AL23" s="77">
        <v>945.22772024368498</v>
      </c>
      <c r="AM23" s="77">
        <v>996.19385563507501</v>
      </c>
    </row>
    <row r="24" spans="1:39" ht="17.100000000000001" customHeight="1" x14ac:dyDescent="0.2">
      <c r="A24" s="78" t="s">
        <v>72</v>
      </c>
      <c r="B24" s="77">
        <v>698.25761208108599</v>
      </c>
      <c r="C24" s="77">
        <v>689.13087414113602</v>
      </c>
      <c r="D24" s="77">
        <v>739.59536080637201</v>
      </c>
      <c r="E24" s="77">
        <v>744.148106080915</v>
      </c>
      <c r="F24" s="77">
        <v>728.584668259963</v>
      </c>
      <c r="G24" s="77">
        <v>752.31014108571696</v>
      </c>
      <c r="H24" s="77">
        <v>700.78913076426397</v>
      </c>
      <c r="I24" s="77">
        <v>755.10177203265403</v>
      </c>
      <c r="J24" s="77">
        <v>761.32945792140004</v>
      </c>
      <c r="K24" s="77">
        <v>800.92004585208895</v>
      </c>
      <c r="L24" s="77">
        <v>827.81478331107905</v>
      </c>
      <c r="M24" s="77">
        <v>869.29717744725701</v>
      </c>
      <c r="N24" s="77">
        <v>920.51121125408395</v>
      </c>
      <c r="O24" s="77">
        <v>943.78773020194501</v>
      </c>
      <c r="P24" s="77">
        <v>906.46225749579901</v>
      </c>
      <c r="Q24" s="77">
        <v>800.21727516888905</v>
      </c>
      <c r="R24" s="77">
        <v>951.65079309877603</v>
      </c>
      <c r="S24" s="77">
        <v>921.31039938980496</v>
      </c>
      <c r="T24" s="77">
        <v>1008.7723499303301</v>
      </c>
      <c r="U24" s="77">
        <v>975.450428249335</v>
      </c>
      <c r="V24" s="77">
        <v>956.91523476554596</v>
      </c>
      <c r="W24" s="77">
        <v>940.80153213925098</v>
      </c>
      <c r="X24" s="77">
        <v>1091.7545751713301</v>
      </c>
      <c r="Y24" s="77">
        <v>1042.80864953215</v>
      </c>
      <c r="Z24" s="77">
        <v>982.80884447781398</v>
      </c>
      <c r="AA24" s="77">
        <v>1070.2064439226201</v>
      </c>
      <c r="AB24" s="77">
        <v>905.54002106505197</v>
      </c>
      <c r="AC24" s="77">
        <v>1099.05299246053</v>
      </c>
      <c r="AD24" s="77">
        <v>1001.86933503625</v>
      </c>
      <c r="AE24" s="77">
        <v>1050.87420790239</v>
      </c>
      <c r="AF24" s="77">
        <v>975.76046943489905</v>
      </c>
      <c r="AG24" s="77">
        <v>1107.46900162621</v>
      </c>
      <c r="AH24" s="77">
        <v>1112.4326671323499</v>
      </c>
      <c r="AI24" s="77">
        <v>1064.51542589311</v>
      </c>
      <c r="AJ24" s="77">
        <v>1046.34205489551</v>
      </c>
      <c r="AK24" s="77">
        <v>1115.14199115113</v>
      </c>
      <c r="AL24" s="77">
        <v>1197.0665232804199</v>
      </c>
      <c r="AM24" s="77">
        <v>1145.75420885935</v>
      </c>
    </row>
    <row r="25" spans="1:39" ht="17.100000000000001" customHeight="1" x14ac:dyDescent="0.2">
      <c r="A25" s="78" t="s">
        <v>14</v>
      </c>
      <c r="B25" s="77">
        <v>1583.74060750684</v>
      </c>
      <c r="C25" s="77">
        <v>1600.4188806539801</v>
      </c>
      <c r="D25" s="77">
        <v>1636.28642632526</v>
      </c>
      <c r="E25" s="77">
        <v>1695.2832906961</v>
      </c>
      <c r="F25" s="77">
        <v>1734.36426546551</v>
      </c>
      <c r="G25" s="77">
        <v>1816.84738003281</v>
      </c>
      <c r="H25" s="77">
        <v>1835.7852830849399</v>
      </c>
      <c r="I25" s="77">
        <v>1883.7309936399199</v>
      </c>
      <c r="J25" s="77">
        <v>1980.9366424555101</v>
      </c>
      <c r="K25" s="77">
        <v>2005.46206110453</v>
      </c>
      <c r="L25" s="77">
        <v>2027.3324987487999</v>
      </c>
      <c r="M25" s="77">
        <v>1994.3661718297101</v>
      </c>
      <c r="N25" s="77">
        <v>2072.6516050673999</v>
      </c>
      <c r="O25" s="77">
        <v>2030.23659473008</v>
      </c>
      <c r="P25" s="77">
        <v>2151.5042449930702</v>
      </c>
      <c r="Q25" s="77">
        <v>2163.7316675533498</v>
      </c>
      <c r="R25" s="77">
        <v>2152.9569833501901</v>
      </c>
      <c r="S25" s="77">
        <v>2158.9091695992702</v>
      </c>
      <c r="T25" s="77">
        <v>2186.56872533261</v>
      </c>
      <c r="U25" s="77">
        <v>2245.87465830574</v>
      </c>
      <c r="V25" s="77">
        <v>2303.6654532112698</v>
      </c>
      <c r="W25" s="77">
        <v>2368.9227167591798</v>
      </c>
      <c r="X25" s="77">
        <v>2404.47758190697</v>
      </c>
      <c r="Y25" s="77">
        <v>2451.85587325189</v>
      </c>
      <c r="Z25" s="77">
        <v>2505.2923044659101</v>
      </c>
      <c r="AA25" s="77">
        <v>2537.1739745150298</v>
      </c>
      <c r="AB25" s="77">
        <v>2558.9113437751698</v>
      </c>
      <c r="AC25" s="77">
        <v>2636.2738532252902</v>
      </c>
      <c r="AD25" s="77">
        <v>2689.82219500671</v>
      </c>
      <c r="AE25" s="77">
        <v>2750.0288066452899</v>
      </c>
      <c r="AF25" s="77">
        <v>2778.8404774223</v>
      </c>
      <c r="AG25" s="77">
        <v>2778.74269254725</v>
      </c>
      <c r="AH25" s="77">
        <v>2782.5390187913299</v>
      </c>
      <c r="AI25" s="77">
        <v>2834.5212397520399</v>
      </c>
      <c r="AJ25" s="77">
        <v>2967.6605858775001</v>
      </c>
      <c r="AK25" s="77">
        <v>2950.7382668691998</v>
      </c>
      <c r="AL25" s="77">
        <v>3010.3680003204699</v>
      </c>
      <c r="AM25" s="77">
        <v>3009.4616187075098</v>
      </c>
    </row>
    <row r="26" spans="1:39" ht="17.100000000000001" customHeight="1" x14ac:dyDescent="0.2">
      <c r="A26" s="78" t="s">
        <v>56</v>
      </c>
      <c r="B26" s="77">
        <v>655.535091768288</v>
      </c>
      <c r="C26" s="77">
        <v>583.49081787229704</v>
      </c>
      <c r="D26" s="77">
        <v>542.13585388786396</v>
      </c>
      <c r="E26" s="77">
        <v>554.14570964714699</v>
      </c>
      <c r="F26" s="77">
        <v>615.36915020009701</v>
      </c>
      <c r="G26" s="77">
        <v>614.51042247218197</v>
      </c>
      <c r="H26" s="77">
        <v>627.03258321313399</v>
      </c>
      <c r="I26" s="77">
        <v>648.103345583227</v>
      </c>
      <c r="J26" s="77">
        <v>635.09112619857797</v>
      </c>
      <c r="K26" s="77">
        <v>586.34986361463598</v>
      </c>
      <c r="L26" s="77">
        <v>680.83048620908801</v>
      </c>
      <c r="M26" s="77">
        <v>756.71851696983094</v>
      </c>
      <c r="N26" s="77">
        <v>853.32022136325202</v>
      </c>
      <c r="O26" s="77">
        <v>756.88745296847503</v>
      </c>
      <c r="P26" s="77">
        <v>506.57054495430799</v>
      </c>
      <c r="Q26" s="77">
        <v>613.02507212805801</v>
      </c>
      <c r="R26" s="77">
        <v>611.33951924584005</v>
      </c>
      <c r="S26" s="77">
        <v>694.34898595882305</v>
      </c>
      <c r="T26" s="77">
        <v>755.321135432289</v>
      </c>
      <c r="U26" s="77">
        <v>721.76548946973799</v>
      </c>
      <c r="V26" s="77">
        <v>820.46635616841195</v>
      </c>
      <c r="W26" s="77">
        <v>731.43725213416405</v>
      </c>
      <c r="X26" s="77">
        <v>652.6606531791</v>
      </c>
      <c r="Y26" s="77">
        <v>663.79804195545898</v>
      </c>
      <c r="Z26" s="77">
        <v>1231.9710734212299</v>
      </c>
      <c r="AA26" s="77">
        <v>866.75804962831103</v>
      </c>
      <c r="AB26" s="77">
        <v>830.79133355341401</v>
      </c>
      <c r="AC26" s="77">
        <v>765.56390399280099</v>
      </c>
      <c r="AD26" s="77">
        <v>754.52807155989103</v>
      </c>
      <c r="AE26" s="77">
        <v>1276.2425542692999</v>
      </c>
      <c r="AF26" s="77">
        <v>919.34825594482902</v>
      </c>
      <c r="AG26" s="77">
        <v>885.81974712594501</v>
      </c>
      <c r="AH26" s="77">
        <v>820.87535320014194</v>
      </c>
      <c r="AI26" s="77">
        <v>956.53458939443397</v>
      </c>
      <c r="AJ26" s="77">
        <v>1057.69463701475</v>
      </c>
      <c r="AK26" s="77">
        <v>1064.52302566813</v>
      </c>
      <c r="AL26" s="77">
        <v>887.17843218070402</v>
      </c>
      <c r="AM26" s="77">
        <v>762.290584229155</v>
      </c>
    </row>
    <row r="27" spans="1:39" ht="17.100000000000001" customHeight="1" x14ac:dyDescent="0.2">
      <c r="A27" s="78" t="s">
        <v>57</v>
      </c>
      <c r="B27" s="77">
        <v>467.59301096799902</v>
      </c>
      <c r="C27" s="77">
        <v>474.16564544418998</v>
      </c>
      <c r="D27" s="77">
        <v>478.039442246438</v>
      </c>
      <c r="E27" s="77">
        <v>481.29005064066303</v>
      </c>
      <c r="F27" s="77">
        <v>485.91763271525502</v>
      </c>
      <c r="G27" s="77">
        <v>486.266757623454</v>
      </c>
      <c r="H27" s="77">
        <v>500.12288632496598</v>
      </c>
      <c r="I27" s="77">
        <v>527.31839730402498</v>
      </c>
      <c r="J27" s="77">
        <v>554.87241577009797</v>
      </c>
      <c r="K27" s="77">
        <v>572.86167204386595</v>
      </c>
      <c r="L27" s="77">
        <v>593.98769189308405</v>
      </c>
      <c r="M27" s="77">
        <v>622.28288797599805</v>
      </c>
      <c r="N27" s="77">
        <v>640.62394370748802</v>
      </c>
      <c r="O27" s="77">
        <v>660.76094663915603</v>
      </c>
      <c r="P27" s="77">
        <v>604.19789869023896</v>
      </c>
      <c r="Q27" s="77">
        <v>612.45606860679902</v>
      </c>
      <c r="R27" s="77">
        <v>635.07636517185904</v>
      </c>
      <c r="S27" s="77">
        <v>649.417785109943</v>
      </c>
      <c r="T27" s="77">
        <v>651.32238927701405</v>
      </c>
      <c r="U27" s="77">
        <v>639.54462596277597</v>
      </c>
      <c r="V27" s="77">
        <v>650.10046727685199</v>
      </c>
      <c r="W27" s="77">
        <v>668.46120803501503</v>
      </c>
      <c r="X27" s="77">
        <v>667.65798123263198</v>
      </c>
      <c r="Y27" s="77">
        <v>679.99623343568101</v>
      </c>
      <c r="Z27" s="77">
        <v>772.72414202093296</v>
      </c>
      <c r="AA27" s="77">
        <v>772.32467003587499</v>
      </c>
      <c r="AB27" s="77">
        <v>802.52348735204396</v>
      </c>
      <c r="AC27" s="77">
        <v>793.54692524500001</v>
      </c>
      <c r="AD27" s="77">
        <v>775.41643913571102</v>
      </c>
      <c r="AE27" s="77">
        <v>767.43526173437203</v>
      </c>
      <c r="AF27" s="77">
        <v>854.832469400479</v>
      </c>
      <c r="AG27" s="77">
        <v>854.59160789924499</v>
      </c>
      <c r="AH27" s="77">
        <v>796.69709627224097</v>
      </c>
      <c r="AI27" s="77">
        <v>802.26890458156004</v>
      </c>
      <c r="AJ27" s="77">
        <v>950.27317269688297</v>
      </c>
      <c r="AK27" s="77">
        <v>852.43804651764299</v>
      </c>
      <c r="AL27" s="77">
        <v>849.93807101421999</v>
      </c>
      <c r="AM27" s="77">
        <v>1105.8106617696101</v>
      </c>
    </row>
    <row r="28" spans="1:39" ht="17.100000000000001" customHeight="1" x14ac:dyDescent="0.2">
      <c r="A28" s="78" t="s">
        <v>15</v>
      </c>
      <c r="B28" s="77">
        <v>624.10980316427697</v>
      </c>
      <c r="C28" s="77">
        <v>644.09915352847804</v>
      </c>
      <c r="D28" s="77">
        <v>677.35282692748297</v>
      </c>
      <c r="E28" s="77">
        <v>737.25510377427395</v>
      </c>
      <c r="F28" s="77">
        <v>745.81875990529204</v>
      </c>
      <c r="G28" s="77">
        <v>744.473579261395</v>
      </c>
      <c r="H28" s="77">
        <v>732.13984742034302</v>
      </c>
      <c r="I28" s="77">
        <v>713.84772632258898</v>
      </c>
      <c r="J28" s="77">
        <v>747.52934157418895</v>
      </c>
      <c r="K28" s="77">
        <v>732.36603993538995</v>
      </c>
      <c r="L28" s="77">
        <v>768.49876971108995</v>
      </c>
      <c r="M28" s="77">
        <v>814.89169417104301</v>
      </c>
      <c r="N28" s="77">
        <v>850.27359729113505</v>
      </c>
      <c r="O28" s="77">
        <v>889.84975206014803</v>
      </c>
      <c r="P28" s="77">
        <v>894.23722310119399</v>
      </c>
      <c r="Q28" s="77">
        <v>921.00033508347894</v>
      </c>
      <c r="R28" s="77">
        <v>956.63302417313196</v>
      </c>
      <c r="S28" s="77">
        <v>982.25705001672804</v>
      </c>
      <c r="T28" s="77">
        <v>1103.3940073553399</v>
      </c>
      <c r="U28" s="77">
        <v>953.70479690288096</v>
      </c>
      <c r="V28" s="77">
        <v>1019.86551583407</v>
      </c>
      <c r="W28" s="77">
        <v>1018.4075806575599</v>
      </c>
      <c r="X28" s="77">
        <v>1069.3359622498101</v>
      </c>
      <c r="Y28" s="77">
        <v>1026.04677430171</v>
      </c>
      <c r="Z28" s="77">
        <v>1107.48632969353</v>
      </c>
      <c r="AA28" s="77">
        <v>1062.7160057783501</v>
      </c>
      <c r="AB28" s="77">
        <v>985.91237335099697</v>
      </c>
      <c r="AC28" s="77">
        <v>1021.04829536587</v>
      </c>
      <c r="AD28" s="77">
        <v>921.10274173945595</v>
      </c>
      <c r="AE28" s="77">
        <v>1129.50215346759</v>
      </c>
      <c r="AF28" s="77">
        <v>1131.50036017661</v>
      </c>
      <c r="AG28" s="77">
        <v>1275.8718349461799</v>
      </c>
      <c r="AH28" s="77">
        <v>958.51254592150894</v>
      </c>
      <c r="AI28" s="77">
        <v>1182.2204286260601</v>
      </c>
      <c r="AJ28" s="77">
        <v>1217.52060263572</v>
      </c>
      <c r="AK28" s="77">
        <v>1278.12008986259</v>
      </c>
      <c r="AL28" s="77">
        <v>917.69763220244704</v>
      </c>
      <c r="AM28" s="77">
        <v>1278.94587692291</v>
      </c>
    </row>
    <row r="29" spans="1:39" ht="17.100000000000001" customHeight="1" x14ac:dyDescent="0.2">
      <c r="A29" s="78" t="s">
        <v>16</v>
      </c>
      <c r="B29" s="77">
        <v>1256.67134206793</v>
      </c>
      <c r="C29" s="77">
        <v>1186.70301582057</v>
      </c>
      <c r="D29" s="77">
        <v>1149.86327355869</v>
      </c>
      <c r="E29" s="77">
        <v>1185.3717689232401</v>
      </c>
      <c r="F29" s="77">
        <v>1261.6321777339799</v>
      </c>
      <c r="G29" s="77">
        <v>1278.4523986514</v>
      </c>
      <c r="H29" s="77">
        <v>1284.4332944405</v>
      </c>
      <c r="I29" s="77">
        <v>1278.34353819186</v>
      </c>
      <c r="J29" s="77">
        <v>1401.29929798733</v>
      </c>
      <c r="K29" s="77">
        <v>1454.3479180993299</v>
      </c>
      <c r="L29" s="77">
        <v>1391.4035139779401</v>
      </c>
      <c r="M29" s="77">
        <v>1321.1732932102</v>
      </c>
      <c r="N29" s="77">
        <v>1287.3723391624101</v>
      </c>
      <c r="O29" s="77">
        <v>1392.8182108082799</v>
      </c>
      <c r="P29" s="77">
        <v>1404.3349164315</v>
      </c>
      <c r="Q29" s="77">
        <v>1371.34955113354</v>
      </c>
      <c r="R29" s="77">
        <v>1119.12380608738</v>
      </c>
      <c r="S29" s="77">
        <v>1307.0614599432799</v>
      </c>
      <c r="T29" s="77">
        <v>1382.7565176499099</v>
      </c>
      <c r="U29" s="77">
        <v>1425.06843245392</v>
      </c>
      <c r="V29" s="77">
        <v>1254.62940369222</v>
      </c>
      <c r="W29" s="77">
        <v>1292.4621481761101</v>
      </c>
      <c r="X29" s="77">
        <v>1457.92508323928</v>
      </c>
      <c r="Y29" s="77">
        <v>1307.32977407065</v>
      </c>
      <c r="Z29" s="77">
        <v>1397.88143988456</v>
      </c>
      <c r="AA29" s="77">
        <v>1302.88187925527</v>
      </c>
      <c r="AB29" s="77">
        <v>1342.2681245538799</v>
      </c>
      <c r="AC29" s="77">
        <v>1445.6851680657201</v>
      </c>
      <c r="AD29" s="77">
        <v>1512.7809303757001</v>
      </c>
      <c r="AE29" s="77">
        <v>1417.9787239196801</v>
      </c>
      <c r="AF29" s="77">
        <v>1397.9127643629399</v>
      </c>
      <c r="AG29" s="77">
        <v>1394.84535828363</v>
      </c>
      <c r="AH29" s="77">
        <v>1456.93677806295</v>
      </c>
      <c r="AI29" s="77">
        <v>1492.99259071803</v>
      </c>
      <c r="AJ29" s="77">
        <v>1500.82162245994</v>
      </c>
      <c r="AK29" s="77">
        <v>1579.0477844142199</v>
      </c>
      <c r="AL29" s="77">
        <v>1526.6774418679399</v>
      </c>
      <c r="AM29" s="77">
        <v>1633.7343129834901</v>
      </c>
    </row>
    <row r="30" spans="1:39" ht="17.100000000000001" customHeight="1" x14ac:dyDescent="0.2">
      <c r="A30" s="78" t="s">
        <v>58</v>
      </c>
      <c r="B30" s="77">
        <v>798.42525428008605</v>
      </c>
      <c r="C30" s="77">
        <v>802.46797238578199</v>
      </c>
      <c r="D30" s="77">
        <v>830.23335174386796</v>
      </c>
      <c r="E30" s="77">
        <v>890.24334951086803</v>
      </c>
      <c r="F30" s="77">
        <v>942.40879984581704</v>
      </c>
      <c r="G30" s="77">
        <v>975.05685819308803</v>
      </c>
      <c r="H30" s="77">
        <v>987.97803208528899</v>
      </c>
      <c r="I30" s="77">
        <v>973.42312064913301</v>
      </c>
      <c r="J30" s="77">
        <v>1027.4683046964201</v>
      </c>
      <c r="K30" s="77">
        <v>994.87320959584497</v>
      </c>
      <c r="L30" s="77">
        <v>1011.60348273584</v>
      </c>
      <c r="M30" s="77">
        <v>1043.2169793325399</v>
      </c>
      <c r="N30" s="77">
        <v>1053.225064575</v>
      </c>
      <c r="O30" s="77">
        <v>1044.6618400157499</v>
      </c>
      <c r="P30" s="77">
        <v>1042.79421399689</v>
      </c>
      <c r="Q30" s="77">
        <v>970.260019395629</v>
      </c>
      <c r="R30" s="77">
        <v>1160.8866463792201</v>
      </c>
      <c r="S30" s="77">
        <v>1087.9640489306901</v>
      </c>
      <c r="T30" s="77">
        <v>1055.8639945260099</v>
      </c>
      <c r="U30" s="77">
        <v>1092.57704345098</v>
      </c>
      <c r="V30" s="77">
        <v>1125.01217764229</v>
      </c>
      <c r="W30" s="77">
        <v>1268.01359597446</v>
      </c>
      <c r="X30" s="77">
        <v>1212.4103913568199</v>
      </c>
      <c r="Y30" s="77">
        <v>1205.73632897071</v>
      </c>
      <c r="Z30" s="77">
        <v>1272.87617835471</v>
      </c>
      <c r="AA30" s="77">
        <v>1279.9781936701399</v>
      </c>
      <c r="AB30" s="77">
        <v>1251.9345136219199</v>
      </c>
      <c r="AC30" s="77">
        <v>1218.73403225933</v>
      </c>
      <c r="AD30" s="77">
        <v>1201.7332184627301</v>
      </c>
      <c r="AE30" s="77">
        <v>1242.5150813461501</v>
      </c>
      <c r="AF30" s="77">
        <v>1329.2685631750801</v>
      </c>
      <c r="AG30" s="77">
        <v>1373.95795263836</v>
      </c>
      <c r="AH30" s="77">
        <v>1305.87008111462</v>
      </c>
      <c r="AI30" s="77">
        <v>1325.2064619405</v>
      </c>
      <c r="AJ30" s="77">
        <v>1318.31337714088</v>
      </c>
      <c r="AK30" s="77">
        <v>1299.1046326036901</v>
      </c>
      <c r="AL30" s="77">
        <v>1366.22009381459</v>
      </c>
      <c r="AM30" s="77">
        <v>1396.99276212573</v>
      </c>
    </row>
    <row r="31" spans="1:39" ht="17.100000000000001" customHeight="1" x14ac:dyDescent="0.2">
      <c r="A31" s="78" t="s">
        <v>71</v>
      </c>
      <c r="B31" s="77">
        <v>23.060990417752301</v>
      </c>
      <c r="C31" s="77">
        <v>25.329824563939301</v>
      </c>
      <c r="D31" s="77">
        <v>32.394489304480302</v>
      </c>
      <c r="E31" s="77">
        <v>50.975742232676801</v>
      </c>
      <c r="F31" s="77">
        <v>41.164911546557398</v>
      </c>
      <c r="G31" s="77">
        <v>55.114554287831901</v>
      </c>
      <c r="H31" s="77">
        <v>59.0367831415846</v>
      </c>
      <c r="I31" s="77">
        <v>62.476206839476397</v>
      </c>
      <c r="J31" s="77">
        <v>67.573396757992299</v>
      </c>
      <c r="K31" s="77">
        <v>64.818695891386795</v>
      </c>
      <c r="L31" s="77">
        <v>67.952759700757497</v>
      </c>
      <c r="M31" s="77">
        <v>65.285748078898706</v>
      </c>
      <c r="N31" s="77">
        <v>65.529412070324</v>
      </c>
      <c r="O31" s="77">
        <v>66.290770710109499</v>
      </c>
      <c r="P31" s="77">
        <v>63.249032681935503</v>
      </c>
      <c r="Q31" s="77">
        <v>48.769684958635601</v>
      </c>
      <c r="R31" s="77">
        <v>46.603063093122501</v>
      </c>
      <c r="S31" s="77">
        <v>52.986683502879799</v>
      </c>
      <c r="T31" s="77">
        <v>50.717977860639998</v>
      </c>
      <c r="U31" s="77">
        <v>60.248843396005803</v>
      </c>
      <c r="V31" s="77">
        <v>59.178539752467003</v>
      </c>
      <c r="W31" s="77">
        <v>53.198212046898902</v>
      </c>
      <c r="X31" s="77">
        <v>43.756613939437699</v>
      </c>
      <c r="Y31" s="77">
        <v>50.016215028704799</v>
      </c>
      <c r="Z31" s="77">
        <v>36.534546910138602</v>
      </c>
      <c r="AA31" s="77">
        <v>54.566714882836003</v>
      </c>
      <c r="AB31" s="77">
        <v>56.920745278753103</v>
      </c>
      <c r="AC31" s="77">
        <v>66.739165651236902</v>
      </c>
      <c r="AD31" s="77">
        <v>61.911504776048098</v>
      </c>
      <c r="AE31" s="77">
        <v>52.378515879815197</v>
      </c>
      <c r="AF31" s="77">
        <v>60.490780131413402</v>
      </c>
      <c r="AG31" s="77">
        <v>57.088475066824202</v>
      </c>
      <c r="AH31" s="77">
        <v>62.770816218596501</v>
      </c>
      <c r="AI31" s="77">
        <v>59.0591560165917</v>
      </c>
      <c r="AJ31" s="77">
        <v>62.739214070397999</v>
      </c>
      <c r="AK31" s="77">
        <v>50.752759482848703</v>
      </c>
      <c r="AL31" s="77">
        <v>61.8093730307897</v>
      </c>
      <c r="AM31" s="77">
        <v>59.937923315496199</v>
      </c>
    </row>
    <row r="32" spans="1:39" ht="17.100000000000001" customHeight="1" x14ac:dyDescent="0.2">
      <c r="A32" s="78" t="s">
        <v>17</v>
      </c>
      <c r="B32" s="77">
        <v>761.162963880539</v>
      </c>
      <c r="C32" s="77">
        <v>745.87657180763904</v>
      </c>
      <c r="D32" s="77">
        <v>744.274381661956</v>
      </c>
      <c r="E32" s="77">
        <v>732.08677937648895</v>
      </c>
      <c r="F32" s="77">
        <v>730.39118772754102</v>
      </c>
      <c r="G32" s="77">
        <v>733.825999419754</v>
      </c>
      <c r="H32" s="77">
        <v>738.94592064681899</v>
      </c>
      <c r="I32" s="77">
        <v>741.09185542981402</v>
      </c>
      <c r="J32" s="77">
        <v>760.59673071544103</v>
      </c>
      <c r="K32" s="77">
        <v>769.21798867268501</v>
      </c>
      <c r="L32" s="77">
        <v>773.903521557913</v>
      </c>
      <c r="M32" s="77">
        <v>778.85543688402299</v>
      </c>
      <c r="N32" s="77">
        <v>779.71591480334405</v>
      </c>
      <c r="O32" s="77">
        <v>780.84322535589604</v>
      </c>
      <c r="P32" s="77">
        <v>781.48881185363996</v>
      </c>
      <c r="Q32" s="77">
        <v>784.39337217808304</v>
      </c>
      <c r="R32" s="77">
        <v>787.15661424860696</v>
      </c>
      <c r="S32" s="77">
        <v>797.22531912828003</v>
      </c>
      <c r="T32" s="77">
        <v>810.93085026717995</v>
      </c>
      <c r="U32" s="77">
        <v>823.53122728651397</v>
      </c>
      <c r="V32" s="77">
        <v>832.23993363754903</v>
      </c>
      <c r="W32" s="77">
        <v>838.63010782077197</v>
      </c>
      <c r="X32" s="77">
        <v>843.91158062489103</v>
      </c>
      <c r="Y32" s="77">
        <v>858.01514577632997</v>
      </c>
      <c r="Z32" s="77">
        <v>858.09833455050898</v>
      </c>
      <c r="AA32" s="77">
        <v>862.104353846859</v>
      </c>
      <c r="AB32" s="77">
        <v>865.352598863764</v>
      </c>
      <c r="AC32" s="77">
        <v>868.813310490964</v>
      </c>
      <c r="AD32" s="77">
        <v>875.99269508771499</v>
      </c>
      <c r="AE32" s="77">
        <v>1004.36341869922</v>
      </c>
      <c r="AF32" s="77">
        <v>886.77600377741703</v>
      </c>
      <c r="AG32" s="77">
        <v>777.11723835294197</v>
      </c>
      <c r="AH32" s="77">
        <v>888.98895906914504</v>
      </c>
      <c r="AI32" s="77">
        <v>893.32998759923805</v>
      </c>
      <c r="AJ32" s="77">
        <v>888.525909330932</v>
      </c>
      <c r="AK32" s="77">
        <v>908.33370926161194</v>
      </c>
      <c r="AL32" s="77">
        <v>912.23666671885701</v>
      </c>
      <c r="AM32" s="77">
        <v>807.08442212633497</v>
      </c>
    </row>
    <row r="33" spans="1:39" ht="17.100000000000001" customHeight="1" x14ac:dyDescent="0.2">
      <c r="A33" s="78" t="s">
        <v>59</v>
      </c>
      <c r="B33" s="77">
        <v>220.43330528679201</v>
      </c>
      <c r="C33" s="77">
        <v>222.06147453467801</v>
      </c>
      <c r="D33" s="77">
        <v>223.64169845941601</v>
      </c>
      <c r="E33" s="77">
        <v>225.21540730622399</v>
      </c>
      <c r="F33" s="77">
        <v>226.75373363934199</v>
      </c>
      <c r="G33" s="77">
        <v>228.31958353193301</v>
      </c>
      <c r="H33" s="77">
        <v>229.880966575326</v>
      </c>
      <c r="I33" s="77">
        <v>231.46466285751299</v>
      </c>
      <c r="J33" s="77">
        <v>233.068656441043</v>
      </c>
      <c r="K33" s="77">
        <v>234.688265596891</v>
      </c>
      <c r="L33" s="77">
        <v>236.29335889737899</v>
      </c>
      <c r="M33" s="77">
        <v>237.90414358186601</v>
      </c>
      <c r="N33" s="77">
        <v>239.54062928104599</v>
      </c>
      <c r="O33" s="77">
        <v>241.18783772580201</v>
      </c>
      <c r="P33" s="77">
        <v>242.80332499275801</v>
      </c>
      <c r="Q33" s="77">
        <v>244.41613370595201</v>
      </c>
      <c r="R33" s="77">
        <v>246.067971271152</v>
      </c>
      <c r="S33" s="77">
        <v>247.743978306652</v>
      </c>
      <c r="T33" s="77">
        <v>249.44339558088799</v>
      </c>
      <c r="U33" s="77">
        <v>251.15454970399099</v>
      </c>
      <c r="V33" s="77">
        <v>252.87641668967601</v>
      </c>
      <c r="W33" s="77">
        <v>254.61021952283599</v>
      </c>
      <c r="X33" s="77">
        <v>256.32658750714398</v>
      </c>
      <c r="Y33" s="77">
        <v>258.03994755991801</v>
      </c>
      <c r="Z33" s="77">
        <v>259.77220032135102</v>
      </c>
      <c r="AA33" s="77">
        <v>261.53459593435201</v>
      </c>
      <c r="AB33" s="77">
        <v>263.33352480706702</v>
      </c>
      <c r="AC33" s="77">
        <v>265.15037930378202</v>
      </c>
      <c r="AD33" s="77">
        <v>266.95642643718298</v>
      </c>
      <c r="AE33" s="77">
        <v>268.77986477711897</v>
      </c>
      <c r="AF33" s="77">
        <v>270.60052362648997</v>
      </c>
      <c r="AG33" s="77">
        <v>272.42827218356098</v>
      </c>
      <c r="AH33" s="77">
        <v>274.24132923749698</v>
      </c>
      <c r="AI33" s="77">
        <v>276.086811420088</v>
      </c>
      <c r="AJ33" s="77">
        <v>277.99682152466102</v>
      </c>
      <c r="AK33" s="77">
        <v>279.93446526358599</v>
      </c>
      <c r="AL33" s="77">
        <v>281.80455717290999</v>
      </c>
      <c r="AM33" s="77">
        <v>281.88669939847398</v>
      </c>
    </row>
    <row r="34" spans="1:39" ht="17.100000000000001" customHeight="1" x14ac:dyDescent="0.2">
      <c r="A34" s="79"/>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7"/>
      <c r="AD34" s="77"/>
      <c r="AE34" s="77"/>
      <c r="AF34" s="77"/>
      <c r="AG34" s="77"/>
      <c r="AH34" s="77"/>
      <c r="AI34" s="77"/>
      <c r="AJ34" s="77"/>
      <c r="AK34" s="77"/>
      <c r="AL34" s="77"/>
      <c r="AM34" s="77"/>
    </row>
    <row r="35" spans="1:39" s="86" customFormat="1" ht="17.100000000000001" customHeight="1" x14ac:dyDescent="0.2">
      <c r="A35" s="133" t="s">
        <v>95</v>
      </c>
      <c r="B35" s="141"/>
      <c r="C35" s="141"/>
      <c r="D35" s="141"/>
      <c r="E35" s="141"/>
      <c r="F35" s="141"/>
      <c r="G35" s="141"/>
      <c r="H35" s="141"/>
      <c r="I35" s="141"/>
      <c r="J35" s="141"/>
      <c r="K35" s="141"/>
      <c r="L35" s="141"/>
      <c r="M35" s="141"/>
      <c r="N35" s="141"/>
      <c r="O35" s="141"/>
      <c r="P35" s="141"/>
      <c r="Q35" s="141"/>
      <c r="R35" s="141"/>
      <c r="S35" s="141"/>
      <c r="T35" s="141"/>
      <c r="U35" s="141"/>
      <c r="V35" s="141"/>
      <c r="W35" s="141"/>
      <c r="X35" s="141"/>
      <c r="Y35" s="141"/>
      <c r="Z35" s="141"/>
      <c r="AA35" s="141"/>
      <c r="AB35" s="141"/>
      <c r="AC35" s="141"/>
      <c r="AD35" s="141"/>
      <c r="AE35" s="141"/>
      <c r="AF35" s="141"/>
      <c r="AG35" s="141"/>
      <c r="AH35" s="141"/>
      <c r="AI35" s="141"/>
      <c r="AJ35" s="141"/>
      <c r="AK35" s="141"/>
      <c r="AL35" s="141"/>
      <c r="AM35" s="141"/>
    </row>
    <row r="36" spans="1:39" s="11" customFormat="1" ht="17.100000000000001" customHeight="1" thickBot="1" x14ac:dyDescent="0.25">
      <c r="A36" s="51" t="s">
        <v>19</v>
      </c>
      <c r="B36" s="80">
        <v>1883.28340711688</v>
      </c>
      <c r="C36" s="80">
        <v>1805.05350406457</v>
      </c>
      <c r="D36" s="80">
        <v>1969.3193774332001</v>
      </c>
      <c r="E36" s="80">
        <v>1978.3627623494999</v>
      </c>
      <c r="F36" s="80">
        <v>2011.44341620663</v>
      </c>
      <c r="G36" s="80">
        <v>1988.8600054974499</v>
      </c>
      <c r="H36" s="80">
        <v>1960.52826096019</v>
      </c>
      <c r="I36" s="80">
        <v>2012.39420432575</v>
      </c>
      <c r="J36" s="80">
        <v>1994.96951363374</v>
      </c>
      <c r="K36" s="80">
        <v>2050.8934401281499</v>
      </c>
      <c r="L36" s="80">
        <v>2154.03445513111</v>
      </c>
      <c r="M36" s="80">
        <v>2120.9253409979201</v>
      </c>
      <c r="N36" s="80">
        <v>2208.6176288196798</v>
      </c>
      <c r="O36" s="80">
        <v>2252.0829415384101</v>
      </c>
      <c r="P36" s="80">
        <v>2134.1464144352399</v>
      </c>
      <c r="Q36" s="80">
        <v>1594.4186255556499</v>
      </c>
      <c r="R36" s="80">
        <v>2124.7070661246798</v>
      </c>
      <c r="S36" s="80">
        <v>2157.3562446106098</v>
      </c>
      <c r="T36" s="80">
        <v>2055.1208660729299</v>
      </c>
      <c r="U36" s="80">
        <v>2365.93063516443</v>
      </c>
      <c r="V36" s="80">
        <v>2069.2314743490401</v>
      </c>
      <c r="W36" s="80">
        <v>2358.0269907153802</v>
      </c>
      <c r="X36" s="80">
        <v>2497.7416478672899</v>
      </c>
      <c r="Y36" s="80">
        <v>2434.6792082072202</v>
      </c>
      <c r="Z36" s="80">
        <v>2415.2546975356399</v>
      </c>
      <c r="AA36" s="80">
        <v>2500.4775313222299</v>
      </c>
      <c r="AB36" s="80">
        <v>2598.24939699281</v>
      </c>
      <c r="AC36" s="80">
        <v>2709.9240116512101</v>
      </c>
      <c r="AD36" s="80">
        <v>2733.9459696971599</v>
      </c>
      <c r="AE36" s="80">
        <v>2690.3074933313601</v>
      </c>
      <c r="AF36" s="80">
        <v>2776.0010223792101</v>
      </c>
      <c r="AG36" s="80">
        <v>2815.5688292229402</v>
      </c>
      <c r="AH36" s="80">
        <v>3011.7727895428602</v>
      </c>
      <c r="AI36" s="80">
        <v>2949.7457339048601</v>
      </c>
      <c r="AJ36" s="80">
        <v>2928.6240166225198</v>
      </c>
      <c r="AK36" s="80">
        <v>3039.6326498292501</v>
      </c>
      <c r="AL36" s="80">
        <v>3107.22627715011</v>
      </c>
      <c r="AM36" s="80">
        <v>3162.5776141034798</v>
      </c>
    </row>
    <row r="37" spans="1:39" ht="13.5" customHeight="1" x14ac:dyDescent="0.2">
      <c r="A37" s="13" t="s">
        <v>50</v>
      </c>
    </row>
    <row r="38" spans="1:39" ht="20.100000000000001" customHeight="1" x14ac:dyDescent="0.2"/>
  </sheetData>
  <mergeCells count="10">
    <mergeCell ref="J3:M3"/>
    <mergeCell ref="F3:I3"/>
    <mergeCell ref="B3:E3"/>
    <mergeCell ref="N3:Q3"/>
    <mergeCell ref="R3:U3"/>
    <mergeCell ref="AL3:AM3"/>
    <mergeCell ref="AH3:AK3"/>
    <mergeCell ref="AD3:AG3"/>
    <mergeCell ref="Z3:AC3"/>
    <mergeCell ref="V3:Y3"/>
  </mergeCells>
  <phoneticPr fontId="29" type="noConversion"/>
  <pageMargins left="0.51181102362204722" right="0" top="0.51181102362204722" bottom="0" header="0" footer="0"/>
  <pageSetup paperSize="9" scale="4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pageSetUpPr fitToPage="1"/>
  </sheetPr>
  <dimension ref="A1:AM37"/>
  <sheetViews>
    <sheetView showGridLines="0" view="pageBreakPreview" zoomScaleNormal="100" zoomScaleSheetLayoutView="100" workbookViewId="0">
      <pane xSplit="1" ySplit="4" topLeftCell="B5" activePane="bottomRight" state="frozen"/>
      <selection activeCell="BS41" sqref="BS41"/>
      <selection pane="topRight" activeCell="BS41" sqref="BS41"/>
      <selection pane="bottomLeft" activeCell="BS41" sqref="BS41"/>
      <selection pane="bottomRight" sqref="A1:XFD1048576"/>
    </sheetView>
  </sheetViews>
  <sheetFormatPr defaultColWidth="9.140625" defaultRowHeight="11.25" x14ac:dyDescent="0.2"/>
  <cols>
    <col min="1" max="1" width="26.7109375" style="1" customWidth="1"/>
    <col min="2" max="6" width="6.7109375" style="1" customWidth="1"/>
    <col min="7" max="7" width="6.5703125" style="1" customWidth="1"/>
    <col min="8" max="8" width="7.140625" style="1" customWidth="1"/>
    <col min="9" max="12" width="6.42578125" style="1" customWidth="1"/>
    <col min="13" max="13" width="6.85546875" style="1" customWidth="1"/>
    <col min="14" max="14" width="6.42578125" style="1" customWidth="1"/>
    <col min="15" max="17" width="7.140625" style="1" customWidth="1"/>
    <col min="18" max="21" width="6.5703125" style="1" bestFit="1" customWidth="1"/>
    <col min="22" max="22" width="7.140625" style="1" customWidth="1"/>
    <col min="23" max="23" width="6.140625" style="1" customWidth="1"/>
    <col min="24" max="24" width="7.140625" style="1" customWidth="1"/>
    <col min="25" max="25" width="7.42578125" style="1" customWidth="1"/>
    <col min="26" max="26" width="7" style="1" customWidth="1"/>
    <col min="27" max="27" width="5.85546875" style="1" customWidth="1"/>
    <col min="28" max="28" width="7.42578125" style="1" customWidth="1"/>
    <col min="29" max="29" width="6.28515625" style="1" customWidth="1"/>
    <col min="30" max="30" width="6.5703125" style="1" bestFit="1" customWidth="1"/>
    <col min="31" max="31" width="6.5703125" style="1" customWidth="1"/>
    <col min="32" max="32" width="5.85546875" style="1" customWidth="1"/>
    <col min="33" max="33" width="6.85546875" style="1" customWidth="1"/>
    <col min="34" max="34" width="6.140625" style="1" customWidth="1"/>
    <col min="35" max="35" width="6.42578125" style="1" customWidth="1"/>
    <col min="36" max="36" width="6.7109375" style="1" customWidth="1"/>
    <col min="37" max="37" width="5.7109375" style="1" customWidth="1"/>
    <col min="38" max="38" width="6.42578125" style="1" customWidth="1"/>
    <col min="39" max="16384" width="9.140625" style="1"/>
  </cols>
  <sheetData>
    <row r="1" spans="1:39" ht="18.75" customHeight="1" x14ac:dyDescent="0.2">
      <c r="A1" s="31" t="s">
        <v>174</v>
      </c>
      <c r="B1" s="31"/>
      <c r="D1" s="104"/>
    </row>
    <row r="2" spans="1:39" ht="1.5" customHeight="1" thickBot="1" x14ac:dyDescent="0.25"/>
    <row r="3" spans="1:39" s="82" customFormat="1" ht="12" customHeight="1" x14ac:dyDescent="0.2">
      <c r="A3" s="81"/>
      <c r="B3" s="215" t="s">
        <v>80</v>
      </c>
      <c r="C3" s="215"/>
      <c r="D3" s="215"/>
      <c r="E3" s="215"/>
      <c r="F3" s="215" t="s">
        <v>92</v>
      </c>
      <c r="G3" s="215"/>
      <c r="H3" s="215"/>
      <c r="I3" s="215"/>
      <c r="J3" s="215" t="s">
        <v>134</v>
      </c>
      <c r="K3" s="215"/>
      <c r="L3" s="215"/>
      <c r="M3" s="215"/>
      <c r="N3" s="215" t="s">
        <v>136</v>
      </c>
      <c r="O3" s="215"/>
      <c r="P3" s="215"/>
      <c r="Q3" s="215"/>
      <c r="R3" s="216" t="s">
        <v>137</v>
      </c>
      <c r="S3" s="216"/>
      <c r="T3" s="216"/>
      <c r="U3" s="216"/>
      <c r="V3" s="216" t="s">
        <v>138</v>
      </c>
      <c r="W3" s="216"/>
      <c r="X3" s="216"/>
      <c r="Y3" s="216"/>
      <c r="Z3" s="216" t="s">
        <v>139</v>
      </c>
      <c r="AA3" s="216"/>
      <c r="AB3" s="216"/>
      <c r="AC3" s="216"/>
      <c r="AD3" s="216" t="s">
        <v>140</v>
      </c>
      <c r="AE3" s="216"/>
      <c r="AF3" s="216"/>
      <c r="AG3" s="216"/>
      <c r="AH3" s="216" t="s">
        <v>166</v>
      </c>
      <c r="AI3" s="216"/>
      <c r="AJ3" s="216"/>
      <c r="AK3" s="216"/>
      <c r="AL3" s="216" t="s">
        <v>167</v>
      </c>
      <c r="AM3" s="216"/>
    </row>
    <row r="4" spans="1:39" s="86" customFormat="1" ht="12" customHeight="1" x14ac:dyDescent="0.2">
      <c r="A4" s="83"/>
      <c r="B4" s="84" t="s">
        <v>46</v>
      </c>
      <c r="C4" s="84" t="s">
        <v>47</v>
      </c>
      <c r="D4" s="84" t="s">
        <v>48</v>
      </c>
      <c r="E4" s="84" t="s">
        <v>49</v>
      </c>
      <c r="F4" s="85" t="s">
        <v>46</v>
      </c>
      <c r="G4" s="85" t="s">
        <v>47</v>
      </c>
      <c r="H4" s="85" t="s">
        <v>48</v>
      </c>
      <c r="I4" s="85" t="s">
        <v>49</v>
      </c>
      <c r="J4" s="85" t="s">
        <v>46</v>
      </c>
      <c r="K4" s="85" t="s">
        <v>47</v>
      </c>
      <c r="L4" s="85" t="s">
        <v>48</v>
      </c>
      <c r="M4" s="85" t="s">
        <v>49</v>
      </c>
      <c r="N4" s="85" t="s">
        <v>46</v>
      </c>
      <c r="O4" s="85" t="s">
        <v>47</v>
      </c>
      <c r="P4" s="85" t="s">
        <v>48</v>
      </c>
      <c r="Q4" s="85" t="s">
        <v>49</v>
      </c>
      <c r="R4" s="85" t="s">
        <v>46</v>
      </c>
      <c r="S4" s="85" t="s">
        <v>47</v>
      </c>
      <c r="T4" s="85" t="s">
        <v>48</v>
      </c>
      <c r="U4" s="85" t="s">
        <v>49</v>
      </c>
      <c r="V4" s="85" t="s">
        <v>46</v>
      </c>
      <c r="W4" s="85" t="s">
        <v>47</v>
      </c>
      <c r="X4" s="85" t="s">
        <v>48</v>
      </c>
      <c r="Y4" s="85" t="s">
        <v>49</v>
      </c>
      <c r="Z4" s="85" t="s">
        <v>46</v>
      </c>
      <c r="AA4" s="85" t="s">
        <v>47</v>
      </c>
      <c r="AB4" s="85" t="s">
        <v>48</v>
      </c>
      <c r="AC4" s="85" t="s">
        <v>49</v>
      </c>
      <c r="AD4" s="85" t="s">
        <v>46</v>
      </c>
      <c r="AE4" s="85" t="s">
        <v>47</v>
      </c>
      <c r="AF4" s="85" t="s">
        <v>48</v>
      </c>
      <c r="AG4" s="85" t="s">
        <v>49</v>
      </c>
      <c r="AH4" s="85" t="s">
        <v>46</v>
      </c>
      <c r="AI4" s="85" t="s">
        <v>47</v>
      </c>
      <c r="AJ4" s="85" t="s">
        <v>48</v>
      </c>
      <c r="AK4" s="85" t="s">
        <v>49</v>
      </c>
      <c r="AL4" s="85" t="s">
        <v>46</v>
      </c>
      <c r="AM4" s="85" t="s">
        <v>47</v>
      </c>
    </row>
    <row r="5" spans="1:39" s="8" customFormat="1" ht="17.100000000000001" customHeight="1" x14ac:dyDescent="0.2">
      <c r="A5" s="39" t="s">
        <v>97</v>
      </c>
      <c r="B5" s="105">
        <v>0.86546068418358324</v>
      </c>
      <c r="C5" s="105">
        <v>1.521711735013942</v>
      </c>
      <c r="D5" s="105">
        <v>2.9807703918030004</v>
      </c>
      <c r="E5" s="105">
        <v>0.93312037594219799</v>
      </c>
      <c r="F5" s="105">
        <v>1.4844207361020434</v>
      </c>
      <c r="G5" s="105">
        <v>0.96014432932529648</v>
      </c>
      <c r="H5" s="105">
        <v>2.3199932952593594</v>
      </c>
      <c r="I5" s="105">
        <v>0.68300934326657181</v>
      </c>
      <c r="J5" s="105">
        <v>1.8136643795882312</v>
      </c>
      <c r="K5" s="105">
        <v>0.64811637513022546</v>
      </c>
      <c r="L5" s="105">
        <v>4.6692978290855391</v>
      </c>
      <c r="M5" s="105">
        <v>-0.59947920139280519</v>
      </c>
      <c r="N5" s="105">
        <v>2.9965019784536473</v>
      </c>
      <c r="O5" s="105">
        <v>1.1424887165306874</v>
      </c>
      <c r="P5" s="105">
        <v>-2.2614196123167618</v>
      </c>
      <c r="Q5" s="105">
        <v>-7.2116803884970544</v>
      </c>
      <c r="R5" s="105">
        <v>7.7549618419040511</v>
      </c>
      <c r="S5" s="105">
        <v>2.2828560542049292</v>
      </c>
      <c r="T5" s="105">
        <v>0.75671459142945263</v>
      </c>
      <c r="U5" s="105">
        <v>1.0728699351722826</v>
      </c>
      <c r="V5" s="105">
        <v>-1.7322537772073932</v>
      </c>
      <c r="W5" s="105">
        <v>4.7668230125172961</v>
      </c>
      <c r="X5" s="105">
        <v>2.2077868322680327</v>
      </c>
      <c r="Y5" s="105">
        <v>0.31372912446880896</v>
      </c>
      <c r="Z5" s="105">
        <v>1.1491280048687269</v>
      </c>
      <c r="AA5" s="105">
        <v>0.89760245851990828</v>
      </c>
      <c r="AB5" s="105">
        <v>-0.10537822619710591</v>
      </c>
      <c r="AC5" s="105">
        <v>3.2714827178336625</v>
      </c>
      <c r="AD5" s="105">
        <v>1.388204119208214</v>
      </c>
      <c r="AE5" s="105">
        <v>1.4696531862179896</v>
      </c>
      <c r="AF5" s="105">
        <v>0.77952016491100729</v>
      </c>
      <c r="AG5" s="105">
        <v>1.7342643690546611</v>
      </c>
      <c r="AH5" s="105">
        <v>2.1282137000801393</v>
      </c>
      <c r="AI5" s="105">
        <v>0.80694549241022706</v>
      </c>
      <c r="AJ5" s="105">
        <v>3.267281472197392</v>
      </c>
      <c r="AK5" s="105">
        <v>-0.74864264552773063</v>
      </c>
      <c r="AL5" s="105">
        <v>1.9166270533604868</v>
      </c>
      <c r="AM5" s="105">
        <v>3.9628847864205508</v>
      </c>
    </row>
    <row r="6" spans="1:39" s="8" customFormat="1" ht="17.100000000000001" customHeight="1" x14ac:dyDescent="0.2">
      <c r="A6" s="39" t="s">
        <v>96</v>
      </c>
      <c r="B6" s="105">
        <v>-0.95264124405691764</v>
      </c>
      <c r="C6" s="105">
        <v>4.1188552265952527</v>
      </c>
      <c r="D6" s="105">
        <v>3.4125598459232354</v>
      </c>
      <c r="E6" s="105">
        <v>-0.56309294986702785</v>
      </c>
      <c r="F6" s="105">
        <v>1.2048156993836656</v>
      </c>
      <c r="G6" s="105">
        <v>-1.3701187287456063</v>
      </c>
      <c r="H6" s="105">
        <v>5.401478762228229</v>
      </c>
      <c r="I6" s="105">
        <v>-3.3053666816331484</v>
      </c>
      <c r="J6" s="105">
        <v>1.8099539874312232</v>
      </c>
      <c r="K6" s="105">
        <v>-2.4703167578976615E-2</v>
      </c>
      <c r="L6" s="105">
        <v>11.099767725156617</v>
      </c>
      <c r="M6" s="105">
        <v>-4.5545619591738307</v>
      </c>
      <c r="N6" s="105">
        <v>-2.1443540374344039E-2</v>
      </c>
      <c r="O6" s="105">
        <v>1.4118781644158362</v>
      </c>
      <c r="P6" s="105">
        <v>2.2334066951325005</v>
      </c>
      <c r="Q6" s="105">
        <v>1.9009271268024319</v>
      </c>
      <c r="R6" s="105">
        <v>-0.19475384246303573</v>
      </c>
      <c r="S6" s="105">
        <v>3.1287517276829657</v>
      </c>
      <c r="T6" s="105">
        <v>-3.7268402188685434</v>
      </c>
      <c r="U6" s="105">
        <v>1.5268623653196034</v>
      </c>
      <c r="V6" s="105">
        <v>3.7945184008034705</v>
      </c>
      <c r="W6" s="105">
        <v>-3.7462449152126043</v>
      </c>
      <c r="X6" s="105">
        <v>5.3123496714299501</v>
      </c>
      <c r="Y6" s="105">
        <v>5.1231288587306079</v>
      </c>
      <c r="Z6" s="105">
        <v>-3.410582798889783</v>
      </c>
      <c r="AA6" s="105">
        <v>4.338003749345698</v>
      </c>
      <c r="AB6" s="105">
        <v>-1.5248479065763987</v>
      </c>
      <c r="AC6" s="105">
        <v>-1.6361716416407046</v>
      </c>
      <c r="AD6" s="105">
        <v>4.355965586744226</v>
      </c>
      <c r="AE6" s="105">
        <v>0.76931956534675994</v>
      </c>
      <c r="AF6" s="105">
        <v>1.989594219126789</v>
      </c>
      <c r="AG6" s="105">
        <v>3.0529694356006498</v>
      </c>
      <c r="AH6" s="105">
        <v>0.82330880624443825</v>
      </c>
      <c r="AI6" s="105">
        <v>1.3054081248435434</v>
      </c>
      <c r="AJ6" s="105">
        <v>3.4927289891883317</v>
      </c>
      <c r="AK6" s="105">
        <v>-2.1254685494133452</v>
      </c>
      <c r="AL6" s="105">
        <v>1.7463495844387333</v>
      </c>
      <c r="AM6" s="105">
        <v>5.3632931051978083</v>
      </c>
    </row>
    <row r="7" spans="1:39" ht="17.100000000000001" customHeight="1" x14ac:dyDescent="0.2">
      <c r="A7" s="72" t="s">
        <v>1</v>
      </c>
      <c r="B7" s="71">
        <v>-14.1858225972464</v>
      </c>
      <c r="C7" s="71">
        <v>41.235481620043181</v>
      </c>
      <c r="D7" s="71">
        <v>-7.899066640040675</v>
      </c>
      <c r="E7" s="71">
        <v>5.3901455648171614</v>
      </c>
      <c r="F7" s="71">
        <v>2.8528957014990919</v>
      </c>
      <c r="G7" s="71">
        <v>-5.4761885153780776</v>
      </c>
      <c r="H7" s="71">
        <v>-0.89114126335492205</v>
      </c>
      <c r="I7" s="71">
        <v>-0.2031634229199053</v>
      </c>
      <c r="J7" s="71">
        <v>6.8872024812510979</v>
      </c>
      <c r="K7" s="71">
        <v>-0.41309661752696458</v>
      </c>
      <c r="L7" s="71">
        <v>-4.3385247681353327</v>
      </c>
      <c r="M7" s="71">
        <v>10.408933966542921</v>
      </c>
      <c r="N7" s="71">
        <v>-2.5308359860618967</v>
      </c>
      <c r="O7" s="71">
        <v>5.6968462168874856</v>
      </c>
      <c r="P7" s="71">
        <v>4.3486876484801318</v>
      </c>
      <c r="Q7" s="71">
        <v>-4.7395462945389877</v>
      </c>
      <c r="R7" s="71">
        <v>1.4103426041102374</v>
      </c>
      <c r="S7" s="71">
        <v>11.640072330864793</v>
      </c>
      <c r="T7" s="71">
        <v>3.9244078918525327</v>
      </c>
      <c r="U7" s="71">
        <v>0.76776136914635806</v>
      </c>
      <c r="V7" s="71">
        <v>3.7638619735305801</v>
      </c>
      <c r="W7" s="71">
        <v>-1.9114031576373924</v>
      </c>
      <c r="X7" s="71">
        <v>-7.7834092295134161</v>
      </c>
      <c r="Y7" s="71">
        <v>8.9104744377254352</v>
      </c>
      <c r="Z7" s="71">
        <v>-0.10187259045602026</v>
      </c>
      <c r="AA7" s="71">
        <v>-4.2861051895156654</v>
      </c>
      <c r="AB7" s="71">
        <v>3.5460836401835838</v>
      </c>
      <c r="AC7" s="71">
        <v>1.6529953323328295</v>
      </c>
      <c r="AD7" s="71">
        <v>4.7363662650629745</v>
      </c>
      <c r="AE7" s="71">
        <v>6.2812292997768582</v>
      </c>
      <c r="AF7" s="71">
        <v>4.0255910711363585</v>
      </c>
      <c r="AG7" s="71">
        <v>-6.198076124388141</v>
      </c>
      <c r="AH7" s="71">
        <v>12.760275827471501</v>
      </c>
      <c r="AI7" s="71">
        <v>0.26553310158257126</v>
      </c>
      <c r="AJ7" s="71">
        <v>3.4016587009735533</v>
      </c>
      <c r="AK7" s="71">
        <v>-7.1779172830878757</v>
      </c>
      <c r="AL7" s="71">
        <v>11.544208116061917</v>
      </c>
      <c r="AM7" s="71">
        <v>5.3805075951326442</v>
      </c>
    </row>
    <row r="8" spans="1:39" ht="17.100000000000001" customHeight="1" x14ac:dyDescent="0.2">
      <c r="A8" s="72" t="s">
        <v>2</v>
      </c>
      <c r="B8" s="71">
        <v>-0.56035279516689629</v>
      </c>
      <c r="C8" s="71">
        <v>0.89121727756804603</v>
      </c>
      <c r="D8" s="71">
        <v>8.04460544590453</v>
      </c>
      <c r="E8" s="71">
        <v>-1.5534414612446645</v>
      </c>
      <c r="F8" s="71">
        <v>2.96362616174497</v>
      </c>
      <c r="G8" s="71">
        <v>-0.1744824358701047</v>
      </c>
      <c r="H8" s="71">
        <v>9.2497048444882157</v>
      </c>
      <c r="I8" s="71">
        <v>-8.3458034697156851</v>
      </c>
      <c r="J8" s="71">
        <v>-4.5561748641209654E-2</v>
      </c>
      <c r="K8" s="71">
        <v>-2.0665594383241781</v>
      </c>
      <c r="L8" s="71">
        <v>20.217052581037407</v>
      </c>
      <c r="M8" s="71">
        <v>-11.285151475151768</v>
      </c>
      <c r="N8" s="71">
        <v>-0.60946782744282224</v>
      </c>
      <c r="O8" s="71">
        <v>1.8734640984777284</v>
      </c>
      <c r="P8" s="71">
        <v>4.4933585865350345</v>
      </c>
      <c r="Q8" s="71">
        <v>4.9772246723368996</v>
      </c>
      <c r="R8" s="71">
        <v>-1.7891549112058924</v>
      </c>
      <c r="S8" s="71">
        <v>0.84992525786680151</v>
      </c>
      <c r="T8" s="71">
        <v>-6.1296587819285486</v>
      </c>
      <c r="U8" s="71">
        <v>2.7194208817984622</v>
      </c>
      <c r="V8" s="71">
        <v>3.2428578510106831</v>
      </c>
      <c r="W8" s="71">
        <v>-5.2911268364005064</v>
      </c>
      <c r="X8" s="71">
        <v>10.042297353248774</v>
      </c>
      <c r="Y8" s="71">
        <v>6.8492557618738736</v>
      </c>
      <c r="Z8" s="71">
        <v>-4.055136955228833</v>
      </c>
      <c r="AA8" s="71">
        <v>4.0640648564206794</v>
      </c>
      <c r="AB8" s="71">
        <v>-7.1807530454081059</v>
      </c>
      <c r="AC8" s="71">
        <v>0.39919366093621456</v>
      </c>
      <c r="AD8" s="71">
        <v>7.3424284295336761</v>
      </c>
      <c r="AE8" s="71">
        <v>-0.983911095632517</v>
      </c>
      <c r="AF8" s="71">
        <v>1.930920189294949</v>
      </c>
      <c r="AG8" s="71">
        <v>2.2449307455607581</v>
      </c>
      <c r="AH8" s="71">
        <v>2.107596683779378</v>
      </c>
      <c r="AI8" s="71">
        <v>-0.38790252509636192</v>
      </c>
      <c r="AJ8" s="71">
        <v>6.1547826370489389E-2</v>
      </c>
      <c r="AK8" s="71">
        <v>0.65792667625368395</v>
      </c>
      <c r="AL8" s="71">
        <v>-0.92212443434807057</v>
      </c>
      <c r="AM8" s="71">
        <v>7.6885296867816644</v>
      </c>
    </row>
    <row r="9" spans="1:39" ht="17.100000000000001" customHeight="1" x14ac:dyDescent="0.2">
      <c r="A9" s="72" t="s">
        <v>3</v>
      </c>
      <c r="B9" s="71">
        <v>1.0613387023349574</v>
      </c>
      <c r="C9" s="71">
        <v>2.3476731758200753</v>
      </c>
      <c r="D9" s="71">
        <v>1.8235810945415265</v>
      </c>
      <c r="E9" s="71">
        <v>1.6659583060284477</v>
      </c>
      <c r="F9" s="71">
        <v>2.1099267642874286</v>
      </c>
      <c r="G9" s="71">
        <v>0.89026144880113289</v>
      </c>
      <c r="H9" s="71">
        <v>2.2099842177626838</v>
      </c>
      <c r="I9" s="71">
        <v>1.2964677143713077</v>
      </c>
      <c r="J9" s="71">
        <v>2.0343139085203799</v>
      </c>
      <c r="K9" s="71">
        <v>1.9348797752804403</v>
      </c>
      <c r="L9" s="71">
        <v>1.601982124204282</v>
      </c>
      <c r="M9" s="71">
        <v>2.2377397280190614</v>
      </c>
      <c r="N9" s="71">
        <v>1.8345994959906076</v>
      </c>
      <c r="O9" s="71">
        <v>1.9798366163871206</v>
      </c>
      <c r="P9" s="71">
        <v>1.9660764269586739</v>
      </c>
      <c r="Q9" s="71">
        <v>1.6196283593657324</v>
      </c>
      <c r="R9" s="71">
        <v>1.8011741322298658</v>
      </c>
      <c r="S9" s="71">
        <v>1.9873158229630761</v>
      </c>
      <c r="T9" s="71">
        <v>2.1011380225526732</v>
      </c>
      <c r="U9" s="71">
        <v>2.1266801954951342</v>
      </c>
      <c r="V9" s="71">
        <v>1.9312606292411605</v>
      </c>
      <c r="W9" s="71">
        <v>1.8295975739796244</v>
      </c>
      <c r="X9" s="71">
        <v>2.0756590077057435</v>
      </c>
      <c r="Y9" s="71">
        <v>2.304451302163435</v>
      </c>
      <c r="Z9" s="71">
        <v>2.2917626028157168</v>
      </c>
      <c r="AA9" s="71">
        <v>1.9327794889587802</v>
      </c>
      <c r="AB9" s="71">
        <v>2.7009081801561363</v>
      </c>
      <c r="AC9" s="71">
        <v>0.99663188676495373</v>
      </c>
      <c r="AD9" s="71">
        <v>1.9471816716806867</v>
      </c>
      <c r="AE9" s="71">
        <v>2.1503438927116703</v>
      </c>
      <c r="AF9" s="71">
        <v>1.998430422820574</v>
      </c>
      <c r="AG9" s="71">
        <v>2.1016874641102801</v>
      </c>
      <c r="AH9" s="71">
        <v>1.9686056518391837</v>
      </c>
      <c r="AI9" s="71">
        <v>2.2522626151134428</v>
      </c>
      <c r="AJ9" s="71">
        <v>2.4944247747188619</v>
      </c>
      <c r="AK9" s="71">
        <v>1.8317273754298702</v>
      </c>
      <c r="AL9" s="71">
        <v>2.3906883397696088</v>
      </c>
      <c r="AM9" s="71">
        <v>2.1946202277147719</v>
      </c>
    </row>
    <row r="10" spans="1:39" ht="17.100000000000001" customHeight="1" x14ac:dyDescent="0.2">
      <c r="A10" s="72" t="s">
        <v>4</v>
      </c>
      <c r="B10" s="71">
        <v>2.8525106456402494</v>
      </c>
      <c r="C10" s="71">
        <v>0.61443328226629124</v>
      </c>
      <c r="D10" s="71">
        <v>0.93466239171626775</v>
      </c>
      <c r="E10" s="71">
        <v>0.85262862313979504</v>
      </c>
      <c r="F10" s="71">
        <v>-2.2137703000579823</v>
      </c>
      <c r="G10" s="71">
        <v>-1.6839960792456643</v>
      </c>
      <c r="H10" s="71">
        <v>0.81283643874676681</v>
      </c>
      <c r="I10" s="71">
        <v>4.865925462090992</v>
      </c>
      <c r="J10" s="71">
        <v>0.57624592950540343</v>
      </c>
      <c r="K10" s="71">
        <v>2.4265977617046408</v>
      </c>
      <c r="L10" s="71">
        <v>-0.97283705447300806</v>
      </c>
      <c r="M10" s="71">
        <v>13.186241852784676</v>
      </c>
      <c r="N10" s="71">
        <v>2.080842824930107</v>
      </c>
      <c r="O10" s="71">
        <v>6.6463629186849893</v>
      </c>
      <c r="P10" s="71">
        <v>-22.304624756303546</v>
      </c>
      <c r="Q10" s="71">
        <v>3.1988788680144431</v>
      </c>
      <c r="R10" s="71">
        <v>8.1187961571407072</v>
      </c>
      <c r="S10" s="71">
        <v>4.8902229587917345</v>
      </c>
      <c r="T10" s="71">
        <v>5.3694356543946276</v>
      </c>
      <c r="U10" s="71">
        <v>-1.4650023765839348</v>
      </c>
      <c r="V10" s="71">
        <v>-1.3280124757544032</v>
      </c>
      <c r="W10" s="71">
        <v>0.14583715273828179</v>
      </c>
      <c r="X10" s="71">
        <v>4.4045210846310967</v>
      </c>
      <c r="Y10" s="71">
        <v>-0.29165055517544891</v>
      </c>
      <c r="Z10" s="71">
        <v>-1.2714986513834514</v>
      </c>
      <c r="AA10" s="71">
        <v>1.5445262913839297</v>
      </c>
      <c r="AB10" s="71">
        <v>-0.31213567780444818</v>
      </c>
      <c r="AC10" s="71">
        <v>0.91362127742726784</v>
      </c>
      <c r="AD10" s="71">
        <v>3.4652082391190664</v>
      </c>
      <c r="AE10" s="71">
        <v>3.0927335674391321</v>
      </c>
      <c r="AF10" s="71">
        <v>0.27689393184289202</v>
      </c>
      <c r="AG10" s="71">
        <v>1.5038592602089063</v>
      </c>
      <c r="AH10" s="71">
        <v>-0.50475683905856217</v>
      </c>
      <c r="AI10" s="71">
        <v>-4.3515247885905435</v>
      </c>
      <c r="AJ10" s="71">
        <v>2.4609699230679238</v>
      </c>
      <c r="AK10" s="71">
        <v>19.473865818242885</v>
      </c>
      <c r="AL10" s="71">
        <v>-24.588161678668776</v>
      </c>
      <c r="AM10" s="71">
        <v>8.581080347277581</v>
      </c>
    </row>
    <row r="11" spans="1:39" ht="17.100000000000001" customHeight="1" x14ac:dyDescent="0.2">
      <c r="A11" s="72" t="s">
        <v>5</v>
      </c>
      <c r="B11" s="71">
        <v>5.3147909189573461</v>
      </c>
      <c r="C11" s="71">
        <v>-0.35571698521870143</v>
      </c>
      <c r="D11" s="71">
        <v>2.6573897507117472</v>
      </c>
      <c r="E11" s="71">
        <v>1.2119999764811151</v>
      </c>
      <c r="F11" s="71">
        <v>3.2720785949358344E-2</v>
      </c>
      <c r="G11" s="71">
        <v>-1.3684174142005845</v>
      </c>
      <c r="H11" s="71">
        <v>3.2186542563369391</v>
      </c>
      <c r="I11" s="71">
        <v>2.68741757209634</v>
      </c>
      <c r="J11" s="71">
        <v>-0.34412489995345741</v>
      </c>
      <c r="K11" s="71">
        <v>0.41128346277787831</v>
      </c>
      <c r="L11" s="71">
        <v>-0.82336559585494129</v>
      </c>
      <c r="M11" s="71">
        <v>3.3571392518608079</v>
      </c>
      <c r="N11" s="71">
        <v>1.3949552698756085</v>
      </c>
      <c r="O11" s="71">
        <v>1.5878127079266724</v>
      </c>
      <c r="P11" s="71">
        <v>-2.3591520548615796</v>
      </c>
      <c r="Q11" s="71">
        <v>-1.275327975102869</v>
      </c>
      <c r="R11" s="71">
        <v>-0.23075511049165387</v>
      </c>
      <c r="S11" s="71">
        <v>8.4711435806944522</v>
      </c>
      <c r="T11" s="71">
        <v>-1.8588725770473102</v>
      </c>
      <c r="U11" s="71">
        <v>-1.0416171755381121</v>
      </c>
      <c r="V11" s="71">
        <v>-0.45124933808753376</v>
      </c>
      <c r="W11" s="71">
        <v>1.0149017209199584</v>
      </c>
      <c r="X11" s="71">
        <v>5.5214539797649564</v>
      </c>
      <c r="Y11" s="71">
        <v>-0.58186949292771128</v>
      </c>
      <c r="Z11" s="71">
        <v>-1.9918472424107936</v>
      </c>
      <c r="AA11" s="71">
        <v>1.4297144106643733</v>
      </c>
      <c r="AB11" s="71">
        <v>3.6959411601903192</v>
      </c>
      <c r="AC11" s="71">
        <v>-0.98303782347530788</v>
      </c>
      <c r="AD11" s="71">
        <v>0.9180668941268566</v>
      </c>
      <c r="AE11" s="71">
        <v>-0.66392874960181647</v>
      </c>
      <c r="AF11" s="71">
        <v>-5.2673265339778457</v>
      </c>
      <c r="AG11" s="71">
        <v>16.357105098506828</v>
      </c>
      <c r="AH11" s="71">
        <v>-5.5028884980060644</v>
      </c>
      <c r="AI11" s="71">
        <v>0.96619240319943955</v>
      </c>
      <c r="AJ11" s="71">
        <v>-3.1180632876250725</v>
      </c>
      <c r="AK11" s="71">
        <v>5.8217348256506707</v>
      </c>
      <c r="AL11" s="71">
        <v>5.749933535039875</v>
      </c>
      <c r="AM11" s="71">
        <v>-0.37311341960677424</v>
      </c>
    </row>
    <row r="12" spans="1:39" ht="17.100000000000001" customHeight="1" x14ac:dyDescent="0.2">
      <c r="A12" s="72" t="s">
        <v>6</v>
      </c>
      <c r="B12" s="71">
        <v>-2.6459896516755177</v>
      </c>
      <c r="C12" s="71">
        <v>-4.4894642270532081E-3</v>
      </c>
      <c r="D12" s="71">
        <v>-5.4756839142287905</v>
      </c>
      <c r="E12" s="71">
        <v>-8.0571951715413537</v>
      </c>
      <c r="F12" s="71">
        <v>-12.53757548488289</v>
      </c>
      <c r="G12" s="71">
        <v>-9.0544358938333236</v>
      </c>
      <c r="H12" s="71">
        <v>-6.1262549195676419</v>
      </c>
      <c r="I12" s="71">
        <v>16.34571995944394</v>
      </c>
      <c r="J12" s="71">
        <v>14.288716363647591</v>
      </c>
      <c r="K12" s="71">
        <v>10.740148331775279</v>
      </c>
      <c r="L12" s="71">
        <v>12.235171476600915</v>
      </c>
      <c r="M12" s="71">
        <v>0.90189225415644447</v>
      </c>
      <c r="N12" s="71">
        <v>1.1045045264964193</v>
      </c>
      <c r="O12" s="71">
        <v>-7.5760273135679128</v>
      </c>
      <c r="P12" s="71">
        <v>-5.7554087181133973</v>
      </c>
      <c r="Q12" s="71">
        <v>-3.7588693520446914</v>
      </c>
      <c r="R12" s="71">
        <v>6.1093597993775894</v>
      </c>
      <c r="S12" s="71">
        <v>-0.20808574742678942</v>
      </c>
      <c r="T12" s="71">
        <v>-13.337491800726598</v>
      </c>
      <c r="U12" s="71">
        <v>-1.8441206287773348</v>
      </c>
      <c r="V12" s="71">
        <v>23.3115902976615</v>
      </c>
      <c r="W12" s="71">
        <v>-16.287026416041428</v>
      </c>
      <c r="X12" s="71">
        <v>-0.22944132317673782</v>
      </c>
      <c r="Y12" s="71">
        <v>4.6054134968502414</v>
      </c>
      <c r="Z12" s="71">
        <v>-20.887355167089783</v>
      </c>
      <c r="AA12" s="71">
        <v>43.258448757341043</v>
      </c>
      <c r="AB12" s="71">
        <v>15.115828257668351</v>
      </c>
      <c r="AC12" s="71">
        <v>-25.649987902513271</v>
      </c>
      <c r="AD12" s="71">
        <v>-6.9758487335190633</v>
      </c>
      <c r="AE12" s="71">
        <v>6.2137915506189856</v>
      </c>
      <c r="AF12" s="71">
        <v>16.532335963137523</v>
      </c>
      <c r="AG12" s="71">
        <v>2.2320076791513488</v>
      </c>
      <c r="AH12" s="71">
        <v>-18.436635543888002</v>
      </c>
      <c r="AI12" s="71">
        <v>19.015642148751667</v>
      </c>
      <c r="AJ12" s="71">
        <v>50.68392253384706</v>
      </c>
      <c r="AK12" s="71">
        <v>-29.882801486360133</v>
      </c>
      <c r="AL12" s="71">
        <v>-5.0591412799256386</v>
      </c>
      <c r="AM12" s="71">
        <v>8.9604123154846569</v>
      </c>
    </row>
    <row r="13" spans="1:39" s="136" customFormat="1" ht="17.100000000000001" customHeight="1" x14ac:dyDescent="0.2">
      <c r="A13" s="133" t="s">
        <v>93</v>
      </c>
      <c r="B13" s="135">
        <v>3.1670470762466429</v>
      </c>
      <c r="C13" s="135">
        <v>3.7170970166950479</v>
      </c>
      <c r="D13" s="135">
        <v>2.6932197332171892</v>
      </c>
      <c r="E13" s="135">
        <v>-1.5572897718329259</v>
      </c>
      <c r="F13" s="135">
        <v>0.35620939432765564</v>
      </c>
      <c r="G13" s="135">
        <v>0.82726373232302475</v>
      </c>
      <c r="H13" s="135">
        <v>3.8360497741890542</v>
      </c>
      <c r="I13" s="135">
        <v>2.9766218572104819</v>
      </c>
      <c r="J13" s="135">
        <v>0.97201607651271615</v>
      </c>
      <c r="K13" s="135">
        <v>2.0423049881874045</v>
      </c>
      <c r="L13" s="135">
        <v>3.4218618304103998</v>
      </c>
      <c r="M13" s="135">
        <v>0.73800682536799833</v>
      </c>
      <c r="N13" s="135">
        <v>3.3972866582111294</v>
      </c>
      <c r="O13" s="135">
        <v>2.5377275727684223</v>
      </c>
      <c r="P13" s="135">
        <v>-3.1529752425607516</v>
      </c>
      <c r="Q13" s="135">
        <v>-12.212561779081932</v>
      </c>
      <c r="R13" s="135">
        <v>11.611229861999917</v>
      </c>
      <c r="S13" s="135">
        <v>3.8385844559503113</v>
      </c>
      <c r="T13" s="135">
        <v>0.9514518769501823</v>
      </c>
      <c r="U13" s="135">
        <v>-2.7142844891547835E-2</v>
      </c>
      <c r="V13" s="135">
        <v>-4.8481824543152197</v>
      </c>
      <c r="W13" s="135">
        <v>12.979608443926228</v>
      </c>
      <c r="X13" s="135">
        <v>-1.2038631305172576</v>
      </c>
      <c r="Y13" s="135">
        <v>0.437586950678992</v>
      </c>
      <c r="Z13" s="135">
        <v>-0.61945777337908403</v>
      </c>
      <c r="AA13" s="135">
        <v>-0.57904911831040407</v>
      </c>
      <c r="AB13" s="135">
        <v>1.5823819594514843</v>
      </c>
      <c r="AC13" s="135">
        <v>5.7785620006794991</v>
      </c>
      <c r="AD13" s="135">
        <v>1.4940566726909799</v>
      </c>
      <c r="AE13" s="135">
        <v>-3.5630161586926667</v>
      </c>
      <c r="AF13" s="135">
        <v>3.1808000404047077</v>
      </c>
      <c r="AG13" s="135">
        <v>-0.10388496823852122</v>
      </c>
      <c r="AH13" s="135">
        <v>5.6296865788368677</v>
      </c>
      <c r="AI13" s="135">
        <v>-0.78729526908379865</v>
      </c>
      <c r="AJ13" s="135">
        <v>2.5542563084282266</v>
      </c>
      <c r="AK13" s="135">
        <v>5.0557372176895932E-2</v>
      </c>
      <c r="AL13" s="135">
        <v>4.2523590607245199</v>
      </c>
      <c r="AM13" s="135">
        <v>5.158680041318231</v>
      </c>
    </row>
    <row r="14" spans="1:39" ht="17.100000000000001" customHeight="1" x14ac:dyDescent="0.2">
      <c r="A14" s="72" t="s">
        <v>8</v>
      </c>
      <c r="B14" s="71">
        <v>25.417910810247847</v>
      </c>
      <c r="C14" s="71">
        <v>23.53369822924094</v>
      </c>
      <c r="D14" s="71">
        <v>-2.0521314264813517</v>
      </c>
      <c r="E14" s="71">
        <v>13.011745158809095</v>
      </c>
      <c r="F14" s="71">
        <v>-19.163510224516532</v>
      </c>
      <c r="G14" s="71">
        <v>-11.968377683628461</v>
      </c>
      <c r="H14" s="71">
        <v>14.269440890785079</v>
      </c>
      <c r="I14" s="71">
        <v>25.635960124918512</v>
      </c>
      <c r="J14" s="71">
        <v>-3.1656451643155115</v>
      </c>
      <c r="K14" s="71">
        <v>-17.041775322112727</v>
      </c>
      <c r="L14" s="71">
        <v>37.900199304437557</v>
      </c>
      <c r="M14" s="71">
        <v>-12.420730785970546</v>
      </c>
      <c r="N14" s="71">
        <v>12.147580322840223</v>
      </c>
      <c r="O14" s="71">
        <v>24.551900364646805</v>
      </c>
      <c r="P14" s="71">
        <v>-3.7926273451593384</v>
      </c>
      <c r="Q14" s="71">
        <v>-38.703595284981809</v>
      </c>
      <c r="R14" s="71">
        <v>90.373275766069256</v>
      </c>
      <c r="S14" s="71">
        <v>-15.661719388837113</v>
      </c>
      <c r="T14" s="71">
        <v>-15.772907896999634</v>
      </c>
      <c r="U14" s="71">
        <v>-13.702301979574049</v>
      </c>
      <c r="V14" s="71">
        <v>-31.569381161544786</v>
      </c>
      <c r="W14" s="71">
        <v>192.25388089406704</v>
      </c>
      <c r="X14" s="71">
        <v>-11.900786041147693</v>
      </c>
      <c r="Y14" s="71">
        <v>5.6646557875892345</v>
      </c>
      <c r="Z14" s="71">
        <v>-33.354787473405409</v>
      </c>
      <c r="AA14" s="71">
        <v>-24.198848037227595</v>
      </c>
      <c r="AB14" s="71">
        <v>51.448986657626072</v>
      </c>
      <c r="AC14" s="71">
        <v>102.91361315095978</v>
      </c>
      <c r="AD14" s="71">
        <v>-18.771120805813336</v>
      </c>
      <c r="AE14" s="71">
        <v>-21.526346910180084</v>
      </c>
      <c r="AF14" s="71">
        <v>-15.827738392803671</v>
      </c>
      <c r="AG14" s="71">
        <v>-53.871075945707815</v>
      </c>
      <c r="AH14" s="71">
        <v>190.12752665709675</v>
      </c>
      <c r="AI14" s="71">
        <v>-2.7567772467129381</v>
      </c>
      <c r="AJ14" s="71">
        <v>-21.52860688833923</v>
      </c>
      <c r="AK14" s="71">
        <v>-34.282643986067718</v>
      </c>
      <c r="AL14" s="71">
        <v>74.927658495099053</v>
      </c>
      <c r="AM14" s="71">
        <v>42.211262156466312</v>
      </c>
    </row>
    <row r="15" spans="1:39" ht="17.100000000000001" customHeight="1" x14ac:dyDescent="0.2">
      <c r="A15" s="42" t="s">
        <v>9</v>
      </c>
      <c r="B15" s="71">
        <v>-1.392108559334837</v>
      </c>
      <c r="C15" s="71">
        <v>2.496292412702128</v>
      </c>
      <c r="D15" s="71">
        <v>5.0941081410992073</v>
      </c>
      <c r="E15" s="71">
        <v>-3.0042056655915972</v>
      </c>
      <c r="F15" s="71">
        <v>0.7699621384971822</v>
      </c>
      <c r="G15" s="71">
        <v>1.3784661690979583</v>
      </c>
      <c r="H15" s="71">
        <v>2.8531667168796959</v>
      </c>
      <c r="I15" s="71">
        <v>1.908841710354392</v>
      </c>
      <c r="J15" s="71">
        <v>0.69001748051986667</v>
      </c>
      <c r="K15" s="71">
        <v>3.219698801861437</v>
      </c>
      <c r="L15" s="71">
        <v>1.9348787243277155</v>
      </c>
      <c r="M15" s="71">
        <v>0.75934367146004433</v>
      </c>
      <c r="N15" s="71">
        <v>5.3543423004334345</v>
      </c>
      <c r="O15" s="71">
        <v>0.47632587410637584</v>
      </c>
      <c r="P15" s="71">
        <v>-6.844100116434781</v>
      </c>
      <c r="Q15" s="71">
        <v>-12.69709345007719</v>
      </c>
      <c r="R15" s="71">
        <v>17.543787845600001</v>
      </c>
      <c r="S15" s="71">
        <v>-0.99282359647947516</v>
      </c>
      <c r="T15" s="71">
        <v>1.0941662332762503</v>
      </c>
      <c r="U15" s="71">
        <v>0.67135410515462013</v>
      </c>
      <c r="V15" s="71">
        <v>-7.2152534241991191</v>
      </c>
      <c r="W15" s="71">
        <v>13.529180165620325</v>
      </c>
      <c r="X15" s="71">
        <v>1.8489575948999581</v>
      </c>
      <c r="Y15" s="71">
        <v>-0.56230809184995012</v>
      </c>
      <c r="Z15" s="71">
        <v>-2.5176260380466164E-2</v>
      </c>
      <c r="AA15" s="71">
        <v>0.81469753433864867</v>
      </c>
      <c r="AB15" s="71">
        <v>-1.4511570326048773</v>
      </c>
      <c r="AC15" s="71">
        <v>-1.0864655251919708</v>
      </c>
      <c r="AD15" s="71">
        <v>5.9590513774619325</v>
      </c>
      <c r="AE15" s="71">
        <v>-4.1104409136207165</v>
      </c>
      <c r="AF15" s="71">
        <v>4.4359852865711202</v>
      </c>
      <c r="AG15" s="71">
        <v>4.3948609409310668</v>
      </c>
      <c r="AH15" s="71">
        <v>1.145780714372302</v>
      </c>
      <c r="AI15" s="71">
        <v>-1.7694527989387976</v>
      </c>
      <c r="AJ15" s="71">
        <v>1.4541208322083499</v>
      </c>
      <c r="AK15" s="71">
        <v>2.5300504741069707</v>
      </c>
      <c r="AL15" s="71">
        <v>2.3443520991695666</v>
      </c>
      <c r="AM15" s="71">
        <v>2.6527694330346741</v>
      </c>
    </row>
    <row r="16" spans="1:39" ht="17.100000000000001" customHeight="1" x14ac:dyDescent="0.2">
      <c r="A16" s="42" t="s">
        <v>10</v>
      </c>
      <c r="B16" s="71">
        <v>1.5657569460796772</v>
      </c>
      <c r="C16" s="71">
        <v>3.8553357527222332</v>
      </c>
      <c r="D16" s="71">
        <v>5.2703793881405891</v>
      </c>
      <c r="E16" s="71">
        <v>-1.5734219688368856</v>
      </c>
      <c r="F16" s="71">
        <v>2.9437200082649051</v>
      </c>
      <c r="G16" s="71">
        <v>0.85157853183921439</v>
      </c>
      <c r="H16" s="71">
        <v>-0.44586435159644777</v>
      </c>
      <c r="I16" s="71">
        <v>-1.4392961574134833</v>
      </c>
      <c r="J16" s="71">
        <v>1.1388103897432611</v>
      </c>
      <c r="K16" s="71">
        <v>0.40341749134202853</v>
      </c>
      <c r="L16" s="71">
        <v>1.9233442121911581</v>
      </c>
      <c r="M16" s="71">
        <v>4.6513734945892171</v>
      </c>
      <c r="N16" s="71">
        <v>4.9693439438080578</v>
      </c>
      <c r="O16" s="71">
        <v>3.1533661824601822</v>
      </c>
      <c r="P16" s="71">
        <v>3.2171688284989397</v>
      </c>
      <c r="Q16" s="71">
        <v>-11.189067854794477</v>
      </c>
      <c r="R16" s="71">
        <v>15.112686843661361</v>
      </c>
      <c r="S16" s="71">
        <v>3.1868945208447297</v>
      </c>
      <c r="T16" s="71">
        <v>1.8129442126172401</v>
      </c>
      <c r="U16" s="71">
        <v>1.2746656190106176</v>
      </c>
      <c r="V16" s="71">
        <v>-1.2186086154281406</v>
      </c>
      <c r="W16" s="71">
        <v>1.3674513974724967</v>
      </c>
      <c r="X16" s="71">
        <v>0.72698717983854522</v>
      </c>
      <c r="Y16" s="71">
        <v>1.2740603080420687</v>
      </c>
      <c r="Z16" s="71">
        <v>2.5746978002376686</v>
      </c>
      <c r="AA16" s="71">
        <v>3.2079138591966316</v>
      </c>
      <c r="AB16" s="71">
        <v>1.624412954717247</v>
      </c>
      <c r="AC16" s="71">
        <v>2.9361849978515098</v>
      </c>
      <c r="AD16" s="71">
        <v>3.5767854114188369</v>
      </c>
      <c r="AE16" s="71">
        <v>4.0142560392109061E-2</v>
      </c>
      <c r="AF16" s="71">
        <v>1.9743744704241006</v>
      </c>
      <c r="AG16" s="71">
        <v>1.1217219694095171</v>
      </c>
      <c r="AH16" s="71">
        <v>3.0763544401213538</v>
      </c>
      <c r="AI16" s="71">
        <v>4.0663409389513294</v>
      </c>
      <c r="AJ16" s="71">
        <v>4.549184369813486</v>
      </c>
      <c r="AK16" s="71">
        <v>4.2694799019997953</v>
      </c>
      <c r="AL16" s="71">
        <v>11.244337173994445</v>
      </c>
      <c r="AM16" s="71">
        <v>-8.5648609974384176</v>
      </c>
    </row>
    <row r="17" spans="1:39" ht="17.100000000000001" customHeight="1" x14ac:dyDescent="0.2">
      <c r="A17" s="42" t="s">
        <v>11</v>
      </c>
      <c r="B17" s="71">
        <v>1.529212198000085</v>
      </c>
      <c r="C17" s="71">
        <v>1.5406240721546727</v>
      </c>
      <c r="D17" s="71">
        <v>1.0273799482825918</v>
      </c>
      <c r="E17" s="71">
        <v>1.2793068731491219</v>
      </c>
      <c r="F17" s="71">
        <v>0.62837963751376513</v>
      </c>
      <c r="G17" s="71">
        <v>0.97551145256062899</v>
      </c>
      <c r="H17" s="71">
        <v>0.92577829467053174</v>
      </c>
      <c r="I17" s="71">
        <v>1.1418396503747541</v>
      </c>
      <c r="J17" s="71">
        <v>1.3290774319341336</v>
      </c>
      <c r="K17" s="71">
        <v>1.2600423859425947</v>
      </c>
      <c r="L17" s="71">
        <v>1.051516125468166</v>
      </c>
      <c r="M17" s="71">
        <v>1.1356883990794486</v>
      </c>
      <c r="N17" s="71">
        <v>0.78014813341988898</v>
      </c>
      <c r="O17" s="71">
        <v>0.89094076203775074</v>
      </c>
      <c r="P17" s="71">
        <v>1.3623917431666799</v>
      </c>
      <c r="Q17" s="71">
        <v>0.8651397458791843</v>
      </c>
      <c r="R17" s="71">
        <v>1.2924898388265937</v>
      </c>
      <c r="S17" s="71">
        <v>1.2336366435030888</v>
      </c>
      <c r="T17" s="71">
        <v>1.1258406156003264</v>
      </c>
      <c r="U17" s="71">
        <v>1.3880840658451854</v>
      </c>
      <c r="V17" s="71">
        <v>2.001462130752385</v>
      </c>
      <c r="W17" s="71">
        <v>1.7154672870326237</v>
      </c>
      <c r="X17" s="71">
        <v>1.3392519179936224</v>
      </c>
      <c r="Y17" s="71">
        <v>1.069128789189655</v>
      </c>
      <c r="Z17" s="71">
        <v>0.48947122536813215</v>
      </c>
      <c r="AA17" s="71">
        <v>0.96053654958694334</v>
      </c>
      <c r="AB17" s="71">
        <v>1.3567525065123265</v>
      </c>
      <c r="AC17" s="71">
        <v>1.3342069568943016</v>
      </c>
      <c r="AD17" s="71">
        <v>1.533452027442439</v>
      </c>
      <c r="AE17" s="71">
        <v>1.0707507741825051</v>
      </c>
      <c r="AF17" s="71">
        <v>1.1527437940137331</v>
      </c>
      <c r="AG17" s="71">
        <v>1.4823355298989149</v>
      </c>
      <c r="AH17" s="71">
        <v>-0.26587116609545491</v>
      </c>
      <c r="AI17" s="71">
        <v>0.7182652802146583</v>
      </c>
      <c r="AJ17" s="71">
        <v>0.44173265846076948</v>
      </c>
      <c r="AK17" s="71">
        <v>0.63523614001668172</v>
      </c>
      <c r="AL17" s="71">
        <v>0.99072120978747069</v>
      </c>
      <c r="AM17" s="71">
        <v>1.2312830501363337</v>
      </c>
    </row>
    <row r="18" spans="1:39" ht="17.100000000000001" customHeight="1" x14ac:dyDescent="0.2">
      <c r="A18" s="72" t="s">
        <v>12</v>
      </c>
      <c r="B18" s="71">
        <v>14.903125900031512</v>
      </c>
      <c r="C18" s="71">
        <v>4.2173474514870302</v>
      </c>
      <c r="D18" s="71">
        <v>-2.5181369638540785</v>
      </c>
      <c r="E18" s="71">
        <v>-1.8348634403017483</v>
      </c>
      <c r="F18" s="71">
        <v>3.429346921050791</v>
      </c>
      <c r="G18" s="71">
        <v>1.785716752490174</v>
      </c>
      <c r="H18" s="71">
        <v>6.9598662189558125</v>
      </c>
      <c r="I18" s="71">
        <v>3.3123055070138685</v>
      </c>
      <c r="J18" s="71">
        <v>2.4584001378575193</v>
      </c>
      <c r="K18" s="71">
        <v>3.6969983264403927</v>
      </c>
      <c r="L18" s="71">
        <v>2.5676010083593326</v>
      </c>
      <c r="M18" s="71">
        <v>2.7631317923620724</v>
      </c>
      <c r="N18" s="71">
        <v>-2.5148259499778947</v>
      </c>
      <c r="O18" s="71">
        <v>3.6516145264128275</v>
      </c>
      <c r="P18" s="71">
        <v>3.6015700168607667</v>
      </c>
      <c r="Q18" s="71">
        <v>-9.4082016954963326</v>
      </c>
      <c r="R18" s="71">
        <v>-11.616086022595551</v>
      </c>
      <c r="S18" s="71">
        <v>26.761653651702488</v>
      </c>
      <c r="T18" s="71">
        <v>4.3968161715047138</v>
      </c>
      <c r="U18" s="71">
        <v>0.26766786997411973</v>
      </c>
      <c r="V18" s="71">
        <v>1.7679411294879488</v>
      </c>
      <c r="W18" s="71">
        <v>-1.8466377634536624</v>
      </c>
      <c r="X18" s="71">
        <v>-6.3141802185453955</v>
      </c>
      <c r="Y18" s="71">
        <v>0.94803760838857443</v>
      </c>
      <c r="Z18" s="71">
        <v>7.4580946283027805</v>
      </c>
      <c r="AA18" s="71">
        <v>-0.50901456715427562</v>
      </c>
      <c r="AB18" s="71">
        <v>1.2335325799499364</v>
      </c>
      <c r="AC18" s="71">
        <v>1.679974327909517</v>
      </c>
      <c r="AD18" s="71">
        <v>0.17448632964156552</v>
      </c>
      <c r="AE18" s="71">
        <v>1.871019295668952</v>
      </c>
      <c r="AF18" s="71">
        <v>6.9104785212311226</v>
      </c>
      <c r="AG18" s="71">
        <v>1.30838629805754</v>
      </c>
      <c r="AH18" s="71">
        <v>-0.56136306750258491</v>
      </c>
      <c r="AI18" s="71">
        <v>0.40805385462059363</v>
      </c>
      <c r="AJ18" s="71">
        <v>12.450789047250343</v>
      </c>
      <c r="AK18" s="71">
        <v>0.83295129972851267</v>
      </c>
      <c r="AL18" s="71">
        <v>-1.7988095614632327</v>
      </c>
      <c r="AM18" s="71">
        <v>6.7935900654434889</v>
      </c>
    </row>
    <row r="19" spans="1:39" s="136" customFormat="1" ht="17.100000000000001" customHeight="1" x14ac:dyDescent="0.2">
      <c r="A19" s="133" t="s">
        <v>94</v>
      </c>
      <c r="B19" s="135">
        <v>-0.23506786864088136</v>
      </c>
      <c r="C19" s="135">
        <v>-0.2129518283456755</v>
      </c>
      <c r="D19" s="135">
        <v>1.9654659016473008</v>
      </c>
      <c r="E19" s="135">
        <v>3.3749736350335846</v>
      </c>
      <c r="F19" s="135">
        <v>2.2635705431087505</v>
      </c>
      <c r="G19" s="135">
        <v>2.6078739332290768</v>
      </c>
      <c r="H19" s="135">
        <v>0.47518545705402815</v>
      </c>
      <c r="I19" s="135">
        <v>1.1808352961780288</v>
      </c>
      <c r="J19" s="135">
        <v>2.7286258333619084</v>
      </c>
      <c r="K19" s="135">
        <v>-0.14502165836346448</v>
      </c>
      <c r="L19" s="135">
        <v>2.0957818683504881</v>
      </c>
      <c r="M19" s="135">
        <v>0.92429977808192731</v>
      </c>
      <c r="N19" s="135">
        <v>4.1550047232726151</v>
      </c>
      <c r="O19" s="135">
        <v>4.6131214420985778E-2</v>
      </c>
      <c r="P19" s="135">
        <v>-3.5307782311137292</v>
      </c>
      <c r="Q19" s="135">
        <v>-6.2521034992075286</v>
      </c>
      <c r="R19" s="135">
        <v>7.0503065577199431</v>
      </c>
      <c r="S19" s="135">
        <v>1.0011645705848782</v>
      </c>
      <c r="T19" s="135">
        <v>3.978380251039404</v>
      </c>
      <c r="U19" s="135">
        <v>-0.48104308836662835</v>
      </c>
      <c r="V19" s="135">
        <v>-1.0015606635143004</v>
      </c>
      <c r="W19" s="135">
        <v>3.3846816645488387</v>
      </c>
      <c r="X19" s="135">
        <v>2.1820235146027933</v>
      </c>
      <c r="Y19" s="135">
        <v>-1.8402887507327659</v>
      </c>
      <c r="Z19" s="135">
        <v>5.1582627216554489</v>
      </c>
      <c r="AA19" s="135">
        <v>-0.42542074959702747</v>
      </c>
      <c r="AB19" s="135">
        <v>-0.97115418539803766</v>
      </c>
      <c r="AC19" s="135">
        <v>4.2422080888693037</v>
      </c>
      <c r="AD19" s="135">
        <v>-0.11147455255687833</v>
      </c>
      <c r="AE19" s="135">
        <v>5.5083024573400197</v>
      </c>
      <c r="AF19" s="135">
        <v>-1.5905115979479634</v>
      </c>
      <c r="AG19" s="135">
        <v>2.1878533134218392</v>
      </c>
      <c r="AH19" s="135">
        <v>-2.2265295247203554E-2</v>
      </c>
      <c r="AI19" s="135">
        <v>2.0299338866679228</v>
      </c>
      <c r="AJ19" s="135">
        <v>4.2500229807768575</v>
      </c>
      <c r="AK19" s="135">
        <v>-1.2228544106075878</v>
      </c>
      <c r="AL19" s="135">
        <v>0.55501444277890055</v>
      </c>
      <c r="AM19" s="135">
        <v>2.8511598246419245</v>
      </c>
    </row>
    <row r="20" spans="1:39" ht="17.100000000000001" customHeight="1" x14ac:dyDescent="0.2">
      <c r="A20" s="78" t="s">
        <v>52</v>
      </c>
      <c r="B20" s="71">
        <v>-0.43869364176858383</v>
      </c>
      <c r="C20" s="71">
        <v>1.7543000100306294E-2</v>
      </c>
      <c r="D20" s="71">
        <v>3.8176136220807511</v>
      </c>
      <c r="E20" s="71">
        <v>2.3746166286480408</v>
      </c>
      <c r="F20" s="71">
        <v>-0.22744544985869863</v>
      </c>
      <c r="G20" s="71">
        <v>4.5852374085156411</v>
      </c>
      <c r="H20" s="71">
        <v>0.2250472263871206</v>
      </c>
      <c r="I20" s="71">
        <v>1.0499746876170724</v>
      </c>
      <c r="J20" s="71">
        <v>2.1901271705000225</v>
      </c>
      <c r="K20" s="71">
        <v>-0.60823273260549593</v>
      </c>
      <c r="L20" s="71">
        <v>3.1415981276874838</v>
      </c>
      <c r="M20" s="71">
        <v>-1.9651686543110225</v>
      </c>
      <c r="N20" s="71">
        <v>4.3771809800631445</v>
      </c>
      <c r="O20" s="71">
        <v>-0.48627217589817251</v>
      </c>
      <c r="P20" s="71">
        <v>-4.679214910249307</v>
      </c>
      <c r="Q20" s="71">
        <v>-11.256584537908642</v>
      </c>
      <c r="R20" s="71">
        <v>15.462578494058231</v>
      </c>
      <c r="S20" s="71">
        <v>-4.8702736191896907</v>
      </c>
      <c r="T20" s="71">
        <v>0.16961866190274844</v>
      </c>
      <c r="U20" s="71">
        <v>1.5202928572497498</v>
      </c>
      <c r="V20" s="71">
        <v>-2.863021216358963</v>
      </c>
      <c r="W20" s="71">
        <v>6.119175485377415</v>
      </c>
      <c r="X20" s="71">
        <v>4.3143745021885005</v>
      </c>
      <c r="Y20" s="71">
        <v>-1.2901202579787441</v>
      </c>
      <c r="Z20" s="71">
        <v>-3.1770518729020814</v>
      </c>
      <c r="AA20" s="71">
        <v>3.3367764215116003</v>
      </c>
      <c r="AB20" s="71">
        <v>0.84552911677866494</v>
      </c>
      <c r="AC20" s="71">
        <v>6.3805347621483266</v>
      </c>
      <c r="AD20" s="71">
        <v>1.1182459865782812</v>
      </c>
      <c r="AE20" s="71">
        <v>0.75313031641390804</v>
      </c>
      <c r="AF20" s="71">
        <v>0.79173467518922624</v>
      </c>
      <c r="AG20" s="71">
        <v>4.2648724045845077</v>
      </c>
      <c r="AH20" s="71">
        <v>4.1295588982058984</v>
      </c>
      <c r="AI20" s="71">
        <v>-1.3537848810113218</v>
      </c>
      <c r="AJ20" s="71">
        <v>3.5695817474936664</v>
      </c>
      <c r="AK20" s="71">
        <v>0.52534619070141453</v>
      </c>
      <c r="AL20" s="71">
        <v>3.4469711410932691</v>
      </c>
      <c r="AM20" s="71">
        <v>-2.3742601602280478</v>
      </c>
    </row>
    <row r="21" spans="1:39" ht="17.100000000000001" customHeight="1" x14ac:dyDescent="0.2">
      <c r="A21" s="78" t="s">
        <v>53</v>
      </c>
      <c r="B21" s="71">
        <v>0.55858230687253485</v>
      </c>
      <c r="C21" s="71">
        <v>1.4373278306887949</v>
      </c>
      <c r="D21" s="71">
        <v>1.7765329699522825</v>
      </c>
      <c r="E21" s="71">
        <v>4.0619785866288227</v>
      </c>
      <c r="F21" s="71">
        <v>3.5895426900430794</v>
      </c>
      <c r="G21" s="71">
        <v>2.1685708464222353</v>
      </c>
      <c r="H21" s="71">
        <v>1.4898704843865129</v>
      </c>
      <c r="I21" s="71">
        <v>2.1327070240924062</v>
      </c>
      <c r="J21" s="71">
        <v>-1.9987232637855401</v>
      </c>
      <c r="K21" s="71">
        <v>-1.1354408981977149</v>
      </c>
      <c r="L21" s="71">
        <v>0.57619865108626822</v>
      </c>
      <c r="M21" s="71">
        <v>2.1117404823920882</v>
      </c>
      <c r="N21" s="71">
        <v>3.7912488482621853</v>
      </c>
      <c r="O21" s="71">
        <v>-4.7742080334055252</v>
      </c>
      <c r="P21" s="71">
        <v>-4.2168864193684268</v>
      </c>
      <c r="Q21" s="71">
        <v>-5.2481283814187041</v>
      </c>
      <c r="R21" s="71">
        <v>9.0425364488205595</v>
      </c>
      <c r="S21" s="71">
        <v>-2.2363855430411639</v>
      </c>
      <c r="T21" s="71">
        <v>-0.71519456574978824</v>
      </c>
      <c r="U21" s="71">
        <v>2.6148897254572923</v>
      </c>
      <c r="V21" s="71">
        <v>-6.9034510194179504</v>
      </c>
      <c r="W21" s="71">
        <v>2.5162965953459349</v>
      </c>
      <c r="X21" s="71">
        <v>4.5226419880914248</v>
      </c>
      <c r="Y21" s="71">
        <v>-7.6314585584148498</v>
      </c>
      <c r="Z21" s="71">
        <v>-4.4238080149554326</v>
      </c>
      <c r="AA21" s="71">
        <v>5.3279701011974545</v>
      </c>
      <c r="AB21" s="71">
        <v>-3.3911524337360888</v>
      </c>
      <c r="AC21" s="71">
        <v>0.26752370401970094</v>
      </c>
      <c r="AD21" s="71">
        <v>5.047238360634676</v>
      </c>
      <c r="AE21" s="71">
        <v>4.1526132424090978</v>
      </c>
      <c r="AF21" s="71">
        <v>2.2273257836492144</v>
      </c>
      <c r="AG21" s="71">
        <v>3.900683510527414</v>
      </c>
      <c r="AH21" s="71">
        <v>3.6986730678211011</v>
      </c>
      <c r="AI21" s="71">
        <v>-0.53375955373838879</v>
      </c>
      <c r="AJ21" s="71">
        <v>5.45318444323033</v>
      </c>
      <c r="AK21" s="71">
        <v>3.0838299383826984</v>
      </c>
      <c r="AL21" s="71">
        <v>-0.56822815882743294</v>
      </c>
      <c r="AM21" s="71">
        <v>3.5338073896586053</v>
      </c>
    </row>
    <row r="22" spans="1:39" ht="17.100000000000001" customHeight="1" x14ac:dyDescent="0.2">
      <c r="A22" s="78" t="s">
        <v>55</v>
      </c>
      <c r="B22" s="71">
        <v>11.733701193783785</v>
      </c>
      <c r="C22" s="71">
        <v>6.0731005040311592</v>
      </c>
      <c r="D22" s="71">
        <v>1.6993640922664088</v>
      </c>
      <c r="E22" s="71">
        <v>6.3801536026276473</v>
      </c>
      <c r="F22" s="71">
        <v>3.3527544235320894</v>
      </c>
      <c r="G22" s="71">
        <v>-0.50482045156269306</v>
      </c>
      <c r="H22" s="71">
        <v>0.57980033031772571</v>
      </c>
      <c r="I22" s="71">
        <v>-0.91586095658483524</v>
      </c>
      <c r="J22" s="71">
        <v>1.6919661138401709</v>
      </c>
      <c r="K22" s="71">
        <v>-2.0911914559433642</v>
      </c>
      <c r="L22" s="71">
        <v>1.3864426542564257</v>
      </c>
      <c r="M22" s="71">
        <v>-7.5578279004173687E-2</v>
      </c>
      <c r="N22" s="71">
        <v>8.2793989409850397</v>
      </c>
      <c r="O22" s="71">
        <v>-1.2240806085739075</v>
      </c>
      <c r="P22" s="71">
        <v>-7.8409121931794505</v>
      </c>
      <c r="Q22" s="71">
        <v>-46.440709633704223</v>
      </c>
      <c r="R22" s="71">
        <v>59.309846545306776</v>
      </c>
      <c r="S22" s="71">
        <v>2.4244968786416798</v>
      </c>
      <c r="T22" s="71">
        <v>19.715227652103628</v>
      </c>
      <c r="U22" s="71">
        <v>-12.272478212515914</v>
      </c>
      <c r="V22" s="71">
        <v>-3.8163963931573952</v>
      </c>
      <c r="W22" s="71">
        <v>14.321294174800347</v>
      </c>
      <c r="X22" s="71">
        <v>-14.242789637160502</v>
      </c>
      <c r="Y22" s="71">
        <v>-3.1001147536515616</v>
      </c>
      <c r="Z22" s="71">
        <v>6.870912024511755</v>
      </c>
      <c r="AA22" s="71">
        <v>13.826278250175283</v>
      </c>
      <c r="AB22" s="71">
        <v>-1.5088992982229432</v>
      </c>
      <c r="AC22" s="71">
        <v>10.163838143820382</v>
      </c>
      <c r="AD22" s="71">
        <v>-1.5318407131786449</v>
      </c>
      <c r="AE22" s="71">
        <v>-5.2473558781516605</v>
      </c>
      <c r="AF22" s="71">
        <v>10.789448472970498</v>
      </c>
      <c r="AG22" s="71">
        <v>13.484882919432728</v>
      </c>
      <c r="AH22" s="71">
        <v>-6.0464975263936793</v>
      </c>
      <c r="AI22" s="71">
        <v>1.7880186219079164</v>
      </c>
      <c r="AJ22" s="71">
        <v>4.4648756443479209</v>
      </c>
      <c r="AK22" s="71">
        <v>-17.557003622376367</v>
      </c>
      <c r="AL22" s="71">
        <v>32.537816446310487</v>
      </c>
      <c r="AM22" s="71">
        <v>3.0640588101277233</v>
      </c>
    </row>
    <row r="23" spans="1:39" ht="17.100000000000001" customHeight="1" x14ac:dyDescent="0.2">
      <c r="A23" s="78" t="s">
        <v>54</v>
      </c>
      <c r="B23" s="71">
        <v>-3.6262198764529519</v>
      </c>
      <c r="C23" s="71">
        <v>6.4661486974049387</v>
      </c>
      <c r="D23" s="71">
        <v>5.0771335262302264</v>
      </c>
      <c r="E23" s="71">
        <v>1.6052899674121601</v>
      </c>
      <c r="F23" s="71">
        <v>0.55302842929678686</v>
      </c>
      <c r="G23" s="71">
        <v>3.4620465017303204</v>
      </c>
      <c r="H23" s="71">
        <v>4.1003969754358272</v>
      </c>
      <c r="I23" s="71">
        <v>-1.34877155533486</v>
      </c>
      <c r="J23" s="71">
        <v>-8.7910564718461597</v>
      </c>
      <c r="K23" s="71">
        <v>-3.3864910163993067</v>
      </c>
      <c r="L23" s="71">
        <v>2.3447593923352272</v>
      </c>
      <c r="M23" s="71">
        <v>6.7745707871798677</v>
      </c>
      <c r="N23" s="71">
        <v>13.766827862041264</v>
      </c>
      <c r="O23" s="71">
        <v>5.9357984338823444</v>
      </c>
      <c r="P23" s="71">
        <v>-6.4413195576370708</v>
      </c>
      <c r="Q23" s="71">
        <v>-4.6358724590850215</v>
      </c>
      <c r="R23" s="71">
        <v>6.2194054957360523</v>
      </c>
      <c r="S23" s="71">
        <v>7.3639780968548507</v>
      </c>
      <c r="T23" s="71">
        <v>7.5840673051168928</v>
      </c>
      <c r="U23" s="71">
        <v>5.5697669805811589</v>
      </c>
      <c r="V23" s="71">
        <v>-6.6740083121930365</v>
      </c>
      <c r="W23" s="71">
        <v>4.0722976124239363</v>
      </c>
      <c r="X23" s="71">
        <v>2.682678740566713</v>
      </c>
      <c r="Y23" s="71">
        <v>1.8459318299433924</v>
      </c>
      <c r="Z23" s="71">
        <v>-3.8001336991351886</v>
      </c>
      <c r="AA23" s="71">
        <v>5.0331882550479934</v>
      </c>
      <c r="AB23" s="71">
        <v>9.201029395961303</v>
      </c>
      <c r="AC23" s="71">
        <v>6.7547706256319229</v>
      </c>
      <c r="AD23" s="71">
        <v>3.6698256151774578</v>
      </c>
      <c r="AE23" s="71">
        <v>-2.4360178826435264</v>
      </c>
      <c r="AF23" s="71">
        <v>-6.1719721862594561</v>
      </c>
      <c r="AG23" s="71">
        <v>-12.861354396250125</v>
      </c>
      <c r="AH23" s="71">
        <v>26.10490402676988</v>
      </c>
      <c r="AI23" s="71">
        <v>-4.6843920563824355</v>
      </c>
      <c r="AJ23" s="71">
        <v>11.508152541391325</v>
      </c>
      <c r="AK23" s="71">
        <v>-15.590219831750085</v>
      </c>
      <c r="AL23" s="71">
        <v>5.0958588564903762</v>
      </c>
      <c r="AM23" s="71">
        <v>5.3919425234641549</v>
      </c>
    </row>
    <row r="24" spans="1:39" ht="17.100000000000001" customHeight="1" x14ac:dyDescent="0.2">
      <c r="A24" s="78" t="s">
        <v>72</v>
      </c>
      <c r="B24" s="71">
        <v>-3.93304792332827</v>
      </c>
      <c r="C24" s="71">
        <v>-1.3070731750060904</v>
      </c>
      <c r="D24" s="71">
        <v>7.3229176864452405</v>
      </c>
      <c r="E24" s="71">
        <v>0.6155724489103287</v>
      </c>
      <c r="F24" s="71">
        <v>-2.0914435841162704</v>
      </c>
      <c r="G24" s="71">
        <v>3.2563782713704637</v>
      </c>
      <c r="H24" s="71">
        <v>-6.8483737633921908</v>
      </c>
      <c r="I24" s="71">
        <v>7.7502117090711753</v>
      </c>
      <c r="J24" s="71">
        <v>0.82474788424635737</v>
      </c>
      <c r="K24" s="71">
        <v>5.2001912600072142</v>
      </c>
      <c r="L24" s="71">
        <v>3.357980312551323</v>
      </c>
      <c r="M24" s="71">
        <v>5.0110719175921803</v>
      </c>
      <c r="N24" s="71">
        <v>5.8914298971060708</v>
      </c>
      <c r="O24" s="71">
        <v>2.5286513258377052</v>
      </c>
      <c r="P24" s="71">
        <v>-3.9548588640964222</v>
      </c>
      <c r="Q24" s="71">
        <v>-11.720839058475896</v>
      </c>
      <c r="R24" s="71">
        <v>18.924050083513432</v>
      </c>
      <c r="S24" s="71">
        <v>-3.1881856169295397</v>
      </c>
      <c r="T24" s="71">
        <v>9.4932121246489984</v>
      </c>
      <c r="U24" s="71">
        <v>-3.3032152083962596</v>
      </c>
      <c r="V24" s="71">
        <v>-1.9001676504519671</v>
      </c>
      <c r="W24" s="71">
        <v>-1.6839216307641958</v>
      </c>
      <c r="X24" s="71">
        <v>16.045152763392402</v>
      </c>
      <c r="Y24" s="71">
        <v>-4.483235220836967</v>
      </c>
      <c r="Z24" s="71">
        <v>-5.7536735125139682</v>
      </c>
      <c r="AA24" s="71">
        <v>8.8926346090467021</v>
      </c>
      <c r="AB24" s="71">
        <v>-15.386416685552506</v>
      </c>
      <c r="AC24" s="71">
        <v>21.369897176700992</v>
      </c>
      <c r="AD24" s="71">
        <v>-8.8424905888029866</v>
      </c>
      <c r="AE24" s="71">
        <v>4.8913437264118675</v>
      </c>
      <c r="AF24" s="71">
        <v>-7.1477383213565222</v>
      </c>
      <c r="AG24" s="71">
        <v>13.49803935668643</v>
      </c>
      <c r="AH24" s="71">
        <v>0.44819904655131193</v>
      </c>
      <c r="AI24" s="71">
        <v>-4.3074284543227144</v>
      </c>
      <c r="AJ24" s="71">
        <v>-1.7071965849957293</v>
      </c>
      <c r="AK24" s="71">
        <v>6.5752815662647235</v>
      </c>
      <c r="AL24" s="71">
        <v>7.3465561138740254</v>
      </c>
      <c r="AM24" s="71">
        <v>-4.286504836878624</v>
      </c>
    </row>
    <row r="25" spans="1:39" ht="17.100000000000001" customHeight="1" x14ac:dyDescent="0.2">
      <c r="A25" s="78" t="s">
        <v>14</v>
      </c>
      <c r="B25" s="71">
        <v>-1.3762217804566657</v>
      </c>
      <c r="C25" s="71">
        <v>1.0530937369469529</v>
      </c>
      <c r="D25" s="71">
        <v>2.2411348744288295</v>
      </c>
      <c r="E25" s="71">
        <v>3.605534056976456</v>
      </c>
      <c r="F25" s="71">
        <v>2.3052769400778494</v>
      </c>
      <c r="G25" s="71">
        <v>4.7558126173200987</v>
      </c>
      <c r="H25" s="71">
        <v>1.0423496910229257</v>
      </c>
      <c r="I25" s="71">
        <v>2.6117275803851037</v>
      </c>
      <c r="J25" s="71">
        <v>5.1602723076589863</v>
      </c>
      <c r="K25" s="71">
        <v>1.2380718354837894</v>
      </c>
      <c r="L25" s="71">
        <v>1.0905435743932435</v>
      </c>
      <c r="M25" s="71">
        <v>-1.6260937433516975</v>
      </c>
      <c r="N25" s="71">
        <v>3.9253289763668375</v>
      </c>
      <c r="O25" s="71">
        <v>-2.0464129250482799</v>
      </c>
      <c r="P25" s="71">
        <v>5.9730797177908634</v>
      </c>
      <c r="Q25" s="71">
        <v>0.56831970416675315</v>
      </c>
      <c r="R25" s="71">
        <v>-0.49796767153402755</v>
      </c>
      <c r="S25" s="71">
        <v>0.27646563749814668</v>
      </c>
      <c r="T25" s="71">
        <v>1.2811820025978138</v>
      </c>
      <c r="U25" s="71">
        <v>2.7122830527134933</v>
      </c>
      <c r="V25" s="71">
        <v>2.5731976934601608</v>
      </c>
      <c r="W25" s="71">
        <v>2.8327578319561342</v>
      </c>
      <c r="X25" s="71">
        <v>1.500887508750437</v>
      </c>
      <c r="Y25" s="71">
        <v>1.9704193418740301</v>
      </c>
      <c r="Z25" s="71">
        <v>2.1794279099752956</v>
      </c>
      <c r="AA25" s="71">
        <v>1.2725728647426715</v>
      </c>
      <c r="AB25" s="71">
        <v>0.85675517242742583</v>
      </c>
      <c r="AC25" s="71">
        <v>3.0232586853121468</v>
      </c>
      <c r="AD25" s="71">
        <v>2.0312131729375293</v>
      </c>
      <c r="AE25" s="71">
        <v>2.2383119505201998</v>
      </c>
      <c r="AF25" s="71">
        <v>1.0476861445010366</v>
      </c>
      <c r="AG25" s="71">
        <v>-3.5189092660870003E-3</v>
      </c>
      <c r="AH25" s="71">
        <v>0.13662028709104934</v>
      </c>
      <c r="AI25" s="71">
        <v>1.868157844675622</v>
      </c>
      <c r="AJ25" s="71">
        <v>4.6970664484104141</v>
      </c>
      <c r="AK25" s="71">
        <v>-0.57022420585528533</v>
      </c>
      <c r="AL25" s="71">
        <v>2.0208411610338706</v>
      </c>
      <c r="AM25" s="71">
        <v>-3.0108664882955161E-2</v>
      </c>
    </row>
    <row r="26" spans="1:39" ht="17.100000000000001" customHeight="1" x14ac:dyDescent="0.2">
      <c r="A26" s="78" t="s">
        <v>56</v>
      </c>
      <c r="B26" s="71">
        <v>-2.8912518341009608</v>
      </c>
      <c r="C26" s="71">
        <v>-10.990147560469033</v>
      </c>
      <c r="D26" s="71">
        <v>-7.0875089577646211</v>
      </c>
      <c r="E26" s="71">
        <v>2.2152852782481913</v>
      </c>
      <c r="F26" s="71">
        <v>11.04825671066445</v>
      </c>
      <c r="G26" s="71">
        <v>-0.13954676272539546</v>
      </c>
      <c r="H26" s="71">
        <v>2.037745867771501</v>
      </c>
      <c r="I26" s="71">
        <v>3.3603935320424716</v>
      </c>
      <c r="J26" s="71">
        <v>-2.007738345022636</v>
      </c>
      <c r="K26" s="71">
        <v>-7.674688020865494</v>
      </c>
      <c r="L26" s="71">
        <v>16.113352872978083</v>
      </c>
      <c r="M26" s="71">
        <v>11.146391399611488</v>
      </c>
      <c r="N26" s="71">
        <v>12.76587029748506</v>
      </c>
      <c r="O26" s="71">
        <v>-11.300888691084499</v>
      </c>
      <c r="P26" s="71">
        <v>-33.071879713745624</v>
      </c>
      <c r="Q26" s="71">
        <v>21.014748732252507</v>
      </c>
      <c r="R26" s="71">
        <v>-0.27495659783811632</v>
      </c>
      <c r="S26" s="71">
        <v>13.578292274542481</v>
      </c>
      <c r="T26" s="71">
        <v>8.7811965893879407</v>
      </c>
      <c r="U26" s="71">
        <v>-4.442566795558589</v>
      </c>
      <c r="V26" s="71">
        <v>13.674921860171896</v>
      </c>
      <c r="W26" s="71">
        <v>-10.851036531225356</v>
      </c>
      <c r="X26" s="71">
        <v>-10.770110317079451</v>
      </c>
      <c r="Y26" s="71">
        <v>1.7064593555791818</v>
      </c>
      <c r="Z26" s="71">
        <v>85.594261440122693</v>
      </c>
      <c r="AA26" s="71">
        <v>-29.644610305557627</v>
      </c>
      <c r="AB26" s="71">
        <v>-4.1495681626862897</v>
      </c>
      <c r="AC26" s="71">
        <v>-7.8512409706569697</v>
      </c>
      <c r="AD26" s="71">
        <v>-1.4415298808306609</v>
      </c>
      <c r="AE26" s="71">
        <v>69.144476179770294</v>
      </c>
      <c r="AF26" s="71">
        <v>-27.964456844867335</v>
      </c>
      <c r="AG26" s="71">
        <v>-3.6469867215254803</v>
      </c>
      <c r="AH26" s="71">
        <v>-7.331558608454614</v>
      </c>
      <c r="AI26" s="71">
        <v>16.526167543638781</v>
      </c>
      <c r="AJ26" s="71">
        <v>10.575681082725797</v>
      </c>
      <c r="AK26" s="71">
        <v>0.64559168728060001</v>
      </c>
      <c r="AL26" s="71">
        <v>-16.659535699203744</v>
      </c>
      <c r="AM26" s="71">
        <v>-14.076970699633884</v>
      </c>
    </row>
    <row r="27" spans="1:39" ht="17.100000000000001" customHeight="1" x14ac:dyDescent="0.2">
      <c r="A27" s="78" t="s">
        <v>57</v>
      </c>
      <c r="B27" s="71">
        <v>2.3790234989644166</v>
      </c>
      <c r="C27" s="71">
        <v>1.4056314619811161</v>
      </c>
      <c r="D27" s="71">
        <v>0.81697120815640289</v>
      </c>
      <c r="E27" s="71">
        <v>0.67998748784190433</v>
      </c>
      <c r="F27" s="71">
        <v>0.96149547833619398</v>
      </c>
      <c r="G27" s="71">
        <v>7.1848577761657317E-2</v>
      </c>
      <c r="H27" s="71">
        <v>2.8494912482258661</v>
      </c>
      <c r="I27" s="71">
        <v>5.4377657417157499</v>
      </c>
      <c r="J27" s="71">
        <v>5.2253095296780794</v>
      </c>
      <c r="K27" s="71">
        <v>3.2420527246431963</v>
      </c>
      <c r="L27" s="71">
        <v>3.687804731959865</v>
      </c>
      <c r="M27" s="71">
        <v>4.7635997292696519</v>
      </c>
      <c r="N27" s="71">
        <v>2.947382305681745</v>
      </c>
      <c r="O27" s="71">
        <v>3.1433422258819954</v>
      </c>
      <c r="P27" s="71">
        <v>-8.5602891993867161</v>
      </c>
      <c r="Q27" s="71">
        <v>1.3667988476063764</v>
      </c>
      <c r="R27" s="71">
        <v>3.6933745495437931</v>
      </c>
      <c r="S27" s="71">
        <v>2.2582197550688354</v>
      </c>
      <c r="T27" s="71">
        <v>0.29327871991504662</v>
      </c>
      <c r="U27" s="71">
        <v>-1.8082847309013439</v>
      </c>
      <c r="V27" s="71">
        <v>1.6505245897712184</v>
      </c>
      <c r="W27" s="71">
        <v>2.8242928104747822</v>
      </c>
      <c r="X27" s="71">
        <v>-0.12016057068504615</v>
      </c>
      <c r="Y27" s="71">
        <v>1.847989921466997</v>
      </c>
      <c r="Z27" s="71">
        <v>13.636532678533264</v>
      </c>
      <c r="AA27" s="71">
        <v>-5.169658398573862E-2</v>
      </c>
      <c r="AB27" s="71">
        <v>3.9101194727815924</v>
      </c>
      <c r="AC27" s="71">
        <v>-1.1185419802057672</v>
      </c>
      <c r="AD27" s="71">
        <v>-2.2847402633047076</v>
      </c>
      <c r="AE27" s="71">
        <v>-1.0292762699530722</v>
      </c>
      <c r="AF27" s="71">
        <v>11.388218918764936</v>
      </c>
      <c r="AG27" s="71">
        <v>-2.817645677438696E-2</v>
      </c>
      <c r="AH27" s="71">
        <v>-6.7745237715732038</v>
      </c>
      <c r="AI27" s="71">
        <v>0.69936345135304112</v>
      </c>
      <c r="AJ27" s="71">
        <v>18.448211973579799</v>
      </c>
      <c r="AK27" s="71">
        <v>-10.295473869012117</v>
      </c>
      <c r="AL27" s="71">
        <v>-0.29327357145024768</v>
      </c>
      <c r="AM27" s="71">
        <v>30.10485110404111</v>
      </c>
    </row>
    <row r="28" spans="1:39" ht="17.100000000000001" customHeight="1" x14ac:dyDescent="0.2">
      <c r="A28" s="78" t="s">
        <v>15</v>
      </c>
      <c r="B28" s="71">
        <v>0.20781710877566528</v>
      </c>
      <c r="C28" s="71">
        <v>3.2028579366729648</v>
      </c>
      <c r="D28" s="71">
        <v>5.1628189878586195</v>
      </c>
      <c r="E28" s="71">
        <v>8.8435855680283559</v>
      </c>
      <c r="F28" s="71">
        <v>1.1615594232142534</v>
      </c>
      <c r="G28" s="71">
        <v>-0.18036294019579957</v>
      </c>
      <c r="H28" s="71">
        <v>-1.6567051114545261</v>
      </c>
      <c r="I28" s="71">
        <v>-2.4984463230905085</v>
      </c>
      <c r="J28" s="71">
        <v>4.7183193291252756</v>
      </c>
      <c r="K28" s="71">
        <v>-2.028455713439592</v>
      </c>
      <c r="L28" s="71">
        <v>4.9336981516630241</v>
      </c>
      <c r="M28" s="71">
        <v>6.0368248185217022</v>
      </c>
      <c r="N28" s="71">
        <v>4.3419148057564527</v>
      </c>
      <c r="O28" s="71">
        <v>4.6545200150983845</v>
      </c>
      <c r="P28" s="71">
        <v>0.49305751121335728</v>
      </c>
      <c r="Q28" s="71">
        <v>2.9928425356161137</v>
      </c>
      <c r="R28" s="71">
        <v>3.8689116314407412</v>
      </c>
      <c r="S28" s="71">
        <v>2.6785637957402075</v>
      </c>
      <c r="T28" s="71">
        <v>12.332510857168089</v>
      </c>
      <c r="U28" s="71">
        <v>-13.566251896839665</v>
      </c>
      <c r="V28" s="71">
        <v>6.9372324796984852</v>
      </c>
      <c r="W28" s="71">
        <v>-0.14295366927057351</v>
      </c>
      <c r="X28" s="71">
        <v>5.000785791418294</v>
      </c>
      <c r="Y28" s="71">
        <v>-4.0482308157880116</v>
      </c>
      <c r="Z28" s="71">
        <v>7.937216648553358</v>
      </c>
      <c r="AA28" s="71">
        <v>-4.0425170690431056</v>
      </c>
      <c r="AB28" s="71">
        <v>-7.2271079018049527</v>
      </c>
      <c r="AC28" s="71">
        <v>3.5637976522649994</v>
      </c>
      <c r="AD28" s="71">
        <v>-9.7885236261621493</v>
      </c>
      <c r="AE28" s="71">
        <v>22.624990924962638</v>
      </c>
      <c r="AF28" s="71">
        <v>0.17691039391871666</v>
      </c>
      <c r="AG28" s="71">
        <v>12.75929552042172</v>
      </c>
      <c r="AH28" s="71">
        <v>-24.873916041736134</v>
      </c>
      <c r="AI28" s="71">
        <v>23.339066729635704</v>
      </c>
      <c r="AJ28" s="71">
        <v>2.9859215045610954</v>
      </c>
      <c r="AK28" s="71">
        <v>4.9772863880646279</v>
      </c>
      <c r="AL28" s="71">
        <v>-28.199420423701483</v>
      </c>
      <c r="AM28" s="71">
        <v>39.364626435123064</v>
      </c>
    </row>
    <row r="29" spans="1:39" ht="17.100000000000001" customHeight="1" x14ac:dyDescent="0.2">
      <c r="A29" s="78" t="s">
        <v>16</v>
      </c>
      <c r="B29" s="71">
        <v>-0.46636603094760698</v>
      </c>
      <c r="C29" s="71">
        <v>-5.5677506047223773</v>
      </c>
      <c r="D29" s="71">
        <v>-3.1043775713678778</v>
      </c>
      <c r="E29" s="71">
        <v>3.0880623967278753</v>
      </c>
      <c r="F29" s="71">
        <v>6.4334591737419844</v>
      </c>
      <c r="G29" s="71">
        <v>1.333211154112357</v>
      </c>
      <c r="H29" s="71">
        <v>0.46782311139694777</v>
      </c>
      <c r="I29" s="71">
        <v>-0.47412008665601579</v>
      </c>
      <c r="J29" s="71">
        <v>9.6183659651758013</v>
      </c>
      <c r="K29" s="71">
        <v>3.7856737806258201</v>
      </c>
      <c r="L29" s="71">
        <v>-4.3280155551534865</v>
      </c>
      <c r="M29" s="71">
        <v>-5.0474373581935295</v>
      </c>
      <c r="N29" s="71">
        <v>-2.5584042775842031</v>
      </c>
      <c r="O29" s="71">
        <v>8.1907827625436589</v>
      </c>
      <c r="P29" s="71">
        <v>0.82686351555791848</v>
      </c>
      <c r="Q29" s="71">
        <v>-2.3488246935978618</v>
      </c>
      <c r="R29" s="71">
        <v>-18.392520334270234</v>
      </c>
      <c r="S29" s="71">
        <v>16.79328532139419</v>
      </c>
      <c r="T29" s="71">
        <v>5.7912393583936517</v>
      </c>
      <c r="U29" s="71">
        <v>3.0599685674179256</v>
      </c>
      <c r="V29" s="71">
        <v>-11.960059242082133</v>
      </c>
      <c r="W29" s="71">
        <v>3.0154517638876444</v>
      </c>
      <c r="X29" s="71">
        <v>12.802149393440022</v>
      </c>
      <c r="Y29" s="71">
        <v>-10.329427135860158</v>
      </c>
      <c r="Z29" s="71">
        <v>6.9264593838445299</v>
      </c>
      <c r="AA29" s="71">
        <v>-6.7959669481794771</v>
      </c>
      <c r="AB29" s="71">
        <v>3.0230096776787896</v>
      </c>
      <c r="AC29" s="71">
        <v>7.7046486927648816</v>
      </c>
      <c r="AD29" s="71">
        <v>4.641104701914589</v>
      </c>
      <c r="AE29" s="71">
        <v>-6.2667504958881182</v>
      </c>
      <c r="AF29" s="71">
        <v>-1.4151100590051424</v>
      </c>
      <c r="AG29" s="71">
        <v>-0.21942757498947252</v>
      </c>
      <c r="AH29" s="71">
        <v>4.4514913004925605</v>
      </c>
      <c r="AI29" s="71">
        <v>2.4747685141847775</v>
      </c>
      <c r="AJ29" s="71">
        <v>0.52438517046791144</v>
      </c>
      <c r="AK29" s="71">
        <v>5.2122224775827952</v>
      </c>
      <c r="AL29" s="71">
        <v>-3.31657743756677</v>
      </c>
      <c r="AM29" s="71">
        <v>7.0124093131658904</v>
      </c>
    </row>
    <row r="30" spans="1:39" ht="17.100000000000001" customHeight="1" x14ac:dyDescent="0.2">
      <c r="A30" s="78" t="s">
        <v>58</v>
      </c>
      <c r="B30" s="71">
        <v>-0.98114687196299011</v>
      </c>
      <c r="C30" s="71">
        <v>0.50633645216309198</v>
      </c>
      <c r="D30" s="71">
        <v>3.4599984439924736</v>
      </c>
      <c r="E30" s="71">
        <v>7.2280880599354003</v>
      </c>
      <c r="F30" s="71">
        <v>5.8596843619905359</v>
      </c>
      <c r="G30" s="71">
        <v>3.4643201923212574</v>
      </c>
      <c r="H30" s="71">
        <v>1.3251713255107544</v>
      </c>
      <c r="I30" s="71">
        <v>-1.4732019299493415</v>
      </c>
      <c r="J30" s="71">
        <v>5.5520752384889738</v>
      </c>
      <c r="K30" s="71">
        <v>-3.1723698873811768</v>
      </c>
      <c r="L30" s="71">
        <v>1.6816487748013031</v>
      </c>
      <c r="M30" s="71">
        <v>3.1250877578240965</v>
      </c>
      <c r="N30" s="71">
        <v>0.95934838492213181</v>
      </c>
      <c r="O30" s="71">
        <v>-0.81304792748220223</v>
      </c>
      <c r="P30" s="71">
        <v>-0.17877804542298925</v>
      </c>
      <c r="Q30" s="71">
        <v>-6.9557534581293101</v>
      </c>
      <c r="R30" s="71">
        <v>19.646962996819319</v>
      </c>
      <c r="S30" s="71">
        <v>-6.2816294490055551</v>
      </c>
      <c r="T30" s="71">
        <v>-2.9504701406475542</v>
      </c>
      <c r="U30" s="71">
        <v>3.4770623030337289</v>
      </c>
      <c r="V30" s="71">
        <v>2.9686816491092838</v>
      </c>
      <c r="W30" s="71">
        <v>12.711099592882702</v>
      </c>
      <c r="X30" s="71">
        <v>-4.3850637559536114</v>
      </c>
      <c r="Y30" s="71">
        <v>-0.55047881754303196</v>
      </c>
      <c r="Z30" s="71">
        <v>5.5683691177584871</v>
      </c>
      <c r="AA30" s="71">
        <v>0.55795021041322723</v>
      </c>
      <c r="AB30" s="71">
        <v>-2.19094982921616</v>
      </c>
      <c r="AC30" s="71">
        <v>-2.6519343465129852</v>
      </c>
      <c r="AD30" s="71">
        <v>-1.3949568442823579</v>
      </c>
      <c r="AE30" s="71">
        <v>3.3935870505093169</v>
      </c>
      <c r="AF30" s="71">
        <v>6.9820868278669623</v>
      </c>
      <c r="AG30" s="71">
        <v>3.3619533855923978</v>
      </c>
      <c r="AH30" s="71">
        <v>-4.9556008168221926</v>
      </c>
      <c r="AI30" s="71">
        <v>1.4807277619359738</v>
      </c>
      <c r="AJ30" s="71">
        <v>-0.52015176484474512</v>
      </c>
      <c r="AK30" s="71">
        <v>-1.4570696823883567</v>
      </c>
      <c r="AL30" s="71">
        <v>5.1662860347426953</v>
      </c>
      <c r="AM30" s="71">
        <v>2.252394650793077</v>
      </c>
    </row>
    <row r="31" spans="1:39" ht="17.100000000000001" customHeight="1" x14ac:dyDescent="0.2">
      <c r="A31" s="78" t="s">
        <v>71</v>
      </c>
      <c r="B31" s="71">
        <v>2.9630799028097288</v>
      </c>
      <c r="C31" s="71">
        <v>9.8384072196676229</v>
      </c>
      <c r="D31" s="71">
        <v>27.890697476833616</v>
      </c>
      <c r="E31" s="71">
        <v>57.359301928018439</v>
      </c>
      <c r="F31" s="71">
        <v>-19.246077166151398</v>
      </c>
      <c r="G31" s="71">
        <v>33.887216605573165</v>
      </c>
      <c r="H31" s="71">
        <v>7.1165028991600598</v>
      </c>
      <c r="I31" s="71">
        <v>5.8258995745808617</v>
      </c>
      <c r="J31" s="71">
        <v>8.1586097754180251</v>
      </c>
      <c r="K31" s="71">
        <v>-4.0766055855845256</v>
      </c>
      <c r="L31" s="71">
        <v>4.8351232098564401</v>
      </c>
      <c r="M31" s="71">
        <v>-3.9248025151641608</v>
      </c>
      <c r="N31" s="71">
        <v>0.37322692715540118</v>
      </c>
      <c r="O31" s="71">
        <v>1.1618578829433623</v>
      </c>
      <c r="P31" s="71">
        <v>-4.5884789022525574</v>
      </c>
      <c r="Q31" s="71">
        <v>-22.892599474387431</v>
      </c>
      <c r="R31" s="71">
        <v>-4.4425586660047927</v>
      </c>
      <c r="S31" s="71">
        <v>13.697855861966657</v>
      </c>
      <c r="T31" s="71">
        <v>-4.2816524686178914</v>
      </c>
      <c r="U31" s="71">
        <v>18.79188788155983</v>
      </c>
      <c r="V31" s="71">
        <v>-1.7764716851141338</v>
      </c>
      <c r="W31" s="71">
        <v>-10.105568218787953</v>
      </c>
      <c r="X31" s="71">
        <v>-17.74796133963601</v>
      </c>
      <c r="Y31" s="71">
        <v>14.305496988251519</v>
      </c>
      <c r="Z31" s="71">
        <v>-26.954594846549142</v>
      </c>
      <c r="AA31" s="71">
        <v>49.356484472217012</v>
      </c>
      <c r="AB31" s="71">
        <v>4.3140408964908339</v>
      </c>
      <c r="AC31" s="71">
        <v>17.249282883421312</v>
      </c>
      <c r="AD31" s="71">
        <v>-7.2336248559309535</v>
      </c>
      <c r="AE31" s="71">
        <v>-15.397766425992209</v>
      </c>
      <c r="AF31" s="71">
        <v>15.487770348843322</v>
      </c>
      <c r="AG31" s="71">
        <v>-5.6245018781339029</v>
      </c>
      <c r="AH31" s="71">
        <v>9.9535696918176662</v>
      </c>
      <c r="AI31" s="71">
        <v>-5.9130347916444332</v>
      </c>
      <c r="AJ31" s="71">
        <v>6.2311389156533892</v>
      </c>
      <c r="AK31" s="71">
        <v>-19.105203603761467</v>
      </c>
      <c r="AL31" s="71">
        <v>21.785246084358121</v>
      </c>
      <c r="AM31" s="71">
        <v>-3.0277765709761484</v>
      </c>
    </row>
    <row r="32" spans="1:39" ht="17.100000000000001" customHeight="1" x14ac:dyDescent="0.2">
      <c r="A32" s="78" t="s">
        <v>17</v>
      </c>
      <c r="B32" s="71">
        <v>-1.5990761082935512</v>
      </c>
      <c r="C32" s="71">
        <v>-2.008294254750298</v>
      </c>
      <c r="D32" s="71">
        <v>-0.21480633743463651</v>
      </c>
      <c r="E32" s="71">
        <v>-1.6375146835300503</v>
      </c>
      <c r="F32" s="71">
        <v>-0.23161074570859919</v>
      </c>
      <c r="G32" s="71">
        <v>0.47027014426332947</v>
      </c>
      <c r="H32" s="71">
        <v>0.69770234784722884</v>
      </c>
      <c r="I32" s="71">
        <v>0.29040484872244754</v>
      </c>
      <c r="J32" s="71">
        <v>2.6319106252105096</v>
      </c>
      <c r="K32" s="71">
        <v>1.1334860654915735</v>
      </c>
      <c r="L32" s="71">
        <v>0.60912939559734092</v>
      </c>
      <c r="M32" s="71">
        <v>0.63986210014157496</v>
      </c>
      <c r="N32" s="71">
        <v>0.11047979876259717</v>
      </c>
      <c r="O32" s="71">
        <v>0.1445796515306963</v>
      </c>
      <c r="P32" s="71">
        <v>8.2678119855583709E-2</v>
      </c>
      <c r="Q32" s="71">
        <v>0.37167010971708159</v>
      </c>
      <c r="R32" s="71">
        <v>0.35227759036910999</v>
      </c>
      <c r="S32" s="71">
        <v>1.2791234549028418</v>
      </c>
      <c r="T32" s="71">
        <v>1.7191540220882651</v>
      </c>
      <c r="U32" s="71">
        <v>1.5538164586021752</v>
      </c>
      <c r="V32" s="71">
        <v>1.0574834399091015</v>
      </c>
      <c r="W32" s="71">
        <v>0.76782835393307547</v>
      </c>
      <c r="X32" s="71">
        <v>0.62977381265778565</v>
      </c>
      <c r="Y32" s="71">
        <v>1.6712136052210225</v>
      </c>
      <c r="Z32" s="71">
        <v>9.6954901773527169E-3</v>
      </c>
      <c r="AA32" s="71">
        <v>0.46684851083511614</v>
      </c>
      <c r="AB32" s="71">
        <v>0.37678095492856833</v>
      </c>
      <c r="AC32" s="71">
        <v>0.39991925045859134</v>
      </c>
      <c r="AD32" s="71">
        <v>0.82634376223977846</v>
      </c>
      <c r="AE32" s="71">
        <v>14.654314394556799</v>
      </c>
      <c r="AF32" s="71">
        <v>-11.707656086687612</v>
      </c>
      <c r="AG32" s="71">
        <v>-12.366005051710861</v>
      </c>
      <c r="AH32" s="71">
        <v>14.395732740829326</v>
      </c>
      <c r="AI32" s="71">
        <v>0.48831073612416453</v>
      </c>
      <c r="AJ32" s="71">
        <v>-0.53777196948427974</v>
      </c>
      <c r="AK32" s="71">
        <v>2.2292878263499905</v>
      </c>
      <c r="AL32" s="71">
        <v>0.42968321195717696</v>
      </c>
      <c r="AM32" s="71">
        <v>-11.526860126192339</v>
      </c>
    </row>
    <row r="33" spans="1:39" ht="17.100000000000001" customHeight="1" x14ac:dyDescent="0.2">
      <c r="A33" s="78" t="s">
        <v>59</v>
      </c>
      <c r="B33" s="71">
        <v>0.75038501306927685</v>
      </c>
      <c r="C33" s="71">
        <v>0.73862216318341112</v>
      </c>
      <c r="D33" s="71">
        <v>0.71161552360636815</v>
      </c>
      <c r="E33" s="71">
        <v>0.7036741616830211</v>
      </c>
      <c r="F33" s="71">
        <v>0.6830466669744073</v>
      </c>
      <c r="G33" s="71">
        <v>0.69055087537457371</v>
      </c>
      <c r="H33" s="71">
        <v>0.68385857193655752</v>
      </c>
      <c r="I33" s="71">
        <v>0.68892014235899524</v>
      </c>
      <c r="J33" s="71">
        <v>0.69297557723417835</v>
      </c>
      <c r="K33" s="71">
        <v>0.69490646257606148</v>
      </c>
      <c r="L33" s="71">
        <v>0.683925673235386</v>
      </c>
      <c r="M33" s="71">
        <v>0.68168851295840049</v>
      </c>
      <c r="N33" s="71">
        <v>0.68787608090434826</v>
      </c>
      <c r="O33" s="71">
        <v>0.68765305063276383</v>
      </c>
      <c r="P33" s="71">
        <v>0.66980461460606211</v>
      </c>
      <c r="Q33" s="71">
        <v>0.66424490407703818</v>
      </c>
      <c r="R33" s="71">
        <v>0.6758300035902165</v>
      </c>
      <c r="S33" s="71">
        <v>0.68111547668798789</v>
      </c>
      <c r="T33" s="71">
        <v>0.68595704559668569</v>
      </c>
      <c r="U33" s="71">
        <v>0.68598894715901082</v>
      </c>
      <c r="V33" s="71">
        <v>0.68558064654389295</v>
      </c>
      <c r="W33" s="71">
        <v>0.68563247449353604</v>
      </c>
      <c r="X33" s="71">
        <v>0.67411590450872083</v>
      </c>
      <c r="Y33" s="71">
        <v>0.6684285346428398</v>
      </c>
      <c r="Z33" s="71">
        <v>0.67131185609576871</v>
      </c>
      <c r="AA33" s="71">
        <v>0.67843888253662499</v>
      </c>
      <c r="AB33" s="71">
        <v>0.68783591183727566</v>
      </c>
      <c r="AC33" s="71">
        <v>0.68994424391886078</v>
      </c>
      <c r="AD33" s="71">
        <v>0.68114069387461562</v>
      </c>
      <c r="AE33" s="71">
        <v>0.68304717899909662</v>
      </c>
      <c r="AF33" s="71">
        <v>0.67737918198624847</v>
      </c>
      <c r="AG33" s="71">
        <v>0.67544161872865605</v>
      </c>
      <c r="AH33" s="71">
        <v>0.66551721647831741</v>
      </c>
      <c r="AI33" s="71">
        <v>0.67294094136802762</v>
      </c>
      <c r="AJ33" s="71">
        <v>0.69181504713993203</v>
      </c>
      <c r="AK33" s="71">
        <v>0.69700211977175019</v>
      </c>
      <c r="AL33" s="71">
        <v>0.66804632561521249</v>
      </c>
      <c r="AM33" s="71">
        <v>2.9148650535693044E-2</v>
      </c>
    </row>
    <row r="34" spans="1:39" ht="17.100000000000001" customHeight="1" x14ac:dyDescent="0.2">
      <c r="A34" s="79"/>
      <c r="B34" s="71"/>
      <c r="C34" s="71"/>
      <c r="D34" s="71"/>
      <c r="E34" s="71"/>
      <c r="F34" s="71"/>
      <c r="G34" s="71"/>
      <c r="H34" s="71"/>
      <c r="I34" s="71"/>
      <c r="J34" s="71"/>
      <c r="K34" s="71"/>
      <c r="L34" s="71"/>
      <c r="M34" s="71"/>
      <c r="N34" s="71"/>
      <c r="O34" s="71"/>
      <c r="P34" s="71"/>
      <c r="Q34" s="71"/>
      <c r="R34" s="71"/>
      <c r="S34" s="71"/>
      <c r="T34" s="71"/>
      <c r="U34" s="71"/>
      <c r="V34" s="71"/>
      <c r="W34" s="71"/>
      <c r="X34" s="71"/>
      <c r="Y34" s="71"/>
      <c r="Z34" s="71"/>
      <c r="AA34" s="71"/>
      <c r="AB34" s="71"/>
      <c r="AC34" s="71"/>
      <c r="AD34" s="71"/>
      <c r="AE34" s="71"/>
      <c r="AF34" s="71"/>
      <c r="AG34" s="71"/>
      <c r="AH34" s="71"/>
      <c r="AI34" s="71"/>
      <c r="AJ34" s="71"/>
      <c r="AK34" s="71"/>
      <c r="AL34" s="71"/>
      <c r="AM34" s="71"/>
    </row>
    <row r="35" spans="1:39" s="86" customFormat="1" ht="17.100000000000001" customHeight="1" x14ac:dyDescent="0.2">
      <c r="A35" s="133" t="s">
        <v>98</v>
      </c>
      <c r="B35" s="145"/>
      <c r="C35" s="145"/>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6"/>
      <c r="AB35" s="146"/>
      <c r="AC35" s="146"/>
      <c r="AD35" s="146"/>
      <c r="AE35" s="146"/>
      <c r="AF35" s="146"/>
      <c r="AG35" s="146"/>
      <c r="AH35" s="146"/>
      <c r="AI35" s="146"/>
      <c r="AJ35" s="146"/>
      <c r="AK35" s="146"/>
      <c r="AL35" s="146"/>
      <c r="AM35" s="146"/>
    </row>
    <row r="36" spans="1:39" s="11" customFormat="1" ht="17.100000000000001" customHeight="1" thickBot="1" x14ac:dyDescent="0.25">
      <c r="A36" s="51" t="s">
        <v>19</v>
      </c>
      <c r="B36" s="106">
        <v>5.8309682522293516</v>
      </c>
      <c r="C36" s="106">
        <v>-4.1539102801352756</v>
      </c>
      <c r="D36" s="106">
        <v>9.100332649350328</v>
      </c>
      <c r="E36" s="106">
        <v>0.45921372733797039</v>
      </c>
      <c r="F36" s="106">
        <v>1.6721227515343884</v>
      </c>
      <c r="G36" s="106">
        <v>-1.1227465076681042</v>
      </c>
      <c r="H36" s="106">
        <v>-1.4245218094258827</v>
      </c>
      <c r="I36" s="106">
        <v>2.6455085804352629</v>
      </c>
      <c r="J36" s="106">
        <v>-0.86586865806682622</v>
      </c>
      <c r="K36" s="106">
        <v>2.8032471730631725</v>
      </c>
      <c r="L36" s="106">
        <v>5.0290772297031383</v>
      </c>
      <c r="M36" s="106">
        <v>-1.5370744908151712</v>
      </c>
      <c r="N36" s="106">
        <v>4.1346239835344356</v>
      </c>
      <c r="O36" s="106">
        <v>1.9679872220325745</v>
      </c>
      <c r="P36" s="106">
        <v>-5.2367754725146654</v>
      </c>
      <c r="Q36" s="106">
        <v>-25.290101242768692</v>
      </c>
      <c r="R36" s="106">
        <v>33.259047032533637</v>
      </c>
      <c r="S36" s="106">
        <v>1.536643756989986</v>
      </c>
      <c r="T36" s="106">
        <v>-4.7389196287390583</v>
      </c>
      <c r="U36" s="106">
        <v>15.123673464783472</v>
      </c>
      <c r="V36" s="106">
        <v>-12.540484340732561</v>
      </c>
      <c r="W36" s="106">
        <v>13.95665588632089</v>
      </c>
      <c r="X36" s="106">
        <v>5.925066070152285</v>
      </c>
      <c r="Y36" s="106">
        <v>-2.5247783218058539</v>
      </c>
      <c r="Z36" s="106">
        <v>-0.7978262847154971</v>
      </c>
      <c r="AA36" s="106">
        <v>3.5285236738612058</v>
      </c>
      <c r="AB36" s="106">
        <v>3.9101277434346438</v>
      </c>
      <c r="AC36" s="106">
        <v>4.2980714163794786</v>
      </c>
      <c r="AD36" s="106">
        <v>0.88644397195893898</v>
      </c>
      <c r="AE36" s="106">
        <v>-1.5961718647509948</v>
      </c>
      <c r="AF36" s="106">
        <v>3.1852689426864478</v>
      </c>
      <c r="AG36" s="106">
        <v>1.4253527475223349</v>
      </c>
      <c r="AH36" s="106">
        <v>6.9685371667532525</v>
      </c>
      <c r="AI36" s="106">
        <v>-2.0594865540110918</v>
      </c>
      <c r="AJ36" s="106">
        <v>-0.71605213424207337</v>
      </c>
      <c r="AK36" s="106">
        <v>3.790470629778997</v>
      </c>
      <c r="AL36" s="106">
        <v>2.2237432975546145</v>
      </c>
      <c r="AM36" s="106">
        <v>1.7813745127096769</v>
      </c>
    </row>
    <row r="37" spans="1:39" x14ac:dyDescent="0.2">
      <c r="A37" s="13" t="s">
        <v>50</v>
      </c>
    </row>
  </sheetData>
  <mergeCells count="10">
    <mergeCell ref="B3:E3"/>
    <mergeCell ref="F3:I3"/>
    <mergeCell ref="J3:M3"/>
    <mergeCell ref="AL3:AM3"/>
    <mergeCell ref="N3:Q3"/>
    <mergeCell ref="AD3:AG3"/>
    <mergeCell ref="Z3:AC3"/>
    <mergeCell ref="V3:Y3"/>
    <mergeCell ref="AH3:AK3"/>
    <mergeCell ref="R3:U3"/>
  </mergeCells>
  <phoneticPr fontId="29" type="noConversion"/>
  <conditionalFormatting sqref="B6:R36">
    <cfRule type="cellIs" dxfId="7" priority="6" operator="lessThan">
      <formula>0</formula>
    </cfRule>
  </conditionalFormatting>
  <conditionalFormatting sqref="P5:R5">
    <cfRule type="cellIs" dxfId="6" priority="4" operator="lessThan">
      <formula>0</formula>
    </cfRule>
  </conditionalFormatting>
  <conditionalFormatting sqref="S5:AM36">
    <cfRule type="cellIs" dxfId="5" priority="2" operator="lessThan">
      <formula>0</formula>
    </cfRule>
  </conditionalFormatting>
  <conditionalFormatting sqref="A1:XFD1048576">
    <cfRule type="cellIs" dxfId="4" priority="1" operator="lessThan">
      <formula>0</formula>
    </cfRule>
  </conditionalFormatting>
  <pageMargins left="0.51181102362204722" right="0" top="0.51181102362204722" bottom="0" header="0" footer="0"/>
  <pageSetup paperSize="9" scale="4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pageSetUpPr fitToPage="1"/>
  </sheetPr>
  <dimension ref="A1:AM37"/>
  <sheetViews>
    <sheetView showGridLines="0" view="pageBreakPreview" zoomScaleNormal="100" zoomScaleSheetLayoutView="100" workbookViewId="0">
      <pane xSplit="1" ySplit="4" topLeftCell="B13" activePane="bottomRight" state="frozen"/>
      <selection activeCell="BS41" sqref="BS41"/>
      <selection pane="topRight" activeCell="BS41" sqref="BS41"/>
      <selection pane="bottomLeft" activeCell="BS41" sqref="BS41"/>
      <selection pane="bottomRight" activeCell="D7" sqref="D7"/>
    </sheetView>
  </sheetViews>
  <sheetFormatPr defaultColWidth="9.140625" defaultRowHeight="11.25" x14ac:dyDescent="0.2"/>
  <cols>
    <col min="1" max="1" width="26.42578125" style="1" customWidth="1"/>
    <col min="2" max="6" width="6.85546875" style="1" customWidth="1"/>
    <col min="7" max="7" width="8.28515625" style="1" customWidth="1"/>
    <col min="8" max="13" width="7.140625" style="1" customWidth="1"/>
    <col min="14" max="14" width="6.28515625" style="1" customWidth="1"/>
    <col min="15" max="15" width="6" style="1" customWidth="1"/>
    <col min="16" max="16" width="6.7109375" style="1" customWidth="1"/>
    <col min="17" max="17" width="4.85546875" style="1" customWidth="1"/>
    <col min="18" max="21" width="6.5703125" style="1" bestFit="1" customWidth="1"/>
    <col min="22" max="22" width="7.28515625" style="1" customWidth="1"/>
    <col min="23" max="23" width="7.140625" style="1" customWidth="1"/>
    <col min="24" max="24" width="6.85546875" style="1" customWidth="1"/>
    <col min="25" max="25" width="6.5703125" style="1" customWidth="1"/>
    <col min="26" max="26" width="5.85546875" style="1" customWidth="1"/>
    <col min="27" max="27" width="5.5703125" style="1" customWidth="1"/>
    <col min="28" max="28" width="5.28515625" style="1" customWidth="1"/>
    <col min="29" max="29" width="5.7109375" style="1" customWidth="1"/>
    <col min="30" max="30" width="6.5703125" style="1" bestFit="1" customWidth="1"/>
    <col min="31" max="31" width="5.5703125" style="1" customWidth="1"/>
    <col min="32" max="32" width="5.7109375" style="1" customWidth="1"/>
    <col min="33" max="33" width="5.5703125" style="1" customWidth="1"/>
    <col min="34" max="34" width="5.85546875" style="1" bestFit="1" customWidth="1"/>
    <col min="35" max="35" width="6.5703125" style="1" customWidth="1"/>
    <col min="36" max="16384" width="9.140625" style="1"/>
  </cols>
  <sheetData>
    <row r="1" spans="1:39" ht="18.75" customHeight="1" x14ac:dyDescent="0.2">
      <c r="A1" s="31" t="s">
        <v>175</v>
      </c>
      <c r="B1" s="31"/>
      <c r="F1" s="102"/>
      <c r="G1" s="102"/>
    </row>
    <row r="2" spans="1:39" ht="2.25" customHeight="1" thickBot="1" x14ac:dyDescent="0.25">
      <c r="J2" s="121" t="s">
        <v>134</v>
      </c>
      <c r="K2" s="121"/>
      <c r="L2" s="121"/>
    </row>
    <row r="3" spans="1:39" s="82" customFormat="1" ht="12" customHeight="1" x14ac:dyDescent="0.2">
      <c r="A3" s="81"/>
      <c r="B3" s="215" t="s">
        <v>80</v>
      </c>
      <c r="C3" s="215"/>
      <c r="D3" s="215"/>
      <c r="E3" s="215"/>
      <c r="F3" s="215" t="s">
        <v>92</v>
      </c>
      <c r="G3" s="215"/>
      <c r="H3" s="215"/>
      <c r="I3" s="215"/>
      <c r="J3" s="215" t="s">
        <v>134</v>
      </c>
      <c r="K3" s="215"/>
      <c r="L3" s="215"/>
      <c r="M3" s="215"/>
      <c r="N3" s="215" t="s">
        <v>136</v>
      </c>
      <c r="O3" s="215"/>
      <c r="P3" s="215"/>
      <c r="Q3" s="215"/>
      <c r="R3" s="216" t="s">
        <v>137</v>
      </c>
      <c r="S3" s="216"/>
      <c r="T3" s="216"/>
      <c r="U3" s="216"/>
      <c r="V3" s="216" t="s">
        <v>138</v>
      </c>
      <c r="W3" s="216"/>
      <c r="X3" s="216"/>
      <c r="Y3" s="216"/>
      <c r="Z3" s="216" t="s">
        <v>139</v>
      </c>
      <c r="AA3" s="216"/>
      <c r="AB3" s="216"/>
      <c r="AC3" s="216"/>
      <c r="AD3" s="216" t="s">
        <v>140</v>
      </c>
      <c r="AE3" s="216"/>
      <c r="AF3" s="216"/>
      <c r="AG3" s="216"/>
      <c r="AH3" s="216" t="s">
        <v>166</v>
      </c>
      <c r="AI3" s="216"/>
      <c r="AJ3" s="216"/>
      <c r="AK3" s="216"/>
      <c r="AL3" s="216" t="s">
        <v>167</v>
      </c>
      <c r="AM3" s="216"/>
    </row>
    <row r="4" spans="1:39" s="86" customFormat="1" ht="12" customHeight="1" x14ac:dyDescent="0.2">
      <c r="A4" s="83"/>
      <c r="B4" s="84" t="s">
        <v>46</v>
      </c>
      <c r="C4" s="84" t="s">
        <v>47</v>
      </c>
      <c r="D4" s="84" t="s">
        <v>48</v>
      </c>
      <c r="E4" s="84" t="s">
        <v>49</v>
      </c>
      <c r="F4" s="85" t="s">
        <v>46</v>
      </c>
      <c r="G4" s="85" t="s">
        <v>47</v>
      </c>
      <c r="H4" s="85" t="s">
        <v>48</v>
      </c>
      <c r="I4" s="85" t="s">
        <v>49</v>
      </c>
      <c r="J4" s="85" t="s">
        <v>46</v>
      </c>
      <c r="K4" s="85" t="s">
        <v>47</v>
      </c>
      <c r="L4" s="85" t="s">
        <v>48</v>
      </c>
      <c r="M4" s="85" t="s">
        <v>49</v>
      </c>
      <c r="N4" s="85" t="s">
        <v>46</v>
      </c>
      <c r="O4" s="85" t="s">
        <v>47</v>
      </c>
      <c r="P4" s="85" t="s">
        <v>48</v>
      </c>
      <c r="Q4" s="85" t="s">
        <v>49</v>
      </c>
      <c r="R4" s="85" t="s">
        <v>46</v>
      </c>
      <c r="S4" s="85" t="s">
        <v>47</v>
      </c>
      <c r="T4" s="85" t="s">
        <v>48</v>
      </c>
      <c r="U4" s="85" t="s">
        <v>49</v>
      </c>
      <c r="V4" s="85" t="s">
        <v>46</v>
      </c>
      <c r="W4" s="85" t="s">
        <v>47</v>
      </c>
      <c r="X4" s="85" t="s">
        <v>48</v>
      </c>
      <c r="Y4" s="85" t="s">
        <v>49</v>
      </c>
      <c r="Z4" s="85" t="s">
        <v>46</v>
      </c>
      <c r="AA4" s="85" t="s">
        <v>47</v>
      </c>
      <c r="AB4" s="85" t="s">
        <v>48</v>
      </c>
      <c r="AC4" s="85" t="s">
        <v>49</v>
      </c>
      <c r="AD4" s="85" t="s">
        <v>46</v>
      </c>
      <c r="AE4" s="85" t="s">
        <v>47</v>
      </c>
      <c r="AF4" s="85" t="s">
        <v>48</v>
      </c>
      <c r="AG4" s="85" t="s">
        <v>49</v>
      </c>
      <c r="AH4" s="85" t="s">
        <v>46</v>
      </c>
      <c r="AI4" s="85" t="s">
        <v>47</v>
      </c>
      <c r="AJ4" s="85" t="s">
        <v>48</v>
      </c>
      <c r="AK4" s="85" t="s">
        <v>49</v>
      </c>
      <c r="AL4" s="85" t="s">
        <v>46</v>
      </c>
      <c r="AM4" s="85" t="s">
        <v>47</v>
      </c>
    </row>
    <row r="5" spans="1:39" s="8" customFormat="1" ht="17.100000000000001" customHeight="1" x14ac:dyDescent="0.2">
      <c r="A5" s="99" t="s">
        <v>97</v>
      </c>
      <c r="B5" s="99">
        <v>0.86546068418358857</v>
      </c>
      <c r="C5" s="99">
        <v>1.5217117350139344</v>
      </c>
      <c r="D5" s="99">
        <v>2.9807703918030004</v>
      </c>
      <c r="E5" s="99">
        <v>0.93312037594219654</v>
      </c>
      <c r="F5" s="99">
        <v>1.4844207361020529</v>
      </c>
      <c r="G5" s="99">
        <v>0.96014432932529159</v>
      </c>
      <c r="H5" s="99">
        <v>2.319993295259378</v>
      </c>
      <c r="I5" s="99">
        <v>0.68300934326656304</v>
      </c>
      <c r="J5" s="99">
        <v>1.8136643795882281</v>
      </c>
      <c r="K5" s="99">
        <v>0.64811637513020792</v>
      </c>
      <c r="L5" s="99">
        <v>4.66929782908554</v>
      </c>
      <c r="M5" s="99">
        <v>-0.59947920139279853</v>
      </c>
      <c r="N5" s="99">
        <v>2.9965019784536522</v>
      </c>
      <c r="O5" s="99">
        <v>1.1424887165306659</v>
      </c>
      <c r="P5" s="99">
        <v>-2.2614196123167449</v>
      </c>
      <c r="Q5" s="99">
        <v>-7.2116803884970579</v>
      </c>
      <c r="R5" s="99">
        <v>7.7549618419040423</v>
      </c>
      <c r="S5" s="99">
        <v>2.2828560542049372</v>
      </c>
      <c r="T5" s="99">
        <v>0.75671459142945596</v>
      </c>
      <c r="U5" s="99">
        <v>1.0728699351722704</v>
      </c>
      <c r="V5" s="99">
        <v>-1.7322537772073776</v>
      </c>
      <c r="W5" s="99">
        <v>4.7668230125173014</v>
      </c>
      <c r="X5" s="99">
        <v>2.2077868322680176</v>
      </c>
      <c r="Y5" s="99">
        <v>0.31372912446881396</v>
      </c>
      <c r="Z5" s="99">
        <v>1.1491280048687404</v>
      </c>
      <c r="AA5" s="99">
        <v>0.89760245851988263</v>
      </c>
      <c r="AB5" s="99">
        <v>-0.1053782261971084</v>
      </c>
      <c r="AC5" s="99">
        <v>3.2714827178336754</v>
      </c>
      <c r="AD5" s="99">
        <v>1.3882041192082168</v>
      </c>
      <c r="AE5" s="99">
        <v>1.4696531862179716</v>
      </c>
      <c r="AF5" s="99">
        <v>0.77952016491103038</v>
      </c>
      <c r="AG5" s="99">
        <v>1.7342643690546664</v>
      </c>
      <c r="AH5" s="99">
        <v>2.1282137000801304</v>
      </c>
      <c r="AI5" s="99">
        <v>0.80694549241022318</v>
      </c>
      <c r="AJ5" s="99">
        <v>3.2672814721974128</v>
      </c>
      <c r="AK5" s="99">
        <v>-0.74864264552772375</v>
      </c>
      <c r="AL5" s="99">
        <v>1.9166270533604644</v>
      </c>
      <c r="AM5" s="99">
        <v>3.962884786420541</v>
      </c>
    </row>
    <row r="6" spans="1:39" s="136" customFormat="1" ht="17.100000000000001" customHeight="1" x14ac:dyDescent="0.2">
      <c r="A6" s="133" t="s">
        <v>96</v>
      </c>
      <c r="B6" s="139">
        <v>-0.22450150019264165</v>
      </c>
      <c r="C6" s="139">
        <v>0.95316221332900353</v>
      </c>
      <c r="D6" s="139">
        <v>0.80991794009583373</v>
      </c>
      <c r="E6" s="139">
        <v>-0.1342016899223146</v>
      </c>
      <c r="F6" s="139">
        <v>0.28288662888763944</v>
      </c>
      <c r="G6" s="139">
        <v>-0.32081288767536376</v>
      </c>
      <c r="H6" s="139">
        <v>1.2355627991807241</v>
      </c>
      <c r="I6" s="139">
        <v>-0.7788574834972215</v>
      </c>
      <c r="J6" s="139">
        <v>0.40959256951683332</v>
      </c>
      <c r="K6" s="139">
        <v>-5.5901228515537341E-3</v>
      </c>
      <c r="L6" s="139">
        <v>2.4949948258607066</v>
      </c>
      <c r="M6" s="139">
        <v>-1.0866663361553361</v>
      </c>
      <c r="N6" s="139">
        <v>-4.9126135783456133E-3</v>
      </c>
      <c r="O6" s="139">
        <v>0.31397691843836328</v>
      </c>
      <c r="P6" s="139">
        <v>0.49799330603598985</v>
      </c>
      <c r="Q6" s="139">
        <v>0.44335127905390653</v>
      </c>
      <c r="R6" s="139">
        <v>-4.9883091165929636E-2</v>
      </c>
      <c r="S6" s="139">
        <v>0.74225736953637445</v>
      </c>
      <c r="T6" s="139">
        <v>-0.89145844617524483</v>
      </c>
      <c r="U6" s="139">
        <v>0.34897269647146001</v>
      </c>
      <c r="V6" s="139">
        <v>0.87115330587140727</v>
      </c>
      <c r="W6" s="139">
        <v>-0.90844264870312275</v>
      </c>
      <c r="X6" s="139">
        <v>1.1835371892392286</v>
      </c>
      <c r="Y6" s="139">
        <v>1.1760501811642832</v>
      </c>
      <c r="Z6" s="139">
        <v>-0.82045936052383972</v>
      </c>
      <c r="AA6" s="139">
        <v>0.99651950212806906</v>
      </c>
      <c r="AB6" s="139">
        <v>-0.36222972311523677</v>
      </c>
      <c r="AC6" s="139">
        <v>-0.38315188856221977</v>
      </c>
      <c r="AD6" s="139">
        <v>0.97158669819340648</v>
      </c>
      <c r="AE6" s="139">
        <v>0.17661750615223004</v>
      </c>
      <c r="AF6" s="139">
        <v>0.45361105588182066</v>
      </c>
      <c r="AG6" s="139">
        <v>0.70440941944232816</v>
      </c>
      <c r="AH6" s="139">
        <v>0.19242377050204357</v>
      </c>
      <c r="AI6" s="139">
        <v>0.30120174327386051</v>
      </c>
      <c r="AJ6" s="139">
        <v>0.80987544846175907</v>
      </c>
      <c r="AK6" s="139">
        <v>-0.49391830573228962</v>
      </c>
      <c r="AL6" s="139">
        <v>0.40018874072526411</v>
      </c>
      <c r="AM6" s="139">
        <v>1.2269843033732586</v>
      </c>
    </row>
    <row r="7" spans="1:39" ht="17.100000000000001" customHeight="1" x14ac:dyDescent="0.2">
      <c r="A7" s="70" t="s">
        <v>1</v>
      </c>
      <c r="B7" s="70">
        <v>-0.31765548133712856</v>
      </c>
      <c r="C7" s="70">
        <v>0.78557828123632167</v>
      </c>
      <c r="D7" s="70">
        <v>-0.20935293701202931</v>
      </c>
      <c r="E7" s="70">
        <v>0.12776493225020175</v>
      </c>
      <c r="F7" s="70">
        <v>7.0609538736185987E-2</v>
      </c>
      <c r="G7" s="70">
        <v>-0.13736402755796623</v>
      </c>
      <c r="H7" s="70">
        <v>-2.0928227235871618E-2</v>
      </c>
      <c r="I7" s="70">
        <v>-4.6215045176045792E-3</v>
      </c>
      <c r="J7" s="70">
        <v>0.15528921660718753</v>
      </c>
      <c r="K7" s="70">
        <v>-9.7784434582996772E-3</v>
      </c>
      <c r="L7" s="70">
        <v>-0.10161474881090846</v>
      </c>
      <c r="M7" s="70">
        <v>0.22281205465925816</v>
      </c>
      <c r="N7" s="70">
        <v>-6.0174430393465442E-2</v>
      </c>
      <c r="O7" s="70">
        <v>0.12818206062457754</v>
      </c>
      <c r="P7" s="70">
        <v>0.10225377754353461</v>
      </c>
      <c r="Q7" s="70">
        <v>-0.1189813467908922</v>
      </c>
      <c r="R7" s="70">
        <v>3.6348464738798734E-2</v>
      </c>
      <c r="S7" s="70">
        <v>0.28233329602810903</v>
      </c>
      <c r="T7" s="70">
        <v>0.10389575955324699</v>
      </c>
      <c r="U7" s="70">
        <v>2.0964933985961113E-2</v>
      </c>
      <c r="V7" s="70">
        <v>0.10246792570976818</v>
      </c>
      <c r="W7" s="70">
        <v>-5.4946709132543084E-2</v>
      </c>
      <c r="X7" s="70">
        <v>-0.20948551570780846</v>
      </c>
      <c r="Y7" s="70">
        <v>0.21637647526403045</v>
      </c>
      <c r="Z7" s="70">
        <v>-2.6858134075376065E-3</v>
      </c>
      <c r="AA7" s="70">
        <v>-0.11160316661455759</v>
      </c>
      <c r="AB7" s="70">
        <v>8.7590460463509254E-2</v>
      </c>
      <c r="AC7" s="70">
        <v>4.2322472585329646E-2</v>
      </c>
      <c r="AD7" s="70">
        <v>0.11936704754420316</v>
      </c>
      <c r="AE7" s="70">
        <v>0.16352866548246409</v>
      </c>
      <c r="AF7" s="70">
        <v>0.10977395055463759</v>
      </c>
      <c r="AG7" s="70">
        <v>-0.17445943014201012</v>
      </c>
      <c r="AH7" s="70">
        <v>0.33116322451087576</v>
      </c>
      <c r="AI7" s="70">
        <v>7.6087112402609784E-3</v>
      </c>
      <c r="AJ7" s="70">
        <v>9.6949234240742144E-2</v>
      </c>
      <c r="AK7" s="70">
        <v>-0.20484098535210826</v>
      </c>
      <c r="AL7" s="70">
        <v>0.30810405090376275</v>
      </c>
      <c r="AM7" s="70">
        <v>0.1571659609046438</v>
      </c>
    </row>
    <row r="8" spans="1:39" ht="17.100000000000001" customHeight="1" x14ac:dyDescent="0.2">
      <c r="A8" s="70" t="s">
        <v>2</v>
      </c>
      <c r="B8" s="70">
        <v>-6.9871473037423804E-2</v>
      </c>
      <c r="C8" s="70">
        <v>0.10955672777265238</v>
      </c>
      <c r="D8" s="70">
        <v>0.98277620740306049</v>
      </c>
      <c r="E8" s="70">
        <v>-0.19910938408377443</v>
      </c>
      <c r="F8" s="70">
        <v>0.37049904732953676</v>
      </c>
      <c r="G8" s="70">
        <v>-2.2130939108348624E-2</v>
      </c>
      <c r="H8" s="70">
        <v>1.1600256978721937</v>
      </c>
      <c r="I8" s="70">
        <v>-1.1175517895262292</v>
      </c>
      <c r="J8" s="70">
        <v>-5.5538744165353647E-3</v>
      </c>
      <c r="K8" s="70">
        <v>-0.24730880948975317</v>
      </c>
      <c r="L8" s="70">
        <v>2.3541540967984114</v>
      </c>
      <c r="M8" s="70">
        <v>-1.509284821989312</v>
      </c>
      <c r="N8" s="70">
        <v>-7.2748200049791559E-2</v>
      </c>
      <c r="O8" s="70">
        <v>0.21579400889009284</v>
      </c>
      <c r="P8" s="70">
        <v>0.52130576151420194</v>
      </c>
      <c r="Q8" s="70">
        <v>0.61734985909621465</v>
      </c>
      <c r="R8" s="70">
        <v>-0.25106942629072382</v>
      </c>
      <c r="S8" s="70">
        <v>0.10870481758890621</v>
      </c>
      <c r="T8" s="70">
        <v>-0.7729957207002589</v>
      </c>
      <c r="U8" s="70">
        <v>0.31950055504710367</v>
      </c>
      <c r="V8" s="70">
        <v>0.38720509706068135</v>
      </c>
      <c r="W8" s="70">
        <v>-0.66375888575373754</v>
      </c>
      <c r="X8" s="70">
        <v>1.138838517839869</v>
      </c>
      <c r="Y8" s="70">
        <v>0.83627308351219787</v>
      </c>
      <c r="Z8" s="70">
        <v>-0.52737724526784635</v>
      </c>
      <c r="AA8" s="70">
        <v>0.50134429258149804</v>
      </c>
      <c r="AB8" s="70">
        <v>-0.91361953181719469</v>
      </c>
      <c r="AC8" s="70">
        <v>4.7192714068208401E-2</v>
      </c>
      <c r="AD8" s="70">
        <v>0.84388030778590539</v>
      </c>
      <c r="AE8" s="70">
        <v>-0.11972393281160953</v>
      </c>
      <c r="AF8" s="70">
        <v>0.22927622985619373</v>
      </c>
      <c r="AG8" s="70">
        <v>0.26960709364090951</v>
      </c>
      <c r="AH8" s="70">
        <v>0.25438436165635037</v>
      </c>
      <c r="AI8" s="70">
        <v>-4.6809912360522142E-2</v>
      </c>
      <c r="AJ8" s="70">
        <v>7.3392143270527271E-3</v>
      </c>
      <c r="AK8" s="70">
        <v>7.601841645764032E-2</v>
      </c>
      <c r="AL8" s="70">
        <v>-0.108054380756891</v>
      </c>
      <c r="AM8" s="70">
        <v>0.87584607484779886</v>
      </c>
    </row>
    <row r="9" spans="1:39" ht="17.100000000000001" customHeight="1" x14ac:dyDescent="0.2">
      <c r="A9" s="70" t="s">
        <v>3</v>
      </c>
      <c r="B9" s="70">
        <v>3.2166042752690104E-2</v>
      </c>
      <c r="C9" s="70">
        <v>7.128921650636362E-2</v>
      </c>
      <c r="D9" s="70">
        <v>5.5825205053380726E-2</v>
      </c>
      <c r="E9" s="70">
        <v>5.0426822643821485E-2</v>
      </c>
      <c r="F9" s="70">
        <v>6.4328987569804597E-2</v>
      </c>
      <c r="G9" s="70">
        <v>2.7310238334135421E-2</v>
      </c>
      <c r="H9" s="70">
        <v>6.7747984540465961E-2</v>
      </c>
      <c r="I9" s="70">
        <v>3.9701026125448374E-2</v>
      </c>
      <c r="J9" s="70">
        <v>6.2675254725051352E-2</v>
      </c>
      <c r="K9" s="70">
        <v>5.9740974773424854E-2</v>
      </c>
      <c r="L9" s="70">
        <v>5.0094857862471504E-2</v>
      </c>
      <c r="M9" s="70">
        <v>6.792473067446686E-2</v>
      </c>
      <c r="N9" s="70">
        <v>5.7277255800322092E-2</v>
      </c>
      <c r="O9" s="70">
        <v>6.1114346071869753E-2</v>
      </c>
      <c r="P9" s="70">
        <v>6.1192034003858198E-2</v>
      </c>
      <c r="Q9" s="70">
        <v>5.2589561216018862E-2</v>
      </c>
      <c r="R9" s="70">
        <v>6.4050742467159569E-2</v>
      </c>
      <c r="S9" s="70">
        <v>6.6765309591726704E-2</v>
      </c>
      <c r="T9" s="70">
        <v>7.0385285111355E-2</v>
      </c>
      <c r="U9" s="70">
        <v>7.2191499704342549E-2</v>
      </c>
      <c r="V9" s="70">
        <v>6.6241381497619795E-2</v>
      </c>
      <c r="W9" s="70">
        <v>6.5093926583247988E-2</v>
      </c>
      <c r="X9" s="70">
        <v>7.1777967352841199E-2</v>
      </c>
      <c r="Y9" s="70">
        <v>7.9586771981771776E-2</v>
      </c>
      <c r="Z9" s="70">
        <v>8.0719253798497301E-2</v>
      </c>
      <c r="AA9" s="70">
        <v>6.8844355292370998E-2</v>
      </c>
      <c r="AB9" s="70">
        <v>9.7191630810150684E-2</v>
      </c>
      <c r="AC9" s="70">
        <v>3.6871092363456974E-2</v>
      </c>
      <c r="AD9" s="70">
        <v>7.0450515901078203E-2</v>
      </c>
      <c r="AE9" s="70">
        <v>7.8230015854648546E-2</v>
      </c>
      <c r="AF9" s="70">
        <v>7.3191085458198676E-2</v>
      </c>
      <c r="AG9" s="70">
        <v>7.7903773019828787E-2</v>
      </c>
      <c r="AH9" s="70">
        <v>7.3234337377025449E-2</v>
      </c>
      <c r="AI9" s="70">
        <v>8.3655750887508859E-2</v>
      </c>
      <c r="AJ9" s="70">
        <v>9.3978748245530888E-2</v>
      </c>
      <c r="AK9" s="70">
        <v>6.8494796387454163E-2</v>
      </c>
      <c r="AL9" s="70">
        <v>9.1720489156072851E-2</v>
      </c>
      <c r="AM9" s="70">
        <v>8.4589838746265716E-2</v>
      </c>
    </row>
    <row r="10" spans="1:39" ht="17.100000000000001" customHeight="1" x14ac:dyDescent="0.2">
      <c r="A10" s="70" t="s">
        <v>4</v>
      </c>
      <c r="B10" s="70">
        <v>4.3202561189796361E-4</v>
      </c>
      <c r="C10" s="70">
        <v>9.489195042671515E-5</v>
      </c>
      <c r="D10" s="70">
        <v>1.4305754335547426E-4</v>
      </c>
      <c r="E10" s="70">
        <v>1.2790870470902378E-4</v>
      </c>
      <c r="F10" s="70">
        <v>-3.3183811825692952E-4</v>
      </c>
      <c r="G10" s="70">
        <v>-2.4322774630448408E-4</v>
      </c>
      <c r="H10" s="70">
        <v>1.1432717166091064E-4</v>
      </c>
      <c r="I10" s="70">
        <v>6.7432161078433812E-4</v>
      </c>
      <c r="J10" s="70">
        <v>8.3174022017629094E-5</v>
      </c>
      <c r="K10" s="70">
        <v>3.4599273350963757E-4</v>
      </c>
      <c r="L10" s="70">
        <v>-1.4116153918244327E-4</v>
      </c>
      <c r="M10" s="70">
        <v>1.8102241075995487E-3</v>
      </c>
      <c r="N10" s="70">
        <v>3.2527865456453292E-4</v>
      </c>
      <c r="O10" s="70">
        <v>1.0297270262327144E-3</v>
      </c>
      <c r="P10" s="70">
        <v>-3.6437233348046152E-3</v>
      </c>
      <c r="Q10" s="70">
        <v>4.1541044231746993E-4</v>
      </c>
      <c r="R10" s="70">
        <v>1.1726081850926239E-3</v>
      </c>
      <c r="S10" s="70">
        <v>7.0868602395522109E-4</v>
      </c>
      <c r="T10" s="70">
        <v>7.9796898602334872E-4</v>
      </c>
      <c r="U10" s="70">
        <v>-2.2768601465611487E-4</v>
      </c>
      <c r="V10" s="70">
        <v>-2.0121302677342395E-4</v>
      </c>
      <c r="W10" s="70">
        <v>2.2187327628998167E-5</v>
      </c>
      <c r="X10" s="70">
        <v>6.4053761722943927E-4</v>
      </c>
      <c r="Y10" s="70">
        <v>-4.3325549068334632E-5</v>
      </c>
      <c r="Z10" s="70">
        <v>-1.8774497559774858E-4</v>
      </c>
      <c r="AA10" s="70">
        <v>2.2260152044222207E-4</v>
      </c>
      <c r="AB10" s="70">
        <v>-4.5274316720033379E-5</v>
      </c>
      <c r="AC10" s="70">
        <v>1.3224366681766973E-4</v>
      </c>
      <c r="AD10" s="70">
        <v>4.9012560834659088E-4</v>
      </c>
      <c r="AE10" s="70">
        <v>4.4640337535468603E-4</v>
      </c>
      <c r="AF10" s="70">
        <v>4.0606006452609352E-5</v>
      </c>
      <c r="AG10" s="70">
        <v>2.1943839718714531E-4</v>
      </c>
      <c r="AH10" s="70">
        <v>-7.3485718664389777E-5</v>
      </c>
      <c r="AI10" s="70">
        <v>-6.1718985322318837E-4</v>
      </c>
      <c r="AJ10" s="70">
        <v>3.3118542600025477E-4</v>
      </c>
      <c r="AK10" s="70">
        <v>2.600236216022215E-3</v>
      </c>
      <c r="AL10" s="70">
        <v>-3.9520565591310711E-3</v>
      </c>
      <c r="AM10" s="70">
        <v>1.0205482565698314E-3</v>
      </c>
    </row>
    <row r="11" spans="1:39" ht="17.100000000000001" customHeight="1" x14ac:dyDescent="0.2">
      <c r="A11" s="70" t="s">
        <v>5</v>
      </c>
      <c r="B11" s="70">
        <v>0.18974505207261474</v>
      </c>
      <c r="C11" s="70">
        <v>-1.3259763308957615E-2</v>
      </c>
      <c r="D11" s="70">
        <v>9.7225431535298334E-2</v>
      </c>
      <c r="E11" s="70">
        <v>4.4203974134688802E-2</v>
      </c>
      <c r="F11" s="70">
        <v>1.1966874554518716E-3</v>
      </c>
      <c r="G11" s="70">
        <v>-4.9330816993808445E-2</v>
      </c>
      <c r="H11" s="70">
        <v>0.11335484371951594</v>
      </c>
      <c r="I11" s="70">
        <v>9.5476963116560648E-2</v>
      </c>
      <c r="J11" s="70">
        <v>-1.2469257302607301E-2</v>
      </c>
      <c r="K11" s="70">
        <v>1.4586885522236966E-2</v>
      </c>
      <c r="L11" s="70">
        <v>-2.9133382454554393E-2</v>
      </c>
      <c r="M11" s="70">
        <v>0.11255313740842889</v>
      </c>
      <c r="N11" s="70">
        <v>4.8629561323917748E-2</v>
      </c>
      <c r="O11" s="70">
        <v>5.4492058755316104E-2</v>
      </c>
      <c r="P11" s="70">
        <v>-8.1320089907311682E-2</v>
      </c>
      <c r="Q11" s="70">
        <v>-4.3916661543879777E-2</v>
      </c>
      <c r="R11" s="70">
        <v>-8.4545627166656059E-3</v>
      </c>
      <c r="S11" s="70">
        <v>0.28736989724953288</v>
      </c>
      <c r="T11" s="70">
        <v>-6.6874449942108033E-2</v>
      </c>
      <c r="U11" s="70">
        <v>-3.6500245010286231E-2</v>
      </c>
      <c r="V11" s="70">
        <v>-1.5481827242685023E-2</v>
      </c>
      <c r="W11" s="70">
        <v>3.5273978545973188E-2</v>
      </c>
      <c r="X11" s="70">
        <v>0.18503146419341093</v>
      </c>
      <c r="Y11" s="70">
        <v>-2.0131424149951515E-2</v>
      </c>
      <c r="Z11" s="70">
        <v>-6.82983413233057E-2</v>
      </c>
      <c r="AA11" s="70">
        <v>4.7501079912727111E-2</v>
      </c>
      <c r="AB11" s="70">
        <v>0.12344218296385892</v>
      </c>
      <c r="AC11" s="70">
        <v>-3.4082263012014363E-2</v>
      </c>
      <c r="AD11" s="70">
        <v>3.0518396276290459E-2</v>
      </c>
      <c r="AE11" s="70">
        <v>-2.1967991332072855E-2</v>
      </c>
      <c r="AF11" s="70">
        <v>-0.17061999280373602</v>
      </c>
      <c r="AG11" s="70">
        <v>0.49805078487815158</v>
      </c>
      <c r="AH11" s="70">
        <v>-0.19163885012829543</v>
      </c>
      <c r="AI11" s="70">
        <v>3.1133594135687014E-2</v>
      </c>
      <c r="AJ11" s="70">
        <v>-0.10063199672904</v>
      </c>
      <c r="AK11" s="70">
        <v>0.1762721297093956</v>
      </c>
      <c r="AL11" s="70">
        <v>0.18562329542150738</v>
      </c>
      <c r="AM11" s="70">
        <v>-1.2498145729129323E-2</v>
      </c>
    </row>
    <row r="12" spans="1:39" ht="17.100000000000001" customHeight="1" x14ac:dyDescent="0.2">
      <c r="A12" s="70" t="s">
        <v>6</v>
      </c>
      <c r="B12" s="70">
        <v>-5.9317666255291515E-2</v>
      </c>
      <c r="C12" s="70">
        <v>-9.7140827804652633E-5</v>
      </c>
      <c r="D12" s="70">
        <v>-0.11669902442723201</v>
      </c>
      <c r="E12" s="70">
        <v>-0.15761594357196063</v>
      </c>
      <c r="F12" s="70">
        <v>-0.22341579408508092</v>
      </c>
      <c r="G12" s="70">
        <v>-0.13905411460307551</v>
      </c>
      <c r="H12" s="70">
        <v>-8.4751826887238674E-2</v>
      </c>
      <c r="I12" s="70">
        <v>0.20746349969381653</v>
      </c>
      <c r="J12" s="70">
        <v>0.20956805588172289</v>
      </c>
      <c r="K12" s="70">
        <v>0.17682327706732542</v>
      </c>
      <c r="L12" s="70">
        <v>0.22163516400447156</v>
      </c>
      <c r="M12" s="70">
        <v>1.7518338984221286E-2</v>
      </c>
      <c r="N12" s="70">
        <v>2.1777921086109195E-2</v>
      </c>
      <c r="O12" s="70">
        <v>-0.14663528292972952</v>
      </c>
      <c r="P12" s="70">
        <v>-0.10179445378348635</v>
      </c>
      <c r="Q12" s="70">
        <v>-6.4105543365876885E-2</v>
      </c>
      <c r="R12" s="70">
        <v>0.10806908245041154</v>
      </c>
      <c r="S12" s="70">
        <v>-3.6246369458553273E-3</v>
      </c>
      <c r="T12" s="70">
        <v>-0.22666728918350593</v>
      </c>
      <c r="U12" s="70">
        <v>-2.6956361241000922E-2</v>
      </c>
      <c r="V12" s="70">
        <v>0.3309219418727975</v>
      </c>
      <c r="W12" s="70">
        <v>-0.29012714627369679</v>
      </c>
      <c r="X12" s="70">
        <v>-3.2657820563109772E-3</v>
      </c>
      <c r="Y12" s="70">
        <v>6.3988600105301899E-2</v>
      </c>
      <c r="Z12" s="70">
        <v>-0.30262946934804602</v>
      </c>
      <c r="AA12" s="70">
        <v>0.49021033943558506</v>
      </c>
      <c r="AB12" s="70">
        <v>0.24321080878115922</v>
      </c>
      <c r="AC12" s="70">
        <v>-0.47558814823402035</v>
      </c>
      <c r="AD12" s="70">
        <v>-9.3119694922415883E-2</v>
      </c>
      <c r="AE12" s="70">
        <v>7.6104345583444921E-2</v>
      </c>
      <c r="AF12" s="70">
        <v>0.21194917681007894</v>
      </c>
      <c r="AG12" s="70">
        <v>3.3087759648259288E-2</v>
      </c>
      <c r="AH12" s="70">
        <v>-0.27464581719524983</v>
      </c>
      <c r="AI12" s="70">
        <v>0.22623078922415002</v>
      </c>
      <c r="AJ12" s="70">
        <v>0.71190906295146905</v>
      </c>
      <c r="AK12" s="70">
        <v>-0.61246289915069319</v>
      </c>
      <c r="AL12" s="70">
        <v>-7.3252657440054839E-2</v>
      </c>
      <c r="AM12" s="70">
        <v>0.12086002634711264</v>
      </c>
    </row>
    <row r="13" spans="1:39" s="136" customFormat="1" ht="17.100000000000001" customHeight="1" x14ac:dyDescent="0.2">
      <c r="A13" s="133" t="s">
        <v>93</v>
      </c>
      <c r="B13" s="139">
        <v>0.79824503484162823</v>
      </c>
      <c r="C13" s="139">
        <v>0.95826169201127054</v>
      </c>
      <c r="D13" s="139">
        <v>0.70932201533305894</v>
      </c>
      <c r="E13" s="139">
        <v>-0.40900321015139307</v>
      </c>
      <c r="F13" s="139">
        <v>9.1245722929620188E-2</v>
      </c>
      <c r="G13" s="139">
        <v>0.20955402374490598</v>
      </c>
      <c r="H13" s="139">
        <v>0.97043012892842617</v>
      </c>
      <c r="I13" s="139">
        <v>0.7641724198795834</v>
      </c>
      <c r="J13" s="139">
        <v>0.25522522402461972</v>
      </c>
      <c r="K13" s="139">
        <v>0.53182127046036509</v>
      </c>
      <c r="L13" s="139">
        <v>0.90340436189494577</v>
      </c>
      <c r="M13" s="139">
        <v>0.19251879431361141</v>
      </c>
      <c r="N13" s="139">
        <v>0.89815158840998655</v>
      </c>
      <c r="O13" s="139">
        <v>0.67351785607841752</v>
      </c>
      <c r="P13" s="139">
        <v>-0.84834934543322627</v>
      </c>
      <c r="Q13" s="139">
        <v>-3.2559760268960942</v>
      </c>
      <c r="R13" s="139">
        <v>2.9288134725442148</v>
      </c>
      <c r="S13" s="139">
        <v>1.0028944029520386</v>
      </c>
      <c r="T13" s="139">
        <v>0.25236367736784415</v>
      </c>
      <c r="U13" s="139">
        <v>-7.21329936140959E-3</v>
      </c>
      <c r="V13" s="139">
        <v>-1.2743979187287351</v>
      </c>
      <c r="W13" s="139">
        <v>3.3036481109924263</v>
      </c>
      <c r="X13" s="139">
        <v>-0.33043466039626318</v>
      </c>
      <c r="Y13" s="139">
        <v>0.11609909190738971</v>
      </c>
      <c r="Z13" s="139">
        <v>-0.16455537108502147</v>
      </c>
      <c r="AA13" s="139">
        <v>-0.15113149505672882</v>
      </c>
      <c r="AB13" s="139">
        <v>0.40695647492997122</v>
      </c>
      <c r="AC13" s="139">
        <v>1.5112374333010583</v>
      </c>
      <c r="AD13" s="139">
        <v>0.40021857649305115</v>
      </c>
      <c r="AE13" s="139">
        <v>-0.95543499501759765</v>
      </c>
      <c r="AF13" s="139">
        <v>0.81063838333462657</v>
      </c>
      <c r="AG13" s="139">
        <v>-2.7106291933804046E-2</v>
      </c>
      <c r="AH13" s="139">
        <v>1.4423908768745748</v>
      </c>
      <c r="AI13" s="139">
        <v>-0.20862994655608272</v>
      </c>
      <c r="AJ13" s="139">
        <v>0.6661627027342808</v>
      </c>
      <c r="AK13" s="139">
        <v>1.3094571061175538E-2</v>
      </c>
      <c r="AL13" s="139">
        <v>1.1102474137687119</v>
      </c>
      <c r="AM13" s="139">
        <v>1.3777463942279971</v>
      </c>
    </row>
    <row r="14" spans="1:39" ht="17.100000000000001" customHeight="1" x14ac:dyDescent="0.2">
      <c r="A14" s="70" t="s">
        <v>8</v>
      </c>
      <c r="B14" s="70">
        <v>0.21634351767086801</v>
      </c>
      <c r="C14" s="70">
        <v>0.24906419654269074</v>
      </c>
      <c r="D14" s="70">
        <v>-2.6427300545574142E-2</v>
      </c>
      <c r="E14" s="70">
        <v>0.15937567412505271</v>
      </c>
      <c r="F14" s="70">
        <v>-0.26281577561151304</v>
      </c>
      <c r="G14" s="70">
        <v>-0.13074338435014704</v>
      </c>
      <c r="H14" s="70">
        <v>0.13591898931929011</v>
      </c>
      <c r="I14" s="70">
        <v>0.27270453896290592</v>
      </c>
      <c r="J14" s="70">
        <v>-4.2020652096999837E-2</v>
      </c>
      <c r="K14" s="70">
        <v>-0.2151487288795973</v>
      </c>
      <c r="L14" s="70">
        <v>0.39438395784773167</v>
      </c>
      <c r="M14" s="70">
        <v>-0.17028268094903423</v>
      </c>
      <c r="N14" s="70">
        <v>0.14673231415210677</v>
      </c>
      <c r="O14" s="70">
        <v>0.3229152333358481</v>
      </c>
      <c r="P14" s="70">
        <v>-6.1427142724376965E-2</v>
      </c>
      <c r="Q14" s="70">
        <v>-0.61704065607734238</v>
      </c>
      <c r="R14" s="70">
        <v>0.95179668360504743</v>
      </c>
      <c r="S14" s="70">
        <v>-0.29141527123399519</v>
      </c>
      <c r="T14" s="70">
        <v>-0.24199507757384095</v>
      </c>
      <c r="U14" s="70">
        <v>-0.17573817358945046</v>
      </c>
      <c r="V14" s="70">
        <v>-0.34570308594762139</v>
      </c>
      <c r="W14" s="70">
        <v>1.4660601020282831</v>
      </c>
      <c r="X14" s="70">
        <v>-0.2531563464429753</v>
      </c>
      <c r="Y14" s="70">
        <v>0.10386632037977916</v>
      </c>
      <c r="Z14" s="70">
        <v>-0.64421193454796921</v>
      </c>
      <c r="AA14" s="70">
        <v>-0.30794424685319877</v>
      </c>
      <c r="AB14" s="70">
        <v>0.49186869974694936</v>
      </c>
      <c r="AC14" s="70">
        <v>1.4916586556052172</v>
      </c>
      <c r="AD14" s="70">
        <v>-0.53458602701663915</v>
      </c>
      <c r="AE14" s="70">
        <v>-0.49115748123220659</v>
      </c>
      <c r="AF14" s="70">
        <v>-0.27929102915027748</v>
      </c>
      <c r="AG14" s="70">
        <v>-0.79394511802043255</v>
      </c>
      <c r="AH14" s="70">
        <v>1.2705328762973565</v>
      </c>
      <c r="AI14" s="70">
        <v>-5.2334223433310512E-2</v>
      </c>
      <c r="AJ14" s="70">
        <v>-0.39424747823012329</v>
      </c>
      <c r="AK14" s="70">
        <v>-0.47706320730600116</v>
      </c>
      <c r="AL14" s="70">
        <v>0.69037873110597781</v>
      </c>
      <c r="AM14" s="70">
        <v>0.66755495095233053</v>
      </c>
    </row>
    <row r="15" spans="1:39" ht="17.100000000000001" customHeight="1" x14ac:dyDescent="0.2">
      <c r="A15" s="70" t="s">
        <v>9</v>
      </c>
      <c r="B15" s="70">
        <v>-0.21915951128053382</v>
      </c>
      <c r="C15" s="70">
        <v>0.38419514471418381</v>
      </c>
      <c r="D15" s="70">
        <v>0.79154170114232414</v>
      </c>
      <c r="E15" s="70">
        <v>-0.47638440191027193</v>
      </c>
      <c r="F15" s="70">
        <v>0.11733199269166227</v>
      </c>
      <c r="G15" s="70">
        <v>0.20858107750344423</v>
      </c>
      <c r="H15" s="70">
        <v>0.43351257264098764</v>
      </c>
      <c r="I15" s="70">
        <v>0.291542335798953</v>
      </c>
      <c r="J15" s="70">
        <v>0.10667127434265096</v>
      </c>
      <c r="K15" s="70">
        <v>0.49224689360524321</v>
      </c>
      <c r="L15" s="70">
        <v>0.30337404576636451</v>
      </c>
      <c r="M15" s="70">
        <v>0.11594887833936411</v>
      </c>
      <c r="N15" s="70">
        <v>0.82876418728195456</v>
      </c>
      <c r="O15" s="70">
        <v>7.5415216504121849E-2</v>
      </c>
      <c r="P15" s="70">
        <v>-1.0764683689688741</v>
      </c>
      <c r="Q15" s="70">
        <v>-1.9034153784846599</v>
      </c>
      <c r="R15" s="70">
        <v>2.4745031882723274</v>
      </c>
      <c r="S15" s="70">
        <v>-0.15275630532359544</v>
      </c>
      <c r="T15" s="70">
        <v>0.16295743938389554</v>
      </c>
      <c r="U15" s="70">
        <v>0.10032164148575441</v>
      </c>
      <c r="V15" s="70">
        <v>-1.0739050459530866</v>
      </c>
      <c r="W15" s="70">
        <v>1.9013031334584123</v>
      </c>
      <c r="X15" s="70">
        <v>0.28157271074085777</v>
      </c>
      <c r="Y15" s="70">
        <v>-8.5331729560850972E-2</v>
      </c>
      <c r="Z15" s="70">
        <v>-3.7871987417903998E-3</v>
      </c>
      <c r="AA15" s="70">
        <v>0.12113001770604286</v>
      </c>
      <c r="AB15" s="70">
        <v>-0.21558214785712398</v>
      </c>
      <c r="AC15" s="70">
        <v>-0.15922958261940404</v>
      </c>
      <c r="AD15" s="70">
        <v>0.83648901999725389</v>
      </c>
      <c r="AE15" s="70">
        <v>-0.60300672496756469</v>
      </c>
      <c r="AF15" s="70">
        <v>0.61497716281267967</v>
      </c>
      <c r="AG15" s="70">
        <v>0.63138158594652272</v>
      </c>
      <c r="AH15" s="70">
        <v>0.168911863287594</v>
      </c>
      <c r="AI15" s="70">
        <v>-0.25834476281439517</v>
      </c>
      <c r="AJ15" s="70">
        <v>0.20687941711195007</v>
      </c>
      <c r="AK15" s="70">
        <v>0.3536331099925083</v>
      </c>
      <c r="AL15" s="70">
        <v>0.33850204010258111</v>
      </c>
      <c r="AM15" s="70">
        <v>0.38464208030579361</v>
      </c>
    </row>
    <row r="16" spans="1:39" ht="17.100000000000001" customHeight="1" x14ac:dyDescent="0.2">
      <c r="A16" s="70" t="s">
        <v>10</v>
      </c>
      <c r="B16" s="70">
        <v>1.9300846559075373E-2</v>
      </c>
      <c r="C16" s="70">
        <v>4.7854088676783139E-2</v>
      </c>
      <c r="D16" s="70">
        <v>6.6921952856272851E-2</v>
      </c>
      <c r="E16" s="70">
        <v>-2.0423115245101809E-2</v>
      </c>
      <c r="F16" s="70">
        <v>3.7260781945065477E-2</v>
      </c>
      <c r="G16" s="70">
        <v>1.0934039794460601E-2</v>
      </c>
      <c r="H16" s="70">
        <v>-5.7186225647496243E-3</v>
      </c>
      <c r="I16" s="70">
        <v>-1.7961295261582234E-2</v>
      </c>
      <c r="J16" s="70">
        <v>1.3911902181657599E-2</v>
      </c>
      <c r="K16" s="70">
        <v>4.8955511404066981E-3</v>
      </c>
      <c r="L16" s="70">
        <v>2.3283417525011951E-2</v>
      </c>
      <c r="M16" s="70">
        <v>5.4830887959788882E-2</v>
      </c>
      <c r="N16" s="70">
        <v>6.1673613500274317E-2</v>
      </c>
      <c r="O16" s="70">
        <v>3.9885473451420073E-2</v>
      </c>
      <c r="P16" s="70">
        <v>4.1501516549191257E-2</v>
      </c>
      <c r="Q16" s="70">
        <v>-0.15242982049186898</v>
      </c>
      <c r="R16" s="70">
        <v>0.19705653067885073</v>
      </c>
      <c r="S16" s="70">
        <v>4.4391799695307939E-2</v>
      </c>
      <c r="T16" s="70">
        <v>2.5476584188341762E-2</v>
      </c>
      <c r="U16" s="70">
        <v>1.8100143962538826E-2</v>
      </c>
      <c r="V16" s="70">
        <v>-1.7338687600989285E-2</v>
      </c>
      <c r="W16" s="70">
        <v>1.9558161164361005E-2</v>
      </c>
      <c r="X16" s="70">
        <v>1.0060455085258727E-2</v>
      </c>
      <c r="Y16" s="70">
        <v>1.7375716412185892E-2</v>
      </c>
      <c r="Z16" s="70">
        <v>3.5450049230125485E-2</v>
      </c>
      <c r="AA16" s="70">
        <v>4.4791064248906928E-2</v>
      </c>
      <c r="AB16" s="70">
        <v>2.320049661295057E-2</v>
      </c>
      <c r="AC16" s="70">
        <v>4.2661900176282574E-2</v>
      </c>
      <c r="AD16" s="70">
        <v>5.1800901912388959E-2</v>
      </c>
      <c r="AE16" s="70">
        <v>5.9391528577027635E-4</v>
      </c>
      <c r="AF16" s="70">
        <v>2.8799641805664709E-2</v>
      </c>
      <c r="AG16" s="70">
        <v>1.6556233736425011E-2</v>
      </c>
      <c r="AH16" s="70">
        <v>4.513255307595266E-2</v>
      </c>
      <c r="AI16" s="70">
        <v>6.0210278199963108E-2</v>
      </c>
      <c r="AJ16" s="70">
        <v>6.9537682442046389E-2</v>
      </c>
      <c r="AK16" s="70">
        <v>6.6072319371220087E-2</v>
      </c>
      <c r="AL16" s="70">
        <v>0.18280968115538895</v>
      </c>
      <c r="AM16" s="70">
        <v>-0.15199122692959482</v>
      </c>
    </row>
    <row r="17" spans="1:39" ht="17.100000000000001" customHeight="1" x14ac:dyDescent="0.2">
      <c r="A17" s="70" t="s">
        <v>11</v>
      </c>
      <c r="B17" s="70">
        <v>3.6335429099944444E-2</v>
      </c>
      <c r="C17" s="70">
        <v>3.6847477222969958E-2</v>
      </c>
      <c r="D17" s="70">
        <v>2.4576671321730522E-2</v>
      </c>
      <c r="E17" s="70">
        <v>3.0022694225811979E-2</v>
      </c>
      <c r="F17" s="70">
        <v>1.4797353671835043E-2</v>
      </c>
      <c r="G17" s="70">
        <v>2.277799144063021E-2</v>
      </c>
      <c r="H17" s="70">
        <v>2.1620022728505384E-2</v>
      </c>
      <c r="I17" s="70">
        <v>2.6302430143583737E-2</v>
      </c>
      <c r="J17" s="70">
        <v>3.0754997815808129E-2</v>
      </c>
      <c r="K17" s="70">
        <v>2.9018742674874882E-2</v>
      </c>
      <c r="L17" s="70">
        <v>2.436362057979026E-2</v>
      </c>
      <c r="M17" s="70">
        <v>2.5404380156565733E-2</v>
      </c>
      <c r="N17" s="70">
        <v>1.7755882494061858E-2</v>
      </c>
      <c r="O17" s="70">
        <v>1.9841136036811757E-2</v>
      </c>
      <c r="P17" s="70">
        <v>3.026483040064458E-2</v>
      </c>
      <c r="Q17" s="70">
        <v>1.9931194583625193E-2</v>
      </c>
      <c r="R17" s="70">
        <v>3.2368456224074506E-2</v>
      </c>
      <c r="S17" s="70">
        <v>2.9041702974436773E-2</v>
      </c>
      <c r="T17" s="70">
        <v>2.6232140060084275E-2</v>
      </c>
      <c r="U17" s="70">
        <v>3.2460912656782401E-2</v>
      </c>
      <c r="V17" s="70">
        <v>4.695097909191713E-2</v>
      </c>
      <c r="W17" s="70">
        <v>4.1771023641537647E-2</v>
      </c>
      <c r="X17" s="70">
        <v>3.1660529854588212E-2</v>
      </c>
      <c r="Y17" s="70">
        <v>2.5059917426539E-2</v>
      </c>
      <c r="Z17" s="70">
        <v>1.1559390198196438E-2</v>
      </c>
      <c r="AA17" s="70">
        <v>2.2536167966132732E-2</v>
      </c>
      <c r="AB17" s="70">
        <v>3.1852066359093351E-2</v>
      </c>
      <c r="AC17" s="70">
        <v>3.1781234327236244E-2</v>
      </c>
      <c r="AD17" s="70">
        <v>3.584209728168989E-2</v>
      </c>
      <c r="AE17" s="70">
        <v>2.5063016426765547E-2</v>
      </c>
      <c r="AF17" s="70">
        <v>2.6876149624331398E-2</v>
      </c>
      <c r="AG17" s="70">
        <v>3.4688550845624146E-2</v>
      </c>
      <c r="AH17" s="70">
        <v>-6.2063188487916808E-3</v>
      </c>
      <c r="AI17" s="70">
        <v>1.6373660445152108E-2</v>
      </c>
      <c r="AJ17" s="70">
        <v>1.0060931600925185E-2</v>
      </c>
      <c r="AK17" s="70">
        <v>1.4072308168928458E-2</v>
      </c>
      <c r="AL17" s="70">
        <v>2.2253340586464956E-2</v>
      </c>
      <c r="AM17" s="70">
        <v>2.7405522508535687E-2</v>
      </c>
    </row>
    <row r="18" spans="1:39" ht="17.100000000000001" customHeight="1" x14ac:dyDescent="0.2">
      <c r="A18" s="70" t="s">
        <v>12</v>
      </c>
      <c r="B18" s="70">
        <v>0.74542475279227061</v>
      </c>
      <c r="C18" s="70">
        <v>0.24030078485463985</v>
      </c>
      <c r="D18" s="70">
        <v>-0.14729100944169335</v>
      </c>
      <c r="E18" s="70">
        <v>-0.10159406134688141</v>
      </c>
      <c r="F18" s="70">
        <v>0.1846713702325696</v>
      </c>
      <c r="G18" s="70">
        <v>9.8004299356519553E-2</v>
      </c>
      <c r="H18" s="70">
        <v>0.38509716680439293</v>
      </c>
      <c r="I18" s="70">
        <v>0.19158441023572531</v>
      </c>
      <c r="J18" s="70">
        <v>0.14590770178150014</v>
      </c>
      <c r="K18" s="70">
        <v>0.22080881191943758</v>
      </c>
      <c r="L18" s="70">
        <v>0.15799932017604945</v>
      </c>
      <c r="M18" s="70">
        <v>0.16661732880692345</v>
      </c>
      <c r="N18" s="70">
        <v>-0.15677440901840758</v>
      </c>
      <c r="O18" s="70">
        <v>0.2154607967502089</v>
      </c>
      <c r="P18" s="70">
        <v>0.21777981931019652</v>
      </c>
      <c r="Q18" s="70">
        <v>-0.60302136642585402</v>
      </c>
      <c r="R18" s="70">
        <v>-0.72691138623607887</v>
      </c>
      <c r="S18" s="70">
        <v>1.373632476839878</v>
      </c>
      <c r="T18" s="70">
        <v>0.27969259130936541</v>
      </c>
      <c r="U18" s="70">
        <v>1.7642176122965581E-2</v>
      </c>
      <c r="V18" s="70">
        <v>0.11559792168104477</v>
      </c>
      <c r="W18" s="70">
        <v>-0.12504430930016877</v>
      </c>
      <c r="X18" s="70">
        <v>-0.40057200963399142</v>
      </c>
      <c r="Y18" s="70">
        <v>5.5128867249738908E-2</v>
      </c>
      <c r="Z18" s="70">
        <v>0.43643432277640992</v>
      </c>
      <c r="AA18" s="70">
        <v>-3.1644498124607762E-2</v>
      </c>
      <c r="AB18" s="70">
        <v>7.5617360068100561E-2</v>
      </c>
      <c r="AC18" s="70">
        <v>0.10436522581172393</v>
      </c>
      <c r="AD18" s="70">
        <v>1.0672584318359785E-2</v>
      </c>
      <c r="AE18" s="70">
        <v>0.11307227946964082</v>
      </c>
      <c r="AF18" s="70">
        <v>0.41927645824222587</v>
      </c>
      <c r="AG18" s="70">
        <v>8.4212455558059909E-2</v>
      </c>
      <c r="AH18" s="70">
        <v>-3.598009693754016E-2</v>
      </c>
      <c r="AI18" s="70">
        <v>2.5465101046509488E-2</v>
      </c>
      <c r="AJ18" s="70">
        <v>0.77393214980948055</v>
      </c>
      <c r="AK18" s="70">
        <v>5.6380040834518488E-2</v>
      </c>
      <c r="AL18" s="70">
        <v>-0.12369637918170273</v>
      </c>
      <c r="AM18" s="70">
        <v>0.45013506739093417</v>
      </c>
    </row>
    <row r="19" spans="1:39" s="136" customFormat="1" ht="17.100000000000001" customHeight="1" x14ac:dyDescent="0.2">
      <c r="A19" s="133" t="s">
        <v>94</v>
      </c>
      <c r="B19" s="139">
        <v>-0.10445204672649587</v>
      </c>
      <c r="C19" s="139">
        <v>-9.3592380359028948E-2</v>
      </c>
      <c r="D19" s="139">
        <v>0.84906292538312855</v>
      </c>
      <c r="E19" s="139">
        <v>1.4435828700627524</v>
      </c>
      <c r="F19" s="139">
        <v>0.99162411814640705</v>
      </c>
      <c r="G19" s="139">
        <v>1.1512276604421594</v>
      </c>
      <c r="H19" s="139">
        <v>0.21319081474099186</v>
      </c>
      <c r="I19" s="139">
        <v>0.52022711942233146</v>
      </c>
      <c r="J19" s="139">
        <v>1.2080633839506112</v>
      </c>
      <c r="K19" s="139">
        <v>-6.478344100795097E-2</v>
      </c>
      <c r="L19" s="139">
        <v>0.92884082177332161</v>
      </c>
      <c r="M19" s="139">
        <v>0.39957338492923211</v>
      </c>
      <c r="N19" s="139">
        <v>1.8237374269630835</v>
      </c>
      <c r="O19" s="139">
        <v>2.0475916246954294E-2</v>
      </c>
      <c r="P19" s="139">
        <v>-1.5501922468800384</v>
      </c>
      <c r="Q19" s="139">
        <v>-2.7093432340808277</v>
      </c>
      <c r="R19" s="139">
        <v>3.0868398038502316</v>
      </c>
      <c r="S19" s="139">
        <v>0.43547397008945193</v>
      </c>
      <c r="T19" s="139">
        <v>1.7087815795672239</v>
      </c>
      <c r="U19" s="139">
        <v>-0.21322262830398672</v>
      </c>
      <c r="V19" s="139">
        <v>-0.43711709394683995</v>
      </c>
      <c r="W19" s="139">
        <v>1.4881808528886125</v>
      </c>
      <c r="X19" s="139">
        <v>0.94673782905508619</v>
      </c>
      <c r="Y19" s="139">
        <v>-0.79826445232887011</v>
      </c>
      <c r="Z19" s="139">
        <v>2.1894607966216286</v>
      </c>
      <c r="AA19" s="139">
        <v>-0.18772998413904343</v>
      </c>
      <c r="AB19" s="139">
        <v>-0.4229322419451837</v>
      </c>
      <c r="AC19" s="139">
        <v>1.8314462888718102</v>
      </c>
      <c r="AD19" s="139">
        <v>-4.857816955448898E-2</v>
      </c>
      <c r="AE19" s="139">
        <v>2.3648922565083006</v>
      </c>
      <c r="AF19" s="139">
        <v>-0.71003683612684476</v>
      </c>
      <c r="AG19" s="139">
        <v>0.95373326079664422</v>
      </c>
      <c r="AH19" s="139">
        <v>-9.7492052323486286E-3</v>
      </c>
      <c r="AI19" s="139">
        <v>0.87012211023807573</v>
      </c>
      <c r="AJ19" s="139">
        <v>1.8438548880952972</v>
      </c>
      <c r="AK19" s="139">
        <v>-0.53557911092378319</v>
      </c>
      <c r="AL19" s="139">
        <v>0.24192078187081667</v>
      </c>
      <c r="AM19" s="139">
        <v>1.2261656516255339</v>
      </c>
    </row>
    <row r="20" spans="1:39" ht="17.100000000000001" customHeight="1" x14ac:dyDescent="0.2">
      <c r="A20" s="103" t="s">
        <v>52</v>
      </c>
      <c r="B20" s="70">
        <v>-4.0369514932581764E-2</v>
      </c>
      <c r="C20" s="70">
        <v>1.5934710107369727E-3</v>
      </c>
      <c r="D20" s="70">
        <v>0.34162490400604206</v>
      </c>
      <c r="E20" s="70">
        <v>0.21422293302371143</v>
      </c>
      <c r="F20" s="70">
        <v>-2.0811735516806928E-2</v>
      </c>
      <c r="G20" s="70">
        <v>0.41248160616211665</v>
      </c>
      <c r="H20" s="70">
        <v>2.0971855104663397E-2</v>
      </c>
      <c r="I20" s="70">
        <v>9.584242189918267E-2</v>
      </c>
      <c r="J20" s="70">
        <v>0.20064498279764517</v>
      </c>
      <c r="K20" s="70">
        <v>-5.5928301591475695E-2</v>
      </c>
      <c r="L20" s="70">
        <v>0.28527074307239969</v>
      </c>
      <c r="M20" s="70">
        <v>-0.17584133721333101</v>
      </c>
      <c r="N20" s="70">
        <v>0.38628460414132548</v>
      </c>
      <c r="O20" s="70">
        <v>-4.348859770660643E-2</v>
      </c>
      <c r="P20" s="70">
        <v>-0.41173552085444381</v>
      </c>
      <c r="Q20" s="70">
        <v>-0.96599207746107829</v>
      </c>
      <c r="R20" s="70">
        <v>1.2690878146887086</v>
      </c>
      <c r="S20" s="70">
        <v>-0.42831875604746539</v>
      </c>
      <c r="T20" s="70">
        <v>1.3873970456095494E-2</v>
      </c>
      <c r="U20" s="70">
        <v>0.12362787666648156</v>
      </c>
      <c r="V20" s="70">
        <v>-0.23384709859366215</v>
      </c>
      <c r="W20" s="70">
        <v>0.49405343550376574</v>
      </c>
      <c r="X20" s="70">
        <v>0.35283279803567436</v>
      </c>
      <c r="Y20" s="70">
        <v>-0.10768159425786439</v>
      </c>
      <c r="Z20" s="70">
        <v>-0.26093710225574512</v>
      </c>
      <c r="AA20" s="70">
        <v>0.26233412997345978</v>
      </c>
      <c r="AB20" s="70">
        <v>6.8081688650679748E-2</v>
      </c>
      <c r="AC20" s="70">
        <v>0.5186487944238577</v>
      </c>
      <c r="AD20" s="70">
        <v>9.3634392788180046E-2</v>
      </c>
      <c r="AE20" s="70">
        <v>6.2894153672263822E-2</v>
      </c>
      <c r="AF20" s="70">
        <v>6.5651126968273216E-2</v>
      </c>
      <c r="AG20" s="70">
        <v>0.35368870890242321</v>
      </c>
      <c r="AH20" s="70">
        <v>0.35098583104235043</v>
      </c>
      <c r="AI20" s="70">
        <v>-0.11731778981469201</v>
      </c>
      <c r="AJ20" s="70">
        <v>0.30270633954840842</v>
      </c>
      <c r="AK20" s="70">
        <v>4.4680626065173444E-2</v>
      </c>
      <c r="AL20" s="70">
        <v>0.29692750719324451</v>
      </c>
      <c r="AM20" s="70">
        <v>-0.20759353635294223</v>
      </c>
    </row>
    <row r="21" spans="1:39" ht="17.100000000000001" customHeight="1" x14ac:dyDescent="0.2">
      <c r="A21" s="103" t="s">
        <v>53</v>
      </c>
      <c r="B21" s="70">
        <v>1.8631421387858522E-2</v>
      </c>
      <c r="C21" s="70">
        <v>4.7795973699733839E-2</v>
      </c>
      <c r="D21" s="70">
        <v>5.90265797125974E-2</v>
      </c>
      <c r="E21" s="70">
        <v>0.13338392492032225</v>
      </c>
      <c r="F21" s="70">
        <v>0.12152436630953592</v>
      </c>
      <c r="G21" s="70">
        <v>7.4940122044529933E-2</v>
      </c>
      <c r="H21" s="70">
        <v>5.2102270973926085E-2</v>
      </c>
      <c r="I21" s="70">
        <v>7.3977820353391038E-2</v>
      </c>
      <c r="J21" s="70">
        <v>-7.0328548571483809E-2</v>
      </c>
      <c r="K21" s="70">
        <v>-3.8456449525177246E-2</v>
      </c>
      <c r="L21" s="70">
        <v>1.9169547969252798E-2</v>
      </c>
      <c r="M21" s="70">
        <v>6.7508131346820655E-2</v>
      </c>
      <c r="N21" s="70">
        <v>0.12450444351304328</v>
      </c>
      <c r="O21" s="70">
        <v>-0.15799457014740201</v>
      </c>
      <c r="P21" s="70">
        <v>-0.13138738942035522</v>
      </c>
      <c r="Q21" s="70">
        <v>-0.16024672183500463</v>
      </c>
      <c r="R21" s="70">
        <v>0.28194828618862577</v>
      </c>
      <c r="S21" s="70">
        <v>-7.0564218305696605E-2</v>
      </c>
      <c r="T21" s="70">
        <v>-2.156932071112826E-2</v>
      </c>
      <c r="U21" s="70">
        <v>7.7709556765627838E-2</v>
      </c>
      <c r="V21" s="70">
        <v>-0.20828744196242366</v>
      </c>
      <c r="W21" s="70">
        <v>7.1925229311107591E-2</v>
      </c>
      <c r="X21" s="70">
        <v>0.12649715849649262</v>
      </c>
      <c r="Y21" s="70">
        <v>-0.21828430193399717</v>
      </c>
      <c r="Z21" s="70">
        <v>-0.11651314780498735</v>
      </c>
      <c r="AA21" s="70">
        <v>0.1325952674061838</v>
      </c>
      <c r="AB21" s="70">
        <v>-8.8100104641422997E-2</v>
      </c>
      <c r="AC21" s="70">
        <v>6.7214995794068833E-3</v>
      </c>
      <c r="AD21" s="70">
        <v>0.12312254926724522</v>
      </c>
      <c r="AE21" s="70">
        <v>0.1049548415746681</v>
      </c>
      <c r="AF21" s="70">
        <v>5.7782819916366406E-2</v>
      </c>
      <c r="AG21" s="70">
        <v>0.10264798207660834</v>
      </c>
      <c r="AH21" s="70">
        <v>9.9404673265394219E-2</v>
      </c>
      <c r="AI21" s="70">
        <v>-1.4565787912814378E-2</v>
      </c>
      <c r="AJ21" s="70">
        <v>0.14683302807628523</v>
      </c>
      <c r="AK21" s="70">
        <v>8.4793183932691835E-2</v>
      </c>
      <c r="AL21" s="70">
        <v>-1.6227341104015806E-2</v>
      </c>
      <c r="AM21" s="70">
        <v>9.845723257963343E-2</v>
      </c>
    </row>
    <row r="22" spans="1:39" ht="17.100000000000001" customHeight="1" x14ac:dyDescent="0.2">
      <c r="A22" s="103" t="s">
        <v>55</v>
      </c>
      <c r="B22" s="70">
        <v>0.30088057584279715</v>
      </c>
      <c r="C22" s="70">
        <v>0.17250881985634731</v>
      </c>
      <c r="D22" s="70">
        <v>5.0435183451013763E-2</v>
      </c>
      <c r="E22" s="70">
        <v>0.18699948176844761</v>
      </c>
      <c r="F22" s="70">
        <v>0.10357094191477952</v>
      </c>
      <c r="G22" s="70">
        <v>-1.5881656586620409E-2</v>
      </c>
      <c r="H22" s="70">
        <v>1.7975848355711518E-2</v>
      </c>
      <c r="I22" s="70">
        <v>-2.7911986649184255E-2</v>
      </c>
      <c r="J22" s="70">
        <v>5.0745883317259995E-2</v>
      </c>
      <c r="K22" s="70">
        <v>-6.2644583643170049E-2</v>
      </c>
      <c r="L22" s="70">
        <v>4.0402455121912546E-2</v>
      </c>
      <c r="M22" s="70">
        <v>-2.1333564160178876E-3</v>
      </c>
      <c r="N22" s="70">
        <v>0.2349352659041056</v>
      </c>
      <c r="O22" s="70">
        <v>-3.6515965063125544E-2</v>
      </c>
      <c r="P22" s="70">
        <v>-0.22843192536156276</v>
      </c>
      <c r="Q22" s="70">
        <v>-1.2757371361313048</v>
      </c>
      <c r="R22" s="70">
        <v>0.94043905260679206</v>
      </c>
      <c r="S22" s="70">
        <v>5.6836958043938159E-2</v>
      </c>
      <c r="T22" s="70">
        <v>0.4628198593093838</v>
      </c>
      <c r="U22" s="70">
        <v>-0.3423086371035241</v>
      </c>
      <c r="V22" s="70">
        <v>-9.2393267856750436E-2</v>
      </c>
      <c r="W22" s="70">
        <v>0.33935883917326581</v>
      </c>
      <c r="X22" s="70">
        <v>-0.36827761133904185</v>
      </c>
      <c r="Y22" s="70">
        <v>-6.7258114549421336E-2</v>
      </c>
      <c r="Z22" s="70">
        <v>0.14399393290178947</v>
      </c>
      <c r="AA22" s="70">
        <v>0.30614873628052885</v>
      </c>
      <c r="AB22" s="70">
        <v>-3.7691994963556831E-2</v>
      </c>
      <c r="AC22" s="70">
        <v>0.25032342504571786</v>
      </c>
      <c r="AD22" s="70">
        <v>-4.0245377556092421E-2</v>
      </c>
      <c r="AE22" s="70">
        <v>-0.13389097566818348</v>
      </c>
      <c r="AF22" s="70">
        <v>0.25707816681810286</v>
      </c>
      <c r="AG22" s="70">
        <v>0.3532150852402538</v>
      </c>
      <c r="AH22" s="70">
        <v>-0.17667158592883517</v>
      </c>
      <c r="AI22" s="70">
        <v>4.8062029372416881E-2</v>
      </c>
      <c r="AJ22" s="70">
        <v>0.12118409931870858</v>
      </c>
      <c r="AK22" s="70">
        <v>-0.48205236511425326</v>
      </c>
      <c r="AL22" s="70">
        <v>0.74207796676750726</v>
      </c>
      <c r="AM22" s="70">
        <v>9.08767941328599E-2</v>
      </c>
    </row>
    <row r="23" spans="1:39" ht="17.100000000000001" customHeight="1" x14ac:dyDescent="0.2">
      <c r="A23" s="103" t="s">
        <v>54</v>
      </c>
      <c r="B23" s="70">
        <v>-7.0868860569258424E-2</v>
      </c>
      <c r="C23" s="70">
        <v>0.12074340562487967</v>
      </c>
      <c r="D23" s="70">
        <v>9.9423473422857803E-2</v>
      </c>
      <c r="E23" s="70">
        <v>3.2075683390736937E-2</v>
      </c>
      <c r="F23" s="70">
        <v>1.1123782888678106E-2</v>
      </c>
      <c r="G23" s="70">
        <v>6.8997558165299372E-2</v>
      </c>
      <c r="H23" s="70">
        <v>8.3744796320079778E-2</v>
      </c>
      <c r="I23" s="70">
        <v>-2.802607030849609E-2</v>
      </c>
      <c r="J23" s="70">
        <v>-0.17898275490358509</v>
      </c>
      <c r="K23" s="70">
        <v>-6.1766273952412167E-2</v>
      </c>
      <c r="L23" s="70">
        <v>4.1051777279585366E-2</v>
      </c>
      <c r="M23" s="70">
        <v>0.11597430097447889</v>
      </c>
      <c r="N23" s="70">
        <v>0.2531588038765602</v>
      </c>
      <c r="O23" s="70">
        <v>0.12056783750582566</v>
      </c>
      <c r="P23" s="70">
        <v>-0.13703650709730128</v>
      </c>
      <c r="Q23" s="70">
        <v>-9.440847348499215E-2</v>
      </c>
      <c r="R23" s="70">
        <v>0.13017275589507055</v>
      </c>
      <c r="S23" s="70">
        <v>0.15193236680856984</v>
      </c>
      <c r="T23" s="70">
        <v>0.16424635569564622</v>
      </c>
      <c r="U23" s="70">
        <v>0.12879664524482873</v>
      </c>
      <c r="V23" s="70">
        <v>-0.16119784574030593</v>
      </c>
      <c r="W23" s="70">
        <v>9.3412203742839123E-2</v>
      </c>
      <c r="X23" s="70">
        <v>6.1128557013497474E-2</v>
      </c>
      <c r="Y23" s="70">
        <v>4.2257552574110506E-2</v>
      </c>
      <c r="Z23" s="70">
        <v>-8.8322401505008585E-2</v>
      </c>
      <c r="AA23" s="70">
        <v>0.11125703770947215</v>
      </c>
      <c r="AB23" s="70">
        <v>0.21172221949522876</v>
      </c>
      <c r="AC23" s="70">
        <v>0.16991246928625706</v>
      </c>
      <c r="AD23" s="70">
        <v>9.5426051098212644E-2</v>
      </c>
      <c r="AE23" s="70">
        <v>-6.4768961581656126E-2</v>
      </c>
      <c r="AF23" s="70">
        <v>-0.15778429159270835</v>
      </c>
      <c r="AG23" s="70">
        <v>-0.30611655074559785</v>
      </c>
      <c r="AH23" s="70">
        <v>0.53218883972010245</v>
      </c>
      <c r="AI23" s="70">
        <v>-0.11791882363697115</v>
      </c>
      <c r="AJ23" s="70">
        <v>0.27391075101892748</v>
      </c>
      <c r="AK23" s="70">
        <v>-0.40068177046310888</v>
      </c>
      <c r="AL23" s="70">
        <v>0.1113835485637779</v>
      </c>
      <c r="AM23" s="70">
        <v>0.12153167259142703</v>
      </c>
    </row>
    <row r="24" spans="1:39" ht="17.100000000000001" customHeight="1" x14ac:dyDescent="0.2">
      <c r="A24" s="103" t="s">
        <v>72</v>
      </c>
      <c r="B24" s="70">
        <v>-0.10914604973249507</v>
      </c>
      <c r="C24" s="70">
        <v>-3.4546990554973844E-2</v>
      </c>
      <c r="D24" s="70">
        <v>0.18815751505447517</v>
      </c>
      <c r="E24" s="70">
        <v>1.6483632551313802E-2</v>
      </c>
      <c r="F24" s="70">
        <v>-5.5827914877070013E-2</v>
      </c>
      <c r="G24" s="70">
        <v>8.3861257781208953E-2</v>
      </c>
      <c r="H24" s="70">
        <v>-0.18037689374872304</v>
      </c>
      <c r="I24" s="70">
        <v>0.18583903994294398</v>
      </c>
      <c r="J24" s="70">
        <v>2.1164428293211957E-2</v>
      </c>
      <c r="K24" s="70">
        <v>0.13214956099433545</v>
      </c>
      <c r="L24" s="70">
        <v>8.9193956957903137E-2</v>
      </c>
      <c r="M24" s="70">
        <v>0.1314354828250448</v>
      </c>
      <c r="N24" s="70">
        <v>0.16324847587487493</v>
      </c>
      <c r="O24" s="70">
        <v>7.203701479970151E-2</v>
      </c>
      <c r="P24" s="70">
        <v>-0.11421137421431558</v>
      </c>
      <c r="Q24" s="70">
        <v>-0.33261853192085727</v>
      </c>
      <c r="R24" s="70">
        <v>0.5109362492051297</v>
      </c>
      <c r="S24" s="70">
        <v>-9.5001101025952231E-2</v>
      </c>
      <c r="T24" s="70">
        <v>0.26774646075714664</v>
      </c>
      <c r="U24" s="70">
        <v>-0.10124197801889923</v>
      </c>
      <c r="V24" s="70">
        <v>-5.5717690761743495E-2</v>
      </c>
      <c r="W24" s="70">
        <v>-4.9292441964456341E-2</v>
      </c>
      <c r="X24" s="70">
        <v>0.44076092627417413</v>
      </c>
      <c r="Y24" s="70">
        <v>-0.13982788107839009</v>
      </c>
      <c r="Z24" s="70">
        <v>-0.17087034421318781</v>
      </c>
      <c r="AA24" s="70">
        <v>0.24606747673994489</v>
      </c>
      <c r="AB24" s="70">
        <v>-0.45949301776941609</v>
      </c>
      <c r="AC24" s="70">
        <v>0.54055742856242739</v>
      </c>
      <c r="AD24" s="70">
        <v>-0.2628721548992714</v>
      </c>
      <c r="AE24" s="70">
        <v>0.13073840499794526</v>
      </c>
      <c r="AF24" s="70">
        <v>-0.19749091280804712</v>
      </c>
      <c r="AG24" s="70">
        <v>0.3436128234068076</v>
      </c>
      <c r="AH24" s="70">
        <v>1.2728895218620459E-2</v>
      </c>
      <c r="AI24" s="70">
        <v>-0.12031901684915684</v>
      </c>
      <c r="AJ24" s="70">
        <v>-4.5267603707697272E-2</v>
      </c>
      <c r="AK24" s="70">
        <v>0.16595001815855787</v>
      </c>
      <c r="AL24" s="70">
        <v>0.19909794770757816</v>
      </c>
      <c r="AM24" s="70">
        <v>-0.12235715633999826</v>
      </c>
    </row>
    <row r="25" spans="1:39" ht="17.100000000000001" customHeight="1" x14ac:dyDescent="0.2">
      <c r="A25" s="103" t="s">
        <v>14</v>
      </c>
      <c r="B25" s="70">
        <v>-8.4377753825649104E-2</v>
      </c>
      <c r="C25" s="70">
        <v>6.3131443970295548E-2</v>
      </c>
      <c r="D25" s="70">
        <v>0.13373262487300813</v>
      </c>
      <c r="E25" s="70">
        <v>0.21360356780914885</v>
      </c>
      <c r="F25" s="70">
        <v>0.14018813567027708</v>
      </c>
      <c r="G25" s="70">
        <v>0.29154899394952366</v>
      </c>
      <c r="H25" s="70">
        <v>6.6302273681059468E-2</v>
      </c>
      <c r="I25" s="70">
        <v>0.16405360908318564</v>
      </c>
      <c r="J25" s="70">
        <v>0.33034774405858081</v>
      </c>
      <c r="K25" s="70">
        <v>8.1863480111594097E-2</v>
      </c>
      <c r="L25" s="70">
        <v>7.2531322414580907E-2</v>
      </c>
      <c r="M25" s="70">
        <v>-0.10445262829707226</v>
      </c>
      <c r="N25" s="70">
        <v>0.24954054014689908</v>
      </c>
      <c r="O25" s="70">
        <v>-0.13126751187508565</v>
      </c>
      <c r="P25" s="70">
        <v>0.37106415485520583</v>
      </c>
      <c r="Q25" s="70">
        <v>3.828008864138191E-2</v>
      </c>
      <c r="R25" s="70">
        <v>-3.6353753174254738E-2</v>
      </c>
      <c r="S25" s="70">
        <v>1.8637340457679907E-2</v>
      </c>
      <c r="T25" s="70">
        <v>8.4673942302320032E-2</v>
      </c>
      <c r="U25" s="70">
        <v>0.18018918656424382</v>
      </c>
      <c r="V25" s="70">
        <v>0.17372193294004984</v>
      </c>
      <c r="W25" s="70">
        <v>0.19962450287157874</v>
      </c>
      <c r="X25" s="70">
        <v>0.10381503400870877</v>
      </c>
      <c r="Y25" s="70">
        <v>0.13534949030715179</v>
      </c>
      <c r="Z25" s="70">
        <v>0.15217885102785189</v>
      </c>
      <c r="AA25" s="70">
        <v>8.9762672580002853E-2</v>
      </c>
      <c r="AB25" s="70">
        <v>6.0656988998597179E-2</v>
      </c>
      <c r="AC25" s="70">
        <v>0.21610375198068377</v>
      </c>
      <c r="AD25" s="70">
        <v>0.14484295372740036</v>
      </c>
      <c r="AE25" s="70">
        <v>0.16062313634523012</v>
      </c>
      <c r="AF25" s="70">
        <v>7.575236271510144E-2</v>
      </c>
      <c r="AG25" s="70">
        <v>-2.5510979769766465E-4</v>
      </c>
      <c r="AH25" s="70">
        <v>9.7353536246181649E-3</v>
      </c>
      <c r="AI25" s="70">
        <v>0.13052608117402276</v>
      </c>
      <c r="AJ25" s="70">
        <v>0.3316335290302066</v>
      </c>
      <c r="AK25" s="70">
        <v>-4.0817757974055499E-2</v>
      </c>
      <c r="AL25" s="70">
        <v>0.14491578095022448</v>
      </c>
      <c r="AM25" s="70">
        <v>-2.1613189342930984E-3</v>
      </c>
    </row>
    <row r="26" spans="1:39" ht="17.100000000000001" customHeight="1" x14ac:dyDescent="0.2">
      <c r="A26" s="103" t="s">
        <v>56</v>
      </c>
      <c r="B26" s="70">
        <v>-7.45179034811181E-2</v>
      </c>
      <c r="C26" s="70">
        <v>-0.2727056332942534</v>
      </c>
      <c r="D26" s="70">
        <v>-0.15419253761752019</v>
      </c>
      <c r="E26" s="70">
        <v>4.3482786185566571E-2</v>
      </c>
      <c r="F26" s="70">
        <v>0.21961581155739632</v>
      </c>
      <c r="G26" s="70">
        <v>-3.0353025157156752E-3</v>
      </c>
      <c r="H26" s="70">
        <v>4.3840531142197395E-2</v>
      </c>
      <c r="I26" s="70">
        <v>7.2096848142109662E-2</v>
      </c>
      <c r="J26" s="70">
        <v>-4.4221270793315504E-2</v>
      </c>
      <c r="K26" s="70">
        <v>-0.16269362970951667</v>
      </c>
      <c r="L26" s="70">
        <v>0.31333641378337818</v>
      </c>
      <c r="M26" s="70">
        <v>0.24044851246859841</v>
      </c>
      <c r="N26" s="70">
        <v>0.30792499314980759</v>
      </c>
      <c r="O26" s="70">
        <v>-0.29844362808679731</v>
      </c>
      <c r="P26" s="70">
        <v>-0.76593907539900985</v>
      </c>
      <c r="Q26" s="70">
        <v>0.33327454877738105</v>
      </c>
      <c r="R26" s="70">
        <v>-5.6870505238878332E-3</v>
      </c>
      <c r="S26" s="70">
        <v>0.25991721824554892</v>
      </c>
      <c r="T26" s="70">
        <v>0.18665347760237841</v>
      </c>
      <c r="U26" s="70">
        <v>-0.10195210238694455</v>
      </c>
      <c r="V26" s="70">
        <v>0.2966995933137988</v>
      </c>
      <c r="W26" s="70">
        <v>-0.27234348588476764</v>
      </c>
      <c r="X26" s="70">
        <v>-0.23001620919151966</v>
      </c>
      <c r="Y26" s="70">
        <v>3.1817101280804526E-2</v>
      </c>
      <c r="Z26" s="70">
        <v>1.6180706149176189</v>
      </c>
      <c r="AA26" s="70">
        <v>-1.0282553274708923</v>
      </c>
      <c r="AB26" s="70">
        <v>-0.10036323508894783</v>
      </c>
      <c r="AC26" s="70">
        <v>-0.18220572678284944</v>
      </c>
      <c r="AD26" s="70">
        <v>-2.985083222461157E-2</v>
      </c>
      <c r="AE26" s="70">
        <v>1.3918640197286332</v>
      </c>
      <c r="AF26" s="70">
        <v>-0.93835538198637591</v>
      </c>
      <c r="AG26" s="70">
        <v>-8.7472127949481712E-2</v>
      </c>
      <c r="AH26" s="70">
        <v>-0.16654433790830331</v>
      </c>
      <c r="AI26" s="70">
        <v>0.34063701296806265</v>
      </c>
      <c r="AJ26" s="70">
        <v>0.25197707939451708</v>
      </c>
      <c r="AK26" s="70">
        <v>1.647052719368669E-2</v>
      </c>
      <c r="AL26" s="70">
        <v>-0.43099354592172873</v>
      </c>
      <c r="AM26" s="70">
        <v>-0.29780223537332684</v>
      </c>
    </row>
    <row r="27" spans="1:39" ht="17.100000000000001" customHeight="1" x14ac:dyDescent="0.2">
      <c r="A27" s="103" t="s">
        <v>57</v>
      </c>
      <c r="B27" s="70">
        <v>4.1485170296597713E-2</v>
      </c>
      <c r="C27" s="70">
        <v>2.4879068804676222E-2</v>
      </c>
      <c r="D27" s="70">
        <v>1.4443503309012637E-2</v>
      </c>
      <c r="E27" s="70">
        <v>1.1769126341908109E-2</v>
      </c>
      <c r="F27" s="70">
        <v>1.6599690962827016E-2</v>
      </c>
      <c r="G27" s="70">
        <v>1.2340345812848774E-3</v>
      </c>
      <c r="H27" s="70">
        <v>4.8510800525209348E-2</v>
      </c>
      <c r="I27" s="70">
        <v>9.3053615752757335E-2</v>
      </c>
      <c r="J27" s="70">
        <v>9.3640729226384362E-2</v>
      </c>
      <c r="K27" s="70">
        <v>6.0046401012152549E-2</v>
      </c>
      <c r="L27" s="70">
        <v>7.0062528329054075E-2</v>
      </c>
      <c r="M27" s="70">
        <v>8.9652317235558998E-2</v>
      </c>
      <c r="N27" s="70">
        <v>5.8463455649587034E-2</v>
      </c>
      <c r="O27" s="70">
        <v>6.2320726800237501E-2</v>
      </c>
      <c r="P27" s="70">
        <v>-0.17307599790778586</v>
      </c>
      <c r="Q27" s="70">
        <v>2.5853647803784106E-2</v>
      </c>
      <c r="R27" s="70">
        <v>7.6320814842395238E-2</v>
      </c>
      <c r="S27" s="70">
        <v>4.4905504439471694E-2</v>
      </c>
      <c r="T27" s="70">
        <v>5.830547131924586E-3</v>
      </c>
      <c r="U27" s="70">
        <v>-3.5784372401666452E-2</v>
      </c>
      <c r="V27" s="70">
        <v>3.1731371058096564E-2</v>
      </c>
      <c r="W27" s="70">
        <v>5.6166218853343518E-2</v>
      </c>
      <c r="X27" s="70">
        <v>-2.345305416276778E-3</v>
      </c>
      <c r="Y27" s="70">
        <v>3.5247707326677126E-2</v>
      </c>
      <c r="Z27" s="70">
        <v>0.26407501897351565</v>
      </c>
      <c r="AA27" s="70">
        <v>-1.1247112508346313E-3</v>
      </c>
      <c r="AB27" s="70">
        <v>8.4268216075090538E-2</v>
      </c>
      <c r="AC27" s="70">
        <v>-2.5075049465278318E-2</v>
      </c>
      <c r="AD27" s="70">
        <v>-4.9041166789112689E-2</v>
      </c>
      <c r="AE27" s="70">
        <v>-2.1292707080517205E-2</v>
      </c>
      <c r="AF27" s="70">
        <v>0.22978691609556973</v>
      </c>
      <c r="AG27" s="70">
        <v>-6.2838070633725995E-4</v>
      </c>
      <c r="AH27" s="70">
        <v>-0.14846551833957583</v>
      </c>
      <c r="AI27" s="70">
        <v>1.3990673930957433E-2</v>
      </c>
      <c r="AJ27" s="70">
        <v>0.36866019831857411</v>
      </c>
      <c r="AK27" s="70">
        <v>-0.23598482570779192</v>
      </c>
      <c r="AL27" s="70">
        <v>-6.0755915122618787E-3</v>
      </c>
      <c r="AM27" s="70">
        <v>0.61014286616005775</v>
      </c>
    </row>
    <row r="28" spans="1:39" ht="17.100000000000001" customHeight="1" x14ac:dyDescent="0.2">
      <c r="A28" s="103" t="s">
        <v>15</v>
      </c>
      <c r="B28" s="70">
        <v>4.9417164002942427E-3</v>
      </c>
      <c r="C28" s="70">
        <v>7.5664701098660289E-2</v>
      </c>
      <c r="D28" s="70">
        <v>0.12398676706445418</v>
      </c>
      <c r="E28" s="70">
        <v>0.21688169686337064</v>
      </c>
      <c r="F28" s="70">
        <v>3.0718859870108851E-2</v>
      </c>
      <c r="G28" s="70">
        <v>-4.7547436280253449E-3</v>
      </c>
      <c r="H28" s="70">
        <v>-4.3180834846561975E-2</v>
      </c>
      <c r="I28" s="70">
        <v>-6.2589300463741657E-2</v>
      </c>
      <c r="J28" s="70">
        <v>0.11446501052344818</v>
      </c>
      <c r="K28" s="70">
        <v>-5.0613637218524292E-2</v>
      </c>
      <c r="L28" s="70">
        <v>0.11983092042819098</v>
      </c>
      <c r="M28" s="70">
        <v>0.14699432260448553</v>
      </c>
      <c r="N28" s="70">
        <v>0.11278240217698976</v>
      </c>
      <c r="O28" s="70">
        <v>0.122481718731084</v>
      </c>
      <c r="P28" s="70">
        <v>1.3425123932612958E-2</v>
      </c>
      <c r="Q28" s="70">
        <v>8.3786611115341414E-2</v>
      </c>
      <c r="R28" s="70">
        <v>0.12022458938706797</v>
      </c>
      <c r="S28" s="70">
        <v>8.0233324959764873E-2</v>
      </c>
      <c r="T28" s="70">
        <v>0.370835447801666</v>
      </c>
      <c r="U28" s="70">
        <v>-0.45480065343703435</v>
      </c>
      <c r="V28" s="70">
        <v>0.19888233058946453</v>
      </c>
      <c r="W28" s="70">
        <v>-4.459880310735697E-3</v>
      </c>
      <c r="X28" s="70">
        <v>0.14870346561661898</v>
      </c>
      <c r="Y28" s="70">
        <v>-0.1236678098399614</v>
      </c>
      <c r="Z28" s="70">
        <v>0.23192750126050005</v>
      </c>
      <c r="AA28" s="70">
        <v>-0.12605060903984616</v>
      </c>
      <c r="AB28" s="70">
        <v>-0.21431650865594487</v>
      </c>
      <c r="AC28" s="70">
        <v>9.8148374848289671E-2</v>
      </c>
      <c r="AD28" s="70">
        <v>-0.27034281020804862</v>
      </c>
      <c r="AE28" s="70">
        <v>0.55598158098012085</v>
      </c>
      <c r="AF28" s="70">
        <v>5.2537348692119302E-3</v>
      </c>
      <c r="AG28" s="70">
        <v>0.37664902371639458</v>
      </c>
      <c r="AH28" s="70">
        <v>-0.81384072549892728</v>
      </c>
      <c r="AI28" s="70">
        <v>0.56172500361677802</v>
      </c>
      <c r="AJ28" s="70">
        <v>8.7928336910806218E-2</v>
      </c>
      <c r="AK28" s="70">
        <v>0.1461699901629909</v>
      </c>
      <c r="AL28" s="70">
        <v>-0.87592043265634145</v>
      </c>
      <c r="AM28" s="70">
        <v>0.86141715600849322</v>
      </c>
    </row>
    <row r="29" spans="1:39" ht="17.100000000000001" customHeight="1" x14ac:dyDescent="0.2">
      <c r="A29" s="103" t="s">
        <v>16</v>
      </c>
      <c r="B29" s="70">
        <v>-2.2481013051984688E-2</v>
      </c>
      <c r="C29" s="70">
        <v>-0.26484765114534697</v>
      </c>
      <c r="D29" s="70">
        <v>-0.13735747289425557</v>
      </c>
      <c r="E29" s="70">
        <v>0.1285617698209631</v>
      </c>
      <c r="F29" s="70">
        <v>0.27355521707710445</v>
      </c>
      <c r="G29" s="70">
        <v>5.945360468270558E-2</v>
      </c>
      <c r="H29" s="70">
        <v>2.09393293637231E-2</v>
      </c>
      <c r="I29" s="70">
        <v>-2.0837035877915626E-2</v>
      </c>
      <c r="J29" s="70">
        <v>0.41785799860766698</v>
      </c>
      <c r="K29" s="70">
        <v>0.17707117336648467</v>
      </c>
      <c r="L29" s="70">
        <v>-0.20874940610611653</v>
      </c>
      <c r="M29" s="70">
        <v>-0.22252194377245499</v>
      </c>
      <c r="N29" s="70">
        <v>-0.10774301146110524</v>
      </c>
      <c r="O29" s="70">
        <v>0.32633770682531404</v>
      </c>
      <c r="P29" s="70">
        <v>3.5239708442677556E-2</v>
      </c>
      <c r="Q29" s="70">
        <v>-0.10326646529547923</v>
      </c>
      <c r="R29" s="70">
        <v>-0.85100893044379455</v>
      </c>
      <c r="S29" s="70">
        <v>0.58846579948188404</v>
      </c>
      <c r="T29" s="70">
        <v>0.23172458048906075</v>
      </c>
      <c r="U29" s="70">
        <v>0.12855626963940456</v>
      </c>
      <c r="V29" s="70">
        <v>-0.51234798852150953</v>
      </c>
      <c r="W29" s="70">
        <v>0.11573183427036146</v>
      </c>
      <c r="X29" s="70">
        <v>0.48312770022786478</v>
      </c>
      <c r="Y29" s="70">
        <v>-0.43021809693876889</v>
      </c>
      <c r="Z29" s="70">
        <v>0.25787740964638678</v>
      </c>
      <c r="AA29" s="70">
        <v>-0.26747075805229131</v>
      </c>
      <c r="AB29" s="70">
        <v>0.10990525206537578</v>
      </c>
      <c r="AC29" s="70">
        <v>0.28888425776916821</v>
      </c>
      <c r="AD29" s="70">
        <v>0.18148738265768596</v>
      </c>
      <c r="AE29" s="70">
        <v>-0.25291952692545044</v>
      </c>
      <c r="AF29" s="70">
        <v>-5.2757920855518031E-2</v>
      </c>
      <c r="AG29" s="70">
        <v>-8.0025192439006371E-3</v>
      </c>
      <c r="AH29" s="70">
        <v>0.15922812997142768</v>
      </c>
      <c r="AI29" s="70">
        <v>9.0535260757124134E-2</v>
      </c>
      <c r="AJ29" s="70">
        <v>1.9501142983025629E-2</v>
      </c>
      <c r="AK29" s="70">
        <v>0.18868670093755527</v>
      </c>
      <c r="AL29" s="70">
        <v>-0.12727357057409883</v>
      </c>
      <c r="AM29" s="70">
        <v>0.25528324855636647</v>
      </c>
    </row>
    <row r="30" spans="1:39" ht="17.100000000000001" customHeight="1" x14ac:dyDescent="0.2">
      <c r="A30" s="103" t="s">
        <v>58</v>
      </c>
      <c r="B30" s="70">
        <v>-3.0205603278884111E-2</v>
      </c>
      <c r="C30" s="70">
        <v>1.5302701264441573E-2</v>
      </c>
      <c r="D30" s="70">
        <v>0.10352358915722745</v>
      </c>
      <c r="E30" s="70">
        <v>0.21727171035187931</v>
      </c>
      <c r="F30" s="70">
        <v>0.18712371613056725</v>
      </c>
      <c r="G30" s="70">
        <v>0.11539948043288092</v>
      </c>
      <c r="H30" s="70">
        <v>4.5237490408681413E-2</v>
      </c>
      <c r="I30" s="70">
        <v>-4.9801863886226372E-2</v>
      </c>
      <c r="J30" s="70">
        <v>0.18366941473866949</v>
      </c>
      <c r="K30" s="70">
        <v>-0.10879928117386418</v>
      </c>
      <c r="L30" s="70">
        <v>5.5484433139311673E-2</v>
      </c>
      <c r="M30" s="70">
        <v>0.10016623378425889</v>
      </c>
      <c r="N30" s="70">
        <v>3.1901503178209861E-2</v>
      </c>
      <c r="O30" s="70">
        <v>-2.6501777851303348E-2</v>
      </c>
      <c r="P30" s="70">
        <v>-5.7147068387236287E-3</v>
      </c>
      <c r="Q30" s="70">
        <v>-0.22708100461721722</v>
      </c>
      <c r="R30" s="70">
        <v>0.64317368519904727</v>
      </c>
      <c r="S30" s="70">
        <v>-0.22833345914144318</v>
      </c>
      <c r="T30" s="70">
        <v>-9.8267599840260317E-2</v>
      </c>
      <c r="U30" s="70">
        <v>0.11154523823241869</v>
      </c>
      <c r="V30" s="70">
        <v>9.7501586820102931E-2</v>
      </c>
      <c r="W30" s="70">
        <v>0.43744689085119248</v>
      </c>
      <c r="X30" s="70">
        <v>-0.16235326879680959</v>
      </c>
      <c r="Y30" s="70">
        <v>-1.9066346982877506E-2</v>
      </c>
      <c r="Z30" s="70">
        <v>0.19120410748462258</v>
      </c>
      <c r="AA30" s="70">
        <v>1.9995686375115351E-2</v>
      </c>
      <c r="AB30" s="70">
        <v>-7.8254418545683185E-2</v>
      </c>
      <c r="AC30" s="70">
        <v>-9.2741931990279899E-2</v>
      </c>
      <c r="AD30" s="70">
        <v>-4.5985515221378719E-2</v>
      </c>
      <c r="AE30" s="70">
        <v>0.10880052113975021</v>
      </c>
      <c r="AF30" s="70">
        <v>0.22809441608457348</v>
      </c>
      <c r="AG30" s="70">
        <v>0.116589616741755</v>
      </c>
      <c r="AH30" s="70">
        <v>-0.17460551707453129</v>
      </c>
      <c r="AI30" s="70">
        <v>4.8553177733561784E-2</v>
      </c>
      <c r="AJ30" s="70">
        <v>-1.7169815719602119E-2</v>
      </c>
      <c r="AK30" s="70">
        <v>-4.6332768287839395E-2</v>
      </c>
      <c r="AL30" s="70">
        <v>0.16310804882534463</v>
      </c>
      <c r="AM30" s="70">
        <v>7.3379192305521437E-2</v>
      </c>
    </row>
    <row r="31" spans="1:39" ht="17.100000000000001" customHeight="1" x14ac:dyDescent="0.2">
      <c r="A31" s="103" t="s">
        <v>71</v>
      </c>
      <c r="B31" s="70">
        <v>2.5338267121635099E-3</v>
      </c>
      <c r="C31" s="70">
        <v>8.588105885677929E-3</v>
      </c>
      <c r="D31" s="70">
        <v>2.6340697193475496E-2</v>
      </c>
      <c r="E31" s="70">
        <v>6.7275133384694E-2</v>
      </c>
      <c r="F31" s="70">
        <v>-3.519262432369951E-2</v>
      </c>
      <c r="G31" s="70">
        <v>4.9307113686347173E-2</v>
      </c>
      <c r="H31" s="70">
        <v>1.3731863036019247E-2</v>
      </c>
      <c r="I31" s="70">
        <v>1.1768516187873633E-2</v>
      </c>
      <c r="J31" s="70">
        <v>1.7322503487573127E-2</v>
      </c>
      <c r="K31" s="70">
        <v>-9.1949255926672031E-3</v>
      </c>
      <c r="L31" s="70">
        <v>1.0393838309170428E-2</v>
      </c>
      <c r="M31" s="70">
        <v>-8.4503309782040827E-3</v>
      </c>
      <c r="N31" s="70">
        <v>7.7669678150728511E-4</v>
      </c>
      <c r="O31" s="70">
        <v>2.3562803237443942E-3</v>
      </c>
      <c r="P31" s="70">
        <v>-9.3073457617722701E-3</v>
      </c>
      <c r="Q31" s="70">
        <v>-4.533013491476471E-2</v>
      </c>
      <c r="R31" s="70">
        <v>-7.310175874825962E-3</v>
      </c>
      <c r="S31" s="70">
        <v>1.9988236582420077E-2</v>
      </c>
      <c r="T31" s="70">
        <v>-6.9451676123781685E-3</v>
      </c>
      <c r="U31" s="70">
        <v>2.8957624001106977E-2</v>
      </c>
      <c r="V31" s="70">
        <v>-3.2173846733253193E-3</v>
      </c>
      <c r="W31" s="70">
        <v>-1.8294054643536995E-2</v>
      </c>
      <c r="X31" s="70">
        <v>-2.7568092989478387E-2</v>
      </c>
      <c r="Y31" s="70">
        <v>1.7882321056925103E-2</v>
      </c>
      <c r="Z31" s="70">
        <v>-3.8393745944694399E-2</v>
      </c>
      <c r="AA31" s="70">
        <v>5.0769473090558515E-2</v>
      </c>
      <c r="AB31" s="70">
        <v>6.5687983729171536E-3</v>
      </c>
      <c r="AC31" s="70">
        <v>2.742668892333909E-2</v>
      </c>
      <c r="AD31" s="70">
        <v>-1.3058343871988573E-2</v>
      </c>
      <c r="AE31" s="70">
        <v>-2.5432731282887682E-2</v>
      </c>
      <c r="AF31" s="70">
        <v>2.1328967305782584E-2</v>
      </c>
      <c r="AG31" s="70">
        <v>-8.8762332241062048E-3</v>
      </c>
      <c r="AH31" s="70">
        <v>1.4571877381321194E-2</v>
      </c>
      <c r="AI31" s="70">
        <v>-9.319887682048951E-3</v>
      </c>
      <c r="AJ31" s="70">
        <v>9.1665662701225659E-3</v>
      </c>
      <c r="AK31" s="70">
        <v>-2.8912124991947931E-2</v>
      </c>
      <c r="AL31" s="70">
        <v>2.6870450264113555E-2</v>
      </c>
      <c r="AM31" s="70">
        <v>-4.4625791679859606E-3</v>
      </c>
    </row>
    <row r="32" spans="1:39" ht="17.100000000000001" customHeight="1" x14ac:dyDescent="0.2">
      <c r="A32" s="103" t="s">
        <v>17</v>
      </c>
      <c r="B32" s="70">
        <v>-4.7226387264891458E-2</v>
      </c>
      <c r="C32" s="70">
        <v>-5.7862825254408078E-2</v>
      </c>
      <c r="D32" s="70">
        <v>-5.973787437020755E-3</v>
      </c>
      <c r="E32" s="70">
        <v>-4.4126333814130975E-2</v>
      </c>
      <c r="F32" s="70">
        <v>-6.082290258280814E-3</v>
      </c>
      <c r="G32" s="70">
        <v>1.2140859356779922E-2</v>
      </c>
      <c r="H32" s="70">
        <v>1.7925026730145247E-2</v>
      </c>
      <c r="I32" s="70">
        <v>7.3426452946980204E-3</v>
      </c>
      <c r="J32" s="70">
        <v>6.6286184262549119E-2</v>
      </c>
      <c r="K32" s="70">
        <v>2.8776926886341619E-2</v>
      </c>
      <c r="L32" s="70">
        <v>1.5539144753769146E-2</v>
      </c>
      <c r="M32" s="70">
        <v>1.5689966679825158E-2</v>
      </c>
      <c r="N32" s="70">
        <v>2.7428362581824366E-3</v>
      </c>
      <c r="O32" s="70">
        <v>3.4888415720560214E-3</v>
      </c>
      <c r="P32" s="70">
        <v>1.9754156005477568E-3</v>
      </c>
      <c r="Q32" s="70">
        <v>9.0932349917397307E-3</v>
      </c>
      <c r="R32" s="70">
        <v>9.3231707118696244E-3</v>
      </c>
      <c r="S32" s="70">
        <v>3.1526883225364677E-2</v>
      </c>
      <c r="T32" s="70">
        <v>4.1956615791881077E-2</v>
      </c>
      <c r="U32" s="70">
        <v>3.8283719211453467E-2</v>
      </c>
      <c r="V32" s="70">
        <v>2.6178793753957114E-2</v>
      </c>
      <c r="W32" s="70">
        <v>1.9547790931382533E-2</v>
      </c>
      <c r="X32" s="70">
        <v>1.5421132283770402E-2</v>
      </c>
      <c r="Y32" s="70">
        <v>4.029082308738955E-2</v>
      </c>
      <c r="Z32" s="70">
        <v>2.3690901105040898E-4</v>
      </c>
      <c r="AA32" s="70">
        <v>1.1278926037858811E-2</v>
      </c>
      <c r="AB32" s="70">
        <v>9.0640573795858683E-3</v>
      </c>
      <c r="AC32" s="70">
        <v>9.6671213547343589E-3</v>
      </c>
      <c r="AD32" s="70">
        <v>1.9419523300705326E-2</v>
      </c>
      <c r="AE32" s="70">
        <v>0.34247581254305171</v>
      </c>
      <c r="AF32" s="70">
        <v>-0.30916376126979833</v>
      </c>
      <c r="AG32" s="70">
        <v>-0.2860874490961377</v>
      </c>
      <c r="AH32" s="70">
        <v>0.28688544970684737</v>
      </c>
      <c r="AI32" s="70">
        <v>1.0900216109002697E-2</v>
      </c>
      <c r="AJ32" s="70">
        <v>-1.1966360630570917E-2</v>
      </c>
      <c r="AK32" s="70">
        <v>4.77777297055113E-2</v>
      </c>
      <c r="AL32" s="70">
        <v>9.4852030219853972E-3</v>
      </c>
      <c r="AM32" s="70">
        <v>-0.25074155738774967</v>
      </c>
    </row>
    <row r="33" spans="1:39" ht="17.100000000000001" customHeight="1" x14ac:dyDescent="0.2">
      <c r="A33" s="103" t="s">
        <v>59</v>
      </c>
      <c r="B33" s="70">
        <v>6.268328770655497E-3</v>
      </c>
      <c r="C33" s="70">
        <v>6.1630286745063519E-3</v>
      </c>
      <c r="D33" s="70">
        <v>5.891886087749632E-3</v>
      </c>
      <c r="E33" s="70">
        <v>5.6977574648383175E-3</v>
      </c>
      <c r="F33" s="70">
        <v>5.5181607409932306E-3</v>
      </c>
      <c r="G33" s="70">
        <v>5.5347323298321118E-3</v>
      </c>
      <c r="H33" s="70">
        <v>5.466457694869465E-3</v>
      </c>
      <c r="I33" s="70">
        <v>5.4188599517462632E-3</v>
      </c>
      <c r="J33" s="70">
        <v>5.4510789060089613E-3</v>
      </c>
      <c r="K33" s="70">
        <v>5.4060990279412259E-3</v>
      </c>
      <c r="L33" s="70">
        <v>5.3231463209278936E-3</v>
      </c>
      <c r="M33" s="70">
        <v>5.103713687250668E-3</v>
      </c>
      <c r="N33" s="70">
        <v>5.2164177731016679E-3</v>
      </c>
      <c r="O33" s="70">
        <v>5.0978404193031844E-3</v>
      </c>
      <c r="P33" s="70">
        <v>4.9431931441927118E-3</v>
      </c>
      <c r="Q33" s="70">
        <v>5.0491802502364552E-3</v>
      </c>
      <c r="R33" s="70">
        <v>5.5732951422959162E-3</v>
      </c>
      <c r="S33" s="70">
        <v>5.2478723653695504E-3</v>
      </c>
      <c r="T33" s="70">
        <v>5.2024103934821065E-3</v>
      </c>
      <c r="U33" s="70">
        <v>5.1989987185207713E-3</v>
      </c>
      <c r="V33" s="70">
        <v>5.1760156874089839E-3</v>
      </c>
      <c r="W33" s="70">
        <v>5.3037701832653892E-3</v>
      </c>
      <c r="X33" s="70">
        <v>5.0115448313960949E-3</v>
      </c>
      <c r="Y33" s="70">
        <v>4.8946976193657912E-3</v>
      </c>
      <c r="Z33" s="70">
        <v>4.9331931219152268E-3</v>
      </c>
      <c r="AA33" s="70">
        <v>4.9620154817018158E-3</v>
      </c>
      <c r="AB33" s="70">
        <v>5.0198166823076946E-3</v>
      </c>
      <c r="AC33" s="70">
        <v>5.0751853363318819E-3</v>
      </c>
      <c r="AD33" s="70">
        <v>4.8851783765873347E-3</v>
      </c>
      <c r="AE33" s="70">
        <v>4.8646880653383118E-3</v>
      </c>
      <c r="AF33" s="70">
        <v>4.7869216126147909E-3</v>
      </c>
      <c r="AG33" s="70">
        <v>4.768391475661128E-3</v>
      </c>
      <c r="AH33" s="70">
        <v>4.649429587143805E-3</v>
      </c>
      <c r="AI33" s="70">
        <v>4.6339604718343089E-3</v>
      </c>
      <c r="AJ33" s="70">
        <v>4.7575972835709667E-3</v>
      </c>
      <c r="AK33" s="70">
        <v>4.6737254590573764E-3</v>
      </c>
      <c r="AL33" s="70">
        <v>4.5448103454940377E-3</v>
      </c>
      <c r="AM33" s="70">
        <v>1.9587284746058607E-4</v>
      </c>
    </row>
    <row r="34" spans="1:39" ht="17.100000000000001" customHeight="1" x14ac:dyDescent="0.2">
      <c r="A34" s="70"/>
      <c r="B34" s="70"/>
      <c r="C34" s="70"/>
      <c r="D34" s="70"/>
      <c r="E34" s="70"/>
      <c r="F34" s="70"/>
      <c r="G34" s="70"/>
      <c r="H34" s="70"/>
      <c r="I34" s="70"/>
      <c r="J34" s="70"/>
      <c r="K34" s="70"/>
      <c r="L34" s="70"/>
      <c r="M34" s="70"/>
      <c r="N34" s="70"/>
      <c r="O34" s="70"/>
      <c r="P34" s="70"/>
      <c r="Q34" s="70"/>
      <c r="R34" s="70"/>
      <c r="S34" s="70"/>
      <c r="T34" s="70"/>
      <c r="U34" s="70"/>
      <c r="V34" s="70"/>
      <c r="W34" s="70"/>
      <c r="X34" s="70"/>
      <c r="Y34" s="70"/>
    </row>
    <row r="35" spans="1:39" s="86" customFormat="1" ht="17.100000000000001" customHeight="1" x14ac:dyDescent="0.2">
      <c r="A35" s="139" t="s">
        <v>95</v>
      </c>
      <c r="B35" s="143"/>
      <c r="C35" s="143"/>
      <c r="D35" s="143"/>
      <c r="E35" s="143"/>
      <c r="F35" s="143"/>
      <c r="G35" s="143"/>
      <c r="H35" s="143"/>
      <c r="I35" s="143"/>
      <c r="J35" s="143"/>
      <c r="K35" s="143"/>
      <c r="L35" s="143"/>
      <c r="M35" s="143"/>
      <c r="N35" s="143"/>
      <c r="O35" s="143"/>
      <c r="P35" s="143"/>
      <c r="Q35" s="143"/>
      <c r="R35" s="143"/>
      <c r="S35" s="143"/>
      <c r="T35" s="143"/>
      <c r="U35" s="143"/>
      <c r="V35" s="143"/>
      <c r="W35" s="143"/>
      <c r="X35" s="143"/>
      <c r="Y35" s="143"/>
    </row>
    <row r="36" spans="1:39" s="11" customFormat="1" ht="17.100000000000001" customHeight="1" thickBot="1" x14ac:dyDescent="0.25">
      <c r="A36" s="94" t="s">
        <v>19</v>
      </c>
      <c r="B36" s="94">
        <v>0.39616919626109792</v>
      </c>
      <c r="C36" s="94">
        <v>-0.29611978996731059</v>
      </c>
      <c r="D36" s="94">
        <v>0.61246751099097874</v>
      </c>
      <c r="E36" s="94">
        <v>3.2742405953151824E-2</v>
      </c>
      <c r="F36" s="94">
        <v>0.11866426613838629</v>
      </c>
      <c r="G36" s="94">
        <v>-7.982446718641012E-2</v>
      </c>
      <c r="H36" s="94">
        <v>-9.919044759076423E-2</v>
      </c>
      <c r="I36" s="94">
        <v>0.17746728746186968</v>
      </c>
      <c r="J36" s="94">
        <v>-5.9216797903836028E-2</v>
      </c>
      <c r="K36" s="94">
        <v>0.18666866852934746</v>
      </c>
      <c r="L36" s="94">
        <v>0.34205781955656639</v>
      </c>
      <c r="M36" s="94">
        <v>-0.10490504448030591</v>
      </c>
      <c r="N36" s="94">
        <v>0.27952557665892785</v>
      </c>
      <c r="O36" s="94">
        <v>0.13451802576693078</v>
      </c>
      <c r="P36" s="94">
        <v>-0.36087132603946981</v>
      </c>
      <c r="Q36" s="94">
        <v>-1.6897124065740423</v>
      </c>
      <c r="R36" s="94">
        <v>1.7891916566755262</v>
      </c>
      <c r="S36" s="94">
        <v>0.10223031162707229</v>
      </c>
      <c r="T36" s="94">
        <v>-0.31297221933036729</v>
      </c>
      <c r="U36" s="94">
        <v>0.94433316636620657</v>
      </c>
      <c r="V36" s="94">
        <v>-0.89189207040320984</v>
      </c>
      <c r="W36" s="94">
        <v>0.88343669733938546</v>
      </c>
      <c r="X36" s="94">
        <v>0.40794647436996573</v>
      </c>
      <c r="Y36" s="94">
        <v>-0.18015569627398875</v>
      </c>
      <c r="Z36" s="94">
        <v>-5.5318060144027119E-2</v>
      </c>
      <c r="AA36" s="94">
        <v>0.2399444355875858</v>
      </c>
      <c r="AB36" s="94">
        <v>0.27282726393334084</v>
      </c>
      <c r="AC36" s="94">
        <v>0.31195088422302691</v>
      </c>
      <c r="AD36" s="94">
        <v>6.497701407624798E-2</v>
      </c>
      <c r="AE36" s="94">
        <v>-0.1164215814249613</v>
      </c>
      <c r="AF36" s="94">
        <v>0.225307561821428</v>
      </c>
      <c r="AG36" s="94">
        <v>0.10322798074949807</v>
      </c>
      <c r="AH36" s="94">
        <v>0.5031482579358606</v>
      </c>
      <c r="AI36" s="94">
        <v>-0.1557484145456304</v>
      </c>
      <c r="AJ36" s="94">
        <v>-5.261156709392411E-2</v>
      </c>
      <c r="AK36" s="94">
        <v>0.26776020006717349</v>
      </c>
      <c r="AL36" s="94">
        <v>0.16427011699567143</v>
      </c>
      <c r="AM36" s="94">
        <v>0.13198843719375106</v>
      </c>
    </row>
    <row r="37" spans="1:39" x14ac:dyDescent="0.2">
      <c r="A37" s="13" t="s">
        <v>50</v>
      </c>
    </row>
  </sheetData>
  <mergeCells count="10">
    <mergeCell ref="AL3:AM3"/>
    <mergeCell ref="AH3:AK3"/>
    <mergeCell ref="AD3:AG3"/>
    <mergeCell ref="Z3:AC3"/>
    <mergeCell ref="V3:Y3"/>
    <mergeCell ref="R3:U3"/>
    <mergeCell ref="B3:E3"/>
    <mergeCell ref="F3:I3"/>
    <mergeCell ref="J3:M3"/>
    <mergeCell ref="N3:Q3"/>
  </mergeCells>
  <phoneticPr fontId="29" type="noConversion"/>
  <pageMargins left="0.51181102362204722" right="0" top="0.51181102362204722" bottom="0" header="0" footer="0"/>
  <pageSetup paperSize="9" scale="49"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A1:AQ38"/>
  <sheetViews>
    <sheetView view="pageBreakPreview" zoomScaleSheetLayoutView="100" workbookViewId="0">
      <pane xSplit="11" ySplit="4" topLeftCell="L5" activePane="bottomRight" state="frozen"/>
      <selection activeCell="AD23" sqref="AD23"/>
      <selection pane="topRight" activeCell="AD23" sqref="AD23"/>
      <selection pane="bottomLeft" activeCell="AD23" sqref="AD23"/>
      <selection pane="bottomRight" activeCell="X3" sqref="X3:AA3"/>
    </sheetView>
  </sheetViews>
  <sheetFormatPr defaultColWidth="9.140625" defaultRowHeight="11.25" x14ac:dyDescent="0.2"/>
  <cols>
    <col min="1" max="1" width="25.28515625" style="1" customWidth="1"/>
    <col min="2" max="5" width="7.5703125" style="1" hidden="1" customWidth="1"/>
    <col min="6" max="8" width="5.7109375" style="1" hidden="1" customWidth="1"/>
    <col min="9" max="15" width="6.140625" style="1" hidden="1" customWidth="1"/>
    <col min="16" max="19" width="6.28515625" style="1" hidden="1" customWidth="1"/>
    <col min="20" max="23" width="6.7109375" style="1" hidden="1" customWidth="1"/>
    <col min="24" max="40" width="6.7109375" style="1" customWidth="1"/>
    <col min="41" max="43" width="7.42578125" style="1" customWidth="1"/>
    <col min="44" max="16384" width="9.140625" style="1"/>
  </cols>
  <sheetData>
    <row r="1" spans="1:43" ht="18" customHeight="1" x14ac:dyDescent="0.2">
      <c r="X1" s="31" t="s">
        <v>112</v>
      </c>
    </row>
    <row r="2" spans="1:43" ht="1.5" customHeight="1" thickBot="1" x14ac:dyDescent="0.25">
      <c r="B2" s="1" t="s">
        <v>20</v>
      </c>
      <c r="C2" s="1" t="s">
        <v>21</v>
      </c>
      <c r="D2" s="1" t="s">
        <v>22</v>
      </c>
      <c r="E2" s="1" t="s">
        <v>23</v>
      </c>
      <c r="F2" s="1" t="s">
        <v>24</v>
      </c>
      <c r="G2" s="1" t="s">
        <v>25</v>
      </c>
      <c r="H2" s="1" t="s">
        <v>26</v>
      </c>
      <c r="I2" s="1" t="s">
        <v>27</v>
      </c>
      <c r="J2" s="1" t="s">
        <v>28</v>
      </c>
      <c r="K2" s="1" t="s">
        <v>29</v>
      </c>
      <c r="L2" s="1" t="s">
        <v>30</v>
      </c>
      <c r="M2" s="1" t="s">
        <v>31</v>
      </c>
      <c r="N2" s="1" t="s">
        <v>32</v>
      </c>
      <c r="O2" s="1" t="s">
        <v>33</v>
      </c>
      <c r="P2" s="1" t="s">
        <v>34</v>
      </c>
      <c r="Q2" s="1" t="s">
        <v>35</v>
      </c>
      <c r="R2" s="1" t="s">
        <v>36</v>
      </c>
      <c r="S2" s="1" t="s">
        <v>37</v>
      </c>
      <c r="T2" s="1" t="s">
        <v>38</v>
      </c>
      <c r="U2" s="1" t="s">
        <v>39</v>
      </c>
      <c r="V2" s="1" t="s">
        <v>40</v>
      </c>
      <c r="W2" s="1" t="s">
        <v>41</v>
      </c>
      <c r="X2" s="1" t="s">
        <v>42</v>
      </c>
      <c r="Y2" s="1" t="s">
        <v>43</v>
      </c>
      <c r="Z2" s="1" t="s">
        <v>44</v>
      </c>
      <c r="AA2" s="1" t="s">
        <v>45</v>
      </c>
      <c r="AB2" s="1" t="s">
        <v>51</v>
      </c>
      <c r="AC2" s="1" t="s">
        <v>73</v>
      </c>
      <c r="AD2" s="1" t="s">
        <v>74</v>
      </c>
      <c r="AE2" s="1" t="s">
        <v>75</v>
      </c>
      <c r="AF2" s="1" t="s">
        <v>78</v>
      </c>
    </row>
    <row r="3" spans="1:43" s="7" customFormat="1" ht="15" customHeight="1" x14ac:dyDescent="0.2">
      <c r="B3" s="218" t="s">
        <v>67</v>
      </c>
      <c r="C3" s="218"/>
      <c r="D3" s="218" t="s">
        <v>66</v>
      </c>
      <c r="E3" s="218"/>
      <c r="F3" s="218"/>
      <c r="G3" s="218"/>
      <c r="H3" s="218" t="s">
        <v>60</v>
      </c>
      <c r="I3" s="218"/>
      <c r="J3" s="218"/>
      <c r="K3" s="218"/>
      <c r="L3" s="218" t="s">
        <v>61</v>
      </c>
      <c r="M3" s="218"/>
      <c r="N3" s="218"/>
      <c r="O3" s="218"/>
      <c r="P3" s="218" t="s">
        <v>62</v>
      </c>
      <c r="Q3" s="218"/>
      <c r="R3" s="218"/>
      <c r="S3" s="218"/>
      <c r="U3" s="218" t="s">
        <v>63</v>
      </c>
      <c r="V3" s="218"/>
      <c r="W3" s="218"/>
      <c r="X3" s="218" t="s">
        <v>64</v>
      </c>
      <c r="Y3" s="218"/>
      <c r="Z3" s="218"/>
      <c r="AA3" s="218"/>
      <c r="AB3" s="218" t="s">
        <v>65</v>
      </c>
      <c r="AC3" s="218"/>
      <c r="AD3" s="218"/>
      <c r="AE3" s="218"/>
      <c r="AF3" s="218" t="s">
        <v>77</v>
      </c>
      <c r="AG3" s="218"/>
      <c r="AH3" s="218"/>
      <c r="AI3" s="218"/>
      <c r="AJ3" s="213" t="s">
        <v>80</v>
      </c>
      <c r="AK3" s="213"/>
      <c r="AL3" s="213"/>
      <c r="AM3" s="213"/>
      <c r="AN3" s="218" t="s">
        <v>92</v>
      </c>
      <c r="AO3" s="218"/>
      <c r="AP3" s="218"/>
      <c r="AQ3" s="218"/>
    </row>
    <row r="4" spans="1:43" x14ac:dyDescent="0.2">
      <c r="A4" s="21" t="s">
        <v>99</v>
      </c>
      <c r="B4" s="12" t="s">
        <v>48</v>
      </c>
      <c r="C4" s="12" t="s">
        <v>49</v>
      </c>
      <c r="D4" s="12" t="s">
        <v>46</v>
      </c>
      <c r="E4" s="12" t="s">
        <v>47</v>
      </c>
      <c r="F4" s="12" t="s">
        <v>48</v>
      </c>
      <c r="G4" s="12" t="s">
        <v>49</v>
      </c>
      <c r="H4" s="12" t="s">
        <v>46</v>
      </c>
      <c r="I4" s="12" t="s">
        <v>47</v>
      </c>
      <c r="J4" s="12" t="s">
        <v>48</v>
      </c>
      <c r="K4" s="12" t="s">
        <v>49</v>
      </c>
      <c r="L4" s="12" t="s">
        <v>46</v>
      </c>
      <c r="M4" s="12" t="s">
        <v>47</v>
      </c>
      <c r="N4" s="12" t="s">
        <v>48</v>
      </c>
      <c r="O4" s="12" t="s">
        <v>49</v>
      </c>
      <c r="P4" s="12" t="s">
        <v>46</v>
      </c>
      <c r="Q4" s="12" t="s">
        <v>47</v>
      </c>
      <c r="R4" s="12" t="s">
        <v>48</v>
      </c>
      <c r="S4" s="12" t="s">
        <v>49</v>
      </c>
      <c r="T4" s="12" t="s">
        <v>46</v>
      </c>
      <c r="U4" s="12" t="s">
        <v>47</v>
      </c>
      <c r="V4" s="12" t="s">
        <v>48</v>
      </c>
      <c r="W4" s="12" t="s">
        <v>49</v>
      </c>
      <c r="X4" s="12" t="s">
        <v>46</v>
      </c>
      <c r="Y4" s="12" t="s">
        <v>47</v>
      </c>
      <c r="Z4" s="12" t="s">
        <v>48</v>
      </c>
      <c r="AA4" s="12" t="s">
        <v>49</v>
      </c>
      <c r="AB4" s="12" t="s">
        <v>46</v>
      </c>
      <c r="AC4" s="12" t="s">
        <v>47</v>
      </c>
      <c r="AD4" s="12" t="s">
        <v>48</v>
      </c>
      <c r="AE4" s="12" t="s">
        <v>49</v>
      </c>
      <c r="AF4" s="12" t="s">
        <v>46</v>
      </c>
      <c r="AG4" s="12" t="s">
        <v>47</v>
      </c>
      <c r="AH4" s="12" t="s">
        <v>48</v>
      </c>
      <c r="AI4" s="12" t="s">
        <v>49</v>
      </c>
      <c r="AJ4" s="38" t="s">
        <v>46</v>
      </c>
      <c r="AK4" s="38" t="s">
        <v>47</v>
      </c>
      <c r="AL4" s="38" t="s">
        <v>48</v>
      </c>
      <c r="AM4" s="38" t="s">
        <v>49</v>
      </c>
      <c r="AN4" s="56" t="s">
        <v>46</v>
      </c>
      <c r="AO4" s="38" t="s">
        <v>47</v>
      </c>
      <c r="AP4" s="56" t="s">
        <v>48</v>
      </c>
      <c r="AQ4" s="56" t="s">
        <v>49</v>
      </c>
    </row>
    <row r="5" spans="1:43" s="8" customFormat="1" ht="18" customHeight="1" x14ac:dyDescent="0.2">
      <c r="A5" s="2" t="s">
        <v>97</v>
      </c>
      <c r="B5" s="20" t="e">
        <f>#REF!/Deseason_VA!#REF!*100</f>
        <v>#REF!</v>
      </c>
      <c r="C5" s="20" t="e">
        <f>#REF!/Deseason_VA!#REF!*100</f>
        <v>#REF!</v>
      </c>
      <c r="D5" s="20" t="e">
        <f>#REF!/Deseason_VA!#REF!*100</f>
        <v>#REF!</v>
      </c>
      <c r="E5" s="20" t="e">
        <f>#REF!/Deseason_VA!#REF!*100</f>
        <v>#REF!</v>
      </c>
      <c r="F5" s="20" t="e">
        <f>#REF!/Deseason_VA!#REF!*100</f>
        <v>#REF!</v>
      </c>
      <c r="G5" s="20" t="e">
        <f>#REF!/Deseason_VA!#REF!*100</f>
        <v>#REF!</v>
      </c>
      <c r="H5" s="20" t="e">
        <f>#REF!/Deseason_VA!#REF!*100</f>
        <v>#REF!</v>
      </c>
      <c r="I5" s="20" t="e">
        <f>#REF!/Deseason_VA!#REF!*100</f>
        <v>#REF!</v>
      </c>
      <c r="J5" s="20" t="e">
        <f>#REF!/Deseason_VA!#REF!*100</f>
        <v>#REF!</v>
      </c>
      <c r="K5" s="20" t="e">
        <f>#REF!/Deseason_VA!#REF!*100</f>
        <v>#REF!</v>
      </c>
      <c r="L5" s="20" t="e">
        <f>#REF!/Deseason_VA!#REF!*100</f>
        <v>#REF!</v>
      </c>
      <c r="M5" s="20" t="e">
        <f>#REF!/Deseason_VA!#REF!*100</f>
        <v>#REF!</v>
      </c>
      <c r="N5" s="20" t="e">
        <f>#REF!/Deseason_VA!#REF!*100</f>
        <v>#REF!</v>
      </c>
      <c r="O5" s="20" t="e">
        <f>#REF!/Deseason_VA!#REF!*100</f>
        <v>#REF!</v>
      </c>
      <c r="P5" s="20" t="e">
        <f>#REF!/Deseason_VA!#REF!*100</f>
        <v>#REF!</v>
      </c>
      <c r="Q5" s="20" t="e">
        <f>#REF!/Deseason_VA!#REF!*100</f>
        <v>#REF!</v>
      </c>
      <c r="R5" s="20" t="e">
        <f>#REF!/Deseason_VA!#REF!*100</f>
        <v>#REF!</v>
      </c>
      <c r="S5" s="20" t="e">
        <f>#REF!/Deseason_VA!#REF!*100</f>
        <v>#REF!</v>
      </c>
      <c r="T5" s="20" t="e">
        <f>#REF!/Deseason_VA!#REF!*100</f>
        <v>#REF!</v>
      </c>
      <c r="U5" s="20" t="e">
        <f>#REF!/Deseason_VA!#REF!*100</f>
        <v>#REF!</v>
      </c>
      <c r="V5" s="20" t="e">
        <f>#REF!/Deseason_VA!#REF!*100</f>
        <v>#REF!</v>
      </c>
      <c r="W5" s="20" t="e">
        <f>#REF!/Deseason_VA!#REF!*100</f>
        <v>#REF!</v>
      </c>
      <c r="X5" s="20" t="e">
        <f>#REF!/Deseason_VA!#REF!*100</f>
        <v>#REF!</v>
      </c>
      <c r="Y5" s="20" t="e">
        <f>#REF!/Deseason_VA!#REF!*100</f>
        <v>#REF!</v>
      </c>
      <c r="Z5" s="20" t="e">
        <f>#REF!/Deseason_VA!#REF!*100</f>
        <v>#REF!</v>
      </c>
      <c r="AA5" s="20" t="e">
        <f>#REF!/Deseason_VA!#REF!*100</f>
        <v>#REF!</v>
      </c>
      <c r="AB5" s="20" t="e">
        <f>#REF!/Deseason_VA!#REF!*100</f>
        <v>#REF!</v>
      </c>
      <c r="AC5" s="20" t="e">
        <f>#REF!/Deseason_VA!#REF!*100</f>
        <v>#REF!</v>
      </c>
      <c r="AD5" s="20" t="e">
        <f>#REF!/Deseason_VA!#REF!*100</f>
        <v>#REF!</v>
      </c>
      <c r="AE5" s="20" t="e">
        <f>#REF!/Deseason_VA!#REF!*100</f>
        <v>#REF!</v>
      </c>
      <c r="AF5" s="20" t="e">
        <f>#REF!/Deseason_VA!#REF!*100</f>
        <v>#REF!</v>
      </c>
      <c r="AG5" s="20" t="e">
        <f>#REF!/Deseason_VA!#REF!*100</f>
        <v>#REF!</v>
      </c>
      <c r="AH5" s="20" t="e">
        <f>#REF!/Deseason_VA!#REF!*100</f>
        <v>#REF!</v>
      </c>
      <c r="AI5" s="20" t="e">
        <f>#REF!/Deseason_VA!#REF!*100</f>
        <v>#REF!</v>
      </c>
      <c r="AJ5" s="20" t="e">
        <f>#REF!/Deseason_VA!B5*100</f>
        <v>#REF!</v>
      </c>
      <c r="AK5" s="20" t="e">
        <f>#REF!/Deseason_VA!C5*100</f>
        <v>#REF!</v>
      </c>
      <c r="AL5" s="20" t="e">
        <f>#REF!/Deseason_VA!D5*100</f>
        <v>#REF!</v>
      </c>
      <c r="AM5" s="20" t="e">
        <f>#REF!/Deseason_VA!E5*100</f>
        <v>#REF!</v>
      </c>
      <c r="AN5" s="20" t="e">
        <f>#REF!/Deseason_VA!F5*100</f>
        <v>#REF!</v>
      </c>
      <c r="AO5" s="20" t="e">
        <f>#REF!/Deseason_VA!G5*100</f>
        <v>#REF!</v>
      </c>
      <c r="AP5" s="20" t="e">
        <f>#REF!/Deseason_VA!H5*100</f>
        <v>#REF!</v>
      </c>
      <c r="AQ5" s="20" t="e">
        <f>#REF!/Deseason_VA!I5*100</f>
        <v>#REF!</v>
      </c>
    </row>
    <row r="6" spans="1:43" s="8" customFormat="1" ht="24.75" customHeight="1" x14ac:dyDescent="0.2">
      <c r="A6" s="2" t="s">
        <v>96</v>
      </c>
      <c r="B6" s="20" t="e">
        <f>#REF!/Deseason_VA!#REF!*100</f>
        <v>#REF!</v>
      </c>
      <c r="C6" s="20" t="e">
        <f>#REF!/Deseason_VA!#REF!*100</f>
        <v>#REF!</v>
      </c>
      <c r="D6" s="20" t="e">
        <f>#REF!/Deseason_VA!#REF!*100</f>
        <v>#REF!</v>
      </c>
      <c r="E6" s="20" t="e">
        <f>#REF!/Deseason_VA!#REF!*100</f>
        <v>#REF!</v>
      </c>
      <c r="F6" s="20" t="e">
        <f>#REF!/Deseason_VA!#REF!*100</f>
        <v>#REF!</v>
      </c>
      <c r="G6" s="20" t="e">
        <f>#REF!/Deseason_VA!#REF!*100</f>
        <v>#REF!</v>
      </c>
      <c r="H6" s="20" t="e">
        <f>#REF!/Deseason_VA!#REF!*100</f>
        <v>#REF!</v>
      </c>
      <c r="I6" s="20" t="e">
        <f>#REF!/Deseason_VA!#REF!*100</f>
        <v>#REF!</v>
      </c>
      <c r="J6" s="20" t="e">
        <f>#REF!/Deseason_VA!#REF!*100</f>
        <v>#REF!</v>
      </c>
      <c r="K6" s="20" t="e">
        <f>#REF!/Deseason_VA!#REF!*100</f>
        <v>#REF!</v>
      </c>
      <c r="L6" s="20" t="e">
        <f>#REF!/Deseason_VA!#REF!*100</f>
        <v>#REF!</v>
      </c>
      <c r="M6" s="20" t="e">
        <f>#REF!/Deseason_VA!#REF!*100</f>
        <v>#REF!</v>
      </c>
      <c r="N6" s="20" t="e">
        <f>#REF!/Deseason_VA!#REF!*100</f>
        <v>#REF!</v>
      </c>
      <c r="O6" s="20" t="e">
        <f>#REF!/Deseason_VA!#REF!*100</f>
        <v>#REF!</v>
      </c>
      <c r="P6" s="20" t="e">
        <f>#REF!/Deseason_VA!#REF!*100</f>
        <v>#REF!</v>
      </c>
      <c r="Q6" s="20" t="e">
        <f>#REF!/Deseason_VA!#REF!*100</f>
        <v>#REF!</v>
      </c>
      <c r="R6" s="20" t="e">
        <f>#REF!/Deseason_VA!#REF!*100</f>
        <v>#REF!</v>
      </c>
      <c r="S6" s="20" t="e">
        <f>#REF!/Deseason_VA!#REF!*100</f>
        <v>#REF!</v>
      </c>
      <c r="T6" s="20" t="e">
        <f>#REF!/Deseason_VA!#REF!*100</f>
        <v>#REF!</v>
      </c>
      <c r="U6" s="20" t="e">
        <f>#REF!/Deseason_VA!#REF!*100</f>
        <v>#REF!</v>
      </c>
      <c r="V6" s="20" t="e">
        <f>#REF!/Deseason_VA!#REF!*100</f>
        <v>#REF!</v>
      </c>
      <c r="W6" s="20" t="e">
        <f>#REF!/Deseason_VA!#REF!*100</f>
        <v>#REF!</v>
      </c>
      <c r="X6" s="20" t="e">
        <f>#REF!/Deseason_VA!#REF!*100</f>
        <v>#REF!</v>
      </c>
      <c r="Y6" s="20" t="e">
        <f>#REF!/Deseason_VA!#REF!*100</f>
        <v>#REF!</v>
      </c>
      <c r="Z6" s="20" t="e">
        <f>#REF!/Deseason_VA!#REF!*100</f>
        <v>#REF!</v>
      </c>
      <c r="AA6" s="20" t="e">
        <f>#REF!/Deseason_VA!#REF!*100</f>
        <v>#REF!</v>
      </c>
      <c r="AB6" s="20" t="e">
        <f>#REF!/Deseason_VA!#REF!*100</f>
        <v>#REF!</v>
      </c>
      <c r="AC6" s="20" t="e">
        <f>#REF!/Deseason_VA!#REF!*100</f>
        <v>#REF!</v>
      </c>
      <c r="AD6" s="20" t="e">
        <f>#REF!/Deseason_VA!#REF!*100</f>
        <v>#REF!</v>
      </c>
      <c r="AE6" s="20" t="e">
        <f>#REF!/Deseason_VA!#REF!*100</f>
        <v>#REF!</v>
      </c>
      <c r="AF6" s="18" t="e">
        <f>#REF!/Deseason_VA!#REF!*100</f>
        <v>#REF!</v>
      </c>
      <c r="AG6" s="18" t="e">
        <f>#REF!/Deseason_VA!#REF!*100</f>
        <v>#REF!</v>
      </c>
      <c r="AH6" s="18" t="e">
        <f>#REF!/Deseason_VA!#REF!*100</f>
        <v>#REF!</v>
      </c>
      <c r="AI6" s="18" t="e">
        <f>#REF!/Deseason_VA!#REF!*100</f>
        <v>#REF!</v>
      </c>
      <c r="AJ6" s="18" t="e">
        <f>#REF!/Deseason_VA!B6*100</f>
        <v>#REF!</v>
      </c>
      <c r="AK6" s="18" t="e">
        <f>#REF!/Deseason_VA!C6*100</f>
        <v>#REF!</v>
      </c>
      <c r="AL6" s="18" t="e">
        <f>#REF!/Deseason_VA!D6*100</f>
        <v>#REF!</v>
      </c>
      <c r="AM6" s="18" t="e">
        <f>#REF!/Deseason_VA!E6*100</f>
        <v>#REF!</v>
      </c>
      <c r="AN6" s="18" t="e">
        <f>#REF!/Deseason_VA!F6*100</f>
        <v>#REF!</v>
      </c>
      <c r="AO6" s="18" t="e">
        <f>#REF!/Deseason_VA!G6*100</f>
        <v>#REF!</v>
      </c>
      <c r="AP6" s="18" t="e">
        <f>#REF!/Deseason_VA!H6*100</f>
        <v>#REF!</v>
      </c>
      <c r="AQ6" s="18" t="e">
        <f>#REF!/Deseason_VA!I6*100</f>
        <v>#REF!</v>
      </c>
    </row>
    <row r="7" spans="1:43" ht="18" customHeight="1" x14ac:dyDescent="0.2">
      <c r="A7" s="16" t="s">
        <v>1</v>
      </c>
      <c r="B7" s="23" t="e">
        <f>#REF!/Deseason_VA!#REF!*100</f>
        <v>#REF!</v>
      </c>
      <c r="C7" s="23" t="e">
        <f>#REF!/Deseason_VA!#REF!*100</f>
        <v>#REF!</v>
      </c>
      <c r="D7" s="23" t="e">
        <f>#REF!/Deseason_VA!#REF!*100</f>
        <v>#REF!</v>
      </c>
      <c r="E7" s="23" t="e">
        <f>#REF!/Deseason_VA!#REF!*100</f>
        <v>#REF!</v>
      </c>
      <c r="F7" s="23" t="e">
        <f>#REF!/Deseason_VA!#REF!*100</f>
        <v>#REF!</v>
      </c>
      <c r="G7" s="23" t="e">
        <f>#REF!/Deseason_VA!#REF!*100</f>
        <v>#REF!</v>
      </c>
      <c r="H7" s="23" t="e">
        <f>#REF!/Deseason_VA!#REF!*100</f>
        <v>#REF!</v>
      </c>
      <c r="I7" s="23" t="e">
        <f>#REF!/Deseason_VA!#REF!*100</f>
        <v>#REF!</v>
      </c>
      <c r="J7" s="23" t="e">
        <f>#REF!/Deseason_VA!#REF!*100</f>
        <v>#REF!</v>
      </c>
      <c r="K7" s="23" t="e">
        <f>#REF!/Deseason_VA!#REF!*100</f>
        <v>#REF!</v>
      </c>
      <c r="L7" s="23" t="e">
        <f>#REF!/Deseason_VA!#REF!*100</f>
        <v>#REF!</v>
      </c>
      <c r="M7" s="23" t="e">
        <f>#REF!/Deseason_VA!#REF!*100</f>
        <v>#REF!</v>
      </c>
      <c r="N7" s="23" t="e">
        <f>#REF!/Deseason_VA!#REF!*100</f>
        <v>#REF!</v>
      </c>
      <c r="O7" s="23" t="e">
        <f>#REF!/Deseason_VA!#REF!*100</f>
        <v>#REF!</v>
      </c>
      <c r="P7" s="23" t="e">
        <f>#REF!/Deseason_VA!#REF!*100</f>
        <v>#REF!</v>
      </c>
      <c r="Q7" s="23" t="e">
        <f>#REF!/Deseason_VA!#REF!*100</f>
        <v>#REF!</v>
      </c>
      <c r="R7" s="23" t="e">
        <f>#REF!/Deseason_VA!#REF!*100</f>
        <v>#REF!</v>
      </c>
      <c r="S7" s="23" t="e">
        <f>#REF!/Deseason_VA!#REF!*100</f>
        <v>#REF!</v>
      </c>
      <c r="T7" s="23" t="e">
        <f>#REF!/Deseason_VA!#REF!*100</f>
        <v>#REF!</v>
      </c>
      <c r="U7" s="23" t="e">
        <f>#REF!/Deseason_VA!#REF!*100</f>
        <v>#REF!</v>
      </c>
      <c r="V7" s="23" t="e">
        <f>#REF!/Deseason_VA!#REF!*100</f>
        <v>#REF!</v>
      </c>
      <c r="W7" s="23" t="e">
        <f>#REF!/Deseason_VA!#REF!*100</f>
        <v>#REF!</v>
      </c>
      <c r="X7" s="23" t="e">
        <f>#REF!/Deseason_VA!#REF!*100</f>
        <v>#REF!</v>
      </c>
      <c r="Y7" s="23" t="e">
        <f>#REF!/Deseason_VA!#REF!*100</f>
        <v>#REF!</v>
      </c>
      <c r="Z7" s="23" t="e">
        <f>#REF!/Deseason_VA!#REF!*100</f>
        <v>#REF!</v>
      </c>
      <c r="AA7" s="23" t="e">
        <f>#REF!/Deseason_VA!#REF!*100</f>
        <v>#REF!</v>
      </c>
      <c r="AB7" s="23" t="e">
        <f>#REF!/Deseason_VA!#REF!*100</f>
        <v>#REF!</v>
      </c>
      <c r="AC7" s="23" t="e">
        <f>#REF!/Deseason_VA!#REF!*100</f>
        <v>#REF!</v>
      </c>
      <c r="AD7" s="23" t="e">
        <f>#REF!/Deseason_VA!#REF!*100</f>
        <v>#REF!</v>
      </c>
      <c r="AE7" s="23" t="e">
        <f>#REF!/Deseason_VA!#REF!*100</f>
        <v>#REF!</v>
      </c>
      <c r="AF7" s="15" t="e">
        <f>#REF!/Deseason_VA!#REF!*100</f>
        <v>#REF!</v>
      </c>
      <c r="AG7" s="15" t="e">
        <f>#REF!/Deseason_VA!#REF!*100</f>
        <v>#REF!</v>
      </c>
      <c r="AH7" s="15" t="e">
        <f>#REF!/Deseason_VA!#REF!*100</f>
        <v>#REF!</v>
      </c>
      <c r="AI7" s="15" t="e">
        <f>#REF!/Deseason_VA!#REF!*100</f>
        <v>#REF!</v>
      </c>
      <c r="AJ7" s="15" t="e">
        <f>#REF!/Deseason_VA!B7*100</f>
        <v>#REF!</v>
      </c>
      <c r="AK7" s="15" t="e">
        <f>#REF!/Deseason_VA!C7*100</f>
        <v>#REF!</v>
      </c>
      <c r="AL7" s="15" t="e">
        <f>#REF!/Deseason_VA!D7*100</f>
        <v>#REF!</v>
      </c>
      <c r="AM7" s="15" t="e">
        <f>#REF!/Deseason_VA!E7*100</f>
        <v>#REF!</v>
      </c>
      <c r="AN7" s="15" t="e">
        <f>#REF!/Deseason_VA!F7*100</f>
        <v>#REF!</v>
      </c>
      <c r="AO7" s="15" t="e">
        <f>#REF!/Deseason_VA!G7*100</f>
        <v>#REF!</v>
      </c>
      <c r="AP7" s="15" t="e">
        <f>#REF!/Deseason_VA!H7*100</f>
        <v>#REF!</v>
      </c>
      <c r="AQ7" s="15" t="e">
        <f>#REF!/Deseason_VA!I7*100</f>
        <v>#REF!</v>
      </c>
    </row>
    <row r="8" spans="1:43" ht="18" customHeight="1" x14ac:dyDescent="0.2">
      <c r="A8" s="16" t="s">
        <v>2</v>
      </c>
      <c r="B8" s="23" t="e">
        <f>#REF!/Deseason_VA!#REF!*100</f>
        <v>#REF!</v>
      </c>
      <c r="C8" s="23" t="e">
        <f>#REF!/Deseason_VA!#REF!*100</f>
        <v>#REF!</v>
      </c>
      <c r="D8" s="23" t="e">
        <f>#REF!/Deseason_VA!#REF!*100</f>
        <v>#REF!</v>
      </c>
      <c r="E8" s="23" t="e">
        <f>#REF!/Deseason_VA!#REF!*100</f>
        <v>#REF!</v>
      </c>
      <c r="F8" s="23" t="e">
        <f>#REF!/Deseason_VA!#REF!*100</f>
        <v>#REF!</v>
      </c>
      <c r="G8" s="23" t="e">
        <f>#REF!/Deseason_VA!#REF!*100</f>
        <v>#REF!</v>
      </c>
      <c r="H8" s="23" t="e">
        <f>#REF!/Deseason_VA!#REF!*100</f>
        <v>#REF!</v>
      </c>
      <c r="I8" s="23" t="e">
        <f>#REF!/Deseason_VA!#REF!*100</f>
        <v>#REF!</v>
      </c>
      <c r="J8" s="23" t="e">
        <f>#REF!/Deseason_VA!#REF!*100</f>
        <v>#REF!</v>
      </c>
      <c r="K8" s="23" t="e">
        <f>#REF!/Deseason_VA!#REF!*100</f>
        <v>#REF!</v>
      </c>
      <c r="L8" s="23" t="e">
        <f>#REF!/Deseason_VA!#REF!*100</f>
        <v>#REF!</v>
      </c>
      <c r="M8" s="23" t="e">
        <f>#REF!/Deseason_VA!#REF!*100</f>
        <v>#REF!</v>
      </c>
      <c r="N8" s="23" t="e">
        <f>#REF!/Deseason_VA!#REF!*100</f>
        <v>#REF!</v>
      </c>
      <c r="O8" s="23" t="e">
        <f>#REF!/Deseason_VA!#REF!*100</f>
        <v>#REF!</v>
      </c>
      <c r="P8" s="23" t="e">
        <f>#REF!/Deseason_VA!#REF!*100</f>
        <v>#REF!</v>
      </c>
      <c r="Q8" s="23" t="e">
        <f>#REF!/Deseason_VA!#REF!*100</f>
        <v>#REF!</v>
      </c>
      <c r="R8" s="23" t="e">
        <f>#REF!/Deseason_VA!#REF!*100</f>
        <v>#REF!</v>
      </c>
      <c r="S8" s="23" t="e">
        <f>#REF!/Deseason_VA!#REF!*100</f>
        <v>#REF!</v>
      </c>
      <c r="T8" s="23" t="e">
        <f>#REF!/Deseason_VA!#REF!*100</f>
        <v>#REF!</v>
      </c>
      <c r="U8" s="23" t="e">
        <f>#REF!/Deseason_VA!#REF!*100</f>
        <v>#REF!</v>
      </c>
      <c r="V8" s="23" t="e">
        <f>#REF!/Deseason_VA!#REF!*100</f>
        <v>#REF!</v>
      </c>
      <c r="W8" s="23" t="e">
        <f>#REF!/Deseason_VA!#REF!*100</f>
        <v>#REF!</v>
      </c>
      <c r="X8" s="23" t="e">
        <f>#REF!/Deseason_VA!#REF!*100</f>
        <v>#REF!</v>
      </c>
      <c r="Y8" s="23" t="e">
        <f>#REF!/Deseason_VA!#REF!*100</f>
        <v>#REF!</v>
      </c>
      <c r="Z8" s="23" t="e">
        <f>#REF!/Deseason_VA!#REF!*100</f>
        <v>#REF!</v>
      </c>
      <c r="AA8" s="23" t="e">
        <f>#REF!/Deseason_VA!#REF!*100</f>
        <v>#REF!</v>
      </c>
      <c r="AB8" s="23" t="e">
        <f>#REF!/Deseason_VA!#REF!*100</f>
        <v>#REF!</v>
      </c>
      <c r="AC8" s="23" t="e">
        <f>#REF!/Deseason_VA!#REF!*100</f>
        <v>#REF!</v>
      </c>
      <c r="AD8" s="23" t="e">
        <f>#REF!/Deseason_VA!#REF!*100</f>
        <v>#REF!</v>
      </c>
      <c r="AE8" s="23" t="e">
        <f>#REF!/Deseason_VA!#REF!*100</f>
        <v>#REF!</v>
      </c>
      <c r="AF8" s="15" t="e">
        <f>#REF!/Deseason_VA!#REF!*100</f>
        <v>#REF!</v>
      </c>
      <c r="AG8" s="15" t="e">
        <f>#REF!/Deseason_VA!#REF!*100</f>
        <v>#REF!</v>
      </c>
      <c r="AH8" s="15" t="e">
        <f>#REF!/Deseason_VA!#REF!*100</f>
        <v>#REF!</v>
      </c>
      <c r="AI8" s="15" t="e">
        <f>#REF!/Deseason_VA!#REF!*100</f>
        <v>#REF!</v>
      </c>
      <c r="AJ8" s="15" t="e">
        <f>#REF!/Deseason_VA!B8*100</f>
        <v>#REF!</v>
      </c>
      <c r="AK8" s="15" t="e">
        <f>#REF!/Deseason_VA!C8*100</f>
        <v>#REF!</v>
      </c>
      <c r="AL8" s="15" t="e">
        <f>#REF!/Deseason_VA!D8*100</f>
        <v>#REF!</v>
      </c>
      <c r="AM8" s="15" t="e">
        <f>#REF!/Deseason_VA!E8*100</f>
        <v>#REF!</v>
      </c>
      <c r="AN8" s="15" t="e">
        <f>#REF!/Deseason_VA!F8*100</f>
        <v>#REF!</v>
      </c>
      <c r="AO8" s="15" t="e">
        <f>#REF!/Deseason_VA!G8*100</f>
        <v>#REF!</v>
      </c>
      <c r="AP8" s="15" t="e">
        <f>#REF!/Deseason_VA!H8*100</f>
        <v>#REF!</v>
      </c>
      <c r="AQ8" s="15" t="e">
        <f>#REF!/Deseason_VA!I8*100</f>
        <v>#REF!</v>
      </c>
    </row>
    <row r="9" spans="1:43" ht="18" customHeight="1" x14ac:dyDescent="0.2">
      <c r="A9" s="16" t="s">
        <v>3</v>
      </c>
      <c r="B9" s="23" t="e">
        <f>#REF!/Deseason_VA!#REF!*100</f>
        <v>#REF!</v>
      </c>
      <c r="C9" s="23" t="e">
        <f>#REF!/Deseason_VA!#REF!*100</f>
        <v>#REF!</v>
      </c>
      <c r="D9" s="23" t="e">
        <f>#REF!/Deseason_VA!#REF!*100</f>
        <v>#REF!</v>
      </c>
      <c r="E9" s="23" t="e">
        <f>#REF!/Deseason_VA!#REF!*100</f>
        <v>#REF!</v>
      </c>
      <c r="F9" s="23" t="e">
        <f>#REF!/Deseason_VA!#REF!*100</f>
        <v>#REF!</v>
      </c>
      <c r="G9" s="23" t="e">
        <f>#REF!/Deseason_VA!#REF!*100</f>
        <v>#REF!</v>
      </c>
      <c r="H9" s="23" t="e">
        <f>#REF!/Deseason_VA!#REF!*100</f>
        <v>#REF!</v>
      </c>
      <c r="I9" s="23" t="e">
        <f>#REF!/Deseason_VA!#REF!*100</f>
        <v>#REF!</v>
      </c>
      <c r="J9" s="23" t="e">
        <f>#REF!/Deseason_VA!#REF!*100</f>
        <v>#REF!</v>
      </c>
      <c r="K9" s="23" t="e">
        <f>#REF!/Deseason_VA!#REF!*100</f>
        <v>#REF!</v>
      </c>
      <c r="L9" s="23" t="e">
        <f>#REF!/Deseason_VA!#REF!*100</f>
        <v>#REF!</v>
      </c>
      <c r="M9" s="23" t="e">
        <f>#REF!/Deseason_VA!#REF!*100</f>
        <v>#REF!</v>
      </c>
      <c r="N9" s="23" t="e">
        <f>#REF!/Deseason_VA!#REF!*100</f>
        <v>#REF!</v>
      </c>
      <c r="O9" s="23" t="e">
        <f>#REF!/Deseason_VA!#REF!*100</f>
        <v>#REF!</v>
      </c>
      <c r="P9" s="23" t="e">
        <f>#REF!/Deseason_VA!#REF!*100</f>
        <v>#REF!</v>
      </c>
      <c r="Q9" s="23" t="e">
        <f>#REF!/Deseason_VA!#REF!*100</f>
        <v>#REF!</v>
      </c>
      <c r="R9" s="23" t="e">
        <f>#REF!/Deseason_VA!#REF!*100</f>
        <v>#REF!</v>
      </c>
      <c r="S9" s="23" t="e">
        <f>#REF!/Deseason_VA!#REF!*100</f>
        <v>#REF!</v>
      </c>
      <c r="T9" s="23" t="e">
        <f>#REF!/Deseason_VA!#REF!*100</f>
        <v>#REF!</v>
      </c>
      <c r="U9" s="23" t="e">
        <f>#REF!/Deseason_VA!#REF!*100</f>
        <v>#REF!</v>
      </c>
      <c r="V9" s="23" t="e">
        <f>#REF!/Deseason_VA!#REF!*100</f>
        <v>#REF!</v>
      </c>
      <c r="W9" s="23" t="e">
        <f>#REF!/Deseason_VA!#REF!*100</f>
        <v>#REF!</v>
      </c>
      <c r="X9" s="23" t="e">
        <f>#REF!/Deseason_VA!#REF!*100</f>
        <v>#REF!</v>
      </c>
      <c r="Y9" s="23" t="e">
        <f>#REF!/Deseason_VA!#REF!*100</f>
        <v>#REF!</v>
      </c>
      <c r="Z9" s="23" t="e">
        <f>#REF!/Deseason_VA!#REF!*100</f>
        <v>#REF!</v>
      </c>
      <c r="AA9" s="23" t="e">
        <f>#REF!/Deseason_VA!#REF!*100</f>
        <v>#REF!</v>
      </c>
      <c r="AB9" s="23" t="e">
        <f>#REF!/Deseason_VA!#REF!*100</f>
        <v>#REF!</v>
      </c>
      <c r="AC9" s="23" t="e">
        <f>#REF!/Deseason_VA!#REF!*100</f>
        <v>#REF!</v>
      </c>
      <c r="AD9" s="23" t="e">
        <f>#REF!/Deseason_VA!#REF!*100</f>
        <v>#REF!</v>
      </c>
      <c r="AE9" s="23" t="e">
        <f>#REF!/Deseason_VA!#REF!*100</f>
        <v>#REF!</v>
      </c>
      <c r="AF9" s="15" t="e">
        <f>#REF!/Deseason_VA!#REF!*100</f>
        <v>#REF!</v>
      </c>
      <c r="AG9" s="15" t="e">
        <f>#REF!/Deseason_VA!#REF!*100</f>
        <v>#REF!</v>
      </c>
      <c r="AH9" s="15" t="e">
        <f>#REF!/Deseason_VA!#REF!*100</f>
        <v>#REF!</v>
      </c>
      <c r="AI9" s="15" t="e">
        <f>#REF!/Deseason_VA!#REF!*100</f>
        <v>#REF!</v>
      </c>
      <c r="AJ9" s="15" t="e">
        <f>#REF!/Deseason_VA!B9*100</f>
        <v>#REF!</v>
      </c>
      <c r="AK9" s="15" t="e">
        <f>#REF!/Deseason_VA!C9*100</f>
        <v>#REF!</v>
      </c>
      <c r="AL9" s="15" t="e">
        <f>#REF!/Deseason_VA!D9*100</f>
        <v>#REF!</v>
      </c>
      <c r="AM9" s="15" t="e">
        <f>#REF!/Deseason_VA!E9*100</f>
        <v>#REF!</v>
      </c>
      <c r="AN9" s="15" t="e">
        <f>#REF!/Deseason_VA!F9*100</f>
        <v>#REF!</v>
      </c>
      <c r="AO9" s="15" t="e">
        <f>#REF!/Deseason_VA!G9*100</f>
        <v>#REF!</v>
      </c>
      <c r="AP9" s="15" t="e">
        <f>#REF!/Deseason_VA!H9*100</f>
        <v>#REF!</v>
      </c>
      <c r="AQ9" s="15" t="e">
        <f>#REF!/Deseason_VA!I9*100</f>
        <v>#REF!</v>
      </c>
    </row>
    <row r="10" spans="1:43" ht="18" customHeight="1" x14ac:dyDescent="0.2">
      <c r="A10" s="16" t="s">
        <v>4</v>
      </c>
      <c r="B10" s="23" t="e">
        <f>#REF!/Deseason_VA!#REF!*100</f>
        <v>#REF!</v>
      </c>
      <c r="C10" s="23" t="e">
        <f>#REF!/Deseason_VA!#REF!*100</f>
        <v>#REF!</v>
      </c>
      <c r="D10" s="23" t="e">
        <f>#REF!/Deseason_VA!#REF!*100</f>
        <v>#REF!</v>
      </c>
      <c r="E10" s="23" t="e">
        <f>#REF!/Deseason_VA!#REF!*100</f>
        <v>#REF!</v>
      </c>
      <c r="F10" s="23" t="e">
        <f>#REF!/Deseason_VA!#REF!*100</f>
        <v>#REF!</v>
      </c>
      <c r="G10" s="23" t="e">
        <f>#REF!/Deseason_VA!#REF!*100</f>
        <v>#REF!</v>
      </c>
      <c r="H10" s="23" t="e">
        <f>#REF!/Deseason_VA!#REF!*100</f>
        <v>#REF!</v>
      </c>
      <c r="I10" s="23" t="e">
        <f>#REF!/Deseason_VA!#REF!*100</f>
        <v>#REF!</v>
      </c>
      <c r="J10" s="23" t="e">
        <f>#REF!/Deseason_VA!#REF!*100</f>
        <v>#REF!</v>
      </c>
      <c r="K10" s="23" t="e">
        <f>#REF!/Deseason_VA!#REF!*100</f>
        <v>#REF!</v>
      </c>
      <c r="L10" s="23" t="e">
        <f>#REF!/Deseason_VA!#REF!*100</f>
        <v>#REF!</v>
      </c>
      <c r="M10" s="23" t="e">
        <f>#REF!/Deseason_VA!#REF!*100</f>
        <v>#REF!</v>
      </c>
      <c r="N10" s="23" t="e">
        <f>#REF!/Deseason_VA!#REF!*100</f>
        <v>#REF!</v>
      </c>
      <c r="O10" s="23" t="e">
        <f>#REF!/Deseason_VA!#REF!*100</f>
        <v>#REF!</v>
      </c>
      <c r="P10" s="23" t="e">
        <f>#REF!/Deseason_VA!#REF!*100</f>
        <v>#REF!</v>
      </c>
      <c r="Q10" s="23" t="e">
        <f>#REF!/Deseason_VA!#REF!*100</f>
        <v>#REF!</v>
      </c>
      <c r="R10" s="23" t="e">
        <f>#REF!/Deseason_VA!#REF!*100</f>
        <v>#REF!</v>
      </c>
      <c r="S10" s="23" t="e">
        <f>#REF!/Deseason_VA!#REF!*100</f>
        <v>#REF!</v>
      </c>
      <c r="T10" s="23" t="e">
        <f>#REF!/Deseason_VA!#REF!*100</f>
        <v>#REF!</v>
      </c>
      <c r="U10" s="23" t="e">
        <f>#REF!/Deseason_VA!#REF!*100</f>
        <v>#REF!</v>
      </c>
      <c r="V10" s="23" t="e">
        <f>#REF!/Deseason_VA!#REF!*100</f>
        <v>#REF!</v>
      </c>
      <c r="W10" s="23" t="e">
        <f>#REF!/Deseason_VA!#REF!*100</f>
        <v>#REF!</v>
      </c>
      <c r="X10" s="23" t="e">
        <f>#REF!/Deseason_VA!#REF!*100</f>
        <v>#REF!</v>
      </c>
      <c r="Y10" s="23" t="e">
        <f>#REF!/Deseason_VA!#REF!*100</f>
        <v>#REF!</v>
      </c>
      <c r="Z10" s="23" t="e">
        <f>#REF!/Deseason_VA!#REF!*100</f>
        <v>#REF!</v>
      </c>
      <c r="AA10" s="23" t="e">
        <f>#REF!/Deseason_VA!#REF!*100</f>
        <v>#REF!</v>
      </c>
      <c r="AB10" s="23" t="e">
        <f>#REF!/Deseason_VA!#REF!*100</f>
        <v>#REF!</v>
      </c>
      <c r="AC10" s="23" t="e">
        <f>#REF!/Deseason_VA!#REF!*100</f>
        <v>#REF!</v>
      </c>
      <c r="AD10" s="23" t="e">
        <f>#REF!/Deseason_VA!#REF!*100</f>
        <v>#REF!</v>
      </c>
      <c r="AE10" s="23" t="e">
        <f>#REF!/Deseason_VA!#REF!*100</f>
        <v>#REF!</v>
      </c>
      <c r="AF10" s="15" t="e">
        <f>#REF!/Deseason_VA!#REF!*100</f>
        <v>#REF!</v>
      </c>
      <c r="AG10" s="15" t="e">
        <f>#REF!/Deseason_VA!#REF!*100</f>
        <v>#REF!</v>
      </c>
      <c r="AH10" s="15" t="e">
        <f>#REF!/Deseason_VA!#REF!*100</f>
        <v>#REF!</v>
      </c>
      <c r="AI10" s="15" t="e">
        <f>#REF!/Deseason_VA!#REF!*100</f>
        <v>#REF!</v>
      </c>
      <c r="AJ10" s="15" t="e">
        <f>#REF!/Deseason_VA!B10*100</f>
        <v>#REF!</v>
      </c>
      <c r="AK10" s="15" t="e">
        <f>#REF!/Deseason_VA!C10*100</f>
        <v>#REF!</v>
      </c>
      <c r="AL10" s="15" t="e">
        <f>#REF!/Deseason_VA!D10*100</f>
        <v>#REF!</v>
      </c>
      <c r="AM10" s="15" t="e">
        <f>#REF!/Deseason_VA!E10*100</f>
        <v>#REF!</v>
      </c>
      <c r="AN10" s="15" t="e">
        <f>#REF!/Deseason_VA!F10*100</f>
        <v>#REF!</v>
      </c>
      <c r="AO10" s="15" t="e">
        <f>#REF!/Deseason_VA!G10*100</f>
        <v>#REF!</v>
      </c>
      <c r="AP10" s="15" t="e">
        <f>#REF!/Deseason_VA!H10*100</f>
        <v>#REF!</v>
      </c>
      <c r="AQ10" s="15" t="e">
        <f>#REF!/Deseason_VA!I10*100</f>
        <v>#REF!</v>
      </c>
    </row>
    <row r="11" spans="1:43" ht="18" customHeight="1" x14ac:dyDescent="0.2">
      <c r="A11" s="16" t="s">
        <v>5</v>
      </c>
      <c r="B11" s="23" t="e">
        <f>#REF!/Deseason_VA!#REF!*100</f>
        <v>#REF!</v>
      </c>
      <c r="C11" s="23" t="e">
        <f>#REF!/Deseason_VA!#REF!*100</f>
        <v>#REF!</v>
      </c>
      <c r="D11" s="23" t="e">
        <f>#REF!/Deseason_VA!#REF!*100</f>
        <v>#REF!</v>
      </c>
      <c r="E11" s="23" t="e">
        <f>#REF!/Deseason_VA!#REF!*100</f>
        <v>#REF!</v>
      </c>
      <c r="F11" s="23" t="e">
        <f>#REF!/Deseason_VA!#REF!*100</f>
        <v>#REF!</v>
      </c>
      <c r="G11" s="23" t="e">
        <f>#REF!/Deseason_VA!#REF!*100</f>
        <v>#REF!</v>
      </c>
      <c r="H11" s="23" t="e">
        <f>#REF!/Deseason_VA!#REF!*100</f>
        <v>#REF!</v>
      </c>
      <c r="I11" s="23" t="e">
        <f>#REF!/Deseason_VA!#REF!*100</f>
        <v>#REF!</v>
      </c>
      <c r="J11" s="23" t="e">
        <f>#REF!/Deseason_VA!#REF!*100</f>
        <v>#REF!</v>
      </c>
      <c r="K11" s="23" t="e">
        <f>#REF!/Deseason_VA!#REF!*100</f>
        <v>#REF!</v>
      </c>
      <c r="L11" s="23" t="e">
        <f>#REF!/Deseason_VA!#REF!*100</f>
        <v>#REF!</v>
      </c>
      <c r="M11" s="23" t="e">
        <f>#REF!/Deseason_VA!#REF!*100</f>
        <v>#REF!</v>
      </c>
      <c r="N11" s="23" t="e">
        <f>#REF!/Deseason_VA!#REF!*100</f>
        <v>#REF!</v>
      </c>
      <c r="O11" s="23" t="e">
        <f>#REF!/Deseason_VA!#REF!*100</f>
        <v>#REF!</v>
      </c>
      <c r="P11" s="23" t="e">
        <f>#REF!/Deseason_VA!#REF!*100</f>
        <v>#REF!</v>
      </c>
      <c r="Q11" s="23" t="e">
        <f>#REF!/Deseason_VA!#REF!*100</f>
        <v>#REF!</v>
      </c>
      <c r="R11" s="23" t="e">
        <f>#REF!/Deseason_VA!#REF!*100</f>
        <v>#REF!</v>
      </c>
      <c r="S11" s="23" t="e">
        <f>#REF!/Deseason_VA!#REF!*100</f>
        <v>#REF!</v>
      </c>
      <c r="T11" s="23" t="e">
        <f>#REF!/Deseason_VA!#REF!*100</f>
        <v>#REF!</v>
      </c>
      <c r="U11" s="23" t="e">
        <f>#REF!/Deseason_VA!#REF!*100</f>
        <v>#REF!</v>
      </c>
      <c r="V11" s="23" t="e">
        <f>#REF!/Deseason_VA!#REF!*100</f>
        <v>#REF!</v>
      </c>
      <c r="W11" s="23" t="e">
        <f>#REF!/Deseason_VA!#REF!*100</f>
        <v>#REF!</v>
      </c>
      <c r="X11" s="23" t="e">
        <f>#REF!/Deseason_VA!#REF!*100</f>
        <v>#REF!</v>
      </c>
      <c r="Y11" s="23" t="e">
        <f>#REF!/Deseason_VA!#REF!*100</f>
        <v>#REF!</v>
      </c>
      <c r="Z11" s="23" t="e">
        <f>#REF!/Deseason_VA!#REF!*100</f>
        <v>#REF!</v>
      </c>
      <c r="AA11" s="23" t="e">
        <f>#REF!/Deseason_VA!#REF!*100</f>
        <v>#REF!</v>
      </c>
      <c r="AB11" s="23" t="e">
        <f>#REF!/Deseason_VA!#REF!*100</f>
        <v>#REF!</v>
      </c>
      <c r="AC11" s="23" t="e">
        <f>#REF!/Deseason_VA!#REF!*100</f>
        <v>#REF!</v>
      </c>
      <c r="AD11" s="23" t="e">
        <f>#REF!/Deseason_VA!#REF!*100</f>
        <v>#REF!</v>
      </c>
      <c r="AE11" s="23" t="e">
        <f>#REF!/Deseason_VA!#REF!*100</f>
        <v>#REF!</v>
      </c>
      <c r="AF11" s="15" t="e">
        <f>#REF!/Deseason_VA!#REF!*100</f>
        <v>#REF!</v>
      </c>
      <c r="AG11" s="15" t="e">
        <f>#REF!/Deseason_VA!#REF!*100</f>
        <v>#REF!</v>
      </c>
      <c r="AH11" s="15" t="e">
        <f>#REF!/Deseason_VA!#REF!*100</f>
        <v>#REF!</v>
      </c>
      <c r="AI11" s="15" t="e">
        <f>#REF!/Deseason_VA!#REF!*100</f>
        <v>#REF!</v>
      </c>
      <c r="AJ11" s="15" t="e">
        <f>#REF!/Deseason_VA!B11*100</f>
        <v>#REF!</v>
      </c>
      <c r="AK11" s="15" t="e">
        <f>#REF!/Deseason_VA!C11*100</f>
        <v>#REF!</v>
      </c>
      <c r="AL11" s="15" t="e">
        <f>#REF!/Deseason_VA!D11*100</f>
        <v>#REF!</v>
      </c>
      <c r="AM11" s="15" t="e">
        <f>#REF!/Deseason_VA!E11*100</f>
        <v>#REF!</v>
      </c>
      <c r="AN11" s="15" t="e">
        <f>#REF!/Deseason_VA!F11*100</f>
        <v>#REF!</v>
      </c>
      <c r="AO11" s="15" t="e">
        <f>#REF!/Deseason_VA!G11*100</f>
        <v>#REF!</v>
      </c>
      <c r="AP11" s="15" t="e">
        <f>#REF!/Deseason_VA!H11*100</f>
        <v>#REF!</v>
      </c>
      <c r="AQ11" s="15" t="e">
        <f>#REF!/Deseason_VA!I11*100</f>
        <v>#REF!</v>
      </c>
    </row>
    <row r="12" spans="1:43" ht="18" customHeight="1" x14ac:dyDescent="0.2">
      <c r="A12" s="16" t="s">
        <v>6</v>
      </c>
      <c r="B12" s="23" t="e">
        <f>#REF!/Deseason_VA!#REF!*100</f>
        <v>#REF!</v>
      </c>
      <c r="C12" s="23" t="e">
        <f>#REF!/Deseason_VA!#REF!*100</f>
        <v>#REF!</v>
      </c>
      <c r="D12" s="23" t="e">
        <f>#REF!/Deseason_VA!#REF!*100</f>
        <v>#REF!</v>
      </c>
      <c r="E12" s="23" t="e">
        <f>#REF!/Deseason_VA!#REF!*100</f>
        <v>#REF!</v>
      </c>
      <c r="F12" s="23" t="e">
        <f>#REF!/Deseason_VA!#REF!*100</f>
        <v>#REF!</v>
      </c>
      <c r="G12" s="23" t="e">
        <f>#REF!/Deseason_VA!#REF!*100</f>
        <v>#REF!</v>
      </c>
      <c r="H12" s="23" t="e">
        <f>#REF!/Deseason_VA!#REF!*100</f>
        <v>#REF!</v>
      </c>
      <c r="I12" s="23" t="e">
        <f>#REF!/Deseason_VA!#REF!*100</f>
        <v>#REF!</v>
      </c>
      <c r="J12" s="23" t="e">
        <f>#REF!/Deseason_VA!#REF!*100</f>
        <v>#REF!</v>
      </c>
      <c r="K12" s="23" t="e">
        <f>#REF!/Deseason_VA!#REF!*100</f>
        <v>#REF!</v>
      </c>
      <c r="L12" s="23" t="e">
        <f>#REF!/Deseason_VA!#REF!*100</f>
        <v>#REF!</v>
      </c>
      <c r="M12" s="23" t="e">
        <f>#REF!/Deseason_VA!#REF!*100</f>
        <v>#REF!</v>
      </c>
      <c r="N12" s="23" t="e">
        <f>#REF!/Deseason_VA!#REF!*100</f>
        <v>#REF!</v>
      </c>
      <c r="O12" s="23" t="e">
        <f>#REF!/Deseason_VA!#REF!*100</f>
        <v>#REF!</v>
      </c>
      <c r="P12" s="23" t="e">
        <f>#REF!/Deseason_VA!#REF!*100</f>
        <v>#REF!</v>
      </c>
      <c r="Q12" s="23" t="e">
        <f>#REF!/Deseason_VA!#REF!*100</f>
        <v>#REF!</v>
      </c>
      <c r="R12" s="23" t="e">
        <f>#REF!/Deseason_VA!#REF!*100</f>
        <v>#REF!</v>
      </c>
      <c r="S12" s="23" t="e">
        <f>#REF!/Deseason_VA!#REF!*100</f>
        <v>#REF!</v>
      </c>
      <c r="T12" s="23" t="e">
        <f>#REF!/Deseason_VA!#REF!*100</f>
        <v>#REF!</v>
      </c>
      <c r="U12" s="23" t="e">
        <f>#REF!/Deseason_VA!#REF!*100</f>
        <v>#REF!</v>
      </c>
      <c r="V12" s="23" t="e">
        <f>#REF!/Deseason_VA!#REF!*100</f>
        <v>#REF!</v>
      </c>
      <c r="W12" s="23" t="e">
        <f>#REF!/Deseason_VA!#REF!*100</f>
        <v>#REF!</v>
      </c>
      <c r="X12" s="23" t="e">
        <f>#REF!/Deseason_VA!#REF!*100</f>
        <v>#REF!</v>
      </c>
      <c r="Y12" s="23" t="e">
        <f>#REF!/Deseason_VA!#REF!*100</f>
        <v>#REF!</v>
      </c>
      <c r="Z12" s="23" t="e">
        <f>#REF!/Deseason_VA!#REF!*100</f>
        <v>#REF!</v>
      </c>
      <c r="AA12" s="23" t="e">
        <f>#REF!/Deseason_VA!#REF!*100</f>
        <v>#REF!</v>
      </c>
      <c r="AB12" s="23" t="e">
        <f>#REF!/Deseason_VA!#REF!*100</f>
        <v>#REF!</v>
      </c>
      <c r="AC12" s="23" t="e">
        <f>#REF!/Deseason_VA!#REF!*100</f>
        <v>#REF!</v>
      </c>
      <c r="AD12" s="23" t="e">
        <f>#REF!/Deseason_VA!#REF!*100</f>
        <v>#REF!</v>
      </c>
      <c r="AE12" s="23" t="e">
        <f>#REF!/Deseason_VA!#REF!*100</f>
        <v>#REF!</v>
      </c>
      <c r="AF12" s="15" t="e">
        <f>#REF!/Deseason_VA!#REF!*100</f>
        <v>#REF!</v>
      </c>
      <c r="AG12" s="15" t="e">
        <f>#REF!/Deseason_VA!#REF!*100</f>
        <v>#REF!</v>
      </c>
      <c r="AH12" s="15" t="e">
        <f>#REF!/Deseason_VA!#REF!*100</f>
        <v>#REF!</v>
      </c>
      <c r="AI12" s="15" t="e">
        <f>#REF!/Deseason_VA!#REF!*100</f>
        <v>#REF!</v>
      </c>
      <c r="AJ12" s="15" t="e">
        <f>#REF!/Deseason_VA!B12*100</f>
        <v>#REF!</v>
      </c>
      <c r="AK12" s="15" t="e">
        <f>#REF!/Deseason_VA!C12*100</f>
        <v>#REF!</v>
      </c>
      <c r="AL12" s="15" t="e">
        <f>#REF!/Deseason_VA!D12*100</f>
        <v>#REF!</v>
      </c>
      <c r="AM12" s="15" t="e">
        <f>#REF!/Deseason_VA!E12*100</f>
        <v>#REF!</v>
      </c>
      <c r="AN12" s="15" t="e">
        <f>#REF!/Deseason_VA!F12*100</f>
        <v>#REF!</v>
      </c>
      <c r="AO12" s="15" t="e">
        <f>#REF!/Deseason_VA!G12*100</f>
        <v>#REF!</v>
      </c>
      <c r="AP12" s="15" t="e">
        <f>#REF!/Deseason_VA!H12*100</f>
        <v>#REF!</v>
      </c>
      <c r="AQ12" s="15" t="e">
        <f>#REF!/Deseason_VA!I12*100</f>
        <v>#REF!</v>
      </c>
    </row>
    <row r="13" spans="1:43" s="8" customFormat="1" ht="24.75" customHeight="1" x14ac:dyDescent="0.2">
      <c r="A13" s="2" t="s">
        <v>93</v>
      </c>
      <c r="B13" s="20" t="e">
        <f>#REF!/Deseason_VA!#REF!*100</f>
        <v>#REF!</v>
      </c>
      <c r="C13" s="20" t="e">
        <f>#REF!/Deseason_VA!#REF!*100</f>
        <v>#REF!</v>
      </c>
      <c r="D13" s="20" t="e">
        <f>#REF!/Deseason_VA!#REF!*100</f>
        <v>#REF!</v>
      </c>
      <c r="E13" s="20" t="e">
        <f>#REF!/Deseason_VA!#REF!*100</f>
        <v>#REF!</v>
      </c>
      <c r="F13" s="20" t="e">
        <f>#REF!/Deseason_VA!#REF!*100</f>
        <v>#REF!</v>
      </c>
      <c r="G13" s="20" t="e">
        <f>#REF!/Deseason_VA!#REF!*100</f>
        <v>#REF!</v>
      </c>
      <c r="H13" s="20" t="e">
        <f>#REF!/Deseason_VA!#REF!*100</f>
        <v>#REF!</v>
      </c>
      <c r="I13" s="20" t="e">
        <f>#REF!/Deseason_VA!#REF!*100</f>
        <v>#REF!</v>
      </c>
      <c r="J13" s="20" t="e">
        <f>#REF!/Deseason_VA!#REF!*100</f>
        <v>#REF!</v>
      </c>
      <c r="K13" s="20" t="e">
        <f>#REF!/Deseason_VA!#REF!*100</f>
        <v>#REF!</v>
      </c>
      <c r="L13" s="20" t="e">
        <f>#REF!/Deseason_VA!#REF!*100</f>
        <v>#REF!</v>
      </c>
      <c r="M13" s="20" t="e">
        <f>#REF!/Deseason_VA!#REF!*100</f>
        <v>#REF!</v>
      </c>
      <c r="N13" s="20" t="e">
        <f>#REF!/Deseason_VA!#REF!*100</f>
        <v>#REF!</v>
      </c>
      <c r="O13" s="20" t="e">
        <f>#REF!/Deseason_VA!#REF!*100</f>
        <v>#REF!</v>
      </c>
      <c r="P13" s="20" t="e">
        <f>#REF!/Deseason_VA!#REF!*100</f>
        <v>#REF!</v>
      </c>
      <c r="Q13" s="20" t="e">
        <f>#REF!/Deseason_VA!#REF!*100</f>
        <v>#REF!</v>
      </c>
      <c r="R13" s="20" t="e">
        <f>#REF!/Deseason_VA!#REF!*100</f>
        <v>#REF!</v>
      </c>
      <c r="S13" s="20" t="e">
        <f>#REF!/Deseason_VA!#REF!*100</f>
        <v>#REF!</v>
      </c>
      <c r="T13" s="20" t="e">
        <f>#REF!/Deseason_VA!#REF!*100</f>
        <v>#REF!</v>
      </c>
      <c r="U13" s="20" t="e">
        <f>#REF!/Deseason_VA!#REF!*100</f>
        <v>#REF!</v>
      </c>
      <c r="V13" s="20" t="e">
        <f>#REF!/Deseason_VA!#REF!*100</f>
        <v>#REF!</v>
      </c>
      <c r="W13" s="20" t="e">
        <f>#REF!/Deseason_VA!#REF!*100</f>
        <v>#REF!</v>
      </c>
      <c r="X13" s="20" t="e">
        <f>#REF!/Deseason_VA!#REF!*100</f>
        <v>#REF!</v>
      </c>
      <c r="Y13" s="20" t="e">
        <f>#REF!/Deseason_VA!#REF!*100</f>
        <v>#REF!</v>
      </c>
      <c r="Z13" s="20" t="e">
        <f>#REF!/Deseason_VA!#REF!*100</f>
        <v>#REF!</v>
      </c>
      <c r="AA13" s="20" t="e">
        <f>#REF!/Deseason_VA!#REF!*100</f>
        <v>#REF!</v>
      </c>
      <c r="AB13" s="20" t="e">
        <f>#REF!/Deseason_VA!#REF!*100</f>
        <v>#REF!</v>
      </c>
      <c r="AC13" s="20" t="e">
        <f>#REF!/Deseason_VA!#REF!*100</f>
        <v>#REF!</v>
      </c>
      <c r="AD13" s="20" t="e">
        <f>#REF!/Deseason_VA!#REF!*100</f>
        <v>#REF!</v>
      </c>
      <c r="AE13" s="20" t="e">
        <f>#REF!/Deseason_VA!#REF!*100</f>
        <v>#REF!</v>
      </c>
      <c r="AF13" s="18" t="e">
        <f>#REF!/Deseason_VA!#REF!*100</f>
        <v>#REF!</v>
      </c>
      <c r="AG13" s="18" t="e">
        <f>#REF!/Deseason_VA!#REF!*100</f>
        <v>#REF!</v>
      </c>
      <c r="AH13" s="18" t="e">
        <f>#REF!/Deseason_VA!#REF!*100</f>
        <v>#REF!</v>
      </c>
      <c r="AI13" s="18" t="e">
        <f>#REF!/Deseason_VA!#REF!*100</f>
        <v>#REF!</v>
      </c>
      <c r="AJ13" s="18" t="e">
        <f>#REF!/Deseason_VA!B13*100</f>
        <v>#REF!</v>
      </c>
      <c r="AK13" s="18" t="e">
        <f>#REF!/Deseason_VA!C13*100</f>
        <v>#REF!</v>
      </c>
      <c r="AL13" s="18" t="e">
        <f>#REF!/Deseason_VA!D13*100</f>
        <v>#REF!</v>
      </c>
      <c r="AM13" s="18" t="e">
        <f>#REF!/Deseason_VA!E13*100</f>
        <v>#REF!</v>
      </c>
      <c r="AN13" s="18" t="e">
        <f>#REF!/Deseason_VA!F13*100</f>
        <v>#REF!</v>
      </c>
      <c r="AO13" s="18" t="e">
        <f>#REF!/Deseason_VA!G13*100</f>
        <v>#REF!</v>
      </c>
      <c r="AP13" s="18" t="e">
        <f>#REF!/Deseason_VA!H13*100</f>
        <v>#REF!</v>
      </c>
      <c r="AQ13" s="18" t="e">
        <f>#REF!/Deseason_VA!I13*100</f>
        <v>#REF!</v>
      </c>
    </row>
    <row r="14" spans="1:43" ht="18" customHeight="1" x14ac:dyDescent="0.2">
      <c r="A14" s="16" t="s">
        <v>8</v>
      </c>
      <c r="B14" s="23" t="e">
        <f>#REF!/Deseason_VA!#REF!*100</f>
        <v>#REF!</v>
      </c>
      <c r="C14" s="23" t="e">
        <f>#REF!/Deseason_VA!#REF!*100</f>
        <v>#REF!</v>
      </c>
      <c r="D14" s="23" t="e">
        <f>#REF!/Deseason_VA!#REF!*100</f>
        <v>#REF!</v>
      </c>
      <c r="E14" s="23" t="e">
        <f>#REF!/Deseason_VA!#REF!*100</f>
        <v>#REF!</v>
      </c>
      <c r="F14" s="23" t="e">
        <f>#REF!/Deseason_VA!#REF!*100</f>
        <v>#REF!</v>
      </c>
      <c r="G14" s="23" t="e">
        <f>#REF!/Deseason_VA!#REF!*100</f>
        <v>#REF!</v>
      </c>
      <c r="H14" s="23" t="e">
        <f>#REF!/Deseason_VA!#REF!*100</f>
        <v>#REF!</v>
      </c>
      <c r="I14" s="23" t="e">
        <f>#REF!/Deseason_VA!#REF!*100</f>
        <v>#REF!</v>
      </c>
      <c r="J14" s="23" t="e">
        <f>#REF!/Deseason_VA!#REF!*100</f>
        <v>#REF!</v>
      </c>
      <c r="K14" s="23" t="e">
        <f>#REF!/Deseason_VA!#REF!*100</f>
        <v>#REF!</v>
      </c>
      <c r="L14" s="23" t="e">
        <f>#REF!/Deseason_VA!#REF!*100</f>
        <v>#REF!</v>
      </c>
      <c r="M14" s="23" t="e">
        <f>#REF!/Deseason_VA!#REF!*100</f>
        <v>#REF!</v>
      </c>
      <c r="N14" s="23" t="e">
        <f>#REF!/Deseason_VA!#REF!*100</f>
        <v>#REF!</v>
      </c>
      <c r="O14" s="23" t="e">
        <f>#REF!/Deseason_VA!#REF!*100</f>
        <v>#REF!</v>
      </c>
      <c r="P14" s="23" t="e">
        <f>#REF!/Deseason_VA!#REF!*100</f>
        <v>#REF!</v>
      </c>
      <c r="Q14" s="23" t="e">
        <f>#REF!/Deseason_VA!#REF!*100</f>
        <v>#REF!</v>
      </c>
      <c r="R14" s="23" t="e">
        <f>#REF!/Deseason_VA!#REF!*100</f>
        <v>#REF!</v>
      </c>
      <c r="S14" s="23" t="e">
        <f>#REF!/Deseason_VA!#REF!*100</f>
        <v>#REF!</v>
      </c>
      <c r="T14" s="23" t="e">
        <f>#REF!/Deseason_VA!#REF!*100</f>
        <v>#REF!</v>
      </c>
      <c r="U14" s="23" t="e">
        <f>#REF!/Deseason_VA!#REF!*100</f>
        <v>#REF!</v>
      </c>
      <c r="V14" s="23" t="e">
        <f>#REF!/Deseason_VA!#REF!*100</f>
        <v>#REF!</v>
      </c>
      <c r="W14" s="23" t="e">
        <f>#REF!/Deseason_VA!#REF!*100</f>
        <v>#REF!</v>
      </c>
      <c r="X14" s="23" t="e">
        <f>#REF!/Deseason_VA!#REF!*100</f>
        <v>#REF!</v>
      </c>
      <c r="Y14" s="23" t="e">
        <f>#REF!/Deseason_VA!#REF!*100</f>
        <v>#REF!</v>
      </c>
      <c r="Z14" s="23" t="e">
        <f>#REF!/Deseason_VA!#REF!*100</f>
        <v>#REF!</v>
      </c>
      <c r="AA14" s="23" t="e">
        <f>#REF!/Deseason_VA!#REF!*100</f>
        <v>#REF!</v>
      </c>
      <c r="AB14" s="23" t="e">
        <f>#REF!/Deseason_VA!#REF!*100</f>
        <v>#REF!</v>
      </c>
      <c r="AC14" s="23" t="e">
        <f>#REF!/Deseason_VA!#REF!*100</f>
        <v>#REF!</v>
      </c>
      <c r="AD14" s="23" t="e">
        <f>#REF!/Deseason_VA!#REF!*100</f>
        <v>#REF!</v>
      </c>
      <c r="AE14" s="23" t="e">
        <f>#REF!/Deseason_VA!#REF!*100</f>
        <v>#REF!</v>
      </c>
      <c r="AF14" s="15" t="e">
        <f>#REF!/Deseason_VA!#REF!*100</f>
        <v>#REF!</v>
      </c>
      <c r="AG14" s="15" t="e">
        <f>#REF!/Deseason_VA!#REF!*100</f>
        <v>#REF!</v>
      </c>
      <c r="AH14" s="15" t="e">
        <f>#REF!/Deseason_VA!#REF!*100</f>
        <v>#REF!</v>
      </c>
      <c r="AI14" s="15" t="e">
        <f>#REF!/Deseason_VA!#REF!*100</f>
        <v>#REF!</v>
      </c>
      <c r="AJ14" s="15" t="e">
        <f>#REF!/Deseason_VA!B14*100</f>
        <v>#REF!</v>
      </c>
      <c r="AK14" s="15" t="e">
        <f>#REF!/Deseason_VA!C14*100</f>
        <v>#REF!</v>
      </c>
      <c r="AL14" s="15" t="e">
        <f>#REF!/Deseason_VA!D14*100</f>
        <v>#REF!</v>
      </c>
      <c r="AM14" s="15" t="e">
        <f>#REF!/Deseason_VA!E14*100</f>
        <v>#REF!</v>
      </c>
      <c r="AN14" s="15" t="e">
        <f>#REF!/Deseason_VA!F14*100</f>
        <v>#REF!</v>
      </c>
      <c r="AO14" s="15" t="e">
        <f>#REF!/Deseason_VA!G14*100</f>
        <v>#REF!</v>
      </c>
      <c r="AP14" s="15" t="e">
        <f>#REF!/Deseason_VA!H14*100</f>
        <v>#REF!</v>
      </c>
      <c r="AQ14" s="15" t="e">
        <f>#REF!/Deseason_VA!I14*100</f>
        <v>#REF!</v>
      </c>
    </row>
    <row r="15" spans="1:43" ht="18" customHeight="1" x14ac:dyDescent="0.2">
      <c r="A15" s="4" t="s">
        <v>9</v>
      </c>
      <c r="B15" s="23" t="e">
        <f>#REF!/Deseason_VA!#REF!*100</f>
        <v>#REF!</v>
      </c>
      <c r="C15" s="23" t="e">
        <f>#REF!/Deseason_VA!#REF!*100</f>
        <v>#REF!</v>
      </c>
      <c r="D15" s="23" t="e">
        <f>#REF!/Deseason_VA!#REF!*100</f>
        <v>#REF!</v>
      </c>
      <c r="E15" s="23" t="e">
        <f>#REF!/Deseason_VA!#REF!*100</f>
        <v>#REF!</v>
      </c>
      <c r="F15" s="23" t="e">
        <f>#REF!/Deseason_VA!#REF!*100</f>
        <v>#REF!</v>
      </c>
      <c r="G15" s="23" t="e">
        <f>#REF!/Deseason_VA!#REF!*100</f>
        <v>#REF!</v>
      </c>
      <c r="H15" s="23" t="e">
        <f>#REF!/Deseason_VA!#REF!*100</f>
        <v>#REF!</v>
      </c>
      <c r="I15" s="23" t="e">
        <f>#REF!/Deseason_VA!#REF!*100</f>
        <v>#REF!</v>
      </c>
      <c r="J15" s="23" t="e">
        <f>#REF!/Deseason_VA!#REF!*100</f>
        <v>#REF!</v>
      </c>
      <c r="K15" s="23" t="e">
        <f>#REF!/Deseason_VA!#REF!*100</f>
        <v>#REF!</v>
      </c>
      <c r="L15" s="23" t="e">
        <f>#REF!/Deseason_VA!#REF!*100</f>
        <v>#REF!</v>
      </c>
      <c r="M15" s="23" t="e">
        <f>#REF!/Deseason_VA!#REF!*100</f>
        <v>#REF!</v>
      </c>
      <c r="N15" s="23" t="e">
        <f>#REF!/Deseason_VA!#REF!*100</f>
        <v>#REF!</v>
      </c>
      <c r="O15" s="23" t="e">
        <f>#REF!/Deseason_VA!#REF!*100</f>
        <v>#REF!</v>
      </c>
      <c r="P15" s="23" t="e">
        <f>#REF!/Deseason_VA!#REF!*100</f>
        <v>#REF!</v>
      </c>
      <c r="Q15" s="23" t="e">
        <f>#REF!/Deseason_VA!#REF!*100</f>
        <v>#REF!</v>
      </c>
      <c r="R15" s="23" t="e">
        <f>#REF!/Deseason_VA!#REF!*100</f>
        <v>#REF!</v>
      </c>
      <c r="S15" s="23" t="e">
        <f>#REF!/Deseason_VA!#REF!*100</f>
        <v>#REF!</v>
      </c>
      <c r="T15" s="23" t="e">
        <f>#REF!/Deseason_VA!#REF!*100</f>
        <v>#REF!</v>
      </c>
      <c r="U15" s="23" t="e">
        <f>#REF!/Deseason_VA!#REF!*100</f>
        <v>#REF!</v>
      </c>
      <c r="V15" s="23" t="e">
        <f>#REF!/Deseason_VA!#REF!*100</f>
        <v>#REF!</v>
      </c>
      <c r="W15" s="23" t="e">
        <f>#REF!/Deseason_VA!#REF!*100</f>
        <v>#REF!</v>
      </c>
      <c r="X15" s="23" t="e">
        <f>#REF!/Deseason_VA!#REF!*100</f>
        <v>#REF!</v>
      </c>
      <c r="Y15" s="23" t="e">
        <f>#REF!/Deseason_VA!#REF!*100</f>
        <v>#REF!</v>
      </c>
      <c r="Z15" s="23" t="e">
        <f>#REF!/Deseason_VA!#REF!*100</f>
        <v>#REF!</v>
      </c>
      <c r="AA15" s="23" t="e">
        <f>#REF!/Deseason_VA!#REF!*100</f>
        <v>#REF!</v>
      </c>
      <c r="AB15" s="23" t="e">
        <f>#REF!/Deseason_VA!#REF!*100</f>
        <v>#REF!</v>
      </c>
      <c r="AC15" s="23" t="e">
        <f>#REF!/Deseason_VA!#REF!*100</f>
        <v>#REF!</v>
      </c>
      <c r="AD15" s="23" t="e">
        <f>#REF!/Deseason_VA!#REF!*100</f>
        <v>#REF!</v>
      </c>
      <c r="AE15" s="23" t="e">
        <f>#REF!/Deseason_VA!#REF!*100</f>
        <v>#REF!</v>
      </c>
      <c r="AF15" s="15" t="e">
        <f>#REF!/Deseason_VA!#REF!*100</f>
        <v>#REF!</v>
      </c>
      <c r="AG15" s="15" t="e">
        <f>#REF!/Deseason_VA!#REF!*100</f>
        <v>#REF!</v>
      </c>
      <c r="AH15" s="15" t="e">
        <f>#REF!/Deseason_VA!#REF!*100</f>
        <v>#REF!</v>
      </c>
      <c r="AI15" s="15" t="e">
        <f>#REF!/Deseason_VA!#REF!*100</f>
        <v>#REF!</v>
      </c>
      <c r="AJ15" s="15" t="e">
        <f>#REF!/Deseason_VA!B15*100</f>
        <v>#REF!</v>
      </c>
      <c r="AK15" s="15" t="e">
        <f>#REF!/Deseason_VA!C15*100</f>
        <v>#REF!</v>
      </c>
      <c r="AL15" s="15" t="e">
        <f>#REF!/Deseason_VA!D15*100</f>
        <v>#REF!</v>
      </c>
      <c r="AM15" s="15" t="e">
        <f>#REF!/Deseason_VA!E15*100</f>
        <v>#REF!</v>
      </c>
      <c r="AN15" s="15" t="e">
        <f>#REF!/Deseason_VA!F15*100</f>
        <v>#REF!</v>
      </c>
      <c r="AO15" s="15" t="e">
        <f>#REF!/Deseason_VA!G15*100</f>
        <v>#REF!</v>
      </c>
      <c r="AP15" s="15" t="e">
        <f>#REF!/Deseason_VA!H15*100</f>
        <v>#REF!</v>
      </c>
      <c r="AQ15" s="15" t="e">
        <f>#REF!/Deseason_VA!I15*100</f>
        <v>#REF!</v>
      </c>
    </row>
    <row r="16" spans="1:43" ht="18" customHeight="1" x14ac:dyDescent="0.2">
      <c r="A16" s="4" t="s">
        <v>10</v>
      </c>
      <c r="B16" s="23" t="e">
        <f>#REF!/Deseason_VA!#REF!*100</f>
        <v>#REF!</v>
      </c>
      <c r="C16" s="23" t="e">
        <f>#REF!/Deseason_VA!#REF!*100</f>
        <v>#REF!</v>
      </c>
      <c r="D16" s="23" t="e">
        <f>#REF!/Deseason_VA!#REF!*100</f>
        <v>#REF!</v>
      </c>
      <c r="E16" s="23" t="e">
        <f>#REF!/Deseason_VA!#REF!*100</f>
        <v>#REF!</v>
      </c>
      <c r="F16" s="23" t="e">
        <f>#REF!/Deseason_VA!#REF!*100</f>
        <v>#REF!</v>
      </c>
      <c r="G16" s="23" t="e">
        <f>#REF!/Deseason_VA!#REF!*100</f>
        <v>#REF!</v>
      </c>
      <c r="H16" s="23" t="e">
        <f>#REF!/Deseason_VA!#REF!*100</f>
        <v>#REF!</v>
      </c>
      <c r="I16" s="23" t="e">
        <f>#REF!/Deseason_VA!#REF!*100</f>
        <v>#REF!</v>
      </c>
      <c r="J16" s="23" t="e">
        <f>#REF!/Deseason_VA!#REF!*100</f>
        <v>#REF!</v>
      </c>
      <c r="K16" s="23" t="e">
        <f>#REF!/Deseason_VA!#REF!*100</f>
        <v>#REF!</v>
      </c>
      <c r="L16" s="23" t="e">
        <f>#REF!/Deseason_VA!#REF!*100</f>
        <v>#REF!</v>
      </c>
      <c r="M16" s="23" t="e">
        <f>#REF!/Deseason_VA!#REF!*100</f>
        <v>#REF!</v>
      </c>
      <c r="N16" s="23" t="e">
        <f>#REF!/Deseason_VA!#REF!*100</f>
        <v>#REF!</v>
      </c>
      <c r="O16" s="23" t="e">
        <f>#REF!/Deseason_VA!#REF!*100</f>
        <v>#REF!</v>
      </c>
      <c r="P16" s="23" t="e">
        <f>#REF!/Deseason_VA!#REF!*100</f>
        <v>#REF!</v>
      </c>
      <c r="Q16" s="23" t="e">
        <f>#REF!/Deseason_VA!#REF!*100</f>
        <v>#REF!</v>
      </c>
      <c r="R16" s="23" t="e">
        <f>#REF!/Deseason_VA!#REF!*100</f>
        <v>#REF!</v>
      </c>
      <c r="S16" s="23" t="e">
        <f>#REF!/Deseason_VA!#REF!*100</f>
        <v>#REF!</v>
      </c>
      <c r="T16" s="23" t="e">
        <f>#REF!/Deseason_VA!#REF!*100</f>
        <v>#REF!</v>
      </c>
      <c r="U16" s="23" t="e">
        <f>#REF!/Deseason_VA!#REF!*100</f>
        <v>#REF!</v>
      </c>
      <c r="V16" s="23" t="e">
        <f>#REF!/Deseason_VA!#REF!*100</f>
        <v>#REF!</v>
      </c>
      <c r="W16" s="23" t="e">
        <f>#REF!/Deseason_VA!#REF!*100</f>
        <v>#REF!</v>
      </c>
      <c r="X16" s="23" t="e">
        <f>#REF!/Deseason_VA!#REF!*100</f>
        <v>#REF!</v>
      </c>
      <c r="Y16" s="23" t="e">
        <f>#REF!/Deseason_VA!#REF!*100</f>
        <v>#REF!</v>
      </c>
      <c r="Z16" s="23" t="e">
        <f>#REF!/Deseason_VA!#REF!*100</f>
        <v>#REF!</v>
      </c>
      <c r="AA16" s="23" t="e">
        <f>#REF!/Deseason_VA!#REF!*100</f>
        <v>#REF!</v>
      </c>
      <c r="AB16" s="23" t="e">
        <f>#REF!/Deseason_VA!#REF!*100</f>
        <v>#REF!</v>
      </c>
      <c r="AC16" s="23" t="e">
        <f>#REF!/Deseason_VA!#REF!*100</f>
        <v>#REF!</v>
      </c>
      <c r="AD16" s="23" t="e">
        <f>#REF!/Deseason_VA!#REF!*100</f>
        <v>#REF!</v>
      </c>
      <c r="AE16" s="23" t="e">
        <f>#REF!/Deseason_VA!#REF!*100</f>
        <v>#REF!</v>
      </c>
      <c r="AF16" s="15" t="e">
        <f>#REF!/Deseason_VA!#REF!*100</f>
        <v>#REF!</v>
      </c>
      <c r="AG16" s="15" t="e">
        <f>#REF!/Deseason_VA!#REF!*100</f>
        <v>#REF!</v>
      </c>
      <c r="AH16" s="15" t="e">
        <f>#REF!/Deseason_VA!#REF!*100</f>
        <v>#REF!</v>
      </c>
      <c r="AI16" s="15" t="e">
        <f>#REF!/Deseason_VA!#REF!*100</f>
        <v>#REF!</v>
      </c>
      <c r="AJ16" s="15" t="e">
        <f>#REF!/Deseason_VA!B16*100</f>
        <v>#REF!</v>
      </c>
      <c r="AK16" s="15" t="e">
        <f>#REF!/Deseason_VA!C16*100</f>
        <v>#REF!</v>
      </c>
      <c r="AL16" s="15" t="e">
        <f>#REF!/Deseason_VA!D16*100</f>
        <v>#REF!</v>
      </c>
      <c r="AM16" s="15" t="e">
        <f>#REF!/Deseason_VA!E16*100</f>
        <v>#REF!</v>
      </c>
      <c r="AN16" s="15" t="e">
        <f>#REF!/Deseason_VA!F16*100</f>
        <v>#REF!</v>
      </c>
      <c r="AO16" s="15" t="e">
        <f>#REF!/Deseason_VA!G16*100</f>
        <v>#REF!</v>
      </c>
      <c r="AP16" s="15" t="e">
        <f>#REF!/Deseason_VA!H16*100</f>
        <v>#REF!</v>
      </c>
      <c r="AQ16" s="15" t="e">
        <f>#REF!/Deseason_VA!I16*100</f>
        <v>#REF!</v>
      </c>
    </row>
    <row r="17" spans="1:43" ht="18" customHeight="1" x14ac:dyDescent="0.2">
      <c r="A17" s="4" t="s">
        <v>11</v>
      </c>
      <c r="B17" s="23" t="e">
        <f>#REF!/Deseason_VA!#REF!*100</f>
        <v>#REF!</v>
      </c>
      <c r="C17" s="23" t="e">
        <f>#REF!/Deseason_VA!#REF!*100</f>
        <v>#REF!</v>
      </c>
      <c r="D17" s="23" t="e">
        <f>#REF!/Deseason_VA!#REF!*100</f>
        <v>#REF!</v>
      </c>
      <c r="E17" s="23" t="e">
        <f>#REF!/Deseason_VA!#REF!*100</f>
        <v>#REF!</v>
      </c>
      <c r="F17" s="23" t="e">
        <f>#REF!/Deseason_VA!#REF!*100</f>
        <v>#REF!</v>
      </c>
      <c r="G17" s="23" t="e">
        <f>#REF!/Deseason_VA!#REF!*100</f>
        <v>#REF!</v>
      </c>
      <c r="H17" s="23" t="e">
        <f>#REF!/Deseason_VA!#REF!*100</f>
        <v>#REF!</v>
      </c>
      <c r="I17" s="23" t="e">
        <f>#REF!/Deseason_VA!#REF!*100</f>
        <v>#REF!</v>
      </c>
      <c r="J17" s="23" t="e">
        <f>#REF!/Deseason_VA!#REF!*100</f>
        <v>#REF!</v>
      </c>
      <c r="K17" s="23" t="e">
        <f>#REF!/Deseason_VA!#REF!*100</f>
        <v>#REF!</v>
      </c>
      <c r="L17" s="23" t="e">
        <f>#REF!/Deseason_VA!#REF!*100</f>
        <v>#REF!</v>
      </c>
      <c r="M17" s="23" t="e">
        <f>#REF!/Deseason_VA!#REF!*100</f>
        <v>#REF!</v>
      </c>
      <c r="N17" s="23" t="e">
        <f>#REF!/Deseason_VA!#REF!*100</f>
        <v>#REF!</v>
      </c>
      <c r="O17" s="23" t="e">
        <f>#REF!/Deseason_VA!#REF!*100</f>
        <v>#REF!</v>
      </c>
      <c r="P17" s="23" t="e">
        <f>#REF!/Deseason_VA!#REF!*100</f>
        <v>#REF!</v>
      </c>
      <c r="Q17" s="23" t="e">
        <f>#REF!/Deseason_VA!#REF!*100</f>
        <v>#REF!</v>
      </c>
      <c r="R17" s="23" t="e">
        <f>#REF!/Deseason_VA!#REF!*100</f>
        <v>#REF!</v>
      </c>
      <c r="S17" s="23" t="e">
        <f>#REF!/Deseason_VA!#REF!*100</f>
        <v>#REF!</v>
      </c>
      <c r="T17" s="23" t="e">
        <f>#REF!/Deseason_VA!#REF!*100</f>
        <v>#REF!</v>
      </c>
      <c r="U17" s="23" t="e">
        <f>#REF!/Deseason_VA!#REF!*100</f>
        <v>#REF!</v>
      </c>
      <c r="V17" s="23" t="e">
        <f>#REF!/Deseason_VA!#REF!*100</f>
        <v>#REF!</v>
      </c>
      <c r="W17" s="23" t="e">
        <f>#REF!/Deseason_VA!#REF!*100</f>
        <v>#REF!</v>
      </c>
      <c r="X17" s="23" t="e">
        <f>#REF!/Deseason_VA!#REF!*100</f>
        <v>#REF!</v>
      </c>
      <c r="Y17" s="23" t="e">
        <f>#REF!/Deseason_VA!#REF!*100</f>
        <v>#REF!</v>
      </c>
      <c r="Z17" s="23" t="e">
        <f>#REF!/Deseason_VA!#REF!*100</f>
        <v>#REF!</v>
      </c>
      <c r="AA17" s="23" t="e">
        <f>#REF!/Deseason_VA!#REF!*100</f>
        <v>#REF!</v>
      </c>
      <c r="AB17" s="23" t="e">
        <f>#REF!/Deseason_VA!#REF!*100</f>
        <v>#REF!</v>
      </c>
      <c r="AC17" s="23" t="e">
        <f>#REF!/Deseason_VA!#REF!*100</f>
        <v>#REF!</v>
      </c>
      <c r="AD17" s="23" t="e">
        <f>#REF!/Deseason_VA!#REF!*100</f>
        <v>#REF!</v>
      </c>
      <c r="AE17" s="23" t="e">
        <f>#REF!/Deseason_VA!#REF!*100</f>
        <v>#REF!</v>
      </c>
      <c r="AF17" s="15" t="e">
        <f>#REF!/Deseason_VA!#REF!*100</f>
        <v>#REF!</v>
      </c>
      <c r="AG17" s="15" t="e">
        <f>#REF!/Deseason_VA!#REF!*100</f>
        <v>#REF!</v>
      </c>
      <c r="AH17" s="15" t="e">
        <f>#REF!/Deseason_VA!#REF!*100</f>
        <v>#REF!</v>
      </c>
      <c r="AI17" s="15" t="e">
        <f>#REF!/Deseason_VA!#REF!*100</f>
        <v>#REF!</v>
      </c>
      <c r="AJ17" s="15" t="e">
        <f>#REF!/Deseason_VA!B17*100</f>
        <v>#REF!</v>
      </c>
      <c r="AK17" s="15" t="e">
        <f>#REF!/Deseason_VA!C17*100</f>
        <v>#REF!</v>
      </c>
      <c r="AL17" s="15" t="e">
        <f>#REF!/Deseason_VA!D17*100</f>
        <v>#REF!</v>
      </c>
      <c r="AM17" s="15" t="e">
        <f>#REF!/Deseason_VA!E17*100</f>
        <v>#REF!</v>
      </c>
      <c r="AN17" s="15" t="e">
        <f>#REF!/Deseason_VA!F17*100</f>
        <v>#REF!</v>
      </c>
      <c r="AO17" s="15" t="e">
        <f>#REF!/Deseason_VA!G17*100</f>
        <v>#REF!</v>
      </c>
      <c r="AP17" s="15" t="e">
        <f>#REF!/Deseason_VA!H17*100</f>
        <v>#REF!</v>
      </c>
      <c r="AQ17" s="15" t="e">
        <f>#REF!/Deseason_VA!I17*100</f>
        <v>#REF!</v>
      </c>
    </row>
    <row r="18" spans="1:43" ht="18" customHeight="1" x14ac:dyDescent="0.2">
      <c r="A18" s="16" t="s">
        <v>12</v>
      </c>
      <c r="B18" s="23" t="e">
        <f>#REF!/Deseason_VA!#REF!*100</f>
        <v>#REF!</v>
      </c>
      <c r="C18" s="23" t="e">
        <f>#REF!/Deseason_VA!#REF!*100</f>
        <v>#REF!</v>
      </c>
      <c r="D18" s="23" t="e">
        <f>#REF!/Deseason_VA!#REF!*100</f>
        <v>#REF!</v>
      </c>
      <c r="E18" s="23" t="e">
        <f>#REF!/Deseason_VA!#REF!*100</f>
        <v>#REF!</v>
      </c>
      <c r="F18" s="23" t="e">
        <f>#REF!/Deseason_VA!#REF!*100</f>
        <v>#REF!</v>
      </c>
      <c r="G18" s="23" t="e">
        <f>#REF!/Deseason_VA!#REF!*100</f>
        <v>#REF!</v>
      </c>
      <c r="H18" s="23" t="e">
        <f>#REF!/Deseason_VA!#REF!*100</f>
        <v>#REF!</v>
      </c>
      <c r="I18" s="23" t="e">
        <f>#REF!/Deseason_VA!#REF!*100</f>
        <v>#REF!</v>
      </c>
      <c r="J18" s="23" t="e">
        <f>#REF!/Deseason_VA!#REF!*100</f>
        <v>#REF!</v>
      </c>
      <c r="K18" s="23" t="e">
        <f>#REF!/Deseason_VA!#REF!*100</f>
        <v>#REF!</v>
      </c>
      <c r="L18" s="23" t="e">
        <f>#REF!/Deseason_VA!#REF!*100</f>
        <v>#REF!</v>
      </c>
      <c r="M18" s="23" t="e">
        <f>#REF!/Deseason_VA!#REF!*100</f>
        <v>#REF!</v>
      </c>
      <c r="N18" s="23" t="e">
        <f>#REF!/Deseason_VA!#REF!*100</f>
        <v>#REF!</v>
      </c>
      <c r="O18" s="23" t="e">
        <f>#REF!/Deseason_VA!#REF!*100</f>
        <v>#REF!</v>
      </c>
      <c r="P18" s="23" t="e">
        <f>#REF!/Deseason_VA!#REF!*100</f>
        <v>#REF!</v>
      </c>
      <c r="Q18" s="23" t="e">
        <f>#REF!/Deseason_VA!#REF!*100</f>
        <v>#REF!</v>
      </c>
      <c r="R18" s="23" t="e">
        <f>#REF!/Deseason_VA!#REF!*100</f>
        <v>#REF!</v>
      </c>
      <c r="S18" s="23" t="e">
        <f>#REF!/Deseason_VA!#REF!*100</f>
        <v>#REF!</v>
      </c>
      <c r="T18" s="23" t="e">
        <f>#REF!/Deseason_VA!#REF!*100</f>
        <v>#REF!</v>
      </c>
      <c r="U18" s="23" t="e">
        <f>#REF!/Deseason_VA!#REF!*100</f>
        <v>#REF!</v>
      </c>
      <c r="V18" s="23" t="e">
        <f>#REF!/Deseason_VA!#REF!*100</f>
        <v>#REF!</v>
      </c>
      <c r="W18" s="23" t="e">
        <f>#REF!/Deseason_VA!#REF!*100</f>
        <v>#REF!</v>
      </c>
      <c r="X18" s="23" t="e">
        <f>#REF!/Deseason_VA!#REF!*100</f>
        <v>#REF!</v>
      </c>
      <c r="Y18" s="23" t="e">
        <f>#REF!/Deseason_VA!#REF!*100</f>
        <v>#REF!</v>
      </c>
      <c r="Z18" s="23" t="e">
        <f>#REF!/Deseason_VA!#REF!*100</f>
        <v>#REF!</v>
      </c>
      <c r="AA18" s="23" t="e">
        <f>#REF!/Deseason_VA!#REF!*100</f>
        <v>#REF!</v>
      </c>
      <c r="AB18" s="23" t="e">
        <f>#REF!/Deseason_VA!#REF!*100</f>
        <v>#REF!</v>
      </c>
      <c r="AC18" s="23" t="e">
        <f>#REF!/Deseason_VA!#REF!*100</f>
        <v>#REF!</v>
      </c>
      <c r="AD18" s="23" t="e">
        <f>#REF!/Deseason_VA!#REF!*100</f>
        <v>#REF!</v>
      </c>
      <c r="AE18" s="23" t="e">
        <f>#REF!/Deseason_VA!#REF!*100</f>
        <v>#REF!</v>
      </c>
      <c r="AF18" s="15" t="e">
        <f>#REF!/Deseason_VA!#REF!*100</f>
        <v>#REF!</v>
      </c>
      <c r="AG18" s="15" t="e">
        <f>#REF!/Deseason_VA!#REF!*100</f>
        <v>#REF!</v>
      </c>
      <c r="AH18" s="15" t="e">
        <f>#REF!/Deseason_VA!#REF!*100</f>
        <v>#REF!</v>
      </c>
      <c r="AI18" s="15" t="e">
        <f>#REF!/Deseason_VA!#REF!*100</f>
        <v>#REF!</v>
      </c>
      <c r="AJ18" s="15" t="e">
        <f>#REF!/Deseason_VA!B18*100</f>
        <v>#REF!</v>
      </c>
      <c r="AK18" s="15" t="e">
        <f>#REF!/Deseason_VA!C18*100</f>
        <v>#REF!</v>
      </c>
      <c r="AL18" s="15" t="e">
        <f>#REF!/Deseason_VA!D18*100</f>
        <v>#REF!</v>
      </c>
      <c r="AM18" s="15" t="e">
        <f>#REF!/Deseason_VA!E18*100</f>
        <v>#REF!</v>
      </c>
      <c r="AN18" s="15" t="e">
        <f>#REF!/Deseason_VA!F18*100</f>
        <v>#REF!</v>
      </c>
      <c r="AO18" s="15" t="e">
        <f>#REF!/Deseason_VA!G18*100</f>
        <v>#REF!</v>
      </c>
      <c r="AP18" s="15" t="e">
        <f>#REF!/Deseason_VA!H18*100</f>
        <v>#REF!</v>
      </c>
      <c r="AQ18" s="15" t="e">
        <f>#REF!/Deseason_VA!I18*100</f>
        <v>#REF!</v>
      </c>
    </row>
    <row r="19" spans="1:43" s="8" customFormat="1" ht="24.75" customHeight="1" x14ac:dyDescent="0.2">
      <c r="A19" s="2" t="s">
        <v>94</v>
      </c>
      <c r="B19" s="20" t="e">
        <f>#REF!/Deseason_VA!#REF!*100</f>
        <v>#REF!</v>
      </c>
      <c r="C19" s="20" t="e">
        <f>#REF!/Deseason_VA!#REF!*100</f>
        <v>#REF!</v>
      </c>
      <c r="D19" s="20" t="e">
        <f>#REF!/Deseason_VA!#REF!*100</f>
        <v>#REF!</v>
      </c>
      <c r="E19" s="20" t="e">
        <f>#REF!/Deseason_VA!#REF!*100</f>
        <v>#REF!</v>
      </c>
      <c r="F19" s="20" t="e">
        <f>#REF!/Deseason_VA!#REF!*100</f>
        <v>#REF!</v>
      </c>
      <c r="G19" s="20" t="e">
        <f>#REF!/Deseason_VA!#REF!*100</f>
        <v>#REF!</v>
      </c>
      <c r="H19" s="20" t="e">
        <f>#REF!/Deseason_VA!#REF!*100</f>
        <v>#REF!</v>
      </c>
      <c r="I19" s="20" t="e">
        <f>#REF!/Deseason_VA!#REF!*100</f>
        <v>#REF!</v>
      </c>
      <c r="J19" s="20" t="e">
        <f>#REF!/Deseason_VA!#REF!*100</f>
        <v>#REF!</v>
      </c>
      <c r="K19" s="20" t="e">
        <f>#REF!/Deseason_VA!#REF!*100</f>
        <v>#REF!</v>
      </c>
      <c r="L19" s="20" t="e">
        <f>#REF!/Deseason_VA!#REF!*100</f>
        <v>#REF!</v>
      </c>
      <c r="M19" s="20" t="e">
        <f>#REF!/Deseason_VA!#REF!*100</f>
        <v>#REF!</v>
      </c>
      <c r="N19" s="20" t="e">
        <f>#REF!/Deseason_VA!#REF!*100</f>
        <v>#REF!</v>
      </c>
      <c r="O19" s="20" t="e">
        <f>#REF!/Deseason_VA!#REF!*100</f>
        <v>#REF!</v>
      </c>
      <c r="P19" s="20" t="e">
        <f>#REF!/Deseason_VA!#REF!*100</f>
        <v>#REF!</v>
      </c>
      <c r="Q19" s="20" t="e">
        <f>#REF!/Deseason_VA!#REF!*100</f>
        <v>#REF!</v>
      </c>
      <c r="R19" s="20" t="e">
        <f>#REF!/Deseason_VA!#REF!*100</f>
        <v>#REF!</v>
      </c>
      <c r="S19" s="20" t="e">
        <f>#REF!/Deseason_VA!#REF!*100</f>
        <v>#REF!</v>
      </c>
      <c r="T19" s="20" t="e">
        <f>#REF!/Deseason_VA!#REF!*100</f>
        <v>#REF!</v>
      </c>
      <c r="U19" s="20" t="e">
        <f>#REF!/Deseason_VA!#REF!*100</f>
        <v>#REF!</v>
      </c>
      <c r="V19" s="20" t="e">
        <f>#REF!/Deseason_VA!#REF!*100</f>
        <v>#REF!</v>
      </c>
      <c r="W19" s="20" t="e">
        <f>#REF!/Deseason_VA!#REF!*100</f>
        <v>#REF!</v>
      </c>
      <c r="X19" s="20" t="e">
        <f>#REF!/Deseason_VA!#REF!*100</f>
        <v>#REF!</v>
      </c>
      <c r="Y19" s="20" t="e">
        <f>#REF!/Deseason_VA!#REF!*100</f>
        <v>#REF!</v>
      </c>
      <c r="Z19" s="20" t="e">
        <f>#REF!/Deseason_VA!#REF!*100</f>
        <v>#REF!</v>
      </c>
      <c r="AA19" s="20" t="e">
        <f>#REF!/Deseason_VA!#REF!*100</f>
        <v>#REF!</v>
      </c>
      <c r="AB19" s="20" t="e">
        <f>#REF!/Deseason_VA!#REF!*100</f>
        <v>#REF!</v>
      </c>
      <c r="AC19" s="20" t="e">
        <f>#REF!/Deseason_VA!#REF!*100</f>
        <v>#REF!</v>
      </c>
      <c r="AD19" s="20" t="e">
        <f>#REF!/Deseason_VA!#REF!*100</f>
        <v>#REF!</v>
      </c>
      <c r="AE19" s="20" t="e">
        <f>#REF!/Deseason_VA!#REF!*100</f>
        <v>#REF!</v>
      </c>
      <c r="AF19" s="18" t="e">
        <f>#REF!/Deseason_VA!#REF!*100</f>
        <v>#REF!</v>
      </c>
      <c r="AG19" s="18" t="e">
        <f>#REF!/Deseason_VA!#REF!*100</f>
        <v>#REF!</v>
      </c>
      <c r="AH19" s="18" t="e">
        <f>#REF!/Deseason_VA!#REF!*100</f>
        <v>#REF!</v>
      </c>
      <c r="AI19" s="18" t="e">
        <f>#REF!/Deseason_VA!#REF!*100</f>
        <v>#REF!</v>
      </c>
      <c r="AJ19" s="18" t="e">
        <f>#REF!/Deseason_VA!B19*100</f>
        <v>#REF!</v>
      </c>
      <c r="AK19" s="18" t="e">
        <f>#REF!/Deseason_VA!C19*100</f>
        <v>#REF!</v>
      </c>
      <c r="AL19" s="18" t="e">
        <f>#REF!/Deseason_VA!D19*100</f>
        <v>#REF!</v>
      </c>
      <c r="AM19" s="18" t="e">
        <f>#REF!/Deseason_VA!E19*100</f>
        <v>#REF!</v>
      </c>
      <c r="AN19" s="18" t="e">
        <f>#REF!/Deseason_VA!F19*100</f>
        <v>#REF!</v>
      </c>
      <c r="AO19" s="18" t="e">
        <f>#REF!/Deseason_VA!G19*100</f>
        <v>#REF!</v>
      </c>
      <c r="AP19" s="18" t="e">
        <f>#REF!/Deseason_VA!H19*100</f>
        <v>#REF!</v>
      </c>
      <c r="AQ19" s="18" t="e">
        <f>#REF!/Deseason_VA!I19*100</f>
        <v>#REF!</v>
      </c>
    </row>
    <row r="20" spans="1:43" s="8" customFormat="1" ht="18" customHeight="1" x14ac:dyDescent="0.2">
      <c r="A20" s="55" t="s">
        <v>52</v>
      </c>
      <c r="B20" s="23" t="e">
        <f>#REF!/Deseason_VA!#REF!*100</f>
        <v>#REF!</v>
      </c>
      <c r="C20" s="23" t="e">
        <f>#REF!/Deseason_VA!#REF!*100</f>
        <v>#REF!</v>
      </c>
      <c r="D20" s="23" t="e">
        <f>#REF!/Deseason_VA!#REF!*100</f>
        <v>#REF!</v>
      </c>
      <c r="E20" s="23" t="e">
        <f>#REF!/Deseason_VA!#REF!*100</f>
        <v>#REF!</v>
      </c>
      <c r="F20" s="23" t="e">
        <f>#REF!/Deseason_VA!#REF!*100</f>
        <v>#REF!</v>
      </c>
      <c r="G20" s="23" t="e">
        <f>#REF!/Deseason_VA!#REF!*100</f>
        <v>#REF!</v>
      </c>
      <c r="H20" s="23" t="e">
        <f>#REF!/Deseason_VA!#REF!*100</f>
        <v>#REF!</v>
      </c>
      <c r="I20" s="23" t="e">
        <f>#REF!/Deseason_VA!#REF!*100</f>
        <v>#REF!</v>
      </c>
      <c r="J20" s="23" t="e">
        <f>#REF!/Deseason_VA!#REF!*100</f>
        <v>#REF!</v>
      </c>
      <c r="K20" s="23" t="e">
        <f>#REF!/Deseason_VA!#REF!*100</f>
        <v>#REF!</v>
      </c>
      <c r="L20" s="23" t="e">
        <f>#REF!/Deseason_VA!#REF!*100</f>
        <v>#REF!</v>
      </c>
      <c r="M20" s="23" t="e">
        <f>#REF!/Deseason_VA!#REF!*100</f>
        <v>#REF!</v>
      </c>
      <c r="N20" s="23" t="e">
        <f>#REF!/Deseason_VA!#REF!*100</f>
        <v>#REF!</v>
      </c>
      <c r="O20" s="23" t="e">
        <f>#REF!/Deseason_VA!#REF!*100</f>
        <v>#REF!</v>
      </c>
      <c r="P20" s="23" t="e">
        <f>#REF!/Deseason_VA!#REF!*100</f>
        <v>#REF!</v>
      </c>
      <c r="Q20" s="23" t="e">
        <f>#REF!/Deseason_VA!#REF!*100</f>
        <v>#REF!</v>
      </c>
      <c r="R20" s="23" t="e">
        <f>#REF!/Deseason_VA!#REF!*100</f>
        <v>#REF!</v>
      </c>
      <c r="S20" s="23" t="e">
        <f>#REF!/Deseason_VA!#REF!*100</f>
        <v>#REF!</v>
      </c>
      <c r="T20" s="23" t="e">
        <f>#REF!/Deseason_VA!#REF!*100</f>
        <v>#REF!</v>
      </c>
      <c r="U20" s="23" t="e">
        <f>#REF!/Deseason_VA!#REF!*100</f>
        <v>#REF!</v>
      </c>
      <c r="V20" s="23" t="e">
        <f>#REF!/Deseason_VA!#REF!*100</f>
        <v>#REF!</v>
      </c>
      <c r="W20" s="23" t="e">
        <f>#REF!/Deseason_VA!#REF!*100</f>
        <v>#REF!</v>
      </c>
      <c r="X20" s="23" t="e">
        <f>#REF!/Deseason_VA!#REF!*100</f>
        <v>#REF!</v>
      </c>
      <c r="Y20" s="23" t="e">
        <f>#REF!/Deseason_VA!#REF!*100</f>
        <v>#REF!</v>
      </c>
      <c r="Z20" s="23" t="e">
        <f>#REF!/Deseason_VA!#REF!*100</f>
        <v>#REF!</v>
      </c>
      <c r="AA20" s="23" t="e">
        <f>#REF!/Deseason_VA!#REF!*100</f>
        <v>#REF!</v>
      </c>
      <c r="AB20" s="23" t="e">
        <f>#REF!/Deseason_VA!#REF!*100</f>
        <v>#REF!</v>
      </c>
      <c r="AC20" s="23" t="e">
        <f>#REF!/Deseason_VA!#REF!*100</f>
        <v>#REF!</v>
      </c>
      <c r="AD20" s="23" t="e">
        <f>#REF!/Deseason_VA!#REF!*100</f>
        <v>#REF!</v>
      </c>
      <c r="AE20" s="23" t="e">
        <f>#REF!/Deseason_VA!#REF!*100</f>
        <v>#REF!</v>
      </c>
      <c r="AF20" s="15" t="e">
        <f>#REF!/Deseason_VA!#REF!*100</f>
        <v>#REF!</v>
      </c>
      <c r="AG20" s="15" t="e">
        <f>#REF!/Deseason_VA!#REF!*100</f>
        <v>#REF!</v>
      </c>
      <c r="AH20" s="15" t="e">
        <f>#REF!/Deseason_VA!#REF!*100</f>
        <v>#REF!</v>
      </c>
      <c r="AI20" s="15" t="e">
        <f>#REF!/Deseason_VA!#REF!*100</f>
        <v>#REF!</v>
      </c>
      <c r="AJ20" s="15" t="e">
        <f>#REF!/Deseason_VA!B20*100</f>
        <v>#REF!</v>
      </c>
      <c r="AK20" s="15" t="e">
        <f>#REF!/Deseason_VA!C20*100</f>
        <v>#REF!</v>
      </c>
      <c r="AL20" s="15" t="e">
        <f>#REF!/Deseason_VA!D20*100</f>
        <v>#REF!</v>
      </c>
      <c r="AM20" s="15" t="e">
        <f>#REF!/Deseason_VA!E20*100</f>
        <v>#REF!</v>
      </c>
      <c r="AN20" s="15" t="e">
        <f>#REF!/Deseason_VA!F20*100</f>
        <v>#REF!</v>
      </c>
      <c r="AO20" s="15" t="e">
        <f>#REF!/Deseason_VA!G20*100</f>
        <v>#REF!</v>
      </c>
      <c r="AP20" s="15" t="e">
        <f>#REF!/Deseason_VA!H20*100</f>
        <v>#REF!</v>
      </c>
      <c r="AQ20" s="15" t="e">
        <f>#REF!/Deseason_VA!I20*100</f>
        <v>#REF!</v>
      </c>
    </row>
    <row r="21" spans="1:43" s="8" customFormat="1" ht="18" customHeight="1" x14ac:dyDescent="0.2">
      <c r="A21" s="55" t="s">
        <v>53</v>
      </c>
      <c r="B21" s="23" t="e">
        <f>#REF!/Deseason_VA!#REF!*100</f>
        <v>#REF!</v>
      </c>
      <c r="C21" s="23" t="e">
        <f>#REF!/Deseason_VA!#REF!*100</f>
        <v>#REF!</v>
      </c>
      <c r="D21" s="23" t="e">
        <f>#REF!/Deseason_VA!#REF!*100</f>
        <v>#REF!</v>
      </c>
      <c r="E21" s="23" t="e">
        <f>#REF!/Deseason_VA!#REF!*100</f>
        <v>#REF!</v>
      </c>
      <c r="F21" s="23" t="e">
        <f>#REF!/Deseason_VA!#REF!*100</f>
        <v>#REF!</v>
      </c>
      <c r="G21" s="23" t="e">
        <f>#REF!/Deseason_VA!#REF!*100</f>
        <v>#REF!</v>
      </c>
      <c r="H21" s="23" t="e">
        <f>#REF!/Deseason_VA!#REF!*100</f>
        <v>#REF!</v>
      </c>
      <c r="I21" s="23" t="e">
        <f>#REF!/Deseason_VA!#REF!*100</f>
        <v>#REF!</v>
      </c>
      <c r="J21" s="23" t="e">
        <f>#REF!/Deseason_VA!#REF!*100</f>
        <v>#REF!</v>
      </c>
      <c r="K21" s="23" t="e">
        <f>#REF!/Deseason_VA!#REF!*100</f>
        <v>#REF!</v>
      </c>
      <c r="L21" s="23" t="e">
        <f>#REF!/Deseason_VA!#REF!*100</f>
        <v>#REF!</v>
      </c>
      <c r="M21" s="23" t="e">
        <f>#REF!/Deseason_VA!#REF!*100</f>
        <v>#REF!</v>
      </c>
      <c r="N21" s="23" t="e">
        <f>#REF!/Deseason_VA!#REF!*100</f>
        <v>#REF!</v>
      </c>
      <c r="O21" s="23" t="e">
        <f>#REF!/Deseason_VA!#REF!*100</f>
        <v>#REF!</v>
      </c>
      <c r="P21" s="23" t="e">
        <f>#REF!/Deseason_VA!#REF!*100</f>
        <v>#REF!</v>
      </c>
      <c r="Q21" s="23" t="e">
        <f>#REF!/Deseason_VA!#REF!*100</f>
        <v>#REF!</v>
      </c>
      <c r="R21" s="23" t="e">
        <f>#REF!/Deseason_VA!#REF!*100</f>
        <v>#REF!</v>
      </c>
      <c r="S21" s="23" t="e">
        <f>#REF!/Deseason_VA!#REF!*100</f>
        <v>#REF!</v>
      </c>
      <c r="T21" s="23" t="e">
        <f>#REF!/Deseason_VA!#REF!*100</f>
        <v>#REF!</v>
      </c>
      <c r="U21" s="23" t="e">
        <f>#REF!/Deseason_VA!#REF!*100</f>
        <v>#REF!</v>
      </c>
      <c r="V21" s="23" t="e">
        <f>#REF!/Deseason_VA!#REF!*100</f>
        <v>#REF!</v>
      </c>
      <c r="W21" s="23" t="e">
        <f>#REF!/Deseason_VA!#REF!*100</f>
        <v>#REF!</v>
      </c>
      <c r="X21" s="23" t="e">
        <f>#REF!/Deseason_VA!#REF!*100</f>
        <v>#REF!</v>
      </c>
      <c r="Y21" s="23" t="e">
        <f>#REF!/Deseason_VA!#REF!*100</f>
        <v>#REF!</v>
      </c>
      <c r="Z21" s="23" t="e">
        <f>#REF!/Deseason_VA!#REF!*100</f>
        <v>#REF!</v>
      </c>
      <c r="AA21" s="23" t="e">
        <f>#REF!/Deseason_VA!#REF!*100</f>
        <v>#REF!</v>
      </c>
      <c r="AB21" s="23" t="e">
        <f>#REF!/Deseason_VA!#REF!*100</f>
        <v>#REF!</v>
      </c>
      <c r="AC21" s="23" t="e">
        <f>#REF!/Deseason_VA!#REF!*100</f>
        <v>#REF!</v>
      </c>
      <c r="AD21" s="23" t="e">
        <f>#REF!/Deseason_VA!#REF!*100</f>
        <v>#REF!</v>
      </c>
      <c r="AE21" s="23" t="e">
        <f>#REF!/Deseason_VA!#REF!*100</f>
        <v>#REF!</v>
      </c>
      <c r="AF21" s="15" t="e">
        <f>#REF!/Deseason_VA!#REF!*100</f>
        <v>#REF!</v>
      </c>
      <c r="AG21" s="15" t="e">
        <f>#REF!/Deseason_VA!#REF!*100</f>
        <v>#REF!</v>
      </c>
      <c r="AH21" s="15" t="e">
        <f>#REF!/Deseason_VA!#REF!*100</f>
        <v>#REF!</v>
      </c>
      <c r="AI21" s="15" t="e">
        <f>#REF!/Deseason_VA!#REF!*100</f>
        <v>#REF!</v>
      </c>
      <c r="AJ21" s="15" t="e">
        <f>#REF!/Deseason_VA!B21*100</f>
        <v>#REF!</v>
      </c>
      <c r="AK21" s="15" t="e">
        <f>#REF!/Deseason_VA!C21*100</f>
        <v>#REF!</v>
      </c>
      <c r="AL21" s="15" t="e">
        <f>#REF!/Deseason_VA!D21*100</f>
        <v>#REF!</v>
      </c>
      <c r="AM21" s="15" t="e">
        <f>#REF!/Deseason_VA!E21*100</f>
        <v>#REF!</v>
      </c>
      <c r="AN21" s="15" t="e">
        <f>#REF!/Deseason_VA!F21*100</f>
        <v>#REF!</v>
      </c>
      <c r="AO21" s="15" t="e">
        <f>#REF!/Deseason_VA!G21*100</f>
        <v>#REF!</v>
      </c>
      <c r="AP21" s="15" t="e">
        <f>#REF!/Deseason_VA!H21*100</f>
        <v>#REF!</v>
      </c>
      <c r="AQ21" s="15" t="e">
        <f>#REF!/Deseason_VA!I21*100</f>
        <v>#REF!</v>
      </c>
    </row>
    <row r="22" spans="1:43" s="8" customFormat="1" ht="18" customHeight="1" x14ac:dyDescent="0.2">
      <c r="A22" s="55" t="s">
        <v>55</v>
      </c>
      <c r="B22" s="23" t="e">
        <f>#REF!/Deseason_VA!#REF!*100</f>
        <v>#REF!</v>
      </c>
      <c r="C22" s="23" t="e">
        <f>#REF!/Deseason_VA!#REF!*100</f>
        <v>#REF!</v>
      </c>
      <c r="D22" s="23" t="e">
        <f>#REF!/Deseason_VA!#REF!*100</f>
        <v>#REF!</v>
      </c>
      <c r="E22" s="23" t="e">
        <f>#REF!/Deseason_VA!#REF!*100</f>
        <v>#REF!</v>
      </c>
      <c r="F22" s="23" t="e">
        <f>#REF!/Deseason_VA!#REF!*100</f>
        <v>#REF!</v>
      </c>
      <c r="G22" s="23" t="e">
        <f>#REF!/Deseason_VA!#REF!*100</f>
        <v>#REF!</v>
      </c>
      <c r="H22" s="23" t="e">
        <f>#REF!/Deseason_VA!#REF!*100</f>
        <v>#REF!</v>
      </c>
      <c r="I22" s="23" t="e">
        <f>#REF!/Deseason_VA!#REF!*100</f>
        <v>#REF!</v>
      </c>
      <c r="J22" s="23" t="e">
        <f>#REF!/Deseason_VA!#REF!*100</f>
        <v>#REF!</v>
      </c>
      <c r="K22" s="23" t="e">
        <f>#REF!/Deseason_VA!#REF!*100</f>
        <v>#REF!</v>
      </c>
      <c r="L22" s="23" t="e">
        <f>#REF!/Deseason_VA!#REF!*100</f>
        <v>#REF!</v>
      </c>
      <c r="M22" s="23" t="e">
        <f>#REF!/Deseason_VA!#REF!*100</f>
        <v>#REF!</v>
      </c>
      <c r="N22" s="23" t="e">
        <f>#REF!/Deseason_VA!#REF!*100</f>
        <v>#REF!</v>
      </c>
      <c r="O22" s="23" t="e">
        <f>#REF!/Deseason_VA!#REF!*100</f>
        <v>#REF!</v>
      </c>
      <c r="P22" s="23" t="e">
        <f>#REF!/Deseason_VA!#REF!*100</f>
        <v>#REF!</v>
      </c>
      <c r="Q22" s="23" t="e">
        <f>#REF!/Deseason_VA!#REF!*100</f>
        <v>#REF!</v>
      </c>
      <c r="R22" s="23" t="e">
        <f>#REF!/Deseason_VA!#REF!*100</f>
        <v>#REF!</v>
      </c>
      <c r="S22" s="23" t="e">
        <f>#REF!/Deseason_VA!#REF!*100</f>
        <v>#REF!</v>
      </c>
      <c r="T22" s="23" t="e">
        <f>#REF!/Deseason_VA!#REF!*100</f>
        <v>#REF!</v>
      </c>
      <c r="U22" s="23" t="e">
        <f>#REF!/Deseason_VA!#REF!*100</f>
        <v>#REF!</v>
      </c>
      <c r="V22" s="23" t="e">
        <f>#REF!/Deseason_VA!#REF!*100</f>
        <v>#REF!</v>
      </c>
      <c r="W22" s="23" t="e">
        <f>#REF!/Deseason_VA!#REF!*100</f>
        <v>#REF!</v>
      </c>
      <c r="X22" s="23" t="e">
        <f>#REF!/Deseason_VA!#REF!*100</f>
        <v>#REF!</v>
      </c>
      <c r="Y22" s="23" t="e">
        <f>#REF!/Deseason_VA!#REF!*100</f>
        <v>#REF!</v>
      </c>
      <c r="Z22" s="23" t="e">
        <f>#REF!/Deseason_VA!#REF!*100</f>
        <v>#REF!</v>
      </c>
      <c r="AA22" s="23" t="e">
        <f>#REF!/Deseason_VA!#REF!*100</f>
        <v>#REF!</v>
      </c>
      <c r="AB22" s="23" t="e">
        <f>#REF!/Deseason_VA!#REF!*100</f>
        <v>#REF!</v>
      </c>
      <c r="AC22" s="23" t="e">
        <f>#REF!/Deseason_VA!#REF!*100</f>
        <v>#REF!</v>
      </c>
      <c r="AD22" s="23" t="e">
        <f>#REF!/Deseason_VA!#REF!*100</f>
        <v>#REF!</v>
      </c>
      <c r="AE22" s="23" t="e">
        <f>#REF!/Deseason_VA!#REF!*100</f>
        <v>#REF!</v>
      </c>
      <c r="AF22" s="15" t="e">
        <f>#REF!/Deseason_VA!#REF!*100</f>
        <v>#REF!</v>
      </c>
      <c r="AG22" s="15" t="e">
        <f>#REF!/Deseason_VA!#REF!*100</f>
        <v>#REF!</v>
      </c>
      <c r="AH22" s="15" t="e">
        <f>#REF!/Deseason_VA!#REF!*100</f>
        <v>#REF!</v>
      </c>
      <c r="AI22" s="15" t="e">
        <f>#REF!/Deseason_VA!#REF!*100</f>
        <v>#REF!</v>
      </c>
      <c r="AJ22" s="15" t="e">
        <f>#REF!/Deseason_VA!B22*100</f>
        <v>#REF!</v>
      </c>
      <c r="AK22" s="15" t="e">
        <f>#REF!/Deseason_VA!C22*100</f>
        <v>#REF!</v>
      </c>
      <c r="AL22" s="15" t="e">
        <f>#REF!/Deseason_VA!D22*100</f>
        <v>#REF!</v>
      </c>
      <c r="AM22" s="15" t="e">
        <f>#REF!/Deseason_VA!E22*100</f>
        <v>#REF!</v>
      </c>
      <c r="AN22" s="15" t="e">
        <f>#REF!/Deseason_VA!F22*100</f>
        <v>#REF!</v>
      </c>
      <c r="AO22" s="15" t="e">
        <f>#REF!/Deseason_VA!G22*100</f>
        <v>#REF!</v>
      </c>
      <c r="AP22" s="15" t="e">
        <f>#REF!/Deseason_VA!H22*100</f>
        <v>#REF!</v>
      </c>
      <c r="AQ22" s="15" t="e">
        <f>#REF!/Deseason_VA!I22*100</f>
        <v>#REF!</v>
      </c>
    </row>
    <row r="23" spans="1:43" s="8" customFormat="1" ht="18" customHeight="1" x14ac:dyDescent="0.2">
      <c r="A23" s="55" t="s">
        <v>54</v>
      </c>
      <c r="B23" s="23" t="e">
        <f>#REF!/Deseason_VA!#REF!*100</f>
        <v>#REF!</v>
      </c>
      <c r="C23" s="23" t="e">
        <f>#REF!/Deseason_VA!#REF!*100</f>
        <v>#REF!</v>
      </c>
      <c r="D23" s="23" t="e">
        <f>#REF!/Deseason_VA!#REF!*100</f>
        <v>#REF!</v>
      </c>
      <c r="E23" s="23" t="e">
        <f>#REF!/Deseason_VA!#REF!*100</f>
        <v>#REF!</v>
      </c>
      <c r="F23" s="23" t="e">
        <f>#REF!/Deseason_VA!#REF!*100</f>
        <v>#REF!</v>
      </c>
      <c r="G23" s="23" t="e">
        <f>#REF!/Deseason_VA!#REF!*100</f>
        <v>#REF!</v>
      </c>
      <c r="H23" s="23" t="e">
        <f>#REF!/Deseason_VA!#REF!*100</f>
        <v>#REF!</v>
      </c>
      <c r="I23" s="23" t="e">
        <f>#REF!/Deseason_VA!#REF!*100</f>
        <v>#REF!</v>
      </c>
      <c r="J23" s="23" t="e">
        <f>#REF!/Deseason_VA!#REF!*100</f>
        <v>#REF!</v>
      </c>
      <c r="K23" s="23" t="e">
        <f>#REF!/Deseason_VA!#REF!*100</f>
        <v>#REF!</v>
      </c>
      <c r="L23" s="23" t="e">
        <f>#REF!/Deseason_VA!#REF!*100</f>
        <v>#REF!</v>
      </c>
      <c r="M23" s="23" t="e">
        <f>#REF!/Deseason_VA!#REF!*100</f>
        <v>#REF!</v>
      </c>
      <c r="N23" s="23" t="e">
        <f>#REF!/Deseason_VA!#REF!*100</f>
        <v>#REF!</v>
      </c>
      <c r="O23" s="23" t="e">
        <f>#REF!/Deseason_VA!#REF!*100</f>
        <v>#REF!</v>
      </c>
      <c r="P23" s="23" t="e">
        <f>#REF!/Deseason_VA!#REF!*100</f>
        <v>#REF!</v>
      </c>
      <c r="Q23" s="23" t="e">
        <f>#REF!/Deseason_VA!#REF!*100</f>
        <v>#REF!</v>
      </c>
      <c r="R23" s="23" t="e">
        <f>#REF!/Deseason_VA!#REF!*100</f>
        <v>#REF!</v>
      </c>
      <c r="S23" s="23" t="e">
        <f>#REF!/Deseason_VA!#REF!*100</f>
        <v>#REF!</v>
      </c>
      <c r="T23" s="23" t="e">
        <f>#REF!/Deseason_VA!#REF!*100</f>
        <v>#REF!</v>
      </c>
      <c r="U23" s="23" t="e">
        <f>#REF!/Deseason_VA!#REF!*100</f>
        <v>#REF!</v>
      </c>
      <c r="V23" s="23" t="e">
        <f>#REF!/Deseason_VA!#REF!*100</f>
        <v>#REF!</v>
      </c>
      <c r="W23" s="23" t="e">
        <f>#REF!/Deseason_VA!#REF!*100</f>
        <v>#REF!</v>
      </c>
      <c r="X23" s="23" t="e">
        <f>#REF!/Deseason_VA!#REF!*100</f>
        <v>#REF!</v>
      </c>
      <c r="Y23" s="23" t="e">
        <f>#REF!/Deseason_VA!#REF!*100</f>
        <v>#REF!</v>
      </c>
      <c r="Z23" s="23" t="e">
        <f>#REF!/Deseason_VA!#REF!*100</f>
        <v>#REF!</v>
      </c>
      <c r="AA23" s="23" t="e">
        <f>#REF!/Deseason_VA!#REF!*100</f>
        <v>#REF!</v>
      </c>
      <c r="AB23" s="23" t="e">
        <f>#REF!/Deseason_VA!#REF!*100</f>
        <v>#REF!</v>
      </c>
      <c r="AC23" s="23" t="e">
        <f>#REF!/Deseason_VA!#REF!*100</f>
        <v>#REF!</v>
      </c>
      <c r="AD23" s="23" t="e">
        <f>#REF!/Deseason_VA!#REF!*100</f>
        <v>#REF!</v>
      </c>
      <c r="AE23" s="23" t="e">
        <f>#REF!/Deseason_VA!#REF!*100</f>
        <v>#REF!</v>
      </c>
      <c r="AF23" s="15" t="e">
        <f>#REF!/Deseason_VA!#REF!*100</f>
        <v>#REF!</v>
      </c>
      <c r="AG23" s="15" t="e">
        <f>#REF!/Deseason_VA!#REF!*100</f>
        <v>#REF!</v>
      </c>
      <c r="AH23" s="15" t="e">
        <f>#REF!/Deseason_VA!#REF!*100</f>
        <v>#REF!</v>
      </c>
      <c r="AI23" s="15" t="e">
        <f>#REF!/Deseason_VA!#REF!*100</f>
        <v>#REF!</v>
      </c>
      <c r="AJ23" s="15" t="e">
        <f>#REF!/Deseason_VA!B23*100</f>
        <v>#REF!</v>
      </c>
      <c r="AK23" s="15" t="e">
        <f>#REF!/Deseason_VA!C23*100</f>
        <v>#REF!</v>
      </c>
      <c r="AL23" s="15" t="e">
        <f>#REF!/Deseason_VA!D23*100</f>
        <v>#REF!</v>
      </c>
      <c r="AM23" s="15" t="e">
        <f>#REF!/Deseason_VA!E23*100</f>
        <v>#REF!</v>
      </c>
      <c r="AN23" s="15" t="e">
        <f>#REF!/Deseason_VA!F23*100</f>
        <v>#REF!</v>
      </c>
      <c r="AO23" s="15" t="e">
        <f>#REF!/Deseason_VA!G23*100</f>
        <v>#REF!</v>
      </c>
      <c r="AP23" s="15" t="e">
        <f>#REF!/Deseason_VA!H23*100</f>
        <v>#REF!</v>
      </c>
      <c r="AQ23" s="15" t="e">
        <f>#REF!/Deseason_VA!I23*100</f>
        <v>#REF!</v>
      </c>
    </row>
    <row r="24" spans="1:43" s="8" customFormat="1" ht="18" customHeight="1" x14ac:dyDescent="0.2">
      <c r="A24" s="55" t="s">
        <v>72</v>
      </c>
      <c r="B24" s="23" t="e">
        <f>#REF!/Deseason_VA!#REF!*100</f>
        <v>#REF!</v>
      </c>
      <c r="C24" s="23" t="e">
        <f>#REF!/Deseason_VA!#REF!*100</f>
        <v>#REF!</v>
      </c>
      <c r="D24" s="23" t="e">
        <f>#REF!/Deseason_VA!#REF!*100</f>
        <v>#REF!</v>
      </c>
      <c r="E24" s="23" t="e">
        <f>#REF!/Deseason_VA!#REF!*100</f>
        <v>#REF!</v>
      </c>
      <c r="F24" s="23" t="e">
        <f>#REF!/Deseason_VA!#REF!*100</f>
        <v>#REF!</v>
      </c>
      <c r="G24" s="23" t="e">
        <f>#REF!/Deseason_VA!#REF!*100</f>
        <v>#REF!</v>
      </c>
      <c r="H24" s="23" t="e">
        <f>#REF!/Deseason_VA!#REF!*100</f>
        <v>#REF!</v>
      </c>
      <c r="I24" s="23" t="e">
        <f>#REF!/Deseason_VA!#REF!*100</f>
        <v>#REF!</v>
      </c>
      <c r="J24" s="23" t="e">
        <f>#REF!/Deseason_VA!#REF!*100</f>
        <v>#REF!</v>
      </c>
      <c r="K24" s="23" t="e">
        <f>#REF!/Deseason_VA!#REF!*100</f>
        <v>#REF!</v>
      </c>
      <c r="L24" s="23" t="e">
        <f>#REF!/Deseason_VA!#REF!*100</f>
        <v>#REF!</v>
      </c>
      <c r="M24" s="23" t="e">
        <f>#REF!/Deseason_VA!#REF!*100</f>
        <v>#REF!</v>
      </c>
      <c r="N24" s="23" t="e">
        <f>#REF!/Deseason_VA!#REF!*100</f>
        <v>#REF!</v>
      </c>
      <c r="O24" s="23" t="e">
        <f>#REF!/Deseason_VA!#REF!*100</f>
        <v>#REF!</v>
      </c>
      <c r="P24" s="23" t="e">
        <f>#REF!/Deseason_VA!#REF!*100</f>
        <v>#REF!</v>
      </c>
      <c r="Q24" s="23" t="e">
        <f>#REF!/Deseason_VA!#REF!*100</f>
        <v>#REF!</v>
      </c>
      <c r="R24" s="23" t="e">
        <f>#REF!/Deseason_VA!#REF!*100</f>
        <v>#REF!</v>
      </c>
      <c r="S24" s="23" t="e">
        <f>#REF!/Deseason_VA!#REF!*100</f>
        <v>#REF!</v>
      </c>
      <c r="T24" s="23" t="e">
        <f>#REF!/Deseason_VA!#REF!*100</f>
        <v>#REF!</v>
      </c>
      <c r="U24" s="23" t="e">
        <f>#REF!/Deseason_VA!#REF!*100</f>
        <v>#REF!</v>
      </c>
      <c r="V24" s="23" t="e">
        <f>#REF!/Deseason_VA!#REF!*100</f>
        <v>#REF!</v>
      </c>
      <c r="W24" s="23" t="e">
        <f>#REF!/Deseason_VA!#REF!*100</f>
        <v>#REF!</v>
      </c>
      <c r="X24" s="23" t="e">
        <f>#REF!/Deseason_VA!#REF!*100</f>
        <v>#REF!</v>
      </c>
      <c r="Y24" s="23" t="e">
        <f>#REF!/Deseason_VA!#REF!*100</f>
        <v>#REF!</v>
      </c>
      <c r="Z24" s="23" t="e">
        <f>#REF!/Deseason_VA!#REF!*100</f>
        <v>#REF!</v>
      </c>
      <c r="AA24" s="23" t="e">
        <f>#REF!/Deseason_VA!#REF!*100</f>
        <v>#REF!</v>
      </c>
      <c r="AB24" s="23" t="e">
        <f>#REF!/Deseason_VA!#REF!*100</f>
        <v>#REF!</v>
      </c>
      <c r="AC24" s="23" t="e">
        <f>#REF!/Deseason_VA!#REF!*100</f>
        <v>#REF!</v>
      </c>
      <c r="AD24" s="23" t="e">
        <f>#REF!/Deseason_VA!#REF!*100</f>
        <v>#REF!</v>
      </c>
      <c r="AE24" s="23" t="e">
        <f>#REF!/Deseason_VA!#REF!*100</f>
        <v>#REF!</v>
      </c>
      <c r="AF24" s="15" t="e">
        <f>#REF!/Deseason_VA!#REF!*100</f>
        <v>#REF!</v>
      </c>
      <c r="AG24" s="15" t="e">
        <f>#REF!/Deseason_VA!#REF!*100</f>
        <v>#REF!</v>
      </c>
      <c r="AH24" s="15" t="e">
        <f>#REF!/Deseason_VA!#REF!*100</f>
        <v>#REF!</v>
      </c>
      <c r="AI24" s="15" t="e">
        <f>#REF!/Deseason_VA!#REF!*100</f>
        <v>#REF!</v>
      </c>
      <c r="AJ24" s="15" t="e">
        <f>#REF!/Deseason_VA!B24*100</f>
        <v>#REF!</v>
      </c>
      <c r="AK24" s="15" t="e">
        <f>#REF!/Deseason_VA!C24*100</f>
        <v>#REF!</v>
      </c>
      <c r="AL24" s="15" t="e">
        <f>#REF!/Deseason_VA!D24*100</f>
        <v>#REF!</v>
      </c>
      <c r="AM24" s="15" t="e">
        <f>#REF!/Deseason_VA!E24*100</f>
        <v>#REF!</v>
      </c>
      <c r="AN24" s="15" t="e">
        <f>#REF!/Deseason_VA!F24*100</f>
        <v>#REF!</v>
      </c>
      <c r="AO24" s="15" t="e">
        <f>#REF!/Deseason_VA!G24*100</f>
        <v>#REF!</v>
      </c>
      <c r="AP24" s="15" t="e">
        <f>#REF!/Deseason_VA!H24*100</f>
        <v>#REF!</v>
      </c>
      <c r="AQ24" s="15" t="e">
        <f>#REF!/Deseason_VA!I24*100</f>
        <v>#REF!</v>
      </c>
    </row>
    <row r="25" spans="1:43" s="8" customFormat="1" ht="18" customHeight="1" x14ac:dyDescent="0.2">
      <c r="A25" s="55" t="s">
        <v>14</v>
      </c>
      <c r="B25" s="23" t="e">
        <f>#REF!/Deseason_VA!#REF!*100</f>
        <v>#REF!</v>
      </c>
      <c r="C25" s="23" t="e">
        <f>#REF!/Deseason_VA!#REF!*100</f>
        <v>#REF!</v>
      </c>
      <c r="D25" s="23" t="e">
        <f>#REF!/Deseason_VA!#REF!*100</f>
        <v>#REF!</v>
      </c>
      <c r="E25" s="23" t="e">
        <f>#REF!/Deseason_VA!#REF!*100</f>
        <v>#REF!</v>
      </c>
      <c r="F25" s="23" t="e">
        <f>#REF!/Deseason_VA!#REF!*100</f>
        <v>#REF!</v>
      </c>
      <c r="G25" s="23" t="e">
        <f>#REF!/Deseason_VA!#REF!*100</f>
        <v>#REF!</v>
      </c>
      <c r="H25" s="23" t="e">
        <f>#REF!/Deseason_VA!#REF!*100</f>
        <v>#REF!</v>
      </c>
      <c r="I25" s="23" t="e">
        <f>#REF!/Deseason_VA!#REF!*100</f>
        <v>#REF!</v>
      </c>
      <c r="J25" s="23" t="e">
        <f>#REF!/Deseason_VA!#REF!*100</f>
        <v>#REF!</v>
      </c>
      <c r="K25" s="23" t="e">
        <f>#REF!/Deseason_VA!#REF!*100</f>
        <v>#REF!</v>
      </c>
      <c r="L25" s="23" t="e">
        <f>#REF!/Deseason_VA!#REF!*100</f>
        <v>#REF!</v>
      </c>
      <c r="M25" s="23" t="e">
        <f>#REF!/Deseason_VA!#REF!*100</f>
        <v>#REF!</v>
      </c>
      <c r="N25" s="23" t="e">
        <f>#REF!/Deseason_VA!#REF!*100</f>
        <v>#REF!</v>
      </c>
      <c r="O25" s="23" t="e">
        <f>#REF!/Deseason_VA!#REF!*100</f>
        <v>#REF!</v>
      </c>
      <c r="P25" s="23" t="e">
        <f>#REF!/Deseason_VA!#REF!*100</f>
        <v>#REF!</v>
      </c>
      <c r="Q25" s="23" t="e">
        <f>#REF!/Deseason_VA!#REF!*100</f>
        <v>#REF!</v>
      </c>
      <c r="R25" s="23" t="e">
        <f>#REF!/Deseason_VA!#REF!*100</f>
        <v>#REF!</v>
      </c>
      <c r="S25" s="23" t="e">
        <f>#REF!/Deseason_VA!#REF!*100</f>
        <v>#REF!</v>
      </c>
      <c r="T25" s="23" t="e">
        <f>#REF!/Deseason_VA!#REF!*100</f>
        <v>#REF!</v>
      </c>
      <c r="U25" s="23" t="e">
        <f>#REF!/Deseason_VA!#REF!*100</f>
        <v>#REF!</v>
      </c>
      <c r="V25" s="23" t="e">
        <f>#REF!/Deseason_VA!#REF!*100</f>
        <v>#REF!</v>
      </c>
      <c r="W25" s="23" t="e">
        <f>#REF!/Deseason_VA!#REF!*100</f>
        <v>#REF!</v>
      </c>
      <c r="X25" s="23" t="e">
        <f>#REF!/Deseason_VA!#REF!*100</f>
        <v>#REF!</v>
      </c>
      <c r="Y25" s="23" t="e">
        <f>#REF!/Deseason_VA!#REF!*100</f>
        <v>#REF!</v>
      </c>
      <c r="Z25" s="23" t="e">
        <f>#REF!/Deseason_VA!#REF!*100</f>
        <v>#REF!</v>
      </c>
      <c r="AA25" s="23" t="e">
        <f>#REF!/Deseason_VA!#REF!*100</f>
        <v>#REF!</v>
      </c>
      <c r="AB25" s="23" t="e">
        <f>#REF!/Deseason_VA!#REF!*100</f>
        <v>#REF!</v>
      </c>
      <c r="AC25" s="23" t="e">
        <f>#REF!/Deseason_VA!#REF!*100</f>
        <v>#REF!</v>
      </c>
      <c r="AD25" s="23" t="e">
        <f>#REF!/Deseason_VA!#REF!*100</f>
        <v>#REF!</v>
      </c>
      <c r="AE25" s="23" t="e">
        <f>#REF!/Deseason_VA!#REF!*100</f>
        <v>#REF!</v>
      </c>
      <c r="AF25" s="15" t="e">
        <f>#REF!/Deseason_VA!#REF!*100</f>
        <v>#REF!</v>
      </c>
      <c r="AG25" s="15" t="e">
        <f>#REF!/Deseason_VA!#REF!*100</f>
        <v>#REF!</v>
      </c>
      <c r="AH25" s="15" t="e">
        <f>#REF!/Deseason_VA!#REF!*100</f>
        <v>#REF!</v>
      </c>
      <c r="AI25" s="15" t="e">
        <f>#REF!/Deseason_VA!#REF!*100</f>
        <v>#REF!</v>
      </c>
      <c r="AJ25" s="15" t="e">
        <f>#REF!/Deseason_VA!B25*100</f>
        <v>#REF!</v>
      </c>
      <c r="AK25" s="15" t="e">
        <f>#REF!/Deseason_VA!C25*100</f>
        <v>#REF!</v>
      </c>
      <c r="AL25" s="15" t="e">
        <f>#REF!/Deseason_VA!D25*100</f>
        <v>#REF!</v>
      </c>
      <c r="AM25" s="15" t="e">
        <f>#REF!/Deseason_VA!E25*100</f>
        <v>#REF!</v>
      </c>
      <c r="AN25" s="15" t="e">
        <f>#REF!/Deseason_VA!F25*100</f>
        <v>#REF!</v>
      </c>
      <c r="AO25" s="15" t="e">
        <f>#REF!/Deseason_VA!G25*100</f>
        <v>#REF!</v>
      </c>
      <c r="AP25" s="15" t="e">
        <f>#REF!/Deseason_VA!H25*100</f>
        <v>#REF!</v>
      </c>
      <c r="AQ25" s="15" t="e">
        <f>#REF!/Deseason_VA!I25*100</f>
        <v>#REF!</v>
      </c>
    </row>
    <row r="26" spans="1:43" s="8" customFormat="1" ht="18" customHeight="1" x14ac:dyDescent="0.2">
      <c r="A26" s="55" t="s">
        <v>56</v>
      </c>
      <c r="B26" s="23" t="e">
        <f>#REF!/Deseason_VA!#REF!*100</f>
        <v>#REF!</v>
      </c>
      <c r="C26" s="23" t="e">
        <f>#REF!/Deseason_VA!#REF!*100</f>
        <v>#REF!</v>
      </c>
      <c r="D26" s="23" t="e">
        <f>#REF!/Deseason_VA!#REF!*100</f>
        <v>#REF!</v>
      </c>
      <c r="E26" s="23" t="e">
        <f>#REF!/Deseason_VA!#REF!*100</f>
        <v>#REF!</v>
      </c>
      <c r="F26" s="23" t="e">
        <f>#REF!/Deseason_VA!#REF!*100</f>
        <v>#REF!</v>
      </c>
      <c r="G26" s="23" t="e">
        <f>#REF!/Deseason_VA!#REF!*100</f>
        <v>#REF!</v>
      </c>
      <c r="H26" s="23" t="e">
        <f>#REF!/Deseason_VA!#REF!*100</f>
        <v>#REF!</v>
      </c>
      <c r="I26" s="23" t="e">
        <f>#REF!/Deseason_VA!#REF!*100</f>
        <v>#REF!</v>
      </c>
      <c r="J26" s="23" t="e">
        <f>#REF!/Deseason_VA!#REF!*100</f>
        <v>#REF!</v>
      </c>
      <c r="K26" s="23" t="e">
        <f>#REF!/Deseason_VA!#REF!*100</f>
        <v>#REF!</v>
      </c>
      <c r="L26" s="23" t="e">
        <f>#REF!/Deseason_VA!#REF!*100</f>
        <v>#REF!</v>
      </c>
      <c r="M26" s="23" t="e">
        <f>#REF!/Deseason_VA!#REF!*100</f>
        <v>#REF!</v>
      </c>
      <c r="N26" s="23" t="e">
        <f>#REF!/Deseason_VA!#REF!*100</f>
        <v>#REF!</v>
      </c>
      <c r="O26" s="23" t="e">
        <f>#REF!/Deseason_VA!#REF!*100</f>
        <v>#REF!</v>
      </c>
      <c r="P26" s="23" t="e">
        <f>#REF!/Deseason_VA!#REF!*100</f>
        <v>#REF!</v>
      </c>
      <c r="Q26" s="23" t="e">
        <f>#REF!/Deseason_VA!#REF!*100</f>
        <v>#REF!</v>
      </c>
      <c r="R26" s="23" t="e">
        <f>#REF!/Deseason_VA!#REF!*100</f>
        <v>#REF!</v>
      </c>
      <c r="S26" s="23" t="e">
        <f>#REF!/Deseason_VA!#REF!*100</f>
        <v>#REF!</v>
      </c>
      <c r="T26" s="23" t="e">
        <f>#REF!/Deseason_VA!#REF!*100</f>
        <v>#REF!</v>
      </c>
      <c r="U26" s="23" t="e">
        <f>#REF!/Deseason_VA!#REF!*100</f>
        <v>#REF!</v>
      </c>
      <c r="V26" s="23" t="e">
        <f>#REF!/Deseason_VA!#REF!*100</f>
        <v>#REF!</v>
      </c>
      <c r="W26" s="23" t="e">
        <f>#REF!/Deseason_VA!#REF!*100</f>
        <v>#REF!</v>
      </c>
      <c r="X26" s="23" t="e">
        <f>#REF!/Deseason_VA!#REF!*100</f>
        <v>#REF!</v>
      </c>
      <c r="Y26" s="23" t="e">
        <f>#REF!/Deseason_VA!#REF!*100</f>
        <v>#REF!</v>
      </c>
      <c r="Z26" s="23" t="e">
        <f>#REF!/Deseason_VA!#REF!*100</f>
        <v>#REF!</v>
      </c>
      <c r="AA26" s="23" t="e">
        <f>#REF!/Deseason_VA!#REF!*100</f>
        <v>#REF!</v>
      </c>
      <c r="AB26" s="23" t="e">
        <f>#REF!/Deseason_VA!#REF!*100</f>
        <v>#REF!</v>
      </c>
      <c r="AC26" s="23" t="e">
        <f>#REF!/Deseason_VA!#REF!*100</f>
        <v>#REF!</v>
      </c>
      <c r="AD26" s="23" t="e">
        <f>#REF!/Deseason_VA!#REF!*100</f>
        <v>#REF!</v>
      </c>
      <c r="AE26" s="23" t="e">
        <f>#REF!/Deseason_VA!#REF!*100</f>
        <v>#REF!</v>
      </c>
      <c r="AF26" s="15" t="e">
        <f>#REF!/Deseason_VA!#REF!*100</f>
        <v>#REF!</v>
      </c>
      <c r="AG26" s="15" t="e">
        <f>#REF!/Deseason_VA!#REF!*100</f>
        <v>#REF!</v>
      </c>
      <c r="AH26" s="15" t="e">
        <f>#REF!/Deseason_VA!#REF!*100</f>
        <v>#REF!</v>
      </c>
      <c r="AI26" s="15" t="e">
        <f>#REF!/Deseason_VA!#REF!*100</f>
        <v>#REF!</v>
      </c>
      <c r="AJ26" s="15" t="e">
        <f>#REF!/Deseason_VA!B26*100</f>
        <v>#REF!</v>
      </c>
      <c r="AK26" s="15" t="e">
        <f>#REF!/Deseason_VA!C26*100</f>
        <v>#REF!</v>
      </c>
      <c r="AL26" s="15" t="e">
        <f>#REF!/Deseason_VA!D26*100</f>
        <v>#REF!</v>
      </c>
      <c r="AM26" s="15" t="e">
        <f>#REF!/Deseason_VA!E26*100</f>
        <v>#REF!</v>
      </c>
      <c r="AN26" s="15" t="e">
        <f>#REF!/Deseason_VA!F26*100</f>
        <v>#REF!</v>
      </c>
      <c r="AO26" s="15" t="e">
        <f>#REF!/Deseason_VA!G26*100</f>
        <v>#REF!</v>
      </c>
      <c r="AP26" s="15" t="e">
        <f>#REF!/Deseason_VA!H26*100</f>
        <v>#REF!</v>
      </c>
      <c r="AQ26" s="15" t="e">
        <f>#REF!/Deseason_VA!I26*100</f>
        <v>#REF!</v>
      </c>
    </row>
    <row r="27" spans="1:43" s="8" customFormat="1" ht="18" customHeight="1" x14ac:dyDescent="0.2">
      <c r="A27" s="55" t="s">
        <v>57</v>
      </c>
      <c r="B27" s="23" t="e">
        <f>#REF!/Deseason_VA!#REF!*100</f>
        <v>#REF!</v>
      </c>
      <c r="C27" s="23" t="e">
        <f>#REF!/Deseason_VA!#REF!*100</f>
        <v>#REF!</v>
      </c>
      <c r="D27" s="23" t="e">
        <f>#REF!/Deseason_VA!#REF!*100</f>
        <v>#REF!</v>
      </c>
      <c r="E27" s="23" t="e">
        <f>#REF!/Deseason_VA!#REF!*100</f>
        <v>#REF!</v>
      </c>
      <c r="F27" s="23" t="e">
        <f>#REF!/Deseason_VA!#REF!*100</f>
        <v>#REF!</v>
      </c>
      <c r="G27" s="23" t="e">
        <f>#REF!/Deseason_VA!#REF!*100</f>
        <v>#REF!</v>
      </c>
      <c r="H27" s="23" t="e">
        <f>#REF!/Deseason_VA!#REF!*100</f>
        <v>#REF!</v>
      </c>
      <c r="I27" s="23" t="e">
        <f>#REF!/Deseason_VA!#REF!*100</f>
        <v>#REF!</v>
      </c>
      <c r="J27" s="23" t="e">
        <f>#REF!/Deseason_VA!#REF!*100</f>
        <v>#REF!</v>
      </c>
      <c r="K27" s="23" t="e">
        <f>#REF!/Deseason_VA!#REF!*100</f>
        <v>#REF!</v>
      </c>
      <c r="L27" s="23" t="e">
        <f>#REF!/Deseason_VA!#REF!*100</f>
        <v>#REF!</v>
      </c>
      <c r="M27" s="23" t="e">
        <f>#REF!/Deseason_VA!#REF!*100</f>
        <v>#REF!</v>
      </c>
      <c r="N27" s="23" t="e">
        <f>#REF!/Deseason_VA!#REF!*100</f>
        <v>#REF!</v>
      </c>
      <c r="O27" s="23" t="e">
        <f>#REF!/Deseason_VA!#REF!*100</f>
        <v>#REF!</v>
      </c>
      <c r="P27" s="23" t="e">
        <f>#REF!/Deseason_VA!#REF!*100</f>
        <v>#REF!</v>
      </c>
      <c r="Q27" s="23" t="e">
        <f>#REF!/Deseason_VA!#REF!*100</f>
        <v>#REF!</v>
      </c>
      <c r="R27" s="23" t="e">
        <f>#REF!/Deseason_VA!#REF!*100</f>
        <v>#REF!</v>
      </c>
      <c r="S27" s="23" t="e">
        <f>#REF!/Deseason_VA!#REF!*100</f>
        <v>#REF!</v>
      </c>
      <c r="T27" s="23" t="e">
        <f>#REF!/Deseason_VA!#REF!*100</f>
        <v>#REF!</v>
      </c>
      <c r="U27" s="23" t="e">
        <f>#REF!/Deseason_VA!#REF!*100</f>
        <v>#REF!</v>
      </c>
      <c r="V27" s="23" t="e">
        <f>#REF!/Deseason_VA!#REF!*100</f>
        <v>#REF!</v>
      </c>
      <c r="W27" s="23" t="e">
        <f>#REF!/Deseason_VA!#REF!*100</f>
        <v>#REF!</v>
      </c>
      <c r="X27" s="23" t="e">
        <f>#REF!/Deseason_VA!#REF!*100</f>
        <v>#REF!</v>
      </c>
      <c r="Y27" s="23" t="e">
        <f>#REF!/Deseason_VA!#REF!*100</f>
        <v>#REF!</v>
      </c>
      <c r="Z27" s="23" t="e">
        <f>#REF!/Deseason_VA!#REF!*100</f>
        <v>#REF!</v>
      </c>
      <c r="AA27" s="23" t="e">
        <f>#REF!/Deseason_VA!#REF!*100</f>
        <v>#REF!</v>
      </c>
      <c r="AB27" s="23" t="e">
        <f>#REF!/Deseason_VA!#REF!*100</f>
        <v>#REF!</v>
      </c>
      <c r="AC27" s="23" t="e">
        <f>#REF!/Deseason_VA!#REF!*100</f>
        <v>#REF!</v>
      </c>
      <c r="AD27" s="23" t="e">
        <f>#REF!/Deseason_VA!#REF!*100</f>
        <v>#REF!</v>
      </c>
      <c r="AE27" s="23" t="e">
        <f>#REF!/Deseason_VA!#REF!*100</f>
        <v>#REF!</v>
      </c>
      <c r="AF27" s="15" t="e">
        <f>#REF!/Deseason_VA!#REF!*100</f>
        <v>#REF!</v>
      </c>
      <c r="AG27" s="15" t="e">
        <f>#REF!/Deseason_VA!#REF!*100</f>
        <v>#REF!</v>
      </c>
      <c r="AH27" s="15" t="e">
        <f>#REF!/Deseason_VA!#REF!*100</f>
        <v>#REF!</v>
      </c>
      <c r="AI27" s="15" t="e">
        <f>#REF!/Deseason_VA!#REF!*100</f>
        <v>#REF!</v>
      </c>
      <c r="AJ27" s="15" t="e">
        <f>#REF!/Deseason_VA!B27*100</f>
        <v>#REF!</v>
      </c>
      <c r="AK27" s="15" t="e">
        <f>#REF!/Deseason_VA!C27*100</f>
        <v>#REF!</v>
      </c>
      <c r="AL27" s="15" t="e">
        <f>#REF!/Deseason_VA!D27*100</f>
        <v>#REF!</v>
      </c>
      <c r="AM27" s="15" t="e">
        <f>#REF!/Deseason_VA!E27*100</f>
        <v>#REF!</v>
      </c>
      <c r="AN27" s="15" t="e">
        <f>#REF!/Deseason_VA!F27*100</f>
        <v>#REF!</v>
      </c>
      <c r="AO27" s="15" t="e">
        <f>#REF!/Deseason_VA!G27*100</f>
        <v>#REF!</v>
      </c>
      <c r="AP27" s="15" t="e">
        <f>#REF!/Deseason_VA!H27*100</f>
        <v>#REF!</v>
      </c>
      <c r="AQ27" s="15" t="e">
        <f>#REF!/Deseason_VA!I27*100</f>
        <v>#REF!</v>
      </c>
    </row>
    <row r="28" spans="1:43" s="8" customFormat="1" ht="18" customHeight="1" x14ac:dyDescent="0.2">
      <c r="A28" s="55" t="s">
        <v>15</v>
      </c>
      <c r="B28" s="23" t="e">
        <f>#REF!/Deseason_VA!#REF!*100</f>
        <v>#REF!</v>
      </c>
      <c r="C28" s="23" t="e">
        <f>#REF!/Deseason_VA!#REF!*100</f>
        <v>#REF!</v>
      </c>
      <c r="D28" s="23" t="e">
        <f>#REF!/Deseason_VA!#REF!*100</f>
        <v>#REF!</v>
      </c>
      <c r="E28" s="23" t="e">
        <f>#REF!/Deseason_VA!#REF!*100</f>
        <v>#REF!</v>
      </c>
      <c r="F28" s="23" t="e">
        <f>#REF!/Deseason_VA!#REF!*100</f>
        <v>#REF!</v>
      </c>
      <c r="G28" s="23" t="e">
        <f>#REF!/Deseason_VA!#REF!*100</f>
        <v>#REF!</v>
      </c>
      <c r="H28" s="23" t="e">
        <f>#REF!/Deseason_VA!#REF!*100</f>
        <v>#REF!</v>
      </c>
      <c r="I28" s="23" t="e">
        <f>#REF!/Deseason_VA!#REF!*100</f>
        <v>#REF!</v>
      </c>
      <c r="J28" s="23" t="e">
        <f>#REF!/Deseason_VA!#REF!*100</f>
        <v>#REF!</v>
      </c>
      <c r="K28" s="23" t="e">
        <f>#REF!/Deseason_VA!#REF!*100</f>
        <v>#REF!</v>
      </c>
      <c r="L28" s="23" t="e">
        <f>#REF!/Deseason_VA!#REF!*100</f>
        <v>#REF!</v>
      </c>
      <c r="M28" s="23" t="e">
        <f>#REF!/Deseason_VA!#REF!*100</f>
        <v>#REF!</v>
      </c>
      <c r="N28" s="23" t="e">
        <f>#REF!/Deseason_VA!#REF!*100</f>
        <v>#REF!</v>
      </c>
      <c r="O28" s="23" t="e">
        <f>#REF!/Deseason_VA!#REF!*100</f>
        <v>#REF!</v>
      </c>
      <c r="P28" s="23" t="e">
        <f>#REF!/Deseason_VA!#REF!*100</f>
        <v>#REF!</v>
      </c>
      <c r="Q28" s="23" t="e">
        <f>#REF!/Deseason_VA!#REF!*100</f>
        <v>#REF!</v>
      </c>
      <c r="R28" s="23" t="e">
        <f>#REF!/Deseason_VA!#REF!*100</f>
        <v>#REF!</v>
      </c>
      <c r="S28" s="23" t="e">
        <f>#REF!/Deseason_VA!#REF!*100</f>
        <v>#REF!</v>
      </c>
      <c r="T28" s="23" t="e">
        <f>#REF!/Deseason_VA!#REF!*100</f>
        <v>#REF!</v>
      </c>
      <c r="U28" s="23" t="e">
        <f>#REF!/Deseason_VA!#REF!*100</f>
        <v>#REF!</v>
      </c>
      <c r="V28" s="23" t="e">
        <f>#REF!/Deseason_VA!#REF!*100</f>
        <v>#REF!</v>
      </c>
      <c r="W28" s="23" t="e">
        <f>#REF!/Deseason_VA!#REF!*100</f>
        <v>#REF!</v>
      </c>
      <c r="X28" s="23" t="e">
        <f>#REF!/Deseason_VA!#REF!*100</f>
        <v>#REF!</v>
      </c>
      <c r="Y28" s="23" t="e">
        <f>#REF!/Deseason_VA!#REF!*100</f>
        <v>#REF!</v>
      </c>
      <c r="Z28" s="23" t="e">
        <f>#REF!/Deseason_VA!#REF!*100</f>
        <v>#REF!</v>
      </c>
      <c r="AA28" s="23" t="e">
        <f>#REF!/Deseason_VA!#REF!*100</f>
        <v>#REF!</v>
      </c>
      <c r="AB28" s="23" t="e">
        <f>#REF!/Deseason_VA!#REF!*100</f>
        <v>#REF!</v>
      </c>
      <c r="AC28" s="23" t="e">
        <f>#REF!/Deseason_VA!#REF!*100</f>
        <v>#REF!</v>
      </c>
      <c r="AD28" s="23" t="e">
        <f>#REF!/Deseason_VA!#REF!*100</f>
        <v>#REF!</v>
      </c>
      <c r="AE28" s="23" t="e">
        <f>#REF!/Deseason_VA!#REF!*100</f>
        <v>#REF!</v>
      </c>
      <c r="AF28" s="15" t="e">
        <f>#REF!/Deseason_VA!#REF!*100</f>
        <v>#REF!</v>
      </c>
      <c r="AG28" s="15" t="e">
        <f>#REF!/Deseason_VA!#REF!*100</f>
        <v>#REF!</v>
      </c>
      <c r="AH28" s="15" t="e">
        <f>#REF!/Deseason_VA!#REF!*100</f>
        <v>#REF!</v>
      </c>
      <c r="AI28" s="15" t="e">
        <f>#REF!/Deseason_VA!#REF!*100</f>
        <v>#REF!</v>
      </c>
      <c r="AJ28" s="15" t="e">
        <f>#REF!/Deseason_VA!B28*100</f>
        <v>#REF!</v>
      </c>
      <c r="AK28" s="15" t="e">
        <f>#REF!/Deseason_VA!C28*100</f>
        <v>#REF!</v>
      </c>
      <c r="AL28" s="15" t="e">
        <f>#REF!/Deseason_VA!D28*100</f>
        <v>#REF!</v>
      </c>
      <c r="AM28" s="15" t="e">
        <f>#REF!/Deseason_VA!E28*100</f>
        <v>#REF!</v>
      </c>
      <c r="AN28" s="15" t="e">
        <f>#REF!/Deseason_VA!F28*100</f>
        <v>#REF!</v>
      </c>
      <c r="AO28" s="15" t="e">
        <f>#REF!/Deseason_VA!G28*100</f>
        <v>#REF!</v>
      </c>
      <c r="AP28" s="15" t="e">
        <f>#REF!/Deseason_VA!H28*100</f>
        <v>#REF!</v>
      </c>
      <c r="AQ28" s="15" t="e">
        <f>#REF!/Deseason_VA!I28*100</f>
        <v>#REF!</v>
      </c>
    </row>
    <row r="29" spans="1:43" s="8" customFormat="1" ht="18" customHeight="1" x14ac:dyDescent="0.2">
      <c r="A29" s="55" t="s">
        <v>16</v>
      </c>
      <c r="B29" s="23" t="e">
        <f>#REF!/Deseason_VA!#REF!*100</f>
        <v>#REF!</v>
      </c>
      <c r="C29" s="23" t="e">
        <f>#REF!/Deseason_VA!#REF!*100</f>
        <v>#REF!</v>
      </c>
      <c r="D29" s="23" t="e">
        <f>#REF!/Deseason_VA!#REF!*100</f>
        <v>#REF!</v>
      </c>
      <c r="E29" s="23" t="e">
        <f>#REF!/Deseason_VA!#REF!*100</f>
        <v>#REF!</v>
      </c>
      <c r="F29" s="23" t="e">
        <f>#REF!/Deseason_VA!#REF!*100</f>
        <v>#REF!</v>
      </c>
      <c r="G29" s="23" t="e">
        <f>#REF!/Deseason_VA!#REF!*100</f>
        <v>#REF!</v>
      </c>
      <c r="H29" s="23" t="e">
        <f>#REF!/Deseason_VA!#REF!*100</f>
        <v>#REF!</v>
      </c>
      <c r="I29" s="23" t="e">
        <f>#REF!/Deseason_VA!#REF!*100</f>
        <v>#REF!</v>
      </c>
      <c r="J29" s="23" t="e">
        <f>#REF!/Deseason_VA!#REF!*100</f>
        <v>#REF!</v>
      </c>
      <c r="K29" s="23" t="e">
        <f>#REF!/Deseason_VA!#REF!*100</f>
        <v>#REF!</v>
      </c>
      <c r="L29" s="23" t="e">
        <f>#REF!/Deseason_VA!#REF!*100</f>
        <v>#REF!</v>
      </c>
      <c r="M29" s="23" t="e">
        <f>#REF!/Deseason_VA!#REF!*100</f>
        <v>#REF!</v>
      </c>
      <c r="N29" s="23" t="e">
        <f>#REF!/Deseason_VA!#REF!*100</f>
        <v>#REF!</v>
      </c>
      <c r="O29" s="23" t="e">
        <f>#REF!/Deseason_VA!#REF!*100</f>
        <v>#REF!</v>
      </c>
      <c r="P29" s="23" t="e">
        <f>#REF!/Deseason_VA!#REF!*100</f>
        <v>#REF!</v>
      </c>
      <c r="Q29" s="23" t="e">
        <f>#REF!/Deseason_VA!#REF!*100</f>
        <v>#REF!</v>
      </c>
      <c r="R29" s="23" t="e">
        <f>#REF!/Deseason_VA!#REF!*100</f>
        <v>#REF!</v>
      </c>
      <c r="S29" s="23" t="e">
        <f>#REF!/Deseason_VA!#REF!*100</f>
        <v>#REF!</v>
      </c>
      <c r="T29" s="23" t="e">
        <f>#REF!/Deseason_VA!#REF!*100</f>
        <v>#REF!</v>
      </c>
      <c r="U29" s="23" t="e">
        <f>#REF!/Deseason_VA!#REF!*100</f>
        <v>#REF!</v>
      </c>
      <c r="V29" s="23" t="e">
        <f>#REF!/Deseason_VA!#REF!*100</f>
        <v>#REF!</v>
      </c>
      <c r="W29" s="23" t="e">
        <f>#REF!/Deseason_VA!#REF!*100</f>
        <v>#REF!</v>
      </c>
      <c r="X29" s="23" t="e">
        <f>#REF!/Deseason_VA!#REF!*100</f>
        <v>#REF!</v>
      </c>
      <c r="Y29" s="23" t="e">
        <f>#REF!/Deseason_VA!#REF!*100</f>
        <v>#REF!</v>
      </c>
      <c r="Z29" s="23" t="e">
        <f>#REF!/Deseason_VA!#REF!*100</f>
        <v>#REF!</v>
      </c>
      <c r="AA29" s="23" t="e">
        <f>#REF!/Deseason_VA!#REF!*100</f>
        <v>#REF!</v>
      </c>
      <c r="AB29" s="23" t="e">
        <f>#REF!/Deseason_VA!#REF!*100</f>
        <v>#REF!</v>
      </c>
      <c r="AC29" s="23" t="e">
        <f>#REF!/Deseason_VA!#REF!*100</f>
        <v>#REF!</v>
      </c>
      <c r="AD29" s="23" t="e">
        <f>#REF!/Deseason_VA!#REF!*100</f>
        <v>#REF!</v>
      </c>
      <c r="AE29" s="23" t="e">
        <f>#REF!/Deseason_VA!#REF!*100</f>
        <v>#REF!</v>
      </c>
      <c r="AF29" s="15" t="e">
        <f>#REF!/Deseason_VA!#REF!*100</f>
        <v>#REF!</v>
      </c>
      <c r="AG29" s="15" t="e">
        <f>#REF!/Deseason_VA!#REF!*100</f>
        <v>#REF!</v>
      </c>
      <c r="AH29" s="15" t="e">
        <f>#REF!/Deseason_VA!#REF!*100</f>
        <v>#REF!</v>
      </c>
      <c r="AI29" s="15" t="e">
        <f>#REF!/Deseason_VA!#REF!*100</f>
        <v>#REF!</v>
      </c>
      <c r="AJ29" s="15" t="e">
        <f>#REF!/Deseason_VA!B29*100</f>
        <v>#REF!</v>
      </c>
      <c r="AK29" s="15" t="e">
        <f>#REF!/Deseason_VA!C29*100</f>
        <v>#REF!</v>
      </c>
      <c r="AL29" s="15" t="e">
        <f>#REF!/Deseason_VA!D29*100</f>
        <v>#REF!</v>
      </c>
      <c r="AM29" s="15" t="e">
        <f>#REF!/Deseason_VA!E29*100</f>
        <v>#REF!</v>
      </c>
      <c r="AN29" s="15" t="e">
        <f>#REF!/Deseason_VA!F29*100</f>
        <v>#REF!</v>
      </c>
      <c r="AO29" s="15" t="e">
        <f>#REF!/Deseason_VA!G29*100</f>
        <v>#REF!</v>
      </c>
      <c r="AP29" s="15" t="e">
        <f>#REF!/Deseason_VA!H29*100</f>
        <v>#REF!</v>
      </c>
      <c r="AQ29" s="15" t="e">
        <f>#REF!/Deseason_VA!I29*100</f>
        <v>#REF!</v>
      </c>
    </row>
    <row r="30" spans="1:43" s="8" customFormat="1" ht="18" customHeight="1" x14ac:dyDescent="0.2">
      <c r="A30" s="55" t="s">
        <v>58</v>
      </c>
      <c r="B30" s="23" t="e">
        <f>#REF!/Deseason_VA!#REF!*100</f>
        <v>#REF!</v>
      </c>
      <c r="C30" s="23" t="e">
        <f>#REF!/Deseason_VA!#REF!*100</f>
        <v>#REF!</v>
      </c>
      <c r="D30" s="23" t="e">
        <f>#REF!/Deseason_VA!#REF!*100</f>
        <v>#REF!</v>
      </c>
      <c r="E30" s="23" t="e">
        <f>#REF!/Deseason_VA!#REF!*100</f>
        <v>#REF!</v>
      </c>
      <c r="F30" s="23" t="e">
        <f>#REF!/Deseason_VA!#REF!*100</f>
        <v>#REF!</v>
      </c>
      <c r="G30" s="23" t="e">
        <f>#REF!/Deseason_VA!#REF!*100</f>
        <v>#REF!</v>
      </c>
      <c r="H30" s="23" t="e">
        <f>#REF!/Deseason_VA!#REF!*100</f>
        <v>#REF!</v>
      </c>
      <c r="I30" s="23" t="e">
        <f>#REF!/Deseason_VA!#REF!*100</f>
        <v>#REF!</v>
      </c>
      <c r="J30" s="23" t="e">
        <f>#REF!/Deseason_VA!#REF!*100</f>
        <v>#REF!</v>
      </c>
      <c r="K30" s="23" t="e">
        <f>#REF!/Deseason_VA!#REF!*100</f>
        <v>#REF!</v>
      </c>
      <c r="L30" s="23" t="e">
        <f>#REF!/Deseason_VA!#REF!*100</f>
        <v>#REF!</v>
      </c>
      <c r="M30" s="23" t="e">
        <f>#REF!/Deseason_VA!#REF!*100</f>
        <v>#REF!</v>
      </c>
      <c r="N30" s="23" t="e">
        <f>#REF!/Deseason_VA!#REF!*100</f>
        <v>#REF!</v>
      </c>
      <c r="O30" s="23" t="e">
        <f>#REF!/Deseason_VA!#REF!*100</f>
        <v>#REF!</v>
      </c>
      <c r="P30" s="23" t="e">
        <f>#REF!/Deseason_VA!#REF!*100</f>
        <v>#REF!</v>
      </c>
      <c r="Q30" s="23" t="e">
        <f>#REF!/Deseason_VA!#REF!*100</f>
        <v>#REF!</v>
      </c>
      <c r="R30" s="23" t="e">
        <f>#REF!/Deseason_VA!#REF!*100</f>
        <v>#REF!</v>
      </c>
      <c r="S30" s="23" t="e">
        <f>#REF!/Deseason_VA!#REF!*100</f>
        <v>#REF!</v>
      </c>
      <c r="T30" s="23" t="e">
        <f>#REF!/Deseason_VA!#REF!*100</f>
        <v>#REF!</v>
      </c>
      <c r="U30" s="23" t="e">
        <f>#REF!/Deseason_VA!#REF!*100</f>
        <v>#REF!</v>
      </c>
      <c r="V30" s="23" t="e">
        <f>#REF!/Deseason_VA!#REF!*100</f>
        <v>#REF!</v>
      </c>
      <c r="W30" s="23" t="e">
        <f>#REF!/Deseason_VA!#REF!*100</f>
        <v>#REF!</v>
      </c>
      <c r="X30" s="23" t="e">
        <f>#REF!/Deseason_VA!#REF!*100</f>
        <v>#REF!</v>
      </c>
      <c r="Y30" s="23" t="e">
        <f>#REF!/Deseason_VA!#REF!*100</f>
        <v>#REF!</v>
      </c>
      <c r="Z30" s="23" t="e">
        <f>#REF!/Deseason_VA!#REF!*100</f>
        <v>#REF!</v>
      </c>
      <c r="AA30" s="23" t="e">
        <f>#REF!/Deseason_VA!#REF!*100</f>
        <v>#REF!</v>
      </c>
      <c r="AB30" s="23" t="e">
        <f>#REF!/Deseason_VA!#REF!*100</f>
        <v>#REF!</v>
      </c>
      <c r="AC30" s="23" t="e">
        <f>#REF!/Deseason_VA!#REF!*100</f>
        <v>#REF!</v>
      </c>
      <c r="AD30" s="23" t="e">
        <f>#REF!/Deseason_VA!#REF!*100</f>
        <v>#REF!</v>
      </c>
      <c r="AE30" s="23" t="e">
        <f>#REF!/Deseason_VA!#REF!*100</f>
        <v>#REF!</v>
      </c>
      <c r="AF30" s="15" t="e">
        <f>#REF!/Deseason_VA!#REF!*100</f>
        <v>#REF!</v>
      </c>
      <c r="AG30" s="15" t="e">
        <f>#REF!/Deseason_VA!#REF!*100</f>
        <v>#REF!</v>
      </c>
      <c r="AH30" s="15" t="e">
        <f>#REF!/Deseason_VA!#REF!*100</f>
        <v>#REF!</v>
      </c>
      <c r="AI30" s="15" t="e">
        <f>#REF!/Deseason_VA!#REF!*100</f>
        <v>#REF!</v>
      </c>
      <c r="AJ30" s="15" t="e">
        <f>#REF!/Deseason_VA!B30*100</f>
        <v>#REF!</v>
      </c>
      <c r="AK30" s="15" t="e">
        <f>#REF!/Deseason_VA!C30*100</f>
        <v>#REF!</v>
      </c>
      <c r="AL30" s="15" t="e">
        <f>#REF!/Deseason_VA!D30*100</f>
        <v>#REF!</v>
      </c>
      <c r="AM30" s="15" t="e">
        <f>#REF!/Deseason_VA!E30*100</f>
        <v>#REF!</v>
      </c>
      <c r="AN30" s="15" t="e">
        <f>#REF!/Deseason_VA!F30*100</f>
        <v>#REF!</v>
      </c>
      <c r="AO30" s="15" t="e">
        <f>#REF!/Deseason_VA!G30*100</f>
        <v>#REF!</v>
      </c>
      <c r="AP30" s="15" t="e">
        <f>#REF!/Deseason_VA!H30*100</f>
        <v>#REF!</v>
      </c>
      <c r="AQ30" s="15" t="e">
        <f>#REF!/Deseason_VA!I30*100</f>
        <v>#REF!</v>
      </c>
    </row>
    <row r="31" spans="1:43" s="8" customFormat="1" ht="18" customHeight="1" x14ac:dyDescent="0.2">
      <c r="A31" s="55" t="s">
        <v>71</v>
      </c>
      <c r="B31" s="23" t="e">
        <f>#REF!/Deseason_VA!#REF!*100</f>
        <v>#REF!</v>
      </c>
      <c r="C31" s="23" t="e">
        <f>#REF!/Deseason_VA!#REF!*100</f>
        <v>#REF!</v>
      </c>
      <c r="D31" s="23" t="e">
        <f>#REF!/Deseason_VA!#REF!*100</f>
        <v>#REF!</v>
      </c>
      <c r="E31" s="23" t="e">
        <f>#REF!/Deseason_VA!#REF!*100</f>
        <v>#REF!</v>
      </c>
      <c r="F31" s="23" t="e">
        <f>#REF!/Deseason_VA!#REF!*100</f>
        <v>#REF!</v>
      </c>
      <c r="G31" s="23" t="e">
        <f>#REF!/Deseason_VA!#REF!*100</f>
        <v>#REF!</v>
      </c>
      <c r="H31" s="23" t="e">
        <f>#REF!/Deseason_VA!#REF!*100</f>
        <v>#REF!</v>
      </c>
      <c r="I31" s="23" t="e">
        <f>#REF!/Deseason_VA!#REF!*100</f>
        <v>#REF!</v>
      </c>
      <c r="J31" s="23" t="e">
        <f>#REF!/Deseason_VA!#REF!*100</f>
        <v>#REF!</v>
      </c>
      <c r="K31" s="23" t="e">
        <f>#REF!/Deseason_VA!#REF!*100</f>
        <v>#REF!</v>
      </c>
      <c r="L31" s="23" t="e">
        <f>#REF!/Deseason_VA!#REF!*100</f>
        <v>#REF!</v>
      </c>
      <c r="M31" s="23" t="e">
        <f>#REF!/Deseason_VA!#REF!*100</f>
        <v>#REF!</v>
      </c>
      <c r="N31" s="23" t="e">
        <f>#REF!/Deseason_VA!#REF!*100</f>
        <v>#REF!</v>
      </c>
      <c r="O31" s="23" t="e">
        <f>#REF!/Deseason_VA!#REF!*100</f>
        <v>#REF!</v>
      </c>
      <c r="P31" s="23" t="e">
        <f>#REF!/Deseason_VA!#REF!*100</f>
        <v>#REF!</v>
      </c>
      <c r="Q31" s="23" t="s">
        <v>79</v>
      </c>
      <c r="R31" s="23" t="e">
        <f>#REF!/Deseason_VA!#REF!*100</f>
        <v>#REF!</v>
      </c>
      <c r="S31" s="23" t="e">
        <f>#REF!/Deseason_VA!#REF!*100</f>
        <v>#REF!</v>
      </c>
      <c r="T31" s="23" t="e">
        <f>#REF!/Deseason_VA!#REF!*100</f>
        <v>#REF!</v>
      </c>
      <c r="U31" s="23" t="e">
        <f>#REF!/Deseason_VA!#REF!*100</f>
        <v>#REF!</v>
      </c>
      <c r="V31" s="23" t="e">
        <f>#REF!/Deseason_VA!#REF!*100</f>
        <v>#REF!</v>
      </c>
      <c r="W31" s="23" t="e">
        <f>#REF!/Deseason_VA!#REF!*100</f>
        <v>#REF!</v>
      </c>
      <c r="X31" s="23" t="e">
        <f>#REF!/Deseason_VA!#REF!*100</f>
        <v>#REF!</v>
      </c>
      <c r="Y31" s="23" t="e">
        <f>#REF!/Deseason_VA!#REF!*100</f>
        <v>#REF!</v>
      </c>
      <c r="Z31" s="23" t="e">
        <f>#REF!/Deseason_VA!#REF!*100</f>
        <v>#REF!</v>
      </c>
      <c r="AA31" s="23" t="e">
        <f>#REF!/Deseason_VA!#REF!*100</f>
        <v>#REF!</v>
      </c>
      <c r="AB31" s="23" t="e">
        <f>#REF!/Deseason_VA!#REF!*100</f>
        <v>#REF!</v>
      </c>
      <c r="AC31" s="23" t="e">
        <f>#REF!/Deseason_VA!#REF!*100</f>
        <v>#REF!</v>
      </c>
      <c r="AD31" s="23" t="e">
        <f>#REF!/Deseason_VA!#REF!*100</f>
        <v>#REF!</v>
      </c>
      <c r="AE31" s="23" t="e">
        <f>#REF!/Deseason_VA!#REF!*100</f>
        <v>#REF!</v>
      </c>
      <c r="AF31" s="15" t="e">
        <f>#REF!/Deseason_VA!#REF!*100</f>
        <v>#REF!</v>
      </c>
      <c r="AG31" s="15" t="e">
        <f>#REF!/Deseason_VA!#REF!*100</f>
        <v>#REF!</v>
      </c>
      <c r="AH31" s="15" t="e">
        <f>#REF!/Deseason_VA!#REF!*100</f>
        <v>#REF!</v>
      </c>
      <c r="AI31" s="15" t="e">
        <f>#REF!/Deseason_VA!#REF!*100</f>
        <v>#REF!</v>
      </c>
      <c r="AJ31" s="15" t="e">
        <f>#REF!/Deseason_VA!B31*100</f>
        <v>#REF!</v>
      </c>
      <c r="AK31" s="15" t="e">
        <f>#REF!/Deseason_VA!C31*100</f>
        <v>#REF!</v>
      </c>
      <c r="AL31" s="15" t="e">
        <f>#REF!/Deseason_VA!D31*100</f>
        <v>#REF!</v>
      </c>
      <c r="AM31" s="15" t="e">
        <f>#REF!/Deseason_VA!E31*100</f>
        <v>#REF!</v>
      </c>
      <c r="AN31" s="15" t="e">
        <f>#REF!/Deseason_VA!F31*100</f>
        <v>#REF!</v>
      </c>
      <c r="AO31" s="15" t="e">
        <f>#REF!/Deseason_VA!G31*100</f>
        <v>#REF!</v>
      </c>
      <c r="AP31" s="15" t="e">
        <f>#REF!/Deseason_VA!H31*100</f>
        <v>#REF!</v>
      </c>
      <c r="AQ31" s="15" t="e">
        <f>#REF!/Deseason_VA!I31*100</f>
        <v>#REF!</v>
      </c>
    </row>
    <row r="32" spans="1:43" s="8" customFormat="1" ht="18" customHeight="1" x14ac:dyDescent="0.2">
      <c r="A32" s="55" t="s">
        <v>17</v>
      </c>
      <c r="B32" s="23" t="e">
        <f>#REF!/Deseason_VA!#REF!*100</f>
        <v>#REF!</v>
      </c>
      <c r="C32" s="23" t="e">
        <f>#REF!/Deseason_VA!#REF!*100</f>
        <v>#REF!</v>
      </c>
      <c r="D32" s="23" t="e">
        <f>#REF!/Deseason_VA!#REF!*100</f>
        <v>#REF!</v>
      </c>
      <c r="E32" s="23" t="e">
        <f>#REF!/Deseason_VA!#REF!*100</f>
        <v>#REF!</v>
      </c>
      <c r="F32" s="23" t="e">
        <f>#REF!/Deseason_VA!#REF!*100</f>
        <v>#REF!</v>
      </c>
      <c r="G32" s="23" t="e">
        <f>#REF!/Deseason_VA!#REF!*100</f>
        <v>#REF!</v>
      </c>
      <c r="H32" s="23" t="e">
        <f>#REF!/Deseason_VA!#REF!*100</f>
        <v>#REF!</v>
      </c>
      <c r="I32" s="23" t="e">
        <f>#REF!/Deseason_VA!#REF!*100</f>
        <v>#REF!</v>
      </c>
      <c r="J32" s="23" t="e">
        <f>#REF!/Deseason_VA!#REF!*100</f>
        <v>#REF!</v>
      </c>
      <c r="K32" s="23" t="e">
        <f>#REF!/Deseason_VA!#REF!*100</f>
        <v>#REF!</v>
      </c>
      <c r="L32" s="23" t="e">
        <f>#REF!/Deseason_VA!#REF!*100</f>
        <v>#REF!</v>
      </c>
      <c r="M32" s="23" t="e">
        <f>#REF!/Deseason_VA!#REF!*100</f>
        <v>#REF!</v>
      </c>
      <c r="N32" s="23" t="e">
        <f>#REF!/Deseason_VA!#REF!*100</f>
        <v>#REF!</v>
      </c>
      <c r="O32" s="23" t="e">
        <f>#REF!/Deseason_VA!#REF!*100</f>
        <v>#REF!</v>
      </c>
      <c r="P32" s="23" t="e">
        <f>#REF!/Deseason_VA!#REF!*100</f>
        <v>#REF!</v>
      </c>
      <c r="Q32" s="23" t="e">
        <f>#REF!/Deseason_VA!#REF!*100</f>
        <v>#REF!</v>
      </c>
      <c r="R32" s="23" t="e">
        <f>#REF!/Deseason_VA!#REF!*100</f>
        <v>#REF!</v>
      </c>
      <c r="S32" s="23" t="e">
        <f>#REF!/Deseason_VA!#REF!*100</f>
        <v>#REF!</v>
      </c>
      <c r="T32" s="23" t="e">
        <f>#REF!/Deseason_VA!#REF!*100</f>
        <v>#REF!</v>
      </c>
      <c r="U32" s="23" t="e">
        <f>#REF!/Deseason_VA!#REF!*100</f>
        <v>#REF!</v>
      </c>
      <c r="V32" s="23" t="e">
        <f>#REF!/Deseason_VA!#REF!*100</f>
        <v>#REF!</v>
      </c>
      <c r="W32" s="23" t="e">
        <f>#REF!/Deseason_VA!#REF!*100</f>
        <v>#REF!</v>
      </c>
      <c r="X32" s="23" t="e">
        <f>#REF!/Deseason_VA!#REF!*100</f>
        <v>#REF!</v>
      </c>
      <c r="Y32" s="23" t="e">
        <f>#REF!/Deseason_VA!#REF!*100</f>
        <v>#REF!</v>
      </c>
      <c r="Z32" s="23" t="e">
        <f>#REF!/Deseason_VA!#REF!*100</f>
        <v>#REF!</v>
      </c>
      <c r="AA32" s="23" t="e">
        <f>#REF!/Deseason_VA!#REF!*100</f>
        <v>#REF!</v>
      </c>
      <c r="AB32" s="23" t="e">
        <f>#REF!/Deseason_VA!#REF!*100</f>
        <v>#REF!</v>
      </c>
      <c r="AC32" s="23" t="e">
        <f>#REF!/Deseason_VA!#REF!*100</f>
        <v>#REF!</v>
      </c>
      <c r="AD32" s="23" t="e">
        <f>#REF!/Deseason_VA!#REF!*100</f>
        <v>#REF!</v>
      </c>
      <c r="AE32" s="23" t="e">
        <f>#REF!/Deseason_VA!#REF!*100</f>
        <v>#REF!</v>
      </c>
      <c r="AF32" s="15" t="e">
        <f>#REF!/Deseason_VA!#REF!*100</f>
        <v>#REF!</v>
      </c>
      <c r="AG32" s="15" t="e">
        <f>#REF!/Deseason_VA!#REF!*100</f>
        <v>#REF!</v>
      </c>
      <c r="AH32" s="15" t="e">
        <f>#REF!/Deseason_VA!#REF!*100</f>
        <v>#REF!</v>
      </c>
      <c r="AI32" s="15" t="e">
        <f>#REF!/Deseason_VA!#REF!*100</f>
        <v>#REF!</v>
      </c>
      <c r="AJ32" s="15" t="e">
        <f>#REF!/Deseason_VA!B32*100</f>
        <v>#REF!</v>
      </c>
      <c r="AK32" s="15" t="e">
        <f>#REF!/Deseason_VA!C32*100</f>
        <v>#REF!</v>
      </c>
      <c r="AL32" s="15" t="e">
        <f>#REF!/Deseason_VA!D32*100</f>
        <v>#REF!</v>
      </c>
      <c r="AM32" s="15" t="e">
        <f>#REF!/Deseason_VA!E32*100</f>
        <v>#REF!</v>
      </c>
      <c r="AN32" s="15" t="e">
        <f>#REF!/Deseason_VA!F32*100</f>
        <v>#REF!</v>
      </c>
      <c r="AO32" s="15" t="e">
        <f>#REF!/Deseason_VA!G32*100</f>
        <v>#REF!</v>
      </c>
      <c r="AP32" s="15" t="e">
        <f>#REF!/Deseason_VA!H32*100</f>
        <v>#REF!</v>
      </c>
      <c r="AQ32" s="15" t="e">
        <f>#REF!/Deseason_VA!I32*100</f>
        <v>#REF!</v>
      </c>
    </row>
    <row r="33" spans="1:43" s="8" customFormat="1" ht="18" customHeight="1" x14ac:dyDescent="0.2">
      <c r="A33" s="55" t="s">
        <v>59</v>
      </c>
      <c r="B33" s="23" t="e">
        <f>#REF!/Deseason_VA!#REF!*100</f>
        <v>#REF!</v>
      </c>
      <c r="C33" s="23" t="e">
        <f>#REF!/Deseason_VA!#REF!*100</f>
        <v>#REF!</v>
      </c>
      <c r="D33" s="23" t="e">
        <f>#REF!/Deseason_VA!#REF!*100</f>
        <v>#REF!</v>
      </c>
      <c r="E33" s="23" t="e">
        <f>#REF!/Deseason_VA!#REF!*100</f>
        <v>#REF!</v>
      </c>
      <c r="F33" s="23" t="e">
        <f>#REF!/Deseason_VA!#REF!*100</f>
        <v>#REF!</v>
      </c>
      <c r="G33" s="23" t="e">
        <f>#REF!/Deseason_VA!#REF!*100</f>
        <v>#REF!</v>
      </c>
      <c r="H33" s="23" t="e">
        <f>#REF!/Deseason_VA!#REF!*100</f>
        <v>#REF!</v>
      </c>
      <c r="I33" s="23" t="e">
        <f>#REF!/Deseason_VA!#REF!*100</f>
        <v>#REF!</v>
      </c>
      <c r="J33" s="23" t="e">
        <f>#REF!/Deseason_VA!#REF!*100</f>
        <v>#REF!</v>
      </c>
      <c r="K33" s="23" t="e">
        <f>#REF!/Deseason_VA!#REF!*100</f>
        <v>#REF!</v>
      </c>
      <c r="L33" s="23" t="e">
        <f>#REF!/Deseason_VA!#REF!*100</f>
        <v>#REF!</v>
      </c>
      <c r="M33" s="23" t="e">
        <f>#REF!/Deseason_VA!#REF!*100</f>
        <v>#REF!</v>
      </c>
      <c r="N33" s="23" t="e">
        <f>#REF!/Deseason_VA!#REF!*100</f>
        <v>#REF!</v>
      </c>
      <c r="O33" s="23" t="e">
        <f>#REF!/Deseason_VA!#REF!*100</f>
        <v>#REF!</v>
      </c>
      <c r="P33" s="23" t="e">
        <f>#REF!/Deseason_VA!#REF!*100</f>
        <v>#REF!</v>
      </c>
      <c r="Q33" s="23" t="e">
        <f>#REF!/Deseason_VA!#REF!*100</f>
        <v>#REF!</v>
      </c>
      <c r="R33" s="23" t="e">
        <f>#REF!/Deseason_VA!#REF!*100</f>
        <v>#REF!</v>
      </c>
      <c r="S33" s="23" t="e">
        <f>#REF!/Deseason_VA!#REF!*100</f>
        <v>#REF!</v>
      </c>
      <c r="T33" s="23" t="e">
        <f>#REF!/Deseason_VA!#REF!*100</f>
        <v>#REF!</v>
      </c>
      <c r="U33" s="23" t="e">
        <f>#REF!/Deseason_VA!#REF!*100</f>
        <v>#REF!</v>
      </c>
      <c r="V33" s="23" t="e">
        <f>#REF!/Deseason_VA!#REF!*100</f>
        <v>#REF!</v>
      </c>
      <c r="W33" s="23" t="e">
        <f>#REF!/Deseason_VA!#REF!*100</f>
        <v>#REF!</v>
      </c>
      <c r="X33" s="23" t="e">
        <f>#REF!/Deseason_VA!#REF!*100</f>
        <v>#REF!</v>
      </c>
      <c r="Y33" s="23" t="e">
        <f>#REF!/Deseason_VA!#REF!*100</f>
        <v>#REF!</v>
      </c>
      <c r="Z33" s="23" t="e">
        <f>#REF!/Deseason_VA!#REF!*100</f>
        <v>#REF!</v>
      </c>
      <c r="AA33" s="23" t="e">
        <f>#REF!/Deseason_VA!#REF!*100</f>
        <v>#REF!</v>
      </c>
      <c r="AB33" s="23" t="e">
        <f>#REF!/Deseason_VA!#REF!*100</f>
        <v>#REF!</v>
      </c>
      <c r="AC33" s="23" t="e">
        <f>#REF!/Deseason_VA!#REF!*100</f>
        <v>#REF!</v>
      </c>
      <c r="AD33" s="23" t="e">
        <f>#REF!/Deseason_VA!#REF!*100</f>
        <v>#REF!</v>
      </c>
      <c r="AE33" s="23" t="e">
        <f>#REF!/Deseason_VA!#REF!*100</f>
        <v>#REF!</v>
      </c>
      <c r="AF33" s="15" t="e">
        <f>#REF!/Deseason_VA!#REF!*100</f>
        <v>#REF!</v>
      </c>
      <c r="AG33" s="15" t="e">
        <f>#REF!/Deseason_VA!#REF!*100</f>
        <v>#REF!</v>
      </c>
      <c r="AH33" s="15" t="e">
        <f>#REF!/Deseason_VA!#REF!*100</f>
        <v>#REF!</v>
      </c>
      <c r="AI33" s="15" t="e">
        <f>#REF!/Deseason_VA!#REF!*100</f>
        <v>#REF!</v>
      </c>
      <c r="AJ33" s="15" t="e">
        <f>#REF!/Deseason_VA!B33*100</f>
        <v>#REF!</v>
      </c>
      <c r="AK33" s="15" t="e">
        <f>#REF!/Deseason_VA!C33*100</f>
        <v>#REF!</v>
      </c>
      <c r="AL33" s="15" t="e">
        <f>#REF!/Deseason_VA!D33*100</f>
        <v>#REF!</v>
      </c>
      <c r="AM33" s="15" t="e">
        <f>#REF!/Deseason_VA!E33*100</f>
        <v>#REF!</v>
      </c>
      <c r="AN33" s="15" t="e">
        <f>#REF!/Deseason_VA!F33*100</f>
        <v>#REF!</v>
      </c>
      <c r="AO33" s="15" t="e">
        <f>#REF!/Deseason_VA!G33*100</f>
        <v>#REF!</v>
      </c>
      <c r="AP33" s="15" t="e">
        <f>#REF!/Deseason_VA!H33*100</f>
        <v>#REF!</v>
      </c>
      <c r="AQ33" s="15" t="e">
        <f>#REF!/Deseason_VA!I33*100</f>
        <v>#REF!</v>
      </c>
    </row>
    <row r="34" spans="1:43" ht="18" customHeight="1" x14ac:dyDescent="0.2">
      <c r="A34" s="17"/>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18"/>
      <c r="AG34" s="18"/>
      <c r="AH34" s="18"/>
      <c r="AI34" s="18"/>
      <c r="AJ34" s="18"/>
      <c r="AK34" s="18"/>
      <c r="AL34" s="18"/>
      <c r="AM34" s="18"/>
      <c r="AN34" s="18"/>
      <c r="AO34" s="18"/>
      <c r="AP34" s="18"/>
      <c r="AQ34" s="18"/>
    </row>
    <row r="35" spans="1:43" ht="18" customHeight="1" x14ac:dyDescent="0.2">
      <c r="A35" s="2" t="s">
        <v>95</v>
      </c>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18"/>
      <c r="AG35" s="18"/>
      <c r="AH35" s="18"/>
      <c r="AI35" s="18"/>
      <c r="AJ35" s="18"/>
      <c r="AK35" s="18"/>
      <c r="AL35" s="18"/>
      <c r="AM35" s="18"/>
      <c r="AN35" s="18"/>
      <c r="AO35" s="18"/>
      <c r="AP35" s="18"/>
      <c r="AQ35" s="18"/>
    </row>
    <row r="36" spans="1:43" s="11" customFormat="1" ht="18" customHeight="1" thickBot="1" x14ac:dyDescent="0.25">
      <c r="A36" s="24" t="s">
        <v>76</v>
      </c>
      <c r="B36" s="24" t="e">
        <f>#REF!/Deseason_VA!#REF!*100</f>
        <v>#REF!</v>
      </c>
      <c r="C36" s="24" t="e">
        <f>#REF!/Deseason_VA!#REF!*100</f>
        <v>#REF!</v>
      </c>
      <c r="D36" s="24" t="e">
        <f>#REF!/Deseason_VA!#REF!*100</f>
        <v>#REF!</v>
      </c>
      <c r="E36" s="24" t="e">
        <f>#REF!/Deseason_VA!#REF!*100</f>
        <v>#REF!</v>
      </c>
      <c r="F36" s="24" t="e">
        <f>#REF!/Deseason_VA!#REF!*100</f>
        <v>#REF!</v>
      </c>
      <c r="G36" s="24" t="e">
        <f>#REF!/Deseason_VA!#REF!*100</f>
        <v>#REF!</v>
      </c>
      <c r="H36" s="24" t="e">
        <f>#REF!/Deseason_VA!#REF!*100</f>
        <v>#REF!</v>
      </c>
      <c r="I36" s="24" t="e">
        <f>#REF!/Deseason_VA!#REF!*100</f>
        <v>#REF!</v>
      </c>
      <c r="J36" s="24" t="e">
        <f>#REF!/Deseason_VA!#REF!*100</f>
        <v>#REF!</v>
      </c>
      <c r="K36" s="24" t="e">
        <f>#REF!/Deseason_VA!#REF!*100</f>
        <v>#REF!</v>
      </c>
      <c r="L36" s="24" t="e">
        <f>#REF!/Deseason_VA!#REF!*100</f>
        <v>#REF!</v>
      </c>
      <c r="M36" s="24" t="e">
        <f>#REF!/Deseason_VA!#REF!*100</f>
        <v>#REF!</v>
      </c>
      <c r="N36" s="24" t="e">
        <f>#REF!/Deseason_VA!#REF!*100</f>
        <v>#REF!</v>
      </c>
      <c r="O36" s="24" t="e">
        <f>#REF!/Deseason_VA!#REF!*100</f>
        <v>#REF!</v>
      </c>
      <c r="P36" s="24" t="e">
        <f>#REF!/Deseason_VA!#REF!*100</f>
        <v>#REF!</v>
      </c>
      <c r="Q36" s="24" t="e">
        <f>#REF!/Deseason_VA!#REF!*100</f>
        <v>#REF!</v>
      </c>
      <c r="R36" s="24" t="e">
        <f>#REF!/Deseason_VA!#REF!*100</f>
        <v>#REF!</v>
      </c>
      <c r="S36" s="24" t="e">
        <f>#REF!/Deseason_VA!#REF!*100</f>
        <v>#REF!</v>
      </c>
      <c r="T36" s="24" t="e">
        <f>#REF!/Deseason_VA!#REF!*100</f>
        <v>#REF!</v>
      </c>
      <c r="U36" s="24" t="e">
        <f>#REF!/Deseason_VA!#REF!*100</f>
        <v>#REF!</v>
      </c>
      <c r="V36" s="24" t="e">
        <f>#REF!/Deseason_VA!#REF!*100</f>
        <v>#REF!</v>
      </c>
      <c r="W36" s="24" t="e">
        <f>#REF!/Deseason_VA!#REF!*100</f>
        <v>#REF!</v>
      </c>
      <c r="X36" s="24" t="e">
        <f>#REF!/Deseason_VA!#REF!*100</f>
        <v>#REF!</v>
      </c>
      <c r="Y36" s="24" t="e">
        <f>#REF!/Deseason_VA!#REF!*100</f>
        <v>#REF!</v>
      </c>
      <c r="Z36" s="24" t="e">
        <f>#REF!/Deseason_VA!#REF!*100</f>
        <v>#REF!</v>
      </c>
      <c r="AA36" s="24" t="e">
        <f>#REF!/Deseason_VA!#REF!*100</f>
        <v>#REF!</v>
      </c>
      <c r="AB36" s="24" t="e">
        <f>#REF!/Deseason_VA!#REF!*100</f>
        <v>#REF!</v>
      </c>
      <c r="AC36" s="24" t="e">
        <f>#REF!/Deseason_VA!#REF!*100</f>
        <v>#REF!</v>
      </c>
      <c r="AD36" s="24" t="e">
        <f>#REF!/Deseason_VA!#REF!*100</f>
        <v>#REF!</v>
      </c>
      <c r="AE36" s="24" t="e">
        <f>#REF!/Deseason_VA!#REF!*100</f>
        <v>#REF!</v>
      </c>
      <c r="AF36" s="19" t="e">
        <f>#REF!/Deseason_VA!#REF!*100</f>
        <v>#REF!</v>
      </c>
      <c r="AG36" s="19" t="e">
        <f>#REF!/Deseason_VA!#REF!*100</f>
        <v>#REF!</v>
      </c>
      <c r="AH36" s="19" t="e">
        <f>#REF!/Deseason_VA!#REF!*100</f>
        <v>#REF!</v>
      </c>
      <c r="AI36" s="19" t="e">
        <f>#REF!/Deseason_VA!#REF!*100</f>
        <v>#REF!</v>
      </c>
      <c r="AJ36" s="19" t="e">
        <f>#REF!/Deseason_VA!B36*100</f>
        <v>#REF!</v>
      </c>
      <c r="AK36" s="19" t="e">
        <f>#REF!/Deseason_VA!C36*100</f>
        <v>#REF!</v>
      </c>
      <c r="AL36" s="19" t="e">
        <f>#REF!/Deseason_VA!D36*100</f>
        <v>#REF!</v>
      </c>
      <c r="AM36" s="19" t="e">
        <f>#REF!/Deseason_VA!E36*100</f>
        <v>#REF!</v>
      </c>
      <c r="AN36" s="19" t="e">
        <f>#REF!/Deseason_VA!F36*100</f>
        <v>#REF!</v>
      </c>
      <c r="AO36" s="19" t="e">
        <f>#REF!/Deseason_VA!G36*100</f>
        <v>#REF!</v>
      </c>
      <c r="AP36" s="19" t="e">
        <f>#REF!/Deseason_VA!H36*100</f>
        <v>#REF!</v>
      </c>
      <c r="AQ36" s="19" t="e">
        <f>#REF!/Deseason_VA!I36*100</f>
        <v>#REF!</v>
      </c>
    </row>
    <row r="37" spans="1:43" x14ac:dyDescent="0.2">
      <c r="A37" s="13" t="s">
        <v>50</v>
      </c>
      <c r="B37" s="6"/>
    </row>
    <row r="38" spans="1:43" x14ac:dyDescent="0.2">
      <c r="Z38" s="1">
        <v>8.5</v>
      </c>
    </row>
  </sheetData>
  <mergeCells count="11">
    <mergeCell ref="AN3:AQ3"/>
    <mergeCell ref="B3:C3"/>
    <mergeCell ref="D3:G3"/>
    <mergeCell ref="H3:K3"/>
    <mergeCell ref="L3:O3"/>
    <mergeCell ref="P3:S3"/>
    <mergeCell ref="U3:W3"/>
    <mergeCell ref="AF3:AI3"/>
    <mergeCell ref="AB3:AE3"/>
    <mergeCell ref="X3:AA3"/>
    <mergeCell ref="AJ3:AM3"/>
  </mergeCells>
  <pageMargins left="0.5" right="0" top="0.5" bottom="0" header="0" footer="0"/>
  <pageSetup paperSize="9" scale="8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pageSetUpPr fitToPage="1"/>
  </sheetPr>
  <dimension ref="A1:AM37"/>
  <sheetViews>
    <sheetView showGridLines="0" view="pageBreakPreview" zoomScaleNormal="100" zoomScaleSheetLayoutView="100" workbookViewId="0">
      <selection activeCell="B1" sqref="B1"/>
    </sheetView>
  </sheetViews>
  <sheetFormatPr defaultColWidth="9.140625" defaultRowHeight="11.25" x14ac:dyDescent="0.2"/>
  <cols>
    <col min="1" max="1" width="26.42578125" style="1" customWidth="1"/>
    <col min="2" max="3" width="6.7109375" style="1" customWidth="1"/>
    <col min="4" max="11" width="6.85546875" style="1" customWidth="1"/>
    <col min="12" max="24" width="6.85546875" style="1" bestFit="1" customWidth="1"/>
    <col min="25" max="25" width="6.85546875" style="1" customWidth="1"/>
    <col min="26" max="26" width="7.28515625" style="1" customWidth="1"/>
    <col min="27" max="27" width="7" style="1" customWidth="1"/>
    <col min="28" max="28" width="6.7109375" style="1" customWidth="1"/>
    <col min="29" max="29" width="7" style="1" customWidth="1"/>
    <col min="30" max="30" width="7.42578125" style="1" customWidth="1"/>
    <col min="31" max="31" width="7.7109375" style="1" customWidth="1"/>
    <col min="32" max="32" width="8" style="1" customWidth="1"/>
    <col min="33" max="33" width="7.5703125" style="1" customWidth="1"/>
    <col min="34" max="16384" width="9.140625" style="1"/>
  </cols>
  <sheetData>
    <row r="1" spans="1:39" ht="15.75" customHeight="1" x14ac:dyDescent="0.2">
      <c r="A1" s="31" t="s">
        <v>176</v>
      </c>
      <c r="B1" s="31"/>
      <c r="C1" s="31"/>
    </row>
    <row r="2" spans="1:39" ht="1.5" customHeight="1" thickBot="1" x14ac:dyDescent="0.25"/>
    <row r="3" spans="1:39" s="82" customFormat="1" ht="12" customHeight="1" x14ac:dyDescent="0.2">
      <c r="A3" s="81"/>
      <c r="B3" s="215" t="s">
        <v>80</v>
      </c>
      <c r="C3" s="215"/>
      <c r="D3" s="215"/>
      <c r="E3" s="215"/>
      <c r="F3" s="215" t="s">
        <v>92</v>
      </c>
      <c r="G3" s="215"/>
      <c r="H3" s="215"/>
      <c r="I3" s="215"/>
      <c r="J3" s="215" t="s">
        <v>134</v>
      </c>
      <c r="K3" s="215"/>
      <c r="L3" s="215"/>
      <c r="M3" s="215"/>
      <c r="N3" s="215" t="s">
        <v>136</v>
      </c>
      <c r="O3" s="215"/>
      <c r="P3" s="215"/>
      <c r="Q3" s="215"/>
      <c r="R3" s="216" t="s">
        <v>137</v>
      </c>
      <c r="S3" s="216"/>
      <c r="T3" s="216"/>
      <c r="U3" s="216"/>
      <c r="V3" s="216" t="s">
        <v>138</v>
      </c>
      <c r="W3" s="216"/>
      <c r="X3" s="216"/>
      <c r="Y3" s="216"/>
      <c r="Z3" s="216" t="s">
        <v>139</v>
      </c>
      <c r="AA3" s="216"/>
      <c r="AB3" s="216"/>
      <c r="AC3" s="216"/>
      <c r="AD3" s="216" t="s">
        <v>140</v>
      </c>
      <c r="AE3" s="216"/>
      <c r="AF3" s="216"/>
      <c r="AG3" s="216"/>
      <c r="AH3" s="216" t="s">
        <v>166</v>
      </c>
      <c r="AI3" s="216"/>
      <c r="AJ3" s="216"/>
      <c r="AK3" s="216"/>
      <c r="AL3" s="216" t="s">
        <v>167</v>
      </c>
      <c r="AM3" s="216"/>
    </row>
    <row r="4" spans="1:39" s="86" customFormat="1" ht="14.25" customHeight="1" x14ac:dyDescent="0.2">
      <c r="A4" s="83"/>
      <c r="B4" s="84" t="s">
        <v>46</v>
      </c>
      <c r="C4" s="84" t="s">
        <v>47</v>
      </c>
      <c r="D4" s="84" t="s">
        <v>48</v>
      </c>
      <c r="E4" s="84" t="s">
        <v>49</v>
      </c>
      <c r="F4" s="85" t="s">
        <v>46</v>
      </c>
      <c r="G4" s="84" t="s">
        <v>47</v>
      </c>
      <c r="H4" s="85" t="s">
        <v>48</v>
      </c>
      <c r="I4" s="85" t="s">
        <v>49</v>
      </c>
      <c r="J4" s="85" t="s">
        <v>46</v>
      </c>
      <c r="K4" s="85" t="s">
        <v>47</v>
      </c>
      <c r="L4" s="85" t="s">
        <v>48</v>
      </c>
      <c r="M4" s="85" t="s">
        <v>49</v>
      </c>
      <c r="N4" s="85" t="s">
        <v>46</v>
      </c>
      <c r="O4" s="85" t="s">
        <v>47</v>
      </c>
      <c r="P4" s="85" t="s">
        <v>48</v>
      </c>
      <c r="Q4" s="85" t="s">
        <v>49</v>
      </c>
      <c r="R4" s="85" t="s">
        <v>46</v>
      </c>
      <c r="S4" s="85" t="s">
        <v>47</v>
      </c>
      <c r="T4" s="85" t="s">
        <v>48</v>
      </c>
      <c r="U4" s="85" t="s">
        <v>49</v>
      </c>
      <c r="V4" s="85" t="s">
        <v>46</v>
      </c>
      <c r="W4" s="85" t="s">
        <v>47</v>
      </c>
      <c r="X4" s="85" t="s">
        <v>48</v>
      </c>
      <c r="Y4" s="85" t="s">
        <v>49</v>
      </c>
      <c r="Z4" s="85" t="s">
        <v>46</v>
      </c>
      <c r="AA4" s="85" t="s">
        <v>47</v>
      </c>
      <c r="AB4" s="85" t="s">
        <v>48</v>
      </c>
      <c r="AC4" s="85" t="s">
        <v>49</v>
      </c>
      <c r="AD4" s="85" t="s">
        <v>46</v>
      </c>
      <c r="AE4" s="85" t="s">
        <v>47</v>
      </c>
      <c r="AF4" s="85" t="s">
        <v>48</v>
      </c>
      <c r="AG4" s="85" t="s">
        <v>49</v>
      </c>
      <c r="AH4" s="85" t="s">
        <v>46</v>
      </c>
      <c r="AI4" s="85" t="s">
        <v>47</v>
      </c>
      <c r="AJ4" s="85" t="s">
        <v>48</v>
      </c>
      <c r="AK4" s="85" t="s">
        <v>49</v>
      </c>
      <c r="AL4" s="85" t="s">
        <v>46</v>
      </c>
      <c r="AM4" s="85" t="s">
        <v>47</v>
      </c>
    </row>
    <row r="5" spans="1:39" s="8" customFormat="1" ht="17.100000000000001" customHeight="1" x14ac:dyDescent="0.2">
      <c r="A5" s="39" t="s">
        <v>97</v>
      </c>
      <c r="B5" s="76">
        <v>26462.729253987603</v>
      </c>
      <c r="C5" s="76">
        <v>26896.395375006789</v>
      </c>
      <c r="D5" s="76">
        <v>27382.40321110926</v>
      </c>
      <c r="E5" s="76">
        <v>27823.291649979503</v>
      </c>
      <c r="F5" s="76">
        <v>28161.942796510895</v>
      </c>
      <c r="G5" s="76">
        <v>28513.96174213893</v>
      </c>
      <c r="H5" s="76">
        <v>28957.259707201025</v>
      </c>
      <c r="I5" s="76">
        <v>29462.114469886841</v>
      </c>
      <c r="J5" s="76">
        <v>29881.61258183726</v>
      </c>
      <c r="K5" s="76">
        <v>30348.905914404662</v>
      </c>
      <c r="L5" s="76">
        <v>30850.880178414609</v>
      </c>
      <c r="M5" s="76">
        <v>31471.349176961936</v>
      </c>
      <c r="N5" s="76">
        <v>32206.382432776933</v>
      </c>
      <c r="O5" s="76">
        <v>32534.764578885566</v>
      </c>
      <c r="P5" s="76">
        <v>32175.211564190682</v>
      </c>
      <c r="Q5" s="76">
        <v>32026.060183665682</v>
      </c>
      <c r="R5" s="76">
        <v>32219.260048117259</v>
      </c>
      <c r="S5" s="76">
        <v>32509.800754340748</v>
      </c>
      <c r="T5" s="76">
        <v>32839.66311724922</v>
      </c>
      <c r="U5" s="76">
        <v>32898.971049945234</v>
      </c>
      <c r="V5" s="76">
        <v>33160.329281097394</v>
      </c>
      <c r="W5" s="76">
        <v>34069.828243245109</v>
      </c>
      <c r="X5" s="76">
        <v>34839.342650007748</v>
      </c>
      <c r="Y5" s="76">
        <v>35033.551919940626</v>
      </c>
      <c r="Z5" s="76">
        <v>35348.49027688161</v>
      </c>
      <c r="AA5" s="76">
        <v>35585.279642430207</v>
      </c>
      <c r="AB5" s="76">
        <v>36078.586985308742</v>
      </c>
      <c r="AC5" s="76">
        <v>36779.912754784484</v>
      </c>
      <c r="AD5" s="76">
        <v>37191.742316204494</v>
      </c>
      <c r="AE5" s="76">
        <v>37418.390839011547</v>
      </c>
      <c r="AF5" s="76">
        <v>38268.833646374631</v>
      </c>
      <c r="AG5" s="76">
        <v>39291.158617664834</v>
      </c>
      <c r="AH5" s="76">
        <v>39872.709761417755</v>
      </c>
      <c r="AI5" s="76">
        <v>40241.212029566123</v>
      </c>
      <c r="AJ5" s="76">
        <v>40656.362517762842</v>
      </c>
      <c r="AK5" s="76">
        <v>41347.988401317103</v>
      </c>
      <c r="AL5" s="76">
        <v>42239.942127499729</v>
      </c>
      <c r="AM5" s="76">
        <v>43273.382556345714</v>
      </c>
    </row>
    <row r="6" spans="1:39" s="136" customFormat="1" ht="17.100000000000001" customHeight="1" x14ac:dyDescent="0.2">
      <c r="A6" s="133" t="s">
        <v>96</v>
      </c>
      <c r="B6" s="134">
        <v>6219.3427326982692</v>
      </c>
      <c r="C6" s="134">
        <v>6294.9669426595046</v>
      </c>
      <c r="D6" s="134">
        <v>6407.4385276273133</v>
      </c>
      <c r="E6" s="134">
        <v>6477.3375136711529</v>
      </c>
      <c r="F6" s="134">
        <v>6492.3672887359962</v>
      </c>
      <c r="G6" s="134">
        <v>6510.6471646785603</v>
      </c>
      <c r="H6" s="134">
        <v>6592.6195463800887</v>
      </c>
      <c r="I6" s="134">
        <v>6679.9925623243898</v>
      </c>
      <c r="J6" s="134">
        <v>6762.4404066494153</v>
      </c>
      <c r="K6" s="134">
        <v>6851.8703377379297</v>
      </c>
      <c r="L6" s="134">
        <v>6974.0034024347569</v>
      </c>
      <c r="M6" s="134">
        <v>7093.5297288954062</v>
      </c>
      <c r="N6" s="134">
        <v>7177.9758880951231</v>
      </c>
      <c r="O6" s="134">
        <v>7247.195193067535</v>
      </c>
      <c r="P6" s="134">
        <v>7351.7641487937581</v>
      </c>
      <c r="Q6" s="134">
        <v>7498.5506402348437</v>
      </c>
      <c r="R6" s="134">
        <v>7601.7848443509365</v>
      </c>
      <c r="S6" s="134">
        <v>7595.9446104530107</v>
      </c>
      <c r="T6" s="134">
        <v>7545.8478420448664</v>
      </c>
      <c r="U6" s="134">
        <v>7498.9166254536249</v>
      </c>
      <c r="V6" s="134">
        <v>7553.2978599747012</v>
      </c>
      <c r="W6" s="134">
        <v>7784.6191564819219</v>
      </c>
      <c r="X6" s="134">
        <v>8052.5733281766779</v>
      </c>
      <c r="Y6" s="134">
        <v>8303.083659774371</v>
      </c>
      <c r="Z6" s="134">
        <v>8440.4734851546036</v>
      </c>
      <c r="AA6" s="134">
        <v>8395.4301375191226</v>
      </c>
      <c r="AB6" s="134">
        <v>8324.0586709393101</v>
      </c>
      <c r="AC6" s="134">
        <v>8334.4392528162425</v>
      </c>
      <c r="AD6" s="134">
        <v>8415.4908338376918</v>
      </c>
      <c r="AE6" s="134">
        <v>8575.3601937065305</v>
      </c>
      <c r="AF6" s="134">
        <v>8756.8474883642775</v>
      </c>
      <c r="AG6" s="134">
        <v>8934.4361454664322</v>
      </c>
      <c r="AH6" s="134">
        <v>9086.7845196980452</v>
      </c>
      <c r="AI6" s="134">
        <v>9205.3115244828623</v>
      </c>
      <c r="AJ6" s="134">
        <v>9283.9208195232841</v>
      </c>
      <c r="AK6" s="134">
        <v>9390.2857602493787</v>
      </c>
      <c r="AL6" s="134">
        <v>9596.0020781825733</v>
      </c>
      <c r="AM6" s="134">
        <v>9897.47655192821</v>
      </c>
    </row>
    <row r="7" spans="1:39" ht="17.100000000000001" customHeight="1" x14ac:dyDescent="0.2">
      <c r="A7" s="72" t="s">
        <v>1</v>
      </c>
      <c r="B7" s="77">
        <v>593.88390094958402</v>
      </c>
      <c r="C7" s="77">
        <v>581.56830494550195</v>
      </c>
      <c r="D7" s="77">
        <v>575.385722358061</v>
      </c>
      <c r="E7" s="77">
        <v>579.05576815399502</v>
      </c>
      <c r="F7" s="77">
        <v>594.02892955513801</v>
      </c>
      <c r="G7" s="77">
        <v>625.02609443625204</v>
      </c>
      <c r="H7" s="77">
        <v>660.49115433022598</v>
      </c>
      <c r="I7" s="77">
        <v>690.83850330849702</v>
      </c>
      <c r="J7" s="77">
        <v>699.78987661837596</v>
      </c>
      <c r="K7" s="77">
        <v>679.58257094233204</v>
      </c>
      <c r="L7" s="77">
        <v>659.62712675833097</v>
      </c>
      <c r="M7" s="77">
        <v>673.60511783543097</v>
      </c>
      <c r="N7" s="77">
        <v>700.29756106833895</v>
      </c>
      <c r="O7" s="77">
        <v>699.930635640177</v>
      </c>
      <c r="P7" s="77">
        <v>699.66810952873197</v>
      </c>
      <c r="Q7" s="77">
        <v>719.21383125915304</v>
      </c>
      <c r="R7" s="77">
        <v>741.30593202439297</v>
      </c>
      <c r="S7" s="77">
        <v>768.59936121142505</v>
      </c>
      <c r="T7" s="77">
        <v>788.36201808534804</v>
      </c>
      <c r="U7" s="77">
        <v>770.44304250341304</v>
      </c>
      <c r="V7" s="77">
        <v>786.84496391145603</v>
      </c>
      <c r="W7" s="77">
        <v>852.70487512526199</v>
      </c>
      <c r="X7" s="77">
        <v>896.90721505812598</v>
      </c>
      <c r="Y7" s="77">
        <v>915.44521518471299</v>
      </c>
      <c r="Z7" s="77">
        <v>931.67220543763301</v>
      </c>
      <c r="AA7" s="77">
        <v>916.34439469719598</v>
      </c>
      <c r="AB7" s="77">
        <v>899.32037074985897</v>
      </c>
      <c r="AC7" s="77">
        <v>915.99688351147802</v>
      </c>
      <c r="AD7" s="77">
        <v>917.186595410069</v>
      </c>
      <c r="AE7" s="77">
        <v>899.64921123935096</v>
      </c>
      <c r="AF7" s="77">
        <v>906.84637538053903</v>
      </c>
      <c r="AG7" s="77">
        <v>935.91273399649697</v>
      </c>
      <c r="AH7" s="77">
        <v>977.68317249020004</v>
      </c>
      <c r="AI7" s="77">
        <v>1034.5749258170699</v>
      </c>
      <c r="AJ7" s="77">
        <v>1075.67777546708</v>
      </c>
      <c r="AK7" s="77">
        <v>1106.9735950341201</v>
      </c>
      <c r="AL7" s="77">
        <v>1131.30633715247</v>
      </c>
      <c r="AM7" s="77">
        <v>1154.39957527346</v>
      </c>
    </row>
    <row r="8" spans="1:39" ht="17.100000000000001" customHeight="1" x14ac:dyDescent="0.2">
      <c r="A8" s="72" t="s">
        <v>2</v>
      </c>
      <c r="B8" s="77">
        <v>3262.43393638506</v>
      </c>
      <c r="C8" s="77">
        <v>3335.26026658306</v>
      </c>
      <c r="D8" s="77">
        <v>3445.8387034829798</v>
      </c>
      <c r="E8" s="77">
        <v>3529.9459848439601</v>
      </c>
      <c r="F8" s="77">
        <v>3574.7998362798598</v>
      </c>
      <c r="G8" s="77">
        <v>3597.6618787696998</v>
      </c>
      <c r="H8" s="77">
        <v>3615.8432459771302</v>
      </c>
      <c r="I8" s="77">
        <v>3589.5614569965001</v>
      </c>
      <c r="J8" s="77">
        <v>3575.8471850104802</v>
      </c>
      <c r="K8" s="77">
        <v>3611.3525478461402</v>
      </c>
      <c r="L8" s="77">
        <v>3679.78102436059</v>
      </c>
      <c r="M8" s="77">
        <v>3724.79578881305</v>
      </c>
      <c r="N8" s="77">
        <v>3749.3134870092099</v>
      </c>
      <c r="O8" s="77">
        <v>3825.5891149498998</v>
      </c>
      <c r="P8" s="77">
        <v>3966.4225089079</v>
      </c>
      <c r="Q8" s="77">
        <v>4097.17808806018</v>
      </c>
      <c r="R8" s="77">
        <v>4121.6821572017698</v>
      </c>
      <c r="S8" s="77">
        <v>4044.5544209753298</v>
      </c>
      <c r="T8" s="77">
        <v>3984.7990604132701</v>
      </c>
      <c r="U8" s="77">
        <v>3966.8530431631002</v>
      </c>
      <c r="V8" s="77">
        <v>3984.5389191721501</v>
      </c>
      <c r="W8" s="77">
        <v>4100.8320455719204</v>
      </c>
      <c r="X8" s="77">
        <v>4258.6116767848798</v>
      </c>
      <c r="Y8" s="77">
        <v>4435.7343194329997</v>
      </c>
      <c r="Z8" s="77">
        <v>4507.1351147405903</v>
      </c>
      <c r="AA8" s="77">
        <v>4411.3474261332804</v>
      </c>
      <c r="AB8" s="77">
        <v>4326.9767477958603</v>
      </c>
      <c r="AC8" s="77">
        <v>4342.4308290303798</v>
      </c>
      <c r="AD8" s="77">
        <v>4431.1763416569001</v>
      </c>
      <c r="AE8" s="77">
        <v>4549.8145671758102</v>
      </c>
      <c r="AF8" s="77">
        <v>4627.4998646147897</v>
      </c>
      <c r="AG8" s="77">
        <v>4702.6540221954201</v>
      </c>
      <c r="AH8" s="77">
        <v>4774.5389159872402</v>
      </c>
      <c r="AI8" s="77">
        <v>4802.2588809639101</v>
      </c>
      <c r="AJ8" s="77">
        <v>4782.8248552094101</v>
      </c>
      <c r="AK8" s="77">
        <v>4778.2087520692403</v>
      </c>
      <c r="AL8" s="77">
        <v>4870.7283355480304</v>
      </c>
      <c r="AM8" s="77">
        <v>5068.9499259182503</v>
      </c>
    </row>
    <row r="9" spans="1:39" ht="17.100000000000001" customHeight="1" x14ac:dyDescent="0.2">
      <c r="A9" s="72" t="s">
        <v>3</v>
      </c>
      <c r="B9" s="77">
        <v>803.55299789763899</v>
      </c>
      <c r="C9" s="77">
        <v>820.12360531513195</v>
      </c>
      <c r="D9" s="77">
        <v>835.87344139943002</v>
      </c>
      <c r="E9" s="77">
        <v>851.06839652228905</v>
      </c>
      <c r="F9" s="77">
        <v>866.06488261457002</v>
      </c>
      <c r="G9" s="77">
        <v>880.37119184000005</v>
      </c>
      <c r="H9" s="77">
        <v>893.42533508059296</v>
      </c>
      <c r="I9" s="77">
        <v>907.94117859183802</v>
      </c>
      <c r="J9" s="77">
        <v>924.628868438327</v>
      </c>
      <c r="K9" s="77">
        <v>942.06864993799695</v>
      </c>
      <c r="L9" s="77">
        <v>959.39861192954697</v>
      </c>
      <c r="M9" s="77">
        <v>978.34167976177696</v>
      </c>
      <c r="N9" s="77">
        <v>997.91298302164205</v>
      </c>
      <c r="O9" s="77">
        <v>1017.3040180295</v>
      </c>
      <c r="P9" s="77">
        <v>1036.5121204702</v>
      </c>
      <c r="Q9" s="77">
        <v>1054.34327282856</v>
      </c>
      <c r="R9" s="77">
        <v>1073.00321780388</v>
      </c>
      <c r="S9" s="77">
        <v>1094.2824704248701</v>
      </c>
      <c r="T9" s="77">
        <v>1117.37444598108</v>
      </c>
      <c r="U9" s="77">
        <v>1140.7639387070999</v>
      </c>
      <c r="V9" s="77">
        <v>1162.8269825284101</v>
      </c>
      <c r="W9" s="77">
        <v>1184.63342227932</v>
      </c>
      <c r="X9" s="77">
        <v>1209.13220431523</v>
      </c>
      <c r="Y9" s="77">
        <v>1236.83823315929</v>
      </c>
      <c r="Z9" s="77">
        <v>1264.40308728692</v>
      </c>
      <c r="AA9" s="77">
        <v>1289.89739052052</v>
      </c>
      <c r="AB9" s="77">
        <v>1313.78301732671</v>
      </c>
      <c r="AC9" s="77">
        <v>1337.81988883791</v>
      </c>
      <c r="AD9" s="77">
        <v>1364.03201407748</v>
      </c>
      <c r="AE9" s="77">
        <v>1392.3318692636001</v>
      </c>
      <c r="AF9" s="77">
        <v>1421.2592734279999</v>
      </c>
      <c r="AG9" s="77">
        <v>1450.1157829936201</v>
      </c>
      <c r="AH9" s="77">
        <v>1480.19802772858</v>
      </c>
      <c r="AI9" s="77">
        <v>1512.47472566636</v>
      </c>
      <c r="AJ9" s="77">
        <v>1546.7499963279799</v>
      </c>
      <c r="AK9" s="77">
        <v>1581.3848493780799</v>
      </c>
      <c r="AL9" s="77">
        <v>1616.4682724070799</v>
      </c>
      <c r="AM9" s="77">
        <v>1651.8116330954299</v>
      </c>
    </row>
    <row r="10" spans="1:39" ht="17.100000000000001" customHeight="1" x14ac:dyDescent="0.2">
      <c r="A10" s="72" t="s">
        <v>4</v>
      </c>
      <c r="B10" s="77">
        <v>4.0612309276939804</v>
      </c>
      <c r="C10" s="77">
        <v>4.1137115185366504</v>
      </c>
      <c r="D10" s="77">
        <v>4.1513994059541499</v>
      </c>
      <c r="E10" s="77">
        <v>4.1584741507470797</v>
      </c>
      <c r="F10" s="77">
        <v>4.0916717200812904</v>
      </c>
      <c r="G10" s="77">
        <v>4.0185315309556904</v>
      </c>
      <c r="H10" s="77">
        <v>4.0794671794027098</v>
      </c>
      <c r="I10" s="77">
        <v>4.2039396451551898</v>
      </c>
      <c r="J10" s="77">
        <v>4.2970910243233797</v>
      </c>
      <c r="K10" s="77">
        <v>4.3413184912684102</v>
      </c>
      <c r="L10" s="77">
        <v>4.5411853775058999</v>
      </c>
      <c r="M10" s="77">
        <v>4.8447885610443002</v>
      </c>
      <c r="N10" s="77">
        <v>5.0170853682684502</v>
      </c>
      <c r="O10" s="77">
        <v>4.8535724343215598</v>
      </c>
      <c r="P10" s="77">
        <v>4.5075072201134896</v>
      </c>
      <c r="Q10" s="77">
        <v>4.3633832339033303</v>
      </c>
      <c r="R10" s="77">
        <v>4.5656338912779804</v>
      </c>
      <c r="S10" s="77">
        <v>4.8931766007218203</v>
      </c>
      <c r="T10" s="77">
        <v>5.0628640119256199</v>
      </c>
      <c r="U10" s="77">
        <v>5.0606881164219697</v>
      </c>
      <c r="V10" s="77">
        <v>4.9681141894372596</v>
      </c>
      <c r="W10" s="77">
        <v>5.02355962482455</v>
      </c>
      <c r="X10" s="77">
        <v>5.1537173529834899</v>
      </c>
      <c r="Y10" s="77">
        <v>5.1839636882632298</v>
      </c>
      <c r="Z10" s="77">
        <v>5.15093296821198</v>
      </c>
      <c r="AA10" s="77">
        <v>5.1686735153492203</v>
      </c>
      <c r="AB10" s="77">
        <v>5.1882584033108801</v>
      </c>
      <c r="AC10" s="77">
        <v>5.2451057271413504</v>
      </c>
      <c r="AD10" s="77">
        <v>5.4095824220494801</v>
      </c>
      <c r="AE10" s="77">
        <v>5.55129456861322</v>
      </c>
      <c r="AF10" s="77">
        <v>5.62258279402075</v>
      </c>
      <c r="AG10" s="77">
        <v>5.6686382940010001</v>
      </c>
      <c r="AH10" s="77">
        <v>5.6086299186494504</v>
      </c>
      <c r="AI10" s="77">
        <v>5.5166149348069897</v>
      </c>
      <c r="AJ10" s="77">
        <v>5.4772842576626104</v>
      </c>
      <c r="AK10" s="77">
        <v>5.3912296325615197</v>
      </c>
      <c r="AL10" s="77">
        <v>5.3255614329751904</v>
      </c>
      <c r="AM10" s="77">
        <v>5.3648882135871503</v>
      </c>
    </row>
    <row r="11" spans="1:39" ht="17.100000000000001" customHeight="1" x14ac:dyDescent="0.2">
      <c r="A11" s="72" t="s">
        <v>5</v>
      </c>
      <c r="B11" s="77">
        <v>978.97088583969503</v>
      </c>
      <c r="C11" s="77">
        <v>987.13301613380804</v>
      </c>
      <c r="D11" s="77">
        <v>1004.01072030213</v>
      </c>
      <c r="E11" s="77">
        <v>1019.8796609034</v>
      </c>
      <c r="F11" s="77">
        <v>1015.26104476047</v>
      </c>
      <c r="G11" s="77">
        <v>1014.11541519732</v>
      </c>
      <c r="H11" s="77">
        <v>1036.57006583769</v>
      </c>
      <c r="I11" s="77">
        <v>1061.3162824518899</v>
      </c>
      <c r="J11" s="77">
        <v>1067.0103126797401</v>
      </c>
      <c r="K11" s="77">
        <v>1061.14016776994</v>
      </c>
      <c r="L11" s="77">
        <v>1067.09173954419</v>
      </c>
      <c r="M11" s="77">
        <v>1087.2516577089</v>
      </c>
      <c r="N11" s="77">
        <v>1113.9876175121799</v>
      </c>
      <c r="O11" s="77">
        <v>1118.93477295657</v>
      </c>
      <c r="P11" s="77">
        <v>1102.27520197166</v>
      </c>
      <c r="Q11" s="77">
        <v>1089.6564394980201</v>
      </c>
      <c r="R11" s="77">
        <v>1110.2067856076301</v>
      </c>
      <c r="S11" s="77">
        <v>1141.2018047635499</v>
      </c>
      <c r="T11" s="77">
        <v>1151.6433824666501</v>
      </c>
      <c r="U11" s="77">
        <v>1142.6549012078401</v>
      </c>
      <c r="V11" s="77">
        <v>1134.9624701422899</v>
      </c>
      <c r="W11" s="77">
        <v>1156.67526807582</v>
      </c>
      <c r="X11" s="77">
        <v>1193.24008258611</v>
      </c>
      <c r="Y11" s="77">
        <v>1201.1238144566901</v>
      </c>
      <c r="Z11" s="77">
        <v>1185.92853146271</v>
      </c>
      <c r="AA11" s="77">
        <v>1202.0819048666999</v>
      </c>
      <c r="AB11" s="77">
        <v>1229.13430038405</v>
      </c>
      <c r="AC11" s="77">
        <v>1237.9809467253799</v>
      </c>
      <c r="AD11" s="77">
        <v>1234.22544566333</v>
      </c>
      <c r="AE11" s="77">
        <v>1234.7072962657701</v>
      </c>
      <c r="AF11" s="77">
        <v>1246.6906450430099</v>
      </c>
      <c r="AG11" s="77">
        <v>1270.09724787235</v>
      </c>
      <c r="AH11" s="77">
        <v>1288.8523727679501</v>
      </c>
      <c r="AI11" s="77">
        <v>1282.63445631326</v>
      </c>
      <c r="AJ11" s="77">
        <v>1283.3617010749699</v>
      </c>
      <c r="AK11" s="77">
        <v>1324.60491819661</v>
      </c>
      <c r="AL11" s="77">
        <v>1376.7990102840199</v>
      </c>
      <c r="AM11" s="77">
        <v>1407.8688799384199</v>
      </c>
    </row>
    <row r="12" spans="1:39" s="101" customFormat="1" ht="17.100000000000001" customHeight="1" x14ac:dyDescent="0.2">
      <c r="A12" s="72" t="s">
        <v>6</v>
      </c>
      <c r="B12" s="77">
        <v>576.43978069859702</v>
      </c>
      <c r="C12" s="77">
        <v>566.76803816346603</v>
      </c>
      <c r="D12" s="77">
        <v>542.17854067875896</v>
      </c>
      <c r="E12" s="77">
        <v>493.22922909676299</v>
      </c>
      <c r="F12" s="77">
        <v>438.12092380587598</v>
      </c>
      <c r="G12" s="77">
        <v>389.45405290433303</v>
      </c>
      <c r="H12" s="77">
        <v>382.21027797504701</v>
      </c>
      <c r="I12" s="77">
        <v>426.13120133051001</v>
      </c>
      <c r="J12" s="77">
        <v>490.86707287816898</v>
      </c>
      <c r="K12" s="77">
        <v>553.38508275025197</v>
      </c>
      <c r="L12" s="77">
        <v>603.56371446459298</v>
      </c>
      <c r="M12" s="77">
        <v>624.69069621520305</v>
      </c>
      <c r="N12" s="77">
        <v>611.44715411548395</v>
      </c>
      <c r="O12" s="77">
        <v>580.58307905706602</v>
      </c>
      <c r="P12" s="77">
        <v>542.37870069515202</v>
      </c>
      <c r="Q12" s="77">
        <v>533.79562535502703</v>
      </c>
      <c r="R12" s="77">
        <v>551.02111782198597</v>
      </c>
      <c r="S12" s="77">
        <v>542.41337647711305</v>
      </c>
      <c r="T12" s="77">
        <v>498.60607108659298</v>
      </c>
      <c r="U12" s="77">
        <v>473.14101175574899</v>
      </c>
      <c r="V12" s="77">
        <v>479.156410030958</v>
      </c>
      <c r="W12" s="77">
        <v>484.74998580477398</v>
      </c>
      <c r="X12" s="77">
        <v>489.52843207935001</v>
      </c>
      <c r="Y12" s="77">
        <v>508.75811385241502</v>
      </c>
      <c r="Z12" s="77">
        <v>546.183613258538</v>
      </c>
      <c r="AA12" s="77">
        <v>570.59034778607702</v>
      </c>
      <c r="AB12" s="77">
        <v>549.655976279519</v>
      </c>
      <c r="AC12" s="77">
        <v>494.96559898395299</v>
      </c>
      <c r="AD12" s="77">
        <v>463.46085460786298</v>
      </c>
      <c r="AE12" s="77">
        <v>493.30595519338499</v>
      </c>
      <c r="AF12" s="77">
        <v>548.92874710391902</v>
      </c>
      <c r="AG12" s="77">
        <v>569.987720114544</v>
      </c>
      <c r="AH12" s="77">
        <v>559.90340080542603</v>
      </c>
      <c r="AI12" s="77">
        <v>567.85192078745604</v>
      </c>
      <c r="AJ12" s="77">
        <v>589.82920718618095</v>
      </c>
      <c r="AK12" s="77">
        <v>593.72241593876697</v>
      </c>
      <c r="AL12" s="77">
        <v>595.37456135799698</v>
      </c>
      <c r="AM12" s="77">
        <v>609.08164948906199</v>
      </c>
    </row>
    <row r="13" spans="1:39" s="136" customFormat="1" ht="17.100000000000001" customHeight="1" x14ac:dyDescent="0.2">
      <c r="A13" s="133" t="s">
        <v>93</v>
      </c>
      <c r="B13" s="134">
        <v>6791.0364055990331</v>
      </c>
      <c r="C13" s="134">
        <v>7077.7310373825949</v>
      </c>
      <c r="D13" s="134">
        <v>7200.1739886510622</v>
      </c>
      <c r="E13" s="134">
        <v>7178.8761954278307</v>
      </c>
      <c r="F13" s="134">
        <v>7145.5379504905277</v>
      </c>
      <c r="G13" s="134">
        <v>7259.2795457075063</v>
      </c>
      <c r="H13" s="134">
        <v>7489.9210147019612</v>
      </c>
      <c r="I13" s="134">
        <v>7702.2801920186675</v>
      </c>
      <c r="J13" s="134">
        <v>7816.3296261090254</v>
      </c>
      <c r="K13" s="134">
        <v>7986.6672497778827</v>
      </c>
      <c r="L13" s="134">
        <v>8177.1600680950778</v>
      </c>
      <c r="M13" s="134">
        <v>8347.9342586951389</v>
      </c>
      <c r="N13" s="134">
        <v>8583.3599714398206</v>
      </c>
      <c r="O13" s="134">
        <v>8719.0966538839184</v>
      </c>
      <c r="P13" s="134">
        <v>8659.4439368855838</v>
      </c>
      <c r="Q13" s="134">
        <v>8631.8724141451821</v>
      </c>
      <c r="R13" s="134">
        <v>8675.9396848380475</v>
      </c>
      <c r="S13" s="134">
        <v>8693.6963239125089</v>
      </c>
      <c r="T13" s="134">
        <v>8724.2683449703272</v>
      </c>
      <c r="U13" s="134">
        <v>8713.2737045198846</v>
      </c>
      <c r="V13" s="134">
        <v>8889.5175245068422</v>
      </c>
      <c r="W13" s="134">
        <v>9198.4025898767541</v>
      </c>
      <c r="X13" s="134">
        <v>9353.5156395497779</v>
      </c>
      <c r="Y13" s="134">
        <v>9306.4882821582596</v>
      </c>
      <c r="Z13" s="134">
        <v>9263.2890267630082</v>
      </c>
      <c r="AA13" s="134">
        <v>9216.4137831703483</v>
      </c>
      <c r="AB13" s="134">
        <v>9447.544401947318</v>
      </c>
      <c r="AC13" s="134">
        <v>9800.8344196697817</v>
      </c>
      <c r="AD13" s="134">
        <v>9860.4727919300567</v>
      </c>
      <c r="AE13" s="134">
        <v>9788.7520852514372</v>
      </c>
      <c r="AF13" s="134">
        <v>9945.4832819435942</v>
      </c>
      <c r="AG13" s="134">
        <v>10259.870633778217</v>
      </c>
      <c r="AH13" s="134">
        <v>10474.647886841474</v>
      </c>
      <c r="AI13" s="134">
        <v>10592.302950120749</v>
      </c>
      <c r="AJ13" s="134">
        <v>10632.773502781756</v>
      </c>
      <c r="AK13" s="134">
        <v>10784.477608730196</v>
      </c>
      <c r="AL13" s="134">
        <v>11190.244332138094</v>
      </c>
      <c r="AM13" s="134">
        <v>11740.477291681029</v>
      </c>
    </row>
    <row r="14" spans="1:39" ht="17.100000000000001" customHeight="1" x14ac:dyDescent="0.2">
      <c r="A14" s="72" t="s">
        <v>8</v>
      </c>
      <c r="B14" s="77">
        <v>281.36408137305602</v>
      </c>
      <c r="C14" s="77">
        <v>330.76919005902801</v>
      </c>
      <c r="D14" s="77">
        <v>357.75505683542002</v>
      </c>
      <c r="E14" s="77">
        <v>354.83967048944402</v>
      </c>
      <c r="F14" s="77">
        <v>315.41159906621903</v>
      </c>
      <c r="G14" s="77">
        <v>278.03988513622801</v>
      </c>
      <c r="H14" s="77">
        <v>318.08631612922397</v>
      </c>
      <c r="I14" s="77">
        <v>377.89313624547299</v>
      </c>
      <c r="J14" s="77">
        <v>363.87049519325598</v>
      </c>
      <c r="K14" s="77">
        <v>357.20081109845302</v>
      </c>
      <c r="L14" s="77">
        <v>386.54092847952501</v>
      </c>
      <c r="M14" s="77">
        <v>401.993719256877</v>
      </c>
      <c r="N14" s="77">
        <v>435.349125823468</v>
      </c>
      <c r="O14" s="77">
        <v>509.25741286543803</v>
      </c>
      <c r="P14" s="77">
        <v>499.21952842892802</v>
      </c>
      <c r="Q14" s="77">
        <v>503.107737184217</v>
      </c>
      <c r="R14" s="77">
        <v>544.95893283005501</v>
      </c>
      <c r="S14" s="77">
        <v>518.71869886405102</v>
      </c>
      <c r="T14" s="77">
        <v>418.82279821603299</v>
      </c>
      <c r="U14" s="77">
        <v>353.68605908679598</v>
      </c>
      <c r="V14" s="77">
        <v>436.75700899292201</v>
      </c>
      <c r="W14" s="77">
        <v>595.70646507689401</v>
      </c>
      <c r="X14" s="77">
        <v>692.57773909492698</v>
      </c>
      <c r="Y14" s="77">
        <v>626.66511501587297</v>
      </c>
      <c r="Z14" s="77">
        <v>467.446864033179</v>
      </c>
      <c r="AA14" s="77">
        <v>349.71097550579202</v>
      </c>
      <c r="AB14" s="77">
        <v>604.15823216729405</v>
      </c>
      <c r="AC14" s="77">
        <v>918.17026321774301</v>
      </c>
      <c r="AD14" s="77">
        <v>905.22775462803997</v>
      </c>
      <c r="AE14" s="77">
        <v>679.55804334453796</v>
      </c>
      <c r="AF14" s="77">
        <v>538.76094852192603</v>
      </c>
      <c r="AG14" s="77">
        <v>552.22133659994597</v>
      </c>
      <c r="AH14" s="77">
        <v>689.30255526799101</v>
      </c>
      <c r="AI14" s="77">
        <v>734.76867479692896</v>
      </c>
      <c r="AJ14" s="77">
        <v>546.94569792065295</v>
      </c>
      <c r="AK14" s="77">
        <v>453.09985053270799</v>
      </c>
      <c r="AL14" s="77">
        <v>644.61012399050696</v>
      </c>
      <c r="AM14" s="77">
        <v>943.91648122602805</v>
      </c>
    </row>
    <row r="15" spans="1:39" ht="17.100000000000001" customHeight="1" x14ac:dyDescent="0.2">
      <c r="A15" s="42" t="s">
        <v>9</v>
      </c>
      <c r="B15" s="77">
        <v>4044.8539340399202</v>
      </c>
      <c r="C15" s="77">
        <v>4210.8977016645003</v>
      </c>
      <c r="D15" s="77">
        <v>4309.0429031557296</v>
      </c>
      <c r="E15" s="77">
        <v>4295.6072084491998</v>
      </c>
      <c r="F15" s="77">
        <v>4267.91298239552</v>
      </c>
      <c r="G15" s="77">
        <v>4350.3054955407497</v>
      </c>
      <c r="H15" s="77">
        <v>4457.2282488743904</v>
      </c>
      <c r="I15" s="77">
        <v>4535.3210081520501</v>
      </c>
      <c r="J15" s="77">
        <v>4605.4107866061904</v>
      </c>
      <c r="K15" s="77">
        <v>4715.05540608928</v>
      </c>
      <c r="L15" s="77">
        <v>4798.8971287465702</v>
      </c>
      <c r="M15" s="77">
        <v>4909.9825112258204</v>
      </c>
      <c r="N15" s="77">
        <v>5081.2138804791603</v>
      </c>
      <c r="O15" s="77">
        <v>5101.7609081946703</v>
      </c>
      <c r="P15" s="77">
        <v>5022.7249058188199</v>
      </c>
      <c r="Q15" s="77">
        <v>4988.4422487450402</v>
      </c>
      <c r="R15" s="77">
        <v>4938.8864463191403</v>
      </c>
      <c r="S15" s="77">
        <v>4874.6489556634597</v>
      </c>
      <c r="T15" s="77">
        <v>4913.62868714868</v>
      </c>
      <c r="U15" s="77">
        <v>4914.9471436239401</v>
      </c>
      <c r="V15" s="77">
        <v>4978.9995605918202</v>
      </c>
      <c r="W15" s="77">
        <v>5167.2241191994599</v>
      </c>
      <c r="X15" s="77">
        <v>5307.0854173732196</v>
      </c>
      <c r="Y15" s="77">
        <v>5292.3499504818701</v>
      </c>
      <c r="Z15" s="77">
        <v>5294.0609592945302</v>
      </c>
      <c r="AA15" s="77">
        <v>5301.4267836989702</v>
      </c>
      <c r="AB15" s="77">
        <v>5244.2992424680697</v>
      </c>
      <c r="AC15" s="77">
        <v>5229.2382299299297</v>
      </c>
      <c r="AD15" s="77">
        <v>5264.7773554945497</v>
      </c>
      <c r="AE15" s="77">
        <v>5333.1716083929196</v>
      </c>
      <c r="AF15" s="77">
        <v>5502.6746025438197</v>
      </c>
      <c r="AG15" s="77">
        <v>5733.9353467444998</v>
      </c>
      <c r="AH15" s="77">
        <v>5789.0767541619098</v>
      </c>
      <c r="AI15" s="77">
        <v>5746.7223479474997</v>
      </c>
      <c r="AJ15" s="77">
        <v>5790.9648344212301</v>
      </c>
      <c r="AK15" s="77">
        <v>5933.9979196242302</v>
      </c>
      <c r="AL15" s="77">
        <v>6085.7624210757504</v>
      </c>
      <c r="AM15" s="77">
        <v>6237.9066249727503</v>
      </c>
    </row>
    <row r="16" spans="1:39" ht="17.100000000000001" customHeight="1" x14ac:dyDescent="0.2">
      <c r="A16" s="42" t="s">
        <v>10</v>
      </c>
      <c r="B16" s="77">
        <v>329.43074072354199</v>
      </c>
      <c r="C16" s="77">
        <v>340.19575355738999</v>
      </c>
      <c r="D16" s="77">
        <v>351.74221406373698</v>
      </c>
      <c r="E16" s="77">
        <v>359.08073085087898</v>
      </c>
      <c r="F16" s="77">
        <v>363.63248571054999</v>
      </c>
      <c r="G16" s="77">
        <v>365.99964904160601</v>
      </c>
      <c r="H16" s="77">
        <v>363.84415842964103</v>
      </c>
      <c r="I16" s="77">
        <v>361.29607692861401</v>
      </c>
      <c r="J16" s="77">
        <v>362.078811312938</v>
      </c>
      <c r="K16" s="77">
        <v>365.27726548536702</v>
      </c>
      <c r="L16" s="77">
        <v>372.997308606952</v>
      </c>
      <c r="M16" s="77">
        <v>389.369227196971</v>
      </c>
      <c r="N16" s="77">
        <v>407.54982143975201</v>
      </c>
      <c r="O16" s="77">
        <v>422.75633853224099</v>
      </c>
      <c r="P16" s="77">
        <v>433.85250679314601</v>
      </c>
      <c r="Q16" s="77">
        <v>440.83509868653601</v>
      </c>
      <c r="R16" s="77">
        <v>447.88188433826201</v>
      </c>
      <c r="S16" s="77">
        <v>458.17998752187299</v>
      </c>
      <c r="T16" s="77">
        <v>468.01598539666901</v>
      </c>
      <c r="U16" s="77">
        <v>471.49498389864198</v>
      </c>
      <c r="V16" s="77">
        <v>471.58804261993799</v>
      </c>
      <c r="W16" s="77">
        <v>473.04232973882</v>
      </c>
      <c r="X16" s="77">
        <v>477.37492192072102</v>
      </c>
      <c r="Y16" s="77">
        <v>483.96178151012202</v>
      </c>
      <c r="Z16" s="77">
        <v>496.52112981732802</v>
      </c>
      <c r="AA16" s="77">
        <v>509.95114820127901</v>
      </c>
      <c r="AB16" s="77">
        <v>521.66478633936094</v>
      </c>
      <c r="AC16" s="77">
        <v>535.93932829939797</v>
      </c>
      <c r="AD16" s="77">
        <v>549.12608470784699</v>
      </c>
      <c r="AE16" s="77">
        <v>557.42488419370704</v>
      </c>
      <c r="AF16" s="77">
        <v>563.79776798216801</v>
      </c>
      <c r="AG16" s="77">
        <v>573.58402287912497</v>
      </c>
      <c r="AH16" s="77">
        <v>589.51218461202905</v>
      </c>
      <c r="AI16" s="77">
        <v>613.87557458265201</v>
      </c>
      <c r="AJ16" s="77">
        <v>642.51888059596695</v>
      </c>
      <c r="AK16" s="77">
        <v>665.64600912580602</v>
      </c>
      <c r="AL16" s="77">
        <v>675.72283031419295</v>
      </c>
      <c r="AM16" s="77">
        <v>680.91247601238399</v>
      </c>
    </row>
    <row r="17" spans="1:39" ht="17.100000000000001" customHeight="1" x14ac:dyDescent="0.2">
      <c r="A17" s="42" t="s">
        <v>11</v>
      </c>
      <c r="B17" s="77">
        <v>631.951451295585</v>
      </c>
      <c r="C17" s="77">
        <v>640.98747393926601</v>
      </c>
      <c r="D17" s="77">
        <v>648.95878523548504</v>
      </c>
      <c r="E17" s="77">
        <v>655.55077979588702</v>
      </c>
      <c r="F17" s="77">
        <v>661.25590848114803</v>
      </c>
      <c r="G17" s="77">
        <v>666.72219842061304</v>
      </c>
      <c r="H17" s="77">
        <v>673.35814856308696</v>
      </c>
      <c r="I17" s="77">
        <v>681.01876828141997</v>
      </c>
      <c r="J17" s="77">
        <v>689.89983549573003</v>
      </c>
      <c r="K17" s="77">
        <v>698.42592978731204</v>
      </c>
      <c r="L17" s="77">
        <v>706.37059184383997</v>
      </c>
      <c r="M17" s="77">
        <v>713.54075670202099</v>
      </c>
      <c r="N17" s="77">
        <v>719.71302960724995</v>
      </c>
      <c r="O17" s="77">
        <v>726.35734102237996</v>
      </c>
      <c r="P17" s="77">
        <v>734.26755246243897</v>
      </c>
      <c r="Q17" s="77">
        <v>742.73286449999</v>
      </c>
      <c r="R17" s="77">
        <v>751.72791473483005</v>
      </c>
      <c r="S17" s="77">
        <v>760.87157389977494</v>
      </c>
      <c r="T17" s="77">
        <v>769.69987792150505</v>
      </c>
      <c r="U17" s="77">
        <v>781.10856359435604</v>
      </c>
      <c r="V17" s="77">
        <v>795.558251921752</v>
      </c>
      <c r="W17" s="77">
        <v>809.52534776554</v>
      </c>
      <c r="X17" s="77">
        <v>820.73665290086001</v>
      </c>
      <c r="Y17" s="77">
        <v>828.430604508334</v>
      </c>
      <c r="Z17" s="77">
        <v>833.99438782338098</v>
      </c>
      <c r="AA17" s="77">
        <v>841.53755381391704</v>
      </c>
      <c r="AB17" s="77">
        <v>852.34489744125403</v>
      </c>
      <c r="AC17" s="77">
        <v>864.67669372599198</v>
      </c>
      <c r="AD17" s="77">
        <v>876.60179475495897</v>
      </c>
      <c r="AE17" s="77">
        <v>887.26488509495198</v>
      </c>
      <c r="AF17" s="77">
        <v>897.03536687409996</v>
      </c>
      <c r="AG17" s="77">
        <v>905.38088571796698</v>
      </c>
      <c r="AH17" s="77">
        <v>910.67177652612497</v>
      </c>
      <c r="AI17" s="77">
        <v>914.32059705641905</v>
      </c>
      <c r="AJ17" s="77">
        <v>918.42877962673697</v>
      </c>
      <c r="AK17" s="77">
        <v>924.43775613182197</v>
      </c>
      <c r="AL17" s="77">
        <v>933.80254540154499</v>
      </c>
      <c r="AM17" s="77">
        <v>944.47400332567702</v>
      </c>
    </row>
    <row r="18" spans="1:39" ht="17.100000000000001" customHeight="1" x14ac:dyDescent="0.2">
      <c r="A18" s="72" t="s">
        <v>12</v>
      </c>
      <c r="B18" s="77">
        <v>1503.4361981669299</v>
      </c>
      <c r="C18" s="77">
        <v>1554.8809181624099</v>
      </c>
      <c r="D18" s="77">
        <v>1532.6750293606899</v>
      </c>
      <c r="E18" s="77">
        <v>1513.7978058424201</v>
      </c>
      <c r="F18" s="77">
        <v>1537.3249748370899</v>
      </c>
      <c r="G18" s="77">
        <v>1598.21231756831</v>
      </c>
      <c r="H18" s="77">
        <v>1677.40414270562</v>
      </c>
      <c r="I18" s="77">
        <v>1746.7512024111099</v>
      </c>
      <c r="J18" s="77">
        <v>1795.06969750091</v>
      </c>
      <c r="K18" s="77">
        <v>1850.70783731747</v>
      </c>
      <c r="L18" s="77">
        <v>1912.35411041819</v>
      </c>
      <c r="M18" s="77">
        <v>1933.04804431345</v>
      </c>
      <c r="N18" s="77">
        <v>1939.5341140901901</v>
      </c>
      <c r="O18" s="77">
        <v>1958.96465326919</v>
      </c>
      <c r="P18" s="77">
        <v>1969.37944338225</v>
      </c>
      <c r="Q18" s="77">
        <v>1956.7544650294001</v>
      </c>
      <c r="R18" s="77">
        <v>1992.48450661576</v>
      </c>
      <c r="S18" s="77">
        <v>2081.2771079633499</v>
      </c>
      <c r="T18" s="77">
        <v>2154.10099628744</v>
      </c>
      <c r="U18" s="77">
        <v>2192.0369543161501</v>
      </c>
      <c r="V18" s="77">
        <v>2206.61466038041</v>
      </c>
      <c r="W18" s="77">
        <v>2152.90432809604</v>
      </c>
      <c r="X18" s="77">
        <v>2055.7409082600502</v>
      </c>
      <c r="Y18" s="77">
        <v>2075.0808306420599</v>
      </c>
      <c r="Z18" s="77">
        <v>2171.2656857945899</v>
      </c>
      <c r="AA18" s="77">
        <v>2213.7873219503899</v>
      </c>
      <c r="AB18" s="77">
        <v>2225.0772435313402</v>
      </c>
      <c r="AC18" s="77">
        <v>2252.8099044967198</v>
      </c>
      <c r="AD18" s="77">
        <v>2264.7398023446599</v>
      </c>
      <c r="AE18" s="77">
        <v>2331.3326642253201</v>
      </c>
      <c r="AF18" s="77">
        <v>2443.2145960215798</v>
      </c>
      <c r="AG18" s="77">
        <v>2494.7490418366801</v>
      </c>
      <c r="AH18" s="77">
        <v>2496.0846162734201</v>
      </c>
      <c r="AI18" s="77">
        <v>2582.6157557372499</v>
      </c>
      <c r="AJ18" s="77">
        <v>2733.9153102171699</v>
      </c>
      <c r="AK18" s="77">
        <v>2807.2960733156301</v>
      </c>
      <c r="AL18" s="77">
        <v>2850.3464113560999</v>
      </c>
      <c r="AM18" s="77">
        <v>2933.26770614419</v>
      </c>
    </row>
    <row r="19" spans="1:39" s="136" customFormat="1" ht="17.100000000000001" customHeight="1" x14ac:dyDescent="0.2">
      <c r="A19" s="133" t="s">
        <v>94</v>
      </c>
      <c r="B19" s="134">
        <v>11589.54227917529</v>
      </c>
      <c r="C19" s="134">
        <v>11612.455541565081</v>
      </c>
      <c r="D19" s="134">
        <v>11823.783178198035</v>
      </c>
      <c r="E19" s="134">
        <v>12175.713967554686</v>
      </c>
      <c r="F19" s="134">
        <v>12522.111477962892</v>
      </c>
      <c r="G19" s="134">
        <v>12757.820607062566</v>
      </c>
      <c r="H19" s="134">
        <v>12896.903748034598</v>
      </c>
      <c r="I19" s="134">
        <v>13088.897437921845</v>
      </c>
      <c r="J19" s="134">
        <v>13295.48077538088</v>
      </c>
      <c r="K19" s="134">
        <v>13447.92226624216</v>
      </c>
      <c r="L19" s="134">
        <v>13578.028035003494</v>
      </c>
      <c r="M19" s="134">
        <v>13877.967967005878</v>
      </c>
      <c r="N19" s="134">
        <v>14239.942663859802</v>
      </c>
      <c r="O19" s="134">
        <v>14349.331172825336</v>
      </c>
      <c r="P19" s="134">
        <v>13984.68633285053</v>
      </c>
      <c r="Q19" s="134">
        <v>13745.470626992228</v>
      </c>
      <c r="R19" s="134">
        <v>13790.337241998173</v>
      </c>
      <c r="S19" s="134">
        <v>14083.848438345687</v>
      </c>
      <c r="T19" s="134">
        <v>14424.046920421088</v>
      </c>
      <c r="U19" s="134">
        <v>14513.375721347547</v>
      </c>
      <c r="V19" s="134">
        <v>14468.768351111103</v>
      </c>
      <c r="W19" s="134">
        <v>14713.63529963673</v>
      </c>
      <c r="X19" s="134">
        <v>14970.42455606383</v>
      </c>
      <c r="Y19" s="134">
        <v>14975.687071140128</v>
      </c>
      <c r="Z19" s="134">
        <v>15218.230891592973</v>
      </c>
      <c r="AA19" s="134">
        <v>15479.820052737532</v>
      </c>
      <c r="AB19" s="134">
        <v>15701.17825117481</v>
      </c>
      <c r="AC19" s="134">
        <v>15943.639896464805</v>
      </c>
      <c r="AD19" s="134">
        <v>16194.829240215529</v>
      </c>
      <c r="AE19" s="134">
        <v>16336.623327154706</v>
      </c>
      <c r="AF19" s="134">
        <v>16815.867288184621</v>
      </c>
      <c r="AG19" s="134">
        <v>17245.55636466921</v>
      </c>
      <c r="AH19" s="134">
        <v>17370.262330648078</v>
      </c>
      <c r="AI19" s="134">
        <v>17488.209343528284</v>
      </c>
      <c r="AJ19" s="134">
        <v>17789.050209808109</v>
      </c>
      <c r="AK19" s="134">
        <v>18148.77098219276</v>
      </c>
      <c r="AL19" s="134">
        <v>18347.572258549259</v>
      </c>
      <c r="AM19" s="134">
        <v>18470.603833914192</v>
      </c>
    </row>
    <row r="20" spans="1:39" ht="17.100000000000001" customHeight="1" x14ac:dyDescent="0.2">
      <c r="A20" s="78" t="s">
        <v>52</v>
      </c>
      <c r="B20" s="77">
        <v>2393.0554820115499</v>
      </c>
      <c r="C20" s="77">
        <v>2415.0281008177999</v>
      </c>
      <c r="D20" s="77">
        <v>2484.9908342052199</v>
      </c>
      <c r="E20" s="77">
        <v>2534.6990400152599</v>
      </c>
      <c r="F20" s="77">
        <v>2575.9382452999698</v>
      </c>
      <c r="G20" s="77">
        <v>2634.8771534448401</v>
      </c>
      <c r="H20" s="77">
        <v>2676.8205805226598</v>
      </c>
      <c r="I20" s="77">
        <v>2704.25235271667</v>
      </c>
      <c r="J20" s="77">
        <v>2733.83171749651</v>
      </c>
      <c r="K20" s="77">
        <v>2769.0807800255602</v>
      </c>
      <c r="L20" s="77">
        <v>2782.7483014838399</v>
      </c>
      <c r="M20" s="77">
        <v>2814.81960725102</v>
      </c>
      <c r="N20" s="77">
        <v>2865.7523214932799</v>
      </c>
      <c r="O20" s="77">
        <v>2865.2318682486798</v>
      </c>
      <c r="P20" s="77">
        <v>2746.9430322901799</v>
      </c>
      <c r="Q20" s="77">
        <v>2657.574341345</v>
      </c>
      <c r="R20" s="77">
        <v>2651.1695493572402</v>
      </c>
      <c r="S20" s="77">
        <v>2668.4245145457699</v>
      </c>
      <c r="T20" s="77">
        <v>2691.0265634858501</v>
      </c>
      <c r="U20" s="77">
        <v>2679.5111128659</v>
      </c>
      <c r="V20" s="77">
        <v>2686.1716423817602</v>
      </c>
      <c r="W20" s="77">
        <v>2788.94785098077</v>
      </c>
      <c r="X20" s="77">
        <v>2905.3545819331298</v>
      </c>
      <c r="Y20" s="77">
        <v>2874.1471218433499</v>
      </c>
      <c r="Z20" s="77">
        <v>2828.5188797534202</v>
      </c>
      <c r="AA20" s="77">
        <v>2850.0341526326001</v>
      </c>
      <c r="AB20" s="77">
        <v>2949.7680233547799</v>
      </c>
      <c r="AC20" s="77">
        <v>3062.3997684841102</v>
      </c>
      <c r="AD20" s="77">
        <v>3139.5972404992399</v>
      </c>
      <c r="AE20" s="77">
        <v>3146.6991736632399</v>
      </c>
      <c r="AF20" s="77">
        <v>3194.8187604792602</v>
      </c>
      <c r="AG20" s="77">
        <v>3319.89483794339</v>
      </c>
      <c r="AH20" s="77">
        <v>3411.8029792001998</v>
      </c>
      <c r="AI20" s="77">
        <v>3450.24208874228</v>
      </c>
      <c r="AJ20" s="77">
        <v>3491.0733577299702</v>
      </c>
      <c r="AK20" s="77">
        <v>3582.09918848291</v>
      </c>
      <c r="AL20" s="77">
        <v>3615.7732423688699</v>
      </c>
      <c r="AM20" s="77">
        <v>3617.3334954034399</v>
      </c>
    </row>
    <row r="21" spans="1:39" ht="17.100000000000001" customHeight="1" x14ac:dyDescent="0.2">
      <c r="A21" s="78" t="s">
        <v>53</v>
      </c>
      <c r="B21" s="77">
        <v>878.17605034559597</v>
      </c>
      <c r="C21" s="77">
        <v>889.48409943550496</v>
      </c>
      <c r="D21" s="77">
        <v>910.02366538324202</v>
      </c>
      <c r="E21" s="77">
        <v>942.74962959939899</v>
      </c>
      <c r="F21" s="77">
        <v>976.49446788120599</v>
      </c>
      <c r="G21" s="77">
        <v>998.38400340958299</v>
      </c>
      <c r="H21" s="77">
        <v>1018.31865292217</v>
      </c>
      <c r="I21" s="77">
        <v>1027.9960946651499</v>
      </c>
      <c r="J21" s="77">
        <v>1017.86792540964</v>
      </c>
      <c r="K21" s="77">
        <v>1003.89019220451</v>
      </c>
      <c r="L21" s="77">
        <v>1008.76675446858</v>
      </c>
      <c r="M21" s="77">
        <v>1037.8634458403101</v>
      </c>
      <c r="N21" s="77">
        <v>1053.2821333199199</v>
      </c>
      <c r="O21" s="77">
        <v>1025.1157461734399</v>
      </c>
      <c r="P21" s="77">
        <v>968.43404654243398</v>
      </c>
      <c r="Q21" s="77">
        <v>959.16852607698604</v>
      </c>
      <c r="R21" s="77">
        <v>982.71957763435796</v>
      </c>
      <c r="S21" s="77">
        <v>990.32424621069595</v>
      </c>
      <c r="T21" s="77">
        <v>989.09078067299004</v>
      </c>
      <c r="U21" s="77">
        <v>980.55204087497202</v>
      </c>
      <c r="V21" s="77">
        <v>954.12865596601603</v>
      </c>
      <c r="W21" s="77">
        <v>960.45888204945402</v>
      </c>
      <c r="X21" s="77">
        <v>975.13082087325404</v>
      </c>
      <c r="Y21" s="77">
        <v>930.13416582808304</v>
      </c>
      <c r="Z21" s="77">
        <v>900.17386711845995</v>
      </c>
      <c r="AA21" s="77">
        <v>909.69641776604794</v>
      </c>
      <c r="AB21" s="77">
        <v>906.61720526045804</v>
      </c>
      <c r="AC21" s="77">
        <v>906.24177325382402</v>
      </c>
      <c r="AD21" s="77">
        <v>944.56653558081803</v>
      </c>
      <c r="AE21" s="77">
        <v>983.33329526747104</v>
      </c>
      <c r="AF21" s="77">
        <v>1012.55023256466</v>
      </c>
      <c r="AG21" s="77">
        <v>1049.93879337614</v>
      </c>
      <c r="AH21" s="77">
        <v>1075.53463938602</v>
      </c>
      <c r="AI21" s="77">
        <v>1095.5176594008101</v>
      </c>
      <c r="AJ21" s="77">
        <v>1134.7609382236101</v>
      </c>
      <c r="AK21" s="77">
        <v>1167.17392930251</v>
      </c>
      <c r="AL21" s="77">
        <v>1180.5164584089</v>
      </c>
      <c r="AM21" s="77">
        <v>1200.8990481872399</v>
      </c>
    </row>
    <row r="22" spans="1:39" ht="17.100000000000001" customHeight="1" x14ac:dyDescent="0.2">
      <c r="A22" s="78" t="s">
        <v>55</v>
      </c>
      <c r="B22" s="77">
        <v>751.42615630617297</v>
      </c>
      <c r="C22" s="77">
        <v>788.38407519047803</v>
      </c>
      <c r="D22" s="77">
        <v>819.14773116650201</v>
      </c>
      <c r="E22" s="77">
        <v>857.47889752045103</v>
      </c>
      <c r="F22" s="77">
        <v>886.11132976765703</v>
      </c>
      <c r="G22" s="77">
        <v>890.39246433688595</v>
      </c>
      <c r="H22" s="77">
        <v>886.33285997868904</v>
      </c>
      <c r="I22" s="77">
        <v>889.37087679813499</v>
      </c>
      <c r="J22" s="77">
        <v>888.54489963968297</v>
      </c>
      <c r="K22" s="77">
        <v>886.65768727707803</v>
      </c>
      <c r="L22" s="77">
        <v>881.25498406065901</v>
      </c>
      <c r="M22" s="77">
        <v>908.34799398746497</v>
      </c>
      <c r="N22" s="77">
        <v>950.50457899895196</v>
      </c>
      <c r="O22" s="77">
        <v>947.36305823614202</v>
      </c>
      <c r="P22" s="77">
        <v>887.73094737671499</v>
      </c>
      <c r="Q22" s="77">
        <v>814.168437603136</v>
      </c>
      <c r="R22" s="77">
        <v>761.204829176722</v>
      </c>
      <c r="S22" s="77">
        <v>774.61404805445102</v>
      </c>
      <c r="T22" s="77">
        <v>817.707083132702</v>
      </c>
      <c r="U22" s="77">
        <v>809.20656480481796</v>
      </c>
      <c r="V22" s="77">
        <v>785.30655276721495</v>
      </c>
      <c r="W22" s="77">
        <v>780.38482473484601</v>
      </c>
      <c r="X22" s="77">
        <v>758.93895717346902</v>
      </c>
      <c r="Y22" s="77">
        <v>741.84991143117099</v>
      </c>
      <c r="Z22" s="77">
        <v>798.53026611506198</v>
      </c>
      <c r="AA22" s="77">
        <v>865.39420331290205</v>
      </c>
      <c r="AB22" s="77">
        <v>913.47402126296595</v>
      </c>
      <c r="AC22" s="77">
        <v>950.97064909497306</v>
      </c>
      <c r="AD22" s="77">
        <v>948.03899189388403</v>
      </c>
      <c r="AE22" s="77">
        <v>927.78928641877405</v>
      </c>
      <c r="AF22" s="77">
        <v>1013.66543944548</v>
      </c>
      <c r="AG22" s="77">
        <v>1100.17049694824</v>
      </c>
      <c r="AH22" s="77">
        <v>1096.5447905711001</v>
      </c>
      <c r="AI22" s="77">
        <v>1095.01036188321</v>
      </c>
      <c r="AJ22" s="77">
        <v>1098.88710841383</v>
      </c>
      <c r="AK22" s="77">
        <v>1122.6962115813801</v>
      </c>
      <c r="AL22" s="77">
        <v>1205.011478417</v>
      </c>
      <c r="AM22" s="77">
        <v>1306.9018452961</v>
      </c>
    </row>
    <row r="23" spans="1:39" ht="17.100000000000001" customHeight="1" x14ac:dyDescent="0.2">
      <c r="A23" s="78" t="s">
        <v>54</v>
      </c>
      <c r="B23" s="77">
        <v>500.032982693912</v>
      </c>
      <c r="C23" s="77">
        <v>526.68854315213002</v>
      </c>
      <c r="D23" s="77">
        <v>549.59263080759604</v>
      </c>
      <c r="E23" s="77">
        <v>559.99319371579497</v>
      </c>
      <c r="F23" s="77">
        <v>566.34896068194996</v>
      </c>
      <c r="G23" s="77">
        <v>585.15659545670997</v>
      </c>
      <c r="H23" s="77">
        <v>605.50536797645896</v>
      </c>
      <c r="I23" s="77">
        <v>592.40560030588802</v>
      </c>
      <c r="J23" s="77">
        <v>552.43618867726195</v>
      </c>
      <c r="K23" s="77">
        <v>528.14204171803794</v>
      </c>
      <c r="L23" s="77">
        <v>538.53317999588899</v>
      </c>
      <c r="M23" s="77">
        <v>585.00706554207602</v>
      </c>
      <c r="N23" s="77">
        <v>651.65975576163203</v>
      </c>
      <c r="O23" s="77">
        <v>681.39753331549196</v>
      </c>
      <c r="P23" s="77">
        <v>651.92769350604601</v>
      </c>
      <c r="Q23" s="77">
        <v>629.07891595174897</v>
      </c>
      <c r="R23" s="77">
        <v>654.95259707366199</v>
      </c>
      <c r="S23" s="77">
        <v>709.21796842079198</v>
      </c>
      <c r="T23" s="77">
        <v>760.06721160108498</v>
      </c>
      <c r="U23" s="77">
        <v>786.27163496426897</v>
      </c>
      <c r="V23" s="77">
        <v>784.00535962054801</v>
      </c>
      <c r="W23" s="77">
        <v>783.50221836579897</v>
      </c>
      <c r="X23" s="77">
        <v>802.16686925157796</v>
      </c>
      <c r="Y23" s="77">
        <v>804.66772066735996</v>
      </c>
      <c r="Z23" s="77">
        <v>796.15959679409002</v>
      </c>
      <c r="AA23" s="77">
        <v>825.88974770536504</v>
      </c>
      <c r="AB23" s="77">
        <v>897.49476663816301</v>
      </c>
      <c r="AC23" s="77">
        <v>963.05101557614205</v>
      </c>
      <c r="AD23" s="77">
        <v>989.52027982210802</v>
      </c>
      <c r="AE23" s="77">
        <v>974.499868838716</v>
      </c>
      <c r="AF23" s="77">
        <v>956.12890116887797</v>
      </c>
      <c r="AG23" s="77">
        <v>965.01858469872502</v>
      </c>
      <c r="AH23" s="77">
        <v>973.31250853502399</v>
      </c>
      <c r="AI23" s="77">
        <v>957.36023363622405</v>
      </c>
      <c r="AJ23" s="77">
        <v>922.63328254168505</v>
      </c>
      <c r="AK23" s="77">
        <v>909.96144061026803</v>
      </c>
      <c r="AL23" s="77">
        <v>943.63416694107298</v>
      </c>
      <c r="AM23" s="77">
        <v>995.25138263661302</v>
      </c>
    </row>
    <row r="24" spans="1:39" ht="17.100000000000001" customHeight="1" x14ac:dyDescent="0.2">
      <c r="A24" s="78" t="s">
        <v>72</v>
      </c>
      <c r="B24" s="77">
        <v>697.126023152264</v>
      </c>
      <c r="C24" s="77">
        <v>699.82426325896199</v>
      </c>
      <c r="D24" s="77">
        <v>729.95456007171299</v>
      </c>
      <c r="E24" s="77">
        <v>742.812437692309</v>
      </c>
      <c r="F24" s="77">
        <v>736.827863704984</v>
      </c>
      <c r="G24" s="77">
        <v>721.97808951704405</v>
      </c>
      <c r="H24" s="77">
        <v>720.85828193508496</v>
      </c>
      <c r="I24" s="77">
        <v>738.95178368661504</v>
      </c>
      <c r="J24" s="77">
        <v>770.69183137818197</v>
      </c>
      <c r="K24" s="77">
        <v>795.53477503770796</v>
      </c>
      <c r="L24" s="77">
        <v>830.17467844137298</v>
      </c>
      <c r="M24" s="77">
        <v>871.70653369895103</v>
      </c>
      <c r="N24" s="77">
        <v>920.14373491693004</v>
      </c>
      <c r="O24" s="77">
        <v>938.22679995562896</v>
      </c>
      <c r="P24" s="77">
        <v>896.96342384362902</v>
      </c>
      <c r="Q24" s="77">
        <v>885.21404879699196</v>
      </c>
      <c r="R24" s="77">
        <v>912.47931630417997</v>
      </c>
      <c r="S24" s="77">
        <v>957.05260919573004</v>
      </c>
      <c r="T24" s="77">
        <v>981.29929694192401</v>
      </c>
      <c r="U24" s="77">
        <v>986.31284990292704</v>
      </c>
      <c r="V24" s="77">
        <v>943.91796086710997</v>
      </c>
      <c r="W24" s="77">
        <v>979.83590399848401</v>
      </c>
      <c r="X24" s="77">
        <v>1050.9432923905599</v>
      </c>
      <c r="Y24" s="77">
        <v>1045.0403625117999</v>
      </c>
      <c r="Z24" s="77">
        <v>1016.0017191634</v>
      </c>
      <c r="AA24" s="77">
        <v>1031.6056718627201</v>
      </c>
      <c r="AB24" s="77">
        <v>1039.4240771055599</v>
      </c>
      <c r="AC24" s="77">
        <v>1016.5351476831</v>
      </c>
      <c r="AD24" s="77">
        <v>1028.2336223939201</v>
      </c>
      <c r="AE24" s="77">
        <v>1011.17404477511</v>
      </c>
      <c r="AF24" s="77">
        <v>1024.5530163092501</v>
      </c>
      <c r="AG24" s="77">
        <v>1077.5527322452399</v>
      </c>
      <c r="AH24" s="77">
        <v>1111.7893903561601</v>
      </c>
      <c r="AI24" s="77">
        <v>1066.38011868851</v>
      </c>
      <c r="AJ24" s="77">
        <v>1055.9666741829701</v>
      </c>
      <c r="AK24" s="77">
        <v>1120.4663525215301</v>
      </c>
      <c r="AL24" s="77">
        <v>1167.23530203622</v>
      </c>
      <c r="AM24" s="77">
        <v>1170.21201939351</v>
      </c>
    </row>
    <row r="25" spans="1:39" ht="17.100000000000001" customHeight="1" x14ac:dyDescent="0.2">
      <c r="A25" s="78" t="s">
        <v>14</v>
      </c>
      <c r="B25" s="77">
        <v>1589.7844667598799</v>
      </c>
      <c r="C25" s="77">
        <v>1598.6912287171799</v>
      </c>
      <c r="D25" s="77">
        <v>1639.73639256304</v>
      </c>
      <c r="E25" s="77">
        <v>1687.4734026132101</v>
      </c>
      <c r="F25" s="77">
        <v>1746.86626894439</v>
      </c>
      <c r="G25" s="77">
        <v>1802.19875144207</v>
      </c>
      <c r="H25" s="77">
        <v>1841.0940895655899</v>
      </c>
      <c r="I25" s="77">
        <v>1894.1716869367201</v>
      </c>
      <c r="J25" s="77">
        <v>1966.84127962555</v>
      </c>
      <c r="K25" s="77">
        <v>2013.6367034023201</v>
      </c>
      <c r="L25" s="77">
        <v>2017.24224786538</v>
      </c>
      <c r="M25" s="77">
        <v>2015.4252777357499</v>
      </c>
      <c r="N25" s="77">
        <v>2030.1744630458199</v>
      </c>
      <c r="O25" s="77">
        <v>2084.3928186674998</v>
      </c>
      <c r="P25" s="77">
        <v>2141.0378569439599</v>
      </c>
      <c r="Q25" s="77">
        <v>2163.8484845306998</v>
      </c>
      <c r="R25" s="77">
        <v>2155.508445035</v>
      </c>
      <c r="S25" s="77">
        <v>2158.5450832943998</v>
      </c>
      <c r="T25" s="77">
        <v>2189.7334490540202</v>
      </c>
      <c r="U25" s="77">
        <v>2242.7802332625001</v>
      </c>
      <c r="V25" s="77">
        <v>2307.05412436093</v>
      </c>
      <c r="W25" s="77">
        <v>2363.1444352052099</v>
      </c>
      <c r="X25" s="77">
        <v>2407.9500061357498</v>
      </c>
      <c r="Y25" s="77">
        <v>2453.4600687372999</v>
      </c>
      <c r="Z25" s="77">
        <v>2502.426952754</v>
      </c>
      <c r="AA25" s="77">
        <v>2533.1825808343901</v>
      </c>
      <c r="AB25" s="77">
        <v>2569.57352463388</v>
      </c>
      <c r="AC25" s="77">
        <v>2628.2034103823698</v>
      </c>
      <c r="AD25" s="77">
        <v>2694.8537985491398</v>
      </c>
      <c r="AE25" s="77">
        <v>2747.0521891120902</v>
      </c>
      <c r="AF25" s="77">
        <v>2776.6143245803601</v>
      </c>
      <c r="AG25" s="77">
        <v>2777.8991521509101</v>
      </c>
      <c r="AH25" s="77">
        <v>2787.03067331579</v>
      </c>
      <c r="AI25" s="77">
        <v>2837.2835290036601</v>
      </c>
      <c r="AJ25" s="77">
        <v>2914.1328737592999</v>
      </c>
      <c r="AK25" s="77">
        <v>2977.9987368195302</v>
      </c>
      <c r="AL25" s="77">
        <v>3004.0311710746901</v>
      </c>
      <c r="AM25" s="77">
        <v>3015.5875693876601</v>
      </c>
    </row>
    <row r="26" spans="1:39" ht="17.100000000000001" customHeight="1" x14ac:dyDescent="0.2">
      <c r="A26" s="78" t="s">
        <v>56</v>
      </c>
      <c r="B26" s="77">
        <v>645.40474549463499</v>
      </c>
      <c r="C26" s="77">
        <v>587.936107007651</v>
      </c>
      <c r="D26" s="77">
        <v>544.10564983340998</v>
      </c>
      <c r="E26" s="77">
        <v>562.01296447446896</v>
      </c>
      <c r="F26" s="77">
        <v>601.65609073747601</v>
      </c>
      <c r="G26" s="77">
        <v>620.40623441406501</v>
      </c>
      <c r="H26" s="77">
        <v>629.80805603630597</v>
      </c>
      <c r="I26" s="77">
        <v>644.04887641910398</v>
      </c>
      <c r="J26" s="77">
        <v>626.01067897685004</v>
      </c>
      <c r="K26" s="77">
        <v>619.33332998343496</v>
      </c>
      <c r="L26" s="77">
        <v>670.544191439565</v>
      </c>
      <c r="M26" s="77">
        <v>773.04982746273799</v>
      </c>
      <c r="N26" s="77">
        <v>822.95569184666999</v>
      </c>
      <c r="O26" s="77">
        <v>759.06447741044997</v>
      </c>
      <c r="P26" s="77">
        <v>650.89014685114205</v>
      </c>
      <c r="Q26" s="77">
        <v>602.73159583597806</v>
      </c>
      <c r="R26" s="77">
        <v>623.83507866153298</v>
      </c>
      <c r="S26" s="77">
        <v>688.73075195806803</v>
      </c>
      <c r="T26" s="77">
        <v>747.97880082183099</v>
      </c>
      <c r="U26" s="77">
        <v>776.69629958338498</v>
      </c>
      <c r="V26" s="77">
        <v>777.96193146219002</v>
      </c>
      <c r="W26" s="77">
        <v>728.15518218397494</v>
      </c>
      <c r="X26" s="77">
        <v>663.65697234118704</v>
      </c>
      <c r="Y26" s="77">
        <v>658.61497826740106</v>
      </c>
      <c r="Z26" s="77">
        <v>746.16895788670797</v>
      </c>
      <c r="AA26" s="77">
        <v>836.87399522962903</v>
      </c>
      <c r="AB26" s="77">
        <v>835.56946533066196</v>
      </c>
      <c r="AC26" s="77">
        <v>772.48494448603401</v>
      </c>
      <c r="AD26" s="77">
        <v>751.47127272153398</v>
      </c>
      <c r="AE26" s="77">
        <v>802.974481143209</v>
      </c>
      <c r="AF26" s="77">
        <v>870.57778676584405</v>
      </c>
      <c r="AG26" s="77">
        <v>890.47074190424303</v>
      </c>
      <c r="AH26" s="77">
        <v>894.05809211814699</v>
      </c>
      <c r="AI26" s="77">
        <v>963.08018367114403</v>
      </c>
      <c r="AJ26" s="77">
        <v>1055.04431040298</v>
      </c>
      <c r="AK26" s="77">
        <v>1040.5513750811999</v>
      </c>
      <c r="AL26" s="77">
        <v>905.49518184559099</v>
      </c>
      <c r="AM26" s="77">
        <v>752.66130832146303</v>
      </c>
    </row>
    <row r="27" spans="1:39" ht="17.100000000000001" customHeight="1" x14ac:dyDescent="0.2">
      <c r="A27" s="78" t="s">
        <v>57</v>
      </c>
      <c r="B27" s="77">
        <v>467.46352198038898</v>
      </c>
      <c r="C27" s="77">
        <v>474.13029273709998</v>
      </c>
      <c r="D27" s="77">
        <v>478.04498501122202</v>
      </c>
      <c r="E27" s="77">
        <v>481.85217459744001</v>
      </c>
      <c r="F27" s="77">
        <v>484.196448351843</v>
      </c>
      <c r="G27" s="77">
        <v>487.58499095207299</v>
      </c>
      <c r="H27" s="77">
        <v>501.08244798666902</v>
      </c>
      <c r="I27" s="77">
        <v>527.01897432065903</v>
      </c>
      <c r="J27" s="77">
        <v>553.06846215230701</v>
      </c>
      <c r="K27" s="77">
        <v>573.42330179698604</v>
      </c>
      <c r="L27" s="77">
        <v>595.55981297905396</v>
      </c>
      <c r="M27" s="77">
        <v>620.16281284707804</v>
      </c>
      <c r="N27" s="77">
        <v>642.248693904319</v>
      </c>
      <c r="O27" s="77">
        <v>659.610964550326</v>
      </c>
      <c r="P27" s="77">
        <v>603.289226778581</v>
      </c>
      <c r="Q27" s="77">
        <v>615.41519236628994</v>
      </c>
      <c r="R27" s="77">
        <v>633.71921710626395</v>
      </c>
      <c r="S27" s="77">
        <v>649.20393848019296</v>
      </c>
      <c r="T27" s="77">
        <v>648.58640326226498</v>
      </c>
      <c r="U27" s="77">
        <v>643.25594842141504</v>
      </c>
      <c r="V27" s="77">
        <v>651.01390573219601</v>
      </c>
      <c r="W27" s="77">
        <v>664.10889829731298</v>
      </c>
      <c r="X27" s="77">
        <v>671.66265768890003</v>
      </c>
      <c r="Y27" s="77">
        <v>677.465588436909</v>
      </c>
      <c r="Z27" s="77">
        <v>773.06016672492399</v>
      </c>
      <c r="AA27" s="77">
        <v>781.92333883382503</v>
      </c>
      <c r="AB27" s="77">
        <v>793.69599069571404</v>
      </c>
      <c r="AC27" s="77">
        <v>792.00267263892397</v>
      </c>
      <c r="AD27" s="77">
        <v>778.39656781207998</v>
      </c>
      <c r="AE27" s="77">
        <v>765.044036672983</v>
      </c>
      <c r="AF27" s="77">
        <v>856.36700970443201</v>
      </c>
      <c r="AG27" s="77">
        <v>855.27664353374303</v>
      </c>
      <c r="AH27" s="77">
        <v>793.77559360990097</v>
      </c>
      <c r="AI27" s="77">
        <v>806.59922824561295</v>
      </c>
      <c r="AJ27" s="77">
        <v>830.25438149131105</v>
      </c>
      <c r="AK27" s="77">
        <v>849.62992369772303</v>
      </c>
      <c r="AL27" s="77">
        <v>850.70649996150905</v>
      </c>
      <c r="AM27" s="77">
        <v>847.09409687884397</v>
      </c>
    </row>
    <row r="28" spans="1:39" ht="17.100000000000001" customHeight="1" x14ac:dyDescent="0.2">
      <c r="A28" s="78" t="s">
        <v>15</v>
      </c>
      <c r="B28" s="77">
        <v>625.23443230087298</v>
      </c>
      <c r="C28" s="77">
        <v>644.04133273417403</v>
      </c>
      <c r="D28" s="77">
        <v>684.06192341736903</v>
      </c>
      <c r="E28" s="77">
        <v>728.48672206031301</v>
      </c>
      <c r="F28" s="77">
        <v>748.94008670817698</v>
      </c>
      <c r="G28" s="77">
        <v>744.02495197602195</v>
      </c>
      <c r="H28" s="77">
        <v>728.78728385271904</v>
      </c>
      <c r="I28" s="77">
        <v>723.37686663452405</v>
      </c>
      <c r="J28" s="77">
        <v>728.72140395461895</v>
      </c>
      <c r="K28" s="77">
        <v>740.60478210038696</v>
      </c>
      <c r="L28" s="77">
        <v>767.57936768944103</v>
      </c>
      <c r="M28" s="77">
        <v>812.21335057219403</v>
      </c>
      <c r="N28" s="77">
        <v>854.28182238092199</v>
      </c>
      <c r="O28" s="77">
        <v>882.73124695186902</v>
      </c>
      <c r="P28" s="77">
        <v>899.45567820106999</v>
      </c>
      <c r="Q28" s="77">
        <v>921.39479559715301</v>
      </c>
      <c r="R28" s="77">
        <v>950.31884138778003</v>
      </c>
      <c r="S28" s="77">
        <v>1003.95807158475</v>
      </c>
      <c r="T28" s="77">
        <v>1025.9370062446601</v>
      </c>
      <c r="U28" s="77">
        <v>1011.66547633043</v>
      </c>
      <c r="V28" s="77">
        <v>999.72314197790297</v>
      </c>
      <c r="W28" s="77">
        <v>1036.3179465186599</v>
      </c>
      <c r="X28" s="77">
        <v>1042.4948637079301</v>
      </c>
      <c r="Y28" s="77">
        <v>1060.54881502224</v>
      </c>
      <c r="Z28" s="77">
        <v>1082.14570360166</v>
      </c>
      <c r="AA28" s="77">
        <v>1059.05963467573</v>
      </c>
      <c r="AB28" s="77">
        <v>1010.22435522808</v>
      </c>
      <c r="AC28" s="77">
        <v>987.94054311108005</v>
      </c>
      <c r="AD28" s="77">
        <v>1024.96176796753</v>
      </c>
      <c r="AE28" s="77">
        <v>1083.6862312133201</v>
      </c>
      <c r="AF28" s="77">
        <v>1179.7870979829399</v>
      </c>
      <c r="AG28" s="77">
        <v>1227.01255278295</v>
      </c>
      <c r="AH28" s="77">
        <v>1217.38363757706</v>
      </c>
      <c r="AI28" s="77">
        <v>1182.0958365533299</v>
      </c>
      <c r="AJ28" s="77">
        <v>1219.2194060730701</v>
      </c>
      <c r="AK28" s="77">
        <v>1279.3734666457101</v>
      </c>
      <c r="AL28" s="77">
        <v>1302.01009120309</v>
      </c>
      <c r="AM28" s="77">
        <v>1293.8828885451801</v>
      </c>
    </row>
    <row r="29" spans="1:39" ht="17.100000000000001" customHeight="1" x14ac:dyDescent="0.2">
      <c r="A29" s="78" t="s">
        <v>16</v>
      </c>
      <c r="B29" s="77">
        <v>1240.2054353492299</v>
      </c>
      <c r="C29" s="77">
        <v>1190.0399559607999</v>
      </c>
      <c r="D29" s="77">
        <v>1155.2932984931399</v>
      </c>
      <c r="E29" s="77">
        <v>1190.4085217915699</v>
      </c>
      <c r="F29" s="77">
        <v>1250.7068202298001</v>
      </c>
      <c r="G29" s="77">
        <v>1280.6390960143201</v>
      </c>
      <c r="H29" s="77">
        <v>1279.8704439323101</v>
      </c>
      <c r="I29" s="77">
        <v>1314.53122338649</v>
      </c>
      <c r="J29" s="77">
        <v>1395.96405307384</v>
      </c>
      <c r="K29" s="77">
        <v>1441.50968218239</v>
      </c>
      <c r="L29" s="77">
        <v>1396.17566295918</v>
      </c>
      <c r="M29" s="77">
        <v>1316.8336009453201</v>
      </c>
      <c r="N29" s="77">
        <v>1312.0431942830101</v>
      </c>
      <c r="O29" s="77">
        <v>1372.0676345034799</v>
      </c>
      <c r="P29" s="77">
        <v>1408.7595043623601</v>
      </c>
      <c r="Q29" s="77">
        <v>1358.24179414078</v>
      </c>
      <c r="R29" s="77">
        <v>1299.7989182562401</v>
      </c>
      <c r="S29" s="77">
        <v>1308.8502393937599</v>
      </c>
      <c r="T29" s="77">
        <v>1389.6821505094599</v>
      </c>
      <c r="U29" s="77">
        <v>1380.98381403797</v>
      </c>
      <c r="V29" s="77">
        <v>1298.0480184001001</v>
      </c>
      <c r="W29" s="77">
        <v>1292.7869377751999</v>
      </c>
      <c r="X29" s="77">
        <v>1334.27575519846</v>
      </c>
      <c r="Y29" s="77">
        <v>1353.24193408374</v>
      </c>
      <c r="Z29" s="77">
        <v>1349.6416972541101</v>
      </c>
      <c r="AA29" s="77">
        <v>1331.53968639444</v>
      </c>
      <c r="AB29" s="77">
        <v>1344.47070674168</v>
      </c>
      <c r="AC29" s="77">
        <v>1447.5373246081299</v>
      </c>
      <c r="AD29" s="77">
        <v>1486.1850248938199</v>
      </c>
      <c r="AE29" s="77">
        <v>1439.5934445169901</v>
      </c>
      <c r="AF29" s="77">
        <v>1390.13703960118</v>
      </c>
      <c r="AG29" s="77">
        <v>1405.0776967893901</v>
      </c>
      <c r="AH29" s="77">
        <v>1450.40157371654</v>
      </c>
      <c r="AI29" s="77">
        <v>1485.5900844830501</v>
      </c>
      <c r="AJ29" s="77">
        <v>1522.82151218934</v>
      </c>
      <c r="AK29" s="77">
        <v>1542.9940626995999</v>
      </c>
      <c r="AL29" s="77">
        <v>1566.5906518105601</v>
      </c>
      <c r="AM29" s="77">
        <v>1604.4688240160001</v>
      </c>
    </row>
    <row r="30" spans="1:39" ht="17.100000000000001" customHeight="1" x14ac:dyDescent="0.2">
      <c r="A30" s="78" t="s">
        <v>58</v>
      </c>
      <c r="B30" s="77">
        <v>798.02388038294896</v>
      </c>
      <c r="C30" s="77">
        <v>802.70636201085495</v>
      </c>
      <c r="D30" s="77">
        <v>833.802699935992</v>
      </c>
      <c r="E30" s="77">
        <v>888.15683640949703</v>
      </c>
      <c r="F30" s="77">
        <v>941.56708518199605</v>
      </c>
      <c r="G30" s="77">
        <v>975.61047314596897</v>
      </c>
      <c r="H30" s="77">
        <v>980.76943233797499</v>
      </c>
      <c r="I30" s="77">
        <v>990.21666510257705</v>
      </c>
      <c r="J30" s="77">
        <v>1002.9245794657299</v>
      </c>
      <c r="K30" s="77">
        <v>1005.72590080213</v>
      </c>
      <c r="L30" s="77">
        <v>1012.16869175061</v>
      </c>
      <c r="M30" s="77">
        <v>1040.31496022893</v>
      </c>
      <c r="N30" s="77">
        <v>1051.59258575479</v>
      </c>
      <c r="O30" s="77">
        <v>1045.8269583562301</v>
      </c>
      <c r="P30" s="77">
        <v>1043.6420309380001</v>
      </c>
      <c r="Q30" s="77">
        <v>1059.75320934557</v>
      </c>
      <c r="R30" s="77">
        <v>1083.00091608363</v>
      </c>
      <c r="S30" s="77">
        <v>1079.6562903599799</v>
      </c>
      <c r="T30" s="77">
        <v>1068.84379360307</v>
      </c>
      <c r="U30" s="77">
        <v>1083.5880963228301</v>
      </c>
      <c r="V30" s="77">
        <v>1136.90418644329</v>
      </c>
      <c r="W30" s="77">
        <v>1190.4853127910999</v>
      </c>
      <c r="X30" s="77">
        <v>1209.5167766726099</v>
      </c>
      <c r="Y30" s="77">
        <v>1222.20229925032</v>
      </c>
      <c r="Z30" s="77">
        <v>1261.22015886025</v>
      </c>
      <c r="AA30" s="77">
        <v>1279.6039563896099</v>
      </c>
      <c r="AB30" s="77">
        <v>1252.5683630224401</v>
      </c>
      <c r="AC30" s="77">
        <v>1217.2488667176899</v>
      </c>
      <c r="AD30" s="77">
        <v>1205.65376183273</v>
      </c>
      <c r="AE30" s="77">
        <v>1248.1119964689101</v>
      </c>
      <c r="AF30" s="77">
        <v>1327.2449523479199</v>
      </c>
      <c r="AG30" s="77">
        <v>1357.07231934889</v>
      </c>
      <c r="AH30" s="77">
        <v>1334.64244958309</v>
      </c>
      <c r="AI30" s="77">
        <v>1318.8463192803799</v>
      </c>
      <c r="AJ30" s="77">
        <v>1311.34055703027</v>
      </c>
      <c r="AK30" s="77">
        <v>1315.3544373128</v>
      </c>
      <c r="AL30" s="77">
        <v>1355.0452691186499</v>
      </c>
      <c r="AM30" s="77">
        <v>1403.66407194778</v>
      </c>
    </row>
    <row r="31" spans="1:39" ht="17.100000000000001" customHeight="1" x14ac:dyDescent="0.2">
      <c r="A31" s="78" t="s">
        <v>71</v>
      </c>
      <c r="B31" s="77">
        <v>22.654887428457702</v>
      </c>
      <c r="C31" s="77">
        <v>25.697020522665099</v>
      </c>
      <c r="D31" s="77">
        <v>32.766413011608201</v>
      </c>
      <c r="E31" s="77">
        <v>41.628695918702803</v>
      </c>
      <c r="F31" s="77">
        <v>49.132033121322003</v>
      </c>
      <c r="G31" s="77">
        <v>54.744461951849502</v>
      </c>
      <c r="H31" s="77">
        <v>59.034120103914198</v>
      </c>
      <c r="I31" s="77">
        <v>63.3316431892206</v>
      </c>
      <c r="J31" s="77">
        <v>65.8662059824549</v>
      </c>
      <c r="K31" s="77">
        <v>66.685970041507005</v>
      </c>
      <c r="L31" s="77">
        <v>66.454740770036807</v>
      </c>
      <c r="M31" s="77">
        <v>66.1011304991721</v>
      </c>
      <c r="N31" s="77">
        <v>65.670964578643293</v>
      </c>
      <c r="O31" s="77">
        <v>66.534085940626198</v>
      </c>
      <c r="P31" s="77">
        <v>60.944550793188398</v>
      </c>
      <c r="Q31" s="77">
        <v>50.789856993055203</v>
      </c>
      <c r="R31" s="77">
        <v>47.589922462492403</v>
      </c>
      <c r="S31" s="77">
        <v>50.221845122829897</v>
      </c>
      <c r="T31" s="77">
        <v>53.864500200879</v>
      </c>
      <c r="U31" s="77">
        <v>58.186152504603399</v>
      </c>
      <c r="V31" s="77">
        <v>59.490044020269501</v>
      </c>
      <c r="W31" s="77">
        <v>52.179846771302401</v>
      </c>
      <c r="X31" s="77">
        <v>46.190472773718703</v>
      </c>
      <c r="Y31" s="77">
        <v>43.285215248366796</v>
      </c>
      <c r="Z31" s="77">
        <v>46.035350032997499</v>
      </c>
      <c r="AA31" s="77">
        <v>51.470289260062799</v>
      </c>
      <c r="AB31" s="77">
        <v>59.797092014477599</v>
      </c>
      <c r="AC31" s="77">
        <v>64.385754065683699</v>
      </c>
      <c r="AD31" s="77">
        <v>61.000293633435597</v>
      </c>
      <c r="AE31" s="77">
        <v>56.160748314398298</v>
      </c>
      <c r="AF31" s="77">
        <v>56.837144474322798</v>
      </c>
      <c r="AG31" s="77">
        <v>59.957828651287301</v>
      </c>
      <c r="AH31" s="77">
        <v>60.181474572532601</v>
      </c>
      <c r="AI31" s="77">
        <v>61.891210034609102</v>
      </c>
      <c r="AJ31" s="77">
        <v>58.578018269003799</v>
      </c>
      <c r="AK31" s="77">
        <v>56.949075817788398</v>
      </c>
      <c r="AL31" s="77">
        <v>58.489799066055603</v>
      </c>
      <c r="AM31" s="77">
        <v>62.077204362688697</v>
      </c>
    </row>
    <row r="32" spans="1:39" ht="17.100000000000001" customHeight="1" x14ac:dyDescent="0.2">
      <c r="A32" s="78" t="s">
        <v>17</v>
      </c>
      <c r="B32" s="77">
        <v>760.52914388502802</v>
      </c>
      <c r="C32" s="77">
        <v>747.748248722266</v>
      </c>
      <c r="D32" s="77">
        <v>738.61553412073295</v>
      </c>
      <c r="E32" s="77">
        <v>732.75278245433503</v>
      </c>
      <c r="F32" s="77">
        <v>730.56507578928699</v>
      </c>
      <c r="G32" s="77">
        <v>733.50807278539196</v>
      </c>
      <c r="H32" s="77">
        <v>738.73904991525205</v>
      </c>
      <c r="I32" s="77">
        <v>747.75993516264202</v>
      </c>
      <c r="J32" s="77">
        <v>759.641024423045</v>
      </c>
      <c r="K32" s="77">
        <v>769.01255026905005</v>
      </c>
      <c r="L32" s="77">
        <v>774.53204769278</v>
      </c>
      <c r="M32" s="77">
        <v>778.21544426989203</v>
      </c>
      <c r="N32" s="77">
        <v>780.09089159106895</v>
      </c>
      <c r="O32" s="77">
        <v>780.58702134904104</v>
      </c>
      <c r="P32" s="77">
        <v>781.86629713057903</v>
      </c>
      <c r="Q32" s="77">
        <v>783.67033533886195</v>
      </c>
      <c r="R32" s="77">
        <v>787.97278127613504</v>
      </c>
      <c r="S32" s="77">
        <v>797.30413108774303</v>
      </c>
      <c r="T32" s="77">
        <v>810.78726725867898</v>
      </c>
      <c r="U32" s="77">
        <v>823.21111275492797</v>
      </c>
      <c r="V32" s="77">
        <v>832.16416403271796</v>
      </c>
      <c r="W32" s="77">
        <v>838.72005635047503</v>
      </c>
      <c r="X32" s="77">
        <v>845.81649118600296</v>
      </c>
      <c r="Y32" s="77">
        <v>852.98816022264702</v>
      </c>
      <c r="Z32" s="77">
        <v>858.37501837886805</v>
      </c>
      <c r="AA32" s="77">
        <v>862.00994638515203</v>
      </c>
      <c r="AB32" s="77">
        <v>865.166391609009</v>
      </c>
      <c r="AC32" s="77">
        <v>869.49182734812496</v>
      </c>
      <c r="AD32" s="77">
        <v>875.39010458857797</v>
      </c>
      <c r="AE32" s="77">
        <v>881.726313888459</v>
      </c>
      <c r="AF32" s="77">
        <v>885.98496639452605</v>
      </c>
      <c r="AG32" s="77">
        <v>887.79592294673603</v>
      </c>
      <c r="AH32" s="77">
        <v>889.560720028481</v>
      </c>
      <c r="AI32" s="77">
        <v>892.21157756820696</v>
      </c>
      <c r="AJ32" s="77">
        <v>896.33443538379402</v>
      </c>
      <c r="AK32" s="77">
        <v>903.62015895570596</v>
      </c>
      <c r="AL32" s="77">
        <v>911.30888900807997</v>
      </c>
      <c r="AM32" s="77">
        <v>917.06684769975095</v>
      </c>
    </row>
    <row r="33" spans="1:39" ht="17.100000000000001" customHeight="1" x14ac:dyDescent="0.2">
      <c r="A33" s="78" t="s">
        <v>59</v>
      </c>
      <c r="B33" s="77">
        <v>220.42507108435501</v>
      </c>
      <c r="C33" s="77">
        <v>222.05591129751701</v>
      </c>
      <c r="D33" s="77">
        <v>223.64686017725001</v>
      </c>
      <c r="E33" s="77">
        <v>225.20866869193301</v>
      </c>
      <c r="F33" s="77">
        <v>226.76070156283299</v>
      </c>
      <c r="G33" s="77">
        <v>228.315268215744</v>
      </c>
      <c r="H33" s="77">
        <v>229.88308096880201</v>
      </c>
      <c r="I33" s="77">
        <v>231.464858597454</v>
      </c>
      <c r="J33" s="77">
        <v>233.07052512521</v>
      </c>
      <c r="K33" s="77">
        <v>234.68456940106</v>
      </c>
      <c r="L33" s="77">
        <v>236.293373407106</v>
      </c>
      <c r="M33" s="77">
        <v>237.906916124981</v>
      </c>
      <c r="N33" s="77">
        <v>239.54183198384399</v>
      </c>
      <c r="O33" s="77">
        <v>241.18095916643199</v>
      </c>
      <c r="P33" s="77">
        <v>242.801897292646</v>
      </c>
      <c r="Q33" s="77">
        <v>244.42109306997801</v>
      </c>
      <c r="R33" s="77">
        <v>246.06725218293599</v>
      </c>
      <c r="S33" s="77">
        <v>247.74470063652399</v>
      </c>
      <c r="T33" s="77">
        <v>249.44261363167399</v>
      </c>
      <c r="U33" s="77">
        <v>251.15438471659701</v>
      </c>
      <c r="V33" s="77">
        <v>252.87866307885599</v>
      </c>
      <c r="W33" s="77">
        <v>254.607003614142</v>
      </c>
      <c r="X33" s="77">
        <v>256.326038737283</v>
      </c>
      <c r="Y33" s="77">
        <v>258.04072958943902</v>
      </c>
      <c r="Z33" s="77">
        <v>259.77255715502201</v>
      </c>
      <c r="AA33" s="77">
        <v>261.53643145505498</v>
      </c>
      <c r="AB33" s="77">
        <v>263.33426827694001</v>
      </c>
      <c r="AC33" s="77">
        <v>265.14619901461998</v>
      </c>
      <c r="AD33" s="77">
        <v>266.959978026714</v>
      </c>
      <c r="AE33" s="77">
        <v>268.778216861038</v>
      </c>
      <c r="AF33" s="77">
        <v>270.60061636556901</v>
      </c>
      <c r="AG33" s="77">
        <v>272.41806134932398</v>
      </c>
      <c r="AH33" s="77">
        <v>274.24380807803499</v>
      </c>
      <c r="AI33" s="77">
        <v>276.10091233725598</v>
      </c>
      <c r="AJ33" s="77">
        <v>278.003354116975</v>
      </c>
      <c r="AK33" s="77">
        <v>279.90262266410298</v>
      </c>
      <c r="AL33" s="77">
        <v>281.72405728897297</v>
      </c>
      <c r="AM33" s="77">
        <v>283.50323183791897</v>
      </c>
    </row>
    <row r="34" spans="1:39" ht="17.100000000000001" customHeight="1" x14ac:dyDescent="0.2">
      <c r="A34" s="79"/>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7"/>
      <c r="AD34" s="77"/>
      <c r="AE34" s="77"/>
      <c r="AF34" s="77"/>
      <c r="AG34" s="77"/>
      <c r="AH34" s="77"/>
      <c r="AI34" s="77"/>
      <c r="AJ34" s="77"/>
      <c r="AK34" s="77"/>
      <c r="AL34" s="77"/>
      <c r="AM34" s="77"/>
    </row>
    <row r="35" spans="1:39" s="86" customFormat="1" ht="17.100000000000001" customHeight="1" x14ac:dyDescent="0.2">
      <c r="A35" s="133" t="s">
        <v>95</v>
      </c>
      <c r="B35" s="141"/>
      <c r="C35" s="141"/>
      <c r="D35" s="141"/>
      <c r="E35" s="141"/>
      <c r="F35" s="141"/>
      <c r="G35" s="141"/>
      <c r="H35" s="141"/>
      <c r="I35" s="141"/>
      <c r="J35" s="141"/>
      <c r="K35" s="141"/>
      <c r="L35" s="141"/>
      <c r="M35" s="141"/>
      <c r="N35" s="141"/>
      <c r="O35" s="141"/>
      <c r="P35" s="141"/>
      <c r="Q35" s="141"/>
      <c r="R35" s="141"/>
      <c r="S35" s="141"/>
      <c r="T35" s="141"/>
      <c r="U35" s="141"/>
      <c r="V35" s="141"/>
      <c r="W35" s="141"/>
      <c r="X35" s="141"/>
      <c r="Y35" s="141"/>
      <c r="Z35" s="141"/>
      <c r="AA35" s="141"/>
      <c r="AB35" s="141"/>
      <c r="AC35" s="141"/>
      <c r="AD35" s="141"/>
      <c r="AE35" s="141"/>
      <c r="AF35" s="141"/>
      <c r="AG35" s="141"/>
      <c r="AH35" s="141"/>
      <c r="AI35" s="141"/>
      <c r="AJ35" s="141"/>
      <c r="AK35" s="141"/>
      <c r="AL35" s="141"/>
      <c r="AM35" s="141"/>
    </row>
    <row r="36" spans="1:39" s="11" customFormat="1" ht="17.100000000000001" customHeight="1" thickBot="1" x14ac:dyDescent="0.25">
      <c r="A36" s="51" t="s">
        <v>19</v>
      </c>
      <c r="B36" s="80">
        <v>1862.80783651501</v>
      </c>
      <c r="C36" s="80">
        <v>1911.2418533996099</v>
      </c>
      <c r="D36" s="80">
        <v>1951.00751663285</v>
      </c>
      <c r="E36" s="80">
        <v>1991.3639733258301</v>
      </c>
      <c r="F36" s="80">
        <v>2001.9260793214801</v>
      </c>
      <c r="G36" s="80">
        <v>1986.2144246902999</v>
      </c>
      <c r="H36" s="80">
        <v>1977.8153980843799</v>
      </c>
      <c r="I36" s="80">
        <v>1990.94427762194</v>
      </c>
      <c r="J36" s="80">
        <v>2007.36177369794</v>
      </c>
      <c r="K36" s="80">
        <v>2062.4460606466901</v>
      </c>
      <c r="L36" s="80">
        <v>2121.6886728812801</v>
      </c>
      <c r="M36" s="80">
        <v>2151.91722236551</v>
      </c>
      <c r="N36" s="80">
        <v>2205.1039093821901</v>
      </c>
      <c r="O36" s="80">
        <v>2219.1415591087798</v>
      </c>
      <c r="P36" s="80">
        <v>2179.3171456608102</v>
      </c>
      <c r="Q36" s="80">
        <v>2150.1665022934299</v>
      </c>
      <c r="R36" s="80">
        <v>2151.1982769300998</v>
      </c>
      <c r="S36" s="80">
        <v>2136.3113816295399</v>
      </c>
      <c r="T36" s="80">
        <v>2145.5000098129399</v>
      </c>
      <c r="U36" s="80">
        <v>2173.4049986241798</v>
      </c>
      <c r="V36" s="80">
        <v>2248.7455455047502</v>
      </c>
      <c r="W36" s="80">
        <v>2373.1711972497101</v>
      </c>
      <c r="X36" s="80">
        <v>2462.8291262174598</v>
      </c>
      <c r="Y36" s="80">
        <v>2448.29290686787</v>
      </c>
      <c r="Z36" s="80">
        <v>2426.4968733710298</v>
      </c>
      <c r="AA36" s="80">
        <v>2493.6156690032099</v>
      </c>
      <c r="AB36" s="80">
        <v>2605.8056612473101</v>
      </c>
      <c r="AC36" s="80">
        <v>2700.9991858336598</v>
      </c>
      <c r="AD36" s="80">
        <v>2720.9494502212201</v>
      </c>
      <c r="AE36" s="80">
        <v>2717.6552328988701</v>
      </c>
      <c r="AF36" s="80">
        <v>2750.63558788214</v>
      </c>
      <c r="AG36" s="80">
        <v>2851.2954737509799</v>
      </c>
      <c r="AH36" s="80">
        <v>2941.0150242301502</v>
      </c>
      <c r="AI36" s="80">
        <v>2955.38821143423</v>
      </c>
      <c r="AJ36" s="80">
        <v>2950.6179856496901</v>
      </c>
      <c r="AK36" s="80">
        <v>3024.45405014477</v>
      </c>
      <c r="AL36" s="80">
        <v>3106.1234586298101</v>
      </c>
      <c r="AM36" s="80">
        <v>3164.82487882228</v>
      </c>
    </row>
    <row r="37" spans="1:39" x14ac:dyDescent="0.2">
      <c r="A37" s="13" t="s">
        <v>50</v>
      </c>
    </row>
  </sheetData>
  <mergeCells count="10">
    <mergeCell ref="F3:I3"/>
    <mergeCell ref="V3:Y3"/>
    <mergeCell ref="B3:E3"/>
    <mergeCell ref="R3:U3"/>
    <mergeCell ref="N3:Q3"/>
    <mergeCell ref="J3:M3"/>
    <mergeCell ref="AD3:AG3"/>
    <mergeCell ref="AL3:AM3"/>
    <mergeCell ref="AH3:AK3"/>
    <mergeCell ref="Z3:AC3"/>
  </mergeCells>
  <phoneticPr fontId="29" type="noConversion"/>
  <pageMargins left="0.51181102362204722" right="0" top="0.51181102362204722" bottom="0" header="0" footer="0"/>
  <pageSetup paperSize="9" scale="46"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pageSetUpPr fitToPage="1"/>
  </sheetPr>
  <dimension ref="A1:AM37"/>
  <sheetViews>
    <sheetView showGridLines="0" view="pageBreakPreview" zoomScaleSheetLayoutView="100" workbookViewId="0">
      <pane xSplit="1" ySplit="4" topLeftCell="B5" activePane="bottomRight" state="frozen"/>
      <selection activeCell="BS41" sqref="BS41"/>
      <selection pane="topRight" activeCell="BS41" sqref="BS41"/>
      <selection pane="bottomLeft" activeCell="BS41" sqref="BS41"/>
      <selection pane="bottomRight" sqref="A1:XFD1048576"/>
    </sheetView>
  </sheetViews>
  <sheetFormatPr defaultColWidth="9.140625" defaultRowHeight="11.25" x14ac:dyDescent="0.2"/>
  <cols>
    <col min="1" max="1" width="26.140625" style="1" customWidth="1"/>
    <col min="2" max="6" width="6.7109375" style="1" customWidth="1"/>
    <col min="7" max="7" width="7.28515625" style="1" customWidth="1"/>
    <col min="8" max="10" width="7.140625" style="1" customWidth="1"/>
    <col min="11" max="12" width="6.28515625" style="1" customWidth="1"/>
    <col min="13" max="13" width="6.5703125" style="1" customWidth="1"/>
    <col min="14" max="15" width="5.42578125" style="1" customWidth="1"/>
    <col min="16" max="16" width="6.7109375" style="1" customWidth="1"/>
    <col min="17" max="17" width="6.42578125" style="1" customWidth="1"/>
    <col min="18" max="23" width="6.5703125" style="1" customWidth="1"/>
    <col min="24" max="24" width="6.7109375" style="1" customWidth="1"/>
    <col min="25" max="25" width="6" style="1" customWidth="1"/>
    <col min="26" max="26" width="6.42578125" style="1" customWidth="1"/>
    <col min="27" max="27" width="6.7109375" style="1" customWidth="1"/>
    <col min="28" max="28" width="6.42578125" style="1" customWidth="1"/>
    <col min="29" max="29" width="5.42578125" style="1" customWidth="1"/>
    <col min="30" max="30" width="6.5703125" style="1" bestFit="1" customWidth="1"/>
    <col min="31" max="31" width="7.28515625" style="1" customWidth="1"/>
    <col min="32" max="32" width="7.42578125" style="1" customWidth="1"/>
    <col min="33" max="33" width="6.7109375" style="1" customWidth="1"/>
    <col min="34" max="34" width="7.42578125" style="1" customWidth="1"/>
    <col min="35" max="35" width="6.85546875" style="1" customWidth="1"/>
    <col min="36" max="16384" width="9.140625" style="1"/>
  </cols>
  <sheetData>
    <row r="1" spans="1:39" ht="16.5" customHeight="1" x14ac:dyDescent="0.2">
      <c r="A1" s="31" t="s">
        <v>177</v>
      </c>
      <c r="C1" s="31"/>
    </row>
    <row r="2" spans="1:39" ht="2.25" customHeight="1" thickBot="1" x14ac:dyDescent="0.25"/>
    <row r="3" spans="1:39" s="82" customFormat="1" ht="12" customHeight="1" x14ac:dyDescent="0.2">
      <c r="A3" s="81"/>
      <c r="B3" s="215" t="s">
        <v>80</v>
      </c>
      <c r="C3" s="215"/>
      <c r="D3" s="215"/>
      <c r="E3" s="215"/>
      <c r="F3" s="215" t="s">
        <v>92</v>
      </c>
      <c r="G3" s="215"/>
      <c r="H3" s="215"/>
      <c r="I3" s="215"/>
      <c r="J3" s="215" t="s">
        <v>134</v>
      </c>
      <c r="K3" s="215"/>
      <c r="L3" s="215"/>
      <c r="M3" s="215"/>
      <c r="N3" s="215" t="s">
        <v>136</v>
      </c>
      <c r="O3" s="215"/>
      <c r="P3" s="215"/>
      <c r="Q3" s="215"/>
      <c r="R3" s="216" t="s">
        <v>137</v>
      </c>
      <c r="S3" s="216"/>
      <c r="T3" s="216"/>
      <c r="U3" s="216"/>
      <c r="V3" s="216" t="s">
        <v>138</v>
      </c>
      <c r="W3" s="216"/>
      <c r="X3" s="216"/>
      <c r="Y3" s="216"/>
      <c r="Z3" s="216" t="s">
        <v>139</v>
      </c>
      <c r="AA3" s="216"/>
      <c r="AB3" s="216"/>
      <c r="AC3" s="216"/>
      <c r="AD3" s="216" t="s">
        <v>140</v>
      </c>
      <c r="AE3" s="216"/>
      <c r="AF3" s="216"/>
      <c r="AG3" s="216"/>
      <c r="AH3" s="216" t="s">
        <v>166</v>
      </c>
      <c r="AI3" s="216"/>
      <c r="AJ3" s="216"/>
      <c r="AK3" s="216"/>
      <c r="AL3" s="216" t="s">
        <v>167</v>
      </c>
      <c r="AM3" s="216"/>
    </row>
    <row r="4" spans="1:39" s="86" customFormat="1" ht="12" customHeight="1" x14ac:dyDescent="0.2">
      <c r="A4" s="83"/>
      <c r="B4" s="84" t="s">
        <v>46</v>
      </c>
      <c r="C4" s="84" t="s">
        <v>47</v>
      </c>
      <c r="D4" s="84" t="s">
        <v>48</v>
      </c>
      <c r="E4" s="84" t="s">
        <v>49</v>
      </c>
      <c r="F4" s="85" t="s">
        <v>46</v>
      </c>
      <c r="G4" s="84" t="s">
        <v>47</v>
      </c>
      <c r="H4" s="85" t="s">
        <v>48</v>
      </c>
      <c r="I4" s="85" t="s">
        <v>49</v>
      </c>
      <c r="J4" s="85" t="s">
        <v>46</v>
      </c>
      <c r="K4" s="85" t="s">
        <v>47</v>
      </c>
      <c r="L4" s="85" t="s">
        <v>48</v>
      </c>
      <c r="M4" s="85" t="s">
        <v>49</v>
      </c>
      <c r="N4" s="85" t="s">
        <v>46</v>
      </c>
      <c r="O4" s="85" t="s">
        <v>47</v>
      </c>
      <c r="P4" s="85" t="s">
        <v>48</v>
      </c>
      <c r="Q4" s="85" t="s">
        <v>49</v>
      </c>
      <c r="R4" s="85" t="s">
        <v>46</v>
      </c>
      <c r="S4" s="85" t="s">
        <v>47</v>
      </c>
      <c r="T4" s="85" t="s">
        <v>48</v>
      </c>
      <c r="U4" s="85" t="s">
        <v>49</v>
      </c>
      <c r="V4" s="85" t="s">
        <v>46</v>
      </c>
      <c r="W4" s="85" t="s">
        <v>47</v>
      </c>
      <c r="X4" s="85" t="s">
        <v>48</v>
      </c>
      <c r="Y4" s="85" t="s">
        <v>49</v>
      </c>
      <c r="Z4" s="85" t="s">
        <v>46</v>
      </c>
      <c r="AA4" s="85" t="s">
        <v>47</v>
      </c>
      <c r="AB4" s="85" t="s">
        <v>48</v>
      </c>
      <c r="AC4" s="85" t="s">
        <v>49</v>
      </c>
      <c r="AD4" s="85" t="s">
        <v>46</v>
      </c>
      <c r="AE4" s="85" t="s">
        <v>47</v>
      </c>
      <c r="AF4" s="85" t="s">
        <v>48</v>
      </c>
      <c r="AG4" s="85" t="s">
        <v>49</v>
      </c>
      <c r="AH4" s="85" t="s">
        <v>46</v>
      </c>
      <c r="AI4" s="85" t="s">
        <v>47</v>
      </c>
      <c r="AJ4" s="85" t="s">
        <v>48</v>
      </c>
      <c r="AK4" s="85" t="s">
        <v>49</v>
      </c>
      <c r="AL4" s="85" t="s">
        <v>46</v>
      </c>
      <c r="AM4" s="85" t="s">
        <v>47</v>
      </c>
    </row>
    <row r="5" spans="1:39" s="8" customFormat="1" ht="17.100000000000001" customHeight="1" x14ac:dyDescent="0.2">
      <c r="A5" s="39" t="s">
        <v>97</v>
      </c>
      <c r="B5" s="99">
        <v>1.1600043162414586</v>
      </c>
      <c r="C5" s="99">
        <v>1.6387807805343213</v>
      </c>
      <c r="D5" s="99">
        <v>1.8069627149892797</v>
      </c>
      <c r="E5" s="99">
        <v>1.6101159400478515</v>
      </c>
      <c r="F5" s="99">
        <v>1.2171498282506077</v>
      </c>
      <c r="G5" s="99">
        <v>1.2499810406249701</v>
      </c>
      <c r="H5" s="99">
        <v>1.5546698458494879</v>
      </c>
      <c r="I5" s="99">
        <v>1.7434479912485257</v>
      </c>
      <c r="J5" s="99">
        <v>1.4238560928109489</v>
      </c>
      <c r="K5" s="99">
        <v>1.5638156451149188</v>
      </c>
      <c r="L5" s="99">
        <v>1.6540110718511691</v>
      </c>
      <c r="M5" s="99">
        <v>2.0111873468733332</v>
      </c>
      <c r="N5" s="99">
        <v>2.3355632187293196</v>
      </c>
      <c r="O5" s="99">
        <v>1.0196182287596223</v>
      </c>
      <c r="P5" s="99">
        <v>-1.1051348283867002</v>
      </c>
      <c r="Q5" s="99">
        <v>-0.4635599061328266</v>
      </c>
      <c r="R5" s="99">
        <v>0.60325829447518409</v>
      </c>
      <c r="S5" s="99">
        <v>0.90176095226763842</v>
      </c>
      <c r="T5" s="99">
        <v>1.0146551355422417</v>
      </c>
      <c r="U5" s="99">
        <v>0.18059848081957153</v>
      </c>
      <c r="V5" s="99">
        <v>0.79442676415435454</v>
      </c>
      <c r="W5" s="99">
        <v>2.7427319989435706</v>
      </c>
      <c r="X5" s="99">
        <v>2.2586389378561389</v>
      </c>
      <c r="Y5" s="99">
        <v>0.55744240608637252</v>
      </c>
      <c r="Z5" s="99">
        <v>0.8989621082689192</v>
      </c>
      <c r="AA5" s="99">
        <v>0.66987122701378521</v>
      </c>
      <c r="AB5" s="99">
        <v>1.3862679957426627</v>
      </c>
      <c r="AC5" s="99">
        <v>1.9438836941183979</v>
      </c>
      <c r="AD5" s="99">
        <v>1.1197132635026197</v>
      </c>
      <c r="AE5" s="99">
        <v>0.6094054988875941</v>
      </c>
      <c r="AF5" s="99">
        <v>2.272793640490911</v>
      </c>
      <c r="AG5" s="99">
        <v>2.6714296566680229</v>
      </c>
      <c r="AH5" s="99">
        <v>1.4801068846350018</v>
      </c>
      <c r="AI5" s="99">
        <v>0.92419670083456751</v>
      </c>
      <c r="AJ5" s="99">
        <v>1.0316550303994365</v>
      </c>
      <c r="AK5" s="99">
        <v>1.7011504244928144</v>
      </c>
      <c r="AL5" s="99">
        <v>2.157187714975306</v>
      </c>
      <c r="AM5" s="99">
        <v>2.4465952764011423</v>
      </c>
    </row>
    <row r="6" spans="1:39" s="136" customFormat="1" ht="17.100000000000001" customHeight="1" x14ac:dyDescent="0.2">
      <c r="A6" s="133" t="s">
        <v>96</v>
      </c>
      <c r="B6" s="147">
        <v>-0.32447704819998924</v>
      </c>
      <c r="C6" s="147">
        <v>1.2159518008814763</v>
      </c>
      <c r="D6" s="147">
        <v>1.78669063701693</v>
      </c>
      <c r="E6" s="147">
        <v>1.0909037323175497</v>
      </c>
      <c r="F6" s="147">
        <v>0.23203631172716843</v>
      </c>
      <c r="G6" s="147">
        <v>0.28155948561749966</v>
      </c>
      <c r="H6" s="147">
        <v>1.2590512068637816</v>
      </c>
      <c r="I6" s="147">
        <v>1.3253156098212315</v>
      </c>
      <c r="J6" s="147">
        <v>1.2342505407870741</v>
      </c>
      <c r="K6" s="147">
        <v>1.3224505609037207</v>
      </c>
      <c r="L6" s="147">
        <v>1.7824777568273165</v>
      </c>
      <c r="M6" s="147">
        <v>1.7138839711337228</v>
      </c>
      <c r="N6" s="147">
        <v>1.1904674037767959</v>
      </c>
      <c r="O6" s="147">
        <v>0.96432902605891879</v>
      </c>
      <c r="P6" s="147">
        <v>1.4428886340228653</v>
      </c>
      <c r="Q6" s="147">
        <v>1.9966158934134226</v>
      </c>
      <c r="R6" s="147">
        <v>1.3767221036312005</v>
      </c>
      <c r="S6" s="147">
        <v>-7.6827140171764619E-2</v>
      </c>
      <c r="T6" s="147">
        <v>-0.65951992776783763</v>
      </c>
      <c r="U6" s="147">
        <v>-0.62194756074651636</v>
      </c>
      <c r="V6" s="147">
        <v>0.72518788029312109</v>
      </c>
      <c r="W6" s="147">
        <v>3.062520514820477</v>
      </c>
      <c r="X6" s="147">
        <v>3.44209737571608</v>
      </c>
      <c r="Y6" s="147">
        <v>3.1109351183569389</v>
      </c>
      <c r="Z6" s="147">
        <v>1.6546843439123604</v>
      </c>
      <c r="AA6" s="147">
        <v>-0.53365901468329646</v>
      </c>
      <c r="AB6" s="147">
        <v>-0.85012280979926969</v>
      </c>
      <c r="AC6" s="147">
        <v>0.12470577499859026</v>
      </c>
      <c r="AD6" s="147">
        <v>0.97248991279241803</v>
      </c>
      <c r="AE6" s="147">
        <v>1.8997033331201951</v>
      </c>
      <c r="AF6" s="147">
        <v>2.116381009755619</v>
      </c>
      <c r="AG6" s="147">
        <v>2.0279976023120927</v>
      </c>
      <c r="AH6" s="147">
        <v>1.7051817456764651</v>
      </c>
      <c r="AI6" s="147">
        <v>1.3043888575532847</v>
      </c>
      <c r="AJ6" s="147">
        <v>0.85395583659877428</v>
      </c>
      <c r="AK6" s="147">
        <v>1.1456898738560817</v>
      </c>
      <c r="AL6" s="147">
        <v>2.1907354385744648</v>
      </c>
      <c r="AM6" s="147">
        <v>3.1416674495211572</v>
      </c>
    </row>
    <row r="7" spans="1:39" ht="17.100000000000001" customHeight="1" x14ac:dyDescent="0.2">
      <c r="A7" s="72" t="s">
        <v>1</v>
      </c>
      <c r="B7" s="45">
        <v>0.59312482365798669</v>
      </c>
      <c r="C7" s="45">
        <v>-2.0737379788187904</v>
      </c>
      <c r="D7" s="45">
        <v>-1.0630879528450765</v>
      </c>
      <c r="E7" s="45">
        <v>0.63784095665309071</v>
      </c>
      <c r="F7" s="45">
        <v>2.5857891803542143</v>
      </c>
      <c r="G7" s="45">
        <v>5.2181237880666087</v>
      </c>
      <c r="H7" s="45">
        <v>5.6741726800961789</v>
      </c>
      <c r="I7" s="45">
        <v>4.5946639526224908</v>
      </c>
      <c r="J7" s="45">
        <v>1.2957258848500519</v>
      </c>
      <c r="K7" s="45">
        <v>-2.8876247501167795</v>
      </c>
      <c r="L7" s="45">
        <v>-2.9364267179969317</v>
      </c>
      <c r="M7" s="45">
        <v>2.1190746271751104</v>
      </c>
      <c r="N7" s="45">
        <v>3.9626247672644999</v>
      </c>
      <c r="O7" s="45">
        <v>-5.2395645588454443E-2</v>
      </c>
      <c r="P7" s="45">
        <v>-3.750744689220431E-2</v>
      </c>
      <c r="Q7" s="45">
        <v>2.7935704749479484</v>
      </c>
      <c r="R7" s="45">
        <v>3.071701322340048</v>
      </c>
      <c r="S7" s="45">
        <v>3.6818036937189991</v>
      </c>
      <c r="T7" s="45">
        <v>2.5712559587317552</v>
      </c>
      <c r="U7" s="45">
        <v>-2.2729374539699254</v>
      </c>
      <c r="V7" s="45">
        <v>2.1288947401936431</v>
      </c>
      <c r="W7" s="45">
        <v>8.3701255310083091</v>
      </c>
      <c r="X7" s="45">
        <v>5.183779432053881</v>
      </c>
      <c r="Y7" s="45">
        <v>2.0668804771946991</v>
      </c>
      <c r="Z7" s="45">
        <v>1.7725790668582819</v>
      </c>
      <c r="AA7" s="45">
        <v>-1.64519351881246</v>
      </c>
      <c r="AB7" s="45">
        <v>-1.8578194012920823</v>
      </c>
      <c r="AC7" s="45">
        <v>1.8543461600579736</v>
      </c>
      <c r="AD7" s="45">
        <v>0.12988165353033931</v>
      </c>
      <c r="AE7" s="45">
        <v>-1.9120846574166461</v>
      </c>
      <c r="AF7" s="45">
        <v>0.79999671552797302</v>
      </c>
      <c r="AG7" s="45">
        <v>3.2052130774367305</v>
      </c>
      <c r="AH7" s="45">
        <v>4.4630697902075411</v>
      </c>
      <c r="AI7" s="45">
        <v>5.8190377954408401</v>
      </c>
      <c r="AJ7" s="45">
        <v>3.9729214988995176</v>
      </c>
      <c r="AK7" s="45">
        <v>2.9094046824060138</v>
      </c>
      <c r="AL7" s="45">
        <v>2.1981321169273205</v>
      </c>
      <c r="AM7" s="45">
        <v>2.0412895572667233</v>
      </c>
    </row>
    <row r="8" spans="1:39" ht="17.100000000000001" customHeight="1" x14ac:dyDescent="0.2">
      <c r="A8" s="72" t="s">
        <v>2</v>
      </c>
      <c r="B8" s="45">
        <v>-0.41191841710185306</v>
      </c>
      <c r="C8" s="45">
        <v>2.2322698824882581</v>
      </c>
      <c r="D8" s="45">
        <v>3.3154365195375401</v>
      </c>
      <c r="E8" s="45">
        <v>2.4408362839492881</v>
      </c>
      <c r="F8" s="45">
        <v>1.2706667928767956</v>
      </c>
      <c r="G8" s="45">
        <v>0.63953349940935045</v>
      </c>
      <c r="H8" s="45">
        <v>0.50536620227490392</v>
      </c>
      <c r="I8" s="45">
        <v>-0.7268508945975527</v>
      </c>
      <c r="J8" s="45">
        <v>-0.38205981845745862</v>
      </c>
      <c r="K8" s="45">
        <v>0.99292170494573728</v>
      </c>
      <c r="L8" s="45">
        <v>1.894815740303768</v>
      </c>
      <c r="M8" s="45">
        <v>1.2233000864577681</v>
      </c>
      <c r="N8" s="45">
        <v>0.65822932547860979</v>
      </c>
      <c r="O8" s="45">
        <v>2.0343891809786907</v>
      </c>
      <c r="P8" s="45">
        <v>3.6813518055988315</v>
      </c>
      <c r="Q8" s="45">
        <v>3.2965620495200687</v>
      </c>
      <c r="R8" s="45">
        <v>0.59807185860429879</v>
      </c>
      <c r="S8" s="45">
        <v>-1.8712684114100209</v>
      </c>
      <c r="T8" s="45">
        <v>-1.4774275319962116</v>
      </c>
      <c r="U8" s="45">
        <v>-0.45036191230953815</v>
      </c>
      <c r="V8" s="45">
        <v>0.44584147223531989</v>
      </c>
      <c r="W8" s="45">
        <v>2.9186093738527763</v>
      </c>
      <c r="X8" s="45">
        <v>3.8475028837947622</v>
      </c>
      <c r="Y8" s="45">
        <v>4.1591639738761454</v>
      </c>
      <c r="Z8" s="45">
        <v>1.609672495369785</v>
      </c>
      <c r="AA8" s="45">
        <v>-2.1252455533013914</v>
      </c>
      <c r="AB8" s="45">
        <v>-1.9125829409309181</v>
      </c>
      <c r="AC8" s="45">
        <v>0.35715655838437499</v>
      </c>
      <c r="AD8" s="45">
        <v>2.0436828154689612</v>
      </c>
      <c r="AE8" s="45">
        <v>2.6773528375209965</v>
      </c>
      <c r="AF8" s="45">
        <v>1.7074387602394214</v>
      </c>
      <c r="AG8" s="45">
        <v>1.6240769266210764</v>
      </c>
      <c r="AH8" s="45">
        <v>1.5286026454963686</v>
      </c>
      <c r="AI8" s="45">
        <v>0.58057888865146179</v>
      </c>
      <c r="AJ8" s="45">
        <v>-0.40468509166667888</v>
      </c>
      <c r="AK8" s="45">
        <v>-9.6514158053306875E-2</v>
      </c>
      <c r="AL8" s="45">
        <v>1.9362817381874287</v>
      </c>
      <c r="AM8" s="45">
        <v>4.0696498904186473</v>
      </c>
    </row>
    <row r="9" spans="1:39" ht="17.100000000000001" customHeight="1" x14ac:dyDescent="0.2">
      <c r="A9" s="72" t="s">
        <v>3</v>
      </c>
      <c r="B9" s="45">
        <v>1.9677258156584276</v>
      </c>
      <c r="C9" s="45">
        <v>2.0621673319429101</v>
      </c>
      <c r="D9" s="45">
        <v>1.9204222366268953</v>
      </c>
      <c r="E9" s="45">
        <v>1.8178535613500912</v>
      </c>
      <c r="F9" s="45">
        <v>1.7620776606863675</v>
      </c>
      <c r="G9" s="45">
        <v>1.6518749937349586</v>
      </c>
      <c r="H9" s="45">
        <v>1.4827999100367473</v>
      </c>
      <c r="I9" s="45">
        <v>1.6247405285340077</v>
      </c>
      <c r="J9" s="45">
        <v>1.8379703707646078</v>
      </c>
      <c r="K9" s="45">
        <v>1.8861385464986835</v>
      </c>
      <c r="L9" s="45">
        <v>1.8395646636463869</v>
      </c>
      <c r="M9" s="45">
        <v>1.9744731331361454</v>
      </c>
      <c r="N9" s="45">
        <v>2.0004568613115392</v>
      </c>
      <c r="O9" s="45">
        <v>1.9431589064151211</v>
      </c>
      <c r="P9" s="45">
        <v>1.8881378722857889</v>
      </c>
      <c r="Q9" s="45">
        <v>1.7203033139902901</v>
      </c>
      <c r="R9" s="45">
        <v>1.7698168572043649</v>
      </c>
      <c r="S9" s="45">
        <v>1.9831490034617483</v>
      </c>
      <c r="T9" s="45">
        <v>2.110239008694359</v>
      </c>
      <c r="U9" s="45">
        <v>2.0932546658952278</v>
      </c>
      <c r="V9" s="45">
        <v>1.9340586665384629</v>
      </c>
      <c r="W9" s="45">
        <v>1.8752953000363615</v>
      </c>
      <c r="X9" s="45">
        <v>2.0680475137002663</v>
      </c>
      <c r="Y9" s="45">
        <v>2.2913978095348897</v>
      </c>
      <c r="Z9" s="45">
        <v>2.2286547576412241</v>
      </c>
      <c r="AA9" s="45">
        <v>2.0163113717401648</v>
      </c>
      <c r="AB9" s="45">
        <v>1.8517462692556608</v>
      </c>
      <c r="AC9" s="45">
        <v>1.8295921924847303</v>
      </c>
      <c r="AD9" s="45">
        <v>1.9593164564430943</v>
      </c>
      <c r="AE9" s="45">
        <v>2.0747207465845241</v>
      </c>
      <c r="AF9" s="45">
        <v>2.0776227854139018</v>
      </c>
      <c r="AG9" s="45">
        <v>2.0303480234130644</v>
      </c>
      <c r="AH9" s="45">
        <v>2.0744719206391871</v>
      </c>
      <c r="AI9" s="45">
        <v>2.1805662035173645</v>
      </c>
      <c r="AJ9" s="45">
        <v>2.2661714658748444</v>
      </c>
      <c r="AK9" s="45">
        <v>2.2392017541505771</v>
      </c>
      <c r="AL9" s="45">
        <v>2.2185253034893604</v>
      </c>
      <c r="AM9" s="45">
        <v>2.186455576744506</v>
      </c>
    </row>
    <row r="10" spans="1:39" ht="17.100000000000001" customHeight="1" x14ac:dyDescent="0.2">
      <c r="A10" s="72" t="s">
        <v>4</v>
      </c>
      <c r="B10" s="45">
        <v>2.0422569770057741</v>
      </c>
      <c r="C10" s="45">
        <v>1.2922336054519645</v>
      </c>
      <c r="D10" s="45">
        <v>0.91615290104023472</v>
      </c>
      <c r="E10" s="45">
        <v>0.17041831202226909</v>
      </c>
      <c r="F10" s="45">
        <v>-1.6064168789840405</v>
      </c>
      <c r="G10" s="45">
        <v>-1.7875380560624987</v>
      </c>
      <c r="H10" s="45">
        <v>1.5163660650070243</v>
      </c>
      <c r="I10" s="45">
        <v>3.0511941946963939</v>
      </c>
      <c r="J10" s="45">
        <v>2.2158115251616817</v>
      </c>
      <c r="K10" s="45">
        <v>1.0292420312877804</v>
      </c>
      <c r="L10" s="45">
        <v>4.6038291509705509</v>
      </c>
      <c r="M10" s="45">
        <v>6.685549218982656</v>
      </c>
      <c r="N10" s="45">
        <v>3.5563328523672721</v>
      </c>
      <c r="O10" s="45">
        <v>-3.259122018952687</v>
      </c>
      <c r="P10" s="45">
        <v>-7.1301133111953625</v>
      </c>
      <c r="Q10" s="45">
        <v>-3.1974210838098371</v>
      </c>
      <c r="R10" s="45">
        <v>4.6351797798362071</v>
      </c>
      <c r="S10" s="45">
        <v>7.1740905478550498</v>
      </c>
      <c r="T10" s="45">
        <v>3.4678374612264751</v>
      </c>
      <c r="U10" s="45">
        <v>-4.2977561682966403E-2</v>
      </c>
      <c r="V10" s="45">
        <v>-1.8292754829981939</v>
      </c>
      <c r="W10" s="45">
        <v>1.1160257850991728</v>
      </c>
      <c r="X10" s="45">
        <v>2.5909462190067289</v>
      </c>
      <c r="Y10" s="45">
        <v>0.58688385893399531</v>
      </c>
      <c r="Z10" s="45">
        <v>-0.63717113077070842</v>
      </c>
      <c r="AA10" s="45">
        <v>0.34441424974316348</v>
      </c>
      <c r="AB10" s="45">
        <v>0.37891516853403306</v>
      </c>
      <c r="AC10" s="45">
        <v>1.0956918374418922</v>
      </c>
      <c r="AD10" s="45">
        <v>3.1358127645936262</v>
      </c>
      <c r="AE10" s="45">
        <v>2.6196503816287242</v>
      </c>
      <c r="AF10" s="45">
        <v>1.284172989316601</v>
      </c>
      <c r="AG10" s="45">
        <v>0.81911643932086609</v>
      </c>
      <c r="AH10" s="45">
        <v>-1.0586030055058426</v>
      </c>
      <c r="AI10" s="45">
        <v>-1.6405964589765176</v>
      </c>
      <c r="AJ10" s="45">
        <v>-0.71294947371118855</v>
      </c>
      <c r="AK10" s="45">
        <v>-1.5711184786639798</v>
      </c>
      <c r="AL10" s="45">
        <v>-1.2180560662768292</v>
      </c>
      <c r="AM10" s="45">
        <v>0.73845323365258064</v>
      </c>
    </row>
    <row r="11" spans="1:39" ht="17.100000000000001" customHeight="1" x14ac:dyDescent="0.2">
      <c r="A11" s="72" t="s">
        <v>5</v>
      </c>
      <c r="B11" s="45">
        <v>-1.4665133721920132</v>
      </c>
      <c r="C11" s="45">
        <v>0.83374596856495842</v>
      </c>
      <c r="D11" s="45">
        <v>1.7097699998349647</v>
      </c>
      <c r="E11" s="45">
        <v>1.5805548965149185</v>
      </c>
      <c r="F11" s="45">
        <v>-0.4528589322821519</v>
      </c>
      <c r="G11" s="45">
        <v>-0.11284088649538004</v>
      </c>
      <c r="H11" s="45">
        <v>2.2142105626114406</v>
      </c>
      <c r="I11" s="45">
        <v>2.3873173102101575</v>
      </c>
      <c r="J11" s="45">
        <v>0.53650644223564026</v>
      </c>
      <c r="K11" s="45">
        <v>-0.55014884486519477</v>
      </c>
      <c r="L11" s="45">
        <v>0.56086575129443705</v>
      </c>
      <c r="M11" s="45">
        <v>1.88923945501831</v>
      </c>
      <c r="N11" s="45">
        <v>2.4590406106732354</v>
      </c>
      <c r="O11" s="45">
        <v>0.44409429392386901</v>
      </c>
      <c r="P11" s="45">
        <v>-1.4888777601298697</v>
      </c>
      <c r="Q11" s="45">
        <v>-1.1447923759029033</v>
      </c>
      <c r="R11" s="45">
        <v>1.8859472917057252</v>
      </c>
      <c r="S11" s="45">
        <v>2.791823969888263</v>
      </c>
      <c r="T11" s="45">
        <v>0.91496330092675215</v>
      </c>
      <c r="U11" s="45">
        <v>-0.78049172127903077</v>
      </c>
      <c r="V11" s="45">
        <v>-0.67320684989132795</v>
      </c>
      <c r="W11" s="45">
        <v>1.9130851023477335</v>
      </c>
      <c r="X11" s="45">
        <v>3.1611996486375249</v>
      </c>
      <c r="Y11" s="45">
        <v>0.66069955121634827</v>
      </c>
      <c r="Z11" s="45">
        <v>-1.26508881191848</v>
      </c>
      <c r="AA11" s="45">
        <v>1.3620865824069961</v>
      </c>
      <c r="AB11" s="45">
        <v>2.2504619200927056</v>
      </c>
      <c r="AC11" s="45">
        <v>0.71974611224874252</v>
      </c>
      <c r="AD11" s="45">
        <v>-0.3033569354991883</v>
      </c>
      <c r="AE11" s="45">
        <v>3.9040728266725999E-2</v>
      </c>
      <c r="AF11" s="45">
        <v>0.97054166712078338</v>
      </c>
      <c r="AG11" s="45">
        <v>1.8774988745128951</v>
      </c>
      <c r="AH11" s="45">
        <v>1.4766684147232478</v>
      </c>
      <c r="AI11" s="45">
        <v>-0.48243822070455078</v>
      </c>
      <c r="AJ11" s="45">
        <v>5.6699300266749297E-2</v>
      </c>
      <c r="AK11" s="45">
        <v>3.2136861406331541</v>
      </c>
      <c r="AL11" s="45">
        <v>3.9403516754618284</v>
      </c>
      <c r="AM11" s="45">
        <v>2.2566743164632808</v>
      </c>
    </row>
    <row r="12" spans="1:39" ht="17.100000000000001" customHeight="1" x14ac:dyDescent="0.2">
      <c r="A12" s="72" t="s">
        <v>6</v>
      </c>
      <c r="B12" s="45">
        <v>-1.9177872099959914</v>
      </c>
      <c r="C12" s="45">
        <v>-1.6778409226735902</v>
      </c>
      <c r="D12" s="45">
        <v>-4.3385469590674131</v>
      </c>
      <c r="E12" s="45">
        <v>-9.0282642910794344</v>
      </c>
      <c r="F12" s="45">
        <v>-11.172960165358681</v>
      </c>
      <c r="G12" s="45">
        <v>-11.108090998891996</v>
      </c>
      <c r="H12" s="45">
        <v>-1.8599819093589987</v>
      </c>
      <c r="I12" s="45">
        <v>11.491298347118351</v>
      </c>
      <c r="J12" s="45">
        <v>15.191535223314801</v>
      </c>
      <c r="K12" s="45">
        <v>12.736240283038835</v>
      </c>
      <c r="L12" s="45">
        <v>9.0675793906405566</v>
      </c>
      <c r="M12" s="45">
        <v>3.5003730748378814</v>
      </c>
      <c r="N12" s="45">
        <v>-2.120015902262895</v>
      </c>
      <c r="O12" s="45">
        <v>-5.0477093319807427</v>
      </c>
      <c r="P12" s="45">
        <v>-6.5803465068190237</v>
      </c>
      <c r="Q12" s="45">
        <v>-1.5824875366831859</v>
      </c>
      <c r="R12" s="45">
        <v>3.2269826968893245</v>
      </c>
      <c r="S12" s="45">
        <v>-1.5621436395934607</v>
      </c>
      <c r="T12" s="45">
        <v>-8.0763689264157552</v>
      </c>
      <c r="U12" s="45">
        <v>-5.1072501534826786</v>
      </c>
      <c r="V12" s="45">
        <v>1.2713753671208528</v>
      </c>
      <c r="W12" s="45">
        <v>1.1673799320465195</v>
      </c>
      <c r="X12" s="45">
        <v>0.98575480443654495</v>
      </c>
      <c r="Y12" s="45">
        <v>3.9282052916485011</v>
      </c>
      <c r="Z12" s="45">
        <v>7.3562461977716431</v>
      </c>
      <c r="AA12" s="45">
        <v>4.4685951637999821</v>
      </c>
      <c r="AB12" s="45">
        <v>-3.6688968868443972</v>
      </c>
      <c r="AC12" s="45">
        <v>-9.9499286200345196</v>
      </c>
      <c r="AD12" s="45">
        <v>-6.3650371744545016</v>
      </c>
      <c r="AE12" s="45">
        <v>6.4396162672194057</v>
      </c>
      <c r="AF12" s="45">
        <v>11.275516000760399</v>
      </c>
      <c r="AG12" s="45">
        <v>3.8363764189304206</v>
      </c>
      <c r="AH12" s="45">
        <v>-1.7692169415669978</v>
      </c>
      <c r="AI12" s="45">
        <v>1.4196234512231953</v>
      </c>
      <c r="AJ12" s="45">
        <v>3.8702495482005883</v>
      </c>
      <c r="AK12" s="45">
        <v>0.66005696312647633</v>
      </c>
      <c r="AL12" s="45">
        <v>0.2782689982519404</v>
      </c>
      <c r="AM12" s="45">
        <v>2.3022629821133789</v>
      </c>
    </row>
    <row r="13" spans="1:39" s="136" customFormat="1" ht="17.100000000000001" customHeight="1" x14ac:dyDescent="0.2">
      <c r="A13" s="133" t="s">
        <v>93</v>
      </c>
      <c r="B13" s="147">
        <v>3.8740070806615012</v>
      </c>
      <c r="C13" s="147">
        <v>4.2216624188200491</v>
      </c>
      <c r="D13" s="147">
        <v>1.7299746291821183</v>
      </c>
      <c r="E13" s="147">
        <v>-0.29579553573012562</v>
      </c>
      <c r="F13" s="147">
        <v>-0.46439364643919845</v>
      </c>
      <c r="G13" s="147">
        <v>1.5917849153564534</v>
      </c>
      <c r="H13" s="147">
        <v>3.177195030749802</v>
      </c>
      <c r="I13" s="147">
        <v>2.8352659113476175</v>
      </c>
      <c r="J13" s="147">
        <v>1.480722996919015</v>
      </c>
      <c r="K13" s="147">
        <v>2.1792533301036254</v>
      </c>
      <c r="L13" s="147">
        <v>2.3851352805826842</v>
      </c>
      <c r="M13" s="147">
        <v>2.0884291022548629</v>
      </c>
      <c r="N13" s="147">
        <v>2.820167306653909</v>
      </c>
      <c r="O13" s="147">
        <v>1.5813933342624154</v>
      </c>
      <c r="P13" s="147">
        <v>-0.68416166681398716</v>
      </c>
      <c r="Q13" s="147">
        <v>-0.31839830526483315</v>
      </c>
      <c r="R13" s="147">
        <v>0.5105180959423361</v>
      </c>
      <c r="S13" s="147">
        <v>0.20466531257119502</v>
      </c>
      <c r="T13" s="147">
        <v>0.35165733790043507</v>
      </c>
      <c r="U13" s="147">
        <v>-0.12602363906861758</v>
      </c>
      <c r="V13" s="147">
        <v>2.0227049667398189</v>
      </c>
      <c r="W13" s="147">
        <v>3.4747112485955522</v>
      </c>
      <c r="X13" s="147">
        <v>1.686304205077227</v>
      </c>
      <c r="Y13" s="147">
        <v>-0.502777342806493</v>
      </c>
      <c r="Z13" s="147">
        <v>-0.46418427752248359</v>
      </c>
      <c r="AA13" s="147">
        <v>-0.50603239796610522</v>
      </c>
      <c r="AB13" s="147">
        <v>2.5078151243494107</v>
      </c>
      <c r="AC13" s="147">
        <v>3.7394904187975531</v>
      </c>
      <c r="AD13" s="147">
        <v>0.60850300807637758</v>
      </c>
      <c r="AE13" s="147">
        <v>-0.72735565719846962</v>
      </c>
      <c r="AF13" s="147">
        <v>1.6011356230821505</v>
      </c>
      <c r="AG13" s="147">
        <v>3.1611068353551541</v>
      </c>
      <c r="AH13" s="147">
        <v>2.0933719413201324</v>
      </c>
      <c r="AI13" s="147">
        <v>1.1232364519582205</v>
      </c>
      <c r="AJ13" s="147">
        <v>0.38207510540042566</v>
      </c>
      <c r="AK13" s="147">
        <v>1.4267594989092025</v>
      </c>
      <c r="AL13" s="147">
        <v>3.762506985775782</v>
      </c>
      <c r="AM13" s="147">
        <v>4.9170772613309266</v>
      </c>
    </row>
    <row r="14" spans="1:39" ht="17.100000000000001" customHeight="1" x14ac:dyDescent="0.2">
      <c r="A14" s="72" t="s">
        <v>8</v>
      </c>
      <c r="B14" s="45">
        <v>22.707927166418251</v>
      </c>
      <c r="C14" s="45">
        <v>17.559138481669436</v>
      </c>
      <c r="D14" s="45">
        <v>8.1585188667590902</v>
      </c>
      <c r="E14" s="45">
        <v>-0.81491128923921741</v>
      </c>
      <c r="F14" s="45">
        <v>-11.111517313957686</v>
      </c>
      <c r="G14" s="45">
        <v>-11.848554092693664</v>
      </c>
      <c r="H14" s="45">
        <v>14.403124563720372</v>
      </c>
      <c r="I14" s="45">
        <v>18.802072608477836</v>
      </c>
      <c r="J14" s="45">
        <v>-3.7107424579175596</v>
      </c>
      <c r="K14" s="45">
        <v>-1.8329829384107099</v>
      </c>
      <c r="L14" s="45">
        <v>8.2138999883136101</v>
      </c>
      <c r="M14" s="45">
        <v>3.9977114035856909</v>
      </c>
      <c r="N14" s="45">
        <v>8.2974944554486072</v>
      </c>
      <c r="O14" s="45">
        <v>16.976785448270192</v>
      </c>
      <c r="P14" s="45">
        <v>-1.9710826357990263</v>
      </c>
      <c r="Q14" s="45">
        <v>0.77885750333632764</v>
      </c>
      <c r="R14" s="45">
        <v>8.3185354850771951</v>
      </c>
      <c r="S14" s="45">
        <v>-4.8150846577987849</v>
      </c>
      <c r="T14" s="45">
        <v>-19.258203119876228</v>
      </c>
      <c r="U14" s="45">
        <v>-15.552338460725057</v>
      </c>
      <c r="V14" s="45">
        <v>23.487199388240555</v>
      </c>
      <c r="W14" s="45">
        <v>36.393109397483748</v>
      </c>
      <c r="X14" s="45">
        <v>16.261578427813241</v>
      </c>
      <c r="Y14" s="45">
        <v>-9.517000093764171</v>
      </c>
      <c r="Z14" s="45">
        <v>-25.40723061928556</v>
      </c>
      <c r="AA14" s="45">
        <v>-25.187010029664069</v>
      </c>
      <c r="AB14" s="45">
        <v>72.75929967410697</v>
      </c>
      <c r="AC14" s="45">
        <v>51.975130740831752</v>
      </c>
      <c r="AD14" s="45">
        <v>-1.4095978826787259</v>
      </c>
      <c r="AE14" s="45">
        <v>-24.929605851096582</v>
      </c>
      <c r="AF14" s="45">
        <v>-20.718921099021912</v>
      </c>
      <c r="AG14" s="45">
        <v>2.4983971304802344</v>
      </c>
      <c r="AH14" s="45">
        <v>24.823600535260159</v>
      </c>
      <c r="AI14" s="45">
        <v>6.5959598120539864</v>
      </c>
      <c r="AJ14" s="45">
        <v>-25.562191655514631</v>
      </c>
      <c r="AK14" s="45">
        <v>-17.158165379986123</v>
      </c>
      <c r="AL14" s="45">
        <v>42.266682108290475</v>
      </c>
      <c r="AM14" s="45">
        <v>46.432152722430551</v>
      </c>
    </row>
    <row r="15" spans="1:39" ht="17.100000000000001" customHeight="1" x14ac:dyDescent="0.2">
      <c r="A15" s="42" t="s">
        <v>9</v>
      </c>
      <c r="B15" s="45">
        <v>2.7190005826623898</v>
      </c>
      <c r="C15" s="45">
        <v>4.1050621439558066</v>
      </c>
      <c r="D15" s="45">
        <v>2.3307429542264613</v>
      </c>
      <c r="E15" s="45">
        <v>-0.31180229597366216</v>
      </c>
      <c r="F15" s="45">
        <v>-0.6447103915648289</v>
      </c>
      <c r="G15" s="45">
        <v>1.9305106145576456</v>
      </c>
      <c r="H15" s="45">
        <v>2.4578217194916707</v>
      </c>
      <c r="I15" s="45">
        <v>1.7520475712093253</v>
      </c>
      <c r="J15" s="45">
        <v>1.5454204526682114</v>
      </c>
      <c r="K15" s="45">
        <v>2.3807782750230766</v>
      </c>
      <c r="L15" s="45">
        <v>1.7781704653780483</v>
      </c>
      <c r="M15" s="45">
        <v>2.3148106637631782</v>
      </c>
      <c r="N15" s="45">
        <v>3.4874130174975093</v>
      </c>
      <c r="O15" s="45">
        <v>0.40437242357473924</v>
      </c>
      <c r="P15" s="45">
        <v>-1.5491906382539278</v>
      </c>
      <c r="Q15" s="45">
        <v>-0.68255096021809791</v>
      </c>
      <c r="R15" s="45">
        <v>-0.9934123711338283</v>
      </c>
      <c r="S15" s="45">
        <v>-1.300647248198139</v>
      </c>
      <c r="T15" s="45">
        <v>0.79964181707756765</v>
      </c>
      <c r="U15" s="45">
        <v>2.6832643636831577E-2</v>
      </c>
      <c r="V15" s="45">
        <v>1.3032168016491097</v>
      </c>
      <c r="W15" s="45">
        <v>3.7803690544063073</v>
      </c>
      <c r="X15" s="45">
        <v>2.7067008309952678</v>
      </c>
      <c r="Y15" s="45">
        <v>-0.27765648623464534</v>
      </c>
      <c r="Z15" s="45">
        <v>3.232985023040591E-2</v>
      </c>
      <c r="AA15" s="45">
        <v>0.13913372855121064</v>
      </c>
      <c r="AB15" s="45">
        <v>-1.077588044911959</v>
      </c>
      <c r="AC15" s="45">
        <v>-0.28718827514984113</v>
      </c>
      <c r="AD15" s="45">
        <v>0.67962337919909022</v>
      </c>
      <c r="AE15" s="45">
        <v>1.2990910779349552</v>
      </c>
      <c r="AF15" s="45">
        <v>3.1782775165934973</v>
      </c>
      <c r="AG15" s="45">
        <v>4.2026970683269438</v>
      </c>
      <c r="AH15" s="45">
        <v>0.96166775666064463</v>
      </c>
      <c r="AI15" s="45">
        <v>-0.7316262681084762</v>
      </c>
      <c r="AJ15" s="45">
        <v>0.7698733955631587</v>
      </c>
      <c r="AK15" s="45">
        <v>2.4699353094465026</v>
      </c>
      <c r="AL15" s="45">
        <v>2.5575422085946764</v>
      </c>
      <c r="AM15" s="45">
        <v>2.5000023558281903</v>
      </c>
    </row>
    <row r="16" spans="1:39" ht="17.100000000000001" customHeight="1" x14ac:dyDescent="0.2">
      <c r="A16" s="42" t="s">
        <v>10</v>
      </c>
      <c r="B16" s="45">
        <v>2.6027061283660835</v>
      </c>
      <c r="C16" s="45">
        <v>3.2677620826169429</v>
      </c>
      <c r="D16" s="45">
        <v>3.3940636782225919</v>
      </c>
      <c r="E16" s="45">
        <v>2.0863338245241891</v>
      </c>
      <c r="F16" s="45">
        <v>1.2676132325132539</v>
      </c>
      <c r="G16" s="45">
        <v>0.65097685825030727</v>
      </c>
      <c r="H16" s="45">
        <v>-0.58893242592151784</v>
      </c>
      <c r="I16" s="45">
        <v>-0.70032222367526487</v>
      </c>
      <c r="J16" s="45">
        <v>0.2166462450901907</v>
      </c>
      <c r="K16" s="45">
        <v>0.88335855965475663</v>
      </c>
      <c r="L16" s="45">
        <v>2.1134748452868779</v>
      </c>
      <c r="M16" s="45">
        <v>4.3892859847069365</v>
      </c>
      <c r="N16" s="45">
        <v>4.6692427066363784</v>
      </c>
      <c r="O16" s="45">
        <v>3.7312044546526479</v>
      </c>
      <c r="P16" s="45">
        <v>2.6247195487191455</v>
      </c>
      <c r="Q16" s="45">
        <v>1.6094391029344068</v>
      </c>
      <c r="R16" s="45">
        <v>1.5985083022476809</v>
      </c>
      <c r="S16" s="45">
        <v>2.2992899565085656</v>
      </c>
      <c r="T16" s="45">
        <v>2.1467541452422134</v>
      </c>
      <c r="U16" s="45">
        <v>0.74335035779264924</v>
      </c>
      <c r="V16" s="45">
        <v>1.9736948318427316E-2</v>
      </c>
      <c r="W16" s="45">
        <v>0.30838082976036851</v>
      </c>
      <c r="X16" s="45">
        <v>0.91589946808632305</v>
      </c>
      <c r="Y16" s="45">
        <v>1.3798084664562449</v>
      </c>
      <c r="Z16" s="45">
        <v>2.5951115949727876</v>
      </c>
      <c r="AA16" s="45">
        <v>2.7048231338899775</v>
      </c>
      <c r="AB16" s="45">
        <v>2.2970118175826837</v>
      </c>
      <c r="AC16" s="45">
        <v>2.7363437850970618</v>
      </c>
      <c r="AD16" s="45">
        <v>2.4604942597312718</v>
      </c>
      <c r="AE16" s="45">
        <v>1.5112739527344266</v>
      </c>
      <c r="AF16" s="45">
        <v>1.1432722092554304</v>
      </c>
      <c r="AG16" s="45">
        <v>1.7357739694468854</v>
      </c>
      <c r="AH16" s="45">
        <v>2.7769535233830522</v>
      </c>
      <c r="AI16" s="45">
        <v>4.13280515765031</v>
      </c>
      <c r="AJ16" s="45">
        <v>4.6659791005348783</v>
      </c>
      <c r="AK16" s="45">
        <v>3.5994473047060493</v>
      </c>
      <c r="AL16" s="45">
        <v>1.5138408478736043</v>
      </c>
      <c r="AM16" s="45">
        <v>0.76801396450938419</v>
      </c>
    </row>
    <row r="17" spans="1:39" ht="17.100000000000001" customHeight="1" x14ac:dyDescent="0.2">
      <c r="A17" s="42" t="s">
        <v>11</v>
      </c>
      <c r="B17" s="45">
        <v>1.4681621260475008</v>
      </c>
      <c r="C17" s="45">
        <v>1.4298602566947149</v>
      </c>
      <c r="D17" s="45">
        <v>1.2435986068854543</v>
      </c>
      <c r="E17" s="45">
        <v>1.01578015590158</v>
      </c>
      <c r="F17" s="45">
        <v>0.87028020728423527</v>
      </c>
      <c r="G17" s="45">
        <v>0.82665271785935523</v>
      </c>
      <c r="H17" s="45">
        <v>0.99530961443816679</v>
      </c>
      <c r="I17" s="45">
        <v>1.1376738715764168</v>
      </c>
      <c r="J17" s="45">
        <v>1.3040855300833876</v>
      </c>
      <c r="K17" s="45">
        <v>1.2358452420061283</v>
      </c>
      <c r="L17" s="45">
        <v>1.1375096080621372</v>
      </c>
      <c r="M17" s="45">
        <v>1.0150712587658539</v>
      </c>
      <c r="N17" s="45">
        <v>0.86502037161229062</v>
      </c>
      <c r="O17" s="45">
        <v>0.92318898530374671</v>
      </c>
      <c r="P17" s="45">
        <v>1.0890247806850883</v>
      </c>
      <c r="Q17" s="45">
        <v>1.1528920226914208</v>
      </c>
      <c r="R17" s="45">
        <v>1.2110747571262515</v>
      </c>
      <c r="S17" s="45">
        <v>1.2163522180987929</v>
      </c>
      <c r="T17" s="45">
        <v>1.1602883225721561</v>
      </c>
      <c r="U17" s="45">
        <v>1.4822252153214643</v>
      </c>
      <c r="V17" s="45">
        <v>1.8498950083077004</v>
      </c>
      <c r="W17" s="45">
        <v>1.7556345886739377</v>
      </c>
      <c r="X17" s="45">
        <v>1.3849232968758285</v>
      </c>
      <c r="Y17" s="45">
        <v>0.93744462127773875</v>
      </c>
      <c r="Z17" s="45">
        <v>0.67160523582407983</v>
      </c>
      <c r="AA17" s="45">
        <v>0.90446244011579413</v>
      </c>
      <c r="AB17" s="45">
        <v>1.2842378309033453</v>
      </c>
      <c r="AC17" s="45">
        <v>1.44680824883896</v>
      </c>
      <c r="AD17" s="45">
        <v>1.3791398699067869</v>
      </c>
      <c r="AE17" s="45">
        <v>1.2164121045375786</v>
      </c>
      <c r="AF17" s="45">
        <v>1.1011910809591408</v>
      </c>
      <c r="AG17" s="45">
        <v>0.93034446043622765</v>
      </c>
      <c r="AH17" s="45">
        <v>0.58438287041617798</v>
      </c>
      <c r="AI17" s="45">
        <v>0.40067350546570957</v>
      </c>
      <c r="AJ17" s="45">
        <v>0.44931532588721179</v>
      </c>
      <c r="AK17" s="45">
        <v>0.65426700887216693</v>
      </c>
      <c r="AL17" s="45">
        <v>1.0130253992338689</v>
      </c>
      <c r="AM17" s="45">
        <v>1.142795977231259</v>
      </c>
    </row>
    <row r="18" spans="1:39" ht="17.100000000000001" customHeight="1" x14ac:dyDescent="0.2">
      <c r="A18" s="72" t="s">
        <v>12</v>
      </c>
      <c r="B18" s="45">
        <v>5.3711967450492892</v>
      </c>
      <c r="C18" s="45">
        <v>3.4218093230829583</v>
      </c>
      <c r="D18" s="45">
        <v>-1.4281408011594499</v>
      </c>
      <c r="E18" s="45">
        <v>-1.2316520564795708</v>
      </c>
      <c r="F18" s="45">
        <v>1.5541817344342901</v>
      </c>
      <c r="G18" s="45">
        <v>3.9606032379505329</v>
      </c>
      <c r="H18" s="45">
        <v>4.9550253284119883</v>
      </c>
      <c r="I18" s="45">
        <v>4.1341891283059873</v>
      </c>
      <c r="J18" s="45">
        <v>2.7661921756861663</v>
      </c>
      <c r="K18" s="45">
        <v>3.099497467648149</v>
      </c>
      <c r="L18" s="45">
        <v>3.3309565052728196</v>
      </c>
      <c r="M18" s="45">
        <v>1.0821183055231609</v>
      </c>
      <c r="N18" s="45">
        <v>0.33553588053958361</v>
      </c>
      <c r="O18" s="45">
        <v>1.0018147676724265</v>
      </c>
      <c r="P18" s="45">
        <v>0.53164767907778465</v>
      </c>
      <c r="Q18" s="45">
        <v>-0.64106378256734153</v>
      </c>
      <c r="R18" s="45">
        <v>1.8259849268223327</v>
      </c>
      <c r="S18" s="45">
        <v>4.4563759995506436</v>
      </c>
      <c r="T18" s="45">
        <v>3.4990001112995772</v>
      </c>
      <c r="U18" s="45">
        <v>1.7611039637460024</v>
      </c>
      <c r="V18" s="45">
        <v>0.66503012349112822</v>
      </c>
      <c r="W18" s="45">
        <v>-2.4340603390675675</v>
      </c>
      <c r="X18" s="45">
        <v>-4.5131322636114524</v>
      </c>
      <c r="Y18" s="45">
        <v>0.94077625756734395</v>
      </c>
      <c r="Z18" s="45">
        <v>4.6352341427957189</v>
      </c>
      <c r="AA18" s="45">
        <v>1.9583801482239593</v>
      </c>
      <c r="AB18" s="45">
        <v>0.50998221324185522</v>
      </c>
      <c r="AC18" s="45">
        <v>1.246368459612035</v>
      </c>
      <c r="AD18" s="45">
        <v>0.52955634756963743</v>
      </c>
      <c r="AE18" s="45">
        <v>2.9404199904870865</v>
      </c>
      <c r="AF18" s="45">
        <v>4.7990547858358656</v>
      </c>
      <c r="AG18" s="45">
        <v>2.1092885536545536</v>
      </c>
      <c r="AH18" s="45">
        <v>5.3535422374850761E-2</v>
      </c>
      <c r="AI18" s="45">
        <v>3.4666749235856553</v>
      </c>
      <c r="AJ18" s="45">
        <v>5.8583842425575572</v>
      </c>
      <c r="AK18" s="45">
        <v>2.6840905723824804</v>
      </c>
      <c r="AL18" s="45">
        <v>1.533516127838408</v>
      </c>
      <c r="AM18" s="45">
        <v>2.9091655125749849</v>
      </c>
    </row>
    <row r="19" spans="1:39" s="136" customFormat="1" ht="17.100000000000001" customHeight="1" x14ac:dyDescent="0.2">
      <c r="A19" s="133" t="s">
        <v>94</v>
      </c>
      <c r="B19" s="147">
        <v>-0.15071623907467746</v>
      </c>
      <c r="C19" s="147">
        <v>0.19770636180311829</v>
      </c>
      <c r="D19" s="147">
        <v>1.8198359156385013</v>
      </c>
      <c r="E19" s="147">
        <v>2.9764651808363629</v>
      </c>
      <c r="F19" s="147">
        <v>2.8449872535710963</v>
      </c>
      <c r="G19" s="147">
        <v>1.8823433213678742</v>
      </c>
      <c r="H19" s="147">
        <v>1.0901794691723143</v>
      </c>
      <c r="I19" s="147">
        <v>1.4886804898152972</v>
      </c>
      <c r="J19" s="147">
        <v>1.5783096967397103</v>
      </c>
      <c r="K19" s="147">
        <v>1.1465662162706725</v>
      </c>
      <c r="L19" s="147">
        <v>0.96747859026471428</v>
      </c>
      <c r="M19" s="147">
        <v>2.2090095205957283</v>
      </c>
      <c r="N19" s="147">
        <v>2.6082687156685935</v>
      </c>
      <c r="O19" s="147">
        <v>0.76818082451381997</v>
      </c>
      <c r="P19" s="147">
        <v>-2.5411974647666313</v>
      </c>
      <c r="Q19" s="147">
        <v>-1.7105546750546319</v>
      </c>
      <c r="R19" s="147">
        <v>0.32641017702108588</v>
      </c>
      <c r="S19" s="147">
        <v>2.1283830206387577</v>
      </c>
      <c r="T19" s="147">
        <v>2.4155221746717359</v>
      </c>
      <c r="U19" s="147">
        <v>0.61930470289854878</v>
      </c>
      <c r="V19" s="147">
        <v>-0.30735351370275721</v>
      </c>
      <c r="W19" s="147">
        <v>1.6923828109171701</v>
      </c>
      <c r="X19" s="147">
        <v>1.7452468489105533</v>
      </c>
      <c r="Y19" s="147">
        <v>3.5152744376687473E-2</v>
      </c>
      <c r="Z19" s="147">
        <v>1.619583924935597</v>
      </c>
      <c r="AA19" s="147">
        <v>1.7189196497805037</v>
      </c>
      <c r="AB19" s="147">
        <v>1.4299791449974286</v>
      </c>
      <c r="AC19" s="147">
        <v>1.5442257989259689</v>
      </c>
      <c r="AD19" s="147">
        <v>1.5754830476723214</v>
      </c>
      <c r="AE19" s="147">
        <v>0.87555160252674735</v>
      </c>
      <c r="AF19" s="147">
        <v>2.9335557993390049</v>
      </c>
      <c r="AG19" s="147">
        <v>2.5552596789729876</v>
      </c>
      <c r="AH19" s="147">
        <v>0.72311941315128525</v>
      </c>
      <c r="AI19" s="147">
        <v>0.67901687743714412</v>
      </c>
      <c r="AJ19" s="147">
        <v>1.7202496857755989</v>
      </c>
      <c r="AK19" s="147">
        <v>2.0221471531196133</v>
      </c>
      <c r="AL19" s="147">
        <v>1.0953980109813521</v>
      </c>
      <c r="AM19" s="147">
        <v>0.6705605168422446</v>
      </c>
    </row>
    <row r="20" spans="1:39" ht="17.100000000000001" customHeight="1" x14ac:dyDescent="0.2">
      <c r="A20" s="78" t="s">
        <v>52</v>
      </c>
      <c r="B20" s="45">
        <v>-0.38273980102081495</v>
      </c>
      <c r="C20" s="45">
        <v>0.91818259005764791</v>
      </c>
      <c r="D20" s="45">
        <v>2.8969738846404525</v>
      </c>
      <c r="E20" s="45">
        <v>2.0003375918260957</v>
      </c>
      <c r="F20" s="45">
        <v>1.6269862667585899</v>
      </c>
      <c r="G20" s="45">
        <v>2.2880559443693826</v>
      </c>
      <c r="H20" s="45">
        <v>1.5918551277801729</v>
      </c>
      <c r="I20" s="45">
        <v>1.0247893487375315</v>
      </c>
      <c r="J20" s="45">
        <v>1.093809338840912</v>
      </c>
      <c r="K20" s="45">
        <v>1.2893647514386597</v>
      </c>
      <c r="L20" s="45">
        <v>0.49357611944254032</v>
      </c>
      <c r="M20" s="45">
        <v>1.152504728871051</v>
      </c>
      <c r="N20" s="45">
        <v>1.8094486094617279</v>
      </c>
      <c r="O20" s="45">
        <v>-1.816113837530553E-2</v>
      </c>
      <c r="P20" s="45">
        <v>-4.1284210632070657</v>
      </c>
      <c r="Q20" s="45">
        <v>-3.2533871250570279</v>
      </c>
      <c r="R20" s="45">
        <v>-0.24100142329483987</v>
      </c>
      <c r="S20" s="45">
        <v>0.65084351895612347</v>
      </c>
      <c r="T20" s="45">
        <v>0.84701848663415458</v>
      </c>
      <c r="U20" s="45">
        <v>-0.42792036229599706</v>
      </c>
      <c r="V20" s="45">
        <v>0.24857256549073448</v>
      </c>
      <c r="W20" s="45">
        <v>3.8261221649961596</v>
      </c>
      <c r="X20" s="45">
        <v>4.1738582853538819</v>
      </c>
      <c r="Y20" s="45">
        <v>-1.0741360205684614</v>
      </c>
      <c r="Z20" s="45">
        <v>-1.587540239090679</v>
      </c>
      <c r="AA20" s="45">
        <v>0.76065509172262846</v>
      </c>
      <c r="AB20" s="45">
        <v>3.4993921258822391</v>
      </c>
      <c r="AC20" s="45">
        <v>3.8183255170429975</v>
      </c>
      <c r="AD20" s="45">
        <v>2.5208162830204994</v>
      </c>
      <c r="AE20" s="45">
        <v>0.22620523016101401</v>
      </c>
      <c r="AF20" s="45">
        <v>1.5292083596285311</v>
      </c>
      <c r="AG20" s="45">
        <v>3.9149662888973147</v>
      </c>
      <c r="AH20" s="45">
        <v>2.7684051978509316</v>
      </c>
      <c r="AI20" s="45">
        <v>1.1266509167270566</v>
      </c>
      <c r="AJ20" s="45">
        <v>1.1834320009287858</v>
      </c>
      <c r="AK20" s="45">
        <v>2.607388084566864</v>
      </c>
      <c r="AL20" s="45">
        <v>0.94006480876431819</v>
      </c>
      <c r="AM20" s="45">
        <v>4.3151296554966301E-2</v>
      </c>
    </row>
    <row r="21" spans="1:39" ht="17.100000000000001" customHeight="1" x14ac:dyDescent="0.2">
      <c r="A21" s="78" t="s">
        <v>53</v>
      </c>
      <c r="B21" s="45">
        <v>0.28653463864507511</v>
      </c>
      <c r="C21" s="45">
        <v>1.2876745027900593</v>
      </c>
      <c r="D21" s="45">
        <v>2.3091549315802373</v>
      </c>
      <c r="E21" s="45">
        <v>3.5961662823762897</v>
      </c>
      <c r="F21" s="45">
        <v>3.5794061564517587</v>
      </c>
      <c r="G21" s="45">
        <v>2.2416446020296243</v>
      </c>
      <c r="H21" s="45">
        <v>1.9966915980732969</v>
      </c>
      <c r="I21" s="45">
        <v>0.95033531156574202</v>
      </c>
      <c r="J21" s="45">
        <v>-0.98523421519505217</v>
      </c>
      <c r="K21" s="45">
        <v>-1.3732364343345127</v>
      </c>
      <c r="L21" s="45">
        <v>0.48576650135023769</v>
      </c>
      <c r="M21" s="45">
        <v>2.884382464314883</v>
      </c>
      <c r="N21" s="45">
        <v>1.4856181264892854</v>
      </c>
      <c r="O21" s="45">
        <v>-2.6741540804172015</v>
      </c>
      <c r="P21" s="45">
        <v>-5.5292975298241061</v>
      </c>
      <c r="Q21" s="45">
        <v>-0.95675286288501304</v>
      </c>
      <c r="R21" s="45">
        <v>2.4553611713778789</v>
      </c>
      <c r="S21" s="45">
        <v>0.77383912454906945</v>
      </c>
      <c r="T21" s="45">
        <v>-0.12455168521072757</v>
      </c>
      <c r="U21" s="45">
        <v>-0.86329181960508317</v>
      </c>
      <c r="V21" s="45">
        <v>-2.6947457970081579</v>
      </c>
      <c r="W21" s="45">
        <v>0.66345623767360973</v>
      </c>
      <c r="X21" s="45">
        <v>1.5275967662970347</v>
      </c>
      <c r="Y21" s="45">
        <v>-4.6144224017937834</v>
      </c>
      <c r="Z21" s="45">
        <v>-3.2210728097435193</v>
      </c>
      <c r="AA21" s="45">
        <v>1.0578568202685767</v>
      </c>
      <c r="AB21" s="45">
        <v>-0.33848792250403825</v>
      </c>
      <c r="AC21" s="45">
        <v>-4.1410200959746124E-2</v>
      </c>
      <c r="AD21" s="45">
        <v>4.2289776810210844</v>
      </c>
      <c r="AE21" s="45">
        <v>4.1041851713299549</v>
      </c>
      <c r="AF21" s="45">
        <v>2.9712140774448059</v>
      </c>
      <c r="AG21" s="45">
        <v>3.6925141695715702</v>
      </c>
      <c r="AH21" s="45">
        <v>2.4378417267139074</v>
      </c>
      <c r="AI21" s="45">
        <v>1.8579615461011612</v>
      </c>
      <c r="AJ21" s="45">
        <v>3.5821676160167071</v>
      </c>
      <c r="AK21" s="45">
        <v>2.8563717684572554</v>
      </c>
      <c r="AL21" s="45">
        <v>1.143148315038478</v>
      </c>
      <c r="AM21" s="45">
        <v>1.7265824320494172</v>
      </c>
    </row>
    <row r="22" spans="1:39" ht="17.100000000000001" customHeight="1" x14ac:dyDescent="0.2">
      <c r="A22" s="78" t="s">
        <v>55</v>
      </c>
      <c r="B22" s="45">
        <v>5.9189492570419722</v>
      </c>
      <c r="C22" s="45">
        <v>4.9183700319910484</v>
      </c>
      <c r="D22" s="45">
        <v>3.9021153450608859</v>
      </c>
      <c r="E22" s="45">
        <v>4.679396022908322</v>
      </c>
      <c r="F22" s="45">
        <v>3.3391413281425031</v>
      </c>
      <c r="G22" s="45">
        <v>0.48313732433049594</v>
      </c>
      <c r="H22" s="45">
        <v>-0.45593426728069986</v>
      </c>
      <c r="I22" s="45">
        <v>0.34276251695317672</v>
      </c>
      <c r="J22" s="45">
        <v>-9.2872071708227644E-2</v>
      </c>
      <c r="K22" s="45">
        <v>-0.21239358454144819</v>
      </c>
      <c r="L22" s="45">
        <v>-0.609333601224471</v>
      </c>
      <c r="M22" s="45">
        <v>3.074366717560717</v>
      </c>
      <c r="N22" s="45">
        <v>4.6410170210678947</v>
      </c>
      <c r="O22" s="45">
        <v>-0.33051084994440982</v>
      </c>
      <c r="P22" s="45">
        <v>-6.2945362225178663</v>
      </c>
      <c r="Q22" s="45">
        <v>-8.2865771426533623</v>
      </c>
      <c r="R22" s="45">
        <v>-6.5052396998262152</v>
      </c>
      <c r="S22" s="45">
        <v>1.7615782722019357</v>
      </c>
      <c r="T22" s="45">
        <v>5.5631620916874791</v>
      </c>
      <c r="U22" s="45">
        <v>-1.0395554231128701</v>
      </c>
      <c r="V22" s="45">
        <v>-2.9535118815265382</v>
      </c>
      <c r="W22" s="45">
        <v>-0.62672697878631833</v>
      </c>
      <c r="X22" s="45">
        <v>-2.7481143766043492</v>
      </c>
      <c r="Y22" s="45">
        <v>-2.2517022720698221</v>
      </c>
      <c r="Z22" s="45">
        <v>7.6404072859621586</v>
      </c>
      <c r="AA22" s="45">
        <v>8.3733754417525841</v>
      </c>
      <c r="AB22" s="45">
        <v>5.5558285190731249</v>
      </c>
      <c r="AC22" s="45">
        <v>4.1048379000603097</v>
      </c>
      <c r="AD22" s="45">
        <v>-0.30828051358672282</v>
      </c>
      <c r="AE22" s="45">
        <v>-2.1359570279548712</v>
      </c>
      <c r="AF22" s="45">
        <v>9.2559974860438654</v>
      </c>
      <c r="AG22" s="45">
        <v>8.5338864418700311</v>
      </c>
      <c r="AH22" s="45">
        <v>-0.32955858998194865</v>
      </c>
      <c r="AI22" s="45">
        <v>-0.13993306074537859</v>
      </c>
      <c r="AJ22" s="45">
        <v>0.35403742882877953</v>
      </c>
      <c r="AK22" s="45">
        <v>2.1666559726883028</v>
      </c>
      <c r="AL22" s="45">
        <v>7.331927015205153</v>
      </c>
      <c r="AM22" s="45">
        <v>8.455551561463249</v>
      </c>
    </row>
    <row r="23" spans="1:39" ht="17.100000000000001" customHeight="1" x14ac:dyDescent="0.2">
      <c r="A23" s="78" t="s">
        <v>54</v>
      </c>
      <c r="B23" s="45">
        <v>5.877927900121005</v>
      </c>
      <c r="C23" s="45">
        <v>5.3307604459633895</v>
      </c>
      <c r="D23" s="45">
        <v>4.3486967683765032</v>
      </c>
      <c r="E23" s="45">
        <v>1.8924130938429595</v>
      </c>
      <c r="F23" s="45">
        <v>1.1349721813548763</v>
      </c>
      <c r="G23" s="45">
        <v>3.3208562353700399</v>
      </c>
      <c r="H23" s="45">
        <v>3.4774917821556617</v>
      </c>
      <c r="I23" s="45">
        <v>-2.1634436890871966</v>
      </c>
      <c r="J23" s="45">
        <v>-6.7469672143524502</v>
      </c>
      <c r="K23" s="45">
        <v>-4.3976385792888095</v>
      </c>
      <c r="L23" s="45">
        <v>1.9674893223892598</v>
      </c>
      <c r="M23" s="45">
        <v>8.6297162872196242</v>
      </c>
      <c r="N23" s="45">
        <v>11.393484650957951</v>
      </c>
      <c r="O23" s="45">
        <v>4.5633902187351971</v>
      </c>
      <c r="P23" s="45">
        <v>-4.3249114310781049</v>
      </c>
      <c r="Q23" s="45">
        <v>-3.504802416264452</v>
      </c>
      <c r="R23" s="45">
        <v>4.1129467966301236</v>
      </c>
      <c r="S23" s="45">
        <v>8.2853891395481938</v>
      </c>
      <c r="T23" s="45">
        <v>7.169762392444512</v>
      </c>
      <c r="U23" s="45">
        <v>3.4476455454490962</v>
      </c>
      <c r="V23" s="45">
        <v>-0.28823058634487309</v>
      </c>
      <c r="W23" s="45">
        <v>-6.4175741731220537E-2</v>
      </c>
      <c r="X23" s="45">
        <v>2.382207790644042</v>
      </c>
      <c r="Y23" s="45">
        <v>0.31176199262821225</v>
      </c>
      <c r="Z23" s="45">
        <v>-1.057346238048873</v>
      </c>
      <c r="AA23" s="45">
        <v>3.7341948814019199</v>
      </c>
      <c r="AB23" s="45">
        <v>8.6700457454210955</v>
      </c>
      <c r="AC23" s="45">
        <v>7.3043600224589333</v>
      </c>
      <c r="AD23" s="45">
        <v>2.748479968128259</v>
      </c>
      <c r="AE23" s="45">
        <v>-1.5179487767640665</v>
      </c>
      <c r="AF23" s="45">
        <v>-1.8851688191328542</v>
      </c>
      <c r="AG23" s="45">
        <v>0.92975785158040392</v>
      </c>
      <c r="AH23" s="45">
        <v>0.85945742059343466</v>
      </c>
      <c r="AI23" s="45">
        <v>-1.6389674188827974</v>
      </c>
      <c r="AJ23" s="45">
        <v>-3.6273651102720073</v>
      </c>
      <c r="AK23" s="45">
        <v>-1.3734429671243165</v>
      </c>
      <c r="AL23" s="45">
        <v>3.7004563960668868</v>
      </c>
      <c r="AM23" s="45">
        <v>5.4700452255628695</v>
      </c>
    </row>
    <row r="24" spans="1:39" ht="17.100000000000001" customHeight="1" x14ac:dyDescent="0.2">
      <c r="A24" s="78" t="s">
        <v>72</v>
      </c>
      <c r="B24" s="45">
        <v>-3.9638124740160707</v>
      </c>
      <c r="C24" s="45">
        <v>0.38705198444566324</v>
      </c>
      <c r="D24" s="45">
        <v>4.3054089997450751</v>
      </c>
      <c r="E24" s="45">
        <v>1.7614627435621255</v>
      </c>
      <c r="F24" s="45">
        <v>-0.80566421395921184</v>
      </c>
      <c r="G24" s="45">
        <v>-2.0153654495733919</v>
      </c>
      <c r="H24" s="45">
        <v>-0.15510270993239761</v>
      </c>
      <c r="I24" s="45">
        <v>2.509994294989526</v>
      </c>
      <c r="J24" s="45">
        <v>4.2952799346686055</v>
      </c>
      <c r="K24" s="45">
        <v>3.2234600975464822</v>
      </c>
      <c r="L24" s="45">
        <v>4.3542915395525128</v>
      </c>
      <c r="M24" s="45">
        <v>5.0027851169289761</v>
      </c>
      <c r="N24" s="45">
        <v>5.5565949485824495</v>
      </c>
      <c r="O24" s="45">
        <v>1.9652435106055854</v>
      </c>
      <c r="P24" s="45">
        <v>-4.3980172079876034</v>
      </c>
      <c r="Q24" s="45">
        <v>-1.3099057034331563</v>
      </c>
      <c r="R24" s="45">
        <v>3.0800762306293583</v>
      </c>
      <c r="S24" s="45">
        <v>4.8848551517951755</v>
      </c>
      <c r="T24" s="45">
        <v>2.5334749117470023</v>
      </c>
      <c r="U24" s="45">
        <v>0.51090966605469301</v>
      </c>
      <c r="V24" s="45">
        <v>-4.2983206636707187</v>
      </c>
      <c r="W24" s="45">
        <v>3.8051975511069536</v>
      </c>
      <c r="X24" s="45">
        <v>7.2570711179191338</v>
      </c>
      <c r="Y24" s="45">
        <v>-0.56167920015292028</v>
      </c>
      <c r="Z24" s="45">
        <v>-2.7787102192497359</v>
      </c>
      <c r="AA24" s="45">
        <v>1.5358195173300171</v>
      </c>
      <c r="AB24" s="45">
        <v>0.75788699656162972</v>
      </c>
      <c r="AC24" s="45">
        <v>-2.2020780475085489</v>
      </c>
      <c r="AD24" s="45">
        <v>1.1508185169478269</v>
      </c>
      <c r="AE24" s="45">
        <v>-1.6591149372350067</v>
      </c>
      <c r="AF24" s="45">
        <v>1.323112633603607</v>
      </c>
      <c r="AG24" s="45">
        <v>5.172959826609147</v>
      </c>
      <c r="AH24" s="45">
        <v>3.1772605726295255</v>
      </c>
      <c r="AI24" s="45">
        <v>-4.084341158634663</v>
      </c>
      <c r="AJ24" s="45">
        <v>-0.97652275422641655</v>
      </c>
      <c r="AK24" s="45">
        <v>6.1081168483337889</v>
      </c>
      <c r="AL24" s="45">
        <v>4.1740610424792823</v>
      </c>
      <c r="AM24" s="45">
        <v>0.25502290344519007</v>
      </c>
    </row>
    <row r="25" spans="1:39" ht="17.100000000000001" customHeight="1" x14ac:dyDescent="0.2">
      <c r="A25" s="78" t="s">
        <v>14</v>
      </c>
      <c r="B25" s="45">
        <v>-0.65402739386559716</v>
      </c>
      <c r="C25" s="45">
        <v>0.56024965292640339</v>
      </c>
      <c r="D25" s="45">
        <v>2.5674228461737059</v>
      </c>
      <c r="E25" s="45">
        <v>2.9112612409335714</v>
      </c>
      <c r="F25" s="45">
        <v>3.5196327384600323</v>
      </c>
      <c r="G25" s="45">
        <v>3.1675282465163601</v>
      </c>
      <c r="H25" s="45">
        <v>2.1582157956993919</v>
      </c>
      <c r="I25" s="45">
        <v>2.882937796169549</v>
      </c>
      <c r="J25" s="45">
        <v>3.8364839465186984</v>
      </c>
      <c r="K25" s="45">
        <v>2.3792170858687234</v>
      </c>
      <c r="L25" s="45">
        <v>0.17905635395738528</v>
      </c>
      <c r="M25" s="45">
        <v>-9.0071984738215871E-2</v>
      </c>
      <c r="N25" s="45">
        <v>0.73181504037898026</v>
      </c>
      <c r="O25" s="45">
        <v>2.6706254368078941</v>
      </c>
      <c r="P25" s="45">
        <v>2.7175798040156351</v>
      </c>
      <c r="Q25" s="45">
        <v>1.0654004791535554</v>
      </c>
      <c r="R25" s="45">
        <v>-0.38542622347740307</v>
      </c>
      <c r="S25" s="45">
        <v>0.14087804974247664</v>
      </c>
      <c r="T25" s="45">
        <v>1.4448790530712685</v>
      </c>
      <c r="U25" s="45">
        <v>2.4225224413225499</v>
      </c>
      <c r="V25" s="45">
        <v>2.8658131610573623</v>
      </c>
      <c r="W25" s="45">
        <v>2.4312524900046428</v>
      </c>
      <c r="X25" s="45">
        <v>1.8960149139868099</v>
      </c>
      <c r="Y25" s="45">
        <v>1.8899920050493124</v>
      </c>
      <c r="Z25" s="45">
        <v>1.9958296709471801</v>
      </c>
      <c r="AA25" s="45">
        <v>1.2290320021746348</v>
      </c>
      <c r="AB25" s="45">
        <v>1.4365701104538386</v>
      </c>
      <c r="AC25" s="45">
        <v>2.2816971449316048</v>
      </c>
      <c r="AD25" s="45">
        <v>2.5359676463197811</v>
      </c>
      <c r="AE25" s="45">
        <v>1.9369655819938325</v>
      </c>
      <c r="AF25" s="45">
        <v>1.0761402926904307</v>
      </c>
      <c r="AG25" s="45">
        <v>4.6273173741706586E-2</v>
      </c>
      <c r="AH25" s="45">
        <v>0.3287203985720355</v>
      </c>
      <c r="AI25" s="45">
        <v>1.8030966135038407</v>
      </c>
      <c r="AJ25" s="45">
        <v>2.7085535855003506</v>
      </c>
      <c r="AK25" s="45">
        <v>2.1915906318246137</v>
      </c>
      <c r="AL25" s="45">
        <v>0.87415867351785526</v>
      </c>
      <c r="AM25" s="45">
        <v>0.38469635149742665</v>
      </c>
    </row>
    <row r="26" spans="1:39" ht="17.100000000000001" customHeight="1" x14ac:dyDescent="0.2">
      <c r="A26" s="78" t="s">
        <v>56</v>
      </c>
      <c r="B26" s="45">
        <v>-4.3347922758427799</v>
      </c>
      <c r="C26" s="45">
        <v>-8.9042788867225156</v>
      </c>
      <c r="D26" s="45">
        <v>-7.4549694519221994</v>
      </c>
      <c r="E26" s="45">
        <v>3.2911466084834196</v>
      </c>
      <c r="F26" s="45">
        <v>7.0537743377640405</v>
      </c>
      <c r="G26" s="45">
        <v>3.1164221496712718</v>
      </c>
      <c r="H26" s="45">
        <v>1.515429907167265</v>
      </c>
      <c r="I26" s="45">
        <v>2.2611365869821487</v>
      </c>
      <c r="J26" s="45">
        <v>-2.800749772679656</v>
      </c>
      <c r="K26" s="45">
        <v>-1.0666509722052187</v>
      </c>
      <c r="L26" s="45">
        <v>8.2687074918929007</v>
      </c>
      <c r="M26" s="45">
        <v>15.286932215922654</v>
      </c>
      <c r="N26" s="45">
        <v>6.4557112117507698</v>
      </c>
      <c r="O26" s="45">
        <v>-7.7636275037908149</v>
      </c>
      <c r="P26" s="45">
        <v>-14.251006835195989</v>
      </c>
      <c r="Q26" s="45">
        <v>-7.3988754090293263</v>
      </c>
      <c r="R26" s="45">
        <v>3.5013068787749235</v>
      </c>
      <c r="S26" s="45">
        <v>10.40269704547101</v>
      </c>
      <c r="T26" s="45">
        <v>8.6024979566136963</v>
      </c>
      <c r="U26" s="45">
        <v>3.8393466138346488</v>
      </c>
      <c r="V26" s="45">
        <v>0.16295067705149879</v>
      </c>
      <c r="W26" s="45">
        <v>-6.4022090624155092</v>
      </c>
      <c r="X26" s="45">
        <v>-8.857756069157773</v>
      </c>
      <c r="Y26" s="45">
        <v>-0.75972893888228699</v>
      </c>
      <c r="Z26" s="45">
        <v>13.29365145166188</v>
      </c>
      <c r="AA26" s="45">
        <v>12.156099015404621</v>
      </c>
      <c r="AB26" s="45">
        <v>-0.15588128038428462</v>
      </c>
      <c r="AC26" s="45">
        <v>-7.5498834581830154</v>
      </c>
      <c r="AD26" s="45">
        <v>-2.7202694258955828</v>
      </c>
      <c r="AE26" s="45">
        <v>6.8536496724818985</v>
      </c>
      <c r="AF26" s="45">
        <v>8.4191100975447029</v>
      </c>
      <c r="AG26" s="45">
        <v>2.2850290279402108</v>
      </c>
      <c r="AH26" s="45">
        <v>0.40285997563855869</v>
      </c>
      <c r="AI26" s="45">
        <v>7.7200902448602893</v>
      </c>
      <c r="AJ26" s="45">
        <v>9.5489584658756002</v>
      </c>
      <c r="AK26" s="45">
        <v>-1.3736802500972201</v>
      </c>
      <c r="AL26" s="45">
        <v>-12.979291217127054</v>
      </c>
      <c r="AM26" s="45">
        <v>-16.878485561084943</v>
      </c>
    </row>
    <row r="27" spans="1:39" ht="17.100000000000001" customHeight="1" x14ac:dyDescent="0.2">
      <c r="A27" s="78" t="s">
        <v>57</v>
      </c>
      <c r="B27" s="45">
        <v>2.4379456591725024</v>
      </c>
      <c r="C27" s="45">
        <v>1.4261585007676159</v>
      </c>
      <c r="D27" s="45">
        <v>0.82565748995344634</v>
      </c>
      <c r="E27" s="45">
        <v>0.79640822633639807</v>
      </c>
      <c r="F27" s="45">
        <v>0.4865130589815303</v>
      </c>
      <c r="G27" s="45">
        <v>0.69982805775719026</v>
      </c>
      <c r="H27" s="45">
        <v>2.7682265215425383</v>
      </c>
      <c r="I27" s="45">
        <v>5.1760995497251994</v>
      </c>
      <c r="J27" s="45">
        <v>4.9427988556249636</v>
      </c>
      <c r="K27" s="45">
        <v>3.6803471970661139</v>
      </c>
      <c r="L27" s="45">
        <v>3.8604136094045671</v>
      </c>
      <c r="M27" s="45">
        <v>4.1310711924898325</v>
      </c>
      <c r="N27" s="45">
        <v>3.561303676988925</v>
      </c>
      <c r="O27" s="45">
        <v>2.7033563183226361</v>
      </c>
      <c r="P27" s="45">
        <v>-8.5386297073064892</v>
      </c>
      <c r="Q27" s="45">
        <v>2.0099754892787702</v>
      </c>
      <c r="R27" s="45">
        <v>2.9742562366058101</v>
      </c>
      <c r="S27" s="45">
        <v>2.4434672258538237</v>
      </c>
      <c r="T27" s="45">
        <v>-9.5121914906071137E-2</v>
      </c>
      <c r="U27" s="45">
        <v>-0.82185732140525047</v>
      </c>
      <c r="V27" s="45">
        <v>1.2060451721930265</v>
      </c>
      <c r="W27" s="45">
        <v>2.0114766289652364</v>
      </c>
      <c r="X27" s="45">
        <v>1.1374278241044422</v>
      </c>
      <c r="Y27" s="45">
        <v>0.8639650696044443</v>
      </c>
      <c r="Z27" s="45">
        <v>14.110617560454507</v>
      </c>
      <c r="AA27" s="45">
        <v>1.1465048246438458</v>
      </c>
      <c r="AB27" s="45">
        <v>1.5056017997169713</v>
      </c>
      <c r="AC27" s="45">
        <v>-0.21334592547277431</v>
      </c>
      <c r="AD27" s="45">
        <v>-1.7179367313886584</v>
      </c>
      <c r="AE27" s="45">
        <v>-1.7153892618807842</v>
      </c>
      <c r="AF27" s="45">
        <v>11.936956391241683</v>
      </c>
      <c r="AG27" s="45">
        <v>-0.12732463515442438</v>
      </c>
      <c r="AH27" s="45">
        <v>-7.1907786081633729</v>
      </c>
      <c r="AI27" s="45">
        <v>1.6155239262765964</v>
      </c>
      <c r="AJ27" s="45">
        <v>2.9327021917872509</v>
      </c>
      <c r="AK27" s="45">
        <v>2.3336874382534845</v>
      </c>
      <c r="AL27" s="45">
        <v>0.12671119904776873</v>
      </c>
      <c r="AM27" s="45">
        <v>-0.42463565081829469</v>
      </c>
    </row>
    <row r="28" spans="1:39" ht="17.100000000000001" customHeight="1" x14ac:dyDescent="0.2">
      <c r="A28" s="78" t="s">
        <v>15</v>
      </c>
      <c r="B28" s="45">
        <v>4.5539781509356558</v>
      </c>
      <c r="C28" s="45">
        <v>3.00797580262675</v>
      </c>
      <c r="D28" s="45">
        <v>6.2139786142752618</v>
      </c>
      <c r="E28" s="45">
        <v>6.4942656683785183</v>
      </c>
      <c r="F28" s="45">
        <v>2.8076509877925426</v>
      </c>
      <c r="G28" s="45">
        <v>-0.65627876239854332</v>
      </c>
      <c r="H28" s="45">
        <v>-2.0480049873104256</v>
      </c>
      <c r="I28" s="45">
        <v>-0.74238633659919895</v>
      </c>
      <c r="J28" s="45">
        <v>0.73883166114505627</v>
      </c>
      <c r="K28" s="45">
        <v>1.6307162217658711</v>
      </c>
      <c r="L28" s="45">
        <v>3.6422375659731721</v>
      </c>
      <c r="M28" s="45">
        <v>5.8149013328888444</v>
      </c>
      <c r="N28" s="45">
        <v>5.1794853875636537</v>
      </c>
      <c r="O28" s="45">
        <v>3.3302153722125638</v>
      </c>
      <c r="P28" s="45">
        <v>1.8946232284119846</v>
      </c>
      <c r="Q28" s="45">
        <v>2.4391549164447746</v>
      </c>
      <c r="R28" s="45">
        <v>3.1391587980352575</v>
      </c>
      <c r="S28" s="45">
        <v>5.6443403898673639</v>
      </c>
      <c r="T28" s="45">
        <v>2.1892283434921112</v>
      </c>
      <c r="U28" s="45">
        <v>-1.3910727293549474</v>
      </c>
      <c r="V28" s="45">
        <v>-1.1804627746955343</v>
      </c>
      <c r="W28" s="45">
        <v>3.6604938911743101</v>
      </c>
      <c r="X28" s="45">
        <v>0.59604460291560191</v>
      </c>
      <c r="Y28" s="45">
        <v>1.731802423476303</v>
      </c>
      <c r="Z28" s="45">
        <v>2.036387978894405</v>
      </c>
      <c r="AA28" s="45">
        <v>-2.1333604937942896</v>
      </c>
      <c r="AB28" s="45">
        <v>-4.6111925947024401</v>
      </c>
      <c r="AC28" s="45">
        <v>-2.2058280422242338</v>
      </c>
      <c r="AD28" s="45">
        <v>3.7473130457697401</v>
      </c>
      <c r="AE28" s="45">
        <v>5.7294296315304472</v>
      </c>
      <c r="AF28" s="45">
        <v>8.8679604853909808</v>
      </c>
      <c r="AG28" s="45">
        <v>4.0028794077126673</v>
      </c>
      <c r="AH28" s="45">
        <v>-0.78474463721263099</v>
      </c>
      <c r="AI28" s="45">
        <v>-2.8986590532761536</v>
      </c>
      <c r="AJ28" s="45">
        <v>3.1404872914519766</v>
      </c>
      <c r="AK28" s="45">
        <v>4.9338175125006822</v>
      </c>
      <c r="AL28" s="45">
        <v>1.7693523546904011</v>
      </c>
      <c r="AM28" s="45">
        <v>-0.62420427559053415</v>
      </c>
    </row>
    <row r="29" spans="1:39" ht="17.100000000000001" customHeight="1" x14ac:dyDescent="0.2">
      <c r="A29" s="78" t="s">
        <v>16</v>
      </c>
      <c r="B29" s="45">
        <v>-2.4655787671054252</v>
      </c>
      <c r="C29" s="45">
        <v>-4.0449330375901704</v>
      </c>
      <c r="D29" s="45">
        <v>-2.9197891460380987</v>
      </c>
      <c r="E29" s="45">
        <v>3.0395072267995538</v>
      </c>
      <c r="F29" s="45">
        <v>5.0653449916068238</v>
      </c>
      <c r="G29" s="45">
        <v>2.393228796739133</v>
      </c>
      <c r="H29" s="45">
        <v>-6.0020975808272592E-2</v>
      </c>
      <c r="I29" s="45">
        <v>2.7081475018430057</v>
      </c>
      <c r="J29" s="45">
        <v>6.1948189771835915</v>
      </c>
      <c r="K29" s="45">
        <v>3.2626648951497694</v>
      </c>
      <c r="L29" s="45">
        <v>-3.1448986977719029</v>
      </c>
      <c r="M29" s="45">
        <v>-5.682813711685486</v>
      </c>
      <c r="N29" s="45">
        <v>-0.3637822317771322</v>
      </c>
      <c r="O29" s="45">
        <v>4.5748829369349542</v>
      </c>
      <c r="P29" s="45">
        <v>2.6742027095594478</v>
      </c>
      <c r="Q29" s="45">
        <v>-3.5859712083678663</v>
      </c>
      <c r="R29" s="45">
        <v>-4.3028329813331041</v>
      </c>
      <c r="S29" s="45">
        <v>0.69636318436567812</v>
      </c>
      <c r="T29" s="45">
        <v>6.1757952654033277</v>
      </c>
      <c r="U29" s="45">
        <v>-0.62592273120160025</v>
      </c>
      <c r="V29" s="45">
        <v>-6.0055588483233002</v>
      </c>
      <c r="W29" s="45">
        <v>-0.40530708805246451</v>
      </c>
      <c r="X29" s="45">
        <v>3.2092540704858674</v>
      </c>
      <c r="Y29" s="45">
        <v>1.421458706072265</v>
      </c>
      <c r="Z29" s="45">
        <v>-0.26604531968391631</v>
      </c>
      <c r="AA29" s="45">
        <v>-1.3412456725736321</v>
      </c>
      <c r="AB29" s="45">
        <v>0.97113292824599906</v>
      </c>
      <c r="AC29" s="45">
        <v>7.66596232626231</v>
      </c>
      <c r="AD29" s="45">
        <v>2.6698931784817637</v>
      </c>
      <c r="AE29" s="45">
        <v>-3.1349784580260165</v>
      </c>
      <c r="AF29" s="45">
        <v>-3.4354424927520832</v>
      </c>
      <c r="AG29" s="45">
        <v>1.0747614632652613</v>
      </c>
      <c r="AH29" s="45">
        <v>3.2257203306774507</v>
      </c>
      <c r="AI29" s="45">
        <v>2.4261219378259646</v>
      </c>
      <c r="AJ29" s="45">
        <v>2.506170988563472</v>
      </c>
      <c r="AK29" s="45">
        <v>1.3246825283718344</v>
      </c>
      <c r="AL29" s="45">
        <v>1.5292728391757882</v>
      </c>
      <c r="AM29" s="45">
        <v>2.4178729881774164</v>
      </c>
    </row>
    <row r="30" spans="1:39" ht="17.100000000000001" customHeight="1" x14ac:dyDescent="0.2">
      <c r="A30" s="78" t="s">
        <v>58</v>
      </c>
      <c r="B30" s="45">
        <v>-0.89309676192120824</v>
      </c>
      <c r="C30" s="45">
        <v>0.58675958740219691</v>
      </c>
      <c r="D30" s="45">
        <v>3.8739368960821308</v>
      </c>
      <c r="E30" s="45">
        <v>6.5188247144891243</v>
      </c>
      <c r="F30" s="45">
        <v>6.0136055461125215</v>
      </c>
      <c r="G30" s="45">
        <v>3.6156093920161503</v>
      </c>
      <c r="H30" s="45">
        <v>0.52879292853122983</v>
      </c>
      <c r="I30" s="45">
        <v>0.96324706430557239</v>
      </c>
      <c r="J30" s="45">
        <v>1.2833468483219646</v>
      </c>
      <c r="K30" s="45">
        <v>0.27931525398374735</v>
      </c>
      <c r="L30" s="45">
        <v>0.64061101969647982</v>
      </c>
      <c r="M30" s="45">
        <v>2.7807882922795457</v>
      </c>
      <c r="N30" s="45">
        <v>1.084058766527618</v>
      </c>
      <c r="O30" s="45">
        <v>-0.54827577492110313</v>
      </c>
      <c r="P30" s="45">
        <v>-0.20891863618280881</v>
      </c>
      <c r="Q30" s="45">
        <v>1.5437456455341891</v>
      </c>
      <c r="R30" s="45">
        <v>2.1936906190089589</v>
      </c>
      <c r="S30" s="45">
        <v>-0.30882944547683255</v>
      </c>
      <c r="T30" s="45">
        <v>-1.0014758264692558</v>
      </c>
      <c r="U30" s="45">
        <v>1.3794628184214952</v>
      </c>
      <c r="V30" s="45">
        <v>4.920328148803832</v>
      </c>
      <c r="W30" s="45">
        <v>4.712897268452676</v>
      </c>
      <c r="X30" s="45">
        <v>1.5986307161480751</v>
      </c>
      <c r="Y30" s="45">
        <v>1.0488091461292592</v>
      </c>
      <c r="Z30" s="45">
        <v>3.1924223701643273</v>
      </c>
      <c r="AA30" s="45">
        <v>1.4576200198047173</v>
      </c>
      <c r="AB30" s="45">
        <v>-2.1128094542197662</v>
      </c>
      <c r="AC30" s="45">
        <v>-2.819765958284659</v>
      </c>
      <c r="AD30" s="45">
        <v>-0.952566496629903</v>
      </c>
      <c r="AE30" s="45">
        <v>3.5215943399570016</v>
      </c>
      <c r="AF30" s="45">
        <v>6.3402127455619794</v>
      </c>
      <c r="AG30" s="45">
        <v>2.2473144047905347</v>
      </c>
      <c r="AH30" s="45">
        <v>-1.6528131512225985</v>
      </c>
      <c r="AI30" s="45">
        <v>-1.1835477215372814</v>
      </c>
      <c r="AJ30" s="45">
        <v>-0.56911575976534845</v>
      </c>
      <c r="AK30" s="45">
        <v>0.3060898453121963</v>
      </c>
      <c r="AL30" s="45">
        <v>3.0175008864482322</v>
      </c>
      <c r="AM30" s="45">
        <v>3.5879836590812175</v>
      </c>
    </row>
    <row r="31" spans="1:39" ht="17.100000000000001" customHeight="1" x14ac:dyDescent="0.2">
      <c r="A31" s="78" t="s">
        <v>71</v>
      </c>
      <c r="B31" s="45">
        <v>-1.3368691448548686</v>
      </c>
      <c r="C31" s="45">
        <v>13.428153654765262</v>
      </c>
      <c r="D31" s="45">
        <v>27.510553150346006</v>
      </c>
      <c r="E31" s="45">
        <v>27.0468510054944</v>
      </c>
      <c r="F31" s="45">
        <v>18.024434916896183</v>
      </c>
      <c r="G31" s="45">
        <v>11.423156083666841</v>
      </c>
      <c r="H31" s="45">
        <v>7.835784660442302</v>
      </c>
      <c r="I31" s="45">
        <v>7.2797275164629083</v>
      </c>
      <c r="J31" s="45">
        <v>4.0020480530745139</v>
      </c>
      <c r="K31" s="45">
        <v>1.2445897662155758</v>
      </c>
      <c r="L31" s="45">
        <v>-0.34674350740684368</v>
      </c>
      <c r="M31" s="45">
        <v>-0.53210691482246109</v>
      </c>
      <c r="N31" s="45">
        <v>-0.65076938515324922</v>
      </c>
      <c r="O31" s="45">
        <v>1.3143119908788359</v>
      </c>
      <c r="P31" s="45">
        <v>-8.4010099010389911</v>
      </c>
      <c r="Q31" s="45">
        <v>-16.662184999266838</v>
      </c>
      <c r="R31" s="45">
        <v>-6.3003416823960485</v>
      </c>
      <c r="S31" s="45">
        <v>5.530420148113957</v>
      </c>
      <c r="T31" s="45">
        <v>7.2531287314117732</v>
      </c>
      <c r="U31" s="45">
        <v>8.0231920608331961</v>
      </c>
      <c r="V31" s="45">
        <v>2.2408966043302891</v>
      </c>
      <c r="W31" s="45">
        <v>-12.28810193261306</v>
      </c>
      <c r="X31" s="45">
        <v>-11.478328067605027</v>
      </c>
      <c r="Y31" s="45">
        <v>-6.2897332521024367</v>
      </c>
      <c r="Z31" s="45">
        <v>6.353519946361974</v>
      </c>
      <c r="AA31" s="45">
        <v>11.806012603726511</v>
      </c>
      <c r="AB31" s="45">
        <v>16.177882180420909</v>
      </c>
      <c r="AC31" s="45">
        <v>7.6737210734179717</v>
      </c>
      <c r="AD31" s="45">
        <v>-5.2580892798031016</v>
      </c>
      <c r="AE31" s="45">
        <v>-7.9336426609996513</v>
      </c>
      <c r="AF31" s="45">
        <v>1.2043930685145199</v>
      </c>
      <c r="AG31" s="45">
        <v>5.4905717129654974</v>
      </c>
      <c r="AH31" s="45">
        <v>0.37300537106841336</v>
      </c>
      <c r="AI31" s="45">
        <v>2.8409663841251875</v>
      </c>
      <c r="AJ31" s="45">
        <v>-5.3532509119672884</v>
      </c>
      <c r="AK31" s="45">
        <v>-2.780808397673884</v>
      </c>
      <c r="AL31" s="45">
        <v>2.7054403010802641</v>
      </c>
      <c r="AM31" s="45">
        <v>6.1333862552368279</v>
      </c>
    </row>
    <row r="32" spans="1:39" ht="17.100000000000001" customHeight="1" x14ac:dyDescent="0.2">
      <c r="A32" s="78" t="s">
        <v>17</v>
      </c>
      <c r="B32" s="45">
        <v>-1.7072656631697325</v>
      </c>
      <c r="C32" s="45">
        <v>-1.6805266787638273</v>
      </c>
      <c r="D32" s="45">
        <v>-1.2213622187867146</v>
      </c>
      <c r="E32" s="45">
        <v>-0.79374876313386133</v>
      </c>
      <c r="F32" s="45">
        <v>-0.29855999423439306</v>
      </c>
      <c r="G32" s="45">
        <v>0.40283844569566352</v>
      </c>
      <c r="H32" s="45">
        <v>0.71314513417639613</v>
      </c>
      <c r="I32" s="45">
        <v>1.2211193179005209</v>
      </c>
      <c r="J32" s="45">
        <v>1.5888908594466011</v>
      </c>
      <c r="K32" s="45">
        <v>1.2336782170397909</v>
      </c>
      <c r="L32" s="45">
        <v>0.71773827641679055</v>
      </c>
      <c r="M32" s="45">
        <v>0.47556412779616863</v>
      </c>
      <c r="N32" s="45">
        <v>0.24099333095817244</v>
      </c>
      <c r="O32" s="45">
        <v>6.3598968186928673E-2</v>
      </c>
      <c r="P32" s="45">
        <v>0.16388637609259238</v>
      </c>
      <c r="Q32" s="45">
        <v>0.23073487307276874</v>
      </c>
      <c r="R32" s="45">
        <v>0.54901222405117078</v>
      </c>
      <c r="S32" s="45">
        <v>1.1842223530228679</v>
      </c>
      <c r="T32" s="45">
        <v>1.6910907199917835</v>
      </c>
      <c r="U32" s="45">
        <v>1.5323187718838671</v>
      </c>
      <c r="V32" s="45">
        <v>1.0875765813981753</v>
      </c>
      <c r="W32" s="45">
        <v>0.78781238139200571</v>
      </c>
      <c r="X32" s="45">
        <v>0.84610291381448377</v>
      </c>
      <c r="Y32" s="45">
        <v>0.84789893687080564</v>
      </c>
      <c r="Z32" s="45">
        <v>0.63152789305012114</v>
      </c>
      <c r="AA32" s="45">
        <v>0.42346619233502025</v>
      </c>
      <c r="AB32" s="45">
        <v>0.36617271495458237</v>
      </c>
      <c r="AC32" s="45">
        <v>0.49995420315294137</v>
      </c>
      <c r="AD32" s="45">
        <v>0.67835913517924062</v>
      </c>
      <c r="AE32" s="45">
        <v>0.7238155042726957</v>
      </c>
      <c r="AF32" s="45">
        <v>0.48299029290463924</v>
      </c>
      <c r="AG32" s="45">
        <v>0.20440037031097535</v>
      </c>
      <c r="AH32" s="45">
        <v>0.19878409397142693</v>
      </c>
      <c r="AI32" s="45">
        <v>0.29799624466793073</v>
      </c>
      <c r="AJ32" s="45">
        <v>0.46209418474754127</v>
      </c>
      <c r="AK32" s="45">
        <v>0.81283539762615487</v>
      </c>
      <c r="AL32" s="45">
        <v>0.85088075738146696</v>
      </c>
      <c r="AM32" s="45">
        <v>0.63183392163970176</v>
      </c>
    </row>
    <row r="33" spans="1:39" ht="17.100000000000001" customHeight="1" x14ac:dyDescent="0.2">
      <c r="A33" s="78" t="s">
        <v>59</v>
      </c>
      <c r="B33" s="45">
        <v>0.7430653575224877</v>
      </c>
      <c r="C33" s="45">
        <v>0.73986148904898741</v>
      </c>
      <c r="D33" s="45">
        <v>0.71646319633500433</v>
      </c>
      <c r="E33" s="45">
        <v>0.69833688407037187</v>
      </c>
      <c r="F33" s="45">
        <v>0.68915325502991731</v>
      </c>
      <c r="G33" s="45">
        <v>0.68555382047990054</v>
      </c>
      <c r="H33" s="45">
        <v>0.6866876513823561</v>
      </c>
      <c r="I33" s="45">
        <v>0.68807918442099769</v>
      </c>
      <c r="J33" s="45">
        <v>0.69369775502226005</v>
      </c>
      <c r="K33" s="45">
        <v>0.69251325322363666</v>
      </c>
      <c r="L33" s="45">
        <v>0.68551759076100893</v>
      </c>
      <c r="M33" s="45">
        <v>0.68285567834991401</v>
      </c>
      <c r="N33" s="45">
        <v>0.68720820961931661</v>
      </c>
      <c r="O33" s="45">
        <v>0.68427596508426891</v>
      </c>
      <c r="P33" s="45">
        <v>0.67208378796415058</v>
      </c>
      <c r="Q33" s="45">
        <v>0.66687937589731128</v>
      </c>
      <c r="R33" s="45">
        <v>0.67349306570962941</v>
      </c>
      <c r="S33" s="45">
        <v>0.68170324929743842</v>
      </c>
      <c r="T33" s="45">
        <v>0.68534785639717821</v>
      </c>
      <c r="U33" s="45">
        <v>0.68623843376280913</v>
      </c>
      <c r="V33" s="45">
        <v>0.68654121416380498</v>
      </c>
      <c r="W33" s="45">
        <v>0.6834663368759708</v>
      </c>
      <c r="X33" s="45">
        <v>0.6751719704247483</v>
      </c>
      <c r="Y33" s="45">
        <v>0.6689491479691112</v>
      </c>
      <c r="Z33" s="45">
        <v>0.67114504300869182</v>
      </c>
      <c r="AA33" s="45">
        <v>0.67900717433380109</v>
      </c>
      <c r="AB33" s="45">
        <v>0.68741353236441149</v>
      </c>
      <c r="AC33" s="45">
        <v>0.68807252073035396</v>
      </c>
      <c r="AD33" s="45">
        <v>0.68406751401102195</v>
      </c>
      <c r="AE33" s="45">
        <v>0.68109041953174909</v>
      </c>
      <c r="AF33" s="45">
        <v>0.67803095273648584</v>
      </c>
      <c r="AG33" s="45">
        <v>0.67163371915595071</v>
      </c>
      <c r="AH33" s="45">
        <v>0.67020032360110005</v>
      </c>
      <c r="AI33" s="45">
        <v>0.67717272168732467</v>
      </c>
      <c r="AJ33" s="45">
        <v>0.68903857057711626</v>
      </c>
      <c r="AK33" s="45">
        <v>0.68318188216132114</v>
      </c>
      <c r="AL33" s="45">
        <v>0.650738677449203</v>
      </c>
      <c r="AM33" s="45">
        <v>0.63153092642034281</v>
      </c>
    </row>
    <row r="34" spans="1:39" ht="17.100000000000001" customHeight="1" x14ac:dyDescent="0.2">
      <c r="A34" s="79"/>
      <c r="B34" s="45"/>
      <c r="C34" s="45"/>
      <c r="D34" s="45"/>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row>
    <row r="35" spans="1:39" s="86" customFormat="1" ht="17.100000000000001" customHeight="1" x14ac:dyDescent="0.2">
      <c r="A35" s="133" t="s">
        <v>95</v>
      </c>
      <c r="B35" s="142"/>
      <c r="C35" s="142"/>
      <c r="D35" s="142"/>
      <c r="E35" s="142"/>
      <c r="F35" s="142"/>
      <c r="G35" s="142"/>
      <c r="H35" s="142"/>
      <c r="I35" s="142"/>
      <c r="J35" s="142"/>
      <c r="K35" s="142"/>
      <c r="L35" s="142"/>
      <c r="M35" s="142"/>
      <c r="N35" s="142"/>
      <c r="O35" s="142"/>
      <c r="P35" s="142"/>
      <c r="Q35" s="142"/>
      <c r="R35" s="142"/>
      <c r="S35" s="142"/>
      <c r="T35" s="142"/>
      <c r="U35" s="142"/>
      <c r="V35" s="142"/>
      <c r="W35" s="142"/>
      <c r="X35" s="142"/>
      <c r="Y35" s="142"/>
      <c r="Z35" s="142"/>
      <c r="AA35" s="142"/>
      <c r="AB35" s="142"/>
      <c r="AC35" s="142"/>
      <c r="AD35" s="142"/>
      <c r="AE35" s="142"/>
      <c r="AF35" s="142"/>
      <c r="AG35" s="142"/>
      <c r="AH35" s="142"/>
      <c r="AI35" s="142"/>
      <c r="AJ35" s="142"/>
      <c r="AK35" s="142"/>
      <c r="AL35" s="142"/>
      <c r="AM35" s="142"/>
    </row>
    <row r="36" spans="1:39" s="11" customFormat="1" ht="17.100000000000001" customHeight="1" thickBot="1" x14ac:dyDescent="0.25">
      <c r="A36" s="51" t="s">
        <v>19</v>
      </c>
      <c r="B36" s="100">
        <v>4.9532628487524155</v>
      </c>
      <c r="C36" s="100">
        <v>2.6000543875320803</v>
      </c>
      <c r="D36" s="100">
        <v>2.0806191096384374</v>
      </c>
      <c r="E36" s="100">
        <v>2.0684931425907216</v>
      </c>
      <c r="F36" s="100">
        <v>0.53039555486231738</v>
      </c>
      <c r="G36" s="100">
        <v>-0.78482691211582134</v>
      </c>
      <c r="H36" s="100">
        <v>-0.42286605622802176</v>
      </c>
      <c r="I36" s="100">
        <v>0.66380712528966157</v>
      </c>
      <c r="J36" s="100">
        <v>0.82460851669889923</v>
      </c>
      <c r="K36" s="100">
        <v>2.7441135758640378</v>
      </c>
      <c r="L36" s="100">
        <v>2.8724441993898342</v>
      </c>
      <c r="M36" s="100">
        <v>1.4247401077547961</v>
      </c>
      <c r="N36" s="100">
        <v>2.4715953970670945</v>
      </c>
      <c r="O36" s="100">
        <v>0.63659810618732493</v>
      </c>
      <c r="P36" s="100">
        <v>-1.7945864374674381</v>
      </c>
      <c r="Q36" s="100">
        <v>-1.3376044613525595</v>
      </c>
      <c r="R36" s="100">
        <v>4.7985801823702268E-2</v>
      </c>
      <c r="S36" s="100">
        <v>-0.6920280413112101</v>
      </c>
      <c r="T36" s="100">
        <v>0.43011652057909355</v>
      </c>
      <c r="U36" s="100">
        <v>1.3006286965094427</v>
      </c>
      <c r="V36" s="100">
        <v>3.4664752739716143</v>
      </c>
      <c r="W36" s="100">
        <v>5.5331138729184826</v>
      </c>
      <c r="X36" s="100">
        <v>3.7779798217530747</v>
      </c>
      <c r="Y36" s="100">
        <v>-0.59022443720710971</v>
      </c>
      <c r="Z36" s="100">
        <v>-0.89025432519527214</v>
      </c>
      <c r="AA36" s="100">
        <v>2.7660779772171962</v>
      </c>
      <c r="AB36" s="100">
        <v>4.4990891595153792</v>
      </c>
      <c r="AC36" s="100">
        <v>3.6531321580130394</v>
      </c>
      <c r="AD36" s="100">
        <v>0.738625338807819</v>
      </c>
      <c r="AE36" s="100">
        <v>-0.12106867042613878</v>
      </c>
      <c r="AF36" s="100">
        <v>1.2135591955897418</v>
      </c>
      <c r="AG36" s="100">
        <v>3.6595136888468494</v>
      </c>
      <c r="AH36" s="100">
        <v>3.1466240978926363</v>
      </c>
      <c r="AI36" s="100">
        <v>0.48871519137656527</v>
      </c>
      <c r="AJ36" s="100">
        <v>-0.16140775570817611</v>
      </c>
      <c r="AK36" s="100">
        <v>2.5023932225107126</v>
      </c>
      <c r="AL36" s="100">
        <v>2.7003025052118268</v>
      </c>
      <c r="AM36" s="100">
        <v>1.8898611395943954</v>
      </c>
    </row>
    <row r="37" spans="1:39" x14ac:dyDescent="0.2">
      <c r="A37" s="13" t="s">
        <v>50</v>
      </c>
    </row>
  </sheetData>
  <mergeCells count="10">
    <mergeCell ref="B3:E3"/>
    <mergeCell ref="F3:I3"/>
    <mergeCell ref="V3:Y3"/>
    <mergeCell ref="R3:U3"/>
    <mergeCell ref="N3:Q3"/>
    <mergeCell ref="J3:M3"/>
    <mergeCell ref="Z3:AC3"/>
    <mergeCell ref="AL3:AM3"/>
    <mergeCell ref="AH3:AK3"/>
    <mergeCell ref="AD3:AG3"/>
  </mergeCells>
  <phoneticPr fontId="29" type="noConversion"/>
  <conditionalFormatting sqref="B5:AM36">
    <cfRule type="cellIs" dxfId="3" priority="9" operator="lessThan">
      <formula>0</formula>
    </cfRule>
  </conditionalFormatting>
  <conditionalFormatting sqref="A1:XFD1048576">
    <cfRule type="cellIs" dxfId="2" priority="1" operator="lessThan">
      <formula>0</formula>
    </cfRule>
  </conditionalFormatting>
  <pageMargins left="0.51181102362204722" right="0" top="0.51181102362204722" bottom="0" header="0" footer="0"/>
  <pageSetup paperSize="9" scale="48"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A1:AQ57"/>
  <sheetViews>
    <sheetView view="pageBreakPreview" zoomScaleSheetLayoutView="100" workbookViewId="0">
      <pane xSplit="11" ySplit="4" topLeftCell="L5" activePane="bottomRight" state="frozen"/>
      <selection activeCell="AD23" sqref="AD23"/>
      <selection pane="topRight" activeCell="AD23" sqref="AD23"/>
      <selection pane="bottomLeft" activeCell="AD23" sqref="AD23"/>
      <selection pane="bottomRight" activeCell="AO6" sqref="AO6"/>
    </sheetView>
  </sheetViews>
  <sheetFormatPr defaultColWidth="9.140625" defaultRowHeight="11.25" x14ac:dyDescent="0.2"/>
  <cols>
    <col min="1" max="1" width="26.28515625" style="1" customWidth="1"/>
    <col min="2" max="9" width="5.7109375" style="5" hidden="1" customWidth="1"/>
    <col min="10" max="15" width="6" style="5" hidden="1" customWidth="1"/>
    <col min="16" max="19" width="6.28515625" style="5" hidden="1" customWidth="1"/>
    <col min="20" max="23" width="6.7109375" style="5" hidden="1" customWidth="1"/>
    <col min="24" max="28" width="6.7109375" style="5" customWidth="1"/>
    <col min="29" max="40" width="6.7109375" style="1" customWidth="1"/>
    <col min="41" max="41" width="7.5703125" style="1" customWidth="1"/>
    <col min="42" max="43" width="6.28515625" style="1" customWidth="1"/>
    <col min="44" max="16384" width="9.140625" style="1"/>
  </cols>
  <sheetData>
    <row r="1" spans="1:43" ht="16.5" customHeight="1" x14ac:dyDescent="0.2">
      <c r="X1" s="32" t="s">
        <v>113</v>
      </c>
      <c r="AC1" s="5"/>
    </row>
    <row r="2" spans="1:43" ht="1.5" customHeight="1" thickBot="1" x14ac:dyDescent="0.25">
      <c r="B2" s="5" t="s">
        <v>20</v>
      </c>
      <c r="C2" s="5" t="s">
        <v>21</v>
      </c>
      <c r="D2" s="5" t="s">
        <v>22</v>
      </c>
      <c r="E2" s="5" t="s">
        <v>23</v>
      </c>
      <c r="F2" s="5" t="s">
        <v>24</v>
      </c>
      <c r="G2" s="5" t="s">
        <v>25</v>
      </c>
      <c r="H2" s="5" t="s">
        <v>26</v>
      </c>
      <c r="I2" s="5" t="s">
        <v>27</v>
      </c>
      <c r="J2" s="5" t="s">
        <v>28</v>
      </c>
      <c r="K2" s="5" t="s">
        <v>29</v>
      </c>
      <c r="L2" s="5" t="s">
        <v>30</v>
      </c>
      <c r="M2" s="5" t="s">
        <v>31</v>
      </c>
      <c r="N2" s="5" t="s">
        <v>32</v>
      </c>
      <c r="O2" s="5" t="s">
        <v>33</v>
      </c>
      <c r="P2" s="5" t="s">
        <v>34</v>
      </c>
      <c r="Q2" s="5" t="s">
        <v>35</v>
      </c>
      <c r="R2" s="5" t="s">
        <v>36</v>
      </c>
      <c r="S2" s="5" t="s">
        <v>37</v>
      </c>
      <c r="T2" s="5" t="s">
        <v>38</v>
      </c>
      <c r="U2" s="5" t="s">
        <v>39</v>
      </c>
      <c r="V2" s="5" t="s">
        <v>40</v>
      </c>
      <c r="W2" s="5" t="s">
        <v>41</v>
      </c>
      <c r="X2" s="5" t="s">
        <v>42</v>
      </c>
      <c r="Y2" s="5" t="s">
        <v>43</v>
      </c>
      <c r="Z2" s="5" t="s">
        <v>44</v>
      </c>
      <c r="AA2" s="5" t="s">
        <v>45</v>
      </c>
      <c r="AB2" s="5" t="s">
        <v>51</v>
      </c>
      <c r="AC2" s="5" t="s">
        <v>73</v>
      </c>
      <c r="AD2" s="1" t="s">
        <v>74</v>
      </c>
      <c r="AE2" s="1" t="s">
        <v>75</v>
      </c>
      <c r="AF2" s="1" t="s">
        <v>78</v>
      </c>
    </row>
    <row r="3" spans="1:43" s="7" customFormat="1" ht="15" customHeight="1" x14ac:dyDescent="0.2">
      <c r="B3" s="219" t="s">
        <v>67</v>
      </c>
      <c r="C3" s="219"/>
      <c r="D3" s="219" t="s">
        <v>66</v>
      </c>
      <c r="E3" s="219"/>
      <c r="F3" s="219"/>
      <c r="G3" s="219"/>
      <c r="H3" s="219" t="s">
        <v>60</v>
      </c>
      <c r="I3" s="219"/>
      <c r="J3" s="219"/>
      <c r="K3" s="219"/>
      <c r="L3" s="219" t="s">
        <v>61</v>
      </c>
      <c r="M3" s="219"/>
      <c r="N3" s="219"/>
      <c r="O3" s="219"/>
      <c r="P3" s="219" t="s">
        <v>62</v>
      </c>
      <c r="Q3" s="219"/>
      <c r="R3" s="219"/>
      <c r="S3" s="219"/>
      <c r="T3" s="219" t="s">
        <v>63</v>
      </c>
      <c r="U3" s="219"/>
      <c r="V3" s="219"/>
      <c r="W3" s="219"/>
      <c r="X3" s="219" t="s">
        <v>64</v>
      </c>
      <c r="Y3" s="219"/>
      <c r="Z3" s="219"/>
      <c r="AA3" s="219"/>
      <c r="AB3" s="219" t="s">
        <v>65</v>
      </c>
      <c r="AC3" s="219"/>
      <c r="AD3" s="219"/>
      <c r="AE3" s="219"/>
      <c r="AF3" s="218" t="s">
        <v>77</v>
      </c>
      <c r="AG3" s="218"/>
      <c r="AH3" s="218"/>
      <c r="AI3" s="218"/>
      <c r="AJ3" s="213" t="s">
        <v>80</v>
      </c>
      <c r="AK3" s="213"/>
      <c r="AL3" s="213"/>
      <c r="AM3" s="213"/>
      <c r="AN3" s="218" t="s">
        <v>92</v>
      </c>
      <c r="AO3" s="218"/>
      <c r="AP3" s="218"/>
      <c r="AQ3" s="218"/>
    </row>
    <row r="4" spans="1:43" x14ac:dyDescent="0.2">
      <c r="A4" s="21" t="s">
        <v>68</v>
      </c>
      <c r="B4" s="22" t="s">
        <v>48</v>
      </c>
      <c r="C4" s="22" t="s">
        <v>49</v>
      </c>
      <c r="D4" s="22" t="s">
        <v>46</v>
      </c>
      <c r="E4" s="22" t="s">
        <v>47</v>
      </c>
      <c r="F4" s="22" t="s">
        <v>48</v>
      </c>
      <c r="G4" s="22" t="s">
        <v>49</v>
      </c>
      <c r="H4" s="22" t="s">
        <v>46</v>
      </c>
      <c r="I4" s="22" t="s">
        <v>47</v>
      </c>
      <c r="J4" s="22" t="s">
        <v>48</v>
      </c>
      <c r="K4" s="22" t="s">
        <v>49</v>
      </c>
      <c r="L4" s="22" t="s">
        <v>46</v>
      </c>
      <c r="M4" s="22" t="s">
        <v>47</v>
      </c>
      <c r="N4" s="22" t="s">
        <v>48</v>
      </c>
      <c r="O4" s="22" t="s">
        <v>49</v>
      </c>
      <c r="P4" s="22" t="s">
        <v>46</v>
      </c>
      <c r="Q4" s="22" t="s">
        <v>47</v>
      </c>
      <c r="R4" s="22" t="s">
        <v>48</v>
      </c>
      <c r="S4" s="22" t="s">
        <v>49</v>
      </c>
      <c r="T4" s="22" t="s">
        <v>46</v>
      </c>
      <c r="U4" s="22" t="s">
        <v>47</v>
      </c>
      <c r="V4" s="22" t="s">
        <v>48</v>
      </c>
      <c r="W4" s="22" t="s">
        <v>49</v>
      </c>
      <c r="X4" s="22" t="s">
        <v>46</v>
      </c>
      <c r="Y4" s="22" t="s">
        <v>47</v>
      </c>
      <c r="Z4" s="22" t="s">
        <v>48</v>
      </c>
      <c r="AA4" s="22" t="s">
        <v>49</v>
      </c>
      <c r="AB4" s="22" t="s">
        <v>46</v>
      </c>
      <c r="AC4" s="22" t="s">
        <v>47</v>
      </c>
      <c r="AD4" s="22" t="s">
        <v>48</v>
      </c>
      <c r="AE4" s="22" t="s">
        <v>49</v>
      </c>
      <c r="AF4" s="12" t="s">
        <v>46</v>
      </c>
      <c r="AG4" s="12" t="s">
        <v>47</v>
      </c>
      <c r="AH4" s="12" t="s">
        <v>48</v>
      </c>
      <c r="AI4" s="22" t="s">
        <v>49</v>
      </c>
      <c r="AJ4" s="38" t="s">
        <v>46</v>
      </c>
      <c r="AK4" s="38" t="s">
        <v>47</v>
      </c>
      <c r="AL4" s="38" t="s">
        <v>48</v>
      </c>
      <c r="AM4" s="38" t="s">
        <v>49</v>
      </c>
      <c r="AN4" s="56" t="s">
        <v>46</v>
      </c>
      <c r="AO4" s="38" t="s">
        <v>47</v>
      </c>
      <c r="AP4" s="56" t="s">
        <v>48</v>
      </c>
      <c r="AQ4" s="56" t="s">
        <v>49</v>
      </c>
    </row>
    <row r="5" spans="1:43" s="8" customFormat="1" ht="18" customHeight="1" x14ac:dyDescent="0.2">
      <c r="A5" s="2" t="s">
        <v>97</v>
      </c>
      <c r="B5" s="10" t="e">
        <f>#REF!/Trend_VA!#REF!*100</f>
        <v>#REF!</v>
      </c>
      <c r="C5" s="10" t="e">
        <f>#REF!/Trend_VA!#REF!*100</f>
        <v>#REF!</v>
      </c>
      <c r="D5" s="10" t="e">
        <f>#REF!/Trend_VA!#REF!*100</f>
        <v>#REF!</v>
      </c>
      <c r="E5" s="10" t="e">
        <f>#REF!/Trend_VA!#REF!*100</f>
        <v>#REF!</v>
      </c>
      <c r="F5" s="10" t="e">
        <f>#REF!/Trend_VA!#REF!*100</f>
        <v>#REF!</v>
      </c>
      <c r="G5" s="10" t="e">
        <f>#REF!/Trend_VA!#REF!*100</f>
        <v>#REF!</v>
      </c>
      <c r="H5" s="10" t="e">
        <f>#REF!/Trend_VA!#REF!*100</f>
        <v>#REF!</v>
      </c>
      <c r="I5" s="10" t="e">
        <f>#REF!/Trend_VA!#REF!*100</f>
        <v>#REF!</v>
      </c>
      <c r="J5" s="25" t="e">
        <f>#REF!/Trend_VA!#REF!*100</f>
        <v>#REF!</v>
      </c>
      <c r="K5" s="25" t="e">
        <f>#REF!/Trend_VA!#REF!*100</f>
        <v>#REF!</v>
      </c>
      <c r="L5" s="25" t="e">
        <f>#REF!/Trend_VA!#REF!*100</f>
        <v>#REF!</v>
      </c>
      <c r="M5" s="25" t="e">
        <f>#REF!/Trend_VA!#REF!*100</f>
        <v>#REF!</v>
      </c>
      <c r="N5" s="25" t="e">
        <f>#REF!/Trend_VA!#REF!*100</f>
        <v>#REF!</v>
      </c>
      <c r="O5" s="25" t="e">
        <f>#REF!/Trend_VA!#REF!*100</f>
        <v>#REF!</v>
      </c>
      <c r="P5" s="25" t="e">
        <f>#REF!/Trend_VA!#REF!*100</f>
        <v>#REF!</v>
      </c>
      <c r="Q5" s="25" t="e">
        <f>#REF!/Trend_VA!#REF!*100</f>
        <v>#REF!</v>
      </c>
      <c r="R5" s="25" t="e">
        <f>#REF!/Trend_VA!#REF!*100</f>
        <v>#REF!</v>
      </c>
      <c r="S5" s="25" t="e">
        <f>#REF!/Trend_VA!#REF!*100</f>
        <v>#REF!</v>
      </c>
      <c r="T5" s="25" t="e">
        <f>#REF!/Trend_VA!#REF!*100</f>
        <v>#REF!</v>
      </c>
      <c r="U5" s="25" t="e">
        <f>#REF!/Trend_VA!#REF!*100</f>
        <v>#REF!</v>
      </c>
      <c r="V5" s="25" t="e">
        <f>#REF!/Trend_VA!#REF!*100</f>
        <v>#REF!</v>
      </c>
      <c r="W5" s="25" t="e">
        <f>#REF!/Trend_VA!#REF!*100</f>
        <v>#REF!</v>
      </c>
      <c r="X5" s="25" t="e">
        <f>#REF!/Trend_VA!#REF!*100</f>
        <v>#REF!</v>
      </c>
      <c r="Y5" s="25" t="e">
        <f>#REF!/Trend_VA!#REF!*100</f>
        <v>#REF!</v>
      </c>
      <c r="Z5" s="25" t="e">
        <f>#REF!/Trend_VA!#REF!*100</f>
        <v>#REF!</v>
      </c>
      <c r="AA5" s="25" t="e">
        <f>#REF!/Trend_VA!#REF!*100</f>
        <v>#REF!</v>
      </c>
      <c r="AB5" s="25" t="e">
        <f>#REF!/Trend_VA!#REF!*100</f>
        <v>#REF!</v>
      </c>
      <c r="AC5" s="25" t="e">
        <f>#REF!/Trend_VA!#REF!*100</f>
        <v>#REF!</v>
      </c>
      <c r="AD5" s="25" t="e">
        <f>#REF!/Trend_VA!#REF!*100</f>
        <v>#REF!</v>
      </c>
      <c r="AE5" s="25" t="e">
        <f>#REF!/Trend_VA!#REF!*100</f>
        <v>#REF!</v>
      </c>
      <c r="AF5" s="25" t="e">
        <f>#REF!/Trend_VA!#REF!*100</f>
        <v>#REF!</v>
      </c>
      <c r="AG5" s="25" t="e">
        <f>#REF!/Trend_VA!#REF!*100</f>
        <v>#REF!</v>
      </c>
      <c r="AH5" s="25" t="e">
        <f>#REF!/Trend_VA!#REF!*100</f>
        <v>#REF!</v>
      </c>
      <c r="AI5" s="25" t="e">
        <f>#REF!/Trend_VA!#REF!*100</f>
        <v>#REF!</v>
      </c>
      <c r="AJ5" s="25" t="e">
        <f>#REF!/Trend_VA!B5*100</f>
        <v>#REF!</v>
      </c>
      <c r="AK5" s="25" t="e">
        <f>#REF!/Trend_VA!C5*100</f>
        <v>#REF!</v>
      </c>
      <c r="AL5" s="25" t="e">
        <f>#REF!/Trend_VA!D5*100</f>
        <v>#REF!</v>
      </c>
      <c r="AM5" s="25" t="e">
        <f>#REF!/Trend_VA!E5*100</f>
        <v>#REF!</v>
      </c>
      <c r="AN5" s="25" t="e">
        <f>#REF!/Trend_VA!F5*100</f>
        <v>#REF!</v>
      </c>
      <c r="AO5" s="25" t="e">
        <f>#REF!/Trend_VA!G5*100</f>
        <v>#REF!</v>
      </c>
      <c r="AP5" s="25" t="e">
        <f>#REF!/Trend_VA!H5*100</f>
        <v>#REF!</v>
      </c>
      <c r="AQ5" s="25" t="e">
        <f>#REF!/Trend_VA!I5*100</f>
        <v>#REF!</v>
      </c>
    </row>
    <row r="6" spans="1:43" s="8" customFormat="1" ht="24.75" customHeight="1" x14ac:dyDescent="0.2">
      <c r="A6" s="2" t="s">
        <v>96</v>
      </c>
      <c r="B6" s="10" t="e">
        <f>#REF!/Trend_VA!#REF!*100</f>
        <v>#REF!</v>
      </c>
      <c r="C6" s="10" t="e">
        <f>#REF!/Trend_VA!#REF!*100</f>
        <v>#REF!</v>
      </c>
      <c r="D6" s="10" t="e">
        <f>#REF!/Trend_VA!#REF!*100</f>
        <v>#REF!</v>
      </c>
      <c r="E6" s="10" t="e">
        <f>#REF!/Trend_VA!#REF!*100</f>
        <v>#REF!</v>
      </c>
      <c r="F6" s="10" t="e">
        <f>#REF!/Trend_VA!#REF!*100</f>
        <v>#REF!</v>
      </c>
      <c r="G6" s="10" t="e">
        <f>#REF!/Trend_VA!#REF!*100</f>
        <v>#REF!</v>
      </c>
      <c r="H6" s="10" t="e">
        <f>#REF!/Trend_VA!#REF!*100</f>
        <v>#REF!</v>
      </c>
      <c r="I6" s="10" t="e">
        <f>#REF!/Trend_VA!#REF!*100</f>
        <v>#REF!</v>
      </c>
      <c r="J6" s="25" t="e">
        <f>#REF!/Trend_VA!#REF!*100</f>
        <v>#REF!</v>
      </c>
      <c r="K6" s="25" t="e">
        <f>#REF!/Trend_VA!#REF!*100</f>
        <v>#REF!</v>
      </c>
      <c r="L6" s="25" t="e">
        <f>#REF!/Trend_VA!#REF!*100</f>
        <v>#REF!</v>
      </c>
      <c r="M6" s="25" t="e">
        <f>#REF!/Trend_VA!#REF!*100</f>
        <v>#REF!</v>
      </c>
      <c r="N6" s="25" t="e">
        <f>#REF!/Trend_VA!#REF!*100</f>
        <v>#REF!</v>
      </c>
      <c r="O6" s="25" t="e">
        <f>#REF!/Trend_VA!#REF!*100</f>
        <v>#REF!</v>
      </c>
      <c r="P6" s="25" t="e">
        <f>#REF!/Trend_VA!#REF!*100</f>
        <v>#REF!</v>
      </c>
      <c r="Q6" s="25" t="e">
        <f>#REF!/Trend_VA!#REF!*100</f>
        <v>#REF!</v>
      </c>
      <c r="R6" s="25" t="e">
        <f>#REF!/Trend_VA!#REF!*100</f>
        <v>#REF!</v>
      </c>
      <c r="S6" s="25" t="e">
        <f>#REF!/Trend_VA!#REF!*100</f>
        <v>#REF!</v>
      </c>
      <c r="T6" s="25" t="e">
        <f>#REF!/Trend_VA!#REF!*100</f>
        <v>#REF!</v>
      </c>
      <c r="U6" s="25" t="e">
        <f>#REF!/Trend_VA!#REF!*100</f>
        <v>#REF!</v>
      </c>
      <c r="V6" s="25" t="e">
        <f>#REF!/Trend_VA!#REF!*100</f>
        <v>#REF!</v>
      </c>
      <c r="W6" s="25" t="e">
        <f>#REF!/Trend_VA!#REF!*100</f>
        <v>#REF!</v>
      </c>
      <c r="X6" s="25" t="e">
        <f>#REF!/Trend_VA!#REF!*100</f>
        <v>#REF!</v>
      </c>
      <c r="Y6" s="25" t="e">
        <f>#REF!/Trend_VA!#REF!*100</f>
        <v>#REF!</v>
      </c>
      <c r="Z6" s="25" t="e">
        <f>#REF!/Trend_VA!#REF!*100</f>
        <v>#REF!</v>
      </c>
      <c r="AA6" s="25" t="e">
        <f>#REF!/Trend_VA!#REF!*100</f>
        <v>#REF!</v>
      </c>
      <c r="AB6" s="25" t="e">
        <f>#REF!/Trend_VA!#REF!*100</f>
        <v>#REF!</v>
      </c>
      <c r="AC6" s="25" t="e">
        <f>#REF!/Trend_VA!#REF!*100</f>
        <v>#REF!</v>
      </c>
      <c r="AD6" s="25" t="e">
        <f>#REF!/Trend_VA!#REF!*100</f>
        <v>#REF!</v>
      </c>
      <c r="AE6" s="25" t="e">
        <f>#REF!/Trend_VA!#REF!*100</f>
        <v>#REF!</v>
      </c>
      <c r="AF6" s="49" t="e">
        <f>#REF!/Trend_VA!#REF!*100</f>
        <v>#REF!</v>
      </c>
      <c r="AG6" s="49" t="e">
        <f>#REF!/Trend_VA!#REF!*100</f>
        <v>#REF!</v>
      </c>
      <c r="AH6" s="49" t="e">
        <f>#REF!/Trend_VA!#REF!*100</f>
        <v>#REF!</v>
      </c>
      <c r="AI6" s="49" t="e">
        <f>#REF!/Trend_VA!#REF!*100</f>
        <v>#REF!</v>
      </c>
      <c r="AJ6" s="49" t="e">
        <f>#REF!/Trend_VA!B6*100</f>
        <v>#REF!</v>
      </c>
      <c r="AK6" s="49" t="e">
        <f>#REF!/Trend_VA!C6*100</f>
        <v>#REF!</v>
      </c>
      <c r="AL6" s="49" t="e">
        <f>#REF!/Trend_VA!D6*100</f>
        <v>#REF!</v>
      </c>
      <c r="AM6" s="49" t="e">
        <f>#REF!/Trend_VA!E6*100</f>
        <v>#REF!</v>
      </c>
      <c r="AN6" s="49" t="e">
        <f>#REF!/Trend_VA!F6*100</f>
        <v>#REF!</v>
      </c>
      <c r="AO6" s="49" t="e">
        <f>#REF!/Trend_VA!G6*100</f>
        <v>#REF!</v>
      </c>
      <c r="AP6" s="49" t="e">
        <f>#REF!/Trend_VA!H6*100</f>
        <v>#REF!</v>
      </c>
      <c r="AQ6" s="49" t="e">
        <f>#REF!/Trend_VA!I6*100</f>
        <v>#REF!</v>
      </c>
    </row>
    <row r="7" spans="1:43" ht="18" customHeight="1" x14ac:dyDescent="0.2">
      <c r="A7" s="16" t="s">
        <v>1</v>
      </c>
      <c r="B7" s="9" t="e">
        <f>#REF!/Trend_VA!#REF!*100</f>
        <v>#REF!</v>
      </c>
      <c r="C7" s="9" t="e">
        <f>#REF!/Trend_VA!#REF!*100</f>
        <v>#REF!</v>
      </c>
      <c r="D7" s="9" t="e">
        <f>#REF!/Trend_VA!#REF!*100</f>
        <v>#REF!</v>
      </c>
      <c r="E7" s="9" t="e">
        <f>#REF!/Trend_VA!#REF!*100</f>
        <v>#REF!</v>
      </c>
      <c r="F7" s="9" t="e">
        <f>#REF!/Trend_VA!#REF!*100</f>
        <v>#REF!</v>
      </c>
      <c r="G7" s="9" t="e">
        <f>#REF!/Trend_VA!#REF!*100</f>
        <v>#REF!</v>
      </c>
      <c r="H7" s="9" t="e">
        <f>#REF!/Trend_VA!#REF!*100</f>
        <v>#REF!</v>
      </c>
      <c r="I7" s="9" t="e">
        <f>#REF!/Trend_VA!#REF!*100</f>
        <v>#REF!</v>
      </c>
      <c r="J7" s="26" t="e">
        <f>#REF!/Trend_VA!#REF!*100</f>
        <v>#REF!</v>
      </c>
      <c r="K7" s="26" t="e">
        <f>#REF!/Trend_VA!#REF!*100</f>
        <v>#REF!</v>
      </c>
      <c r="L7" s="26" t="e">
        <f>#REF!/Trend_VA!#REF!*100</f>
        <v>#REF!</v>
      </c>
      <c r="M7" s="26" t="e">
        <f>#REF!/Trend_VA!#REF!*100</f>
        <v>#REF!</v>
      </c>
      <c r="N7" s="26" t="e">
        <f>#REF!/Trend_VA!#REF!*100</f>
        <v>#REF!</v>
      </c>
      <c r="O7" s="26" t="e">
        <f>#REF!/Trend_VA!#REF!*100</f>
        <v>#REF!</v>
      </c>
      <c r="P7" s="26" t="e">
        <f>#REF!/Trend_VA!#REF!*100</f>
        <v>#REF!</v>
      </c>
      <c r="Q7" s="26" t="e">
        <f>#REF!/Trend_VA!#REF!*100</f>
        <v>#REF!</v>
      </c>
      <c r="R7" s="26" t="e">
        <f>#REF!/Trend_VA!#REF!*100</f>
        <v>#REF!</v>
      </c>
      <c r="S7" s="26" t="e">
        <f>#REF!/Trend_VA!#REF!*100</f>
        <v>#REF!</v>
      </c>
      <c r="T7" s="26" t="e">
        <f>#REF!/Trend_VA!#REF!*100</f>
        <v>#REF!</v>
      </c>
      <c r="U7" s="26" t="e">
        <f>#REF!/Trend_VA!#REF!*100</f>
        <v>#REF!</v>
      </c>
      <c r="V7" s="26" t="e">
        <f>#REF!/Trend_VA!#REF!*100</f>
        <v>#REF!</v>
      </c>
      <c r="W7" s="26" t="e">
        <f>#REF!/Trend_VA!#REF!*100</f>
        <v>#REF!</v>
      </c>
      <c r="X7" s="26" t="e">
        <f>#REF!/Trend_VA!#REF!*100</f>
        <v>#REF!</v>
      </c>
      <c r="Y7" s="26" t="e">
        <f>#REF!/Trend_VA!#REF!*100</f>
        <v>#REF!</v>
      </c>
      <c r="Z7" s="26" t="e">
        <f>#REF!/Trend_VA!#REF!*100</f>
        <v>#REF!</v>
      </c>
      <c r="AA7" s="26" t="e">
        <f>#REF!/Trend_VA!#REF!*100</f>
        <v>#REF!</v>
      </c>
      <c r="AB7" s="26" t="e">
        <f>#REF!/Trend_VA!#REF!*100</f>
        <v>#REF!</v>
      </c>
      <c r="AC7" s="26" t="e">
        <f>#REF!/Trend_VA!#REF!*100</f>
        <v>#REF!</v>
      </c>
      <c r="AD7" s="26" t="e">
        <f>#REF!/Trend_VA!#REF!*100</f>
        <v>#REF!</v>
      </c>
      <c r="AE7" s="26" t="e">
        <f>#REF!/Trend_VA!#REF!*100</f>
        <v>#REF!</v>
      </c>
      <c r="AF7" s="33" t="e">
        <f>#REF!/Trend_VA!#REF!*100</f>
        <v>#REF!</v>
      </c>
      <c r="AG7" s="33" t="e">
        <f>#REF!/Trend_VA!#REF!*100</f>
        <v>#REF!</v>
      </c>
      <c r="AH7" s="33" t="e">
        <f>#REF!/Trend_VA!#REF!*100</f>
        <v>#REF!</v>
      </c>
      <c r="AI7" s="33" t="e">
        <f>#REF!/Trend_VA!#REF!*100</f>
        <v>#REF!</v>
      </c>
      <c r="AJ7" s="33" t="e">
        <f>#REF!/Trend_VA!B7*100</f>
        <v>#REF!</v>
      </c>
      <c r="AK7" s="33" t="e">
        <f>#REF!/Trend_VA!C7*100</f>
        <v>#REF!</v>
      </c>
      <c r="AL7" s="33" t="e">
        <f>#REF!/Trend_VA!D7*100</f>
        <v>#REF!</v>
      </c>
      <c r="AM7" s="33" t="e">
        <f>#REF!/Trend_VA!E7*100</f>
        <v>#REF!</v>
      </c>
      <c r="AN7" s="33" t="e">
        <f>#REF!/Trend_VA!F7*100</f>
        <v>#REF!</v>
      </c>
      <c r="AO7" s="33" t="e">
        <f>#REF!/Trend_VA!G7*100</f>
        <v>#REF!</v>
      </c>
      <c r="AP7" s="33" t="e">
        <f>#REF!/Trend_VA!H7*100</f>
        <v>#REF!</v>
      </c>
      <c r="AQ7" s="33" t="e">
        <f>#REF!/Trend_VA!I7*100</f>
        <v>#REF!</v>
      </c>
    </row>
    <row r="8" spans="1:43" ht="18" customHeight="1" x14ac:dyDescent="0.2">
      <c r="A8" s="16" t="s">
        <v>2</v>
      </c>
      <c r="B8" s="9" t="e">
        <f>#REF!/Trend_VA!#REF!*100</f>
        <v>#REF!</v>
      </c>
      <c r="C8" s="9" t="e">
        <f>#REF!/Trend_VA!#REF!*100</f>
        <v>#REF!</v>
      </c>
      <c r="D8" s="9" t="e">
        <f>#REF!/Trend_VA!#REF!*100</f>
        <v>#REF!</v>
      </c>
      <c r="E8" s="9" t="e">
        <f>#REF!/Trend_VA!#REF!*100</f>
        <v>#REF!</v>
      </c>
      <c r="F8" s="9" t="e">
        <f>#REF!/Trend_VA!#REF!*100</f>
        <v>#REF!</v>
      </c>
      <c r="G8" s="9" t="e">
        <f>#REF!/Trend_VA!#REF!*100</f>
        <v>#REF!</v>
      </c>
      <c r="H8" s="9" t="e">
        <f>#REF!/Trend_VA!#REF!*100</f>
        <v>#REF!</v>
      </c>
      <c r="I8" s="9" t="e">
        <f>#REF!/Trend_VA!#REF!*100</f>
        <v>#REF!</v>
      </c>
      <c r="J8" s="26" t="e">
        <f>#REF!/Trend_VA!#REF!*100</f>
        <v>#REF!</v>
      </c>
      <c r="K8" s="26" t="e">
        <f>#REF!/Trend_VA!#REF!*100</f>
        <v>#REF!</v>
      </c>
      <c r="L8" s="26" t="e">
        <f>#REF!/Trend_VA!#REF!*100</f>
        <v>#REF!</v>
      </c>
      <c r="M8" s="26" t="e">
        <f>#REF!/Trend_VA!#REF!*100</f>
        <v>#REF!</v>
      </c>
      <c r="N8" s="26" t="e">
        <f>#REF!/Trend_VA!#REF!*100</f>
        <v>#REF!</v>
      </c>
      <c r="O8" s="26" t="e">
        <f>#REF!/Trend_VA!#REF!*100</f>
        <v>#REF!</v>
      </c>
      <c r="P8" s="26" t="e">
        <f>#REF!/Trend_VA!#REF!*100</f>
        <v>#REF!</v>
      </c>
      <c r="Q8" s="26" t="e">
        <f>#REF!/Trend_VA!#REF!*100</f>
        <v>#REF!</v>
      </c>
      <c r="R8" s="26" t="e">
        <f>#REF!/Trend_VA!#REF!*100</f>
        <v>#REF!</v>
      </c>
      <c r="S8" s="26" t="e">
        <f>#REF!/Trend_VA!#REF!*100</f>
        <v>#REF!</v>
      </c>
      <c r="T8" s="26" t="e">
        <f>#REF!/Trend_VA!#REF!*100</f>
        <v>#REF!</v>
      </c>
      <c r="U8" s="26" t="e">
        <f>#REF!/Trend_VA!#REF!*100</f>
        <v>#REF!</v>
      </c>
      <c r="V8" s="26" t="e">
        <f>#REF!/Trend_VA!#REF!*100</f>
        <v>#REF!</v>
      </c>
      <c r="W8" s="26" t="e">
        <f>#REF!/Trend_VA!#REF!*100</f>
        <v>#REF!</v>
      </c>
      <c r="X8" s="26" t="e">
        <f>#REF!/Trend_VA!#REF!*100</f>
        <v>#REF!</v>
      </c>
      <c r="Y8" s="26" t="e">
        <f>#REF!/Trend_VA!#REF!*100</f>
        <v>#REF!</v>
      </c>
      <c r="Z8" s="26" t="e">
        <f>#REF!/Trend_VA!#REF!*100</f>
        <v>#REF!</v>
      </c>
      <c r="AA8" s="26" t="e">
        <f>#REF!/Trend_VA!#REF!*100</f>
        <v>#REF!</v>
      </c>
      <c r="AB8" s="26" t="e">
        <f>#REF!/Trend_VA!#REF!*100</f>
        <v>#REF!</v>
      </c>
      <c r="AC8" s="26" t="e">
        <f>#REF!/Trend_VA!#REF!*100</f>
        <v>#REF!</v>
      </c>
      <c r="AD8" s="26" t="e">
        <f>#REF!/Trend_VA!#REF!*100</f>
        <v>#REF!</v>
      </c>
      <c r="AE8" s="26" t="e">
        <f>#REF!/Trend_VA!#REF!*100</f>
        <v>#REF!</v>
      </c>
      <c r="AF8" s="33" t="e">
        <f>#REF!/Trend_VA!#REF!*100</f>
        <v>#REF!</v>
      </c>
      <c r="AG8" s="33" t="e">
        <f>#REF!/Trend_VA!#REF!*100</f>
        <v>#REF!</v>
      </c>
      <c r="AH8" s="33" t="e">
        <f>#REF!/Trend_VA!#REF!*100</f>
        <v>#REF!</v>
      </c>
      <c r="AI8" s="33" t="e">
        <f>#REF!/Trend_VA!#REF!*100</f>
        <v>#REF!</v>
      </c>
      <c r="AJ8" s="33" t="e">
        <f>#REF!/Trend_VA!B8*100</f>
        <v>#REF!</v>
      </c>
      <c r="AK8" s="33" t="e">
        <f>#REF!/Trend_VA!C8*100</f>
        <v>#REF!</v>
      </c>
      <c r="AL8" s="33" t="e">
        <f>#REF!/Trend_VA!D8*100</f>
        <v>#REF!</v>
      </c>
      <c r="AM8" s="33" t="e">
        <f>#REF!/Trend_VA!E8*100</f>
        <v>#REF!</v>
      </c>
      <c r="AN8" s="33" t="e">
        <f>#REF!/Trend_VA!F8*100</f>
        <v>#REF!</v>
      </c>
      <c r="AO8" s="33" t="e">
        <f>#REF!/Trend_VA!G8*100</f>
        <v>#REF!</v>
      </c>
      <c r="AP8" s="33" t="e">
        <f>#REF!/Trend_VA!H8*100</f>
        <v>#REF!</v>
      </c>
      <c r="AQ8" s="33" t="e">
        <f>#REF!/Trend_VA!I8*100</f>
        <v>#REF!</v>
      </c>
    </row>
    <row r="9" spans="1:43" ht="18" customHeight="1" x14ac:dyDescent="0.2">
      <c r="A9" s="16" t="s">
        <v>3</v>
      </c>
      <c r="B9" s="9" t="e">
        <f>#REF!/Trend_VA!#REF!*100</f>
        <v>#REF!</v>
      </c>
      <c r="C9" s="9" t="e">
        <f>#REF!/Trend_VA!#REF!*100</f>
        <v>#REF!</v>
      </c>
      <c r="D9" s="9" t="e">
        <f>#REF!/Trend_VA!#REF!*100</f>
        <v>#REF!</v>
      </c>
      <c r="E9" s="9" t="e">
        <f>#REF!/Trend_VA!#REF!*100</f>
        <v>#REF!</v>
      </c>
      <c r="F9" s="9" t="e">
        <f>#REF!/Trend_VA!#REF!*100</f>
        <v>#REF!</v>
      </c>
      <c r="G9" s="9" t="e">
        <f>#REF!/Trend_VA!#REF!*100</f>
        <v>#REF!</v>
      </c>
      <c r="H9" s="9" t="e">
        <f>#REF!/Trend_VA!#REF!*100</f>
        <v>#REF!</v>
      </c>
      <c r="I9" s="9" t="e">
        <f>#REF!/Trend_VA!#REF!*100</f>
        <v>#REF!</v>
      </c>
      <c r="J9" s="26" t="e">
        <f>#REF!/Trend_VA!#REF!*100</f>
        <v>#REF!</v>
      </c>
      <c r="K9" s="26" t="e">
        <f>#REF!/Trend_VA!#REF!*100</f>
        <v>#REF!</v>
      </c>
      <c r="L9" s="26" t="e">
        <f>#REF!/Trend_VA!#REF!*100</f>
        <v>#REF!</v>
      </c>
      <c r="M9" s="26" t="e">
        <f>#REF!/Trend_VA!#REF!*100</f>
        <v>#REF!</v>
      </c>
      <c r="N9" s="26" t="e">
        <f>#REF!/Trend_VA!#REF!*100</f>
        <v>#REF!</v>
      </c>
      <c r="O9" s="26" t="e">
        <f>#REF!/Trend_VA!#REF!*100</f>
        <v>#REF!</v>
      </c>
      <c r="P9" s="26" t="e">
        <f>#REF!/Trend_VA!#REF!*100</f>
        <v>#REF!</v>
      </c>
      <c r="Q9" s="26" t="e">
        <f>#REF!/Trend_VA!#REF!*100</f>
        <v>#REF!</v>
      </c>
      <c r="R9" s="26" t="e">
        <f>#REF!/Trend_VA!#REF!*100</f>
        <v>#REF!</v>
      </c>
      <c r="S9" s="26" t="e">
        <f>#REF!/Trend_VA!#REF!*100</f>
        <v>#REF!</v>
      </c>
      <c r="T9" s="26" t="e">
        <f>#REF!/Trend_VA!#REF!*100</f>
        <v>#REF!</v>
      </c>
      <c r="U9" s="26" t="e">
        <f>#REF!/Trend_VA!#REF!*100</f>
        <v>#REF!</v>
      </c>
      <c r="V9" s="26" t="e">
        <f>#REF!/Trend_VA!#REF!*100</f>
        <v>#REF!</v>
      </c>
      <c r="W9" s="26" t="e">
        <f>#REF!/Trend_VA!#REF!*100</f>
        <v>#REF!</v>
      </c>
      <c r="X9" s="26" t="e">
        <f>#REF!/Trend_VA!#REF!*100</f>
        <v>#REF!</v>
      </c>
      <c r="Y9" s="26" t="e">
        <f>#REF!/Trend_VA!#REF!*100</f>
        <v>#REF!</v>
      </c>
      <c r="Z9" s="26" t="e">
        <f>#REF!/Trend_VA!#REF!*100</f>
        <v>#REF!</v>
      </c>
      <c r="AA9" s="26" t="e">
        <f>#REF!/Trend_VA!#REF!*100</f>
        <v>#REF!</v>
      </c>
      <c r="AB9" s="26" t="e">
        <f>#REF!/Trend_VA!#REF!*100</f>
        <v>#REF!</v>
      </c>
      <c r="AC9" s="26" t="e">
        <f>#REF!/Trend_VA!#REF!*100</f>
        <v>#REF!</v>
      </c>
      <c r="AD9" s="26" t="e">
        <f>#REF!/Trend_VA!#REF!*100</f>
        <v>#REF!</v>
      </c>
      <c r="AE9" s="26" t="e">
        <f>#REF!/Trend_VA!#REF!*100</f>
        <v>#REF!</v>
      </c>
      <c r="AF9" s="33" t="e">
        <f>#REF!/Trend_VA!#REF!*100</f>
        <v>#REF!</v>
      </c>
      <c r="AG9" s="33" t="e">
        <f>#REF!/Trend_VA!#REF!*100</f>
        <v>#REF!</v>
      </c>
      <c r="AH9" s="33" t="e">
        <f>#REF!/Trend_VA!#REF!*100</f>
        <v>#REF!</v>
      </c>
      <c r="AI9" s="33" t="e">
        <f>#REF!/Trend_VA!#REF!*100</f>
        <v>#REF!</v>
      </c>
      <c r="AJ9" s="33" t="e">
        <f>#REF!/Trend_VA!B9*100</f>
        <v>#REF!</v>
      </c>
      <c r="AK9" s="33" t="e">
        <f>#REF!/Trend_VA!C9*100</f>
        <v>#REF!</v>
      </c>
      <c r="AL9" s="33" t="e">
        <f>#REF!/Trend_VA!D9*100</f>
        <v>#REF!</v>
      </c>
      <c r="AM9" s="33" t="e">
        <f>#REF!/Trend_VA!E9*100</f>
        <v>#REF!</v>
      </c>
      <c r="AN9" s="33" t="e">
        <f>#REF!/Trend_VA!F9*100</f>
        <v>#REF!</v>
      </c>
      <c r="AO9" s="33" t="e">
        <f>#REF!/Trend_VA!G9*100</f>
        <v>#REF!</v>
      </c>
      <c r="AP9" s="33" t="e">
        <f>#REF!/Trend_VA!H9*100</f>
        <v>#REF!</v>
      </c>
      <c r="AQ9" s="33" t="e">
        <f>#REF!/Trend_VA!I9*100</f>
        <v>#REF!</v>
      </c>
    </row>
    <row r="10" spans="1:43" ht="18" customHeight="1" x14ac:dyDescent="0.2">
      <c r="A10" s="16" t="s">
        <v>4</v>
      </c>
      <c r="B10" s="9" t="e">
        <f>#REF!/Trend_VA!#REF!*100</f>
        <v>#REF!</v>
      </c>
      <c r="C10" s="9" t="e">
        <f>#REF!/Trend_VA!#REF!*100</f>
        <v>#REF!</v>
      </c>
      <c r="D10" s="9" t="e">
        <f>#REF!/Trend_VA!#REF!*100</f>
        <v>#REF!</v>
      </c>
      <c r="E10" s="9" t="e">
        <f>#REF!/Trend_VA!#REF!*100</f>
        <v>#REF!</v>
      </c>
      <c r="F10" s="9" t="e">
        <f>#REF!/Trend_VA!#REF!*100</f>
        <v>#REF!</v>
      </c>
      <c r="G10" s="9" t="e">
        <f>#REF!/Trend_VA!#REF!*100</f>
        <v>#REF!</v>
      </c>
      <c r="H10" s="9" t="e">
        <f>#REF!/Trend_VA!#REF!*100</f>
        <v>#REF!</v>
      </c>
      <c r="I10" s="9" t="e">
        <f>#REF!/Trend_VA!#REF!*100</f>
        <v>#REF!</v>
      </c>
      <c r="J10" s="26" t="e">
        <f>#REF!/Trend_VA!#REF!*100</f>
        <v>#REF!</v>
      </c>
      <c r="K10" s="26" t="e">
        <f>#REF!/Trend_VA!#REF!*100</f>
        <v>#REF!</v>
      </c>
      <c r="L10" s="26" t="e">
        <f>#REF!/Trend_VA!#REF!*100</f>
        <v>#REF!</v>
      </c>
      <c r="M10" s="26" t="e">
        <f>#REF!/Trend_VA!#REF!*100</f>
        <v>#REF!</v>
      </c>
      <c r="N10" s="26" t="e">
        <f>#REF!/Trend_VA!#REF!*100</f>
        <v>#REF!</v>
      </c>
      <c r="O10" s="26" t="e">
        <f>#REF!/Trend_VA!#REF!*100</f>
        <v>#REF!</v>
      </c>
      <c r="P10" s="26" t="e">
        <f>#REF!/Trend_VA!#REF!*100</f>
        <v>#REF!</v>
      </c>
      <c r="Q10" s="26" t="e">
        <f>#REF!/Trend_VA!#REF!*100</f>
        <v>#REF!</v>
      </c>
      <c r="R10" s="26" t="e">
        <f>#REF!/Trend_VA!#REF!*100</f>
        <v>#REF!</v>
      </c>
      <c r="S10" s="26" t="e">
        <f>#REF!/Trend_VA!#REF!*100</f>
        <v>#REF!</v>
      </c>
      <c r="T10" s="26" t="e">
        <f>#REF!/Trend_VA!#REF!*100</f>
        <v>#REF!</v>
      </c>
      <c r="U10" s="26" t="e">
        <f>#REF!/Trend_VA!#REF!*100</f>
        <v>#REF!</v>
      </c>
      <c r="V10" s="26" t="e">
        <f>#REF!/Trend_VA!#REF!*100</f>
        <v>#REF!</v>
      </c>
      <c r="W10" s="26" t="e">
        <f>#REF!/Trend_VA!#REF!*100</f>
        <v>#REF!</v>
      </c>
      <c r="X10" s="26" t="e">
        <f>#REF!/Trend_VA!#REF!*100</f>
        <v>#REF!</v>
      </c>
      <c r="Y10" s="26" t="e">
        <f>#REF!/Trend_VA!#REF!*100</f>
        <v>#REF!</v>
      </c>
      <c r="Z10" s="26" t="e">
        <f>#REF!/Trend_VA!#REF!*100</f>
        <v>#REF!</v>
      </c>
      <c r="AA10" s="26" t="e">
        <f>#REF!/Trend_VA!#REF!*100</f>
        <v>#REF!</v>
      </c>
      <c r="AB10" s="26" t="e">
        <f>#REF!/Trend_VA!#REF!*100</f>
        <v>#REF!</v>
      </c>
      <c r="AC10" s="26" t="e">
        <f>#REF!/Trend_VA!#REF!*100</f>
        <v>#REF!</v>
      </c>
      <c r="AD10" s="26" t="e">
        <f>#REF!/Trend_VA!#REF!*100</f>
        <v>#REF!</v>
      </c>
      <c r="AE10" s="26" t="e">
        <f>#REF!/Trend_VA!#REF!*100</f>
        <v>#REF!</v>
      </c>
      <c r="AF10" s="33" t="e">
        <f>#REF!/Trend_VA!#REF!*100</f>
        <v>#REF!</v>
      </c>
      <c r="AG10" s="33" t="e">
        <f>#REF!/Trend_VA!#REF!*100</f>
        <v>#REF!</v>
      </c>
      <c r="AH10" s="33" t="e">
        <f>#REF!/Trend_VA!#REF!*100</f>
        <v>#REF!</v>
      </c>
      <c r="AI10" s="33" t="e">
        <f>#REF!/Trend_VA!#REF!*100</f>
        <v>#REF!</v>
      </c>
      <c r="AJ10" s="33" t="e">
        <f>#REF!/Trend_VA!B10*100</f>
        <v>#REF!</v>
      </c>
      <c r="AK10" s="33" t="e">
        <f>#REF!/Trend_VA!C10*100</f>
        <v>#REF!</v>
      </c>
      <c r="AL10" s="33" t="e">
        <f>#REF!/Trend_VA!D10*100</f>
        <v>#REF!</v>
      </c>
      <c r="AM10" s="33" t="e">
        <f>#REF!/Trend_VA!E10*100</f>
        <v>#REF!</v>
      </c>
      <c r="AN10" s="33" t="e">
        <f>#REF!/Trend_VA!F10*100</f>
        <v>#REF!</v>
      </c>
      <c r="AO10" s="33" t="e">
        <f>#REF!/Trend_VA!G10*100</f>
        <v>#REF!</v>
      </c>
      <c r="AP10" s="33" t="e">
        <f>#REF!/Trend_VA!H10*100</f>
        <v>#REF!</v>
      </c>
      <c r="AQ10" s="33" t="e">
        <f>#REF!/Trend_VA!I10*100</f>
        <v>#REF!</v>
      </c>
    </row>
    <row r="11" spans="1:43" ht="18" customHeight="1" x14ac:dyDescent="0.2">
      <c r="A11" s="16" t="s">
        <v>5</v>
      </c>
      <c r="B11" s="9" t="e">
        <f>#REF!/Trend_VA!#REF!*100</f>
        <v>#REF!</v>
      </c>
      <c r="C11" s="9" t="e">
        <f>#REF!/Trend_VA!#REF!*100</f>
        <v>#REF!</v>
      </c>
      <c r="D11" s="9" t="e">
        <f>#REF!/Trend_VA!#REF!*100</f>
        <v>#REF!</v>
      </c>
      <c r="E11" s="9" t="e">
        <f>#REF!/Trend_VA!#REF!*100</f>
        <v>#REF!</v>
      </c>
      <c r="F11" s="9" t="e">
        <f>#REF!/Trend_VA!#REF!*100</f>
        <v>#REF!</v>
      </c>
      <c r="G11" s="9" t="e">
        <f>#REF!/Trend_VA!#REF!*100</f>
        <v>#REF!</v>
      </c>
      <c r="H11" s="9" t="e">
        <f>#REF!/Trend_VA!#REF!*100</f>
        <v>#REF!</v>
      </c>
      <c r="I11" s="9" t="e">
        <f>#REF!/Trend_VA!#REF!*100</f>
        <v>#REF!</v>
      </c>
      <c r="J11" s="26" t="e">
        <f>#REF!/Trend_VA!#REF!*100</f>
        <v>#REF!</v>
      </c>
      <c r="K11" s="26" t="e">
        <f>#REF!/Trend_VA!#REF!*100</f>
        <v>#REF!</v>
      </c>
      <c r="L11" s="26" t="e">
        <f>#REF!/Trend_VA!#REF!*100</f>
        <v>#REF!</v>
      </c>
      <c r="M11" s="26" t="e">
        <f>#REF!/Trend_VA!#REF!*100</f>
        <v>#REF!</v>
      </c>
      <c r="N11" s="26" t="e">
        <f>#REF!/Trend_VA!#REF!*100</f>
        <v>#REF!</v>
      </c>
      <c r="O11" s="26" t="e">
        <f>#REF!/Trend_VA!#REF!*100</f>
        <v>#REF!</v>
      </c>
      <c r="P11" s="26" t="e">
        <f>#REF!/Trend_VA!#REF!*100</f>
        <v>#REF!</v>
      </c>
      <c r="Q11" s="26" t="e">
        <f>#REF!/Trend_VA!#REF!*100</f>
        <v>#REF!</v>
      </c>
      <c r="R11" s="26" t="e">
        <f>#REF!/Trend_VA!#REF!*100</f>
        <v>#REF!</v>
      </c>
      <c r="S11" s="26" t="e">
        <f>#REF!/Trend_VA!#REF!*100</f>
        <v>#REF!</v>
      </c>
      <c r="T11" s="26" t="e">
        <f>#REF!/Trend_VA!#REF!*100</f>
        <v>#REF!</v>
      </c>
      <c r="U11" s="26" t="e">
        <f>#REF!/Trend_VA!#REF!*100</f>
        <v>#REF!</v>
      </c>
      <c r="V11" s="26" t="e">
        <f>#REF!/Trend_VA!#REF!*100</f>
        <v>#REF!</v>
      </c>
      <c r="W11" s="26" t="e">
        <f>#REF!/Trend_VA!#REF!*100</f>
        <v>#REF!</v>
      </c>
      <c r="X11" s="26" t="e">
        <f>#REF!/Trend_VA!#REF!*100</f>
        <v>#REF!</v>
      </c>
      <c r="Y11" s="26" t="e">
        <f>#REF!/Trend_VA!#REF!*100</f>
        <v>#REF!</v>
      </c>
      <c r="Z11" s="26" t="e">
        <f>#REF!/Trend_VA!#REF!*100</f>
        <v>#REF!</v>
      </c>
      <c r="AA11" s="26" t="e">
        <f>#REF!/Trend_VA!#REF!*100</f>
        <v>#REF!</v>
      </c>
      <c r="AB11" s="26" t="e">
        <f>#REF!/Trend_VA!#REF!*100</f>
        <v>#REF!</v>
      </c>
      <c r="AC11" s="26" t="e">
        <f>#REF!/Trend_VA!#REF!*100</f>
        <v>#REF!</v>
      </c>
      <c r="AD11" s="26" t="e">
        <f>#REF!/Trend_VA!#REF!*100</f>
        <v>#REF!</v>
      </c>
      <c r="AE11" s="26" t="e">
        <f>#REF!/Trend_VA!#REF!*100</f>
        <v>#REF!</v>
      </c>
      <c r="AF11" s="33" t="e">
        <f>#REF!/Trend_VA!#REF!*100</f>
        <v>#REF!</v>
      </c>
      <c r="AG11" s="33" t="e">
        <f>#REF!/Trend_VA!#REF!*100</f>
        <v>#REF!</v>
      </c>
      <c r="AH11" s="33" t="e">
        <f>#REF!/Trend_VA!#REF!*100</f>
        <v>#REF!</v>
      </c>
      <c r="AI11" s="33" t="e">
        <f>#REF!/Trend_VA!#REF!*100</f>
        <v>#REF!</v>
      </c>
      <c r="AJ11" s="33" t="e">
        <f>#REF!/Trend_VA!B11*100</f>
        <v>#REF!</v>
      </c>
      <c r="AK11" s="33" t="e">
        <f>#REF!/Trend_VA!C11*100</f>
        <v>#REF!</v>
      </c>
      <c r="AL11" s="33" t="e">
        <f>#REF!/Trend_VA!D11*100</f>
        <v>#REF!</v>
      </c>
      <c r="AM11" s="33" t="e">
        <f>#REF!/Trend_VA!E11*100</f>
        <v>#REF!</v>
      </c>
      <c r="AN11" s="33" t="e">
        <f>#REF!/Trend_VA!F11*100</f>
        <v>#REF!</v>
      </c>
      <c r="AO11" s="33" t="e">
        <f>#REF!/Trend_VA!G11*100</f>
        <v>#REF!</v>
      </c>
      <c r="AP11" s="33" t="e">
        <f>#REF!/Trend_VA!H11*100</f>
        <v>#REF!</v>
      </c>
      <c r="AQ11" s="33" t="e">
        <f>#REF!/Trend_VA!I11*100</f>
        <v>#REF!</v>
      </c>
    </row>
    <row r="12" spans="1:43" ht="18" customHeight="1" x14ac:dyDescent="0.2">
      <c r="A12" s="16" t="s">
        <v>6</v>
      </c>
      <c r="B12" s="9" t="e">
        <f>#REF!/Trend_VA!#REF!*100</f>
        <v>#REF!</v>
      </c>
      <c r="C12" s="9" t="e">
        <f>#REF!/Trend_VA!#REF!*100</f>
        <v>#REF!</v>
      </c>
      <c r="D12" s="9" t="e">
        <f>#REF!/Trend_VA!#REF!*100</f>
        <v>#REF!</v>
      </c>
      <c r="E12" s="9" t="e">
        <f>#REF!/Trend_VA!#REF!*100</f>
        <v>#REF!</v>
      </c>
      <c r="F12" s="9" t="e">
        <f>#REF!/Trend_VA!#REF!*100</f>
        <v>#REF!</v>
      </c>
      <c r="G12" s="9" t="e">
        <f>#REF!/Trend_VA!#REF!*100</f>
        <v>#REF!</v>
      </c>
      <c r="H12" s="9" t="e">
        <f>#REF!/Trend_VA!#REF!*100</f>
        <v>#REF!</v>
      </c>
      <c r="I12" s="9" t="e">
        <f>#REF!/Trend_VA!#REF!*100</f>
        <v>#REF!</v>
      </c>
      <c r="J12" s="26" t="e">
        <f>#REF!/Trend_VA!#REF!*100</f>
        <v>#REF!</v>
      </c>
      <c r="K12" s="26" t="e">
        <f>#REF!/Trend_VA!#REF!*100</f>
        <v>#REF!</v>
      </c>
      <c r="L12" s="26" t="e">
        <f>#REF!/Trend_VA!#REF!*100</f>
        <v>#REF!</v>
      </c>
      <c r="M12" s="26" t="e">
        <f>#REF!/Trend_VA!#REF!*100</f>
        <v>#REF!</v>
      </c>
      <c r="N12" s="26" t="e">
        <f>#REF!/Trend_VA!#REF!*100</f>
        <v>#REF!</v>
      </c>
      <c r="O12" s="26" t="e">
        <f>#REF!/Trend_VA!#REF!*100</f>
        <v>#REF!</v>
      </c>
      <c r="P12" s="26" t="e">
        <f>#REF!/Trend_VA!#REF!*100</f>
        <v>#REF!</v>
      </c>
      <c r="Q12" s="26" t="e">
        <f>#REF!/Trend_VA!#REF!*100</f>
        <v>#REF!</v>
      </c>
      <c r="R12" s="26" t="e">
        <f>#REF!/Trend_VA!#REF!*100</f>
        <v>#REF!</v>
      </c>
      <c r="S12" s="26" t="e">
        <f>#REF!/Trend_VA!#REF!*100</f>
        <v>#REF!</v>
      </c>
      <c r="T12" s="26" t="e">
        <f>#REF!/Trend_VA!#REF!*100</f>
        <v>#REF!</v>
      </c>
      <c r="U12" s="26" t="e">
        <f>#REF!/Trend_VA!#REF!*100</f>
        <v>#REF!</v>
      </c>
      <c r="V12" s="26" t="e">
        <f>#REF!/Trend_VA!#REF!*100</f>
        <v>#REF!</v>
      </c>
      <c r="W12" s="26" t="e">
        <f>#REF!/Trend_VA!#REF!*100</f>
        <v>#REF!</v>
      </c>
      <c r="X12" s="26" t="e">
        <f>#REF!/Trend_VA!#REF!*100</f>
        <v>#REF!</v>
      </c>
      <c r="Y12" s="26" t="e">
        <f>#REF!/Trend_VA!#REF!*100</f>
        <v>#REF!</v>
      </c>
      <c r="Z12" s="26" t="e">
        <f>#REF!/Trend_VA!#REF!*100</f>
        <v>#REF!</v>
      </c>
      <c r="AA12" s="26" t="e">
        <f>#REF!/Trend_VA!#REF!*100</f>
        <v>#REF!</v>
      </c>
      <c r="AB12" s="26" t="e">
        <f>#REF!/Trend_VA!#REF!*100</f>
        <v>#REF!</v>
      </c>
      <c r="AC12" s="26" t="e">
        <f>#REF!/Trend_VA!#REF!*100</f>
        <v>#REF!</v>
      </c>
      <c r="AD12" s="26" t="e">
        <f>#REF!/Trend_VA!#REF!*100</f>
        <v>#REF!</v>
      </c>
      <c r="AE12" s="26" t="e">
        <f>#REF!/Trend_VA!#REF!*100</f>
        <v>#REF!</v>
      </c>
      <c r="AF12" s="33" t="e">
        <f>#REF!/Trend_VA!#REF!*100</f>
        <v>#REF!</v>
      </c>
      <c r="AG12" s="33" t="e">
        <f>#REF!/Trend_VA!#REF!*100</f>
        <v>#REF!</v>
      </c>
      <c r="AH12" s="33" t="e">
        <f>#REF!/Trend_VA!#REF!*100</f>
        <v>#REF!</v>
      </c>
      <c r="AI12" s="33" t="e">
        <f>#REF!/Trend_VA!#REF!*100</f>
        <v>#REF!</v>
      </c>
      <c r="AJ12" s="33" t="e">
        <f>#REF!/Trend_VA!B12*100</f>
        <v>#REF!</v>
      </c>
      <c r="AK12" s="33" t="e">
        <f>#REF!/Trend_VA!C12*100</f>
        <v>#REF!</v>
      </c>
      <c r="AL12" s="33" t="e">
        <f>#REF!/Trend_VA!D12*100</f>
        <v>#REF!</v>
      </c>
      <c r="AM12" s="33" t="e">
        <f>#REF!/Trend_VA!E12*100</f>
        <v>#REF!</v>
      </c>
      <c r="AN12" s="33" t="e">
        <f>#REF!/Trend_VA!F12*100</f>
        <v>#REF!</v>
      </c>
      <c r="AO12" s="33" t="e">
        <f>#REF!/Trend_VA!G12*100</f>
        <v>#REF!</v>
      </c>
      <c r="AP12" s="33" t="e">
        <f>#REF!/Trend_VA!H12*100</f>
        <v>#REF!</v>
      </c>
      <c r="AQ12" s="33" t="e">
        <f>#REF!/Trend_VA!I12*100</f>
        <v>#REF!</v>
      </c>
    </row>
    <row r="13" spans="1:43" s="8" customFormat="1" ht="24.75" customHeight="1" x14ac:dyDescent="0.2">
      <c r="A13" s="2" t="s">
        <v>93</v>
      </c>
      <c r="B13" s="10" t="e">
        <f>#REF!/Trend_VA!#REF!*100</f>
        <v>#REF!</v>
      </c>
      <c r="C13" s="10" t="e">
        <f>#REF!/Trend_VA!#REF!*100</f>
        <v>#REF!</v>
      </c>
      <c r="D13" s="10" t="e">
        <f>#REF!/Trend_VA!#REF!*100</f>
        <v>#REF!</v>
      </c>
      <c r="E13" s="10" t="e">
        <f>#REF!/Trend_VA!#REF!*100</f>
        <v>#REF!</v>
      </c>
      <c r="F13" s="10" t="e">
        <f>#REF!/Trend_VA!#REF!*100</f>
        <v>#REF!</v>
      </c>
      <c r="G13" s="10" t="e">
        <f>#REF!/Trend_VA!#REF!*100</f>
        <v>#REF!</v>
      </c>
      <c r="H13" s="10" t="e">
        <f>#REF!/Trend_VA!#REF!*100</f>
        <v>#REF!</v>
      </c>
      <c r="I13" s="10" t="e">
        <f>#REF!/Trend_VA!#REF!*100</f>
        <v>#REF!</v>
      </c>
      <c r="J13" s="25" t="e">
        <f>#REF!/Trend_VA!#REF!*100</f>
        <v>#REF!</v>
      </c>
      <c r="K13" s="25" t="e">
        <f>#REF!/Trend_VA!#REF!*100</f>
        <v>#REF!</v>
      </c>
      <c r="L13" s="25" t="e">
        <f>#REF!/Trend_VA!#REF!*100</f>
        <v>#REF!</v>
      </c>
      <c r="M13" s="25" t="e">
        <f>#REF!/Trend_VA!#REF!*100</f>
        <v>#REF!</v>
      </c>
      <c r="N13" s="25" t="e">
        <f>#REF!/Trend_VA!#REF!*100</f>
        <v>#REF!</v>
      </c>
      <c r="O13" s="25" t="e">
        <f>#REF!/Trend_VA!#REF!*100</f>
        <v>#REF!</v>
      </c>
      <c r="P13" s="25" t="e">
        <f>#REF!/Trend_VA!#REF!*100</f>
        <v>#REF!</v>
      </c>
      <c r="Q13" s="25" t="e">
        <f>#REF!/Trend_VA!#REF!*100</f>
        <v>#REF!</v>
      </c>
      <c r="R13" s="25" t="e">
        <f>#REF!/Trend_VA!#REF!*100</f>
        <v>#REF!</v>
      </c>
      <c r="S13" s="25" t="e">
        <f>#REF!/Trend_VA!#REF!*100</f>
        <v>#REF!</v>
      </c>
      <c r="T13" s="25" t="e">
        <f>#REF!/Trend_VA!#REF!*100</f>
        <v>#REF!</v>
      </c>
      <c r="U13" s="25" t="e">
        <f>#REF!/Trend_VA!#REF!*100</f>
        <v>#REF!</v>
      </c>
      <c r="V13" s="25" t="e">
        <f>#REF!/Trend_VA!#REF!*100</f>
        <v>#REF!</v>
      </c>
      <c r="W13" s="25" t="e">
        <f>#REF!/Trend_VA!#REF!*100</f>
        <v>#REF!</v>
      </c>
      <c r="X13" s="25" t="e">
        <f>#REF!/Trend_VA!#REF!*100</f>
        <v>#REF!</v>
      </c>
      <c r="Y13" s="25" t="e">
        <f>#REF!/Trend_VA!#REF!*100</f>
        <v>#REF!</v>
      </c>
      <c r="Z13" s="25" t="e">
        <f>#REF!/Trend_VA!#REF!*100</f>
        <v>#REF!</v>
      </c>
      <c r="AA13" s="25" t="e">
        <f>#REF!/Trend_VA!#REF!*100</f>
        <v>#REF!</v>
      </c>
      <c r="AB13" s="25" t="e">
        <f>#REF!/Trend_VA!#REF!*100</f>
        <v>#REF!</v>
      </c>
      <c r="AC13" s="25" t="e">
        <f>#REF!/Trend_VA!#REF!*100</f>
        <v>#REF!</v>
      </c>
      <c r="AD13" s="25" t="e">
        <f>#REF!/Trend_VA!#REF!*100</f>
        <v>#REF!</v>
      </c>
      <c r="AE13" s="25" t="e">
        <f>#REF!/Trend_VA!#REF!*100</f>
        <v>#REF!</v>
      </c>
      <c r="AF13" s="49" t="e">
        <f>#REF!/Trend_VA!#REF!*100</f>
        <v>#REF!</v>
      </c>
      <c r="AG13" s="49" t="e">
        <f>#REF!/Trend_VA!#REF!*100</f>
        <v>#REF!</v>
      </c>
      <c r="AH13" s="49" t="e">
        <f>#REF!/Trend_VA!#REF!*100</f>
        <v>#REF!</v>
      </c>
      <c r="AI13" s="49" t="e">
        <f>#REF!/Trend_VA!#REF!*100</f>
        <v>#REF!</v>
      </c>
      <c r="AJ13" s="49" t="e">
        <f>#REF!/Trend_VA!B13*100</f>
        <v>#REF!</v>
      </c>
      <c r="AK13" s="49" t="e">
        <f>#REF!/Trend_VA!C13*100</f>
        <v>#REF!</v>
      </c>
      <c r="AL13" s="49" t="e">
        <f>#REF!/Trend_VA!D13*100</f>
        <v>#REF!</v>
      </c>
      <c r="AM13" s="49" t="e">
        <f>#REF!/Trend_VA!E13*100</f>
        <v>#REF!</v>
      </c>
      <c r="AN13" s="49" t="e">
        <f>#REF!/Trend_VA!F13*100</f>
        <v>#REF!</v>
      </c>
      <c r="AO13" s="49" t="e">
        <f>#REF!/Trend_VA!G13*100</f>
        <v>#REF!</v>
      </c>
      <c r="AP13" s="49" t="e">
        <f>#REF!/Trend_VA!H13*100</f>
        <v>#REF!</v>
      </c>
      <c r="AQ13" s="49" t="e">
        <f>#REF!/Trend_VA!I13*100</f>
        <v>#REF!</v>
      </c>
    </row>
    <row r="14" spans="1:43" ht="18" customHeight="1" x14ac:dyDescent="0.2">
      <c r="A14" s="16" t="s">
        <v>8</v>
      </c>
      <c r="B14" s="9" t="e">
        <f>#REF!/Trend_VA!#REF!*100</f>
        <v>#REF!</v>
      </c>
      <c r="C14" s="9" t="e">
        <f>#REF!/Trend_VA!#REF!*100</f>
        <v>#REF!</v>
      </c>
      <c r="D14" s="9" t="e">
        <f>#REF!/Trend_VA!#REF!*100</f>
        <v>#REF!</v>
      </c>
      <c r="E14" s="9" t="e">
        <f>#REF!/Trend_VA!#REF!*100</f>
        <v>#REF!</v>
      </c>
      <c r="F14" s="9" t="e">
        <f>#REF!/Trend_VA!#REF!*100</f>
        <v>#REF!</v>
      </c>
      <c r="G14" s="9" t="e">
        <f>#REF!/Trend_VA!#REF!*100</f>
        <v>#REF!</v>
      </c>
      <c r="H14" s="9" t="e">
        <f>#REF!/Trend_VA!#REF!*100</f>
        <v>#REF!</v>
      </c>
      <c r="I14" s="9" t="e">
        <f>#REF!/Trend_VA!#REF!*100</f>
        <v>#REF!</v>
      </c>
      <c r="J14" s="26" t="e">
        <f>#REF!/Trend_VA!#REF!*100</f>
        <v>#REF!</v>
      </c>
      <c r="K14" s="26" t="e">
        <f>#REF!/Trend_VA!#REF!*100</f>
        <v>#REF!</v>
      </c>
      <c r="L14" s="26" t="e">
        <f>#REF!/Trend_VA!#REF!*100</f>
        <v>#REF!</v>
      </c>
      <c r="M14" s="26" t="e">
        <f>#REF!/Trend_VA!#REF!*100</f>
        <v>#REF!</v>
      </c>
      <c r="N14" s="26" t="e">
        <f>#REF!/Trend_VA!#REF!*100</f>
        <v>#REF!</v>
      </c>
      <c r="O14" s="26" t="e">
        <f>#REF!/Trend_VA!#REF!*100</f>
        <v>#REF!</v>
      </c>
      <c r="P14" s="26" t="e">
        <f>#REF!/Trend_VA!#REF!*100</f>
        <v>#REF!</v>
      </c>
      <c r="Q14" s="26" t="e">
        <f>#REF!/Trend_VA!#REF!*100</f>
        <v>#REF!</v>
      </c>
      <c r="R14" s="26" t="e">
        <f>#REF!/Trend_VA!#REF!*100</f>
        <v>#REF!</v>
      </c>
      <c r="S14" s="26" t="e">
        <f>#REF!/Trend_VA!#REF!*100</f>
        <v>#REF!</v>
      </c>
      <c r="T14" s="26" t="e">
        <f>#REF!/Trend_VA!#REF!*100</f>
        <v>#REF!</v>
      </c>
      <c r="U14" s="26" t="e">
        <f>#REF!/Trend_VA!#REF!*100</f>
        <v>#REF!</v>
      </c>
      <c r="V14" s="26" t="e">
        <f>#REF!/Trend_VA!#REF!*100</f>
        <v>#REF!</v>
      </c>
      <c r="W14" s="26" t="e">
        <f>#REF!/Trend_VA!#REF!*100</f>
        <v>#REF!</v>
      </c>
      <c r="X14" s="26" t="e">
        <f>#REF!/Trend_VA!#REF!*100</f>
        <v>#REF!</v>
      </c>
      <c r="Y14" s="26" t="e">
        <f>#REF!/Trend_VA!#REF!*100</f>
        <v>#REF!</v>
      </c>
      <c r="Z14" s="26" t="e">
        <f>#REF!/Trend_VA!#REF!*100</f>
        <v>#REF!</v>
      </c>
      <c r="AA14" s="26" t="e">
        <f>#REF!/Trend_VA!#REF!*100</f>
        <v>#REF!</v>
      </c>
      <c r="AB14" s="26" t="e">
        <f>#REF!/Trend_VA!#REF!*100</f>
        <v>#REF!</v>
      </c>
      <c r="AC14" s="26" t="e">
        <f>#REF!/Trend_VA!#REF!*100</f>
        <v>#REF!</v>
      </c>
      <c r="AD14" s="26" t="e">
        <f>#REF!/Trend_VA!#REF!*100</f>
        <v>#REF!</v>
      </c>
      <c r="AE14" s="26" t="e">
        <f>#REF!/Trend_VA!#REF!*100</f>
        <v>#REF!</v>
      </c>
      <c r="AF14" s="33" t="e">
        <f>#REF!/Trend_VA!#REF!*100</f>
        <v>#REF!</v>
      </c>
      <c r="AG14" s="33" t="e">
        <f>#REF!/Trend_VA!#REF!*100</f>
        <v>#REF!</v>
      </c>
      <c r="AH14" s="33" t="e">
        <f>#REF!/Trend_VA!#REF!*100</f>
        <v>#REF!</v>
      </c>
      <c r="AI14" s="33" t="e">
        <f>#REF!/Trend_VA!#REF!*100</f>
        <v>#REF!</v>
      </c>
      <c r="AJ14" s="33" t="e">
        <f>#REF!/Trend_VA!B14*100</f>
        <v>#REF!</v>
      </c>
      <c r="AK14" s="33" t="e">
        <f>#REF!/Trend_VA!C14*100</f>
        <v>#REF!</v>
      </c>
      <c r="AL14" s="33" t="e">
        <f>#REF!/Trend_VA!D14*100</f>
        <v>#REF!</v>
      </c>
      <c r="AM14" s="33" t="e">
        <f>#REF!/Trend_VA!E14*100</f>
        <v>#REF!</v>
      </c>
      <c r="AN14" s="33" t="e">
        <f>#REF!/Trend_VA!F14*100</f>
        <v>#REF!</v>
      </c>
      <c r="AO14" s="33" t="e">
        <f>#REF!/Trend_VA!G14*100</f>
        <v>#REF!</v>
      </c>
      <c r="AP14" s="33" t="e">
        <f>#REF!/Trend_VA!H14*100</f>
        <v>#REF!</v>
      </c>
      <c r="AQ14" s="33" t="e">
        <f>#REF!/Trend_VA!I14*100</f>
        <v>#REF!</v>
      </c>
    </row>
    <row r="15" spans="1:43" ht="18" customHeight="1" x14ac:dyDescent="0.2">
      <c r="A15" s="4" t="s">
        <v>9</v>
      </c>
      <c r="B15" s="9" t="e">
        <f>#REF!/Trend_VA!#REF!*100</f>
        <v>#REF!</v>
      </c>
      <c r="C15" s="9" t="e">
        <f>#REF!/Trend_VA!#REF!*100</f>
        <v>#REF!</v>
      </c>
      <c r="D15" s="9" t="e">
        <f>#REF!/Trend_VA!#REF!*100</f>
        <v>#REF!</v>
      </c>
      <c r="E15" s="9" t="e">
        <f>#REF!/Trend_VA!#REF!*100</f>
        <v>#REF!</v>
      </c>
      <c r="F15" s="9" t="e">
        <f>#REF!/Trend_VA!#REF!*100</f>
        <v>#REF!</v>
      </c>
      <c r="G15" s="9" t="e">
        <f>#REF!/Trend_VA!#REF!*100</f>
        <v>#REF!</v>
      </c>
      <c r="H15" s="9" t="e">
        <f>#REF!/Trend_VA!#REF!*100</f>
        <v>#REF!</v>
      </c>
      <c r="I15" s="9" t="e">
        <f>#REF!/Trend_VA!#REF!*100</f>
        <v>#REF!</v>
      </c>
      <c r="J15" s="26" t="e">
        <f>#REF!/Trend_VA!#REF!*100</f>
        <v>#REF!</v>
      </c>
      <c r="K15" s="26" t="e">
        <f>#REF!/Trend_VA!#REF!*100</f>
        <v>#REF!</v>
      </c>
      <c r="L15" s="26" t="e">
        <f>#REF!/Trend_VA!#REF!*100</f>
        <v>#REF!</v>
      </c>
      <c r="M15" s="26" t="e">
        <f>#REF!/Trend_VA!#REF!*100</f>
        <v>#REF!</v>
      </c>
      <c r="N15" s="26" t="e">
        <f>#REF!/Trend_VA!#REF!*100</f>
        <v>#REF!</v>
      </c>
      <c r="O15" s="26" t="e">
        <f>#REF!/Trend_VA!#REF!*100</f>
        <v>#REF!</v>
      </c>
      <c r="P15" s="26" t="e">
        <f>#REF!/Trend_VA!#REF!*100</f>
        <v>#REF!</v>
      </c>
      <c r="Q15" s="26" t="e">
        <f>#REF!/Trend_VA!#REF!*100</f>
        <v>#REF!</v>
      </c>
      <c r="R15" s="26" t="e">
        <f>#REF!/Trend_VA!#REF!*100</f>
        <v>#REF!</v>
      </c>
      <c r="S15" s="26" t="e">
        <f>#REF!/Trend_VA!#REF!*100</f>
        <v>#REF!</v>
      </c>
      <c r="T15" s="26" t="e">
        <f>#REF!/Trend_VA!#REF!*100</f>
        <v>#REF!</v>
      </c>
      <c r="U15" s="26" t="e">
        <f>#REF!/Trend_VA!#REF!*100</f>
        <v>#REF!</v>
      </c>
      <c r="V15" s="26" t="e">
        <f>#REF!/Trend_VA!#REF!*100</f>
        <v>#REF!</v>
      </c>
      <c r="W15" s="26" t="e">
        <f>#REF!/Trend_VA!#REF!*100</f>
        <v>#REF!</v>
      </c>
      <c r="X15" s="26" t="e">
        <f>#REF!/Trend_VA!#REF!*100</f>
        <v>#REF!</v>
      </c>
      <c r="Y15" s="26" t="e">
        <f>#REF!/Trend_VA!#REF!*100</f>
        <v>#REF!</v>
      </c>
      <c r="Z15" s="26" t="e">
        <f>#REF!/Trend_VA!#REF!*100</f>
        <v>#REF!</v>
      </c>
      <c r="AA15" s="26" t="e">
        <f>#REF!/Trend_VA!#REF!*100</f>
        <v>#REF!</v>
      </c>
      <c r="AB15" s="26" t="e">
        <f>#REF!/Trend_VA!#REF!*100</f>
        <v>#REF!</v>
      </c>
      <c r="AC15" s="26" t="e">
        <f>#REF!/Trend_VA!#REF!*100</f>
        <v>#REF!</v>
      </c>
      <c r="AD15" s="26" t="e">
        <f>#REF!/Trend_VA!#REF!*100</f>
        <v>#REF!</v>
      </c>
      <c r="AE15" s="26" t="e">
        <f>#REF!/Trend_VA!#REF!*100</f>
        <v>#REF!</v>
      </c>
      <c r="AF15" s="33" t="e">
        <f>#REF!/Trend_VA!#REF!*100</f>
        <v>#REF!</v>
      </c>
      <c r="AG15" s="33" t="e">
        <f>#REF!/Trend_VA!#REF!*100</f>
        <v>#REF!</v>
      </c>
      <c r="AH15" s="33" t="e">
        <f>#REF!/Trend_VA!#REF!*100</f>
        <v>#REF!</v>
      </c>
      <c r="AI15" s="33" t="e">
        <f>#REF!/Trend_VA!#REF!*100</f>
        <v>#REF!</v>
      </c>
      <c r="AJ15" s="33" t="e">
        <f>#REF!/Trend_VA!B15*100</f>
        <v>#REF!</v>
      </c>
      <c r="AK15" s="33" t="e">
        <f>#REF!/Trend_VA!C15*100</f>
        <v>#REF!</v>
      </c>
      <c r="AL15" s="33" t="e">
        <f>#REF!/Trend_VA!D15*100</f>
        <v>#REF!</v>
      </c>
      <c r="AM15" s="33" t="e">
        <f>#REF!/Trend_VA!E15*100</f>
        <v>#REF!</v>
      </c>
      <c r="AN15" s="33" t="e">
        <f>#REF!/Trend_VA!F15*100</f>
        <v>#REF!</v>
      </c>
      <c r="AO15" s="33" t="e">
        <f>#REF!/Trend_VA!G15*100</f>
        <v>#REF!</v>
      </c>
      <c r="AP15" s="33" t="e">
        <f>#REF!/Trend_VA!H15*100</f>
        <v>#REF!</v>
      </c>
      <c r="AQ15" s="33" t="e">
        <f>#REF!/Trend_VA!I15*100</f>
        <v>#REF!</v>
      </c>
    </row>
    <row r="16" spans="1:43" ht="18" customHeight="1" x14ac:dyDescent="0.2">
      <c r="A16" s="4" t="s">
        <v>10</v>
      </c>
      <c r="B16" s="9" t="e">
        <f>#REF!/Trend_VA!#REF!*100</f>
        <v>#REF!</v>
      </c>
      <c r="C16" s="9" t="e">
        <f>#REF!/Trend_VA!#REF!*100</f>
        <v>#REF!</v>
      </c>
      <c r="D16" s="9" t="e">
        <f>#REF!/Trend_VA!#REF!*100</f>
        <v>#REF!</v>
      </c>
      <c r="E16" s="9" t="e">
        <f>#REF!/Trend_VA!#REF!*100</f>
        <v>#REF!</v>
      </c>
      <c r="F16" s="9" t="e">
        <f>#REF!/Trend_VA!#REF!*100</f>
        <v>#REF!</v>
      </c>
      <c r="G16" s="9" t="e">
        <f>#REF!/Trend_VA!#REF!*100</f>
        <v>#REF!</v>
      </c>
      <c r="H16" s="9" t="e">
        <f>#REF!/Trend_VA!#REF!*100</f>
        <v>#REF!</v>
      </c>
      <c r="I16" s="9" t="e">
        <f>#REF!/Trend_VA!#REF!*100</f>
        <v>#REF!</v>
      </c>
      <c r="J16" s="26" t="e">
        <f>#REF!/Trend_VA!#REF!*100</f>
        <v>#REF!</v>
      </c>
      <c r="K16" s="26" t="e">
        <f>#REF!/Trend_VA!#REF!*100</f>
        <v>#REF!</v>
      </c>
      <c r="L16" s="26" t="e">
        <f>#REF!/Trend_VA!#REF!*100</f>
        <v>#REF!</v>
      </c>
      <c r="M16" s="26" t="e">
        <f>#REF!/Trend_VA!#REF!*100</f>
        <v>#REF!</v>
      </c>
      <c r="N16" s="26" t="e">
        <f>#REF!/Trend_VA!#REF!*100</f>
        <v>#REF!</v>
      </c>
      <c r="O16" s="26" t="e">
        <f>#REF!/Trend_VA!#REF!*100</f>
        <v>#REF!</v>
      </c>
      <c r="P16" s="26" t="e">
        <f>#REF!/Trend_VA!#REF!*100</f>
        <v>#REF!</v>
      </c>
      <c r="Q16" s="26" t="e">
        <f>#REF!/Trend_VA!#REF!*100</f>
        <v>#REF!</v>
      </c>
      <c r="R16" s="26" t="e">
        <f>#REF!/Trend_VA!#REF!*100</f>
        <v>#REF!</v>
      </c>
      <c r="S16" s="26" t="e">
        <f>#REF!/Trend_VA!#REF!*100</f>
        <v>#REF!</v>
      </c>
      <c r="T16" s="26" t="e">
        <f>#REF!/Trend_VA!#REF!*100</f>
        <v>#REF!</v>
      </c>
      <c r="U16" s="26" t="e">
        <f>#REF!/Trend_VA!#REF!*100</f>
        <v>#REF!</v>
      </c>
      <c r="V16" s="26" t="e">
        <f>#REF!/Trend_VA!#REF!*100</f>
        <v>#REF!</v>
      </c>
      <c r="W16" s="26" t="e">
        <f>#REF!/Trend_VA!#REF!*100</f>
        <v>#REF!</v>
      </c>
      <c r="X16" s="26" t="e">
        <f>#REF!/Trend_VA!#REF!*100</f>
        <v>#REF!</v>
      </c>
      <c r="Y16" s="26" t="e">
        <f>#REF!/Trend_VA!#REF!*100</f>
        <v>#REF!</v>
      </c>
      <c r="Z16" s="26" t="e">
        <f>#REF!/Trend_VA!#REF!*100</f>
        <v>#REF!</v>
      </c>
      <c r="AA16" s="26" t="e">
        <f>#REF!/Trend_VA!#REF!*100</f>
        <v>#REF!</v>
      </c>
      <c r="AB16" s="26" t="e">
        <f>#REF!/Trend_VA!#REF!*100</f>
        <v>#REF!</v>
      </c>
      <c r="AC16" s="26" t="e">
        <f>#REF!/Trend_VA!#REF!*100</f>
        <v>#REF!</v>
      </c>
      <c r="AD16" s="26" t="e">
        <f>#REF!/Trend_VA!#REF!*100</f>
        <v>#REF!</v>
      </c>
      <c r="AE16" s="26" t="e">
        <f>#REF!/Trend_VA!#REF!*100</f>
        <v>#REF!</v>
      </c>
      <c r="AF16" s="33" t="e">
        <f>#REF!/Trend_VA!#REF!*100</f>
        <v>#REF!</v>
      </c>
      <c r="AG16" s="33" t="e">
        <f>#REF!/Trend_VA!#REF!*100</f>
        <v>#REF!</v>
      </c>
      <c r="AH16" s="33" t="e">
        <f>#REF!/Trend_VA!#REF!*100</f>
        <v>#REF!</v>
      </c>
      <c r="AI16" s="33" t="e">
        <f>#REF!/Trend_VA!#REF!*100</f>
        <v>#REF!</v>
      </c>
      <c r="AJ16" s="33" t="e">
        <f>#REF!/Trend_VA!B16*100</f>
        <v>#REF!</v>
      </c>
      <c r="AK16" s="33" t="e">
        <f>#REF!/Trend_VA!C16*100</f>
        <v>#REF!</v>
      </c>
      <c r="AL16" s="33" t="e">
        <f>#REF!/Trend_VA!D16*100</f>
        <v>#REF!</v>
      </c>
      <c r="AM16" s="33" t="e">
        <f>#REF!/Trend_VA!E16*100</f>
        <v>#REF!</v>
      </c>
      <c r="AN16" s="33" t="e">
        <f>#REF!/Trend_VA!F16*100</f>
        <v>#REF!</v>
      </c>
      <c r="AO16" s="33" t="e">
        <f>#REF!/Trend_VA!G16*100</f>
        <v>#REF!</v>
      </c>
      <c r="AP16" s="33" t="e">
        <f>#REF!/Trend_VA!H16*100</f>
        <v>#REF!</v>
      </c>
      <c r="AQ16" s="33" t="e">
        <f>#REF!/Trend_VA!I16*100</f>
        <v>#REF!</v>
      </c>
    </row>
    <row r="17" spans="1:43" ht="18" customHeight="1" x14ac:dyDescent="0.2">
      <c r="A17" s="4" t="s">
        <v>11</v>
      </c>
      <c r="B17" s="9" t="e">
        <f>#REF!/Trend_VA!#REF!*100</f>
        <v>#REF!</v>
      </c>
      <c r="C17" s="9" t="e">
        <f>#REF!/Trend_VA!#REF!*100</f>
        <v>#REF!</v>
      </c>
      <c r="D17" s="9" t="e">
        <f>#REF!/Trend_VA!#REF!*100</f>
        <v>#REF!</v>
      </c>
      <c r="E17" s="9" t="e">
        <f>#REF!/Trend_VA!#REF!*100</f>
        <v>#REF!</v>
      </c>
      <c r="F17" s="9" t="e">
        <f>#REF!/Trend_VA!#REF!*100</f>
        <v>#REF!</v>
      </c>
      <c r="G17" s="9" t="e">
        <f>#REF!/Trend_VA!#REF!*100</f>
        <v>#REF!</v>
      </c>
      <c r="H17" s="9" t="e">
        <f>#REF!/Trend_VA!#REF!*100</f>
        <v>#REF!</v>
      </c>
      <c r="I17" s="9" t="e">
        <f>#REF!/Trend_VA!#REF!*100</f>
        <v>#REF!</v>
      </c>
      <c r="J17" s="26" t="e">
        <f>#REF!/Trend_VA!#REF!*100</f>
        <v>#REF!</v>
      </c>
      <c r="K17" s="26" t="e">
        <f>#REF!/Trend_VA!#REF!*100</f>
        <v>#REF!</v>
      </c>
      <c r="L17" s="26" t="e">
        <f>#REF!/Trend_VA!#REF!*100</f>
        <v>#REF!</v>
      </c>
      <c r="M17" s="26" t="e">
        <f>#REF!/Trend_VA!#REF!*100</f>
        <v>#REF!</v>
      </c>
      <c r="N17" s="26" t="e">
        <f>#REF!/Trend_VA!#REF!*100</f>
        <v>#REF!</v>
      </c>
      <c r="O17" s="26" t="e">
        <f>#REF!/Trend_VA!#REF!*100</f>
        <v>#REF!</v>
      </c>
      <c r="P17" s="26" t="e">
        <f>#REF!/Trend_VA!#REF!*100</f>
        <v>#REF!</v>
      </c>
      <c r="Q17" s="26" t="e">
        <f>#REF!/Trend_VA!#REF!*100</f>
        <v>#REF!</v>
      </c>
      <c r="R17" s="26" t="e">
        <f>#REF!/Trend_VA!#REF!*100</f>
        <v>#REF!</v>
      </c>
      <c r="S17" s="26" t="e">
        <f>#REF!/Trend_VA!#REF!*100</f>
        <v>#REF!</v>
      </c>
      <c r="T17" s="26" t="e">
        <f>#REF!/Trend_VA!#REF!*100</f>
        <v>#REF!</v>
      </c>
      <c r="U17" s="26" t="e">
        <f>#REF!/Trend_VA!#REF!*100</f>
        <v>#REF!</v>
      </c>
      <c r="V17" s="26" t="e">
        <f>#REF!/Trend_VA!#REF!*100</f>
        <v>#REF!</v>
      </c>
      <c r="W17" s="26" t="e">
        <f>#REF!/Trend_VA!#REF!*100</f>
        <v>#REF!</v>
      </c>
      <c r="X17" s="26" t="e">
        <f>#REF!/Trend_VA!#REF!*100</f>
        <v>#REF!</v>
      </c>
      <c r="Y17" s="26" t="e">
        <f>#REF!/Trend_VA!#REF!*100</f>
        <v>#REF!</v>
      </c>
      <c r="Z17" s="26" t="e">
        <f>#REF!/Trend_VA!#REF!*100</f>
        <v>#REF!</v>
      </c>
      <c r="AA17" s="26" t="e">
        <f>#REF!/Trend_VA!#REF!*100</f>
        <v>#REF!</v>
      </c>
      <c r="AB17" s="26" t="e">
        <f>#REF!/Trend_VA!#REF!*100</f>
        <v>#REF!</v>
      </c>
      <c r="AC17" s="26" t="e">
        <f>#REF!/Trend_VA!#REF!*100</f>
        <v>#REF!</v>
      </c>
      <c r="AD17" s="26" t="e">
        <f>#REF!/Trend_VA!#REF!*100</f>
        <v>#REF!</v>
      </c>
      <c r="AE17" s="26" t="e">
        <f>#REF!/Trend_VA!#REF!*100</f>
        <v>#REF!</v>
      </c>
      <c r="AF17" s="33" t="e">
        <f>#REF!/Trend_VA!#REF!*100</f>
        <v>#REF!</v>
      </c>
      <c r="AG17" s="33" t="e">
        <f>#REF!/Trend_VA!#REF!*100</f>
        <v>#REF!</v>
      </c>
      <c r="AH17" s="33" t="e">
        <f>#REF!/Trend_VA!#REF!*100</f>
        <v>#REF!</v>
      </c>
      <c r="AI17" s="33" t="e">
        <f>#REF!/Trend_VA!#REF!*100</f>
        <v>#REF!</v>
      </c>
      <c r="AJ17" s="33" t="e">
        <f>#REF!/Trend_VA!B17*100</f>
        <v>#REF!</v>
      </c>
      <c r="AK17" s="33" t="e">
        <f>#REF!/Trend_VA!C17*100</f>
        <v>#REF!</v>
      </c>
      <c r="AL17" s="33" t="e">
        <f>#REF!/Trend_VA!D17*100</f>
        <v>#REF!</v>
      </c>
      <c r="AM17" s="33" t="e">
        <f>#REF!/Trend_VA!E17*100</f>
        <v>#REF!</v>
      </c>
      <c r="AN17" s="33" t="e">
        <f>#REF!/Trend_VA!F17*100</f>
        <v>#REF!</v>
      </c>
      <c r="AO17" s="33" t="e">
        <f>#REF!/Trend_VA!G17*100</f>
        <v>#REF!</v>
      </c>
      <c r="AP17" s="33" t="e">
        <f>#REF!/Trend_VA!H17*100</f>
        <v>#REF!</v>
      </c>
      <c r="AQ17" s="33" t="e">
        <f>#REF!/Trend_VA!I17*100</f>
        <v>#REF!</v>
      </c>
    </row>
    <row r="18" spans="1:43" ht="18" customHeight="1" x14ac:dyDescent="0.2">
      <c r="A18" s="16" t="s">
        <v>12</v>
      </c>
      <c r="B18" s="9" t="e">
        <f>#REF!/Trend_VA!#REF!*100</f>
        <v>#REF!</v>
      </c>
      <c r="C18" s="9" t="e">
        <f>#REF!/Trend_VA!#REF!*100</f>
        <v>#REF!</v>
      </c>
      <c r="D18" s="9" t="e">
        <f>#REF!/Trend_VA!#REF!*100</f>
        <v>#REF!</v>
      </c>
      <c r="E18" s="9" t="e">
        <f>#REF!/Trend_VA!#REF!*100</f>
        <v>#REF!</v>
      </c>
      <c r="F18" s="9" t="e">
        <f>#REF!/Trend_VA!#REF!*100</f>
        <v>#REF!</v>
      </c>
      <c r="G18" s="9" t="e">
        <f>#REF!/Trend_VA!#REF!*100</f>
        <v>#REF!</v>
      </c>
      <c r="H18" s="9" t="e">
        <f>#REF!/Trend_VA!#REF!*100</f>
        <v>#REF!</v>
      </c>
      <c r="I18" s="9" t="e">
        <f>#REF!/Trend_VA!#REF!*100</f>
        <v>#REF!</v>
      </c>
      <c r="J18" s="26" t="e">
        <f>#REF!/Trend_VA!#REF!*100</f>
        <v>#REF!</v>
      </c>
      <c r="K18" s="26" t="e">
        <f>#REF!/Trend_VA!#REF!*100</f>
        <v>#REF!</v>
      </c>
      <c r="L18" s="26" t="e">
        <f>#REF!/Trend_VA!#REF!*100</f>
        <v>#REF!</v>
      </c>
      <c r="M18" s="26" t="e">
        <f>#REF!/Trend_VA!#REF!*100</f>
        <v>#REF!</v>
      </c>
      <c r="N18" s="26" t="e">
        <f>#REF!/Trend_VA!#REF!*100</f>
        <v>#REF!</v>
      </c>
      <c r="O18" s="26" t="e">
        <f>#REF!/Trend_VA!#REF!*100</f>
        <v>#REF!</v>
      </c>
      <c r="P18" s="26" t="e">
        <f>#REF!/Trend_VA!#REF!*100</f>
        <v>#REF!</v>
      </c>
      <c r="Q18" s="26" t="e">
        <f>#REF!/Trend_VA!#REF!*100</f>
        <v>#REF!</v>
      </c>
      <c r="R18" s="26" t="e">
        <f>#REF!/Trend_VA!#REF!*100</f>
        <v>#REF!</v>
      </c>
      <c r="S18" s="26" t="e">
        <f>#REF!/Trend_VA!#REF!*100</f>
        <v>#REF!</v>
      </c>
      <c r="T18" s="26" t="e">
        <f>#REF!/Trend_VA!#REF!*100</f>
        <v>#REF!</v>
      </c>
      <c r="U18" s="26" t="e">
        <f>#REF!/Trend_VA!#REF!*100</f>
        <v>#REF!</v>
      </c>
      <c r="V18" s="26" t="e">
        <f>#REF!/Trend_VA!#REF!*100</f>
        <v>#REF!</v>
      </c>
      <c r="W18" s="26" t="e">
        <f>#REF!/Trend_VA!#REF!*100</f>
        <v>#REF!</v>
      </c>
      <c r="X18" s="26" t="e">
        <f>#REF!/Trend_VA!#REF!*100</f>
        <v>#REF!</v>
      </c>
      <c r="Y18" s="26" t="e">
        <f>#REF!/Trend_VA!#REF!*100</f>
        <v>#REF!</v>
      </c>
      <c r="Z18" s="26" t="e">
        <f>#REF!/Trend_VA!#REF!*100</f>
        <v>#REF!</v>
      </c>
      <c r="AA18" s="26" t="e">
        <f>#REF!/Trend_VA!#REF!*100</f>
        <v>#REF!</v>
      </c>
      <c r="AB18" s="26" t="e">
        <f>#REF!/Trend_VA!#REF!*100</f>
        <v>#REF!</v>
      </c>
      <c r="AC18" s="26" t="e">
        <f>#REF!/Trend_VA!#REF!*100</f>
        <v>#REF!</v>
      </c>
      <c r="AD18" s="26" t="e">
        <f>#REF!/Trend_VA!#REF!*100</f>
        <v>#REF!</v>
      </c>
      <c r="AE18" s="26" t="e">
        <f>#REF!/Trend_VA!#REF!*100</f>
        <v>#REF!</v>
      </c>
      <c r="AF18" s="33" t="e">
        <f>#REF!/Trend_VA!#REF!*100</f>
        <v>#REF!</v>
      </c>
      <c r="AG18" s="33" t="e">
        <f>#REF!/Trend_VA!#REF!*100</f>
        <v>#REF!</v>
      </c>
      <c r="AH18" s="33" t="e">
        <f>#REF!/Trend_VA!#REF!*100</f>
        <v>#REF!</v>
      </c>
      <c r="AI18" s="33" t="e">
        <f>#REF!/Trend_VA!#REF!*100</f>
        <v>#REF!</v>
      </c>
      <c r="AJ18" s="33" t="e">
        <f>#REF!/Trend_VA!B18*100</f>
        <v>#REF!</v>
      </c>
      <c r="AK18" s="33" t="e">
        <f>#REF!/Trend_VA!C18*100</f>
        <v>#REF!</v>
      </c>
      <c r="AL18" s="33" t="e">
        <f>#REF!/Trend_VA!D18*100</f>
        <v>#REF!</v>
      </c>
      <c r="AM18" s="33" t="e">
        <f>#REF!/Trend_VA!E18*100</f>
        <v>#REF!</v>
      </c>
      <c r="AN18" s="33" t="e">
        <f>#REF!/Trend_VA!F18*100</f>
        <v>#REF!</v>
      </c>
      <c r="AO18" s="33" t="e">
        <f>#REF!/Trend_VA!G18*100</f>
        <v>#REF!</v>
      </c>
      <c r="AP18" s="33" t="e">
        <f>#REF!/Trend_VA!H18*100</f>
        <v>#REF!</v>
      </c>
      <c r="AQ18" s="33" t="e">
        <f>#REF!/Trend_VA!I18*100</f>
        <v>#REF!</v>
      </c>
    </row>
    <row r="19" spans="1:43" s="8" customFormat="1" ht="24.75" customHeight="1" x14ac:dyDescent="0.2">
      <c r="A19" s="2" t="s">
        <v>94</v>
      </c>
      <c r="B19" s="10" t="e">
        <f>#REF!/Trend_VA!#REF!*100</f>
        <v>#REF!</v>
      </c>
      <c r="C19" s="10" t="e">
        <f>#REF!/Trend_VA!#REF!*100</f>
        <v>#REF!</v>
      </c>
      <c r="D19" s="10" t="e">
        <f>#REF!/Trend_VA!#REF!*100</f>
        <v>#REF!</v>
      </c>
      <c r="E19" s="10" t="e">
        <f>#REF!/Trend_VA!#REF!*100</f>
        <v>#REF!</v>
      </c>
      <c r="F19" s="10" t="e">
        <f>#REF!/Trend_VA!#REF!*100</f>
        <v>#REF!</v>
      </c>
      <c r="G19" s="10" t="e">
        <f>#REF!/Trend_VA!#REF!*100</f>
        <v>#REF!</v>
      </c>
      <c r="H19" s="10" t="e">
        <f>#REF!/Trend_VA!#REF!*100</f>
        <v>#REF!</v>
      </c>
      <c r="I19" s="10" t="e">
        <f>#REF!/Trend_VA!#REF!*100</f>
        <v>#REF!</v>
      </c>
      <c r="J19" s="25" t="e">
        <f>#REF!/Trend_VA!#REF!*100</f>
        <v>#REF!</v>
      </c>
      <c r="K19" s="25" t="e">
        <f>#REF!/Trend_VA!#REF!*100</f>
        <v>#REF!</v>
      </c>
      <c r="L19" s="25" t="e">
        <f>#REF!/Trend_VA!#REF!*100</f>
        <v>#REF!</v>
      </c>
      <c r="M19" s="25" t="e">
        <f>#REF!/Trend_VA!#REF!*100</f>
        <v>#REF!</v>
      </c>
      <c r="N19" s="25" t="e">
        <f>#REF!/Trend_VA!#REF!*100</f>
        <v>#REF!</v>
      </c>
      <c r="O19" s="25" t="e">
        <f>#REF!/Trend_VA!#REF!*100</f>
        <v>#REF!</v>
      </c>
      <c r="P19" s="25" t="e">
        <f>#REF!/Trend_VA!#REF!*100</f>
        <v>#REF!</v>
      </c>
      <c r="Q19" s="25" t="e">
        <f>#REF!/Trend_VA!#REF!*100</f>
        <v>#REF!</v>
      </c>
      <c r="R19" s="25" t="e">
        <f>#REF!/Trend_VA!#REF!*100</f>
        <v>#REF!</v>
      </c>
      <c r="S19" s="25" t="e">
        <f>#REF!/Trend_VA!#REF!*100</f>
        <v>#REF!</v>
      </c>
      <c r="T19" s="25" t="e">
        <f>#REF!/Trend_VA!#REF!*100</f>
        <v>#REF!</v>
      </c>
      <c r="U19" s="25" t="e">
        <f>#REF!/Trend_VA!#REF!*100</f>
        <v>#REF!</v>
      </c>
      <c r="V19" s="25" t="e">
        <f>#REF!/Trend_VA!#REF!*100</f>
        <v>#REF!</v>
      </c>
      <c r="W19" s="25" t="e">
        <f>#REF!/Trend_VA!#REF!*100</f>
        <v>#REF!</v>
      </c>
      <c r="X19" s="25" t="e">
        <f>#REF!/Trend_VA!#REF!*100</f>
        <v>#REF!</v>
      </c>
      <c r="Y19" s="25" t="e">
        <f>#REF!/Trend_VA!#REF!*100</f>
        <v>#REF!</v>
      </c>
      <c r="Z19" s="25" t="e">
        <f>#REF!/Trend_VA!#REF!*100</f>
        <v>#REF!</v>
      </c>
      <c r="AA19" s="25" t="e">
        <f>#REF!/Trend_VA!#REF!*100</f>
        <v>#REF!</v>
      </c>
      <c r="AB19" s="25" t="e">
        <f>#REF!/Trend_VA!#REF!*100</f>
        <v>#REF!</v>
      </c>
      <c r="AC19" s="25" t="e">
        <f>#REF!/Trend_VA!#REF!*100</f>
        <v>#REF!</v>
      </c>
      <c r="AD19" s="25" t="e">
        <f>#REF!/Trend_VA!#REF!*100</f>
        <v>#REF!</v>
      </c>
      <c r="AE19" s="25" t="e">
        <f>#REF!/Trend_VA!#REF!*100</f>
        <v>#REF!</v>
      </c>
      <c r="AF19" s="49" t="e">
        <f>#REF!/Trend_VA!#REF!*100</f>
        <v>#REF!</v>
      </c>
      <c r="AG19" s="49" t="e">
        <f>#REF!/Trend_VA!#REF!*100</f>
        <v>#REF!</v>
      </c>
      <c r="AH19" s="49" t="e">
        <f>#REF!/Trend_VA!#REF!*100</f>
        <v>#REF!</v>
      </c>
      <c r="AI19" s="49" t="e">
        <f>#REF!/Trend_VA!#REF!*100</f>
        <v>#REF!</v>
      </c>
      <c r="AJ19" s="49" t="e">
        <f>#REF!/Trend_VA!B19*100</f>
        <v>#REF!</v>
      </c>
      <c r="AK19" s="49" t="e">
        <f>#REF!/Trend_VA!C19*100</f>
        <v>#REF!</v>
      </c>
      <c r="AL19" s="49" t="e">
        <f>#REF!/Trend_VA!D19*100</f>
        <v>#REF!</v>
      </c>
      <c r="AM19" s="49" t="e">
        <f>#REF!/Trend_VA!E19*100</f>
        <v>#REF!</v>
      </c>
      <c r="AN19" s="49" t="e">
        <f>#REF!/Trend_VA!F19*100</f>
        <v>#REF!</v>
      </c>
      <c r="AO19" s="49" t="e">
        <f>#REF!/Trend_VA!G19*100</f>
        <v>#REF!</v>
      </c>
      <c r="AP19" s="49" t="e">
        <f>#REF!/Trend_VA!H19*100</f>
        <v>#REF!</v>
      </c>
      <c r="AQ19" s="49" t="e">
        <f>#REF!/Trend_VA!I19*100</f>
        <v>#REF!</v>
      </c>
    </row>
    <row r="20" spans="1:43" ht="18" customHeight="1" x14ac:dyDescent="0.2">
      <c r="A20" s="55" t="s">
        <v>52</v>
      </c>
      <c r="B20" s="9" t="e">
        <f>#REF!/Trend_VA!#REF!*100</f>
        <v>#REF!</v>
      </c>
      <c r="C20" s="9" t="e">
        <f>#REF!/Trend_VA!#REF!*100</f>
        <v>#REF!</v>
      </c>
      <c r="D20" s="9" t="e">
        <f>#REF!/Trend_VA!#REF!*100</f>
        <v>#REF!</v>
      </c>
      <c r="E20" s="9" t="e">
        <f>#REF!/Trend_VA!#REF!*100</f>
        <v>#REF!</v>
      </c>
      <c r="F20" s="9" t="e">
        <f>#REF!/Trend_VA!#REF!*100</f>
        <v>#REF!</v>
      </c>
      <c r="G20" s="9" t="e">
        <f>#REF!/Trend_VA!#REF!*100</f>
        <v>#REF!</v>
      </c>
      <c r="H20" s="9" t="e">
        <f>#REF!/Trend_VA!#REF!*100</f>
        <v>#REF!</v>
      </c>
      <c r="I20" s="9" t="e">
        <f>#REF!/Trend_VA!#REF!*100</f>
        <v>#REF!</v>
      </c>
      <c r="J20" s="26" t="e">
        <f>#REF!/Trend_VA!#REF!*100</f>
        <v>#REF!</v>
      </c>
      <c r="K20" s="26" t="e">
        <f>#REF!/Trend_VA!#REF!*100</f>
        <v>#REF!</v>
      </c>
      <c r="L20" s="26" t="e">
        <f>#REF!/Trend_VA!#REF!*100</f>
        <v>#REF!</v>
      </c>
      <c r="M20" s="26" t="e">
        <f>#REF!/Trend_VA!#REF!*100</f>
        <v>#REF!</v>
      </c>
      <c r="N20" s="26" t="e">
        <f>#REF!/Trend_VA!#REF!*100</f>
        <v>#REF!</v>
      </c>
      <c r="O20" s="26" t="e">
        <f>#REF!/Trend_VA!#REF!*100</f>
        <v>#REF!</v>
      </c>
      <c r="P20" s="26" t="e">
        <f>#REF!/Trend_VA!#REF!*100</f>
        <v>#REF!</v>
      </c>
      <c r="Q20" s="26" t="e">
        <f>#REF!/Trend_VA!#REF!*100</f>
        <v>#REF!</v>
      </c>
      <c r="R20" s="26" t="e">
        <f>#REF!/Trend_VA!#REF!*100</f>
        <v>#REF!</v>
      </c>
      <c r="S20" s="26" t="e">
        <f>#REF!/Trend_VA!#REF!*100</f>
        <v>#REF!</v>
      </c>
      <c r="T20" s="26" t="e">
        <f>#REF!/Trend_VA!#REF!*100</f>
        <v>#REF!</v>
      </c>
      <c r="U20" s="26" t="e">
        <f>#REF!/Trend_VA!#REF!*100</f>
        <v>#REF!</v>
      </c>
      <c r="V20" s="26" t="e">
        <f>#REF!/Trend_VA!#REF!*100</f>
        <v>#REF!</v>
      </c>
      <c r="W20" s="26" t="e">
        <f>#REF!/Trend_VA!#REF!*100</f>
        <v>#REF!</v>
      </c>
      <c r="X20" s="26" t="e">
        <f>#REF!/Trend_VA!#REF!*100</f>
        <v>#REF!</v>
      </c>
      <c r="Y20" s="26" t="e">
        <f>#REF!/Trend_VA!#REF!*100</f>
        <v>#REF!</v>
      </c>
      <c r="Z20" s="26" t="e">
        <f>#REF!/Trend_VA!#REF!*100</f>
        <v>#REF!</v>
      </c>
      <c r="AA20" s="26" t="e">
        <f>#REF!/Trend_VA!#REF!*100</f>
        <v>#REF!</v>
      </c>
      <c r="AB20" s="26" t="e">
        <f>#REF!/Trend_VA!#REF!*100</f>
        <v>#REF!</v>
      </c>
      <c r="AC20" s="26" t="e">
        <f>#REF!/Trend_VA!#REF!*100</f>
        <v>#REF!</v>
      </c>
      <c r="AD20" s="26" t="e">
        <f>#REF!/Trend_VA!#REF!*100</f>
        <v>#REF!</v>
      </c>
      <c r="AE20" s="26" t="e">
        <f>#REF!/Trend_VA!#REF!*100</f>
        <v>#REF!</v>
      </c>
      <c r="AF20" s="33" t="e">
        <f>#REF!/Trend_VA!#REF!*100</f>
        <v>#REF!</v>
      </c>
      <c r="AG20" s="33" t="e">
        <f>#REF!/Trend_VA!#REF!*100</f>
        <v>#REF!</v>
      </c>
      <c r="AH20" s="33" t="e">
        <f>#REF!/Trend_VA!#REF!*100</f>
        <v>#REF!</v>
      </c>
      <c r="AI20" s="33" t="e">
        <f>#REF!/Trend_VA!#REF!*100</f>
        <v>#REF!</v>
      </c>
      <c r="AJ20" s="33" t="e">
        <f>#REF!/Trend_VA!B20*100</f>
        <v>#REF!</v>
      </c>
      <c r="AK20" s="33" t="e">
        <f>#REF!/Trend_VA!C20*100</f>
        <v>#REF!</v>
      </c>
      <c r="AL20" s="33" t="e">
        <f>#REF!/Trend_VA!D20*100</f>
        <v>#REF!</v>
      </c>
      <c r="AM20" s="33" t="e">
        <f>#REF!/Trend_VA!E20*100</f>
        <v>#REF!</v>
      </c>
      <c r="AN20" s="33" t="e">
        <f>#REF!/Trend_VA!F20*100</f>
        <v>#REF!</v>
      </c>
      <c r="AO20" s="33" t="e">
        <f>#REF!/Trend_VA!G20*100</f>
        <v>#REF!</v>
      </c>
      <c r="AP20" s="33" t="e">
        <f>#REF!/Trend_VA!H20*100</f>
        <v>#REF!</v>
      </c>
      <c r="AQ20" s="33" t="e">
        <f>#REF!/Trend_VA!I20*100</f>
        <v>#REF!</v>
      </c>
    </row>
    <row r="21" spans="1:43" ht="18" customHeight="1" x14ac:dyDescent="0.2">
      <c r="A21" s="55" t="s">
        <v>53</v>
      </c>
      <c r="B21" s="9" t="e">
        <f>#REF!/Trend_VA!#REF!*100</f>
        <v>#REF!</v>
      </c>
      <c r="C21" s="9" t="e">
        <f>#REF!/Trend_VA!#REF!*100</f>
        <v>#REF!</v>
      </c>
      <c r="D21" s="9" t="e">
        <f>#REF!/Trend_VA!#REF!*100</f>
        <v>#REF!</v>
      </c>
      <c r="E21" s="9" t="e">
        <f>#REF!/Trend_VA!#REF!*100</f>
        <v>#REF!</v>
      </c>
      <c r="F21" s="9" t="e">
        <f>#REF!/Trend_VA!#REF!*100</f>
        <v>#REF!</v>
      </c>
      <c r="G21" s="9" t="e">
        <f>#REF!/Trend_VA!#REF!*100</f>
        <v>#REF!</v>
      </c>
      <c r="H21" s="9" t="e">
        <f>#REF!/Trend_VA!#REF!*100</f>
        <v>#REF!</v>
      </c>
      <c r="I21" s="9" t="e">
        <f>#REF!/Trend_VA!#REF!*100</f>
        <v>#REF!</v>
      </c>
      <c r="J21" s="26" t="e">
        <f>#REF!/Trend_VA!#REF!*100</f>
        <v>#REF!</v>
      </c>
      <c r="K21" s="26" t="e">
        <f>#REF!/Trend_VA!#REF!*100</f>
        <v>#REF!</v>
      </c>
      <c r="L21" s="26" t="e">
        <f>#REF!/Trend_VA!#REF!*100</f>
        <v>#REF!</v>
      </c>
      <c r="M21" s="26" t="e">
        <f>#REF!/Trend_VA!#REF!*100</f>
        <v>#REF!</v>
      </c>
      <c r="N21" s="26" t="e">
        <f>#REF!/Trend_VA!#REF!*100</f>
        <v>#REF!</v>
      </c>
      <c r="O21" s="26" t="e">
        <f>#REF!/Trend_VA!#REF!*100</f>
        <v>#REF!</v>
      </c>
      <c r="P21" s="26" t="e">
        <f>#REF!/Trend_VA!#REF!*100</f>
        <v>#REF!</v>
      </c>
      <c r="Q21" s="26" t="e">
        <f>#REF!/Trend_VA!#REF!*100</f>
        <v>#REF!</v>
      </c>
      <c r="R21" s="26" t="e">
        <f>#REF!/Trend_VA!#REF!*100</f>
        <v>#REF!</v>
      </c>
      <c r="S21" s="26" t="e">
        <f>#REF!/Trend_VA!#REF!*100</f>
        <v>#REF!</v>
      </c>
      <c r="T21" s="26" t="e">
        <f>#REF!/Trend_VA!#REF!*100</f>
        <v>#REF!</v>
      </c>
      <c r="U21" s="26" t="e">
        <f>#REF!/Trend_VA!#REF!*100</f>
        <v>#REF!</v>
      </c>
      <c r="V21" s="26" t="e">
        <f>#REF!/Trend_VA!#REF!*100</f>
        <v>#REF!</v>
      </c>
      <c r="W21" s="26" t="e">
        <f>#REF!/Trend_VA!#REF!*100</f>
        <v>#REF!</v>
      </c>
      <c r="X21" s="26" t="e">
        <f>#REF!/Trend_VA!#REF!*100</f>
        <v>#REF!</v>
      </c>
      <c r="Y21" s="26" t="e">
        <f>#REF!/Trend_VA!#REF!*100</f>
        <v>#REF!</v>
      </c>
      <c r="Z21" s="26" t="e">
        <f>#REF!/Trend_VA!#REF!*100</f>
        <v>#REF!</v>
      </c>
      <c r="AA21" s="26" t="e">
        <f>#REF!/Trend_VA!#REF!*100</f>
        <v>#REF!</v>
      </c>
      <c r="AB21" s="26" t="e">
        <f>#REF!/Trend_VA!#REF!*100</f>
        <v>#REF!</v>
      </c>
      <c r="AC21" s="26" t="e">
        <f>#REF!/Trend_VA!#REF!*100</f>
        <v>#REF!</v>
      </c>
      <c r="AD21" s="26" t="e">
        <f>#REF!/Trend_VA!#REF!*100</f>
        <v>#REF!</v>
      </c>
      <c r="AE21" s="26" t="e">
        <f>#REF!/Trend_VA!#REF!*100</f>
        <v>#REF!</v>
      </c>
      <c r="AF21" s="33" t="e">
        <f>#REF!/Trend_VA!#REF!*100</f>
        <v>#REF!</v>
      </c>
      <c r="AG21" s="33" t="e">
        <f>#REF!/Trend_VA!#REF!*100</f>
        <v>#REF!</v>
      </c>
      <c r="AH21" s="33" t="e">
        <f>#REF!/Trend_VA!#REF!*100</f>
        <v>#REF!</v>
      </c>
      <c r="AI21" s="33" t="e">
        <f>#REF!/Trend_VA!#REF!*100</f>
        <v>#REF!</v>
      </c>
      <c r="AJ21" s="33" t="e">
        <f>#REF!/Trend_VA!B21*100</f>
        <v>#REF!</v>
      </c>
      <c r="AK21" s="33" t="e">
        <f>#REF!/Trend_VA!C21*100</f>
        <v>#REF!</v>
      </c>
      <c r="AL21" s="33" t="e">
        <f>#REF!/Trend_VA!D21*100</f>
        <v>#REF!</v>
      </c>
      <c r="AM21" s="33" t="e">
        <f>#REF!/Trend_VA!E21*100</f>
        <v>#REF!</v>
      </c>
      <c r="AN21" s="33" t="e">
        <f>#REF!/Trend_VA!F21*100</f>
        <v>#REF!</v>
      </c>
      <c r="AO21" s="33" t="e">
        <f>#REF!/Trend_VA!G21*100</f>
        <v>#REF!</v>
      </c>
      <c r="AP21" s="33" t="e">
        <f>#REF!/Trend_VA!H21*100</f>
        <v>#REF!</v>
      </c>
      <c r="AQ21" s="33" t="e">
        <f>#REF!/Trend_VA!I21*100</f>
        <v>#REF!</v>
      </c>
    </row>
    <row r="22" spans="1:43" ht="18" customHeight="1" x14ac:dyDescent="0.2">
      <c r="A22" s="55" t="s">
        <v>55</v>
      </c>
      <c r="B22" s="9" t="e">
        <f>#REF!/Trend_VA!#REF!*100</f>
        <v>#REF!</v>
      </c>
      <c r="C22" s="9" t="e">
        <f>#REF!/Trend_VA!#REF!*100</f>
        <v>#REF!</v>
      </c>
      <c r="D22" s="9" t="e">
        <f>#REF!/Trend_VA!#REF!*100</f>
        <v>#REF!</v>
      </c>
      <c r="E22" s="9" t="e">
        <f>#REF!/Trend_VA!#REF!*100</f>
        <v>#REF!</v>
      </c>
      <c r="F22" s="9" t="e">
        <f>#REF!/Trend_VA!#REF!*100</f>
        <v>#REF!</v>
      </c>
      <c r="G22" s="9" t="e">
        <f>#REF!/Trend_VA!#REF!*100</f>
        <v>#REF!</v>
      </c>
      <c r="H22" s="9" t="e">
        <f>#REF!/Trend_VA!#REF!*100</f>
        <v>#REF!</v>
      </c>
      <c r="I22" s="9" t="e">
        <f>#REF!/Trend_VA!#REF!*100</f>
        <v>#REF!</v>
      </c>
      <c r="J22" s="26" t="e">
        <f>#REF!/Trend_VA!#REF!*100</f>
        <v>#REF!</v>
      </c>
      <c r="K22" s="26" t="e">
        <f>#REF!/Trend_VA!#REF!*100</f>
        <v>#REF!</v>
      </c>
      <c r="L22" s="26" t="e">
        <f>#REF!/Trend_VA!#REF!*100</f>
        <v>#REF!</v>
      </c>
      <c r="M22" s="26" t="e">
        <f>#REF!/Trend_VA!#REF!*100</f>
        <v>#REF!</v>
      </c>
      <c r="N22" s="26" t="e">
        <f>#REF!/Trend_VA!#REF!*100</f>
        <v>#REF!</v>
      </c>
      <c r="O22" s="26" t="e">
        <f>#REF!/Trend_VA!#REF!*100</f>
        <v>#REF!</v>
      </c>
      <c r="P22" s="26" t="e">
        <f>#REF!/Trend_VA!#REF!*100</f>
        <v>#REF!</v>
      </c>
      <c r="Q22" s="26" t="e">
        <f>#REF!/Trend_VA!#REF!*100</f>
        <v>#REF!</v>
      </c>
      <c r="R22" s="26" t="e">
        <f>#REF!/Trend_VA!#REF!*100</f>
        <v>#REF!</v>
      </c>
      <c r="S22" s="26" t="e">
        <f>#REF!/Trend_VA!#REF!*100</f>
        <v>#REF!</v>
      </c>
      <c r="T22" s="26" t="e">
        <f>#REF!/Trend_VA!#REF!*100</f>
        <v>#REF!</v>
      </c>
      <c r="U22" s="26" t="e">
        <f>#REF!/Trend_VA!#REF!*100</f>
        <v>#REF!</v>
      </c>
      <c r="V22" s="26" t="e">
        <f>#REF!/Trend_VA!#REF!*100</f>
        <v>#REF!</v>
      </c>
      <c r="W22" s="26" t="e">
        <f>#REF!/Trend_VA!#REF!*100</f>
        <v>#REF!</v>
      </c>
      <c r="X22" s="26" t="e">
        <f>#REF!/Trend_VA!#REF!*100</f>
        <v>#REF!</v>
      </c>
      <c r="Y22" s="26" t="e">
        <f>#REF!/Trend_VA!#REF!*100</f>
        <v>#REF!</v>
      </c>
      <c r="Z22" s="26" t="e">
        <f>#REF!/Trend_VA!#REF!*100</f>
        <v>#REF!</v>
      </c>
      <c r="AA22" s="26" t="e">
        <f>#REF!/Trend_VA!#REF!*100</f>
        <v>#REF!</v>
      </c>
      <c r="AB22" s="26" t="e">
        <f>#REF!/Trend_VA!#REF!*100</f>
        <v>#REF!</v>
      </c>
      <c r="AC22" s="26" t="e">
        <f>#REF!/Trend_VA!#REF!*100</f>
        <v>#REF!</v>
      </c>
      <c r="AD22" s="26" t="e">
        <f>#REF!/Trend_VA!#REF!*100</f>
        <v>#REF!</v>
      </c>
      <c r="AE22" s="26" t="e">
        <f>#REF!/Trend_VA!#REF!*100</f>
        <v>#REF!</v>
      </c>
      <c r="AF22" s="33" t="e">
        <f>#REF!/Trend_VA!#REF!*100</f>
        <v>#REF!</v>
      </c>
      <c r="AG22" s="33" t="e">
        <f>#REF!/Trend_VA!#REF!*100</f>
        <v>#REF!</v>
      </c>
      <c r="AH22" s="33" t="e">
        <f>#REF!/Trend_VA!#REF!*100</f>
        <v>#REF!</v>
      </c>
      <c r="AI22" s="33" t="e">
        <f>#REF!/Trend_VA!#REF!*100</f>
        <v>#REF!</v>
      </c>
      <c r="AJ22" s="33" t="e">
        <f>#REF!/Trend_VA!B22*100</f>
        <v>#REF!</v>
      </c>
      <c r="AK22" s="33" t="e">
        <f>#REF!/Trend_VA!C22*100</f>
        <v>#REF!</v>
      </c>
      <c r="AL22" s="33" t="e">
        <f>#REF!/Trend_VA!D22*100</f>
        <v>#REF!</v>
      </c>
      <c r="AM22" s="33" t="e">
        <f>#REF!/Trend_VA!E22*100</f>
        <v>#REF!</v>
      </c>
      <c r="AN22" s="33" t="e">
        <f>#REF!/Trend_VA!F22*100</f>
        <v>#REF!</v>
      </c>
      <c r="AO22" s="33" t="e">
        <f>#REF!/Trend_VA!G22*100</f>
        <v>#REF!</v>
      </c>
      <c r="AP22" s="33" t="e">
        <f>#REF!/Trend_VA!H22*100</f>
        <v>#REF!</v>
      </c>
      <c r="AQ22" s="33" t="e">
        <f>#REF!/Trend_VA!I22*100</f>
        <v>#REF!</v>
      </c>
    </row>
    <row r="23" spans="1:43" ht="18" customHeight="1" x14ac:dyDescent="0.2">
      <c r="A23" s="55" t="s">
        <v>54</v>
      </c>
      <c r="B23" s="9" t="e">
        <f>#REF!/Trend_VA!#REF!*100</f>
        <v>#REF!</v>
      </c>
      <c r="C23" s="9" t="e">
        <f>#REF!/Trend_VA!#REF!*100</f>
        <v>#REF!</v>
      </c>
      <c r="D23" s="9" t="e">
        <f>#REF!/Trend_VA!#REF!*100</f>
        <v>#REF!</v>
      </c>
      <c r="E23" s="9" t="e">
        <f>#REF!/Trend_VA!#REF!*100</f>
        <v>#REF!</v>
      </c>
      <c r="F23" s="9" t="e">
        <f>#REF!/Trend_VA!#REF!*100</f>
        <v>#REF!</v>
      </c>
      <c r="G23" s="9" t="e">
        <f>#REF!/Trend_VA!#REF!*100</f>
        <v>#REF!</v>
      </c>
      <c r="H23" s="9" t="e">
        <f>#REF!/Trend_VA!#REF!*100</f>
        <v>#REF!</v>
      </c>
      <c r="I23" s="9" t="e">
        <f>#REF!/Trend_VA!#REF!*100</f>
        <v>#REF!</v>
      </c>
      <c r="J23" s="26" t="e">
        <f>#REF!/Trend_VA!#REF!*100</f>
        <v>#REF!</v>
      </c>
      <c r="K23" s="26" t="e">
        <f>#REF!/Trend_VA!#REF!*100</f>
        <v>#REF!</v>
      </c>
      <c r="L23" s="26" t="e">
        <f>#REF!/Trend_VA!#REF!*100</f>
        <v>#REF!</v>
      </c>
      <c r="M23" s="26" t="e">
        <f>#REF!/Trend_VA!#REF!*100</f>
        <v>#REF!</v>
      </c>
      <c r="N23" s="26" t="e">
        <f>#REF!/Trend_VA!#REF!*100</f>
        <v>#REF!</v>
      </c>
      <c r="O23" s="26" t="e">
        <f>#REF!/Trend_VA!#REF!*100</f>
        <v>#REF!</v>
      </c>
      <c r="P23" s="26" t="e">
        <f>#REF!/Trend_VA!#REF!*100</f>
        <v>#REF!</v>
      </c>
      <c r="Q23" s="26" t="e">
        <f>#REF!/Trend_VA!#REF!*100</f>
        <v>#REF!</v>
      </c>
      <c r="R23" s="26" t="e">
        <f>#REF!/Trend_VA!#REF!*100</f>
        <v>#REF!</v>
      </c>
      <c r="S23" s="26" t="e">
        <f>#REF!/Trend_VA!#REF!*100</f>
        <v>#REF!</v>
      </c>
      <c r="T23" s="26" t="e">
        <f>#REF!/Trend_VA!#REF!*100</f>
        <v>#REF!</v>
      </c>
      <c r="U23" s="26" t="e">
        <f>#REF!/Trend_VA!#REF!*100</f>
        <v>#REF!</v>
      </c>
      <c r="V23" s="26" t="e">
        <f>#REF!/Trend_VA!#REF!*100</f>
        <v>#REF!</v>
      </c>
      <c r="W23" s="26" t="e">
        <f>#REF!/Trend_VA!#REF!*100</f>
        <v>#REF!</v>
      </c>
      <c r="X23" s="26" t="e">
        <f>#REF!/Trend_VA!#REF!*100</f>
        <v>#REF!</v>
      </c>
      <c r="Y23" s="26" t="e">
        <f>#REF!/Trend_VA!#REF!*100</f>
        <v>#REF!</v>
      </c>
      <c r="Z23" s="26" t="e">
        <f>#REF!/Trend_VA!#REF!*100</f>
        <v>#REF!</v>
      </c>
      <c r="AA23" s="26" t="e">
        <f>#REF!/Trend_VA!#REF!*100</f>
        <v>#REF!</v>
      </c>
      <c r="AB23" s="26" t="e">
        <f>#REF!/Trend_VA!#REF!*100</f>
        <v>#REF!</v>
      </c>
      <c r="AC23" s="26" t="e">
        <f>#REF!/Trend_VA!#REF!*100</f>
        <v>#REF!</v>
      </c>
      <c r="AD23" s="26" t="e">
        <f>#REF!/Trend_VA!#REF!*100</f>
        <v>#REF!</v>
      </c>
      <c r="AE23" s="26" t="e">
        <f>#REF!/Trend_VA!#REF!*100</f>
        <v>#REF!</v>
      </c>
      <c r="AF23" s="33" t="e">
        <f>#REF!/Trend_VA!#REF!*100</f>
        <v>#REF!</v>
      </c>
      <c r="AG23" s="33" t="e">
        <f>#REF!/Trend_VA!#REF!*100</f>
        <v>#REF!</v>
      </c>
      <c r="AH23" s="33" t="e">
        <f>#REF!/Trend_VA!#REF!*100</f>
        <v>#REF!</v>
      </c>
      <c r="AI23" s="33" t="e">
        <f>#REF!/Trend_VA!#REF!*100</f>
        <v>#REF!</v>
      </c>
      <c r="AJ23" s="33" t="e">
        <f>#REF!/Trend_VA!B23*100</f>
        <v>#REF!</v>
      </c>
      <c r="AK23" s="33" t="e">
        <f>#REF!/Trend_VA!C23*100</f>
        <v>#REF!</v>
      </c>
      <c r="AL23" s="33" t="e">
        <f>#REF!/Trend_VA!D23*100</f>
        <v>#REF!</v>
      </c>
      <c r="AM23" s="33" t="e">
        <f>#REF!/Trend_VA!E23*100</f>
        <v>#REF!</v>
      </c>
      <c r="AN23" s="33" t="e">
        <f>#REF!/Trend_VA!F23*100</f>
        <v>#REF!</v>
      </c>
      <c r="AO23" s="33" t="e">
        <f>#REF!/Trend_VA!G23*100</f>
        <v>#REF!</v>
      </c>
      <c r="AP23" s="33" t="e">
        <f>#REF!/Trend_VA!H23*100</f>
        <v>#REF!</v>
      </c>
      <c r="AQ23" s="33" t="e">
        <f>#REF!/Trend_VA!I23*100</f>
        <v>#REF!</v>
      </c>
    </row>
    <row r="24" spans="1:43" ht="18" customHeight="1" x14ac:dyDescent="0.2">
      <c r="A24" s="55" t="s">
        <v>72</v>
      </c>
      <c r="B24" s="9" t="e">
        <f>#REF!/Trend_VA!#REF!*100</f>
        <v>#REF!</v>
      </c>
      <c r="C24" s="9" t="e">
        <f>#REF!/Trend_VA!#REF!*100</f>
        <v>#REF!</v>
      </c>
      <c r="D24" s="9" t="e">
        <f>#REF!/Trend_VA!#REF!*100</f>
        <v>#REF!</v>
      </c>
      <c r="E24" s="9" t="e">
        <f>#REF!/Trend_VA!#REF!*100</f>
        <v>#REF!</v>
      </c>
      <c r="F24" s="9" t="e">
        <f>#REF!/Trend_VA!#REF!*100</f>
        <v>#REF!</v>
      </c>
      <c r="G24" s="9" t="e">
        <f>#REF!/Trend_VA!#REF!*100</f>
        <v>#REF!</v>
      </c>
      <c r="H24" s="9" t="e">
        <f>#REF!/Trend_VA!#REF!*100</f>
        <v>#REF!</v>
      </c>
      <c r="I24" s="9" t="e">
        <f>#REF!/Trend_VA!#REF!*100</f>
        <v>#REF!</v>
      </c>
      <c r="J24" s="26" t="e">
        <f>#REF!/Trend_VA!#REF!*100</f>
        <v>#REF!</v>
      </c>
      <c r="K24" s="26" t="e">
        <f>#REF!/Trend_VA!#REF!*100</f>
        <v>#REF!</v>
      </c>
      <c r="L24" s="26" t="e">
        <f>#REF!/Trend_VA!#REF!*100</f>
        <v>#REF!</v>
      </c>
      <c r="M24" s="26" t="e">
        <f>#REF!/Trend_VA!#REF!*100</f>
        <v>#REF!</v>
      </c>
      <c r="N24" s="26" t="e">
        <f>#REF!/Trend_VA!#REF!*100</f>
        <v>#REF!</v>
      </c>
      <c r="O24" s="26" t="e">
        <f>#REF!/Trend_VA!#REF!*100</f>
        <v>#REF!</v>
      </c>
      <c r="P24" s="26" t="e">
        <f>#REF!/Trend_VA!#REF!*100</f>
        <v>#REF!</v>
      </c>
      <c r="Q24" s="26" t="e">
        <f>#REF!/Trend_VA!#REF!*100</f>
        <v>#REF!</v>
      </c>
      <c r="R24" s="26" t="e">
        <f>#REF!/Trend_VA!#REF!*100</f>
        <v>#REF!</v>
      </c>
      <c r="S24" s="26" t="e">
        <f>#REF!/Trend_VA!#REF!*100</f>
        <v>#REF!</v>
      </c>
      <c r="T24" s="26" t="e">
        <f>#REF!/Trend_VA!#REF!*100</f>
        <v>#REF!</v>
      </c>
      <c r="U24" s="26" t="e">
        <f>#REF!/Trend_VA!#REF!*100</f>
        <v>#REF!</v>
      </c>
      <c r="V24" s="26" t="e">
        <f>#REF!/Trend_VA!#REF!*100</f>
        <v>#REF!</v>
      </c>
      <c r="W24" s="26" t="e">
        <f>#REF!/Trend_VA!#REF!*100</f>
        <v>#REF!</v>
      </c>
      <c r="X24" s="26" t="e">
        <f>#REF!/Trend_VA!#REF!*100</f>
        <v>#REF!</v>
      </c>
      <c r="Y24" s="26" t="e">
        <f>#REF!/Trend_VA!#REF!*100</f>
        <v>#REF!</v>
      </c>
      <c r="Z24" s="26" t="e">
        <f>#REF!/Trend_VA!#REF!*100</f>
        <v>#REF!</v>
      </c>
      <c r="AA24" s="26" t="e">
        <f>#REF!/Trend_VA!#REF!*100</f>
        <v>#REF!</v>
      </c>
      <c r="AB24" s="26" t="e">
        <f>#REF!/Trend_VA!#REF!*100</f>
        <v>#REF!</v>
      </c>
      <c r="AC24" s="26" t="e">
        <f>#REF!/Trend_VA!#REF!*100</f>
        <v>#REF!</v>
      </c>
      <c r="AD24" s="26" t="e">
        <f>#REF!/Trend_VA!#REF!*100</f>
        <v>#REF!</v>
      </c>
      <c r="AE24" s="26" t="e">
        <f>#REF!/Trend_VA!#REF!*100</f>
        <v>#REF!</v>
      </c>
      <c r="AF24" s="33" t="e">
        <f>#REF!/Trend_VA!#REF!*100</f>
        <v>#REF!</v>
      </c>
      <c r="AG24" s="33" t="e">
        <f>#REF!/Trend_VA!#REF!*100</f>
        <v>#REF!</v>
      </c>
      <c r="AH24" s="33" t="e">
        <f>#REF!/Trend_VA!#REF!*100</f>
        <v>#REF!</v>
      </c>
      <c r="AI24" s="33" t="e">
        <f>#REF!/Trend_VA!#REF!*100</f>
        <v>#REF!</v>
      </c>
      <c r="AJ24" s="33" t="e">
        <f>#REF!/Trend_VA!B24*100</f>
        <v>#REF!</v>
      </c>
      <c r="AK24" s="33" t="e">
        <f>#REF!/Trend_VA!C24*100</f>
        <v>#REF!</v>
      </c>
      <c r="AL24" s="33" t="e">
        <f>#REF!/Trend_VA!D24*100</f>
        <v>#REF!</v>
      </c>
      <c r="AM24" s="33" t="e">
        <f>#REF!/Trend_VA!E24*100</f>
        <v>#REF!</v>
      </c>
      <c r="AN24" s="33" t="e">
        <f>#REF!/Trend_VA!F24*100</f>
        <v>#REF!</v>
      </c>
      <c r="AO24" s="33" t="e">
        <f>#REF!/Trend_VA!G24*100</f>
        <v>#REF!</v>
      </c>
      <c r="AP24" s="33" t="e">
        <f>#REF!/Trend_VA!H24*100</f>
        <v>#REF!</v>
      </c>
      <c r="AQ24" s="33" t="e">
        <f>#REF!/Trend_VA!I24*100</f>
        <v>#REF!</v>
      </c>
    </row>
    <row r="25" spans="1:43" ht="18" customHeight="1" x14ac:dyDescent="0.2">
      <c r="A25" s="55" t="s">
        <v>14</v>
      </c>
      <c r="B25" s="9" t="e">
        <f>#REF!/Trend_VA!#REF!*100</f>
        <v>#REF!</v>
      </c>
      <c r="C25" s="9" t="e">
        <f>#REF!/Trend_VA!#REF!*100</f>
        <v>#REF!</v>
      </c>
      <c r="D25" s="9" t="e">
        <f>#REF!/Trend_VA!#REF!*100</f>
        <v>#REF!</v>
      </c>
      <c r="E25" s="9" t="e">
        <f>#REF!/Trend_VA!#REF!*100</f>
        <v>#REF!</v>
      </c>
      <c r="F25" s="9" t="e">
        <f>#REF!/Trend_VA!#REF!*100</f>
        <v>#REF!</v>
      </c>
      <c r="G25" s="9" t="e">
        <f>#REF!/Trend_VA!#REF!*100</f>
        <v>#REF!</v>
      </c>
      <c r="H25" s="9" t="e">
        <f>#REF!/Trend_VA!#REF!*100</f>
        <v>#REF!</v>
      </c>
      <c r="I25" s="9" t="e">
        <f>#REF!/Trend_VA!#REF!*100</f>
        <v>#REF!</v>
      </c>
      <c r="J25" s="26" t="e">
        <f>#REF!/Trend_VA!#REF!*100</f>
        <v>#REF!</v>
      </c>
      <c r="K25" s="26" t="e">
        <f>#REF!/Trend_VA!#REF!*100</f>
        <v>#REF!</v>
      </c>
      <c r="L25" s="26" t="e">
        <f>#REF!/Trend_VA!#REF!*100</f>
        <v>#REF!</v>
      </c>
      <c r="M25" s="26" t="e">
        <f>#REF!/Trend_VA!#REF!*100</f>
        <v>#REF!</v>
      </c>
      <c r="N25" s="26" t="e">
        <f>#REF!/Trend_VA!#REF!*100</f>
        <v>#REF!</v>
      </c>
      <c r="O25" s="26" t="e">
        <f>#REF!/Trend_VA!#REF!*100</f>
        <v>#REF!</v>
      </c>
      <c r="P25" s="26" t="e">
        <f>#REF!/Trend_VA!#REF!*100</f>
        <v>#REF!</v>
      </c>
      <c r="Q25" s="26" t="e">
        <f>#REF!/Trend_VA!#REF!*100</f>
        <v>#REF!</v>
      </c>
      <c r="R25" s="26" t="e">
        <f>#REF!/Trend_VA!#REF!*100</f>
        <v>#REF!</v>
      </c>
      <c r="S25" s="26" t="e">
        <f>#REF!/Trend_VA!#REF!*100</f>
        <v>#REF!</v>
      </c>
      <c r="T25" s="26" t="e">
        <f>#REF!/Trend_VA!#REF!*100</f>
        <v>#REF!</v>
      </c>
      <c r="U25" s="26" t="e">
        <f>#REF!/Trend_VA!#REF!*100</f>
        <v>#REF!</v>
      </c>
      <c r="V25" s="26" t="e">
        <f>#REF!/Trend_VA!#REF!*100</f>
        <v>#REF!</v>
      </c>
      <c r="W25" s="26" t="e">
        <f>#REF!/Trend_VA!#REF!*100</f>
        <v>#REF!</v>
      </c>
      <c r="X25" s="26" t="e">
        <f>#REF!/Trend_VA!#REF!*100</f>
        <v>#REF!</v>
      </c>
      <c r="Y25" s="26" t="e">
        <f>#REF!/Trend_VA!#REF!*100</f>
        <v>#REF!</v>
      </c>
      <c r="Z25" s="26" t="e">
        <f>#REF!/Trend_VA!#REF!*100</f>
        <v>#REF!</v>
      </c>
      <c r="AA25" s="26" t="e">
        <f>#REF!/Trend_VA!#REF!*100</f>
        <v>#REF!</v>
      </c>
      <c r="AB25" s="26" t="e">
        <f>#REF!/Trend_VA!#REF!*100</f>
        <v>#REF!</v>
      </c>
      <c r="AC25" s="26" t="e">
        <f>#REF!/Trend_VA!#REF!*100</f>
        <v>#REF!</v>
      </c>
      <c r="AD25" s="26" t="e">
        <f>#REF!/Trend_VA!#REF!*100</f>
        <v>#REF!</v>
      </c>
      <c r="AE25" s="26" t="e">
        <f>#REF!/Trend_VA!#REF!*100</f>
        <v>#REF!</v>
      </c>
      <c r="AF25" s="33" t="e">
        <f>#REF!/Trend_VA!#REF!*100</f>
        <v>#REF!</v>
      </c>
      <c r="AG25" s="33" t="e">
        <f>#REF!/Trend_VA!#REF!*100</f>
        <v>#REF!</v>
      </c>
      <c r="AH25" s="33" t="e">
        <f>#REF!/Trend_VA!#REF!*100</f>
        <v>#REF!</v>
      </c>
      <c r="AI25" s="33" t="e">
        <f>#REF!/Trend_VA!#REF!*100</f>
        <v>#REF!</v>
      </c>
      <c r="AJ25" s="33" t="e">
        <f>#REF!/Trend_VA!B25*100</f>
        <v>#REF!</v>
      </c>
      <c r="AK25" s="33" t="e">
        <f>#REF!/Trend_VA!C25*100</f>
        <v>#REF!</v>
      </c>
      <c r="AL25" s="33" t="e">
        <f>#REF!/Trend_VA!D25*100</f>
        <v>#REF!</v>
      </c>
      <c r="AM25" s="33" t="e">
        <f>#REF!/Trend_VA!E25*100</f>
        <v>#REF!</v>
      </c>
      <c r="AN25" s="33" t="e">
        <f>#REF!/Trend_VA!F25*100</f>
        <v>#REF!</v>
      </c>
      <c r="AO25" s="33" t="e">
        <f>#REF!/Trend_VA!G25*100</f>
        <v>#REF!</v>
      </c>
      <c r="AP25" s="33" t="e">
        <f>#REF!/Trend_VA!H25*100</f>
        <v>#REF!</v>
      </c>
      <c r="AQ25" s="33" t="e">
        <f>#REF!/Trend_VA!I25*100</f>
        <v>#REF!</v>
      </c>
    </row>
    <row r="26" spans="1:43" ht="18" customHeight="1" x14ac:dyDescent="0.2">
      <c r="A26" s="55" t="s">
        <v>56</v>
      </c>
      <c r="B26" s="9" t="e">
        <f>#REF!/Trend_VA!#REF!*100</f>
        <v>#REF!</v>
      </c>
      <c r="C26" s="9" t="e">
        <f>#REF!/Trend_VA!#REF!*100</f>
        <v>#REF!</v>
      </c>
      <c r="D26" s="9" t="e">
        <f>#REF!/Trend_VA!#REF!*100</f>
        <v>#REF!</v>
      </c>
      <c r="E26" s="9" t="e">
        <f>#REF!/Trend_VA!#REF!*100</f>
        <v>#REF!</v>
      </c>
      <c r="F26" s="9" t="e">
        <f>#REF!/Trend_VA!#REF!*100</f>
        <v>#REF!</v>
      </c>
      <c r="G26" s="9" t="e">
        <f>#REF!/Trend_VA!#REF!*100</f>
        <v>#REF!</v>
      </c>
      <c r="H26" s="9" t="e">
        <f>#REF!/Trend_VA!#REF!*100</f>
        <v>#REF!</v>
      </c>
      <c r="I26" s="9" t="e">
        <f>#REF!/Trend_VA!#REF!*100</f>
        <v>#REF!</v>
      </c>
      <c r="J26" s="26" t="e">
        <f>#REF!/Trend_VA!#REF!*100</f>
        <v>#REF!</v>
      </c>
      <c r="K26" s="26" t="e">
        <f>#REF!/Trend_VA!#REF!*100</f>
        <v>#REF!</v>
      </c>
      <c r="L26" s="26" t="e">
        <f>#REF!/Trend_VA!#REF!*100</f>
        <v>#REF!</v>
      </c>
      <c r="M26" s="26" t="e">
        <f>#REF!/Trend_VA!#REF!*100</f>
        <v>#REF!</v>
      </c>
      <c r="N26" s="26" t="e">
        <f>#REF!/Trend_VA!#REF!*100</f>
        <v>#REF!</v>
      </c>
      <c r="O26" s="26" t="e">
        <f>#REF!/Trend_VA!#REF!*100</f>
        <v>#REF!</v>
      </c>
      <c r="P26" s="26" t="e">
        <f>#REF!/Trend_VA!#REF!*100</f>
        <v>#REF!</v>
      </c>
      <c r="Q26" s="26" t="e">
        <f>#REF!/Trend_VA!#REF!*100</f>
        <v>#REF!</v>
      </c>
      <c r="R26" s="26" t="e">
        <f>#REF!/Trend_VA!#REF!*100</f>
        <v>#REF!</v>
      </c>
      <c r="S26" s="26" t="e">
        <f>#REF!/Trend_VA!#REF!*100</f>
        <v>#REF!</v>
      </c>
      <c r="T26" s="26" t="e">
        <f>#REF!/Trend_VA!#REF!*100</f>
        <v>#REF!</v>
      </c>
      <c r="U26" s="26" t="e">
        <f>#REF!/Trend_VA!#REF!*100</f>
        <v>#REF!</v>
      </c>
      <c r="V26" s="26" t="e">
        <f>#REF!/Trend_VA!#REF!*100</f>
        <v>#REF!</v>
      </c>
      <c r="W26" s="26" t="e">
        <f>#REF!/Trend_VA!#REF!*100</f>
        <v>#REF!</v>
      </c>
      <c r="X26" s="26" t="e">
        <f>#REF!/Trend_VA!#REF!*100</f>
        <v>#REF!</v>
      </c>
      <c r="Y26" s="26" t="e">
        <f>#REF!/Trend_VA!#REF!*100</f>
        <v>#REF!</v>
      </c>
      <c r="Z26" s="26" t="e">
        <f>#REF!/Trend_VA!#REF!*100</f>
        <v>#REF!</v>
      </c>
      <c r="AA26" s="26" t="e">
        <f>#REF!/Trend_VA!#REF!*100</f>
        <v>#REF!</v>
      </c>
      <c r="AB26" s="26" t="e">
        <f>#REF!/Trend_VA!#REF!*100</f>
        <v>#REF!</v>
      </c>
      <c r="AC26" s="26" t="e">
        <f>#REF!/Trend_VA!#REF!*100</f>
        <v>#REF!</v>
      </c>
      <c r="AD26" s="26" t="e">
        <f>#REF!/Trend_VA!#REF!*100</f>
        <v>#REF!</v>
      </c>
      <c r="AE26" s="26" t="e">
        <f>#REF!/Trend_VA!#REF!*100</f>
        <v>#REF!</v>
      </c>
      <c r="AF26" s="33" t="e">
        <f>#REF!/Trend_VA!#REF!*100</f>
        <v>#REF!</v>
      </c>
      <c r="AG26" s="33" t="e">
        <f>#REF!/Trend_VA!#REF!*100</f>
        <v>#REF!</v>
      </c>
      <c r="AH26" s="33" t="e">
        <f>#REF!/Trend_VA!#REF!*100</f>
        <v>#REF!</v>
      </c>
      <c r="AI26" s="33" t="e">
        <f>#REF!/Trend_VA!#REF!*100</f>
        <v>#REF!</v>
      </c>
      <c r="AJ26" s="33" t="e">
        <f>#REF!/Trend_VA!B26*100</f>
        <v>#REF!</v>
      </c>
      <c r="AK26" s="33" t="e">
        <f>#REF!/Trend_VA!C26*100</f>
        <v>#REF!</v>
      </c>
      <c r="AL26" s="33" t="e">
        <f>#REF!/Trend_VA!D26*100</f>
        <v>#REF!</v>
      </c>
      <c r="AM26" s="33" t="e">
        <f>#REF!/Trend_VA!E26*100</f>
        <v>#REF!</v>
      </c>
      <c r="AN26" s="33" t="e">
        <f>#REF!/Trend_VA!F26*100</f>
        <v>#REF!</v>
      </c>
      <c r="AO26" s="33" t="e">
        <f>#REF!/Trend_VA!G26*100</f>
        <v>#REF!</v>
      </c>
      <c r="AP26" s="33" t="e">
        <f>#REF!/Trend_VA!H26*100</f>
        <v>#REF!</v>
      </c>
      <c r="AQ26" s="33" t="e">
        <f>#REF!/Trend_VA!I26*100</f>
        <v>#REF!</v>
      </c>
    </row>
    <row r="27" spans="1:43" ht="18" customHeight="1" x14ac:dyDescent="0.2">
      <c r="A27" s="55" t="s">
        <v>57</v>
      </c>
      <c r="B27" s="9" t="e">
        <f>#REF!/Trend_VA!#REF!*100</f>
        <v>#REF!</v>
      </c>
      <c r="C27" s="9" t="e">
        <f>#REF!/Trend_VA!#REF!*100</f>
        <v>#REF!</v>
      </c>
      <c r="D27" s="9" t="e">
        <f>#REF!/Trend_VA!#REF!*100</f>
        <v>#REF!</v>
      </c>
      <c r="E27" s="9" t="e">
        <f>#REF!/Trend_VA!#REF!*100</f>
        <v>#REF!</v>
      </c>
      <c r="F27" s="9" t="e">
        <f>#REF!/Trend_VA!#REF!*100</f>
        <v>#REF!</v>
      </c>
      <c r="G27" s="9" t="e">
        <f>#REF!/Trend_VA!#REF!*100</f>
        <v>#REF!</v>
      </c>
      <c r="H27" s="9" t="e">
        <f>#REF!/Trend_VA!#REF!*100</f>
        <v>#REF!</v>
      </c>
      <c r="I27" s="9" t="e">
        <f>#REF!/Trend_VA!#REF!*100</f>
        <v>#REF!</v>
      </c>
      <c r="J27" s="26" t="e">
        <f>#REF!/Trend_VA!#REF!*100</f>
        <v>#REF!</v>
      </c>
      <c r="K27" s="26" t="e">
        <f>#REF!/Trend_VA!#REF!*100</f>
        <v>#REF!</v>
      </c>
      <c r="L27" s="26" t="e">
        <f>#REF!/Trend_VA!#REF!*100</f>
        <v>#REF!</v>
      </c>
      <c r="M27" s="26" t="e">
        <f>#REF!/Trend_VA!#REF!*100</f>
        <v>#REF!</v>
      </c>
      <c r="N27" s="26" t="e">
        <f>#REF!/Trend_VA!#REF!*100</f>
        <v>#REF!</v>
      </c>
      <c r="O27" s="26" t="e">
        <f>#REF!/Trend_VA!#REF!*100</f>
        <v>#REF!</v>
      </c>
      <c r="P27" s="26" t="e">
        <f>#REF!/Trend_VA!#REF!*100</f>
        <v>#REF!</v>
      </c>
      <c r="Q27" s="26" t="e">
        <f>#REF!/Trend_VA!#REF!*100</f>
        <v>#REF!</v>
      </c>
      <c r="R27" s="26" t="e">
        <f>#REF!/Trend_VA!#REF!*100</f>
        <v>#REF!</v>
      </c>
      <c r="S27" s="26" t="e">
        <f>#REF!/Trend_VA!#REF!*100</f>
        <v>#REF!</v>
      </c>
      <c r="T27" s="26" t="e">
        <f>#REF!/Trend_VA!#REF!*100</f>
        <v>#REF!</v>
      </c>
      <c r="U27" s="26" t="e">
        <f>#REF!/Trend_VA!#REF!*100</f>
        <v>#REF!</v>
      </c>
      <c r="V27" s="26" t="e">
        <f>#REF!/Trend_VA!#REF!*100</f>
        <v>#REF!</v>
      </c>
      <c r="W27" s="26" t="e">
        <f>#REF!/Trend_VA!#REF!*100</f>
        <v>#REF!</v>
      </c>
      <c r="X27" s="26" t="e">
        <f>#REF!/Trend_VA!#REF!*100</f>
        <v>#REF!</v>
      </c>
      <c r="Y27" s="26" t="e">
        <f>#REF!/Trend_VA!#REF!*100</f>
        <v>#REF!</v>
      </c>
      <c r="Z27" s="26" t="e">
        <f>#REF!/Trend_VA!#REF!*100</f>
        <v>#REF!</v>
      </c>
      <c r="AA27" s="26" t="e">
        <f>#REF!/Trend_VA!#REF!*100</f>
        <v>#REF!</v>
      </c>
      <c r="AB27" s="26" t="e">
        <f>#REF!/Trend_VA!#REF!*100</f>
        <v>#REF!</v>
      </c>
      <c r="AC27" s="26" t="e">
        <f>#REF!/Trend_VA!#REF!*100</f>
        <v>#REF!</v>
      </c>
      <c r="AD27" s="26" t="e">
        <f>#REF!/Trend_VA!#REF!*100</f>
        <v>#REF!</v>
      </c>
      <c r="AE27" s="26" t="e">
        <f>#REF!/Trend_VA!#REF!*100</f>
        <v>#REF!</v>
      </c>
      <c r="AF27" s="33" t="e">
        <f>#REF!/Trend_VA!#REF!*100</f>
        <v>#REF!</v>
      </c>
      <c r="AG27" s="33" t="e">
        <f>#REF!/Trend_VA!#REF!*100</f>
        <v>#REF!</v>
      </c>
      <c r="AH27" s="33" t="e">
        <f>#REF!/Trend_VA!#REF!*100</f>
        <v>#REF!</v>
      </c>
      <c r="AI27" s="33" t="e">
        <f>#REF!/Trend_VA!#REF!*100</f>
        <v>#REF!</v>
      </c>
      <c r="AJ27" s="33" t="e">
        <f>#REF!/Trend_VA!B27*100</f>
        <v>#REF!</v>
      </c>
      <c r="AK27" s="33" t="e">
        <f>#REF!/Trend_VA!C27*100</f>
        <v>#REF!</v>
      </c>
      <c r="AL27" s="33" t="e">
        <f>#REF!/Trend_VA!D27*100</f>
        <v>#REF!</v>
      </c>
      <c r="AM27" s="33" t="e">
        <f>#REF!/Trend_VA!E27*100</f>
        <v>#REF!</v>
      </c>
      <c r="AN27" s="33" t="e">
        <f>#REF!/Trend_VA!F27*100</f>
        <v>#REF!</v>
      </c>
      <c r="AO27" s="33" t="e">
        <f>#REF!/Trend_VA!G27*100</f>
        <v>#REF!</v>
      </c>
      <c r="AP27" s="33" t="e">
        <f>#REF!/Trend_VA!H27*100</f>
        <v>#REF!</v>
      </c>
      <c r="AQ27" s="33" t="e">
        <f>#REF!/Trend_VA!I27*100</f>
        <v>#REF!</v>
      </c>
    </row>
    <row r="28" spans="1:43" ht="18" customHeight="1" x14ac:dyDescent="0.2">
      <c r="A28" s="55" t="s">
        <v>15</v>
      </c>
      <c r="B28" s="9" t="e">
        <f>#REF!/Trend_VA!#REF!*100</f>
        <v>#REF!</v>
      </c>
      <c r="C28" s="9" t="e">
        <f>#REF!/Trend_VA!#REF!*100</f>
        <v>#REF!</v>
      </c>
      <c r="D28" s="9" t="e">
        <f>#REF!/Trend_VA!#REF!*100</f>
        <v>#REF!</v>
      </c>
      <c r="E28" s="9" t="e">
        <f>#REF!/Trend_VA!#REF!*100</f>
        <v>#REF!</v>
      </c>
      <c r="F28" s="9" t="e">
        <f>#REF!/Trend_VA!#REF!*100</f>
        <v>#REF!</v>
      </c>
      <c r="G28" s="9" t="e">
        <f>#REF!/Trend_VA!#REF!*100</f>
        <v>#REF!</v>
      </c>
      <c r="H28" s="9" t="e">
        <f>#REF!/Trend_VA!#REF!*100</f>
        <v>#REF!</v>
      </c>
      <c r="I28" s="9" t="e">
        <f>#REF!/Trend_VA!#REF!*100</f>
        <v>#REF!</v>
      </c>
      <c r="J28" s="26" t="e">
        <f>#REF!/Trend_VA!#REF!*100</f>
        <v>#REF!</v>
      </c>
      <c r="K28" s="26" t="e">
        <f>#REF!/Trend_VA!#REF!*100</f>
        <v>#REF!</v>
      </c>
      <c r="L28" s="26" t="e">
        <f>#REF!/Trend_VA!#REF!*100</f>
        <v>#REF!</v>
      </c>
      <c r="M28" s="26" t="e">
        <f>#REF!/Trend_VA!#REF!*100</f>
        <v>#REF!</v>
      </c>
      <c r="N28" s="26" t="e">
        <f>#REF!/Trend_VA!#REF!*100</f>
        <v>#REF!</v>
      </c>
      <c r="O28" s="26" t="e">
        <f>#REF!/Trend_VA!#REF!*100</f>
        <v>#REF!</v>
      </c>
      <c r="P28" s="26" t="e">
        <f>#REF!/Trend_VA!#REF!*100</f>
        <v>#REF!</v>
      </c>
      <c r="Q28" s="26" t="e">
        <f>#REF!/Trend_VA!#REF!*100</f>
        <v>#REF!</v>
      </c>
      <c r="R28" s="26" t="e">
        <f>#REF!/Trend_VA!#REF!*100</f>
        <v>#REF!</v>
      </c>
      <c r="S28" s="26" t="e">
        <f>#REF!/Trend_VA!#REF!*100</f>
        <v>#REF!</v>
      </c>
      <c r="T28" s="26" t="e">
        <f>#REF!/Trend_VA!#REF!*100</f>
        <v>#REF!</v>
      </c>
      <c r="U28" s="26" t="e">
        <f>#REF!/Trend_VA!#REF!*100</f>
        <v>#REF!</v>
      </c>
      <c r="V28" s="26" t="e">
        <f>#REF!/Trend_VA!#REF!*100</f>
        <v>#REF!</v>
      </c>
      <c r="W28" s="26" t="e">
        <f>#REF!/Trend_VA!#REF!*100</f>
        <v>#REF!</v>
      </c>
      <c r="X28" s="26" t="e">
        <f>#REF!/Trend_VA!#REF!*100</f>
        <v>#REF!</v>
      </c>
      <c r="Y28" s="26" t="e">
        <f>#REF!/Trend_VA!#REF!*100</f>
        <v>#REF!</v>
      </c>
      <c r="Z28" s="26" t="e">
        <f>#REF!/Trend_VA!#REF!*100</f>
        <v>#REF!</v>
      </c>
      <c r="AA28" s="26" t="e">
        <f>#REF!/Trend_VA!#REF!*100</f>
        <v>#REF!</v>
      </c>
      <c r="AB28" s="26" t="e">
        <f>#REF!/Trend_VA!#REF!*100</f>
        <v>#REF!</v>
      </c>
      <c r="AC28" s="26" t="e">
        <f>#REF!/Trend_VA!#REF!*100</f>
        <v>#REF!</v>
      </c>
      <c r="AD28" s="26" t="e">
        <f>#REF!/Trend_VA!#REF!*100</f>
        <v>#REF!</v>
      </c>
      <c r="AE28" s="26" t="e">
        <f>#REF!/Trend_VA!#REF!*100</f>
        <v>#REF!</v>
      </c>
      <c r="AF28" s="33" t="e">
        <f>#REF!/Trend_VA!#REF!*100</f>
        <v>#REF!</v>
      </c>
      <c r="AG28" s="33" t="e">
        <f>#REF!/Trend_VA!#REF!*100</f>
        <v>#REF!</v>
      </c>
      <c r="AH28" s="33" t="e">
        <f>#REF!/Trend_VA!#REF!*100</f>
        <v>#REF!</v>
      </c>
      <c r="AI28" s="33" t="e">
        <f>#REF!/Trend_VA!#REF!*100</f>
        <v>#REF!</v>
      </c>
      <c r="AJ28" s="33" t="e">
        <f>#REF!/Trend_VA!B28*100</f>
        <v>#REF!</v>
      </c>
      <c r="AK28" s="33" t="e">
        <f>#REF!/Trend_VA!C28*100</f>
        <v>#REF!</v>
      </c>
      <c r="AL28" s="33" t="e">
        <f>#REF!/Trend_VA!D28*100</f>
        <v>#REF!</v>
      </c>
      <c r="AM28" s="33" t="e">
        <f>#REF!/Trend_VA!E28*100</f>
        <v>#REF!</v>
      </c>
      <c r="AN28" s="33" t="e">
        <f>#REF!/Trend_VA!F28*100</f>
        <v>#REF!</v>
      </c>
      <c r="AO28" s="33" t="e">
        <f>#REF!/Trend_VA!G28*100</f>
        <v>#REF!</v>
      </c>
      <c r="AP28" s="33" t="e">
        <f>#REF!/Trend_VA!H28*100</f>
        <v>#REF!</v>
      </c>
      <c r="AQ28" s="33" t="e">
        <f>#REF!/Trend_VA!I28*100</f>
        <v>#REF!</v>
      </c>
    </row>
    <row r="29" spans="1:43" ht="18" customHeight="1" x14ac:dyDescent="0.2">
      <c r="A29" s="55" t="s">
        <v>16</v>
      </c>
      <c r="B29" s="9" t="e">
        <f>#REF!/Trend_VA!#REF!*100</f>
        <v>#REF!</v>
      </c>
      <c r="C29" s="9" t="e">
        <f>#REF!/Trend_VA!#REF!*100</f>
        <v>#REF!</v>
      </c>
      <c r="D29" s="9" t="e">
        <f>#REF!/Trend_VA!#REF!*100</f>
        <v>#REF!</v>
      </c>
      <c r="E29" s="9" t="e">
        <f>#REF!/Trend_VA!#REF!*100</f>
        <v>#REF!</v>
      </c>
      <c r="F29" s="9" t="e">
        <f>#REF!/Trend_VA!#REF!*100</f>
        <v>#REF!</v>
      </c>
      <c r="G29" s="9" t="e">
        <f>#REF!/Trend_VA!#REF!*100</f>
        <v>#REF!</v>
      </c>
      <c r="H29" s="9" t="e">
        <f>#REF!/Trend_VA!#REF!*100</f>
        <v>#REF!</v>
      </c>
      <c r="I29" s="9" t="e">
        <f>#REF!/Trend_VA!#REF!*100</f>
        <v>#REF!</v>
      </c>
      <c r="J29" s="26" t="e">
        <f>#REF!/Trend_VA!#REF!*100</f>
        <v>#REF!</v>
      </c>
      <c r="K29" s="26" t="e">
        <f>#REF!/Trend_VA!#REF!*100</f>
        <v>#REF!</v>
      </c>
      <c r="L29" s="26" t="e">
        <f>#REF!/Trend_VA!#REF!*100</f>
        <v>#REF!</v>
      </c>
      <c r="M29" s="26" t="e">
        <f>#REF!/Trend_VA!#REF!*100</f>
        <v>#REF!</v>
      </c>
      <c r="N29" s="26" t="e">
        <f>#REF!/Trend_VA!#REF!*100</f>
        <v>#REF!</v>
      </c>
      <c r="O29" s="26" t="e">
        <f>#REF!/Trend_VA!#REF!*100</f>
        <v>#REF!</v>
      </c>
      <c r="P29" s="26" t="e">
        <f>#REF!/Trend_VA!#REF!*100</f>
        <v>#REF!</v>
      </c>
      <c r="Q29" s="26" t="e">
        <f>#REF!/Trend_VA!#REF!*100</f>
        <v>#REF!</v>
      </c>
      <c r="R29" s="26" t="e">
        <f>#REF!/Trend_VA!#REF!*100</f>
        <v>#REF!</v>
      </c>
      <c r="S29" s="26" t="e">
        <f>#REF!/Trend_VA!#REF!*100</f>
        <v>#REF!</v>
      </c>
      <c r="T29" s="26" t="e">
        <f>#REF!/Trend_VA!#REF!*100</f>
        <v>#REF!</v>
      </c>
      <c r="U29" s="26" t="e">
        <f>#REF!/Trend_VA!#REF!*100</f>
        <v>#REF!</v>
      </c>
      <c r="V29" s="26" t="e">
        <f>#REF!/Trend_VA!#REF!*100</f>
        <v>#REF!</v>
      </c>
      <c r="W29" s="26" t="e">
        <f>#REF!/Trend_VA!#REF!*100</f>
        <v>#REF!</v>
      </c>
      <c r="X29" s="26" t="e">
        <f>#REF!/Trend_VA!#REF!*100</f>
        <v>#REF!</v>
      </c>
      <c r="Y29" s="26" t="e">
        <f>#REF!/Trend_VA!#REF!*100</f>
        <v>#REF!</v>
      </c>
      <c r="Z29" s="26" t="e">
        <f>#REF!/Trend_VA!#REF!*100</f>
        <v>#REF!</v>
      </c>
      <c r="AA29" s="26" t="e">
        <f>#REF!/Trend_VA!#REF!*100</f>
        <v>#REF!</v>
      </c>
      <c r="AB29" s="26" t="e">
        <f>#REF!/Trend_VA!#REF!*100</f>
        <v>#REF!</v>
      </c>
      <c r="AC29" s="26" t="e">
        <f>#REF!/Trend_VA!#REF!*100</f>
        <v>#REF!</v>
      </c>
      <c r="AD29" s="26" t="e">
        <f>#REF!/Trend_VA!#REF!*100</f>
        <v>#REF!</v>
      </c>
      <c r="AE29" s="26" t="e">
        <f>#REF!/Trend_VA!#REF!*100</f>
        <v>#REF!</v>
      </c>
      <c r="AF29" s="33" t="e">
        <f>#REF!/Trend_VA!#REF!*100</f>
        <v>#REF!</v>
      </c>
      <c r="AG29" s="33" t="e">
        <f>#REF!/Trend_VA!#REF!*100</f>
        <v>#REF!</v>
      </c>
      <c r="AH29" s="33" t="e">
        <f>#REF!/Trend_VA!#REF!*100</f>
        <v>#REF!</v>
      </c>
      <c r="AI29" s="33" t="e">
        <f>#REF!/Trend_VA!#REF!*100</f>
        <v>#REF!</v>
      </c>
      <c r="AJ29" s="33" t="e">
        <f>#REF!/Trend_VA!B29*100</f>
        <v>#REF!</v>
      </c>
      <c r="AK29" s="33" t="e">
        <f>#REF!/Trend_VA!C29*100</f>
        <v>#REF!</v>
      </c>
      <c r="AL29" s="33" t="e">
        <f>#REF!/Trend_VA!D29*100</f>
        <v>#REF!</v>
      </c>
      <c r="AM29" s="33" t="e">
        <f>#REF!/Trend_VA!E29*100</f>
        <v>#REF!</v>
      </c>
      <c r="AN29" s="33" t="e">
        <f>#REF!/Trend_VA!F29*100</f>
        <v>#REF!</v>
      </c>
      <c r="AO29" s="33" t="e">
        <f>#REF!/Trend_VA!G29*100</f>
        <v>#REF!</v>
      </c>
      <c r="AP29" s="33" t="e">
        <f>#REF!/Trend_VA!H29*100</f>
        <v>#REF!</v>
      </c>
      <c r="AQ29" s="33" t="e">
        <f>#REF!/Trend_VA!I29*100</f>
        <v>#REF!</v>
      </c>
    </row>
    <row r="30" spans="1:43" ht="18" customHeight="1" x14ac:dyDescent="0.2">
      <c r="A30" s="55" t="s">
        <v>58</v>
      </c>
      <c r="B30" s="9" t="e">
        <f>#REF!/Trend_VA!#REF!*100</f>
        <v>#REF!</v>
      </c>
      <c r="C30" s="9" t="e">
        <f>#REF!/Trend_VA!#REF!*100</f>
        <v>#REF!</v>
      </c>
      <c r="D30" s="9" t="e">
        <f>#REF!/Trend_VA!#REF!*100</f>
        <v>#REF!</v>
      </c>
      <c r="E30" s="9" t="e">
        <f>#REF!/Trend_VA!#REF!*100</f>
        <v>#REF!</v>
      </c>
      <c r="F30" s="9" t="e">
        <f>#REF!/Trend_VA!#REF!*100</f>
        <v>#REF!</v>
      </c>
      <c r="G30" s="9" t="e">
        <f>#REF!/Trend_VA!#REF!*100</f>
        <v>#REF!</v>
      </c>
      <c r="H30" s="9" t="e">
        <f>#REF!/Trend_VA!#REF!*100</f>
        <v>#REF!</v>
      </c>
      <c r="I30" s="9" t="e">
        <f>#REF!/Trend_VA!#REF!*100</f>
        <v>#REF!</v>
      </c>
      <c r="J30" s="26" t="e">
        <f>#REF!/Trend_VA!#REF!*100</f>
        <v>#REF!</v>
      </c>
      <c r="K30" s="26" t="e">
        <f>#REF!/Trend_VA!#REF!*100</f>
        <v>#REF!</v>
      </c>
      <c r="L30" s="26" t="e">
        <f>#REF!/Trend_VA!#REF!*100</f>
        <v>#REF!</v>
      </c>
      <c r="M30" s="26" t="e">
        <f>#REF!/Trend_VA!#REF!*100</f>
        <v>#REF!</v>
      </c>
      <c r="N30" s="26" t="e">
        <f>#REF!/Trend_VA!#REF!*100</f>
        <v>#REF!</v>
      </c>
      <c r="O30" s="26" t="e">
        <f>#REF!/Trend_VA!#REF!*100</f>
        <v>#REF!</v>
      </c>
      <c r="P30" s="26" t="e">
        <f>#REF!/Trend_VA!#REF!*100</f>
        <v>#REF!</v>
      </c>
      <c r="Q30" s="26" t="e">
        <f>#REF!/Trend_VA!#REF!*100</f>
        <v>#REF!</v>
      </c>
      <c r="R30" s="26" t="e">
        <f>#REF!/Trend_VA!#REF!*100</f>
        <v>#REF!</v>
      </c>
      <c r="S30" s="26" t="e">
        <f>#REF!/Trend_VA!#REF!*100</f>
        <v>#REF!</v>
      </c>
      <c r="T30" s="26" t="e">
        <f>#REF!/Trend_VA!#REF!*100</f>
        <v>#REF!</v>
      </c>
      <c r="U30" s="26" t="e">
        <f>#REF!/Trend_VA!#REF!*100</f>
        <v>#REF!</v>
      </c>
      <c r="V30" s="26" t="e">
        <f>#REF!/Trend_VA!#REF!*100</f>
        <v>#REF!</v>
      </c>
      <c r="W30" s="26" t="e">
        <f>#REF!/Trend_VA!#REF!*100</f>
        <v>#REF!</v>
      </c>
      <c r="X30" s="26" t="e">
        <f>#REF!/Trend_VA!#REF!*100</f>
        <v>#REF!</v>
      </c>
      <c r="Y30" s="26" t="e">
        <f>#REF!/Trend_VA!#REF!*100</f>
        <v>#REF!</v>
      </c>
      <c r="Z30" s="26" t="e">
        <f>#REF!/Trend_VA!#REF!*100</f>
        <v>#REF!</v>
      </c>
      <c r="AA30" s="26" t="e">
        <f>#REF!/Trend_VA!#REF!*100</f>
        <v>#REF!</v>
      </c>
      <c r="AB30" s="26" t="e">
        <f>#REF!/Trend_VA!#REF!*100</f>
        <v>#REF!</v>
      </c>
      <c r="AC30" s="26" t="e">
        <f>#REF!/Trend_VA!#REF!*100</f>
        <v>#REF!</v>
      </c>
      <c r="AD30" s="26" t="e">
        <f>#REF!/Trend_VA!#REF!*100</f>
        <v>#REF!</v>
      </c>
      <c r="AE30" s="26" t="e">
        <f>#REF!/Trend_VA!#REF!*100</f>
        <v>#REF!</v>
      </c>
      <c r="AF30" s="33" t="e">
        <f>#REF!/Trend_VA!#REF!*100</f>
        <v>#REF!</v>
      </c>
      <c r="AG30" s="33" t="e">
        <f>#REF!/Trend_VA!#REF!*100</f>
        <v>#REF!</v>
      </c>
      <c r="AH30" s="33" t="e">
        <f>#REF!/Trend_VA!#REF!*100</f>
        <v>#REF!</v>
      </c>
      <c r="AI30" s="33" t="e">
        <f>#REF!/Trend_VA!#REF!*100</f>
        <v>#REF!</v>
      </c>
      <c r="AJ30" s="33" t="e">
        <f>#REF!/Trend_VA!B30*100</f>
        <v>#REF!</v>
      </c>
      <c r="AK30" s="33" t="e">
        <f>#REF!/Trend_VA!C30*100</f>
        <v>#REF!</v>
      </c>
      <c r="AL30" s="33" t="e">
        <f>#REF!/Trend_VA!D30*100</f>
        <v>#REF!</v>
      </c>
      <c r="AM30" s="33" t="e">
        <f>#REF!/Trend_VA!E30*100</f>
        <v>#REF!</v>
      </c>
      <c r="AN30" s="33" t="e">
        <f>#REF!/Trend_VA!F30*100</f>
        <v>#REF!</v>
      </c>
      <c r="AO30" s="33" t="e">
        <f>#REF!/Trend_VA!G30*100</f>
        <v>#REF!</v>
      </c>
      <c r="AP30" s="33" t="e">
        <f>#REF!/Trend_VA!H30*100</f>
        <v>#REF!</v>
      </c>
      <c r="AQ30" s="33" t="e">
        <f>#REF!/Trend_VA!I30*100</f>
        <v>#REF!</v>
      </c>
    </row>
    <row r="31" spans="1:43" ht="18" customHeight="1" x14ac:dyDescent="0.2">
      <c r="A31" s="55" t="s">
        <v>71</v>
      </c>
      <c r="B31" s="9" t="e">
        <f>#REF!/Trend_VA!#REF!*100</f>
        <v>#REF!</v>
      </c>
      <c r="C31" s="9" t="e">
        <f>#REF!/Trend_VA!#REF!*100</f>
        <v>#REF!</v>
      </c>
      <c r="D31" s="9" t="e">
        <f>#REF!/Trend_VA!#REF!*100</f>
        <v>#REF!</v>
      </c>
      <c r="E31" s="9" t="e">
        <f>#REF!/Trend_VA!#REF!*100</f>
        <v>#REF!</v>
      </c>
      <c r="F31" s="9" t="e">
        <f>#REF!/Trend_VA!#REF!*100</f>
        <v>#REF!</v>
      </c>
      <c r="G31" s="9" t="e">
        <f>#REF!/Trend_VA!#REF!*100</f>
        <v>#REF!</v>
      </c>
      <c r="H31" s="9" t="e">
        <f>#REF!/Trend_VA!#REF!*100</f>
        <v>#REF!</v>
      </c>
      <c r="I31" s="9" t="e">
        <f>#REF!/Trend_VA!#REF!*100</f>
        <v>#REF!</v>
      </c>
      <c r="J31" s="26" t="e">
        <f>#REF!/Trend_VA!#REF!*100</f>
        <v>#REF!</v>
      </c>
      <c r="K31" s="26" t="e">
        <f>#REF!/Trend_VA!#REF!*100</f>
        <v>#REF!</v>
      </c>
      <c r="L31" s="26" t="e">
        <f>#REF!/Trend_VA!#REF!*100</f>
        <v>#REF!</v>
      </c>
      <c r="M31" s="26" t="e">
        <f>#REF!/Trend_VA!#REF!*100</f>
        <v>#REF!</v>
      </c>
      <c r="N31" s="26" t="e">
        <f>#REF!/Trend_VA!#REF!*100</f>
        <v>#REF!</v>
      </c>
      <c r="O31" s="26" t="e">
        <f>#REF!/Trend_VA!#REF!*100</f>
        <v>#REF!</v>
      </c>
      <c r="P31" s="26" t="e">
        <f>#REF!/Trend_VA!#REF!*100</f>
        <v>#REF!</v>
      </c>
      <c r="Q31" s="26" t="s">
        <v>79</v>
      </c>
      <c r="R31" s="26" t="e">
        <f>#REF!/Trend_VA!#REF!*100</f>
        <v>#REF!</v>
      </c>
      <c r="S31" s="26" t="e">
        <f>#REF!/Trend_VA!#REF!*100</f>
        <v>#REF!</v>
      </c>
      <c r="T31" s="26" t="e">
        <f>#REF!/Trend_VA!#REF!*100</f>
        <v>#REF!</v>
      </c>
      <c r="U31" s="26" t="e">
        <f>#REF!/Trend_VA!#REF!*100</f>
        <v>#REF!</v>
      </c>
      <c r="V31" s="26" t="e">
        <f>#REF!/Trend_VA!#REF!*100</f>
        <v>#REF!</v>
      </c>
      <c r="W31" s="26" t="e">
        <f>#REF!/Trend_VA!#REF!*100</f>
        <v>#REF!</v>
      </c>
      <c r="X31" s="26" t="e">
        <f>#REF!/Trend_VA!#REF!*100</f>
        <v>#REF!</v>
      </c>
      <c r="Y31" s="26" t="e">
        <f>#REF!/Trend_VA!#REF!*100</f>
        <v>#REF!</v>
      </c>
      <c r="Z31" s="26" t="e">
        <f>#REF!/Trend_VA!#REF!*100</f>
        <v>#REF!</v>
      </c>
      <c r="AA31" s="26" t="e">
        <f>#REF!/Trend_VA!#REF!*100</f>
        <v>#REF!</v>
      </c>
      <c r="AB31" s="26" t="e">
        <f>#REF!/Trend_VA!#REF!*100</f>
        <v>#REF!</v>
      </c>
      <c r="AC31" s="26" t="e">
        <f>#REF!/Trend_VA!#REF!*100</f>
        <v>#REF!</v>
      </c>
      <c r="AD31" s="26" t="e">
        <f>#REF!/Trend_VA!#REF!*100</f>
        <v>#REF!</v>
      </c>
      <c r="AE31" s="26" t="e">
        <f>#REF!/Trend_VA!#REF!*100</f>
        <v>#REF!</v>
      </c>
      <c r="AF31" s="33" t="e">
        <f>#REF!/Trend_VA!#REF!*100</f>
        <v>#REF!</v>
      </c>
      <c r="AG31" s="33" t="e">
        <f>#REF!/Trend_VA!#REF!*100</f>
        <v>#REF!</v>
      </c>
      <c r="AH31" s="33" t="e">
        <f>#REF!/Trend_VA!#REF!*100</f>
        <v>#REF!</v>
      </c>
      <c r="AI31" s="33" t="e">
        <f>#REF!/Trend_VA!#REF!*100</f>
        <v>#REF!</v>
      </c>
      <c r="AJ31" s="33" t="e">
        <f>#REF!/Trend_VA!B31*100</f>
        <v>#REF!</v>
      </c>
      <c r="AK31" s="33" t="e">
        <f>#REF!/Trend_VA!C31*100</f>
        <v>#REF!</v>
      </c>
      <c r="AL31" s="33" t="e">
        <f>#REF!/Trend_VA!D31*100</f>
        <v>#REF!</v>
      </c>
      <c r="AM31" s="33" t="e">
        <f>#REF!/Trend_VA!E31*100</f>
        <v>#REF!</v>
      </c>
      <c r="AN31" s="33" t="e">
        <f>#REF!/Trend_VA!F31*100</f>
        <v>#REF!</v>
      </c>
      <c r="AO31" s="33" t="e">
        <f>#REF!/Trend_VA!G31*100</f>
        <v>#REF!</v>
      </c>
      <c r="AP31" s="33" t="e">
        <f>#REF!/Trend_VA!H31*100</f>
        <v>#REF!</v>
      </c>
      <c r="AQ31" s="33" t="e">
        <f>#REF!/Trend_VA!I31*100</f>
        <v>#REF!</v>
      </c>
    </row>
    <row r="32" spans="1:43" ht="18" customHeight="1" x14ac:dyDescent="0.2">
      <c r="A32" s="55" t="s">
        <v>17</v>
      </c>
      <c r="B32" s="9" t="e">
        <f>#REF!/Trend_VA!#REF!*100</f>
        <v>#REF!</v>
      </c>
      <c r="C32" s="9" t="e">
        <f>#REF!/Trend_VA!#REF!*100</f>
        <v>#REF!</v>
      </c>
      <c r="D32" s="9" t="e">
        <f>#REF!/Trend_VA!#REF!*100</f>
        <v>#REF!</v>
      </c>
      <c r="E32" s="9" t="e">
        <f>#REF!/Trend_VA!#REF!*100</f>
        <v>#REF!</v>
      </c>
      <c r="F32" s="9" t="e">
        <f>#REF!/Trend_VA!#REF!*100</f>
        <v>#REF!</v>
      </c>
      <c r="G32" s="9" t="e">
        <f>#REF!/Trend_VA!#REF!*100</f>
        <v>#REF!</v>
      </c>
      <c r="H32" s="9" t="e">
        <f>#REF!/Trend_VA!#REF!*100</f>
        <v>#REF!</v>
      </c>
      <c r="I32" s="9" t="e">
        <f>#REF!/Trend_VA!#REF!*100</f>
        <v>#REF!</v>
      </c>
      <c r="J32" s="26" t="e">
        <f>#REF!/Trend_VA!#REF!*100</f>
        <v>#REF!</v>
      </c>
      <c r="K32" s="26" t="e">
        <f>#REF!/Trend_VA!#REF!*100</f>
        <v>#REF!</v>
      </c>
      <c r="L32" s="26" t="e">
        <f>#REF!/Trend_VA!#REF!*100</f>
        <v>#REF!</v>
      </c>
      <c r="M32" s="26" t="e">
        <f>#REF!/Trend_VA!#REF!*100</f>
        <v>#REF!</v>
      </c>
      <c r="N32" s="26" t="e">
        <f>#REF!/Trend_VA!#REF!*100</f>
        <v>#REF!</v>
      </c>
      <c r="O32" s="26" t="e">
        <f>#REF!/Trend_VA!#REF!*100</f>
        <v>#REF!</v>
      </c>
      <c r="P32" s="26" t="e">
        <f>#REF!/Trend_VA!#REF!*100</f>
        <v>#REF!</v>
      </c>
      <c r="Q32" s="26" t="e">
        <f>#REF!/Trend_VA!#REF!*100</f>
        <v>#REF!</v>
      </c>
      <c r="R32" s="26" t="e">
        <f>#REF!/Trend_VA!#REF!*100</f>
        <v>#REF!</v>
      </c>
      <c r="S32" s="26" t="e">
        <f>#REF!/Trend_VA!#REF!*100</f>
        <v>#REF!</v>
      </c>
      <c r="T32" s="26" t="e">
        <f>#REF!/Trend_VA!#REF!*100</f>
        <v>#REF!</v>
      </c>
      <c r="U32" s="26" t="e">
        <f>#REF!/Trend_VA!#REF!*100</f>
        <v>#REF!</v>
      </c>
      <c r="V32" s="26" t="e">
        <f>#REF!/Trend_VA!#REF!*100</f>
        <v>#REF!</v>
      </c>
      <c r="W32" s="26" t="e">
        <f>#REF!/Trend_VA!#REF!*100</f>
        <v>#REF!</v>
      </c>
      <c r="X32" s="26" t="e">
        <f>#REF!/Trend_VA!#REF!*100</f>
        <v>#REF!</v>
      </c>
      <c r="Y32" s="26" t="e">
        <f>#REF!/Trend_VA!#REF!*100</f>
        <v>#REF!</v>
      </c>
      <c r="Z32" s="26" t="e">
        <f>#REF!/Trend_VA!#REF!*100</f>
        <v>#REF!</v>
      </c>
      <c r="AA32" s="26" t="e">
        <f>#REF!/Trend_VA!#REF!*100</f>
        <v>#REF!</v>
      </c>
      <c r="AB32" s="26" t="e">
        <f>#REF!/Trend_VA!#REF!*100</f>
        <v>#REF!</v>
      </c>
      <c r="AC32" s="26" t="e">
        <f>#REF!/Trend_VA!#REF!*100</f>
        <v>#REF!</v>
      </c>
      <c r="AD32" s="26" t="e">
        <f>#REF!/Trend_VA!#REF!*100</f>
        <v>#REF!</v>
      </c>
      <c r="AE32" s="26" t="e">
        <f>#REF!/Trend_VA!#REF!*100</f>
        <v>#REF!</v>
      </c>
      <c r="AF32" s="33" t="e">
        <f>#REF!/Trend_VA!#REF!*100</f>
        <v>#REF!</v>
      </c>
      <c r="AG32" s="33" t="e">
        <f>#REF!/Trend_VA!#REF!*100</f>
        <v>#REF!</v>
      </c>
      <c r="AH32" s="33" t="e">
        <f>#REF!/Trend_VA!#REF!*100</f>
        <v>#REF!</v>
      </c>
      <c r="AI32" s="33" t="e">
        <f>#REF!/Trend_VA!#REF!*100</f>
        <v>#REF!</v>
      </c>
      <c r="AJ32" s="33" t="e">
        <f>#REF!/Trend_VA!B32*100</f>
        <v>#REF!</v>
      </c>
      <c r="AK32" s="33" t="e">
        <f>#REF!/Trend_VA!C32*100</f>
        <v>#REF!</v>
      </c>
      <c r="AL32" s="33" t="e">
        <f>#REF!/Trend_VA!D32*100</f>
        <v>#REF!</v>
      </c>
      <c r="AM32" s="33" t="e">
        <f>#REF!/Trend_VA!E32*100</f>
        <v>#REF!</v>
      </c>
      <c r="AN32" s="33" t="e">
        <f>#REF!/Trend_VA!F32*100</f>
        <v>#REF!</v>
      </c>
      <c r="AO32" s="33" t="e">
        <f>#REF!/Trend_VA!G32*100</f>
        <v>#REF!</v>
      </c>
      <c r="AP32" s="33" t="e">
        <f>#REF!/Trend_VA!H32*100</f>
        <v>#REF!</v>
      </c>
      <c r="AQ32" s="33" t="e">
        <f>#REF!/Trend_VA!I32*100</f>
        <v>#REF!</v>
      </c>
    </row>
    <row r="33" spans="1:43" ht="18" customHeight="1" x14ac:dyDescent="0.2">
      <c r="A33" s="55" t="s">
        <v>59</v>
      </c>
      <c r="B33" s="9" t="e">
        <f>#REF!/Trend_VA!#REF!*100</f>
        <v>#REF!</v>
      </c>
      <c r="C33" s="9" t="e">
        <f>#REF!/Trend_VA!#REF!*100</f>
        <v>#REF!</v>
      </c>
      <c r="D33" s="9" t="e">
        <f>#REF!/Trend_VA!#REF!*100</f>
        <v>#REF!</v>
      </c>
      <c r="E33" s="9" t="e">
        <f>#REF!/Trend_VA!#REF!*100</f>
        <v>#REF!</v>
      </c>
      <c r="F33" s="9" t="e">
        <f>#REF!/Trend_VA!#REF!*100</f>
        <v>#REF!</v>
      </c>
      <c r="G33" s="9" t="e">
        <f>#REF!/Trend_VA!#REF!*100</f>
        <v>#REF!</v>
      </c>
      <c r="H33" s="9" t="e">
        <f>#REF!/Trend_VA!#REF!*100</f>
        <v>#REF!</v>
      </c>
      <c r="I33" s="9" t="e">
        <f>#REF!/Trend_VA!#REF!*100</f>
        <v>#REF!</v>
      </c>
      <c r="J33" s="26" t="e">
        <f>#REF!/Trend_VA!#REF!*100</f>
        <v>#REF!</v>
      </c>
      <c r="K33" s="26" t="e">
        <f>#REF!/Trend_VA!#REF!*100</f>
        <v>#REF!</v>
      </c>
      <c r="L33" s="26" t="e">
        <f>#REF!/Trend_VA!#REF!*100</f>
        <v>#REF!</v>
      </c>
      <c r="M33" s="26" t="e">
        <f>#REF!/Trend_VA!#REF!*100</f>
        <v>#REF!</v>
      </c>
      <c r="N33" s="26" t="e">
        <f>#REF!/Trend_VA!#REF!*100</f>
        <v>#REF!</v>
      </c>
      <c r="O33" s="26" t="e">
        <f>#REF!/Trend_VA!#REF!*100</f>
        <v>#REF!</v>
      </c>
      <c r="P33" s="26" t="e">
        <f>#REF!/Trend_VA!#REF!*100</f>
        <v>#REF!</v>
      </c>
      <c r="Q33" s="26" t="e">
        <f>#REF!/Trend_VA!#REF!*100</f>
        <v>#REF!</v>
      </c>
      <c r="R33" s="26" t="e">
        <f>#REF!/Trend_VA!#REF!*100</f>
        <v>#REF!</v>
      </c>
      <c r="S33" s="26" t="e">
        <f>#REF!/Trend_VA!#REF!*100</f>
        <v>#REF!</v>
      </c>
      <c r="T33" s="26" t="e">
        <f>#REF!/Trend_VA!#REF!*100</f>
        <v>#REF!</v>
      </c>
      <c r="U33" s="26" t="e">
        <f>#REF!/Trend_VA!#REF!*100</f>
        <v>#REF!</v>
      </c>
      <c r="V33" s="26" t="e">
        <f>#REF!/Trend_VA!#REF!*100</f>
        <v>#REF!</v>
      </c>
      <c r="W33" s="26" t="e">
        <f>#REF!/Trend_VA!#REF!*100</f>
        <v>#REF!</v>
      </c>
      <c r="X33" s="26" t="e">
        <f>#REF!/Trend_VA!#REF!*100</f>
        <v>#REF!</v>
      </c>
      <c r="Y33" s="26" t="e">
        <f>#REF!/Trend_VA!#REF!*100</f>
        <v>#REF!</v>
      </c>
      <c r="Z33" s="26" t="e">
        <f>#REF!/Trend_VA!#REF!*100</f>
        <v>#REF!</v>
      </c>
      <c r="AA33" s="26" t="e">
        <f>#REF!/Trend_VA!#REF!*100</f>
        <v>#REF!</v>
      </c>
      <c r="AB33" s="26" t="e">
        <f>#REF!/Trend_VA!#REF!*100</f>
        <v>#REF!</v>
      </c>
      <c r="AC33" s="26" t="e">
        <f>#REF!/Trend_VA!#REF!*100</f>
        <v>#REF!</v>
      </c>
      <c r="AD33" s="26" t="e">
        <f>#REF!/Trend_VA!#REF!*100</f>
        <v>#REF!</v>
      </c>
      <c r="AE33" s="26" t="e">
        <f>#REF!/Trend_VA!#REF!*100</f>
        <v>#REF!</v>
      </c>
      <c r="AF33" s="33" t="e">
        <f>#REF!/Trend_VA!#REF!*100</f>
        <v>#REF!</v>
      </c>
      <c r="AG33" s="33" t="e">
        <f>#REF!/Trend_VA!#REF!*100</f>
        <v>#REF!</v>
      </c>
      <c r="AH33" s="33" t="e">
        <f>#REF!/Trend_VA!#REF!*100</f>
        <v>#REF!</v>
      </c>
      <c r="AI33" s="33" t="e">
        <f>#REF!/Trend_VA!#REF!*100</f>
        <v>#REF!</v>
      </c>
      <c r="AJ33" s="33" t="e">
        <f>#REF!/Trend_VA!B33*100</f>
        <v>#REF!</v>
      </c>
      <c r="AK33" s="33" t="e">
        <f>#REF!/Trend_VA!C33*100</f>
        <v>#REF!</v>
      </c>
      <c r="AL33" s="33" t="e">
        <f>#REF!/Trend_VA!D33*100</f>
        <v>#REF!</v>
      </c>
      <c r="AM33" s="33" t="e">
        <f>#REF!/Trend_VA!E33*100</f>
        <v>#REF!</v>
      </c>
      <c r="AN33" s="33" t="e">
        <f>#REF!/Trend_VA!F33*100</f>
        <v>#REF!</v>
      </c>
      <c r="AO33" s="33" t="e">
        <f>#REF!/Trend_VA!G33*100</f>
        <v>#REF!</v>
      </c>
      <c r="AP33" s="33" t="e">
        <f>#REF!/Trend_VA!H33*100</f>
        <v>#REF!</v>
      </c>
      <c r="AQ33" s="33" t="e">
        <f>#REF!/Trend_VA!I33*100</f>
        <v>#REF!</v>
      </c>
    </row>
    <row r="34" spans="1:43" ht="18" customHeight="1" x14ac:dyDescent="0.2">
      <c r="A34" s="17"/>
      <c r="B34" s="14"/>
      <c r="C34" s="14"/>
      <c r="D34" s="14"/>
      <c r="E34" s="14"/>
      <c r="F34" s="14"/>
      <c r="G34" s="14"/>
      <c r="H34" s="14"/>
      <c r="I34" s="14"/>
      <c r="J34" s="26"/>
      <c r="K34" s="26"/>
      <c r="L34" s="26"/>
      <c r="M34" s="26"/>
      <c r="N34" s="26"/>
      <c r="O34" s="26"/>
      <c r="P34" s="26"/>
      <c r="Q34" s="26"/>
      <c r="R34" s="26"/>
      <c r="S34" s="26"/>
      <c r="T34" s="26"/>
      <c r="U34" s="26"/>
      <c r="V34" s="26"/>
      <c r="W34" s="26"/>
      <c r="X34" s="26"/>
      <c r="Y34" s="26"/>
      <c r="Z34" s="26"/>
      <c r="AA34" s="26"/>
      <c r="AB34" s="26"/>
      <c r="AC34" s="26"/>
      <c r="AD34" s="26"/>
      <c r="AE34" s="26"/>
      <c r="AF34" s="33"/>
      <c r="AG34" s="33"/>
      <c r="AH34" s="33"/>
      <c r="AI34" s="33"/>
      <c r="AJ34" s="33"/>
      <c r="AK34" s="33"/>
      <c r="AL34" s="33"/>
      <c r="AM34" s="33"/>
      <c r="AN34" s="33"/>
      <c r="AO34" s="33"/>
      <c r="AP34" s="33"/>
      <c r="AQ34" s="33"/>
    </row>
    <row r="35" spans="1:43" ht="18" customHeight="1" x14ac:dyDescent="0.2">
      <c r="A35" s="2" t="s">
        <v>95</v>
      </c>
      <c r="B35" s="14"/>
      <c r="C35" s="14"/>
      <c r="D35" s="14"/>
      <c r="E35" s="14"/>
      <c r="F35" s="14"/>
      <c r="G35" s="14"/>
      <c r="H35" s="14"/>
      <c r="I35" s="14"/>
      <c r="J35" s="26"/>
      <c r="K35" s="26"/>
      <c r="L35" s="26"/>
      <c r="M35" s="26"/>
      <c r="N35" s="26"/>
      <c r="O35" s="26"/>
      <c r="P35" s="26"/>
      <c r="Q35" s="26"/>
      <c r="R35" s="26"/>
      <c r="S35" s="26"/>
      <c r="T35" s="26"/>
      <c r="U35" s="26"/>
      <c r="V35" s="26"/>
      <c r="W35" s="26"/>
      <c r="X35" s="26"/>
      <c r="Y35" s="26"/>
      <c r="Z35" s="26"/>
      <c r="AA35" s="26"/>
      <c r="AB35" s="26"/>
      <c r="AC35" s="26"/>
      <c r="AD35" s="26"/>
      <c r="AE35" s="26"/>
      <c r="AF35" s="33"/>
      <c r="AG35" s="33"/>
      <c r="AH35" s="33"/>
      <c r="AI35" s="33"/>
      <c r="AJ35" s="33"/>
      <c r="AK35" s="33"/>
      <c r="AL35" s="33"/>
      <c r="AM35" s="33"/>
      <c r="AN35" s="33"/>
      <c r="AO35" s="33"/>
      <c r="AP35" s="33"/>
      <c r="AQ35" s="33"/>
    </row>
    <row r="36" spans="1:43" s="11" customFormat="1" ht="18" customHeight="1" thickBot="1" x14ac:dyDescent="0.25">
      <c r="A36" s="28" t="s">
        <v>76</v>
      </c>
      <c r="B36" s="27" t="e">
        <f>#REF!/Trend_VA!#REF!*100</f>
        <v>#REF!</v>
      </c>
      <c r="C36" s="27" t="e">
        <f>#REF!/Trend_VA!#REF!*100</f>
        <v>#REF!</v>
      </c>
      <c r="D36" s="27" t="e">
        <f>#REF!/Trend_VA!#REF!*100</f>
        <v>#REF!</v>
      </c>
      <c r="E36" s="27" t="e">
        <f>#REF!/Trend_VA!#REF!*100</f>
        <v>#REF!</v>
      </c>
      <c r="F36" s="27" t="e">
        <f>#REF!/Trend_VA!#REF!*100</f>
        <v>#REF!</v>
      </c>
      <c r="G36" s="27" t="e">
        <f>#REF!/Trend_VA!#REF!*100</f>
        <v>#REF!</v>
      </c>
      <c r="H36" s="27" t="e">
        <f>#REF!/Trend_VA!#REF!*100</f>
        <v>#REF!</v>
      </c>
      <c r="I36" s="27" t="e">
        <f>#REF!/Trend_VA!#REF!*100</f>
        <v>#REF!</v>
      </c>
      <c r="J36" s="27" t="e">
        <f>#REF!/Trend_VA!#REF!*100</f>
        <v>#REF!</v>
      </c>
      <c r="K36" s="27" t="e">
        <f>#REF!/Trend_VA!#REF!*100</f>
        <v>#REF!</v>
      </c>
      <c r="L36" s="27" t="e">
        <f>#REF!/Trend_VA!#REF!*100</f>
        <v>#REF!</v>
      </c>
      <c r="M36" s="27" t="e">
        <f>#REF!/Trend_VA!#REF!*100</f>
        <v>#REF!</v>
      </c>
      <c r="N36" s="27" t="e">
        <f>#REF!/Trend_VA!#REF!*100</f>
        <v>#REF!</v>
      </c>
      <c r="O36" s="27" t="e">
        <f>#REF!/Trend_VA!#REF!*100</f>
        <v>#REF!</v>
      </c>
      <c r="P36" s="27" t="e">
        <f>#REF!/Trend_VA!#REF!*100</f>
        <v>#REF!</v>
      </c>
      <c r="Q36" s="27" t="e">
        <f>#REF!/Trend_VA!#REF!*100</f>
        <v>#REF!</v>
      </c>
      <c r="R36" s="27" t="e">
        <f>#REF!/Trend_VA!#REF!*100</f>
        <v>#REF!</v>
      </c>
      <c r="S36" s="27" t="e">
        <f>#REF!/Trend_VA!#REF!*100</f>
        <v>#REF!</v>
      </c>
      <c r="T36" s="27" t="e">
        <f>#REF!/Trend_VA!#REF!*100</f>
        <v>#REF!</v>
      </c>
      <c r="U36" s="27" t="e">
        <f>#REF!/Trend_VA!#REF!*100</f>
        <v>#REF!</v>
      </c>
      <c r="V36" s="27" t="e">
        <f>#REF!/Trend_VA!#REF!*100</f>
        <v>#REF!</v>
      </c>
      <c r="W36" s="27" t="e">
        <f>#REF!/Trend_VA!#REF!*100</f>
        <v>#REF!</v>
      </c>
      <c r="X36" s="27" t="e">
        <f>#REF!/Trend_VA!#REF!*100</f>
        <v>#REF!</v>
      </c>
      <c r="Y36" s="27" t="e">
        <f>#REF!/Trend_VA!#REF!*100</f>
        <v>#REF!</v>
      </c>
      <c r="Z36" s="27" t="e">
        <f>#REF!/Trend_VA!#REF!*100</f>
        <v>#REF!</v>
      </c>
      <c r="AA36" s="27" t="e">
        <f>#REF!/Trend_VA!#REF!*100</f>
        <v>#REF!</v>
      </c>
      <c r="AB36" s="27" t="e">
        <f>#REF!/Trend_VA!#REF!*100</f>
        <v>#REF!</v>
      </c>
      <c r="AC36" s="27" t="e">
        <f>#REF!/Trend_VA!#REF!*100</f>
        <v>#REF!</v>
      </c>
      <c r="AD36" s="27" t="e">
        <f>#REF!/Trend_VA!#REF!*100</f>
        <v>#REF!</v>
      </c>
      <c r="AE36" s="27" t="e">
        <f>#REF!/Trend_VA!#REF!*100</f>
        <v>#REF!</v>
      </c>
      <c r="AF36" s="34" t="e">
        <f>#REF!/Trend_VA!#REF!*100</f>
        <v>#REF!</v>
      </c>
      <c r="AG36" s="34" t="e">
        <f>#REF!/Trend_VA!#REF!*100</f>
        <v>#REF!</v>
      </c>
      <c r="AH36" s="34" t="e">
        <f>#REF!/Trend_VA!#REF!*100</f>
        <v>#REF!</v>
      </c>
      <c r="AI36" s="34" t="e">
        <f>#REF!/Trend_VA!#REF!*100</f>
        <v>#REF!</v>
      </c>
      <c r="AJ36" s="34" t="e">
        <f>#REF!/Trend_VA!B36*100</f>
        <v>#REF!</v>
      </c>
      <c r="AK36" s="34" t="e">
        <f>#REF!/Trend_VA!C36*100</f>
        <v>#REF!</v>
      </c>
      <c r="AL36" s="34" t="e">
        <f>#REF!/Trend_VA!D36*100</f>
        <v>#REF!</v>
      </c>
      <c r="AM36" s="34" t="e">
        <f>#REF!/Trend_VA!E36*100</f>
        <v>#REF!</v>
      </c>
      <c r="AN36" s="34" t="e">
        <f>#REF!/Trend_VA!F36*100</f>
        <v>#REF!</v>
      </c>
      <c r="AO36" s="34" t="e">
        <f>#REF!/Trend_VA!G36*100</f>
        <v>#REF!</v>
      </c>
      <c r="AP36" s="34" t="e">
        <f>#REF!/Trend_VA!H36*100</f>
        <v>#REF!</v>
      </c>
      <c r="AQ36" s="34" t="e">
        <f>#REF!/Trend_VA!I36*100</f>
        <v>#REF!</v>
      </c>
    </row>
    <row r="37" spans="1:43" x14ac:dyDescent="0.2">
      <c r="A37" s="13" t="s">
        <v>50</v>
      </c>
      <c r="AC37" s="5"/>
    </row>
    <row r="38" spans="1:43" x14ac:dyDescent="0.2">
      <c r="Z38" s="5">
        <v>8.5</v>
      </c>
      <c r="AC38" s="5"/>
    </row>
    <row r="39" spans="1:43" x14ac:dyDescent="0.2">
      <c r="AC39" s="5"/>
    </row>
    <row r="40" spans="1:43" x14ac:dyDescent="0.2">
      <c r="AC40" s="5"/>
    </row>
    <row r="41" spans="1:43" x14ac:dyDescent="0.2">
      <c r="AC41" s="5"/>
    </row>
    <row r="42" spans="1:43" x14ac:dyDescent="0.2">
      <c r="AC42" s="5"/>
    </row>
    <row r="43" spans="1:43" x14ac:dyDescent="0.2">
      <c r="AC43" s="5"/>
    </row>
    <row r="44" spans="1:43" x14ac:dyDescent="0.2">
      <c r="AC44" s="5"/>
    </row>
    <row r="45" spans="1:43" x14ac:dyDescent="0.2">
      <c r="AC45" s="5"/>
    </row>
    <row r="46" spans="1:43" x14ac:dyDescent="0.2">
      <c r="AC46" s="5"/>
    </row>
    <row r="47" spans="1:43" x14ac:dyDescent="0.2">
      <c r="AC47" s="5"/>
    </row>
    <row r="48" spans="1:43" x14ac:dyDescent="0.2">
      <c r="AC48" s="5"/>
    </row>
    <row r="49" spans="29:29" x14ac:dyDescent="0.2">
      <c r="AC49" s="5"/>
    </row>
    <row r="50" spans="29:29" x14ac:dyDescent="0.2">
      <c r="AC50" s="5"/>
    </row>
    <row r="51" spans="29:29" x14ac:dyDescent="0.2">
      <c r="AC51" s="5"/>
    </row>
    <row r="52" spans="29:29" x14ac:dyDescent="0.2">
      <c r="AC52" s="5"/>
    </row>
    <row r="53" spans="29:29" x14ac:dyDescent="0.2">
      <c r="AC53" s="5"/>
    </row>
    <row r="54" spans="29:29" x14ac:dyDescent="0.2">
      <c r="AC54" s="5"/>
    </row>
    <row r="55" spans="29:29" x14ac:dyDescent="0.2">
      <c r="AC55" s="5"/>
    </row>
    <row r="56" spans="29:29" x14ac:dyDescent="0.2">
      <c r="AC56" s="5"/>
    </row>
    <row r="57" spans="29:29" x14ac:dyDescent="0.2">
      <c r="AC57" s="5"/>
    </row>
  </sheetData>
  <mergeCells count="11">
    <mergeCell ref="T3:W3"/>
    <mergeCell ref="B3:C3"/>
    <mergeCell ref="D3:G3"/>
    <mergeCell ref="H3:K3"/>
    <mergeCell ref="L3:O3"/>
    <mergeCell ref="P3:S3"/>
    <mergeCell ref="AJ3:AM3"/>
    <mergeCell ref="AF3:AI3"/>
    <mergeCell ref="AB3:AE3"/>
    <mergeCell ref="X3:AA3"/>
    <mergeCell ref="AN3:AQ3"/>
  </mergeCells>
  <pageMargins left="0.5" right="0" top="0.5" bottom="0" header="0" footer="0"/>
  <pageSetup paperSize="9" scale="7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dimension ref="A1"/>
  <sheetViews>
    <sheetView workbookViewId="0">
      <selection activeCell="Q11" sqref="Q11"/>
    </sheetView>
  </sheetViews>
  <sheetFormatPr defaultRowHeight="15" x14ac:dyDescent="0.25"/>
  <sheetData/>
  <pageMargins left="0.5" right="0" top="0.5" bottom="0" header="0" footer="0"/>
  <pageSetup paperSize="9" scale="80"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pageSetUpPr autoPageBreaks="0"/>
  </sheetPr>
  <dimension ref="A1:AN166"/>
  <sheetViews>
    <sheetView view="pageBreakPreview" topLeftCell="M1" zoomScale="96" zoomScaleNormal="100" zoomScaleSheetLayoutView="96" workbookViewId="0">
      <selection activeCell="AD33" sqref="AD33"/>
    </sheetView>
  </sheetViews>
  <sheetFormatPr defaultColWidth="9.140625" defaultRowHeight="17.100000000000001" customHeight="1" x14ac:dyDescent="0.2"/>
  <cols>
    <col min="1" max="1" width="6.28515625" style="151" customWidth="1"/>
    <col min="2" max="2" width="41.28515625" style="151" customWidth="1"/>
    <col min="3" max="13" width="9.7109375" style="151" customWidth="1"/>
    <col min="14" max="14" width="10.42578125" style="151" customWidth="1"/>
    <col min="15" max="15" width="9.85546875" style="151" bestFit="1" customWidth="1"/>
    <col min="16" max="16" width="8.42578125" style="151" customWidth="1"/>
    <col min="17" max="17" width="10.28515625" style="151" bestFit="1" customWidth="1"/>
    <col min="18" max="18" width="9.85546875" style="151" bestFit="1" customWidth="1"/>
    <col min="19" max="19" width="10.28515625" style="151" bestFit="1" customWidth="1"/>
    <col min="20" max="20" width="9.85546875" style="151" bestFit="1" customWidth="1"/>
    <col min="21" max="21" width="10.5703125" style="151" bestFit="1" customWidth="1"/>
    <col min="22" max="22" width="10.28515625" style="151" bestFit="1" customWidth="1"/>
    <col min="23" max="25" width="9.85546875" style="151" bestFit="1" customWidth="1"/>
    <col min="26" max="26" width="9.28515625" style="151" bestFit="1" customWidth="1"/>
    <col min="27" max="27" width="11.7109375" style="151" bestFit="1" customWidth="1"/>
    <col min="28" max="28" width="10.7109375" style="151" bestFit="1" customWidth="1"/>
    <col min="29" max="29" width="9.85546875" style="151" bestFit="1" customWidth="1"/>
    <col min="30" max="30" width="11.28515625" style="151" bestFit="1" customWidth="1"/>
    <col min="31" max="31" width="10.7109375" style="151" customWidth="1"/>
    <col min="32" max="16384" width="9.140625" style="151"/>
  </cols>
  <sheetData>
    <row r="1" spans="1:40" ht="17.100000000000001" customHeight="1" x14ac:dyDescent="0.2">
      <c r="A1" s="151" t="s">
        <v>164</v>
      </c>
      <c r="B1" s="160"/>
      <c r="C1" s="179">
        <v>2016</v>
      </c>
      <c r="D1" s="179">
        <v>2016</v>
      </c>
      <c r="E1" s="179">
        <v>2017</v>
      </c>
      <c r="F1" s="179">
        <v>2017</v>
      </c>
      <c r="G1" s="179">
        <v>2017</v>
      </c>
      <c r="H1" s="179">
        <v>2017</v>
      </c>
      <c r="I1" s="179">
        <v>2018</v>
      </c>
      <c r="J1" s="179">
        <v>2018</v>
      </c>
      <c r="K1" s="179">
        <v>2018</v>
      </c>
      <c r="L1" s="179">
        <v>2018</v>
      </c>
      <c r="M1" s="179">
        <v>2019</v>
      </c>
      <c r="N1" s="179">
        <v>2019</v>
      </c>
      <c r="O1" s="179">
        <v>2019</v>
      </c>
      <c r="P1" s="179">
        <v>2019</v>
      </c>
      <c r="Q1" s="179">
        <v>2020</v>
      </c>
      <c r="R1" s="179">
        <v>2020</v>
      </c>
      <c r="S1" s="179">
        <v>2020</v>
      </c>
      <c r="T1" s="179">
        <v>2020</v>
      </c>
      <c r="U1" s="179">
        <v>2021</v>
      </c>
      <c r="V1" s="179">
        <v>2021</v>
      </c>
      <c r="W1" s="179">
        <v>2021</v>
      </c>
      <c r="X1" s="179">
        <v>2021</v>
      </c>
      <c r="Y1" s="179">
        <v>2022</v>
      </c>
      <c r="Z1" s="179">
        <v>2022</v>
      </c>
      <c r="AA1" s="179">
        <v>2022</v>
      </c>
      <c r="AB1" s="179">
        <v>2022</v>
      </c>
      <c r="AC1" s="179">
        <v>2023</v>
      </c>
      <c r="AD1" s="179">
        <v>2023</v>
      </c>
      <c r="AE1" s="179">
        <v>2023</v>
      </c>
      <c r="AF1" s="179">
        <v>2023</v>
      </c>
      <c r="AG1" s="179">
        <v>2024</v>
      </c>
      <c r="AH1" s="179">
        <v>2024</v>
      </c>
      <c r="AI1" s="179">
        <v>2024</v>
      </c>
      <c r="AJ1" s="179">
        <v>2024</v>
      </c>
      <c r="AK1" s="179">
        <v>2025</v>
      </c>
      <c r="AL1" s="179">
        <v>2025</v>
      </c>
      <c r="AM1" s="179">
        <v>2025</v>
      </c>
      <c r="AN1" s="179">
        <v>2025</v>
      </c>
    </row>
    <row r="2" spans="1:40" s="162" customFormat="1" ht="17.100000000000001" customHeight="1" x14ac:dyDescent="0.2">
      <c r="A2" s="178"/>
      <c r="B2" s="177" t="s">
        <v>163</v>
      </c>
      <c r="C2" s="220" t="s">
        <v>80</v>
      </c>
      <c r="D2" s="220"/>
      <c r="E2" s="220"/>
      <c r="F2" s="220"/>
      <c r="G2" s="220" t="s">
        <v>92</v>
      </c>
      <c r="H2" s="220"/>
      <c r="I2" s="220"/>
      <c r="J2" s="220"/>
      <c r="K2" s="220" t="s">
        <v>134</v>
      </c>
      <c r="L2" s="220"/>
      <c r="M2" s="220"/>
      <c r="N2" s="220"/>
      <c r="O2" s="220" t="s">
        <v>136</v>
      </c>
      <c r="P2" s="220"/>
      <c r="Q2" s="220"/>
      <c r="R2" s="220"/>
      <c r="S2" s="220" t="s">
        <v>137</v>
      </c>
      <c r="T2" s="220"/>
      <c r="U2" s="220"/>
      <c r="V2" s="220"/>
      <c r="W2" s="220" t="s">
        <v>138</v>
      </c>
      <c r="X2" s="220"/>
      <c r="Y2" s="220"/>
      <c r="Z2" s="220"/>
      <c r="AA2" s="220" t="s">
        <v>139</v>
      </c>
      <c r="AB2" s="220"/>
      <c r="AC2" s="220"/>
      <c r="AD2" s="220"/>
      <c r="AE2" s="220" t="s">
        <v>140</v>
      </c>
      <c r="AF2" s="220"/>
      <c r="AG2" s="220"/>
      <c r="AH2" s="220"/>
      <c r="AI2" s="220" t="s">
        <v>166</v>
      </c>
      <c r="AJ2" s="220"/>
      <c r="AK2" s="220"/>
      <c r="AL2" s="220"/>
      <c r="AM2" s="220" t="s">
        <v>167</v>
      </c>
      <c r="AN2" s="220"/>
    </row>
    <row r="3" spans="1:40" s="156" customFormat="1" ht="17.100000000000001" customHeight="1" x14ac:dyDescent="0.2">
      <c r="A3" s="159"/>
      <c r="B3" s="158" t="s">
        <v>162</v>
      </c>
      <c r="C3" s="176"/>
      <c r="D3" s="176"/>
      <c r="E3" s="176"/>
      <c r="F3" s="176"/>
      <c r="G3" s="166" t="s">
        <v>46</v>
      </c>
      <c r="H3" s="166" t="s">
        <v>47</v>
      </c>
      <c r="I3" s="166" t="s">
        <v>48</v>
      </c>
      <c r="J3" s="166" t="s">
        <v>49</v>
      </c>
      <c r="K3" s="166" t="s">
        <v>46</v>
      </c>
      <c r="L3" s="166" t="s">
        <v>47</v>
      </c>
      <c r="M3" s="166" t="s">
        <v>48</v>
      </c>
      <c r="N3" s="166" t="s">
        <v>49</v>
      </c>
      <c r="O3" s="166" t="s">
        <v>46</v>
      </c>
      <c r="P3" s="166" t="s">
        <v>47</v>
      </c>
      <c r="Q3" s="166" t="s">
        <v>48</v>
      </c>
      <c r="R3" s="166" t="s">
        <v>49</v>
      </c>
      <c r="S3" s="166" t="s">
        <v>46</v>
      </c>
      <c r="T3" s="166" t="s">
        <v>47</v>
      </c>
      <c r="U3" s="166" t="s">
        <v>48</v>
      </c>
      <c r="V3" s="166" t="s">
        <v>49</v>
      </c>
      <c r="W3" s="166" t="s">
        <v>46</v>
      </c>
      <c r="X3" s="166" t="s">
        <v>47</v>
      </c>
      <c r="Y3" s="166" t="s">
        <v>48</v>
      </c>
      <c r="Z3" s="166" t="s">
        <v>49</v>
      </c>
      <c r="AA3" s="166" t="s">
        <v>46</v>
      </c>
      <c r="AB3" s="166" t="s">
        <v>47</v>
      </c>
      <c r="AC3" s="166" t="s">
        <v>48</v>
      </c>
      <c r="AD3" s="166" t="s">
        <v>49</v>
      </c>
      <c r="AE3" s="166" t="s">
        <v>46</v>
      </c>
      <c r="AF3" s="166" t="s">
        <v>47</v>
      </c>
      <c r="AG3" s="166" t="s">
        <v>48</v>
      </c>
      <c r="AH3" s="166" t="s">
        <v>49</v>
      </c>
      <c r="AI3" s="166" t="s">
        <v>46</v>
      </c>
      <c r="AJ3" s="166" t="s">
        <v>47</v>
      </c>
      <c r="AK3" s="166" t="s">
        <v>48</v>
      </c>
      <c r="AL3" s="166" t="s">
        <v>49</v>
      </c>
      <c r="AM3" s="166" t="s">
        <v>46</v>
      </c>
      <c r="AN3" s="166" t="s">
        <v>47</v>
      </c>
    </row>
    <row r="4" spans="1:40" s="159" customFormat="1" ht="17.100000000000001" customHeight="1" x14ac:dyDescent="0.2">
      <c r="B4" s="158" t="s">
        <v>160</v>
      </c>
      <c r="C4" s="172">
        <v>21056.107659666635</v>
      </c>
      <c r="D4" s="172">
        <v>21809.964217172848</v>
      </c>
      <c r="E4" s="172">
        <v>20873.406818202853</v>
      </c>
      <c r="F4" s="172">
        <v>21882.070998222905</v>
      </c>
      <c r="G4" s="172">
        <v>23635.342638717837</v>
      </c>
      <c r="H4" s="172">
        <v>22889.457256345526</v>
      </c>
      <c r="I4" s="172">
        <v>23080.407177582856</v>
      </c>
      <c r="J4" s="172">
        <v>24400.68566500708</v>
      </c>
      <c r="K4" s="172">
        <v>24578.43327601417</v>
      </c>
      <c r="L4" s="172">
        <v>25052.236754660204</v>
      </c>
      <c r="M4" s="172">
        <v>24429.743935466737</v>
      </c>
      <c r="N4" s="172">
        <v>26518.577021378514</v>
      </c>
      <c r="O4" s="172">
        <v>27496.760978406703</v>
      </c>
      <c r="P4" s="172">
        <v>27762.146905680787</v>
      </c>
      <c r="Q4" s="172">
        <v>24507.263587070323</v>
      </c>
      <c r="R4" s="172">
        <v>24079.788967304845</v>
      </c>
      <c r="S4" s="172">
        <v>27567.684877968059</v>
      </c>
      <c r="T4" s="172">
        <v>28215.330569276066</v>
      </c>
      <c r="U4" s="172">
        <v>26474.967313479643</v>
      </c>
      <c r="V4" s="172">
        <v>27848.231985009475</v>
      </c>
      <c r="W4" s="172">
        <v>27972.652227079911</v>
      </c>
      <c r="X4" s="172">
        <v>28348.572766325378</v>
      </c>
      <c r="Y4" s="172">
        <v>28267.668227164177</v>
      </c>
      <c r="Z4" s="172">
        <v>30291.768339245165</v>
      </c>
      <c r="AA4" s="172">
        <v>31361.550372385107</v>
      </c>
      <c r="AB4" s="172">
        <v>30181.181313021527</v>
      </c>
      <c r="AC4" s="172">
        <v>27673.231780061164</v>
      </c>
      <c r="AD4" s="172">
        <v>29957.687700334976</v>
      </c>
      <c r="AE4" s="172">
        <v>32920.64865900937</v>
      </c>
      <c r="AF4" s="172">
        <v>31184.090404887385</v>
      </c>
      <c r="AG4" s="172">
        <v>27447.646129586959</v>
      </c>
      <c r="AH4" s="172">
        <v>30593.884546306756</v>
      </c>
      <c r="AI4" s="172">
        <v>35471.9751910372</v>
      </c>
      <c r="AJ4" s="172">
        <v>32619.179163695673</v>
      </c>
      <c r="AK4" s="172">
        <v>33546.458147094148</v>
      </c>
      <c r="AL4" s="172">
        <v>33303.937907518382</v>
      </c>
      <c r="AM4" s="172">
        <v>40054.617809142801</v>
      </c>
      <c r="AN4" s="172">
        <v>38294.025898727181</v>
      </c>
    </row>
    <row r="5" spans="1:40" s="156" customFormat="1" ht="17.100000000000001" customHeight="1" x14ac:dyDescent="0.2">
      <c r="A5" s="159"/>
      <c r="B5" s="157" t="s">
        <v>159</v>
      </c>
      <c r="C5" s="175">
        <v>1993.8505741861045</v>
      </c>
      <c r="D5" s="175">
        <v>2102.9781926589262</v>
      </c>
      <c r="E5" s="175">
        <v>2058.944608531709</v>
      </c>
      <c r="F5" s="175">
        <v>2535.9086076797525</v>
      </c>
      <c r="G5" s="175">
        <v>2354.6136063927602</v>
      </c>
      <c r="H5" s="175">
        <v>2575.5964773467949</v>
      </c>
      <c r="I5" s="175">
        <v>2456.0320627537008</v>
      </c>
      <c r="J5" s="175">
        <v>2687.4358538554607</v>
      </c>
      <c r="K5" s="175">
        <v>2424.470745990533</v>
      </c>
      <c r="L5" s="175">
        <v>2664.4655925732927</v>
      </c>
      <c r="M5" s="175">
        <v>2471.3662836437929</v>
      </c>
      <c r="N5" s="175">
        <v>3312.0474211925157</v>
      </c>
      <c r="O5" s="175">
        <v>2637.0772208715771</v>
      </c>
      <c r="P5" s="175">
        <v>3251.1259147918736</v>
      </c>
      <c r="Q5" s="175">
        <v>3009.6176969571557</v>
      </c>
      <c r="R5" s="175">
        <v>3359.6022267348462</v>
      </c>
      <c r="S5" s="175">
        <v>2846.0464262948171</v>
      </c>
      <c r="T5" s="175">
        <v>3376.3583148684506</v>
      </c>
      <c r="U5" s="175">
        <v>3362.9828430998909</v>
      </c>
      <c r="V5" s="175">
        <v>3472.7614859392938</v>
      </c>
      <c r="W5" s="175">
        <v>3032.8622559244236</v>
      </c>
      <c r="X5" s="175">
        <v>3015.657572038624</v>
      </c>
      <c r="Y5" s="175">
        <v>3658.1946967281069</v>
      </c>
      <c r="Z5" s="175">
        <v>4024.1060543918406</v>
      </c>
      <c r="AA5" s="175">
        <v>3634.3062206339118</v>
      </c>
      <c r="AB5" s="175">
        <v>3550.8515514329642</v>
      </c>
      <c r="AC5" s="175">
        <v>3429.2703058640359</v>
      </c>
      <c r="AD5" s="175">
        <v>3641.071842746338</v>
      </c>
      <c r="AE5" s="175">
        <v>3683.2098217682733</v>
      </c>
      <c r="AF5" s="175">
        <v>3467.0342939605544</v>
      </c>
      <c r="AG5" s="175">
        <v>4088.2917435201871</v>
      </c>
      <c r="AH5" s="175">
        <v>5147.0987825266329</v>
      </c>
      <c r="AI5" s="175">
        <v>4964.211056536833</v>
      </c>
      <c r="AJ5" s="175">
        <v>4789.4265139618883</v>
      </c>
      <c r="AK5" s="175">
        <v>5523.6046356146953</v>
      </c>
      <c r="AL5" s="175">
        <v>5842.8153407415512</v>
      </c>
      <c r="AM5" s="175">
        <v>5942.9168249015502</v>
      </c>
      <c r="AN5" s="175">
        <v>5193.7443543099826</v>
      </c>
    </row>
    <row r="6" spans="1:40" s="156" customFormat="1" ht="17.100000000000001" customHeight="1" x14ac:dyDescent="0.2">
      <c r="B6" s="157" t="s">
        <v>158</v>
      </c>
      <c r="C6" s="175">
        <v>1028.3714691864081</v>
      </c>
      <c r="D6" s="175">
        <v>1050.8995684162362</v>
      </c>
      <c r="E6" s="175">
        <v>1079.8473072914483</v>
      </c>
      <c r="F6" s="175">
        <v>1103.0017404935807</v>
      </c>
      <c r="G6" s="175">
        <v>1143.1426589350622</v>
      </c>
      <c r="H6" s="175">
        <v>1190.9271507729434</v>
      </c>
      <c r="I6" s="175">
        <v>1244.307114952102</v>
      </c>
      <c r="J6" s="175">
        <v>1298.9416753658759</v>
      </c>
      <c r="K6" s="175">
        <v>1377.0939379744</v>
      </c>
      <c r="L6" s="175">
        <v>1406.5254460331209</v>
      </c>
      <c r="M6" s="175">
        <v>1388.0896882643044</v>
      </c>
      <c r="N6" s="175">
        <v>1337.5424069378394</v>
      </c>
      <c r="O6" s="175">
        <v>1258.8631708683629</v>
      </c>
      <c r="P6" s="175">
        <v>1195.4983636203331</v>
      </c>
      <c r="Q6" s="175">
        <v>1138.955551411784</v>
      </c>
      <c r="R6" s="175">
        <v>1109.1310453878166</v>
      </c>
      <c r="S6" s="175">
        <v>1105.8404876247355</v>
      </c>
      <c r="T6" s="175">
        <v>1116.5328873077315</v>
      </c>
      <c r="U6" s="175">
        <v>1151.8145279087678</v>
      </c>
      <c r="V6" s="175">
        <v>1193.2396525396864</v>
      </c>
      <c r="W6" s="175">
        <v>1238.0769248714191</v>
      </c>
      <c r="X6" s="175">
        <v>1276.9130899444121</v>
      </c>
      <c r="Y6" s="175">
        <v>1301.2069274200899</v>
      </c>
      <c r="Z6" s="175">
        <v>1332.2610234195033</v>
      </c>
      <c r="AA6" s="175">
        <v>1372.9372401841142</v>
      </c>
      <c r="AB6" s="175">
        <v>1362.6449938835417</v>
      </c>
      <c r="AC6" s="175">
        <v>1376.6523110764681</v>
      </c>
      <c r="AD6" s="175">
        <v>1383.4521059474255</v>
      </c>
      <c r="AE6" s="175">
        <v>1419.8263294082192</v>
      </c>
      <c r="AF6" s="175">
        <v>1450.6647249049799</v>
      </c>
      <c r="AG6" s="175">
        <v>1325.2085954557733</v>
      </c>
      <c r="AH6" s="175">
        <v>1347.1035068859696</v>
      </c>
      <c r="AI6" s="175">
        <v>1340.077582044592</v>
      </c>
      <c r="AJ6" s="175">
        <v>1345.2021858888206</v>
      </c>
      <c r="AK6" s="175">
        <v>1179.8710539364752</v>
      </c>
      <c r="AL6" s="175">
        <v>1283.1167510737698</v>
      </c>
      <c r="AM6" s="175">
        <v>1363.5950132715052</v>
      </c>
      <c r="AN6" s="175">
        <v>1298.639562317049</v>
      </c>
    </row>
    <row r="7" spans="1:40" s="156" customFormat="1" ht="17.100000000000001" customHeight="1" x14ac:dyDescent="0.2">
      <c r="B7" s="157" t="s">
        <v>157</v>
      </c>
      <c r="C7" s="175">
        <v>18033.885616294123</v>
      </c>
      <c r="D7" s="175">
        <v>18656.086456097684</v>
      </c>
      <c r="E7" s="175">
        <v>17734.614902379697</v>
      </c>
      <c r="F7" s="175">
        <v>18243.160650049573</v>
      </c>
      <c r="G7" s="175">
        <v>20137.586373390015</v>
      </c>
      <c r="H7" s="175">
        <v>19122.933628225786</v>
      </c>
      <c r="I7" s="175">
        <v>19380.067999877054</v>
      </c>
      <c r="J7" s="175">
        <v>20414.308135785745</v>
      </c>
      <c r="K7" s="175">
        <v>20776.868592049235</v>
      </c>
      <c r="L7" s="175">
        <v>20981.245716053789</v>
      </c>
      <c r="M7" s="175">
        <v>20570.28796355864</v>
      </c>
      <c r="N7" s="175">
        <v>21868.987193248158</v>
      </c>
      <c r="O7" s="175">
        <v>23600.820586666763</v>
      </c>
      <c r="P7" s="175">
        <v>23315.52262726858</v>
      </c>
      <c r="Q7" s="175">
        <v>20358.690338701384</v>
      </c>
      <c r="R7" s="175">
        <v>19611.055695182182</v>
      </c>
      <c r="S7" s="175">
        <v>23615.797964048506</v>
      </c>
      <c r="T7" s="175">
        <v>23722.439367099883</v>
      </c>
      <c r="U7" s="175">
        <v>21960.169942470984</v>
      </c>
      <c r="V7" s="175">
        <v>23182.230846530496</v>
      </c>
      <c r="W7" s="175">
        <v>23701.713046284069</v>
      </c>
      <c r="X7" s="175">
        <v>24056.00210434234</v>
      </c>
      <c r="Y7" s="175">
        <v>23308.266603015978</v>
      </c>
      <c r="Z7" s="175">
        <v>24935.401261433821</v>
      </c>
      <c r="AA7" s="175">
        <v>26354.306911567081</v>
      </c>
      <c r="AB7" s="175">
        <v>25267.684767705021</v>
      </c>
      <c r="AC7" s="175">
        <v>22867.309163120659</v>
      </c>
      <c r="AD7" s="175">
        <v>24933.163751641212</v>
      </c>
      <c r="AE7" s="175">
        <v>27817.612507832881</v>
      </c>
      <c r="AF7" s="175">
        <v>26266.391386021849</v>
      </c>
      <c r="AG7" s="175">
        <v>22034.145790611001</v>
      </c>
      <c r="AH7" s="175">
        <v>24099.682256894153</v>
      </c>
      <c r="AI7" s="175">
        <v>29167.686552455776</v>
      </c>
      <c r="AJ7" s="175">
        <v>26484.550463844964</v>
      </c>
      <c r="AK7" s="175">
        <v>26842.982457542981</v>
      </c>
      <c r="AL7" s="175">
        <v>26178.005815703062</v>
      </c>
      <c r="AM7" s="175">
        <v>32748.105970969747</v>
      </c>
      <c r="AN7" s="175">
        <v>31801.641982100147</v>
      </c>
    </row>
    <row r="8" spans="1:40" s="159" customFormat="1" ht="17.100000000000001" customHeight="1" x14ac:dyDescent="0.2">
      <c r="B8" s="158" t="s">
        <v>156</v>
      </c>
      <c r="C8" s="172">
        <v>6395.6536785020671</v>
      </c>
      <c r="D8" s="172">
        <v>6857.9602971805052</v>
      </c>
      <c r="E8" s="172">
        <v>6318.6139050376642</v>
      </c>
      <c r="F8" s="172">
        <v>6528.9902297340941</v>
      </c>
      <c r="G8" s="172">
        <v>7184.0048627864453</v>
      </c>
      <c r="H8" s="172">
        <v>7297.7366195756767</v>
      </c>
      <c r="I8" s="172">
        <v>7060.1156075877689</v>
      </c>
      <c r="J8" s="172">
        <v>7108.5563083439592</v>
      </c>
      <c r="K8" s="172">
        <v>7675.5755374653718</v>
      </c>
      <c r="L8" s="172">
        <v>7828.75026046122</v>
      </c>
      <c r="M8" s="172">
        <v>7691.5251621591506</v>
      </c>
      <c r="N8" s="172">
        <v>8232.0251106282867</v>
      </c>
      <c r="O8" s="172">
        <v>7984.0965594525933</v>
      </c>
      <c r="P8" s="172">
        <v>8101.5448110638681</v>
      </c>
      <c r="Q8" s="172">
        <v>8238.9369348914661</v>
      </c>
      <c r="R8" s="172">
        <v>7080.2528261281605</v>
      </c>
      <c r="S8" s="172">
        <v>7125.6247999621637</v>
      </c>
      <c r="T8" s="172">
        <v>8633.1749817161126</v>
      </c>
      <c r="U8" s="172">
        <v>8524.5458529662355</v>
      </c>
      <c r="V8" s="172">
        <v>8565.9507761893474</v>
      </c>
      <c r="W8" s="172">
        <v>8756.0931705348612</v>
      </c>
      <c r="X8" s="172">
        <v>9192.4805515968364</v>
      </c>
      <c r="Y8" s="172">
        <v>8534.4335872876509</v>
      </c>
      <c r="Z8" s="172">
        <v>8763.0548019745383</v>
      </c>
      <c r="AA8" s="172">
        <v>9047.7164052304051</v>
      </c>
      <c r="AB8" s="172">
        <v>9154.8138061406225</v>
      </c>
      <c r="AC8" s="172">
        <v>8919.6257971878404</v>
      </c>
      <c r="AD8" s="172">
        <v>9429.5564101532291</v>
      </c>
      <c r="AE8" s="172">
        <v>9575.9233086072254</v>
      </c>
      <c r="AF8" s="172">
        <v>9262.3742503043923</v>
      </c>
      <c r="AG8" s="172">
        <v>9968.3771172425422</v>
      </c>
      <c r="AH8" s="172">
        <v>10179.464940022313</v>
      </c>
      <c r="AI8" s="172">
        <v>9888.7090034212979</v>
      </c>
      <c r="AJ8" s="172">
        <v>9942.4045261080937</v>
      </c>
      <c r="AK8" s="172">
        <v>10839.634903054291</v>
      </c>
      <c r="AL8" s="172">
        <v>11106.419765013954</v>
      </c>
      <c r="AM8" s="172">
        <v>11190.178558519072</v>
      </c>
      <c r="AN8" s="172">
        <v>11496.008229377876</v>
      </c>
    </row>
    <row r="9" spans="1:40" s="156" customFormat="1" ht="17.100000000000001" customHeight="1" x14ac:dyDescent="0.2">
      <c r="B9" s="157" t="s">
        <v>155</v>
      </c>
      <c r="C9" s="175">
        <v>82.406704732178753</v>
      </c>
      <c r="D9" s="175">
        <v>82.390972249115862</v>
      </c>
      <c r="E9" s="175">
        <v>82.525200588880182</v>
      </c>
      <c r="F9" s="175">
        <v>82.811740895188933</v>
      </c>
      <c r="G9" s="175">
        <v>83.252969592294534</v>
      </c>
      <c r="H9" s="175">
        <v>83.659713913912995</v>
      </c>
      <c r="I9" s="175">
        <v>84.03141198424872</v>
      </c>
      <c r="J9" s="175">
        <v>84.367495834929159</v>
      </c>
      <c r="K9" s="175">
        <v>84.667391348581276</v>
      </c>
      <c r="L9" s="175">
        <v>84.977295806094602</v>
      </c>
      <c r="M9" s="175">
        <v>85.297352595207329</v>
      </c>
      <c r="N9" s="175">
        <v>85.627706615441795</v>
      </c>
      <c r="O9" s="175">
        <v>85.968504291975705</v>
      </c>
      <c r="P9" s="175">
        <v>86.308471704964035</v>
      </c>
      <c r="Q9" s="175">
        <v>86.647580132078431</v>
      </c>
      <c r="R9" s="175">
        <v>86.985800506364697</v>
      </c>
      <c r="S9" s="175">
        <v>87.323103412950772</v>
      </c>
      <c r="T9" s="175">
        <v>87.662248013841335</v>
      </c>
      <c r="U9" s="175">
        <v>88.003247710148003</v>
      </c>
      <c r="V9" s="175">
        <v>88.346116012027835</v>
      </c>
      <c r="W9" s="175">
        <v>88.690866539584064</v>
      </c>
      <c r="X9" s="175">
        <v>89.03683204651459</v>
      </c>
      <c r="Y9" s="175">
        <v>89.384015748753598</v>
      </c>
      <c r="Z9" s="175">
        <v>89.732420860897278</v>
      </c>
      <c r="AA9" s="175">
        <v>90.082050596082709</v>
      </c>
      <c r="AB9" s="175">
        <v>90.43307441299973</v>
      </c>
      <c r="AC9" s="175">
        <v>90.785498115818513</v>
      </c>
      <c r="AD9" s="175">
        <v>91.13932753471552</v>
      </c>
      <c r="AE9" s="175">
        <v>91.494568526003334</v>
      </c>
      <c r="AF9" s="175">
        <v>91.851186505561387</v>
      </c>
      <c r="AG9" s="175">
        <v>92.209186750875361</v>
      </c>
      <c r="AH9" s="175">
        <v>92.568574559184114</v>
      </c>
      <c r="AI9" s="175">
        <v>92.929355247550205</v>
      </c>
      <c r="AJ9" s="175">
        <v>93.291543499131734</v>
      </c>
      <c r="AK9" s="175">
        <v>93.655144816699107</v>
      </c>
      <c r="AL9" s="175">
        <v>94.020164724623285</v>
      </c>
      <c r="AM9" s="175">
        <v>94.386608768961125</v>
      </c>
      <c r="AN9" s="175">
        <v>94.754481030724619</v>
      </c>
    </row>
    <row r="10" spans="1:40" s="156" customFormat="1" ht="17.100000000000001" customHeight="1" x14ac:dyDescent="0.2">
      <c r="B10" s="157" t="s">
        <v>154</v>
      </c>
      <c r="C10" s="175">
        <v>1421.5074951746431</v>
      </c>
      <c r="D10" s="175">
        <v>1560.3049472016703</v>
      </c>
      <c r="E10" s="175">
        <v>1455.7504508044801</v>
      </c>
      <c r="F10" s="175">
        <v>1542.0243402815381</v>
      </c>
      <c r="G10" s="175">
        <v>1514.0816186172597</v>
      </c>
      <c r="H10" s="175">
        <v>1547.0148235849201</v>
      </c>
      <c r="I10" s="175">
        <v>1638.2658825930882</v>
      </c>
      <c r="J10" s="175">
        <v>1757.5619612889589</v>
      </c>
      <c r="K10" s="175">
        <v>1735.3263971416586</v>
      </c>
      <c r="L10" s="175">
        <v>1776.061501677299</v>
      </c>
      <c r="M10" s="175">
        <v>1787.2149380031869</v>
      </c>
      <c r="N10" s="175">
        <v>1930.7896832955664</v>
      </c>
      <c r="O10" s="175">
        <v>1859.4191385106481</v>
      </c>
      <c r="P10" s="175">
        <v>1956.2310487377295</v>
      </c>
      <c r="Q10" s="175">
        <v>1940.393152701505</v>
      </c>
      <c r="R10" s="175">
        <v>1821.8273529908633</v>
      </c>
      <c r="S10" s="175">
        <v>1558.7432379790703</v>
      </c>
      <c r="T10" s="175">
        <v>1942.0977814229313</v>
      </c>
      <c r="U10" s="175">
        <v>2020.6702598104225</v>
      </c>
      <c r="V10" s="175">
        <v>2177.5290649532481</v>
      </c>
      <c r="W10" s="175">
        <v>2305.3666673922644</v>
      </c>
      <c r="X10" s="175">
        <v>2189.2819751189295</v>
      </c>
      <c r="Y10" s="175">
        <v>2041.6952412534331</v>
      </c>
      <c r="Z10" s="175">
        <v>2154.6246256630207</v>
      </c>
      <c r="AA10" s="175">
        <v>2225.3554422606053</v>
      </c>
      <c r="AB10" s="175">
        <v>2093.8052589576891</v>
      </c>
      <c r="AC10" s="175">
        <v>2165.8791967992711</v>
      </c>
      <c r="AD10" s="175">
        <v>2194.054714022921</v>
      </c>
      <c r="AE10" s="175">
        <v>2312.7801629280675</v>
      </c>
      <c r="AF10" s="175">
        <v>2065.9426155998167</v>
      </c>
      <c r="AG10" s="175">
        <v>2297.6470412854214</v>
      </c>
      <c r="AH10" s="175">
        <v>2474.025998175623</v>
      </c>
      <c r="AI10" s="175">
        <v>2405.5273626737044</v>
      </c>
      <c r="AJ10" s="175">
        <v>2475.7329233528822</v>
      </c>
      <c r="AK10" s="175">
        <v>2838.778045374444</v>
      </c>
      <c r="AL10" s="175">
        <v>2904.1867366583488</v>
      </c>
      <c r="AM10" s="175">
        <v>2836.7169469849614</v>
      </c>
      <c r="AN10" s="175">
        <v>2893.7273205421334</v>
      </c>
    </row>
    <row r="11" spans="1:40" s="156" customFormat="1" ht="17.100000000000001" customHeight="1" x14ac:dyDescent="0.2">
      <c r="B11" s="157" t="s">
        <v>153</v>
      </c>
      <c r="C11" s="175">
        <v>2300.0523487306559</v>
      </c>
      <c r="D11" s="175">
        <v>2500.2614472249029</v>
      </c>
      <c r="E11" s="175">
        <v>2276.4166179410486</v>
      </c>
      <c r="F11" s="175">
        <v>2300.5621748853969</v>
      </c>
      <c r="G11" s="175">
        <v>2320.5891688373777</v>
      </c>
      <c r="H11" s="175">
        <v>2525.1315681968663</v>
      </c>
      <c r="I11" s="175">
        <v>2527.9708375652544</v>
      </c>
      <c r="J11" s="175">
        <v>2723.5185296457425</v>
      </c>
      <c r="K11" s="175">
        <v>2711.6483560549218</v>
      </c>
      <c r="L11" s="175">
        <v>2982.821629073886</v>
      </c>
      <c r="M11" s="175">
        <v>2942.8028021701489</v>
      </c>
      <c r="N11" s="175">
        <v>3100.1008928120236</v>
      </c>
      <c r="O11" s="175">
        <v>2905.580564878077</v>
      </c>
      <c r="P11" s="175">
        <v>3071.0240549181017</v>
      </c>
      <c r="Q11" s="175">
        <v>3166.2870288199169</v>
      </c>
      <c r="R11" s="175">
        <v>2972.8704541546772</v>
      </c>
      <c r="S11" s="175">
        <v>2527.8991987418362</v>
      </c>
      <c r="T11" s="175">
        <v>3295.3762597443206</v>
      </c>
      <c r="U11" s="175">
        <v>3413.5642780523831</v>
      </c>
      <c r="V11" s="175">
        <v>3478.803688264848</v>
      </c>
      <c r="W11" s="175">
        <v>3273.0874139231928</v>
      </c>
      <c r="X11" s="175">
        <v>3213.7683735098431</v>
      </c>
      <c r="Y11" s="175">
        <v>3063.2480339209537</v>
      </c>
      <c r="Z11" s="175">
        <v>3251.4972016337028</v>
      </c>
      <c r="AA11" s="175">
        <v>3344.7908826925695</v>
      </c>
      <c r="AB11" s="175">
        <v>3317.8392819841179</v>
      </c>
      <c r="AC11" s="175">
        <v>3450.7843419066444</v>
      </c>
      <c r="AD11" s="175">
        <v>3781.0931622039188</v>
      </c>
      <c r="AE11" s="175">
        <v>3551.4130825922571</v>
      </c>
      <c r="AF11" s="175">
        <v>3503.4834481910752</v>
      </c>
      <c r="AG11" s="175">
        <v>3909.6946211609575</v>
      </c>
      <c r="AH11" s="175">
        <v>4132.7348990989231</v>
      </c>
      <c r="AI11" s="175">
        <v>3794.66538234377</v>
      </c>
      <c r="AJ11" s="175">
        <v>3605.0321339004813</v>
      </c>
      <c r="AK11" s="175">
        <v>4338.6867269616569</v>
      </c>
      <c r="AL11" s="175">
        <v>4648.9834313907677</v>
      </c>
      <c r="AM11" s="175">
        <v>4144.9469521818637</v>
      </c>
      <c r="AN11" s="175">
        <v>4409.9235650250921</v>
      </c>
    </row>
    <row r="12" spans="1:40" s="156" customFormat="1" ht="17.100000000000001" customHeight="1" x14ac:dyDescent="0.2">
      <c r="B12" s="157" t="s">
        <v>152</v>
      </c>
      <c r="C12" s="175">
        <v>467.46981673489557</v>
      </c>
      <c r="D12" s="175">
        <v>541.96878627775857</v>
      </c>
      <c r="E12" s="175">
        <v>439.51208914427536</v>
      </c>
      <c r="F12" s="175">
        <v>431.44024078537171</v>
      </c>
      <c r="G12" s="175">
        <v>648.72579439751394</v>
      </c>
      <c r="H12" s="175">
        <v>660.22085020052702</v>
      </c>
      <c r="I12" s="175">
        <v>587.38285348641421</v>
      </c>
      <c r="J12" s="175">
        <v>613.15447861917971</v>
      </c>
      <c r="K12" s="175">
        <v>590.12291416878702</v>
      </c>
      <c r="L12" s="175">
        <v>563.68262335269253</v>
      </c>
      <c r="M12" s="175">
        <v>502.0766829735357</v>
      </c>
      <c r="N12" s="175">
        <v>554.78330137542218</v>
      </c>
      <c r="O12" s="175">
        <v>541.36254476442559</v>
      </c>
      <c r="P12" s="175">
        <v>469.22390547159392</v>
      </c>
      <c r="Q12" s="175">
        <v>452.37275460851447</v>
      </c>
      <c r="R12" s="175">
        <v>207.1826686867816</v>
      </c>
      <c r="S12" s="175">
        <v>483.74847874908085</v>
      </c>
      <c r="T12" s="175">
        <v>451.29432623583023</v>
      </c>
      <c r="U12" s="175">
        <v>561.96974477905655</v>
      </c>
      <c r="V12" s="175">
        <v>523.42195155239597</v>
      </c>
      <c r="W12" s="175">
        <v>525.51274442888996</v>
      </c>
      <c r="X12" s="175">
        <v>570.25763424826368</v>
      </c>
      <c r="Y12" s="175">
        <v>500.79524047243643</v>
      </c>
      <c r="Z12" s="175">
        <v>567.34224516764459</v>
      </c>
      <c r="AA12" s="175">
        <v>550.24268609310718</v>
      </c>
      <c r="AB12" s="175">
        <v>476.32459510952424</v>
      </c>
      <c r="AC12" s="175">
        <v>557.30615339955148</v>
      </c>
      <c r="AD12" s="175">
        <v>575.37771448389924</v>
      </c>
      <c r="AE12" s="175">
        <v>508.51039561479706</v>
      </c>
      <c r="AF12" s="175">
        <v>457.77309997635155</v>
      </c>
      <c r="AG12" s="175">
        <v>505.29787806389476</v>
      </c>
      <c r="AH12" s="175">
        <v>485.32769968609801</v>
      </c>
      <c r="AI12" s="175">
        <v>502.32595522848794</v>
      </c>
      <c r="AJ12" s="175">
        <v>705.50321168948824</v>
      </c>
      <c r="AK12" s="175">
        <v>540.33547944030192</v>
      </c>
      <c r="AL12" s="175">
        <v>644.91681636754959</v>
      </c>
      <c r="AM12" s="175">
        <v>775.5967931760697</v>
      </c>
      <c r="AN12" s="175">
        <v>715.29757696942818</v>
      </c>
    </row>
    <row r="13" spans="1:40" s="156" customFormat="1" ht="17.100000000000001" customHeight="1" x14ac:dyDescent="0.2">
      <c r="B13" s="157" t="s">
        <v>151</v>
      </c>
      <c r="C13" s="175">
        <v>47.130738333705757</v>
      </c>
      <c r="D13" s="175">
        <v>178.07992919762933</v>
      </c>
      <c r="E13" s="175">
        <v>352.88163037936562</v>
      </c>
      <c r="F13" s="175">
        <v>167.93997348706674</v>
      </c>
      <c r="G13" s="175">
        <v>160.2673027419761</v>
      </c>
      <c r="H13" s="175">
        <v>180.9172824094245</v>
      </c>
      <c r="I13" s="175">
        <v>135.48405995110278</v>
      </c>
      <c r="J13" s="175">
        <v>101.27490114345817</v>
      </c>
      <c r="K13" s="175">
        <v>129.49099885532056</v>
      </c>
      <c r="L13" s="175">
        <v>141.42410833815131</v>
      </c>
      <c r="M13" s="175">
        <v>175.99961718811588</v>
      </c>
      <c r="N13" s="175">
        <v>150.72941963688845</v>
      </c>
      <c r="O13" s="175">
        <v>128.10081548458416</v>
      </c>
      <c r="P13" s="175">
        <v>120.94142825532299</v>
      </c>
      <c r="Q13" s="175">
        <v>121.74162215831444</v>
      </c>
      <c r="R13" s="175">
        <v>124.56159192127593</v>
      </c>
      <c r="S13" s="175">
        <v>102.51936895203595</v>
      </c>
      <c r="T13" s="175">
        <v>130.43032184974487</v>
      </c>
      <c r="U13" s="175">
        <v>106.50985179672111</v>
      </c>
      <c r="V13" s="175">
        <v>122.84203888484619</v>
      </c>
      <c r="W13" s="175">
        <v>88.108904799499612</v>
      </c>
      <c r="X13" s="175">
        <v>132.29197953467127</v>
      </c>
      <c r="Y13" s="175">
        <v>115.54869316828116</v>
      </c>
      <c r="Z13" s="175">
        <v>165.02796393666716</v>
      </c>
      <c r="AA13" s="175">
        <v>127.47251905196171</v>
      </c>
      <c r="AB13" s="175">
        <v>127.89370843616639</v>
      </c>
      <c r="AC13" s="175">
        <v>150.1262521927259</v>
      </c>
      <c r="AD13" s="175">
        <v>116.7140619123836</v>
      </c>
      <c r="AE13" s="175">
        <v>101.05714962086346</v>
      </c>
      <c r="AF13" s="175">
        <v>80.534697124910494</v>
      </c>
      <c r="AG13" s="175">
        <v>146.26476281582822</v>
      </c>
      <c r="AH13" s="175">
        <v>126.11100128563106</v>
      </c>
      <c r="AI13" s="175">
        <v>79.209061371602928</v>
      </c>
      <c r="AJ13" s="175">
        <v>153.16075176836705</v>
      </c>
      <c r="AK13" s="175">
        <v>128.8321217987623</v>
      </c>
      <c r="AL13" s="175">
        <v>98.460206184316391</v>
      </c>
      <c r="AM13" s="175">
        <v>131.93872652086492</v>
      </c>
      <c r="AN13" s="175">
        <v>310.50756643282745</v>
      </c>
    </row>
    <row r="14" spans="1:40" s="156" customFormat="1" ht="17.100000000000001" customHeight="1" x14ac:dyDescent="0.2">
      <c r="B14" s="157" t="s">
        <v>150</v>
      </c>
      <c r="C14" s="175">
        <v>1485.3313810514958</v>
      </c>
      <c r="D14" s="175">
        <v>1460.2272936709962</v>
      </c>
      <c r="E14" s="175">
        <v>1195.642064044019</v>
      </c>
      <c r="F14" s="175">
        <v>1559.7692784787293</v>
      </c>
      <c r="G14" s="175">
        <v>1890.6725917107763</v>
      </c>
      <c r="H14" s="175">
        <v>1724.4581554142369</v>
      </c>
      <c r="I14" s="175">
        <v>1521.8294102778586</v>
      </c>
      <c r="J14" s="175">
        <v>1262.202112919716</v>
      </c>
      <c r="K14" s="175">
        <v>1854.3913138985142</v>
      </c>
      <c r="L14" s="175">
        <v>1765.0242949006022</v>
      </c>
      <c r="M14" s="175">
        <v>1601.1083173691268</v>
      </c>
      <c r="N14" s="175">
        <v>1835.5279145379145</v>
      </c>
      <c r="O14" s="175">
        <v>1857.3205798632748</v>
      </c>
      <c r="P14" s="175">
        <v>1767.4203261296368</v>
      </c>
      <c r="Q14" s="175">
        <v>1875.9887035576312</v>
      </c>
      <c r="R14" s="175">
        <v>1346.2051323552769</v>
      </c>
      <c r="S14" s="175">
        <v>1740.0588295452544</v>
      </c>
      <c r="T14" s="175">
        <v>2064.5846951183894</v>
      </c>
      <c r="U14" s="175">
        <v>1714.2292165725166</v>
      </c>
      <c r="V14" s="175">
        <v>1603.8935239058633</v>
      </c>
      <c r="W14" s="175">
        <v>1796.7972751281773</v>
      </c>
      <c r="X14" s="175">
        <v>2208.0139344679728</v>
      </c>
      <c r="Y14" s="175">
        <v>2034.4344186247156</v>
      </c>
      <c r="Z14" s="175">
        <v>1823.3240125968284</v>
      </c>
      <c r="AA14" s="175">
        <v>1920.0488632515235</v>
      </c>
      <c r="AB14" s="175">
        <v>2219.879400225539</v>
      </c>
      <c r="AC14" s="175">
        <v>1590.0003019914723</v>
      </c>
      <c r="AD14" s="175">
        <v>1683.7703408236819</v>
      </c>
      <c r="AE14" s="175">
        <v>2018.8743874350407</v>
      </c>
      <c r="AF14" s="175">
        <v>1999.318398602682</v>
      </c>
      <c r="AG14" s="175">
        <v>2047.6610066398885</v>
      </c>
      <c r="AH14" s="175">
        <v>1944.1629044566084</v>
      </c>
      <c r="AI14" s="175">
        <v>1965.0744100022075</v>
      </c>
      <c r="AJ14" s="175">
        <v>1850.6783314041857</v>
      </c>
      <c r="AK14" s="175">
        <v>1826.6895089457119</v>
      </c>
      <c r="AL14" s="175">
        <v>1790.5718489595454</v>
      </c>
      <c r="AM14" s="175">
        <v>2233.8391388833975</v>
      </c>
      <c r="AN14" s="175">
        <v>1982.2455681736001</v>
      </c>
    </row>
    <row r="15" spans="1:40" s="156" customFormat="1" ht="17.100000000000001" customHeight="1" x14ac:dyDescent="0.2">
      <c r="B15" s="165" t="s">
        <v>149</v>
      </c>
      <c r="C15" s="175">
        <v>591.75519374449243</v>
      </c>
      <c r="D15" s="175">
        <v>534.72692135843249</v>
      </c>
      <c r="E15" s="175">
        <v>515.88585213559531</v>
      </c>
      <c r="F15" s="175">
        <v>444.44248092080221</v>
      </c>
      <c r="G15" s="175">
        <v>566.4154168892469</v>
      </c>
      <c r="H15" s="175">
        <v>576.33422585578876</v>
      </c>
      <c r="I15" s="175">
        <v>565.15115172980154</v>
      </c>
      <c r="J15" s="175">
        <v>566.47682889197472</v>
      </c>
      <c r="K15" s="175">
        <v>569.92816599758748</v>
      </c>
      <c r="L15" s="175">
        <v>514.75880731249401</v>
      </c>
      <c r="M15" s="175">
        <v>597.02545185982979</v>
      </c>
      <c r="N15" s="175">
        <v>574.46619235502976</v>
      </c>
      <c r="O15" s="175">
        <v>606.34441165960891</v>
      </c>
      <c r="P15" s="175">
        <v>630.39557584651993</v>
      </c>
      <c r="Q15" s="175">
        <v>595.50609291350429</v>
      </c>
      <c r="R15" s="175">
        <v>520.61982551292124</v>
      </c>
      <c r="S15" s="175">
        <v>625.33258258193587</v>
      </c>
      <c r="T15" s="175">
        <v>661.72934933105387</v>
      </c>
      <c r="U15" s="175">
        <v>619.59925424498704</v>
      </c>
      <c r="V15" s="175">
        <v>571.11439261611929</v>
      </c>
      <c r="W15" s="175">
        <v>678.52929832325401</v>
      </c>
      <c r="X15" s="175">
        <v>789.82982267064017</v>
      </c>
      <c r="Y15" s="175">
        <v>689.32794409907729</v>
      </c>
      <c r="Z15" s="175">
        <v>711.50633211577815</v>
      </c>
      <c r="AA15" s="175">
        <v>789.7239612845558</v>
      </c>
      <c r="AB15" s="175">
        <v>828.6384870145863</v>
      </c>
      <c r="AC15" s="175">
        <v>914.74405278235815</v>
      </c>
      <c r="AD15" s="175">
        <v>987.40708917170832</v>
      </c>
      <c r="AE15" s="175">
        <v>991.79356189019722</v>
      </c>
      <c r="AF15" s="175">
        <v>1063.4708043039955</v>
      </c>
      <c r="AG15" s="175">
        <v>969.60262052567703</v>
      </c>
      <c r="AH15" s="175">
        <v>924.53386276024662</v>
      </c>
      <c r="AI15" s="175">
        <v>1048.9774765539755</v>
      </c>
      <c r="AJ15" s="175">
        <v>1059.0056304935565</v>
      </c>
      <c r="AK15" s="175">
        <v>1072.6578757167151</v>
      </c>
      <c r="AL15" s="175">
        <v>925.28056072880349</v>
      </c>
      <c r="AM15" s="175">
        <v>972.75339200295275</v>
      </c>
      <c r="AN15" s="175">
        <v>1089.5521512040687</v>
      </c>
    </row>
    <row r="16" spans="1:40" s="159" customFormat="1" ht="17.100000000000001" customHeight="1" x14ac:dyDescent="0.2">
      <c r="B16" s="158" t="s">
        <v>148</v>
      </c>
      <c r="C16" s="172">
        <v>146.9806331797954</v>
      </c>
      <c r="D16" s="172">
        <v>151.1803362041004</v>
      </c>
      <c r="E16" s="172">
        <v>154.31744368532145</v>
      </c>
      <c r="F16" s="172">
        <v>156.98039086216383</v>
      </c>
      <c r="G16" s="172">
        <v>161.74050196803336</v>
      </c>
      <c r="H16" s="172">
        <v>163.63443485305123</v>
      </c>
      <c r="I16" s="172">
        <v>168.09339315149296</v>
      </c>
      <c r="J16" s="172">
        <v>170.78452144319289</v>
      </c>
      <c r="K16" s="172">
        <v>176.79680932883289</v>
      </c>
      <c r="L16" s="172">
        <v>180.08366221379177</v>
      </c>
      <c r="M16" s="172">
        <v>182.87607870634062</v>
      </c>
      <c r="N16" s="172">
        <v>187.61255892247726</v>
      </c>
      <c r="O16" s="172">
        <v>193.38055534695295</v>
      </c>
      <c r="P16" s="172">
        <v>197.56518806698926</v>
      </c>
      <c r="Q16" s="172">
        <v>202.02751642864558</v>
      </c>
      <c r="R16" s="172">
        <v>204.44118574166234</v>
      </c>
      <c r="S16" s="172">
        <v>204.72211112455142</v>
      </c>
      <c r="T16" s="172">
        <v>210.94899620736084</v>
      </c>
      <c r="U16" s="172">
        <v>222.05014469251827</v>
      </c>
      <c r="V16" s="172">
        <v>237.49407451292271</v>
      </c>
      <c r="W16" s="172">
        <v>232.33417582966217</v>
      </c>
      <c r="X16" s="172">
        <v>236.98188121679107</v>
      </c>
      <c r="Y16" s="172">
        <v>243.17074254876155</v>
      </c>
      <c r="Z16" s="172">
        <v>249.71317255458226</v>
      </c>
      <c r="AA16" s="172">
        <v>265.41534400863247</v>
      </c>
      <c r="AB16" s="172">
        <v>262.94324904597909</v>
      </c>
      <c r="AC16" s="172">
        <v>269.71734545462806</v>
      </c>
      <c r="AD16" s="172">
        <v>262.60224158248286</v>
      </c>
      <c r="AE16" s="172">
        <v>269.86132937861726</v>
      </c>
      <c r="AF16" s="172">
        <v>278.39811377538996</v>
      </c>
      <c r="AG16" s="172">
        <v>285.90941068013859</v>
      </c>
      <c r="AH16" s="172">
        <v>293.51916094150624</v>
      </c>
      <c r="AI16" s="172">
        <v>299.05352418562768</v>
      </c>
      <c r="AJ16" s="172">
        <v>304.62690355801254</v>
      </c>
      <c r="AK16" s="172">
        <v>311.66923841245239</v>
      </c>
      <c r="AL16" s="172">
        <v>315.85603017079029</v>
      </c>
      <c r="AM16" s="172">
        <v>323.3269866649531</v>
      </c>
      <c r="AN16" s="172">
        <v>329.54074205985802</v>
      </c>
    </row>
    <row r="17" spans="1:40" s="159" customFormat="1" ht="17.100000000000001" customHeight="1" x14ac:dyDescent="0.2">
      <c r="B17" s="158" t="s">
        <v>147</v>
      </c>
      <c r="C17" s="172">
        <v>-1239.6102083524493</v>
      </c>
      <c r="D17" s="172">
        <v>-753.66975176744018</v>
      </c>
      <c r="E17" s="172">
        <v>-576.36020709430613</v>
      </c>
      <c r="F17" s="172">
        <v>-1244.5499140970687</v>
      </c>
      <c r="G17" s="172">
        <v>153.39514218693785</v>
      </c>
      <c r="H17" s="172">
        <v>-330.95042802939861</v>
      </c>
      <c r="I17" s="172">
        <v>-1731.6621451213155</v>
      </c>
      <c r="J17" s="172">
        <v>-2044.0845829425816</v>
      </c>
      <c r="K17" s="172">
        <v>-1782.6531117529576</v>
      </c>
      <c r="L17" s="172">
        <v>-2036.9056534821348</v>
      </c>
      <c r="M17" s="172">
        <v>100.98878620059804</v>
      </c>
      <c r="N17" s="172">
        <v>-1064.8119327075674</v>
      </c>
      <c r="O17" s="172">
        <v>-1006.0338387953416</v>
      </c>
      <c r="P17" s="172">
        <v>-906.80272283566865</v>
      </c>
      <c r="Q17" s="172">
        <v>-1496.578795198955</v>
      </c>
      <c r="R17" s="172">
        <v>-1727.6294956071947</v>
      </c>
      <c r="S17" s="172">
        <v>-2201.5333104918855</v>
      </c>
      <c r="T17" s="172">
        <v>-3003.010607236376</v>
      </c>
      <c r="U17" s="172">
        <v>-1501.5487111733964</v>
      </c>
      <c r="V17" s="172">
        <v>-3196.8863034066271</v>
      </c>
      <c r="W17" s="172">
        <v>-2294.3245978190598</v>
      </c>
      <c r="X17" s="172">
        <v>-3120.9831535893054</v>
      </c>
      <c r="Y17" s="172">
        <v>-2989.2593009145239</v>
      </c>
      <c r="Z17" s="172">
        <v>-3136.1517999951257</v>
      </c>
      <c r="AA17" s="172">
        <v>-3287.3546357009473</v>
      </c>
      <c r="AB17" s="172">
        <v>-2586.3004672828183</v>
      </c>
      <c r="AC17" s="172">
        <v>-2288.1222309463556</v>
      </c>
      <c r="AD17" s="172">
        <v>-2597.5679535663321</v>
      </c>
      <c r="AE17" s="172">
        <v>-1760.3503147825622</v>
      </c>
      <c r="AF17" s="172">
        <v>-1917.8812212668645</v>
      </c>
      <c r="AG17" s="172">
        <v>-875.97645318950981</v>
      </c>
      <c r="AH17" s="172">
        <v>-1054.6679528562036</v>
      </c>
      <c r="AI17" s="172">
        <v>-1827.7920979889022</v>
      </c>
      <c r="AJ17" s="172">
        <v>-1848.6562270583754</v>
      </c>
      <c r="AK17" s="172">
        <v>1099.7293333920907</v>
      </c>
      <c r="AL17" s="172">
        <v>-800.52540785618294</v>
      </c>
      <c r="AM17" s="172">
        <v>-1634.5113094467069</v>
      </c>
      <c r="AN17" s="172">
        <v>-1358.1646071276573</v>
      </c>
    </row>
    <row r="18" spans="1:40" s="159" customFormat="1" ht="17.100000000000001" customHeight="1" x14ac:dyDescent="0.2">
      <c r="B18" s="164" t="s">
        <v>146</v>
      </c>
      <c r="C18" s="172">
        <v>4253.2280761229558</v>
      </c>
      <c r="D18" s="172">
        <v>4655.8578604041968</v>
      </c>
      <c r="E18" s="172">
        <v>4569.4027233607476</v>
      </c>
      <c r="F18" s="172">
        <v>4601.8381916958288</v>
      </c>
      <c r="G18" s="172">
        <v>5927.280101737234</v>
      </c>
      <c r="H18" s="172">
        <v>5852.4157582454245</v>
      </c>
      <c r="I18" s="172">
        <v>4035.5594061826</v>
      </c>
      <c r="J18" s="172">
        <v>3968.2264633886007</v>
      </c>
      <c r="K18" s="172">
        <v>4417.3587494773592</v>
      </c>
      <c r="L18" s="172">
        <v>4618.4851665759898</v>
      </c>
      <c r="M18" s="172">
        <v>6712.5591954309621</v>
      </c>
      <c r="N18" s="172">
        <v>4889.2288159944546</v>
      </c>
      <c r="O18" s="172">
        <v>5509.1247703935596</v>
      </c>
      <c r="P18" s="172">
        <v>5756.7176342793118</v>
      </c>
      <c r="Q18" s="172">
        <v>5607.0672590014983</v>
      </c>
      <c r="R18" s="172">
        <v>3523.257963375318</v>
      </c>
      <c r="S18" s="172">
        <v>4967.2513956392741</v>
      </c>
      <c r="T18" s="172">
        <v>4710.4442820291551</v>
      </c>
      <c r="U18" s="172">
        <v>5256.9775820519608</v>
      </c>
      <c r="V18" s="172">
        <v>5509.5659824913437</v>
      </c>
      <c r="W18" s="172">
        <v>4203.6683552210388</v>
      </c>
      <c r="X18" s="172">
        <v>4003.3440964789979</v>
      </c>
      <c r="Y18" s="172">
        <v>4214.6104056972345</v>
      </c>
      <c r="Z18" s="172">
        <v>4000.5353804231736</v>
      </c>
      <c r="AA18" s="172">
        <v>3887.7341830987971</v>
      </c>
      <c r="AB18" s="172">
        <v>3666.085852267116</v>
      </c>
      <c r="AC18" s="172">
        <v>4277.3840206449549</v>
      </c>
      <c r="AD18" s="172">
        <v>4635.84107278379</v>
      </c>
      <c r="AE18" s="172">
        <v>6191.305180689953</v>
      </c>
      <c r="AF18" s="172">
        <v>5912.3832674085188</v>
      </c>
      <c r="AG18" s="172">
        <v>6297.312920893617</v>
      </c>
      <c r="AH18" s="172">
        <v>5815.2002788697409</v>
      </c>
      <c r="AI18" s="172">
        <v>5365.5549342701233</v>
      </c>
      <c r="AJ18" s="172">
        <v>7827.450939514044</v>
      </c>
      <c r="AK18" s="172">
        <v>7944.4865753470858</v>
      </c>
      <c r="AL18" s="172">
        <v>8794.6288598301562</v>
      </c>
      <c r="AM18" s="172">
        <v>9102.0291919715455</v>
      </c>
      <c r="AN18" s="172">
        <v>9999.3171504198672</v>
      </c>
    </row>
    <row r="19" spans="1:40" s="156" customFormat="1" ht="17.100000000000001" customHeight="1" x14ac:dyDescent="0.2">
      <c r="B19" s="157" t="s">
        <v>144</v>
      </c>
      <c r="C19" s="175">
        <v>2543.5753191302661</v>
      </c>
      <c r="D19" s="175">
        <v>3041.6259813300717</v>
      </c>
      <c r="E19" s="175">
        <v>2901.7943720724884</v>
      </c>
      <c r="F19" s="175">
        <v>3056.7594464425251</v>
      </c>
      <c r="G19" s="175">
        <v>3957.1060910394972</v>
      </c>
      <c r="H19" s="175">
        <v>3841.3547839589605</v>
      </c>
      <c r="I19" s="175">
        <v>2620.6180282062819</v>
      </c>
      <c r="J19" s="175">
        <v>2498.9745305121351</v>
      </c>
      <c r="K19" s="175">
        <v>2673.8584420854932</v>
      </c>
      <c r="L19" s="175">
        <v>2915.7266266641882</v>
      </c>
      <c r="M19" s="175">
        <v>4913.5287248487293</v>
      </c>
      <c r="N19" s="175">
        <v>3247.1544039525752</v>
      </c>
      <c r="O19" s="175">
        <v>3480.5950195894015</v>
      </c>
      <c r="P19" s="175">
        <v>3720.1510870315024</v>
      </c>
      <c r="Q19" s="175">
        <v>3866.3254333821951</v>
      </c>
      <c r="R19" s="175">
        <v>3026.2210543486949</v>
      </c>
      <c r="S19" s="175">
        <v>4112.0754068271344</v>
      </c>
      <c r="T19" s="175">
        <v>3668.7717851409061</v>
      </c>
      <c r="U19" s="175">
        <v>3942.4956663079952</v>
      </c>
      <c r="V19" s="175">
        <v>4135.4884321513327</v>
      </c>
      <c r="W19" s="175">
        <v>2951.1119355968744</v>
      </c>
      <c r="X19" s="175">
        <v>2862.9499889061999</v>
      </c>
      <c r="Y19" s="175">
        <v>3016.400564026741</v>
      </c>
      <c r="Z19" s="175">
        <v>2859.5144463803426</v>
      </c>
      <c r="AA19" s="175">
        <v>2948.821588604108</v>
      </c>
      <c r="AB19" s="175">
        <v>2634.442697481762</v>
      </c>
      <c r="AC19" s="175">
        <v>3171.5549757063359</v>
      </c>
      <c r="AD19" s="175">
        <v>3363.9228584454031</v>
      </c>
      <c r="AE19" s="175">
        <v>4651.4984844279052</v>
      </c>
      <c r="AF19" s="175">
        <v>4370.2788304853148</v>
      </c>
      <c r="AG19" s="175">
        <v>4424.4469168402611</v>
      </c>
      <c r="AH19" s="175">
        <v>4250.4053937700373</v>
      </c>
      <c r="AI19" s="175">
        <v>3944.7807173812225</v>
      </c>
      <c r="AJ19" s="175">
        <v>5916.652826028544</v>
      </c>
      <c r="AK19" s="175">
        <v>6053.8348643158533</v>
      </c>
      <c r="AL19" s="175">
        <v>7065.6064584117748</v>
      </c>
      <c r="AM19" s="175">
        <v>7274.3729870753541</v>
      </c>
      <c r="AN19" s="175">
        <v>8524.3412254214618</v>
      </c>
    </row>
    <row r="20" spans="1:40" s="156" customFormat="1" ht="17.100000000000001" customHeight="1" x14ac:dyDescent="0.2">
      <c r="B20" s="157" t="s">
        <v>143</v>
      </c>
      <c r="C20" s="175">
        <v>1709.65275699269</v>
      </c>
      <c r="D20" s="175">
        <v>1614.2318790741253</v>
      </c>
      <c r="E20" s="175">
        <v>1667.6083512882594</v>
      </c>
      <c r="F20" s="175">
        <v>1545.0787452533034</v>
      </c>
      <c r="G20" s="175">
        <v>1970.1740106977365</v>
      </c>
      <c r="H20" s="175">
        <v>2011.060974286464</v>
      </c>
      <c r="I20" s="175">
        <v>1414.9413779763181</v>
      </c>
      <c r="J20" s="175">
        <v>1469.2519328764654</v>
      </c>
      <c r="K20" s="175">
        <v>1743.5003073918658</v>
      </c>
      <c r="L20" s="175">
        <v>1702.7585399118018</v>
      </c>
      <c r="M20" s="175">
        <v>1799.0304705822327</v>
      </c>
      <c r="N20" s="175">
        <v>1642.0744120418792</v>
      </c>
      <c r="O20" s="175">
        <v>2028.5297508041579</v>
      </c>
      <c r="P20" s="175">
        <v>2036.5665472478099</v>
      </c>
      <c r="Q20" s="175">
        <v>1740.7418256193037</v>
      </c>
      <c r="R20" s="175">
        <v>497.03690902662305</v>
      </c>
      <c r="S20" s="175">
        <v>855.17598881213928</v>
      </c>
      <c r="T20" s="175">
        <v>1041.6724968882486</v>
      </c>
      <c r="U20" s="175">
        <v>1314.4819157439656</v>
      </c>
      <c r="V20" s="175">
        <v>1374.0775503400112</v>
      </c>
      <c r="W20" s="175">
        <v>1252.5564196241644</v>
      </c>
      <c r="X20" s="175">
        <v>1140.394107572798</v>
      </c>
      <c r="Y20" s="175">
        <v>1198.2098416704935</v>
      </c>
      <c r="Z20" s="175">
        <v>1141.0209340428307</v>
      </c>
      <c r="AA20" s="175">
        <v>938.91259449468896</v>
      </c>
      <c r="AB20" s="175">
        <v>1031.6431547853542</v>
      </c>
      <c r="AC20" s="175">
        <v>1105.8290449386188</v>
      </c>
      <c r="AD20" s="175">
        <v>1271.9182143383866</v>
      </c>
      <c r="AE20" s="175">
        <v>1539.8066962620483</v>
      </c>
      <c r="AF20" s="175">
        <v>1542.1044369232036</v>
      </c>
      <c r="AG20" s="175">
        <v>1872.8660040533557</v>
      </c>
      <c r="AH20" s="175">
        <v>1564.7948850997036</v>
      </c>
      <c r="AI20" s="175">
        <v>1420.7742168889004</v>
      </c>
      <c r="AJ20" s="175">
        <v>1910.7981134854997</v>
      </c>
      <c r="AK20" s="175">
        <v>1890.651711031232</v>
      </c>
      <c r="AL20" s="175">
        <v>1729.0224014183821</v>
      </c>
      <c r="AM20" s="175">
        <v>1827.6562048961919</v>
      </c>
      <c r="AN20" s="175">
        <v>1474.9759249984061</v>
      </c>
    </row>
    <row r="21" spans="1:40" s="159" customFormat="1" ht="17.100000000000001" customHeight="1" x14ac:dyDescent="0.2">
      <c r="B21" s="164" t="s">
        <v>145</v>
      </c>
      <c r="C21" s="172">
        <v>5492.8382844754051</v>
      </c>
      <c r="D21" s="172">
        <v>5409.527612171637</v>
      </c>
      <c r="E21" s="172">
        <v>5145.7629304550537</v>
      </c>
      <c r="F21" s="172">
        <v>5846.3881057928975</v>
      </c>
      <c r="G21" s="172">
        <v>5773.8849595502961</v>
      </c>
      <c r="H21" s="172">
        <v>6183.3661862748231</v>
      </c>
      <c r="I21" s="172">
        <v>5767.2215513039155</v>
      </c>
      <c r="J21" s="172">
        <v>6012.3110463311823</v>
      </c>
      <c r="K21" s="172">
        <v>6200.0118612303168</v>
      </c>
      <c r="L21" s="172">
        <v>6655.3908200581245</v>
      </c>
      <c r="M21" s="172">
        <v>6611.570409230364</v>
      </c>
      <c r="N21" s="172">
        <v>5954.040748702022</v>
      </c>
      <c r="O21" s="172">
        <v>6515.1586091889012</v>
      </c>
      <c r="P21" s="172">
        <v>6663.5203571149805</v>
      </c>
      <c r="Q21" s="172">
        <v>7103.6460542004534</v>
      </c>
      <c r="R21" s="172">
        <v>5250.8874589825127</v>
      </c>
      <c r="S21" s="172">
        <v>7168.7847061311595</v>
      </c>
      <c r="T21" s="172">
        <v>7713.4548892655312</v>
      </c>
      <c r="U21" s="172">
        <v>6758.5262932253572</v>
      </c>
      <c r="V21" s="172">
        <v>8706.4522858979708</v>
      </c>
      <c r="W21" s="172">
        <v>6497.9929530400987</v>
      </c>
      <c r="X21" s="172">
        <v>7124.3272500683033</v>
      </c>
      <c r="Y21" s="172">
        <v>7203.8697066117584</v>
      </c>
      <c r="Z21" s="172">
        <v>7136.6871804182992</v>
      </c>
      <c r="AA21" s="172">
        <v>7175.0888187997443</v>
      </c>
      <c r="AB21" s="172">
        <v>6252.3863195499343</v>
      </c>
      <c r="AC21" s="172">
        <v>6565.5062515913105</v>
      </c>
      <c r="AD21" s="172">
        <v>7233.4090263501221</v>
      </c>
      <c r="AE21" s="172">
        <v>7951.6554954725152</v>
      </c>
      <c r="AF21" s="172">
        <v>7830.2644886753833</v>
      </c>
      <c r="AG21" s="172">
        <v>7173.2893740831269</v>
      </c>
      <c r="AH21" s="172">
        <v>6869.8682317259445</v>
      </c>
      <c r="AI21" s="172">
        <v>7193.3470322590256</v>
      </c>
      <c r="AJ21" s="172">
        <v>9676.1071665724194</v>
      </c>
      <c r="AK21" s="172">
        <v>6844.7572419549952</v>
      </c>
      <c r="AL21" s="172">
        <v>9595.1542676863392</v>
      </c>
      <c r="AM21" s="172">
        <v>10736.540501418252</v>
      </c>
      <c r="AN21" s="172">
        <v>11357.481757547524</v>
      </c>
    </row>
    <row r="22" spans="1:40" s="156" customFormat="1" ht="17.100000000000001" customHeight="1" x14ac:dyDescent="0.2">
      <c r="B22" s="157" t="s">
        <v>144</v>
      </c>
      <c r="C22" s="175">
        <v>3710.1612059680583</v>
      </c>
      <c r="D22" s="175">
        <v>3563.6647912324283</v>
      </c>
      <c r="E22" s="175">
        <v>3418.0070465007525</v>
      </c>
      <c r="F22" s="175">
        <v>3798.4628323578245</v>
      </c>
      <c r="G22" s="175">
        <v>3741.3486539916062</v>
      </c>
      <c r="H22" s="175">
        <v>4019.0727803762816</v>
      </c>
      <c r="I22" s="175">
        <v>3879.2180138790636</v>
      </c>
      <c r="J22" s="175">
        <v>3916.7288002939517</v>
      </c>
      <c r="K22" s="175">
        <v>3798.1795060514742</v>
      </c>
      <c r="L22" s="175">
        <v>4202.7766091224566</v>
      </c>
      <c r="M22" s="175">
        <v>4215.1186139116844</v>
      </c>
      <c r="N22" s="175">
        <v>3677.7487038961594</v>
      </c>
      <c r="O22" s="175">
        <v>4007.1948002754198</v>
      </c>
      <c r="P22" s="175">
        <v>4239.100265474156</v>
      </c>
      <c r="Q22" s="175">
        <v>4215.9097337360954</v>
      </c>
      <c r="R22" s="175">
        <v>3419.0678497722588</v>
      </c>
      <c r="S22" s="175">
        <v>4927.5661789422365</v>
      </c>
      <c r="T22" s="175">
        <v>5212.0898473042398</v>
      </c>
      <c r="U22" s="175">
        <v>4714.9839086728634</v>
      </c>
      <c r="V22" s="175">
        <v>6291.5838614569066</v>
      </c>
      <c r="W22" s="175">
        <v>4297.7940861565248</v>
      </c>
      <c r="X22" s="175">
        <v>4932.1422089293264</v>
      </c>
      <c r="Y22" s="175">
        <v>5012.7414896858736</v>
      </c>
      <c r="Z22" s="175">
        <v>4906.8101772266282</v>
      </c>
      <c r="AA22" s="175">
        <v>4816.6658842064871</v>
      </c>
      <c r="AB22" s="175">
        <v>4130.090065089069</v>
      </c>
      <c r="AC22" s="175">
        <v>4361.9071467404965</v>
      </c>
      <c r="AD22" s="175">
        <v>4841.4769987072141</v>
      </c>
      <c r="AE22" s="175">
        <v>5166.9391828814505</v>
      </c>
      <c r="AF22" s="175">
        <v>4889.4041065814554</v>
      </c>
      <c r="AG22" s="175">
        <v>4439.2193313324606</v>
      </c>
      <c r="AH22" s="175">
        <v>4237.0213478853284</v>
      </c>
      <c r="AI22" s="175">
        <v>4611.8124724356676</v>
      </c>
      <c r="AJ22" s="175">
        <v>6315.9660866749819</v>
      </c>
      <c r="AK22" s="175">
        <v>4310.7902839652279</v>
      </c>
      <c r="AL22" s="175">
        <v>6541.688701031685</v>
      </c>
      <c r="AM22" s="175">
        <v>6957.3034632083618</v>
      </c>
      <c r="AN22" s="175">
        <v>7639.3066266953738</v>
      </c>
    </row>
    <row r="23" spans="1:40" s="156" customFormat="1" ht="17.100000000000001" customHeight="1" x14ac:dyDescent="0.2">
      <c r="B23" s="157" t="s">
        <v>143</v>
      </c>
      <c r="C23" s="175">
        <v>1782.677078507347</v>
      </c>
      <c r="D23" s="175">
        <v>1845.8628209392089</v>
      </c>
      <c r="E23" s="175">
        <v>1727.7558839543015</v>
      </c>
      <c r="F23" s="175">
        <v>2047.925273435073</v>
      </c>
      <c r="G23" s="175">
        <v>2032.5363055586904</v>
      </c>
      <c r="H23" s="175">
        <v>2164.293405898542</v>
      </c>
      <c r="I23" s="175">
        <v>1888.0035374248514</v>
      </c>
      <c r="J23" s="175">
        <v>2095.5822460372306</v>
      </c>
      <c r="K23" s="175">
        <v>2401.8323551788426</v>
      </c>
      <c r="L23" s="175">
        <v>2452.6142109356679</v>
      </c>
      <c r="M23" s="175">
        <v>2396.4517953186792</v>
      </c>
      <c r="N23" s="175">
        <v>2276.292044805863</v>
      </c>
      <c r="O23" s="175">
        <v>2507.9638089134814</v>
      </c>
      <c r="P23" s="175">
        <v>2424.4200916408245</v>
      </c>
      <c r="Q23" s="175">
        <v>2887.7363204643584</v>
      </c>
      <c r="R23" s="175">
        <v>1831.8196092102542</v>
      </c>
      <c r="S23" s="175">
        <v>2241.218527188923</v>
      </c>
      <c r="T23" s="175">
        <v>2501.3650419612909</v>
      </c>
      <c r="U23" s="175">
        <v>2043.5423845524938</v>
      </c>
      <c r="V23" s="175">
        <v>2414.8684244410638</v>
      </c>
      <c r="W23" s="175">
        <v>2200.1988668835743</v>
      </c>
      <c r="X23" s="175">
        <v>2192.1850411389769</v>
      </c>
      <c r="Y23" s="175">
        <v>2191.1282169258848</v>
      </c>
      <c r="Z23" s="175">
        <v>2229.8770031916715</v>
      </c>
      <c r="AA23" s="175">
        <v>2358.4229345932572</v>
      </c>
      <c r="AB23" s="175">
        <v>2122.2962544608649</v>
      </c>
      <c r="AC23" s="175">
        <v>2203.5991048508135</v>
      </c>
      <c r="AD23" s="175">
        <v>2391.9320276429085</v>
      </c>
      <c r="AE23" s="175">
        <v>2784.7163125910647</v>
      </c>
      <c r="AF23" s="175">
        <v>2940.8603820939279</v>
      </c>
      <c r="AG23" s="175">
        <v>2734.0700427506663</v>
      </c>
      <c r="AH23" s="175">
        <v>2632.8468838406161</v>
      </c>
      <c r="AI23" s="175">
        <v>2581.534559823358</v>
      </c>
      <c r="AJ23" s="175">
        <v>3360.1410798974375</v>
      </c>
      <c r="AK23" s="175">
        <v>2533.9669579897673</v>
      </c>
      <c r="AL23" s="175">
        <v>3053.4655666546537</v>
      </c>
      <c r="AM23" s="175">
        <v>3779.2370382098907</v>
      </c>
      <c r="AN23" s="175">
        <v>3718.1751308521502</v>
      </c>
    </row>
    <row r="24" spans="1:40" s="173" customFormat="1" ht="17.100000000000001" customHeight="1" x14ac:dyDescent="0.2">
      <c r="B24" s="164" t="s">
        <v>142</v>
      </c>
      <c r="C24" s="174">
        <v>2218.1155923556107</v>
      </c>
      <c r="D24" s="174">
        <v>-1455.254959481008</v>
      </c>
      <c r="E24" s="174">
        <v>-529.79958361793615</v>
      </c>
      <c r="F24" s="174">
        <v>-233.05665412323287</v>
      </c>
      <c r="G24" s="174">
        <v>-362.24604443184944</v>
      </c>
      <c r="H24" s="174">
        <v>-1684.5977065712104</v>
      </c>
      <c r="I24" s="174">
        <v>-923.62269753768123</v>
      </c>
      <c r="J24" s="174">
        <v>-1037.8550151899399</v>
      </c>
      <c r="K24" s="174">
        <v>1839.4896646626912</v>
      </c>
      <c r="L24" s="174">
        <v>-1065.5341489746861</v>
      </c>
      <c r="M24" s="174">
        <v>-2631.8985573629361</v>
      </c>
      <c r="N24" s="174">
        <v>-3306.3079732511615</v>
      </c>
      <c r="O24" s="174">
        <v>275.57495424189256</v>
      </c>
      <c r="P24" s="174">
        <v>-2687.996047765675</v>
      </c>
      <c r="Q24" s="174">
        <v>-1321.5769026429334</v>
      </c>
      <c r="R24" s="174">
        <v>-766.75101996086232</v>
      </c>
      <c r="S24" s="174">
        <v>2106.4250139160104</v>
      </c>
      <c r="T24" s="174">
        <v>-1579.4355909362421</v>
      </c>
      <c r="U24" s="174">
        <v>-2744.991075436661</v>
      </c>
      <c r="V24" s="174">
        <v>-828.727966728311</v>
      </c>
      <c r="W24" s="174">
        <v>955.6813146217828</v>
      </c>
      <c r="X24" s="174">
        <v>-632.56249825906707</v>
      </c>
      <c r="Y24" s="174">
        <v>-1339.3512309777689</v>
      </c>
      <c r="Z24" s="174">
        <v>-1646.1046506608764</v>
      </c>
      <c r="AA24" s="174">
        <v>1359.4095409299116</v>
      </c>
      <c r="AB24" s="174">
        <v>-1520.6251926447876</v>
      </c>
      <c r="AC24" s="174">
        <v>-1128.2247167411915</v>
      </c>
      <c r="AD24" s="174">
        <v>-545.82664298518648</v>
      </c>
      <c r="AE24" s="174">
        <v>61.989493918532389</v>
      </c>
      <c r="AF24" s="174">
        <v>-1262.6714088255831</v>
      </c>
      <c r="AG24" s="174">
        <v>-1097.1647288480963</v>
      </c>
      <c r="AH24" s="174">
        <v>-1430.31686064729</v>
      </c>
      <c r="AI24" s="174">
        <v>-226.11004405574204</v>
      </c>
      <c r="AJ24" s="174">
        <v>-1459.5635242219432</v>
      </c>
      <c r="AK24" s="174">
        <v>-7069.5042811814637</v>
      </c>
      <c r="AL24" s="174">
        <v>-3211.6442449387614</v>
      </c>
      <c r="AM24" s="174">
        <v>-4214.7284220305664</v>
      </c>
      <c r="AN24" s="174">
        <v>-5857.5342528795663</v>
      </c>
    </row>
    <row r="25" spans="1:40" s="159" customFormat="1" ht="17.100000000000001" customHeight="1" x14ac:dyDescent="0.2">
      <c r="B25" s="158" t="s">
        <v>141</v>
      </c>
      <c r="C25" s="172">
        <v>28577.247355351661</v>
      </c>
      <c r="D25" s="172">
        <v>26610.180139309006</v>
      </c>
      <c r="E25" s="172">
        <v>26240.178376213596</v>
      </c>
      <c r="F25" s="172">
        <v>27090.435050598862</v>
      </c>
      <c r="G25" s="172">
        <v>30772.237101227405</v>
      </c>
      <c r="H25" s="172">
        <v>28335.280176173645</v>
      </c>
      <c r="I25" s="172">
        <v>27653.331335663122</v>
      </c>
      <c r="J25" s="172">
        <v>28598.086896661713</v>
      </c>
      <c r="K25" s="172">
        <v>32487.642175718105</v>
      </c>
      <c r="L25" s="172">
        <v>29958.630874878399</v>
      </c>
      <c r="M25" s="172">
        <v>29773.235405169889</v>
      </c>
      <c r="N25" s="172">
        <v>30567.094784970548</v>
      </c>
      <c r="O25" s="172">
        <v>34943.779208652792</v>
      </c>
      <c r="P25" s="172">
        <v>32466.458134210301</v>
      </c>
      <c r="Q25" s="172">
        <v>30130.072340548548</v>
      </c>
      <c r="R25" s="172">
        <v>28870.10246360661</v>
      </c>
      <c r="S25" s="172">
        <v>34802.923492478898</v>
      </c>
      <c r="T25" s="172">
        <v>32477.008349026924</v>
      </c>
      <c r="U25" s="172">
        <v>30975.023524528337</v>
      </c>
      <c r="V25" s="172">
        <v>32626.062565576813</v>
      </c>
      <c r="W25" s="172">
        <v>35622.436290247155</v>
      </c>
      <c r="X25" s="172">
        <v>34024.489547290636</v>
      </c>
      <c r="Y25" s="172">
        <v>32716.662025108297</v>
      </c>
      <c r="Z25" s="172">
        <v>34522.279863118289</v>
      </c>
      <c r="AA25" s="172">
        <v>38746.737026853109</v>
      </c>
      <c r="AB25" s="172">
        <v>35492.012708280527</v>
      </c>
      <c r="AC25" s="172">
        <v>33446.227975016081</v>
      </c>
      <c r="AD25" s="172">
        <v>36506.451755519171</v>
      </c>
      <c r="AE25" s="172">
        <v>41068.072476131187</v>
      </c>
      <c r="AF25" s="172">
        <v>37544.310138874716</v>
      </c>
      <c r="AG25" s="172">
        <v>35728.791475472033</v>
      </c>
      <c r="AH25" s="172">
        <v>38581.883833767082</v>
      </c>
      <c r="AI25" s="172">
        <v>43605.835576599478</v>
      </c>
      <c r="AJ25" s="172">
        <v>39557.990842081461</v>
      </c>
      <c r="AK25" s="172">
        <v>38727.98734077152</v>
      </c>
      <c r="AL25" s="172">
        <v>40714.044049908181</v>
      </c>
      <c r="AM25" s="172">
        <v>45718.883622849549</v>
      </c>
      <c r="AN25" s="172">
        <v>42903.876010157692</v>
      </c>
    </row>
    <row r="26" spans="1:40" s="156" customFormat="1" ht="17.100000000000001" customHeight="1" x14ac:dyDescent="0.2">
      <c r="A26" s="171"/>
      <c r="B26" s="168"/>
      <c r="C26" s="170"/>
      <c r="D26" s="170"/>
      <c r="E26" s="170"/>
      <c r="F26" s="170"/>
      <c r="G26" s="220" t="s">
        <v>92</v>
      </c>
      <c r="H26" s="220"/>
      <c r="I26" s="220"/>
      <c r="J26" s="220"/>
      <c r="K26" s="220" t="s">
        <v>134</v>
      </c>
      <c r="L26" s="220"/>
      <c r="M26" s="220"/>
      <c r="N26" s="220"/>
      <c r="O26" s="220" t="s">
        <v>136</v>
      </c>
      <c r="P26" s="220"/>
      <c r="Q26" s="220"/>
      <c r="R26" s="220"/>
      <c r="S26" s="220" t="s">
        <v>137</v>
      </c>
      <c r="T26" s="220"/>
      <c r="U26" s="220"/>
      <c r="V26" s="220"/>
      <c r="W26" s="220" t="s">
        <v>138</v>
      </c>
      <c r="X26" s="220"/>
      <c r="Y26" s="220"/>
      <c r="Z26" s="220"/>
      <c r="AA26" s="221" t="s">
        <v>139</v>
      </c>
      <c r="AB26" s="221"/>
      <c r="AC26" s="221"/>
      <c r="AD26" s="221"/>
      <c r="AE26" s="220" t="s">
        <v>140</v>
      </c>
      <c r="AF26" s="220"/>
      <c r="AG26" s="220"/>
      <c r="AH26" s="220"/>
      <c r="AI26" s="221" t="s">
        <v>166</v>
      </c>
      <c r="AJ26" s="221"/>
      <c r="AK26" s="221"/>
      <c r="AL26" s="221"/>
      <c r="AM26" s="162" t="s">
        <v>167</v>
      </c>
      <c r="AN26" s="162" t="s">
        <v>182</v>
      </c>
    </row>
    <row r="27" spans="1:40" s="152" customFormat="1" ht="17.100000000000001" customHeight="1" x14ac:dyDescent="0.2">
      <c r="B27" s="153" t="s">
        <v>161</v>
      </c>
      <c r="C27" s="169"/>
      <c r="D27" s="169"/>
      <c r="E27" s="169"/>
      <c r="F27" s="169"/>
      <c r="G27" s="166" t="s">
        <v>46</v>
      </c>
      <c r="H27" s="166" t="s">
        <v>47</v>
      </c>
      <c r="I27" s="166" t="s">
        <v>48</v>
      </c>
      <c r="J27" s="166" t="s">
        <v>49</v>
      </c>
      <c r="K27" s="166" t="s">
        <v>46</v>
      </c>
      <c r="L27" s="166" t="s">
        <v>47</v>
      </c>
      <c r="M27" s="166" t="s">
        <v>48</v>
      </c>
      <c r="N27" s="166" t="s">
        <v>49</v>
      </c>
      <c r="O27" s="166" t="s">
        <v>46</v>
      </c>
      <c r="P27" s="166" t="s">
        <v>47</v>
      </c>
      <c r="Q27" s="166" t="s">
        <v>48</v>
      </c>
      <c r="R27" s="166" t="s">
        <v>49</v>
      </c>
      <c r="S27" s="166" t="s">
        <v>46</v>
      </c>
      <c r="T27" s="166" t="s">
        <v>47</v>
      </c>
      <c r="U27" s="166" t="s">
        <v>48</v>
      </c>
      <c r="V27" s="166" t="s">
        <v>49</v>
      </c>
      <c r="W27" s="166" t="s">
        <v>46</v>
      </c>
      <c r="X27" s="166" t="s">
        <v>47</v>
      </c>
      <c r="Y27" s="166" t="s">
        <v>48</v>
      </c>
      <c r="Z27" s="166" t="s">
        <v>49</v>
      </c>
      <c r="AA27" s="166" t="s">
        <v>46</v>
      </c>
      <c r="AB27" s="166" t="s">
        <v>47</v>
      </c>
      <c r="AC27" s="166" t="s">
        <v>48</v>
      </c>
      <c r="AD27" s="166" t="s">
        <v>49</v>
      </c>
      <c r="AE27" s="166" t="s">
        <v>46</v>
      </c>
      <c r="AF27" s="166" t="s">
        <v>47</v>
      </c>
      <c r="AG27" s="166" t="s">
        <v>48</v>
      </c>
      <c r="AH27" s="166" t="s">
        <v>49</v>
      </c>
      <c r="AI27" s="166" t="s">
        <v>46</v>
      </c>
      <c r="AJ27" s="166" t="s">
        <v>47</v>
      </c>
      <c r="AK27" s="166" t="s">
        <v>48</v>
      </c>
      <c r="AL27" s="166" t="s">
        <v>49</v>
      </c>
      <c r="AM27" s="166" t="s">
        <v>46</v>
      </c>
      <c r="AN27" s="166" t="s">
        <v>47</v>
      </c>
    </row>
    <row r="28" spans="1:40" s="152" customFormat="1" ht="17.100000000000001" customHeight="1" x14ac:dyDescent="0.2">
      <c r="B28" s="158" t="s">
        <v>160</v>
      </c>
      <c r="C28" s="151">
        <v>0.93480939929404538</v>
      </c>
      <c r="D28" s="151">
        <v>10.858879545432231</v>
      </c>
      <c r="E28" s="151">
        <v>-16.7975188147499</v>
      </c>
      <c r="F28" s="151">
        <v>14.935017327129962</v>
      </c>
      <c r="G28" s="151">
        <v>12.249343614403019</v>
      </c>
      <c r="H28" s="151">
        <v>4.9495406247512364</v>
      </c>
      <c r="I28" s="151">
        <v>10.573263763801922</v>
      </c>
      <c r="J28" s="151">
        <v>11.509946508210845</v>
      </c>
      <c r="K28" s="151">
        <v>3.9901712097518915</v>
      </c>
      <c r="L28" s="151">
        <v>9.4488020143645102</v>
      </c>
      <c r="M28" s="151">
        <v>5.8462432984910384</v>
      </c>
      <c r="N28" s="151">
        <v>8.679638701336545</v>
      </c>
      <c r="O28" s="151">
        <v>11.873530219033523</v>
      </c>
      <c r="P28" s="151">
        <v>10.817038724162975</v>
      </c>
      <c r="Q28" s="151">
        <v>0.31731667678696063</v>
      </c>
      <c r="R28" s="151">
        <v>-9.1965268427019566</v>
      </c>
      <c r="S28" s="151">
        <v>0.2579354696251368</v>
      </c>
      <c r="T28" s="151">
        <v>1.6323797476287538</v>
      </c>
      <c r="U28" s="151">
        <v>8.0290633812232457</v>
      </c>
      <c r="V28" s="151">
        <v>15.649817458206815</v>
      </c>
      <c r="W28" s="151">
        <v>1.4689929564433601</v>
      </c>
      <c r="X28" s="151">
        <v>0.47223333684560664</v>
      </c>
      <c r="Y28" s="151">
        <v>6.7713054843764997</v>
      </c>
      <c r="Z28" s="151">
        <v>8.7744757209399449</v>
      </c>
      <c r="AA28" s="151">
        <v>12.115040496676443</v>
      </c>
      <c r="AB28" s="151">
        <v>6.46455312513321</v>
      </c>
      <c r="AC28" s="151">
        <v>-2.1028846183067218</v>
      </c>
      <c r="AD28" s="151">
        <v>-1.1028759865344795</v>
      </c>
      <c r="AE28" s="151">
        <v>4.9713686603870766</v>
      </c>
      <c r="AF28" s="151">
        <v>3.3229616874974832</v>
      </c>
      <c r="AG28" s="151">
        <v>-0.81517638513308732</v>
      </c>
      <c r="AH28" s="151">
        <v>2.1236513723476236</v>
      </c>
      <c r="AI28" s="151">
        <v>7.7499278901043356</v>
      </c>
      <c r="AJ28" s="151">
        <v>4.6019901179588985</v>
      </c>
      <c r="AK28" s="151">
        <v>22.219799791622297</v>
      </c>
      <c r="AL28" s="151">
        <v>8.8581538480662747</v>
      </c>
      <c r="AM28" s="151">
        <v>12.919051147914406</v>
      </c>
      <c r="AN28" s="151">
        <v>17.397270196631641</v>
      </c>
    </row>
    <row r="29" spans="1:40" s="152" customFormat="1" ht="17.100000000000001" customHeight="1" x14ac:dyDescent="0.2">
      <c r="B29" s="157" t="s">
        <v>159</v>
      </c>
      <c r="C29" s="151">
        <v>6.5162487902899358</v>
      </c>
      <c r="D29" s="151">
        <v>-5.0776206008207314E-2</v>
      </c>
      <c r="E29" s="151">
        <v>17.237040142589557</v>
      </c>
      <c r="F29" s="151">
        <v>28.841788749115693</v>
      </c>
      <c r="G29" s="151">
        <v>18.093784804005185</v>
      </c>
      <c r="H29" s="151">
        <v>22.473760609486291</v>
      </c>
      <c r="I29" s="151">
        <v>19.285970714149812</v>
      </c>
      <c r="J29" s="151">
        <v>5.9752644758893414</v>
      </c>
      <c r="K29" s="151">
        <v>2.9668196687605564</v>
      </c>
      <c r="L29" s="151">
        <v>3.4504285127010537</v>
      </c>
      <c r="M29" s="151">
        <v>0.62434937730004858</v>
      </c>
      <c r="N29" s="151">
        <v>23.241915390872393</v>
      </c>
      <c r="O29" s="151">
        <v>8.7691911825557014</v>
      </c>
      <c r="P29" s="151">
        <v>22.017935748684025</v>
      </c>
      <c r="Q29" s="151">
        <v>21.779507832394749</v>
      </c>
      <c r="R29" s="151">
        <v>1.4358129427147093</v>
      </c>
      <c r="S29" s="151">
        <v>7.9242732738093347</v>
      </c>
      <c r="T29" s="151">
        <v>3.851970159223872</v>
      </c>
      <c r="U29" s="151">
        <v>11.741197112842649</v>
      </c>
      <c r="V29" s="151">
        <v>3.3682338433983494</v>
      </c>
      <c r="W29" s="151">
        <v>6.5640471604258455</v>
      </c>
      <c r="X29" s="151">
        <v>-10.683129845591644</v>
      </c>
      <c r="Y29" s="151">
        <v>8.7782741512917983</v>
      </c>
      <c r="Z29" s="151">
        <v>15.876257862362863</v>
      </c>
      <c r="AA29" s="151">
        <v>19.830902756451319</v>
      </c>
      <c r="AB29" s="151">
        <v>17.747173430985463</v>
      </c>
      <c r="AC29" s="151">
        <v>-6.2578514770911813</v>
      </c>
      <c r="AD29" s="151">
        <v>-9.5184919698491974</v>
      </c>
      <c r="AE29" s="151">
        <v>1.3456103631749317</v>
      </c>
      <c r="AF29" s="151">
        <v>-2.3604832885391946</v>
      </c>
      <c r="AG29" s="151">
        <v>19.217541309859065</v>
      </c>
      <c r="AH29" s="151">
        <v>41.36218687309254</v>
      </c>
      <c r="AI29" s="151">
        <v>34.779480310832888</v>
      </c>
      <c r="AJ29" s="151">
        <v>38.141884616050461</v>
      </c>
      <c r="AK29" s="151">
        <v>35.107888138595619</v>
      </c>
      <c r="AL29" s="151">
        <v>13.516673909129873</v>
      </c>
      <c r="AM29" s="151">
        <v>19.715232837974629</v>
      </c>
      <c r="AN29" s="151">
        <v>8.4418842040784536</v>
      </c>
    </row>
    <row r="30" spans="1:40" s="152" customFormat="1" ht="17.100000000000001" customHeight="1" x14ac:dyDescent="0.2">
      <c r="B30" s="157" t="s">
        <v>158</v>
      </c>
      <c r="C30" s="151">
        <v>5.8183990635019223</v>
      </c>
      <c r="D30" s="151">
        <v>5.8445628685217743</v>
      </c>
      <c r="E30" s="151">
        <v>8.6812151219375799</v>
      </c>
      <c r="F30" s="151">
        <v>10.202212659634458</v>
      </c>
      <c r="G30" s="151">
        <v>11.160479767049036</v>
      </c>
      <c r="H30" s="151">
        <v>13.324544662982074</v>
      </c>
      <c r="I30" s="151">
        <v>15.229913206262813</v>
      </c>
      <c r="J30" s="151">
        <v>17.764245302515501</v>
      </c>
      <c r="K30" s="151">
        <v>20.465624059317665</v>
      </c>
      <c r="L30" s="151">
        <v>18.103399113896135</v>
      </c>
      <c r="M30" s="151">
        <v>11.555231950734047</v>
      </c>
      <c r="N30" s="151">
        <v>2.9717062978282582</v>
      </c>
      <c r="O30" s="151">
        <v>-8.5855266547716802</v>
      </c>
      <c r="P30" s="151">
        <v>-15.003431541743939</v>
      </c>
      <c r="Q30" s="151">
        <v>-17.947985563097358</v>
      </c>
      <c r="R30" s="151">
        <v>-17.076943532051914</v>
      </c>
      <c r="S30" s="151">
        <v>-12.155624756110106</v>
      </c>
      <c r="T30" s="151">
        <v>-6.6052349978522829</v>
      </c>
      <c r="U30" s="151">
        <v>1.129014778587667</v>
      </c>
      <c r="V30" s="151">
        <v>7.5832885123561455</v>
      </c>
      <c r="W30" s="151">
        <v>11.958002869900142</v>
      </c>
      <c r="X30" s="151">
        <v>14.364127063323817</v>
      </c>
      <c r="Y30" s="151">
        <v>12.970178435113034</v>
      </c>
      <c r="Z30" s="151">
        <v>11.650750172769108</v>
      </c>
      <c r="AA30" s="151">
        <v>10.892725048300299</v>
      </c>
      <c r="AB30" s="151">
        <v>6.7139967954171098</v>
      </c>
      <c r="AC30" s="151">
        <v>5.7981080538791918</v>
      </c>
      <c r="AD30" s="151">
        <v>3.8424213895059678</v>
      </c>
      <c r="AE30" s="151">
        <v>3.4152390838940949</v>
      </c>
      <c r="AF30" s="151">
        <v>6.4594763431803148</v>
      </c>
      <c r="AG30" s="151">
        <v>-3.7368706104498162</v>
      </c>
      <c r="AH30" s="151">
        <v>-2.6273839842517188</v>
      </c>
      <c r="AI30" s="151">
        <v>-5.6167959215734697</v>
      </c>
      <c r="AJ30" s="151">
        <v>-7.2699457845483373</v>
      </c>
      <c r="AK30" s="151">
        <v>-10.967144494660698</v>
      </c>
      <c r="AL30" s="151">
        <v>-4.7499509492121117</v>
      </c>
      <c r="AM30" s="151">
        <v>1.7549305758127964</v>
      </c>
      <c r="AN30" s="151">
        <v>-3.4613847687889443</v>
      </c>
    </row>
    <row r="31" spans="1:40" s="152" customFormat="1" ht="17.100000000000001" customHeight="1" x14ac:dyDescent="0.2">
      <c r="B31" s="157" t="s">
        <v>157</v>
      </c>
      <c r="C31" s="151">
        <v>9.1526702503896828E-2</v>
      </c>
      <c r="D31" s="151">
        <v>12.543953896251603</v>
      </c>
      <c r="E31" s="151">
        <v>-20.606679086854651</v>
      </c>
      <c r="F31" s="151">
        <v>13.526464187959309</v>
      </c>
      <c r="G31" s="151">
        <v>11.665266165352284</v>
      </c>
      <c r="H31" s="151">
        <v>2.5023853380327532</v>
      </c>
      <c r="I31" s="151">
        <v>9.2782003249281875</v>
      </c>
      <c r="J31" s="151">
        <v>11.901158617107676</v>
      </c>
      <c r="K31" s="151">
        <v>3.1745721994964171</v>
      </c>
      <c r="L31" s="151">
        <v>9.717714467643713</v>
      </c>
      <c r="M31" s="151">
        <v>6.1414643317512452</v>
      </c>
      <c r="N31" s="151">
        <v>7.1257818182552057</v>
      </c>
      <c r="O31" s="151">
        <v>13.591807553223777</v>
      </c>
      <c r="P31" s="151">
        <v>11.125540126669975</v>
      </c>
      <c r="Q31" s="151">
        <v>-1.0286566003942732</v>
      </c>
      <c r="R31" s="151">
        <v>-10.324810555301301</v>
      </c>
      <c r="S31" s="151">
        <v>6.3461256894625784E-2</v>
      </c>
      <c r="T31" s="151">
        <v>1.7452610706456761</v>
      </c>
      <c r="U31" s="151">
        <v>7.8663193806981946</v>
      </c>
      <c r="V31" s="151">
        <v>18.210009735608669</v>
      </c>
      <c r="W31" s="151">
        <v>0.36380342669917187</v>
      </c>
      <c r="X31" s="151">
        <v>1.4061063960608911</v>
      </c>
      <c r="Y31" s="151">
        <v>6.138826175191725</v>
      </c>
      <c r="Z31" s="151">
        <v>7.5625612845870993</v>
      </c>
      <c r="AA31" s="151">
        <v>11.191570246855576</v>
      </c>
      <c r="AB31" s="151">
        <v>5.0369244985390083</v>
      </c>
      <c r="AC31" s="151">
        <v>-1.891849992132244</v>
      </c>
      <c r="AD31" s="151">
        <v>-8.9732255324492805E-3</v>
      </c>
      <c r="AE31" s="151">
        <v>5.5524343750567251</v>
      </c>
      <c r="AF31" s="151">
        <v>3.9525054531046377</v>
      </c>
      <c r="AG31" s="151">
        <v>-3.643469227474061</v>
      </c>
      <c r="AH31" s="151">
        <v>-3.342862955737802</v>
      </c>
      <c r="AI31" s="151">
        <v>4.8533066748368103</v>
      </c>
      <c r="AJ31" s="151">
        <v>0.83056356930404363</v>
      </c>
      <c r="AK31" s="151">
        <v>21.824475124336693</v>
      </c>
      <c r="AL31" s="151">
        <v>8.6238629067997952</v>
      </c>
      <c r="AM31" s="151">
        <v>12.275294484102716</v>
      </c>
      <c r="AN31" s="151">
        <v>20.076200747729288</v>
      </c>
    </row>
    <row r="32" spans="1:40" s="152" customFormat="1" ht="17.100000000000001" customHeight="1" x14ac:dyDescent="0.2">
      <c r="B32" s="158" t="s">
        <v>156</v>
      </c>
      <c r="C32" s="151">
        <v>-1.7073960743822836</v>
      </c>
      <c r="D32" s="151">
        <v>2.1337280337252018</v>
      </c>
      <c r="E32" s="151">
        <v>0.60168820092991737</v>
      </c>
      <c r="F32" s="151">
        <v>7.1509195700799832</v>
      </c>
      <c r="G32" s="151">
        <v>12.326358241289558</v>
      </c>
      <c r="H32" s="151">
        <v>6.4126402507167501</v>
      </c>
      <c r="I32" s="151">
        <v>11.735195625086781</v>
      </c>
      <c r="J32" s="151">
        <v>8.8768103216087866</v>
      </c>
      <c r="K32" s="151">
        <v>6.8425715748786642</v>
      </c>
      <c r="L32" s="151">
        <v>7.2764155321957791</v>
      </c>
      <c r="M32" s="151">
        <v>8.9433316629090598</v>
      </c>
      <c r="N32" s="151">
        <v>15.80445808617441</v>
      </c>
      <c r="O32" s="151">
        <v>4.0195164581638743</v>
      </c>
      <c r="P32" s="151">
        <v>3.4845223251070534</v>
      </c>
      <c r="Q32" s="151">
        <v>7.1170770580778697</v>
      </c>
      <c r="R32" s="151">
        <v>-13.991360194140857</v>
      </c>
      <c r="S32" s="151">
        <v>-10.752271757961907</v>
      </c>
      <c r="T32" s="151">
        <v>6.5620839364638694</v>
      </c>
      <c r="U32" s="151">
        <v>3.4665748789170836</v>
      </c>
      <c r="V32" s="151">
        <v>20.983684997498052</v>
      </c>
      <c r="W32" s="151">
        <v>22.881760075009218</v>
      </c>
      <c r="X32" s="151">
        <v>6.4785617234129678</v>
      </c>
      <c r="Y32" s="151">
        <v>0.11599133246464888</v>
      </c>
      <c r="Z32" s="151">
        <v>2.3010174928050908</v>
      </c>
      <c r="AA32" s="151">
        <v>3.3305177208128089</v>
      </c>
      <c r="AB32" s="151">
        <v>-0.40975605273019244</v>
      </c>
      <c r="AC32" s="151">
        <v>4.5133892713624002</v>
      </c>
      <c r="AD32" s="151">
        <v>7.6058135346650069</v>
      </c>
      <c r="AE32" s="151">
        <v>5.8380134800806616</v>
      </c>
      <c r="AF32" s="151">
        <v>1.1749058630949216</v>
      </c>
      <c r="AG32" s="151">
        <v>11.757795045453022</v>
      </c>
      <c r="AH32" s="151">
        <v>7.9527445115193718</v>
      </c>
      <c r="AI32" s="151">
        <v>3.2663763559272363</v>
      </c>
      <c r="AJ32" s="151">
        <v>7.3418570382356663</v>
      </c>
      <c r="AK32" s="151">
        <v>8.7402169436859865</v>
      </c>
      <c r="AL32" s="151">
        <v>9.1061252281262597</v>
      </c>
      <c r="AM32" s="151">
        <v>13.16116749565075</v>
      </c>
      <c r="AN32" s="151">
        <v>15.626035927125304</v>
      </c>
    </row>
    <row r="33" spans="2:40" s="152" customFormat="1" ht="17.100000000000001" customHeight="1" x14ac:dyDescent="0.2">
      <c r="B33" s="157" t="s">
        <v>155</v>
      </c>
      <c r="C33" s="151">
        <v>3.8703883742120526</v>
      </c>
      <c r="D33" s="151">
        <v>1.6857289443610535</v>
      </c>
      <c r="E33" s="151">
        <v>0.51018812824148441</v>
      </c>
      <c r="F33" s="151">
        <v>0.29268347002331385</v>
      </c>
      <c r="G33" s="151">
        <v>1.0269369013918617</v>
      </c>
      <c r="H33" s="151">
        <v>1.5399037420762429</v>
      </c>
      <c r="I33" s="151">
        <v>1.8251532678752236</v>
      </c>
      <c r="J33" s="151">
        <v>1.8786646952746455</v>
      </c>
      <c r="K33" s="151">
        <v>1.6989445099837575</v>
      </c>
      <c r="L33" s="151">
        <v>1.5749299519926874</v>
      </c>
      <c r="M33" s="151">
        <v>1.5065087936352972</v>
      </c>
      <c r="N33" s="151">
        <v>1.4937159957649104</v>
      </c>
      <c r="O33" s="151">
        <v>1.5367344176669739</v>
      </c>
      <c r="P33" s="151">
        <v>1.5665077197878574</v>
      </c>
      <c r="Q33" s="151">
        <v>1.5829653509632724</v>
      </c>
      <c r="R33" s="151">
        <v>1.5860449200422622</v>
      </c>
      <c r="S33" s="151">
        <v>1.5756923214278906</v>
      </c>
      <c r="T33" s="151">
        <v>1.5685323608846113</v>
      </c>
      <c r="U33" s="151">
        <v>1.5645763863262108</v>
      </c>
      <c r="V33" s="151">
        <v>1.5638362787310456</v>
      </c>
      <c r="W33" s="151">
        <v>1.5663244584484648</v>
      </c>
      <c r="X33" s="151">
        <v>1.5680456112147745</v>
      </c>
      <c r="Y33" s="151">
        <v>1.5689966842512115</v>
      </c>
      <c r="Z33" s="151">
        <v>1.5691746411134799</v>
      </c>
      <c r="AA33" s="151">
        <v>1.5685764620168019</v>
      </c>
      <c r="AB33" s="151">
        <v>1.5681626742466648</v>
      </c>
      <c r="AC33" s="151">
        <v>1.5679339928117431</v>
      </c>
      <c r="AD33" s="151">
        <v>1.5678911371389548</v>
      </c>
      <c r="AE33" s="151">
        <v>1.5680348311054582</v>
      </c>
      <c r="AF33" s="151">
        <v>1.568134337759286</v>
      </c>
      <c r="AG33" s="151">
        <v>1.5681894846692357</v>
      </c>
      <c r="AH33" s="151">
        <v>1.5682000988258116</v>
      </c>
      <c r="AI33" s="151">
        <v>1.5681660066401593</v>
      </c>
      <c r="AJ33" s="151">
        <v>1.5681419569720356</v>
      </c>
      <c r="AK33" s="151">
        <v>1.5681279889500965</v>
      </c>
      <c r="AL33" s="151">
        <v>1.5681241418610048</v>
      </c>
      <c r="AM33" s="151">
        <v>1.568130455149519</v>
      </c>
      <c r="AN33" s="151">
        <v>1.5681351993136472</v>
      </c>
    </row>
    <row r="34" spans="2:40" s="152" customFormat="1" ht="17.100000000000001" customHeight="1" x14ac:dyDescent="0.2">
      <c r="B34" s="157" t="s">
        <v>154</v>
      </c>
      <c r="C34" s="151">
        <v>7.9732637210011337</v>
      </c>
      <c r="D34" s="151">
        <v>12.736557771902035</v>
      </c>
      <c r="E34" s="151">
        <v>7.6479014302589077</v>
      </c>
      <c r="F34" s="151">
        <v>20.014062501286677</v>
      </c>
      <c r="G34" s="151">
        <v>6.5123908074254055</v>
      </c>
      <c r="H34" s="151">
        <v>-0.85176449902215623</v>
      </c>
      <c r="I34" s="151">
        <v>12.537549391638247</v>
      </c>
      <c r="J34" s="151">
        <v>13.97757579935921</v>
      </c>
      <c r="K34" s="151">
        <v>14.612473713699226</v>
      </c>
      <c r="L34" s="151">
        <v>14.805719673817075</v>
      </c>
      <c r="M34" s="151">
        <v>9.0918731197855642</v>
      </c>
      <c r="N34" s="151">
        <v>9.8561374120526679</v>
      </c>
      <c r="O34" s="151">
        <v>7.1509741091583034</v>
      </c>
      <c r="P34" s="151">
        <v>10.144330412560576</v>
      </c>
      <c r="Q34" s="151">
        <v>8.5707774393079195</v>
      </c>
      <c r="R34" s="151">
        <v>-5.6434075263298915</v>
      </c>
      <c r="S34" s="151">
        <v>-16.170420875220859</v>
      </c>
      <c r="T34" s="151">
        <v>-0.72247433777915537</v>
      </c>
      <c r="U34" s="151">
        <v>4.1371567920218677</v>
      </c>
      <c r="V34" s="151">
        <v>19.524446780230576</v>
      </c>
      <c r="W34" s="151">
        <v>47.8990645297811</v>
      </c>
      <c r="X34" s="151">
        <v>12.727690441770223</v>
      </c>
      <c r="Y34" s="151">
        <v>1.0404954168515834</v>
      </c>
      <c r="Z34" s="151">
        <v>-1.0518545841186833</v>
      </c>
      <c r="AA34" s="151">
        <v>-3.4706507326300762</v>
      </c>
      <c r="AB34" s="151">
        <v>-4.3610972568325135</v>
      </c>
      <c r="AC34" s="151">
        <v>6.0823943278429438</v>
      </c>
      <c r="AD34" s="151">
        <v>1.8300212431558327</v>
      </c>
      <c r="AE34" s="151">
        <v>3.9285733419130775</v>
      </c>
      <c r="AF34" s="151">
        <v>-1.3307179948407799</v>
      </c>
      <c r="AG34" s="151">
        <v>6.0838039665774613</v>
      </c>
      <c r="AH34" s="151">
        <v>12.760451339855571</v>
      </c>
      <c r="AI34" s="151">
        <v>4.0102038763691006</v>
      </c>
      <c r="AJ34" s="151">
        <v>19.835512596466231</v>
      </c>
      <c r="AK34" s="151">
        <v>23.551528775554932</v>
      </c>
      <c r="AL34" s="151">
        <v>17.387074299135552</v>
      </c>
      <c r="AM34" s="151">
        <v>17.92495030411947</v>
      </c>
      <c r="AN34" s="151">
        <v>16.883662742714666</v>
      </c>
    </row>
    <row r="35" spans="2:40" s="152" customFormat="1" ht="17.100000000000001" customHeight="1" x14ac:dyDescent="0.2">
      <c r="B35" s="157" t="s">
        <v>153</v>
      </c>
      <c r="C35" s="151">
        <v>14.995735456624825</v>
      </c>
      <c r="D35" s="151">
        <v>15.106635725084328</v>
      </c>
      <c r="E35" s="151">
        <v>6.6894839090626546</v>
      </c>
      <c r="F35" s="151">
        <v>11.711145936643996</v>
      </c>
      <c r="G35" s="151">
        <v>0.89288489968741835</v>
      </c>
      <c r="H35" s="151">
        <v>0.99470081417154521</v>
      </c>
      <c r="I35" s="151">
        <v>11.050447340861936</v>
      </c>
      <c r="J35" s="151">
        <v>18.38491301724612</v>
      </c>
      <c r="K35" s="151">
        <v>16.851719919621356</v>
      </c>
      <c r="L35" s="151">
        <v>18.125394598897859</v>
      </c>
      <c r="M35" s="151">
        <v>16.409681569128722</v>
      </c>
      <c r="N35" s="151">
        <v>13.82705346290647</v>
      </c>
      <c r="O35" s="151">
        <v>7.1518199765879809</v>
      </c>
      <c r="P35" s="151">
        <v>2.9570130840039788</v>
      </c>
      <c r="Q35" s="151">
        <v>7.5942644367798406</v>
      </c>
      <c r="R35" s="151">
        <v>-4.1040741271468395</v>
      </c>
      <c r="S35" s="151">
        <v>-12.998481979868593</v>
      </c>
      <c r="T35" s="151">
        <v>7.3054525400714221</v>
      </c>
      <c r="U35" s="151">
        <v>7.8096915087520369</v>
      </c>
      <c r="V35" s="151">
        <v>17.01834109196092</v>
      </c>
      <c r="W35" s="151">
        <v>29.478557355144751</v>
      </c>
      <c r="X35" s="151">
        <v>-2.4764360668426133</v>
      </c>
      <c r="Y35" s="151">
        <v>-10.262476859855795</v>
      </c>
      <c r="Z35" s="151">
        <v>-6.5340417856266209</v>
      </c>
      <c r="AA35" s="151">
        <v>2.1906982521872731</v>
      </c>
      <c r="AB35" s="151">
        <v>3.2382828000953934</v>
      </c>
      <c r="AC35" s="151">
        <v>12.651156670772256</v>
      </c>
      <c r="AD35" s="151">
        <v>16.287756923306663</v>
      </c>
      <c r="AE35" s="151">
        <v>6.1774325255681051</v>
      </c>
      <c r="AF35" s="151">
        <v>5.5953333006516059</v>
      </c>
      <c r="AG35" s="151">
        <v>13.298723820009961</v>
      </c>
      <c r="AH35" s="151">
        <v>9.3000019256346498</v>
      </c>
      <c r="AI35" s="151">
        <v>6.8494510239838879</v>
      </c>
      <c r="AJ35" s="151">
        <v>2.8985062213391588</v>
      </c>
      <c r="AK35" s="151">
        <v>10.972522085965707</v>
      </c>
      <c r="AL35" s="151">
        <v>12.491692423929845</v>
      </c>
      <c r="AM35" s="151">
        <v>9.230894810064715</v>
      </c>
      <c r="AN35" s="151">
        <v>22.326886452847084</v>
      </c>
    </row>
    <row r="36" spans="2:40" s="152" customFormat="1" ht="17.100000000000001" customHeight="1" x14ac:dyDescent="0.2">
      <c r="B36" s="157" t="s">
        <v>152</v>
      </c>
      <c r="C36" s="151">
        <v>-19.229176868500542</v>
      </c>
      <c r="D36" s="151">
        <v>2.5459388196047872</v>
      </c>
      <c r="E36" s="151">
        <v>-9.2477907637535601</v>
      </c>
      <c r="F36" s="151">
        <v>-7.7458166163551052</v>
      </c>
      <c r="G36" s="151">
        <v>38.773835480678628</v>
      </c>
      <c r="H36" s="151">
        <v>21.818980523753705</v>
      </c>
      <c r="I36" s="151">
        <v>33.644299666487299</v>
      </c>
      <c r="J36" s="151">
        <v>42.118054983240484</v>
      </c>
      <c r="K36" s="151">
        <v>-9.0335363160875541</v>
      </c>
      <c r="L36" s="151">
        <v>-14.622111194839304</v>
      </c>
      <c r="M36" s="151">
        <v>-14.523095117016648</v>
      </c>
      <c r="N36" s="151">
        <v>-9.5198158505192865</v>
      </c>
      <c r="O36" s="151">
        <v>-8.2627480197142393</v>
      </c>
      <c r="P36" s="151">
        <v>-16.757429441282667</v>
      </c>
      <c r="Q36" s="151">
        <v>-9.8996687260302636</v>
      </c>
      <c r="R36" s="151">
        <v>-62.655208227584893</v>
      </c>
      <c r="S36" s="151">
        <v>-10.64241820431363</v>
      </c>
      <c r="T36" s="151">
        <v>-3.8211137639595605</v>
      </c>
      <c r="U36" s="151">
        <v>24.227142119862588</v>
      </c>
      <c r="V36" s="151">
        <v>152.63790396662199</v>
      </c>
      <c r="W36" s="151">
        <v>8.6334670835155549</v>
      </c>
      <c r="X36" s="151">
        <v>26.360470561348805</v>
      </c>
      <c r="Y36" s="151">
        <v>-10.885729147335399</v>
      </c>
      <c r="Z36" s="151">
        <v>8.390991911016954</v>
      </c>
      <c r="AA36" s="151">
        <v>4.7058690633835942</v>
      </c>
      <c r="AB36" s="151">
        <v>-16.472035356890167</v>
      </c>
      <c r="AC36" s="151">
        <v>11.284235224321272</v>
      </c>
      <c r="AD36" s="151">
        <v>1.416335445614525</v>
      </c>
      <c r="AE36" s="151">
        <v>-7.5843426061002699</v>
      </c>
      <c r="AF36" s="151">
        <v>-3.8947170319657776</v>
      </c>
      <c r="AG36" s="151">
        <v>-9.3320834551005269</v>
      </c>
      <c r="AH36" s="151">
        <v>-15.650591347385435</v>
      </c>
      <c r="AI36" s="151">
        <v>-1.2161876019922913</v>
      </c>
      <c r="AJ36" s="151">
        <v>54.11635409025439</v>
      </c>
      <c r="AK36" s="151">
        <v>6.9340487853734256</v>
      </c>
      <c r="AL36" s="151">
        <v>32.88275463870518</v>
      </c>
      <c r="AM36" s="151">
        <v>54.401098550299245</v>
      </c>
      <c r="AN36" s="151">
        <v>1.3882807502016981</v>
      </c>
    </row>
    <row r="37" spans="2:40" s="152" customFormat="1" ht="17.100000000000001" customHeight="1" x14ac:dyDescent="0.2">
      <c r="B37" s="157" t="s">
        <v>151</v>
      </c>
      <c r="C37" s="151">
        <v>-74.517676188843865</v>
      </c>
      <c r="D37" s="151">
        <v>51.82640260689071</v>
      </c>
      <c r="E37" s="151">
        <v>73.939727330197002</v>
      </c>
      <c r="F37" s="151">
        <v>-3.4003552479487498</v>
      </c>
      <c r="G37" s="151">
        <v>240.0483599624838</v>
      </c>
      <c r="H37" s="151">
        <v>1.5933032007477532</v>
      </c>
      <c r="I37" s="151">
        <v>-61.60637214086475</v>
      </c>
      <c r="J37" s="151">
        <v>-39.69577400745662</v>
      </c>
      <c r="K37" s="151">
        <v>-19.203108407086724</v>
      </c>
      <c r="L37" s="151">
        <v>-21.829409299824786</v>
      </c>
      <c r="M37" s="151">
        <v>29.904298152591146</v>
      </c>
      <c r="N37" s="151">
        <v>48.83195928611854</v>
      </c>
      <c r="O37" s="151">
        <v>-1.0735752932832354</v>
      </c>
      <c r="P37" s="151">
        <v>-14.483160136921869</v>
      </c>
      <c r="Q37" s="151">
        <v>-30.82847332094375</v>
      </c>
      <c r="R37" s="151">
        <v>-17.36079643818146</v>
      </c>
      <c r="S37" s="151">
        <v>-19.969776488758363</v>
      </c>
      <c r="T37" s="151">
        <v>7.8458587196354346</v>
      </c>
      <c r="U37" s="151">
        <v>-12.51155528532858</v>
      </c>
      <c r="V37" s="151">
        <v>-1.3804841523834432</v>
      </c>
      <c r="W37" s="151">
        <v>-14.056333256673014</v>
      </c>
      <c r="X37" s="151">
        <v>1.4273197049003761</v>
      </c>
      <c r="Y37" s="151">
        <v>8.4863899621333552</v>
      </c>
      <c r="Z37" s="151">
        <v>34.341602789063643</v>
      </c>
      <c r="AA37" s="151">
        <v>44.676090733437036</v>
      </c>
      <c r="AB37" s="151">
        <v>-3.3246695030004991</v>
      </c>
      <c r="AC37" s="151">
        <v>29.924664724755612</v>
      </c>
      <c r="AD37" s="151">
        <v>-29.276191059852742</v>
      </c>
      <c r="AE37" s="151">
        <v>-20.722403250170764</v>
      </c>
      <c r="AF37" s="151">
        <v>-37.029977385395362</v>
      </c>
      <c r="AG37" s="151">
        <v>-2.5721613112278718</v>
      </c>
      <c r="AH37" s="151">
        <v>8.0512486835576667</v>
      </c>
      <c r="AI37" s="151">
        <v>-21.619537391691821</v>
      </c>
      <c r="AJ37" s="151">
        <v>90.179832092510992</v>
      </c>
      <c r="AK37" s="151">
        <v>-11.918551455224058</v>
      </c>
      <c r="AL37" s="151">
        <v>-21.925759703301296</v>
      </c>
      <c r="AM37" s="151">
        <v>66.570243651651182</v>
      </c>
      <c r="AN37" s="151">
        <v>102.73311722994424</v>
      </c>
    </row>
    <row r="38" spans="2:40" s="152" customFormat="1" ht="17.100000000000001" customHeight="1" x14ac:dyDescent="0.2">
      <c r="B38" s="157" t="s">
        <v>150</v>
      </c>
      <c r="C38" s="151">
        <v>-12.428697843534497</v>
      </c>
      <c r="D38" s="151">
        <v>-14.682621763076565</v>
      </c>
      <c r="E38" s="151">
        <v>-14.324042807276772</v>
      </c>
      <c r="F38" s="151">
        <v>5.9506128492156307</v>
      </c>
      <c r="G38" s="151">
        <v>27.289614683312703</v>
      </c>
      <c r="H38" s="151">
        <v>18.095187159457016</v>
      </c>
      <c r="I38" s="151">
        <v>27.281354181415839</v>
      </c>
      <c r="J38" s="151">
        <v>-19.07763985768689</v>
      </c>
      <c r="K38" s="151">
        <v>-1.918961430515731</v>
      </c>
      <c r="L38" s="151">
        <v>2.3523991787797627</v>
      </c>
      <c r="M38" s="151">
        <v>5.2094476920900856</v>
      </c>
      <c r="N38" s="151">
        <v>45.422662167153696</v>
      </c>
      <c r="O38" s="151">
        <v>0.15796374491219289</v>
      </c>
      <c r="P38" s="151">
        <v>0.13575060898352032</v>
      </c>
      <c r="Q38" s="151">
        <v>17.168131800113073</v>
      </c>
      <c r="R38" s="151">
        <v>-26.658422261359192</v>
      </c>
      <c r="S38" s="151">
        <v>-6.3134900667849436</v>
      </c>
      <c r="T38" s="151">
        <v>16.813452046208745</v>
      </c>
      <c r="U38" s="151">
        <v>-8.6226258547481329</v>
      </c>
      <c r="V38" s="151">
        <v>19.141836957621994</v>
      </c>
      <c r="W38" s="151">
        <v>3.2607199607010307</v>
      </c>
      <c r="X38" s="151">
        <v>6.9471230552427876</v>
      </c>
      <c r="Y38" s="151">
        <v>18.679252398487712</v>
      </c>
      <c r="Z38" s="151">
        <v>13.68111320485912</v>
      </c>
      <c r="AA38" s="151">
        <v>6.8595155296277799</v>
      </c>
      <c r="AB38" s="151">
        <v>0.53738183316425214</v>
      </c>
      <c r="AC38" s="151">
        <v>-21.845585808250444</v>
      </c>
      <c r="AD38" s="151">
        <v>-7.6538054020574453</v>
      </c>
      <c r="AE38" s="151">
        <v>5.147031727940532</v>
      </c>
      <c r="AF38" s="151">
        <v>-9.93572000354831</v>
      </c>
      <c r="AG38" s="151">
        <v>28.78368664931681</v>
      </c>
      <c r="AH38" s="151">
        <v>15.46485036109766</v>
      </c>
      <c r="AI38" s="151">
        <v>-2.664850164411936</v>
      </c>
      <c r="AJ38" s="151">
        <v>-7.4345370553474899</v>
      </c>
      <c r="AK38" s="151">
        <v>-10.791410149318615</v>
      </c>
      <c r="AL38" s="151">
        <v>-7.90011244145159</v>
      </c>
      <c r="AM38" s="151">
        <v>13.677076425868684</v>
      </c>
      <c r="AN38" s="151">
        <v>7.109135852343873</v>
      </c>
    </row>
    <row r="39" spans="2:40" s="152" customFormat="1" ht="17.100000000000001" customHeight="1" x14ac:dyDescent="0.2">
      <c r="B39" s="165" t="s">
        <v>149</v>
      </c>
      <c r="C39" s="151">
        <v>-9.0869716680000536</v>
      </c>
      <c r="D39" s="151">
        <v>-25.750877853968881</v>
      </c>
      <c r="E39" s="151">
        <v>-18.112307951147688</v>
      </c>
      <c r="F39" s="151">
        <v>-19.595568588832801</v>
      </c>
      <c r="G39" s="151">
        <v>-4.2821384794109125</v>
      </c>
      <c r="H39" s="151">
        <v>7.7810379158872678</v>
      </c>
      <c r="I39" s="151">
        <v>9.5496512242513099</v>
      </c>
      <c r="J39" s="151">
        <v>27.457849600321737</v>
      </c>
      <c r="K39" s="151">
        <v>0.62017187449321387</v>
      </c>
      <c r="L39" s="151">
        <v>-10.683977418114022</v>
      </c>
      <c r="M39" s="151">
        <v>5.6399602181590014</v>
      </c>
      <c r="N39" s="151">
        <v>1.4103601516556541</v>
      </c>
      <c r="O39" s="151">
        <v>6.3896202775448607</v>
      </c>
      <c r="P39" s="151">
        <v>22.464262270276514</v>
      </c>
      <c r="Q39" s="151">
        <v>-0.25448813640900347</v>
      </c>
      <c r="R39" s="151">
        <v>-9.3732873333006506</v>
      </c>
      <c r="S39" s="151">
        <v>3.1315817474683927</v>
      </c>
      <c r="T39" s="151">
        <v>4.9704938748114991</v>
      </c>
      <c r="U39" s="151">
        <v>4.0458295252039145</v>
      </c>
      <c r="V39" s="151">
        <v>9.6989328159852839</v>
      </c>
      <c r="W39" s="151">
        <v>8.5069476984030103</v>
      </c>
      <c r="X39" s="151">
        <v>19.358439136647611</v>
      </c>
      <c r="Y39" s="151">
        <v>11.253836956123875</v>
      </c>
      <c r="Z39" s="151">
        <v>24.582104971398412</v>
      </c>
      <c r="AA39" s="151">
        <v>16.387599361749029</v>
      </c>
      <c r="AB39" s="151">
        <v>4.9135476060808925</v>
      </c>
      <c r="AC39" s="151">
        <v>32.700851693730513</v>
      </c>
      <c r="AD39" s="151">
        <v>38.776992502019624</v>
      </c>
      <c r="AE39" s="151">
        <v>25.587371095712651</v>
      </c>
      <c r="AF39" s="151">
        <v>28.339537804412341</v>
      </c>
      <c r="AG39" s="151">
        <v>5.9971494295542715</v>
      </c>
      <c r="AH39" s="151">
        <v>-6.3675081028842122</v>
      </c>
      <c r="AI39" s="151">
        <v>5.765707387210206</v>
      </c>
      <c r="AJ39" s="151">
        <v>-0.41986802010622881</v>
      </c>
      <c r="AK39" s="151">
        <v>10.628607329378493</v>
      </c>
      <c r="AL39" s="151">
        <v>8.0764804690613978E-2</v>
      </c>
      <c r="AM39" s="151">
        <v>-7.2665129857152451</v>
      </c>
      <c r="AN39" s="151">
        <v>2.8844530974094784</v>
      </c>
    </row>
    <row r="40" spans="2:40" s="152" customFormat="1" ht="17.100000000000001" customHeight="1" x14ac:dyDescent="0.2">
      <c r="B40" s="158" t="s">
        <v>148</v>
      </c>
      <c r="C40" s="151">
        <v>4.6699886529346424</v>
      </c>
      <c r="D40" s="151">
        <v>7.694140636167246</v>
      </c>
      <c r="E40" s="151">
        <v>10.05413900037999</v>
      </c>
      <c r="F40" s="151">
        <v>9.2731682581000285</v>
      </c>
      <c r="G40" s="151">
        <v>10.042050077565534</v>
      </c>
      <c r="H40" s="151">
        <v>8.2379090837165769</v>
      </c>
      <c r="I40" s="151">
        <v>8.9270202623774164</v>
      </c>
      <c r="J40" s="151">
        <v>8.7935381643620367</v>
      </c>
      <c r="K40" s="151">
        <v>9.3089283003309209</v>
      </c>
      <c r="L40" s="151">
        <v>10.052424097356072</v>
      </c>
      <c r="M40" s="151">
        <v>8.7943287226791114</v>
      </c>
      <c r="N40" s="151">
        <v>9.8533739106338114</v>
      </c>
      <c r="O40" s="151">
        <v>9.3801161237447204</v>
      </c>
      <c r="P40" s="151">
        <v>9.7074468823517002</v>
      </c>
      <c r="Q40" s="151">
        <v>10.472358034895324</v>
      </c>
      <c r="R40" s="151">
        <v>8.9698828883511883</v>
      </c>
      <c r="S40" s="151">
        <v>5.8648894441584609</v>
      </c>
      <c r="T40" s="151">
        <v>6.7743757244487224</v>
      </c>
      <c r="U40" s="151">
        <v>9.9108421554766402</v>
      </c>
      <c r="V40" s="151">
        <v>16.167431553164114</v>
      </c>
      <c r="W40" s="151">
        <v>13.487583023365657</v>
      </c>
      <c r="X40" s="151">
        <v>12.340843273717294</v>
      </c>
      <c r="Y40" s="151">
        <v>9.5116343587570373</v>
      </c>
      <c r="Z40" s="151">
        <v>5.1450117510172477</v>
      </c>
      <c r="AA40" s="151">
        <v>14.238614728478026</v>
      </c>
      <c r="AB40" s="151">
        <v>10.955001157003451</v>
      </c>
      <c r="AC40" s="151">
        <v>10.91685727798577</v>
      </c>
      <c r="AD40" s="151">
        <v>5.1615495073986661</v>
      </c>
      <c r="AE40" s="151">
        <v>1.6751048763179899</v>
      </c>
      <c r="AF40" s="151">
        <v>5.8776427177669843</v>
      </c>
      <c r="AG40" s="151">
        <v>6.0033459094807728</v>
      </c>
      <c r="AH40" s="151">
        <v>11.773288442898711</v>
      </c>
      <c r="AI40" s="151">
        <v>10.817479804990349</v>
      </c>
      <c r="AJ40" s="151">
        <v>9.4213245294412431</v>
      </c>
      <c r="AK40" s="151">
        <v>9.0097865862598816</v>
      </c>
      <c r="AL40" s="151">
        <v>7.6100208101015365</v>
      </c>
      <c r="AM40" s="151">
        <v>8.1167618891722082</v>
      </c>
      <c r="AN40" s="151">
        <v>8.1784761000601947</v>
      </c>
    </row>
    <row r="41" spans="2:40" s="152" customFormat="1" ht="17.100000000000001" customHeight="1" x14ac:dyDescent="0.2">
      <c r="B41" s="158" t="s">
        <v>147</v>
      </c>
      <c r="C41" s="151">
        <v>-49.615062795932054</v>
      </c>
      <c r="D41" s="151">
        <v>-72.695731826900456</v>
      </c>
      <c r="E41" s="151">
        <v>-53.7773586048407</v>
      </c>
      <c r="F41" s="151">
        <v>-4.4026608977635773</v>
      </c>
      <c r="G41" s="151">
        <v>-112.3744658726886</v>
      </c>
      <c r="H41" s="151">
        <v>-56.088137111343173</v>
      </c>
      <c r="I41" s="151">
        <v>200.44790112270445</v>
      </c>
      <c r="J41" s="151">
        <v>64.242876865696601</v>
      </c>
      <c r="K41" s="151">
        <v>-1262.1313989073358</v>
      </c>
      <c r="L41" s="151">
        <v>515.47152714399715</v>
      </c>
      <c r="M41" s="151">
        <v>-105.83189893508489</v>
      </c>
      <c r="N41" s="151">
        <v>-47.907638382815499</v>
      </c>
      <c r="O41" s="151">
        <v>-43.56536152981181</v>
      </c>
      <c r="P41" s="151">
        <v>-55.481358634089432</v>
      </c>
      <c r="Q41" s="151">
        <v>-1581.925718194336</v>
      </c>
      <c r="R41" s="151">
        <v>62.247383086160333</v>
      </c>
      <c r="S41" s="151">
        <v>118.83292843589386</v>
      </c>
      <c r="T41" s="151">
        <v>231.16470998737654</v>
      </c>
      <c r="U41" s="151">
        <v>0.33208515250817694</v>
      </c>
      <c r="V41" s="151">
        <v>85.044670256862304</v>
      </c>
      <c r="W41" s="151">
        <v>4.2148482098797846</v>
      </c>
      <c r="X41" s="151">
        <v>3.9284758458278501</v>
      </c>
      <c r="Y41" s="151">
        <v>99.078410088910474</v>
      </c>
      <c r="Z41" s="151">
        <v>-1.899801796103362</v>
      </c>
      <c r="AA41" s="151">
        <v>43.282020287183528</v>
      </c>
      <c r="AB41" s="151">
        <v>-17.131867107054777</v>
      </c>
      <c r="AC41" s="151">
        <v>-23.455210785951721</v>
      </c>
      <c r="AD41" s="151">
        <v>-17.173398507994118</v>
      </c>
      <c r="AE41" s="151">
        <v>-46.450854566616876</v>
      </c>
      <c r="AF41" s="151">
        <v>-25.844609103682327</v>
      </c>
      <c r="AG41" s="151">
        <v>-61.716361069259371</v>
      </c>
      <c r="AH41" s="151">
        <v>-59.397868632918851</v>
      </c>
      <c r="AI41" s="151">
        <v>3.8311569373434828</v>
      </c>
      <c r="AJ41" s="151">
        <v>-3.6094515886005762</v>
      </c>
      <c r="AK41" s="151">
        <v>-225.54325283378068</v>
      </c>
      <c r="AL41" s="151">
        <v>-24.096924943226295</v>
      </c>
      <c r="AM41" s="151">
        <v>-10.574549958655577</v>
      </c>
      <c r="AN41" s="151">
        <v>-26.532332661502988</v>
      </c>
    </row>
    <row r="42" spans="2:40" s="152" customFormat="1" ht="17.100000000000001" customHeight="1" x14ac:dyDescent="0.2">
      <c r="B42" s="164" t="s">
        <v>146</v>
      </c>
      <c r="C42" s="151">
        <v>29.749655997591141</v>
      </c>
      <c r="D42" s="151">
        <v>46.223810306027488</v>
      </c>
      <c r="E42" s="151">
        <v>31.52166228487674</v>
      </c>
      <c r="F42" s="151">
        <v>25.296653774342271</v>
      </c>
      <c r="G42" s="151">
        <v>39.359563974764924</v>
      </c>
      <c r="H42" s="151">
        <v>25.700052143287479</v>
      </c>
      <c r="I42" s="151">
        <v>-11.682999934519046</v>
      </c>
      <c r="J42" s="151">
        <v>-13.768665952892512</v>
      </c>
      <c r="K42" s="151">
        <v>-25.474101549837847</v>
      </c>
      <c r="L42" s="151">
        <v>-21.084123935162314</v>
      </c>
      <c r="M42" s="151">
        <v>66.335283905054567</v>
      </c>
      <c r="N42" s="151">
        <v>23.209420155405635</v>
      </c>
      <c r="O42" s="151">
        <v>24.715357815241369</v>
      </c>
      <c r="P42" s="151">
        <v>24.645147199794405</v>
      </c>
      <c r="Q42" s="151">
        <v>-16.46900838031997</v>
      </c>
      <c r="R42" s="151">
        <v>-27.938370324386263</v>
      </c>
      <c r="S42" s="151">
        <v>-9.8359248943925337</v>
      </c>
      <c r="T42" s="151">
        <v>-18.174824938780244</v>
      </c>
      <c r="U42" s="151">
        <v>-6.2437217314900035</v>
      </c>
      <c r="V42" s="151">
        <v>56.377024894683615</v>
      </c>
      <c r="W42" s="151">
        <v>-15.372345379752295</v>
      </c>
      <c r="X42" s="151">
        <v>-15.011326813647274</v>
      </c>
      <c r="Y42" s="151">
        <v>-19.828259871480334</v>
      </c>
      <c r="Z42" s="151">
        <v>-27.389282692387486</v>
      </c>
      <c r="AA42" s="151">
        <v>-7.5156778657347045</v>
      </c>
      <c r="AB42" s="151">
        <v>-8.4244130927567653</v>
      </c>
      <c r="AC42" s="151">
        <v>1.4894286518835509</v>
      </c>
      <c r="AD42" s="151">
        <v>15.880516779566989</v>
      </c>
      <c r="AE42" s="151">
        <v>59.2522762385737</v>
      </c>
      <c r="AF42" s="151">
        <v>61.272362559438889</v>
      </c>
      <c r="AG42" s="151">
        <v>47.223463932613939</v>
      </c>
      <c r="AH42" s="151">
        <v>25.440026687061422</v>
      </c>
      <c r="AI42" s="151">
        <v>-13.337256399430286</v>
      </c>
      <c r="AJ42" s="151">
        <v>32.390790405320359</v>
      </c>
      <c r="AK42" s="151">
        <v>26.156769961174597</v>
      </c>
      <c r="AL42" s="151">
        <v>51.235184311476644</v>
      </c>
      <c r="AM42" s="151">
        <v>69.638169834704982</v>
      </c>
      <c r="AN42" s="151">
        <v>27.746787909483352</v>
      </c>
    </row>
    <row r="43" spans="2:40" s="152" customFormat="1" ht="17.100000000000001" customHeight="1" x14ac:dyDescent="0.2">
      <c r="B43" s="157" t="s">
        <v>144</v>
      </c>
      <c r="C43" s="151">
        <v>4.7398522218630834</v>
      </c>
      <c r="D43" s="151">
        <v>31.463725931410735</v>
      </c>
      <c r="E43" s="151">
        <v>9.6399999723450804</v>
      </c>
      <c r="F43" s="151">
        <v>15.834095987378483</v>
      </c>
      <c r="G43" s="151">
        <v>55.572593478087562</v>
      </c>
      <c r="H43" s="151">
        <v>26.292805477653623</v>
      </c>
      <c r="I43" s="151">
        <v>-9.6897404782471774</v>
      </c>
      <c r="J43" s="151">
        <v>-18.247589504615537</v>
      </c>
      <c r="K43" s="151">
        <v>-32.428942247967527</v>
      </c>
      <c r="L43" s="151">
        <v>-24.096398519607853</v>
      </c>
      <c r="M43" s="151">
        <v>87.495036360253593</v>
      </c>
      <c r="N43" s="151">
        <v>29.939475745161339</v>
      </c>
      <c r="O43" s="151">
        <v>30.171252329823762</v>
      </c>
      <c r="P43" s="151">
        <v>27.58915918285647</v>
      </c>
      <c r="Q43" s="151">
        <v>-21.312652273113031</v>
      </c>
      <c r="R43" s="151">
        <v>-6.8039065014879103</v>
      </c>
      <c r="S43" s="151">
        <v>18.142886020454839</v>
      </c>
      <c r="T43" s="151">
        <v>-1.3811079359036027</v>
      </c>
      <c r="U43" s="151">
        <v>1.9700936777887312</v>
      </c>
      <c r="V43" s="151">
        <v>36.655199930243533</v>
      </c>
      <c r="W43" s="151">
        <v>-28.233029708131152</v>
      </c>
      <c r="X43" s="151">
        <v>-21.964347837017538</v>
      </c>
      <c r="Y43" s="151">
        <v>-23.490072803263441</v>
      </c>
      <c r="Z43" s="151">
        <v>-30.854251117012854</v>
      </c>
      <c r="AA43" s="151">
        <v>-7.7609627921593205E-2</v>
      </c>
      <c r="AB43" s="151">
        <v>-7.9815327655003765</v>
      </c>
      <c r="AC43" s="151">
        <v>5.1436938956300748</v>
      </c>
      <c r="AD43" s="151">
        <v>17.639652518753856</v>
      </c>
      <c r="AE43" s="151">
        <v>57.74092615178521</v>
      </c>
      <c r="AF43" s="151">
        <v>65.890069830056348</v>
      </c>
      <c r="AG43" s="151">
        <v>39.504027227366414</v>
      </c>
      <c r="AH43" s="151">
        <v>26.35264162193991</v>
      </c>
      <c r="AI43" s="151">
        <v>-15.193335425403298</v>
      </c>
      <c r="AJ43" s="151">
        <v>35.383874931648386</v>
      </c>
      <c r="AK43" s="151">
        <v>36.826929514598561</v>
      </c>
      <c r="AL43" s="151">
        <v>66.233707231034302</v>
      </c>
      <c r="AM43" s="151">
        <v>84.405002666523643</v>
      </c>
      <c r="AN43" s="151">
        <v>44.073709850291934</v>
      </c>
    </row>
    <row r="44" spans="2:40" s="152" customFormat="1" ht="17.100000000000001" customHeight="1" x14ac:dyDescent="0.2">
      <c r="B44" s="157" t="s">
        <v>143</v>
      </c>
      <c r="C44" s="151">
        <v>101.24049546905489</v>
      </c>
      <c r="D44" s="151">
        <v>85.458421326714486</v>
      </c>
      <c r="E44" s="151">
        <v>101.49883630177885</v>
      </c>
      <c r="F44" s="151">
        <v>49.450092104105536</v>
      </c>
      <c r="G44" s="151">
        <v>15.238255408268287</v>
      </c>
      <c r="H44" s="151">
        <v>24.583153161362901</v>
      </c>
      <c r="I44" s="151">
        <v>-15.151457661911516</v>
      </c>
      <c r="J44" s="151">
        <v>-4.9076341649115669</v>
      </c>
      <c r="K44" s="151">
        <v>-11.505263092248097</v>
      </c>
      <c r="L44" s="151">
        <v>-15.330337484374368</v>
      </c>
      <c r="M44" s="151">
        <v>27.145230084036953</v>
      </c>
      <c r="N44" s="151">
        <v>11.762617104546958</v>
      </c>
      <c r="O44" s="151">
        <v>16.348115466562362</v>
      </c>
      <c r="P44" s="151">
        <v>19.603954378246623</v>
      </c>
      <c r="Q44" s="151">
        <v>-3.2400032081760566</v>
      </c>
      <c r="R44" s="151">
        <v>-69.731158016854437</v>
      </c>
      <c r="S44" s="151">
        <v>-57.842571030909106</v>
      </c>
      <c r="T44" s="151">
        <v>-48.851536509035199</v>
      </c>
      <c r="U44" s="151">
        <v>-24.487256157224092</v>
      </c>
      <c r="V44" s="151">
        <v>176.45382573920898</v>
      </c>
      <c r="W44" s="151">
        <v>46.467678701315783</v>
      </c>
      <c r="X44" s="151">
        <v>9.4772215815870133</v>
      </c>
      <c r="Y44" s="151">
        <v>-8.8454677604039134</v>
      </c>
      <c r="Z44" s="151">
        <v>-16.960950729419256</v>
      </c>
      <c r="AA44" s="151">
        <v>-25.040295208704912</v>
      </c>
      <c r="AB44" s="151">
        <v>-9.5362604967249567</v>
      </c>
      <c r="AC44" s="151">
        <v>-7.7099013477540108</v>
      </c>
      <c r="AD44" s="151">
        <v>11.47194379964307</v>
      </c>
      <c r="AE44" s="151">
        <v>63.99893933585512</v>
      </c>
      <c r="AF44" s="151">
        <v>49.480411881767104</v>
      </c>
      <c r="AG44" s="151">
        <v>69.363068606803751</v>
      </c>
      <c r="AH44" s="151">
        <v>23.026376024787297</v>
      </c>
      <c r="AI44" s="151">
        <v>-7.7303521060211438</v>
      </c>
      <c r="AJ44" s="151">
        <v>23.908476477631524</v>
      </c>
      <c r="AK44" s="151">
        <v>0.94965186721225336</v>
      </c>
      <c r="AL44" s="151">
        <v>10.495146544923317</v>
      </c>
      <c r="AM44" s="151">
        <v>28.638047000757783</v>
      </c>
      <c r="AN44" s="151">
        <v>-22.808384905305743</v>
      </c>
    </row>
    <row r="45" spans="2:40" s="152" customFormat="1" ht="17.100000000000001" customHeight="1" x14ac:dyDescent="0.2">
      <c r="B45" s="164" t="s">
        <v>145</v>
      </c>
      <c r="C45" s="151">
        <v>-4.277700671749896</v>
      </c>
      <c r="D45" s="151">
        <v>-8.9967915179068427</v>
      </c>
      <c r="E45" s="151">
        <v>8.9931417339739426</v>
      </c>
      <c r="F45" s="151">
        <v>17.524293054690233</v>
      </c>
      <c r="G45" s="151">
        <v>5.116602028303352</v>
      </c>
      <c r="H45" s="151">
        <v>14.305104430228255</v>
      </c>
      <c r="I45" s="151">
        <v>12.077093897403945</v>
      </c>
      <c r="J45" s="151">
        <v>2.8380418394372331</v>
      </c>
      <c r="K45" s="151">
        <v>7.3802457905778995</v>
      </c>
      <c r="L45" s="151">
        <v>7.6337810112403037</v>
      </c>
      <c r="M45" s="151">
        <v>14.640478962275161</v>
      </c>
      <c r="N45" s="151">
        <v>-0.96918301764706838</v>
      </c>
      <c r="O45" s="151">
        <v>5.083002339547904</v>
      </c>
      <c r="P45" s="151">
        <v>0.12214965697212588</v>
      </c>
      <c r="Q45" s="151">
        <v>7.4426439486011686</v>
      </c>
      <c r="R45" s="151">
        <v>-11.809682187223803</v>
      </c>
      <c r="S45" s="151">
        <v>10.032389633928362</v>
      </c>
      <c r="T45" s="151">
        <v>15.75645418460352</v>
      </c>
      <c r="U45" s="151">
        <v>-4.8583468030621191</v>
      </c>
      <c r="V45" s="151">
        <v>65.809158050114775</v>
      </c>
      <c r="W45" s="151">
        <v>-9.3571195200960808</v>
      </c>
      <c r="X45" s="151">
        <v>-7.6376623400895234</v>
      </c>
      <c r="Y45" s="151">
        <v>6.5893568222529009</v>
      </c>
      <c r="Z45" s="151">
        <v>-18.029905338392016</v>
      </c>
      <c r="AA45" s="151">
        <v>10.420076947649882</v>
      </c>
      <c r="AB45" s="151">
        <v>-12.238923057752704</v>
      </c>
      <c r="AC45" s="151">
        <v>-8.8613964579974827</v>
      </c>
      <c r="AD45" s="151">
        <v>1.355276523779958</v>
      </c>
      <c r="AE45" s="151">
        <v>10.823094964874258</v>
      </c>
      <c r="AF45" s="151">
        <v>25.236415161867811</v>
      </c>
      <c r="AG45" s="151">
        <v>9.2572164156344385</v>
      </c>
      <c r="AH45" s="151">
        <v>-5.0258570101574307</v>
      </c>
      <c r="AI45" s="151">
        <v>-9.5364853727032397</v>
      </c>
      <c r="AJ45" s="151">
        <v>23.573184284727656</v>
      </c>
      <c r="AK45" s="151">
        <v>-4.5799369716647442</v>
      </c>
      <c r="AL45" s="151">
        <v>39.670135496553918</v>
      </c>
      <c r="AM45" s="151">
        <v>49.256534590497992</v>
      </c>
      <c r="AN45" s="151">
        <v>17.376560242983551</v>
      </c>
    </row>
    <row r="46" spans="2:40" s="152" customFormat="1" ht="17.100000000000001" customHeight="1" x14ac:dyDescent="0.2">
      <c r="B46" s="157" t="s">
        <v>144</v>
      </c>
      <c r="C46" s="151">
        <v>-24.911344543887527</v>
      </c>
      <c r="D46" s="151">
        <v>-31.309957417590407</v>
      </c>
      <c r="E46" s="151">
        <v>-12.653457455931083</v>
      </c>
      <c r="F46" s="151">
        <v>-2.2993321266082001</v>
      </c>
      <c r="G46" s="151">
        <v>0.84059549685822077</v>
      </c>
      <c r="H46" s="151">
        <v>12.779203876421796</v>
      </c>
      <c r="I46" s="151">
        <v>13.493563971744415</v>
      </c>
      <c r="J46" s="151">
        <v>3.1135217890947642</v>
      </c>
      <c r="K46" s="151">
        <v>1.5189937457241731</v>
      </c>
      <c r="L46" s="151">
        <v>4.5708012465744963</v>
      </c>
      <c r="M46" s="151">
        <v>8.6589771142234326</v>
      </c>
      <c r="N46" s="151">
        <v>-6.1015226885215217</v>
      </c>
      <c r="O46" s="151">
        <v>5.5030388608787506</v>
      </c>
      <c r="P46" s="151">
        <v>0.86427758907898777</v>
      </c>
      <c r="Q46" s="151">
        <v>1.8768625437970421E-2</v>
      </c>
      <c r="R46" s="151">
        <v>-7.0336739932735926</v>
      </c>
      <c r="S46" s="151">
        <v>22.967971973899502</v>
      </c>
      <c r="T46" s="151">
        <v>22.95273810234475</v>
      </c>
      <c r="U46" s="151">
        <v>11.837876198893227</v>
      </c>
      <c r="V46" s="151">
        <v>84.014595143994697</v>
      </c>
      <c r="W46" s="151">
        <v>-12.780591267896479</v>
      </c>
      <c r="X46" s="151">
        <v>-5.3711207323048349</v>
      </c>
      <c r="Y46" s="151">
        <v>6.3151346172212186</v>
      </c>
      <c r="Z46" s="151">
        <v>-22.00993763611082</v>
      </c>
      <c r="AA46" s="151">
        <v>12.072979478502299</v>
      </c>
      <c r="AB46" s="151">
        <v>-16.26174002826183</v>
      </c>
      <c r="AC46" s="151">
        <v>-12.983600775833381</v>
      </c>
      <c r="AD46" s="151">
        <v>-1.3314796407376206</v>
      </c>
      <c r="AE46" s="151">
        <v>7.2721111884360701</v>
      </c>
      <c r="AF46" s="151">
        <v>18.384926951369309</v>
      </c>
      <c r="AG46" s="151">
        <v>1.7724399440675054</v>
      </c>
      <c r="AH46" s="151">
        <v>-12.484943148202277</v>
      </c>
      <c r="AI46" s="151">
        <v>-10.743821260466335</v>
      </c>
      <c r="AJ46" s="151">
        <v>29.176602076586011</v>
      </c>
      <c r="AK46" s="151">
        <v>-2.8930547869254308</v>
      </c>
      <c r="AL46" s="151">
        <v>54.393574256986035</v>
      </c>
      <c r="AM46" s="151">
        <v>50.858334001901738</v>
      </c>
      <c r="AN46" s="151">
        <v>20.952305979164308</v>
      </c>
    </row>
    <row r="47" spans="2:40" s="152" customFormat="1" ht="17.100000000000001" customHeight="1" x14ac:dyDescent="0.2">
      <c r="B47" s="157" t="s">
        <v>143</v>
      </c>
      <c r="C47" s="151">
        <v>123.59909399295672</v>
      </c>
      <c r="D47" s="151">
        <v>144.06835047897687</v>
      </c>
      <c r="E47" s="151">
        <v>113.82487044880878</v>
      </c>
      <c r="F47" s="151">
        <v>88.442612919367903</v>
      </c>
      <c r="G47" s="151">
        <v>14.015955557164217</v>
      </c>
      <c r="H47" s="151">
        <v>17.251042783196091</v>
      </c>
      <c r="I47" s="151">
        <v>9.2749013306088415</v>
      </c>
      <c r="J47" s="151">
        <v>2.327085525060224</v>
      </c>
      <c r="K47" s="151">
        <v>18.169222788797491</v>
      </c>
      <c r="L47" s="151">
        <v>13.321706024300561</v>
      </c>
      <c r="M47" s="151">
        <v>26.930471676304556</v>
      </c>
      <c r="N47" s="151">
        <v>8.6233694292054963</v>
      </c>
      <c r="O47" s="151">
        <v>4.4187702570413601</v>
      </c>
      <c r="P47" s="151">
        <v>-1.1495537769100395</v>
      </c>
      <c r="Q47" s="151">
        <v>20.500496863962514</v>
      </c>
      <c r="R47" s="151">
        <v>-19.52616038920948</v>
      </c>
      <c r="S47" s="151">
        <v>-10.6359302624913</v>
      </c>
      <c r="T47" s="151">
        <v>3.1737466038070483</v>
      </c>
      <c r="U47" s="151">
        <v>-29.233761058077324</v>
      </c>
      <c r="V47" s="151">
        <v>31.828942779042379</v>
      </c>
      <c r="W47" s="151">
        <v>-1.8302392117380051</v>
      </c>
      <c r="X47" s="151">
        <v>-12.360451019171903</v>
      </c>
      <c r="Y47" s="151">
        <v>7.2220587881621112</v>
      </c>
      <c r="Z47" s="151">
        <v>-7.6605176239450623</v>
      </c>
      <c r="AA47" s="151">
        <v>7.1913530222745825</v>
      </c>
      <c r="AB47" s="151">
        <v>-3.1880879290098751</v>
      </c>
      <c r="AC47" s="151">
        <v>0.56915372768213679</v>
      </c>
      <c r="AD47" s="151">
        <v>7.2674422947671236</v>
      </c>
      <c r="AE47" s="151">
        <v>18.075357551224268</v>
      </c>
      <c r="AF47" s="151">
        <v>38.569739069770257</v>
      </c>
      <c r="AG47" s="151">
        <v>24.072933081707994</v>
      </c>
      <c r="AH47" s="151">
        <v>10.071977523337615</v>
      </c>
      <c r="AI47" s="151">
        <v>-7.2963178277450584</v>
      </c>
      <c r="AJ47" s="151">
        <v>14.257075934525542</v>
      </c>
      <c r="AK47" s="151">
        <v>-7.3188719247141654</v>
      </c>
      <c r="AL47" s="151">
        <v>15.975812547080892</v>
      </c>
      <c r="AM47" s="151">
        <v>46.394981381480548</v>
      </c>
      <c r="AN47" s="151">
        <v>10.655327929434467</v>
      </c>
    </row>
    <row r="48" spans="2:40" s="152" customFormat="1" ht="17.100000000000001" customHeight="1" x14ac:dyDescent="0.2">
      <c r="B48" s="164" t="s">
        <v>142</v>
      </c>
      <c r="C48" s="151">
        <v>-38.455850115059654</v>
      </c>
      <c r="D48" s="151">
        <v>-153.75167008385552</v>
      </c>
      <c r="E48" s="151">
        <v>-90.672250488285002</v>
      </c>
      <c r="F48" s="151">
        <v>-115.13646153160639</v>
      </c>
      <c r="G48" s="151">
        <v>-116.33125188246609</v>
      </c>
      <c r="H48" s="151">
        <v>15.759626558633656</v>
      </c>
      <c r="I48" s="151">
        <v>74.334357009187428</v>
      </c>
      <c r="J48" s="151">
        <v>345.32305635914406</v>
      </c>
      <c r="K48" s="151">
        <v>-607.80117352220259</v>
      </c>
      <c r="L48" s="151">
        <v>-36.74845069429373</v>
      </c>
      <c r="M48" s="151">
        <v>184.95386312824581</v>
      </c>
      <c r="N48" s="151">
        <v>218.57127680267246</v>
      </c>
      <c r="O48" s="151">
        <v>-85.018945225091827</v>
      </c>
      <c r="P48" s="151">
        <v>152.26747076592605</v>
      </c>
      <c r="Q48" s="151">
        <v>-49.786176258742131</v>
      </c>
      <c r="R48" s="151">
        <v>-76.809449507908354</v>
      </c>
      <c r="S48" s="151">
        <v>664.37462167445199</v>
      </c>
      <c r="T48" s="151">
        <v>-41.241149061617641</v>
      </c>
      <c r="U48" s="151">
        <v>107.70573925339772</v>
      </c>
      <c r="V48" s="151">
        <v>8.0830602312876199</v>
      </c>
      <c r="W48" s="151">
        <v>-54.630176326804261</v>
      </c>
      <c r="X48" s="151">
        <v>-59.950092179187699</v>
      </c>
      <c r="Y48" s="151">
        <v>-51.207446794168142</v>
      </c>
      <c r="Z48" s="151">
        <v>98.630276369149357</v>
      </c>
      <c r="AA48" s="151">
        <v>42.245068531857498</v>
      </c>
      <c r="AB48" s="151">
        <v>140.39129680147636</v>
      </c>
      <c r="AC48" s="151">
        <v>-15.763341934023412</v>
      </c>
      <c r="AD48" s="151">
        <v>-66.841315783534867</v>
      </c>
      <c r="AE48" s="151">
        <v>-95.439969188672308</v>
      </c>
      <c r="AF48" s="151">
        <v>-16.963666330593373</v>
      </c>
      <c r="AG48" s="151">
        <v>-2.7529965823484326</v>
      </c>
      <c r="AH48" s="151">
        <v>162.04599556092174</v>
      </c>
      <c r="AI48" s="151">
        <v>-464.75542831967556</v>
      </c>
      <c r="AJ48" s="151">
        <v>15.59329798870559</v>
      </c>
      <c r="AK48" s="151">
        <v>544.34301388850463</v>
      </c>
      <c r="AL48" s="151">
        <v>124.54075270323889</v>
      </c>
      <c r="AM48" s="151">
        <v>1764.0164525338491</v>
      </c>
      <c r="AN48" s="151">
        <v>301.32095353657678</v>
      </c>
    </row>
    <row r="49" spans="1:40" s="152" customFormat="1" ht="17.100000000000001" customHeight="1" x14ac:dyDescent="0.2">
      <c r="B49" s="158" t="s">
        <v>141</v>
      </c>
      <c r="C49" s="151">
        <v>-0.26122599349414077</v>
      </c>
      <c r="D49" s="151">
        <v>0.50756396361286704</v>
      </c>
      <c r="E49" s="151">
        <v>6.7464548438344707</v>
      </c>
      <c r="F49" s="151">
        <v>6.1811726662669653</v>
      </c>
      <c r="G49" s="151">
        <v>7.680899838187849</v>
      </c>
      <c r="H49" s="151">
        <v>6.4828574170991526</v>
      </c>
      <c r="I49" s="151">
        <v>5.3854548516732992</v>
      </c>
      <c r="J49" s="151">
        <v>5.5652552026089541</v>
      </c>
      <c r="K49" s="151">
        <v>5.5745218290362164</v>
      </c>
      <c r="L49" s="151">
        <v>5.7290793971742193</v>
      </c>
      <c r="M49" s="151">
        <v>7.6659988765000353</v>
      </c>
      <c r="N49" s="151">
        <v>6.8851035225670376</v>
      </c>
      <c r="O49" s="151">
        <v>7.5602194202029516</v>
      </c>
      <c r="P49" s="151">
        <v>8.3709675178608389</v>
      </c>
      <c r="Q49" s="151">
        <v>1.1985158163788201</v>
      </c>
      <c r="R49" s="151">
        <v>-5.5516964673997364</v>
      </c>
      <c r="S49" s="151">
        <v>-0.40309239402191999</v>
      </c>
      <c r="T49" s="151">
        <v>3.249573690178309E-2</v>
      </c>
      <c r="U49" s="151">
        <v>2.8043450225728961</v>
      </c>
      <c r="V49" s="151">
        <v>13.009860656729334</v>
      </c>
      <c r="W49" s="151">
        <v>2.3547240160596283</v>
      </c>
      <c r="X49" s="151">
        <v>4.7648514346921855</v>
      </c>
      <c r="Y49" s="151">
        <v>5.6227188954377949</v>
      </c>
      <c r="Z49" s="151">
        <v>5.8119710085462239</v>
      </c>
      <c r="AA49" s="151">
        <v>8.7705981453641826</v>
      </c>
      <c r="AB49" s="151">
        <v>4.3131379207032028</v>
      </c>
      <c r="AC49" s="151">
        <v>2.2299522773682856</v>
      </c>
      <c r="AD49" s="151">
        <v>5.747511173271791</v>
      </c>
      <c r="AE49" s="151">
        <v>5.9910475756172588</v>
      </c>
      <c r="AF49" s="151">
        <v>5.7824205334947809</v>
      </c>
      <c r="AG49" s="151">
        <v>6.8245767569395266</v>
      </c>
      <c r="AH49" s="151">
        <v>5.6851103803429615</v>
      </c>
      <c r="AI49" s="151">
        <v>6.1794064037050678</v>
      </c>
      <c r="AJ49" s="151">
        <v>5.3634777034342385</v>
      </c>
      <c r="AK49" s="151">
        <v>8.3943389671000901</v>
      </c>
      <c r="AL49" s="151">
        <v>5.5263248039615354</v>
      </c>
      <c r="AM49" s="151">
        <v>4.845791895303142</v>
      </c>
      <c r="AN49" s="151">
        <v>8.4581777204844943</v>
      </c>
    </row>
    <row r="50" spans="1:40" s="154" customFormat="1" ht="17.100000000000001" customHeight="1" x14ac:dyDescent="0.2">
      <c r="A50" s="167"/>
      <c r="B50" s="168"/>
      <c r="C50" s="167"/>
      <c r="D50" s="167"/>
      <c r="E50" s="167"/>
      <c r="F50" s="167"/>
      <c r="G50" s="167"/>
      <c r="H50" s="167"/>
      <c r="I50" s="167"/>
      <c r="J50" s="167"/>
      <c r="K50" s="167"/>
      <c r="L50" s="167"/>
      <c r="M50" s="167"/>
      <c r="N50" s="167"/>
      <c r="O50" s="167"/>
      <c r="P50" s="167"/>
      <c r="Q50" s="167"/>
      <c r="R50" s="167"/>
      <c r="S50" s="167"/>
      <c r="T50" s="167"/>
      <c r="U50" s="167"/>
      <c r="V50" s="167"/>
      <c r="W50" s="167"/>
      <c r="X50" s="167"/>
      <c r="Y50" s="167"/>
      <c r="Z50" s="167"/>
    </row>
    <row r="51" spans="1:40" ht="17.100000000000001" customHeight="1" x14ac:dyDescent="0.2">
      <c r="A51" s="154"/>
      <c r="B51" s="155"/>
    </row>
    <row r="52" spans="1:40" ht="17.100000000000001" customHeight="1" x14ac:dyDescent="0.2">
      <c r="A52" s="154"/>
      <c r="B52" s="154"/>
    </row>
    <row r="53" spans="1:40" ht="17.100000000000001" customHeight="1" x14ac:dyDescent="0.2">
      <c r="A53" s="154"/>
      <c r="B53" s="154"/>
    </row>
    <row r="54" spans="1:40" ht="17.100000000000001" customHeight="1" x14ac:dyDescent="0.2">
      <c r="A54" s="154"/>
      <c r="B54" s="154"/>
    </row>
    <row r="55" spans="1:40" ht="17.100000000000001" customHeight="1" x14ac:dyDescent="0.2">
      <c r="A55" s="152"/>
      <c r="B55" s="153"/>
    </row>
    <row r="56" spans="1:40" ht="17.100000000000001" customHeight="1" x14ac:dyDescent="0.2">
      <c r="A56" s="152"/>
      <c r="B56" s="152"/>
    </row>
    <row r="57" spans="1:40" ht="17.100000000000001" customHeight="1" x14ac:dyDescent="0.2">
      <c r="A57" s="152"/>
      <c r="B57" s="152"/>
    </row>
    <row r="58" spans="1:40" ht="17.100000000000001" customHeight="1" x14ac:dyDescent="0.2">
      <c r="A58" s="152"/>
      <c r="B58" s="152"/>
    </row>
    <row r="60" spans="1:40" ht="17.100000000000001" customHeight="1" x14ac:dyDescent="0.2">
      <c r="A60" s="163"/>
      <c r="B60" s="163"/>
    </row>
    <row r="61" spans="1:40" ht="17.100000000000001" customHeight="1" x14ac:dyDescent="0.2">
      <c r="A61" s="161"/>
      <c r="B61" s="160"/>
    </row>
    <row r="62" spans="1:40" ht="17.100000000000001" customHeight="1" x14ac:dyDescent="0.2">
      <c r="A62" s="159"/>
      <c r="B62" s="158"/>
    </row>
    <row r="63" spans="1:40" ht="17.100000000000001" customHeight="1" x14ac:dyDescent="0.2">
      <c r="A63" s="156"/>
      <c r="B63" s="157"/>
    </row>
    <row r="64" spans="1:40" ht="17.100000000000001" customHeight="1" x14ac:dyDescent="0.2">
      <c r="A64" s="156"/>
      <c r="B64" s="157"/>
    </row>
    <row r="65" spans="1:2" ht="17.100000000000001" customHeight="1" x14ac:dyDescent="0.2">
      <c r="A65" s="156"/>
      <c r="B65" s="157"/>
    </row>
    <row r="66" spans="1:2" ht="17.100000000000001" customHeight="1" x14ac:dyDescent="0.2">
      <c r="A66" s="159"/>
      <c r="B66" s="158"/>
    </row>
    <row r="67" spans="1:2" ht="17.100000000000001" customHeight="1" x14ac:dyDescent="0.2">
      <c r="A67" s="156"/>
      <c r="B67" s="157"/>
    </row>
    <row r="68" spans="1:2" ht="17.100000000000001" customHeight="1" x14ac:dyDescent="0.2">
      <c r="A68" s="156"/>
      <c r="B68" s="157"/>
    </row>
    <row r="69" spans="1:2" ht="17.100000000000001" customHeight="1" x14ac:dyDescent="0.2">
      <c r="A69" s="156"/>
      <c r="B69" s="157"/>
    </row>
    <row r="70" spans="1:2" ht="17.100000000000001" customHeight="1" x14ac:dyDescent="0.2">
      <c r="A70" s="152"/>
      <c r="B70" s="153"/>
    </row>
    <row r="71" spans="1:2" ht="17.100000000000001" customHeight="1" x14ac:dyDescent="0.2">
      <c r="A71" s="152"/>
      <c r="B71" s="152"/>
    </row>
    <row r="72" spans="1:2" ht="17.100000000000001" customHeight="1" x14ac:dyDescent="0.2">
      <c r="A72" s="152"/>
      <c r="B72" s="152"/>
    </row>
    <row r="73" spans="1:2" ht="17.100000000000001" customHeight="1" x14ac:dyDescent="0.2">
      <c r="A73" s="152"/>
      <c r="B73" s="152"/>
    </row>
    <row r="74" spans="1:2" ht="17.100000000000001" customHeight="1" x14ac:dyDescent="0.2">
      <c r="A74" s="154"/>
      <c r="B74" s="155"/>
    </row>
    <row r="75" spans="1:2" ht="17.100000000000001" customHeight="1" x14ac:dyDescent="0.2">
      <c r="A75" s="154"/>
      <c r="B75" s="154"/>
    </row>
    <row r="76" spans="1:2" ht="17.100000000000001" customHeight="1" x14ac:dyDescent="0.2">
      <c r="A76" s="154"/>
      <c r="B76" s="154"/>
    </row>
    <row r="77" spans="1:2" ht="17.100000000000001" customHeight="1" x14ac:dyDescent="0.2">
      <c r="A77" s="154"/>
      <c r="B77" s="154"/>
    </row>
    <row r="78" spans="1:2" ht="17.100000000000001" customHeight="1" x14ac:dyDescent="0.2">
      <c r="A78" s="154"/>
      <c r="B78" s="155"/>
    </row>
    <row r="79" spans="1:2" ht="17.100000000000001" customHeight="1" x14ac:dyDescent="0.2">
      <c r="A79" s="154"/>
      <c r="B79" s="154"/>
    </row>
    <row r="80" spans="1:2" ht="17.100000000000001" customHeight="1" x14ac:dyDescent="0.2">
      <c r="A80" s="154"/>
      <c r="B80" s="154"/>
    </row>
    <row r="81" spans="1:2" ht="17.100000000000001" customHeight="1" x14ac:dyDescent="0.2">
      <c r="A81" s="154"/>
      <c r="B81" s="154"/>
    </row>
    <row r="82" spans="1:2" ht="17.100000000000001" customHeight="1" x14ac:dyDescent="0.2">
      <c r="A82" s="152"/>
      <c r="B82" s="153"/>
    </row>
    <row r="83" spans="1:2" ht="17.100000000000001" customHeight="1" x14ac:dyDescent="0.2">
      <c r="A83" s="152"/>
      <c r="B83" s="152"/>
    </row>
    <row r="84" spans="1:2" ht="17.100000000000001" customHeight="1" x14ac:dyDescent="0.2">
      <c r="A84" s="152"/>
      <c r="B84" s="152"/>
    </row>
    <row r="85" spans="1:2" ht="17.100000000000001" customHeight="1" x14ac:dyDescent="0.2">
      <c r="A85" s="152"/>
      <c r="B85" s="152"/>
    </row>
    <row r="87" spans="1:2" s="156" customFormat="1" ht="17.100000000000001" customHeight="1" x14ac:dyDescent="0.2">
      <c r="A87" s="163"/>
      <c r="B87" s="163"/>
    </row>
    <row r="88" spans="1:2" ht="17.100000000000001" customHeight="1" x14ac:dyDescent="0.2">
      <c r="A88" s="161"/>
      <c r="B88" s="160"/>
    </row>
    <row r="89" spans="1:2" ht="17.100000000000001" customHeight="1" x14ac:dyDescent="0.2">
      <c r="A89" s="159"/>
      <c r="B89" s="158"/>
    </row>
    <row r="90" spans="1:2" ht="17.100000000000001" customHeight="1" x14ac:dyDescent="0.2">
      <c r="A90" s="156"/>
      <c r="B90" s="157"/>
    </row>
    <row r="91" spans="1:2" ht="17.100000000000001" customHeight="1" x14ac:dyDescent="0.2">
      <c r="A91" s="156"/>
      <c r="B91" s="157"/>
    </row>
    <row r="92" spans="1:2" ht="17.100000000000001" customHeight="1" x14ac:dyDescent="0.2">
      <c r="A92" s="156"/>
      <c r="B92" s="157"/>
    </row>
    <row r="93" spans="1:2" ht="17.100000000000001" customHeight="1" x14ac:dyDescent="0.2">
      <c r="A93" s="159"/>
      <c r="B93" s="158"/>
    </row>
    <row r="94" spans="1:2" ht="17.100000000000001" customHeight="1" x14ac:dyDescent="0.2">
      <c r="A94" s="156"/>
      <c r="B94" s="157"/>
    </row>
    <row r="95" spans="1:2" ht="17.100000000000001" customHeight="1" x14ac:dyDescent="0.2">
      <c r="A95" s="156"/>
      <c r="B95" s="157"/>
    </row>
    <row r="96" spans="1:2" ht="17.100000000000001" customHeight="1" x14ac:dyDescent="0.2">
      <c r="A96" s="156"/>
      <c r="B96" s="157"/>
    </row>
    <row r="97" spans="1:2" ht="17.100000000000001" customHeight="1" x14ac:dyDescent="0.2">
      <c r="A97" s="152"/>
      <c r="B97" s="153"/>
    </row>
    <row r="98" spans="1:2" ht="17.100000000000001" customHeight="1" x14ac:dyDescent="0.2">
      <c r="A98" s="152"/>
      <c r="B98" s="152"/>
    </row>
    <row r="99" spans="1:2" ht="17.100000000000001" customHeight="1" x14ac:dyDescent="0.2">
      <c r="A99" s="152"/>
      <c r="B99" s="152"/>
    </row>
    <row r="100" spans="1:2" ht="17.100000000000001" customHeight="1" x14ac:dyDescent="0.2">
      <c r="A100" s="152"/>
      <c r="B100" s="152"/>
    </row>
    <row r="101" spans="1:2" ht="17.100000000000001" customHeight="1" x14ac:dyDescent="0.2">
      <c r="A101" s="154"/>
      <c r="B101" s="155"/>
    </row>
    <row r="102" spans="1:2" ht="17.100000000000001" customHeight="1" x14ac:dyDescent="0.2">
      <c r="A102" s="154"/>
      <c r="B102" s="154"/>
    </row>
    <row r="103" spans="1:2" ht="17.100000000000001" customHeight="1" x14ac:dyDescent="0.2">
      <c r="A103" s="154"/>
      <c r="B103" s="154"/>
    </row>
    <row r="104" spans="1:2" ht="17.100000000000001" customHeight="1" x14ac:dyDescent="0.2">
      <c r="A104" s="154"/>
      <c r="B104" s="154"/>
    </row>
    <row r="105" spans="1:2" ht="17.100000000000001" customHeight="1" x14ac:dyDescent="0.2">
      <c r="A105" s="154"/>
      <c r="B105" s="155"/>
    </row>
    <row r="106" spans="1:2" ht="17.100000000000001" customHeight="1" x14ac:dyDescent="0.2">
      <c r="A106" s="154"/>
      <c r="B106" s="154"/>
    </row>
    <row r="107" spans="1:2" ht="17.100000000000001" customHeight="1" x14ac:dyDescent="0.2">
      <c r="A107" s="154"/>
      <c r="B107" s="154"/>
    </row>
    <row r="108" spans="1:2" ht="17.100000000000001" customHeight="1" x14ac:dyDescent="0.2">
      <c r="A108" s="154"/>
      <c r="B108" s="154"/>
    </row>
    <row r="109" spans="1:2" ht="17.100000000000001" customHeight="1" x14ac:dyDescent="0.2">
      <c r="A109" s="152"/>
      <c r="B109" s="153"/>
    </row>
    <row r="110" spans="1:2" ht="17.100000000000001" customHeight="1" x14ac:dyDescent="0.2">
      <c r="A110" s="152"/>
      <c r="B110" s="152"/>
    </row>
    <row r="111" spans="1:2" ht="17.100000000000001" customHeight="1" x14ac:dyDescent="0.2">
      <c r="A111" s="152"/>
      <c r="B111" s="152"/>
    </row>
    <row r="112" spans="1:2" ht="17.100000000000001" customHeight="1" x14ac:dyDescent="0.2">
      <c r="A112" s="152"/>
      <c r="B112" s="152"/>
    </row>
    <row r="114" spans="1:2" ht="17.100000000000001" customHeight="1" x14ac:dyDescent="0.2">
      <c r="A114" s="163"/>
      <c r="B114" s="163"/>
    </row>
    <row r="115" spans="1:2" ht="17.100000000000001" customHeight="1" x14ac:dyDescent="0.2">
      <c r="A115" s="161"/>
      <c r="B115" s="160"/>
    </row>
    <row r="116" spans="1:2" ht="17.100000000000001" customHeight="1" x14ac:dyDescent="0.2">
      <c r="A116" s="159"/>
      <c r="B116" s="158"/>
    </row>
    <row r="117" spans="1:2" ht="17.100000000000001" customHeight="1" x14ac:dyDescent="0.2">
      <c r="A117" s="156"/>
      <c r="B117" s="157"/>
    </row>
    <row r="118" spans="1:2" ht="17.100000000000001" customHeight="1" x14ac:dyDescent="0.2">
      <c r="A118" s="156"/>
      <c r="B118" s="157"/>
    </row>
    <row r="119" spans="1:2" ht="17.100000000000001" customHeight="1" x14ac:dyDescent="0.2">
      <c r="A119" s="156"/>
      <c r="B119" s="157"/>
    </row>
    <row r="120" spans="1:2" ht="17.100000000000001" customHeight="1" x14ac:dyDescent="0.2">
      <c r="A120" s="159"/>
      <c r="B120" s="158"/>
    </row>
    <row r="121" spans="1:2" ht="17.100000000000001" customHeight="1" x14ac:dyDescent="0.2">
      <c r="A121" s="156"/>
      <c r="B121" s="157"/>
    </row>
    <row r="122" spans="1:2" ht="17.100000000000001" customHeight="1" x14ac:dyDescent="0.2">
      <c r="A122" s="156"/>
      <c r="B122" s="157"/>
    </row>
    <row r="123" spans="1:2" ht="17.100000000000001" customHeight="1" x14ac:dyDescent="0.2">
      <c r="A123" s="156"/>
      <c r="B123" s="157"/>
    </row>
    <row r="124" spans="1:2" ht="17.100000000000001" customHeight="1" x14ac:dyDescent="0.2">
      <c r="A124" s="152"/>
      <c r="B124" s="153"/>
    </row>
    <row r="125" spans="1:2" ht="17.100000000000001" customHeight="1" x14ac:dyDescent="0.2">
      <c r="A125" s="152"/>
      <c r="B125" s="152"/>
    </row>
    <row r="126" spans="1:2" ht="17.100000000000001" customHeight="1" x14ac:dyDescent="0.2">
      <c r="A126" s="152"/>
      <c r="B126" s="152"/>
    </row>
    <row r="127" spans="1:2" ht="17.100000000000001" customHeight="1" x14ac:dyDescent="0.2">
      <c r="A127" s="152"/>
      <c r="B127" s="152"/>
    </row>
    <row r="128" spans="1:2" ht="17.100000000000001" customHeight="1" x14ac:dyDescent="0.2">
      <c r="A128" s="154"/>
      <c r="B128" s="155"/>
    </row>
    <row r="129" spans="1:2" ht="17.100000000000001" customHeight="1" x14ac:dyDescent="0.2">
      <c r="A129" s="154"/>
      <c r="B129" s="154"/>
    </row>
    <row r="130" spans="1:2" ht="17.100000000000001" customHeight="1" x14ac:dyDescent="0.2">
      <c r="A130" s="154"/>
      <c r="B130" s="154"/>
    </row>
    <row r="131" spans="1:2" ht="17.100000000000001" customHeight="1" x14ac:dyDescent="0.2">
      <c r="A131" s="154"/>
      <c r="B131" s="154"/>
    </row>
    <row r="132" spans="1:2" ht="17.100000000000001" customHeight="1" x14ac:dyDescent="0.2">
      <c r="A132" s="154"/>
      <c r="B132" s="155"/>
    </row>
    <row r="133" spans="1:2" ht="17.100000000000001" customHeight="1" x14ac:dyDescent="0.2">
      <c r="A133" s="154"/>
      <c r="B133" s="154"/>
    </row>
    <row r="134" spans="1:2" ht="17.100000000000001" customHeight="1" x14ac:dyDescent="0.2">
      <c r="A134" s="154"/>
      <c r="B134" s="154"/>
    </row>
    <row r="135" spans="1:2" ht="17.100000000000001" customHeight="1" x14ac:dyDescent="0.2">
      <c r="A135" s="154"/>
      <c r="B135" s="154"/>
    </row>
    <row r="136" spans="1:2" ht="17.100000000000001" customHeight="1" x14ac:dyDescent="0.2">
      <c r="A136" s="152"/>
      <c r="B136" s="153"/>
    </row>
    <row r="137" spans="1:2" ht="17.100000000000001" customHeight="1" x14ac:dyDescent="0.2">
      <c r="A137" s="152"/>
      <c r="B137" s="152"/>
    </row>
    <row r="138" spans="1:2" ht="17.100000000000001" customHeight="1" x14ac:dyDescent="0.2">
      <c r="A138" s="152"/>
      <c r="B138" s="152"/>
    </row>
    <row r="139" spans="1:2" ht="17.100000000000001" customHeight="1" x14ac:dyDescent="0.2">
      <c r="A139" s="152"/>
      <c r="B139" s="152"/>
    </row>
    <row r="141" spans="1:2" ht="17.100000000000001" customHeight="1" x14ac:dyDescent="0.2">
      <c r="A141" s="163"/>
      <c r="B141" s="163"/>
    </row>
    <row r="142" spans="1:2" ht="17.100000000000001" customHeight="1" x14ac:dyDescent="0.2">
      <c r="A142" s="161"/>
      <c r="B142" s="160"/>
    </row>
    <row r="143" spans="1:2" ht="17.100000000000001" customHeight="1" x14ac:dyDescent="0.2">
      <c r="A143" s="159"/>
      <c r="B143" s="158"/>
    </row>
    <row r="144" spans="1:2" ht="17.100000000000001" customHeight="1" x14ac:dyDescent="0.2">
      <c r="A144" s="156"/>
      <c r="B144" s="157"/>
    </row>
    <row r="145" spans="1:2" ht="17.100000000000001" customHeight="1" x14ac:dyDescent="0.2">
      <c r="A145" s="156"/>
      <c r="B145" s="157"/>
    </row>
    <row r="146" spans="1:2" ht="17.100000000000001" customHeight="1" x14ac:dyDescent="0.2">
      <c r="A146" s="156"/>
      <c r="B146" s="157"/>
    </row>
    <row r="147" spans="1:2" ht="17.100000000000001" customHeight="1" x14ac:dyDescent="0.2">
      <c r="A147" s="159"/>
      <c r="B147" s="158"/>
    </row>
    <row r="148" spans="1:2" ht="17.100000000000001" customHeight="1" x14ac:dyDescent="0.2">
      <c r="A148" s="156"/>
      <c r="B148" s="157"/>
    </row>
    <row r="149" spans="1:2" ht="17.100000000000001" customHeight="1" x14ac:dyDescent="0.2">
      <c r="A149" s="156"/>
      <c r="B149" s="157"/>
    </row>
    <row r="150" spans="1:2" ht="17.100000000000001" customHeight="1" x14ac:dyDescent="0.2">
      <c r="A150" s="156"/>
      <c r="B150" s="157"/>
    </row>
    <row r="151" spans="1:2" ht="17.100000000000001" customHeight="1" x14ac:dyDescent="0.2">
      <c r="A151" s="152"/>
      <c r="B151" s="153"/>
    </row>
    <row r="152" spans="1:2" ht="17.100000000000001" customHeight="1" x14ac:dyDescent="0.2">
      <c r="A152" s="152"/>
      <c r="B152" s="152"/>
    </row>
    <row r="153" spans="1:2" ht="17.100000000000001" customHeight="1" x14ac:dyDescent="0.2">
      <c r="A153" s="152"/>
      <c r="B153" s="152"/>
    </row>
    <row r="154" spans="1:2" ht="17.100000000000001" customHeight="1" x14ac:dyDescent="0.2">
      <c r="A154" s="152"/>
      <c r="B154" s="152"/>
    </row>
    <row r="155" spans="1:2" ht="17.100000000000001" customHeight="1" x14ac:dyDescent="0.2">
      <c r="A155" s="154"/>
      <c r="B155" s="155"/>
    </row>
    <row r="156" spans="1:2" ht="17.100000000000001" customHeight="1" x14ac:dyDescent="0.2">
      <c r="A156" s="154"/>
      <c r="B156" s="154"/>
    </row>
    <row r="157" spans="1:2" ht="17.100000000000001" customHeight="1" x14ac:dyDescent="0.2">
      <c r="A157" s="154"/>
      <c r="B157" s="154"/>
    </row>
    <row r="158" spans="1:2" ht="17.100000000000001" customHeight="1" x14ac:dyDescent="0.2">
      <c r="A158" s="154"/>
      <c r="B158" s="154"/>
    </row>
    <row r="159" spans="1:2" ht="17.100000000000001" customHeight="1" x14ac:dyDescent="0.2">
      <c r="A159" s="154"/>
      <c r="B159" s="155"/>
    </row>
    <row r="160" spans="1:2" ht="17.100000000000001" customHeight="1" x14ac:dyDescent="0.2">
      <c r="A160" s="154"/>
      <c r="B160" s="154"/>
    </row>
    <row r="161" spans="1:2" ht="17.100000000000001" customHeight="1" x14ac:dyDescent="0.2">
      <c r="A161" s="154"/>
      <c r="B161" s="154"/>
    </row>
    <row r="162" spans="1:2" ht="17.100000000000001" customHeight="1" x14ac:dyDescent="0.2">
      <c r="A162" s="154"/>
      <c r="B162" s="154"/>
    </row>
    <row r="163" spans="1:2" ht="17.100000000000001" customHeight="1" x14ac:dyDescent="0.2">
      <c r="A163" s="152"/>
      <c r="B163" s="153"/>
    </row>
    <row r="164" spans="1:2" ht="17.100000000000001" customHeight="1" x14ac:dyDescent="0.2">
      <c r="A164" s="152"/>
      <c r="B164" s="152"/>
    </row>
    <row r="165" spans="1:2" ht="17.100000000000001" customHeight="1" x14ac:dyDescent="0.2">
      <c r="A165" s="152"/>
      <c r="B165" s="152"/>
    </row>
    <row r="166" spans="1:2" ht="17.100000000000001" customHeight="1" x14ac:dyDescent="0.2">
      <c r="A166" s="152"/>
      <c r="B166" s="152"/>
    </row>
  </sheetData>
  <mergeCells count="18">
    <mergeCell ref="W2:Z2"/>
    <mergeCell ref="G26:J26"/>
    <mergeCell ref="K26:N26"/>
    <mergeCell ref="O26:R26"/>
    <mergeCell ref="S26:V26"/>
    <mergeCell ref="W26:Z26"/>
    <mergeCell ref="C2:F2"/>
    <mergeCell ref="G2:J2"/>
    <mergeCell ref="K2:N2"/>
    <mergeCell ref="O2:R2"/>
    <mergeCell ref="S2:V2"/>
    <mergeCell ref="AM2:AN2"/>
    <mergeCell ref="AA26:AD26"/>
    <mergeCell ref="AE2:AH2"/>
    <mergeCell ref="AE26:AH26"/>
    <mergeCell ref="AA2:AD2"/>
    <mergeCell ref="AI2:AL2"/>
    <mergeCell ref="AI26:AL26"/>
  </mergeCells>
  <phoneticPr fontId="29" type="noConversion"/>
  <conditionalFormatting sqref="A1:XFD1048576">
    <cfRule type="cellIs" dxfId="1" priority="1" operator="lessThan">
      <formula>0</formula>
    </cfRule>
  </conditionalFormatting>
  <printOptions horizontalCentered="1" gridLines="1" gridLinesSet="0"/>
  <pageMargins left="0" right="0" top="0.78740157480314965" bottom="0.59055118110236227" header="0.51181102362204722" footer="0.31496062992125984"/>
  <pageSetup paperSize="9" scale="54" orientation="landscape" blackAndWhite="1" r:id="rId1"/>
  <headerFooter alignWithMargins="0">
    <oddHeader>&amp;L&amp;F&amp;C&amp;A&amp;R&amp;D</oddHeader>
    <oddFooter>Page &amp;P of &amp;N</oddFooter>
  </headerFooter>
  <rowBreaks count="1" manualBreakCount="1">
    <brk id="25" max="16383" man="1"/>
  </rowBreaks>
  <colBreaks count="1" manualBreakCount="1">
    <brk id="13" max="49"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pageSetUpPr autoPageBreaks="0"/>
  </sheetPr>
  <dimension ref="A1:HN166"/>
  <sheetViews>
    <sheetView view="pageBreakPreview" zoomScale="96" zoomScaleNormal="100" zoomScaleSheetLayoutView="96" workbookViewId="0">
      <pane xSplit="3" ySplit="2" topLeftCell="U22" activePane="bottomRight" state="frozen"/>
      <selection activeCell="BS41" sqref="BS41"/>
      <selection pane="topRight" activeCell="BS41" sqref="BS41"/>
      <selection pane="bottomLeft" activeCell="BS41" sqref="BS41"/>
      <selection pane="bottomRight" activeCell="X38" sqref="X38"/>
    </sheetView>
  </sheetViews>
  <sheetFormatPr defaultRowHeight="17.100000000000001" customHeight="1" x14ac:dyDescent="0.25"/>
  <cols>
    <col min="1" max="1" width="6.28515625" style="182" customWidth="1"/>
    <col min="2" max="2" width="41.28515625" style="182" customWidth="1"/>
    <col min="3" max="3" width="7.140625" style="182" customWidth="1"/>
    <col min="4" max="9" width="9.7109375" customWidth="1"/>
    <col min="10" max="14" width="9.7109375" style="182" customWidth="1"/>
    <col min="15" max="15" width="10.42578125" style="182" customWidth="1"/>
    <col min="16" max="16" width="9.7109375" style="182" bestFit="1" customWidth="1"/>
    <col min="17" max="17" width="8.42578125" style="182" customWidth="1"/>
    <col min="18" max="21" width="9.7109375" style="182" bestFit="1" customWidth="1"/>
    <col min="22" max="22" width="10.42578125" style="182" bestFit="1" customWidth="1"/>
    <col min="23" max="26" width="9.7109375" style="182" bestFit="1" customWidth="1"/>
    <col min="27" max="27" width="9.140625" style="182"/>
    <col min="28" max="28" width="10.7109375" style="182" bestFit="1" customWidth="1"/>
    <col min="29" max="31" width="9.7109375" style="182" bestFit="1" customWidth="1"/>
    <col min="32" max="222" width="9.140625" style="182"/>
    <col min="223" max="223" width="6.28515625" customWidth="1"/>
    <col min="224" max="224" width="41.28515625" customWidth="1"/>
    <col min="225" max="225" width="7.140625" customWidth="1"/>
    <col min="226" max="239" width="9.28515625" customWidth="1"/>
    <col min="240" max="247" width="9.7109375" customWidth="1"/>
    <col min="248" max="248" width="9.85546875" customWidth="1"/>
    <col min="249" max="250" width="9.7109375" customWidth="1"/>
    <col min="251" max="251" width="10.42578125" customWidth="1"/>
    <col min="252" max="270" width="9.7109375" customWidth="1"/>
    <col min="271" max="271" width="10.42578125" customWidth="1"/>
    <col min="272" max="272" width="9.7109375" bestFit="1" customWidth="1"/>
    <col min="273" max="273" width="8.42578125" customWidth="1"/>
    <col min="274" max="277" width="9.7109375" bestFit="1" customWidth="1"/>
    <col min="278" max="278" width="10.42578125" bestFit="1" customWidth="1"/>
    <col min="279" max="282" width="9.7109375" bestFit="1" customWidth="1"/>
    <col min="284" max="284" width="10.7109375" bestFit="1" customWidth="1"/>
    <col min="285" max="287" width="9.7109375" bestFit="1" customWidth="1"/>
    <col min="479" max="479" width="6.28515625" customWidth="1"/>
    <col min="480" max="480" width="41.28515625" customWidth="1"/>
    <col min="481" max="481" width="7.140625" customWidth="1"/>
    <col min="482" max="495" width="9.28515625" customWidth="1"/>
    <col min="496" max="503" width="9.7109375" customWidth="1"/>
    <col min="504" max="504" width="9.85546875" customWidth="1"/>
    <col min="505" max="506" width="9.7109375" customWidth="1"/>
    <col min="507" max="507" width="10.42578125" customWidth="1"/>
    <col min="508" max="526" width="9.7109375" customWidth="1"/>
    <col min="527" max="527" width="10.42578125" customWidth="1"/>
    <col min="528" max="528" width="9.7109375" bestFit="1" customWidth="1"/>
    <col min="529" max="529" width="8.42578125" customWidth="1"/>
    <col min="530" max="533" width="9.7109375" bestFit="1" customWidth="1"/>
    <col min="534" max="534" width="10.42578125" bestFit="1" customWidth="1"/>
    <col min="535" max="538" width="9.7109375" bestFit="1" customWidth="1"/>
    <col min="540" max="540" width="10.7109375" bestFit="1" customWidth="1"/>
    <col min="541" max="543" width="9.7109375" bestFit="1" customWidth="1"/>
    <col min="735" max="735" width="6.28515625" customWidth="1"/>
    <col min="736" max="736" width="41.28515625" customWidth="1"/>
    <col min="737" max="737" width="7.140625" customWidth="1"/>
    <col min="738" max="751" width="9.28515625" customWidth="1"/>
    <col min="752" max="759" width="9.7109375" customWidth="1"/>
    <col min="760" max="760" width="9.85546875" customWidth="1"/>
    <col min="761" max="762" width="9.7109375" customWidth="1"/>
    <col min="763" max="763" width="10.42578125" customWidth="1"/>
    <col min="764" max="782" width="9.7109375" customWidth="1"/>
    <col min="783" max="783" width="10.42578125" customWidth="1"/>
    <col min="784" max="784" width="9.7109375" bestFit="1" customWidth="1"/>
    <col min="785" max="785" width="8.42578125" customWidth="1"/>
    <col min="786" max="789" width="9.7109375" bestFit="1" customWidth="1"/>
    <col min="790" max="790" width="10.42578125" bestFit="1" customWidth="1"/>
    <col min="791" max="794" width="9.7109375" bestFit="1" customWidth="1"/>
    <col min="796" max="796" width="10.7109375" bestFit="1" customWidth="1"/>
    <col min="797" max="799" width="9.7109375" bestFit="1" customWidth="1"/>
    <col min="991" max="991" width="6.28515625" customWidth="1"/>
    <col min="992" max="992" width="41.28515625" customWidth="1"/>
    <col min="993" max="993" width="7.140625" customWidth="1"/>
    <col min="994" max="1007" width="9.28515625" customWidth="1"/>
    <col min="1008" max="1015" width="9.7109375" customWidth="1"/>
    <col min="1016" max="1016" width="9.85546875" customWidth="1"/>
    <col min="1017" max="1018" width="9.7109375" customWidth="1"/>
    <col min="1019" max="1019" width="10.42578125" customWidth="1"/>
    <col min="1020" max="1038" width="9.7109375" customWidth="1"/>
    <col min="1039" max="1039" width="10.42578125" customWidth="1"/>
    <col min="1040" max="1040" width="9.7109375" bestFit="1" customWidth="1"/>
    <col min="1041" max="1041" width="8.42578125" customWidth="1"/>
    <col min="1042" max="1045" width="9.7109375" bestFit="1" customWidth="1"/>
    <col min="1046" max="1046" width="10.42578125" bestFit="1" customWidth="1"/>
    <col min="1047" max="1050" width="9.7109375" bestFit="1" customWidth="1"/>
    <col min="1052" max="1052" width="10.7109375" bestFit="1" customWidth="1"/>
    <col min="1053" max="1055" width="9.7109375" bestFit="1" customWidth="1"/>
    <col min="1247" max="1247" width="6.28515625" customWidth="1"/>
    <col min="1248" max="1248" width="41.28515625" customWidth="1"/>
    <col min="1249" max="1249" width="7.140625" customWidth="1"/>
    <col min="1250" max="1263" width="9.28515625" customWidth="1"/>
    <col min="1264" max="1271" width="9.7109375" customWidth="1"/>
    <col min="1272" max="1272" width="9.85546875" customWidth="1"/>
    <col min="1273" max="1274" width="9.7109375" customWidth="1"/>
    <col min="1275" max="1275" width="10.42578125" customWidth="1"/>
    <col min="1276" max="1294" width="9.7109375" customWidth="1"/>
    <col min="1295" max="1295" width="10.42578125" customWidth="1"/>
    <col min="1296" max="1296" width="9.7109375" bestFit="1" customWidth="1"/>
    <col min="1297" max="1297" width="8.42578125" customWidth="1"/>
    <col min="1298" max="1301" width="9.7109375" bestFit="1" customWidth="1"/>
    <col min="1302" max="1302" width="10.42578125" bestFit="1" customWidth="1"/>
    <col min="1303" max="1306" width="9.7109375" bestFit="1" customWidth="1"/>
    <col min="1308" max="1308" width="10.7109375" bestFit="1" customWidth="1"/>
    <col min="1309" max="1311" width="9.7109375" bestFit="1" customWidth="1"/>
    <col min="1503" max="1503" width="6.28515625" customWidth="1"/>
    <col min="1504" max="1504" width="41.28515625" customWidth="1"/>
    <col min="1505" max="1505" width="7.140625" customWidth="1"/>
    <col min="1506" max="1519" width="9.28515625" customWidth="1"/>
    <col min="1520" max="1527" width="9.7109375" customWidth="1"/>
    <col min="1528" max="1528" width="9.85546875" customWidth="1"/>
    <col min="1529" max="1530" width="9.7109375" customWidth="1"/>
    <col min="1531" max="1531" width="10.42578125" customWidth="1"/>
    <col min="1532" max="1550" width="9.7109375" customWidth="1"/>
    <col min="1551" max="1551" width="10.42578125" customWidth="1"/>
    <col min="1552" max="1552" width="9.7109375" bestFit="1" customWidth="1"/>
    <col min="1553" max="1553" width="8.42578125" customWidth="1"/>
    <col min="1554" max="1557" width="9.7109375" bestFit="1" customWidth="1"/>
    <col min="1558" max="1558" width="10.42578125" bestFit="1" customWidth="1"/>
    <col min="1559" max="1562" width="9.7109375" bestFit="1" customWidth="1"/>
    <col min="1564" max="1564" width="10.7109375" bestFit="1" customWidth="1"/>
    <col min="1565" max="1567" width="9.7109375" bestFit="1" customWidth="1"/>
    <col min="1759" max="1759" width="6.28515625" customWidth="1"/>
    <col min="1760" max="1760" width="41.28515625" customWidth="1"/>
    <col min="1761" max="1761" width="7.140625" customWidth="1"/>
    <col min="1762" max="1775" width="9.28515625" customWidth="1"/>
    <col min="1776" max="1783" width="9.7109375" customWidth="1"/>
    <col min="1784" max="1784" width="9.85546875" customWidth="1"/>
    <col min="1785" max="1786" width="9.7109375" customWidth="1"/>
    <col min="1787" max="1787" width="10.42578125" customWidth="1"/>
    <col min="1788" max="1806" width="9.7109375" customWidth="1"/>
    <col min="1807" max="1807" width="10.42578125" customWidth="1"/>
    <col min="1808" max="1808" width="9.7109375" bestFit="1" customWidth="1"/>
    <col min="1809" max="1809" width="8.42578125" customWidth="1"/>
    <col min="1810" max="1813" width="9.7109375" bestFit="1" customWidth="1"/>
    <col min="1814" max="1814" width="10.42578125" bestFit="1" customWidth="1"/>
    <col min="1815" max="1818" width="9.7109375" bestFit="1" customWidth="1"/>
    <col min="1820" max="1820" width="10.7109375" bestFit="1" customWidth="1"/>
    <col min="1821" max="1823" width="9.7109375" bestFit="1" customWidth="1"/>
    <col min="2015" max="2015" width="6.28515625" customWidth="1"/>
    <col min="2016" max="2016" width="41.28515625" customWidth="1"/>
    <col min="2017" max="2017" width="7.140625" customWidth="1"/>
    <col min="2018" max="2031" width="9.28515625" customWidth="1"/>
    <col min="2032" max="2039" width="9.7109375" customWidth="1"/>
    <col min="2040" max="2040" width="9.85546875" customWidth="1"/>
    <col min="2041" max="2042" width="9.7109375" customWidth="1"/>
    <col min="2043" max="2043" width="10.42578125" customWidth="1"/>
    <col min="2044" max="2062" width="9.7109375" customWidth="1"/>
    <col min="2063" max="2063" width="10.42578125" customWidth="1"/>
    <col min="2064" max="2064" width="9.7109375" bestFit="1" customWidth="1"/>
    <col min="2065" max="2065" width="8.42578125" customWidth="1"/>
    <col min="2066" max="2069" width="9.7109375" bestFit="1" customWidth="1"/>
    <col min="2070" max="2070" width="10.42578125" bestFit="1" customWidth="1"/>
    <col min="2071" max="2074" width="9.7109375" bestFit="1" customWidth="1"/>
    <col min="2076" max="2076" width="10.7109375" bestFit="1" customWidth="1"/>
    <col min="2077" max="2079" width="9.7109375" bestFit="1" customWidth="1"/>
    <col min="2271" max="2271" width="6.28515625" customWidth="1"/>
    <col min="2272" max="2272" width="41.28515625" customWidth="1"/>
    <col min="2273" max="2273" width="7.140625" customWidth="1"/>
    <col min="2274" max="2287" width="9.28515625" customWidth="1"/>
    <col min="2288" max="2295" width="9.7109375" customWidth="1"/>
    <col min="2296" max="2296" width="9.85546875" customWidth="1"/>
    <col min="2297" max="2298" width="9.7109375" customWidth="1"/>
    <col min="2299" max="2299" width="10.42578125" customWidth="1"/>
    <col min="2300" max="2318" width="9.7109375" customWidth="1"/>
    <col min="2319" max="2319" width="10.42578125" customWidth="1"/>
    <col min="2320" max="2320" width="9.7109375" bestFit="1" customWidth="1"/>
    <col min="2321" max="2321" width="8.42578125" customWidth="1"/>
    <col min="2322" max="2325" width="9.7109375" bestFit="1" customWidth="1"/>
    <col min="2326" max="2326" width="10.42578125" bestFit="1" customWidth="1"/>
    <col min="2327" max="2330" width="9.7109375" bestFit="1" customWidth="1"/>
    <col min="2332" max="2332" width="10.7109375" bestFit="1" customWidth="1"/>
    <col min="2333" max="2335" width="9.7109375" bestFit="1" customWidth="1"/>
    <col min="2527" max="2527" width="6.28515625" customWidth="1"/>
    <col min="2528" max="2528" width="41.28515625" customWidth="1"/>
    <col min="2529" max="2529" width="7.140625" customWidth="1"/>
    <col min="2530" max="2543" width="9.28515625" customWidth="1"/>
    <col min="2544" max="2551" width="9.7109375" customWidth="1"/>
    <col min="2552" max="2552" width="9.85546875" customWidth="1"/>
    <col min="2553" max="2554" width="9.7109375" customWidth="1"/>
    <col min="2555" max="2555" width="10.42578125" customWidth="1"/>
    <col min="2556" max="2574" width="9.7109375" customWidth="1"/>
    <col min="2575" max="2575" width="10.42578125" customWidth="1"/>
    <col min="2576" max="2576" width="9.7109375" bestFit="1" customWidth="1"/>
    <col min="2577" max="2577" width="8.42578125" customWidth="1"/>
    <col min="2578" max="2581" width="9.7109375" bestFit="1" customWidth="1"/>
    <col min="2582" max="2582" width="10.42578125" bestFit="1" customWidth="1"/>
    <col min="2583" max="2586" width="9.7109375" bestFit="1" customWidth="1"/>
    <col min="2588" max="2588" width="10.7109375" bestFit="1" customWidth="1"/>
    <col min="2589" max="2591" width="9.7109375" bestFit="1" customWidth="1"/>
    <col min="2783" max="2783" width="6.28515625" customWidth="1"/>
    <col min="2784" max="2784" width="41.28515625" customWidth="1"/>
    <col min="2785" max="2785" width="7.140625" customWidth="1"/>
    <col min="2786" max="2799" width="9.28515625" customWidth="1"/>
    <col min="2800" max="2807" width="9.7109375" customWidth="1"/>
    <col min="2808" max="2808" width="9.85546875" customWidth="1"/>
    <col min="2809" max="2810" width="9.7109375" customWidth="1"/>
    <col min="2811" max="2811" width="10.42578125" customWidth="1"/>
    <col min="2812" max="2830" width="9.7109375" customWidth="1"/>
    <col min="2831" max="2831" width="10.42578125" customWidth="1"/>
    <col min="2832" max="2832" width="9.7109375" bestFit="1" customWidth="1"/>
    <col min="2833" max="2833" width="8.42578125" customWidth="1"/>
    <col min="2834" max="2837" width="9.7109375" bestFit="1" customWidth="1"/>
    <col min="2838" max="2838" width="10.42578125" bestFit="1" customWidth="1"/>
    <col min="2839" max="2842" width="9.7109375" bestFit="1" customWidth="1"/>
    <col min="2844" max="2844" width="10.7109375" bestFit="1" customWidth="1"/>
    <col min="2845" max="2847" width="9.7109375" bestFit="1" customWidth="1"/>
    <col min="3039" max="3039" width="6.28515625" customWidth="1"/>
    <col min="3040" max="3040" width="41.28515625" customWidth="1"/>
    <col min="3041" max="3041" width="7.140625" customWidth="1"/>
    <col min="3042" max="3055" width="9.28515625" customWidth="1"/>
    <col min="3056" max="3063" width="9.7109375" customWidth="1"/>
    <col min="3064" max="3064" width="9.85546875" customWidth="1"/>
    <col min="3065" max="3066" width="9.7109375" customWidth="1"/>
    <col min="3067" max="3067" width="10.42578125" customWidth="1"/>
    <col min="3068" max="3086" width="9.7109375" customWidth="1"/>
    <col min="3087" max="3087" width="10.42578125" customWidth="1"/>
    <col min="3088" max="3088" width="9.7109375" bestFit="1" customWidth="1"/>
    <col min="3089" max="3089" width="8.42578125" customWidth="1"/>
    <col min="3090" max="3093" width="9.7109375" bestFit="1" customWidth="1"/>
    <col min="3094" max="3094" width="10.42578125" bestFit="1" customWidth="1"/>
    <col min="3095" max="3098" width="9.7109375" bestFit="1" customWidth="1"/>
    <col min="3100" max="3100" width="10.7109375" bestFit="1" customWidth="1"/>
    <col min="3101" max="3103" width="9.7109375" bestFit="1" customWidth="1"/>
    <col min="3295" max="3295" width="6.28515625" customWidth="1"/>
    <col min="3296" max="3296" width="41.28515625" customWidth="1"/>
    <col min="3297" max="3297" width="7.140625" customWidth="1"/>
    <col min="3298" max="3311" width="9.28515625" customWidth="1"/>
    <col min="3312" max="3319" width="9.7109375" customWidth="1"/>
    <col min="3320" max="3320" width="9.85546875" customWidth="1"/>
    <col min="3321" max="3322" width="9.7109375" customWidth="1"/>
    <col min="3323" max="3323" width="10.42578125" customWidth="1"/>
    <col min="3324" max="3342" width="9.7109375" customWidth="1"/>
    <col min="3343" max="3343" width="10.42578125" customWidth="1"/>
    <col min="3344" max="3344" width="9.7109375" bestFit="1" customWidth="1"/>
    <col min="3345" max="3345" width="8.42578125" customWidth="1"/>
    <col min="3346" max="3349" width="9.7109375" bestFit="1" customWidth="1"/>
    <col min="3350" max="3350" width="10.42578125" bestFit="1" customWidth="1"/>
    <col min="3351" max="3354" width="9.7109375" bestFit="1" customWidth="1"/>
    <col min="3356" max="3356" width="10.7109375" bestFit="1" customWidth="1"/>
    <col min="3357" max="3359" width="9.7109375" bestFit="1" customWidth="1"/>
    <col min="3551" max="3551" width="6.28515625" customWidth="1"/>
    <col min="3552" max="3552" width="41.28515625" customWidth="1"/>
    <col min="3553" max="3553" width="7.140625" customWidth="1"/>
    <col min="3554" max="3567" width="9.28515625" customWidth="1"/>
    <col min="3568" max="3575" width="9.7109375" customWidth="1"/>
    <col min="3576" max="3576" width="9.85546875" customWidth="1"/>
    <col min="3577" max="3578" width="9.7109375" customWidth="1"/>
    <col min="3579" max="3579" width="10.42578125" customWidth="1"/>
    <col min="3580" max="3598" width="9.7109375" customWidth="1"/>
    <col min="3599" max="3599" width="10.42578125" customWidth="1"/>
    <col min="3600" max="3600" width="9.7109375" bestFit="1" customWidth="1"/>
    <col min="3601" max="3601" width="8.42578125" customWidth="1"/>
    <col min="3602" max="3605" width="9.7109375" bestFit="1" customWidth="1"/>
    <col min="3606" max="3606" width="10.42578125" bestFit="1" customWidth="1"/>
    <col min="3607" max="3610" width="9.7109375" bestFit="1" customWidth="1"/>
    <col min="3612" max="3612" width="10.7109375" bestFit="1" customWidth="1"/>
    <col min="3613" max="3615" width="9.7109375" bestFit="1" customWidth="1"/>
    <col min="3807" max="3807" width="6.28515625" customWidth="1"/>
    <col min="3808" max="3808" width="41.28515625" customWidth="1"/>
    <col min="3809" max="3809" width="7.140625" customWidth="1"/>
    <col min="3810" max="3823" width="9.28515625" customWidth="1"/>
    <col min="3824" max="3831" width="9.7109375" customWidth="1"/>
    <col min="3832" max="3832" width="9.85546875" customWidth="1"/>
    <col min="3833" max="3834" width="9.7109375" customWidth="1"/>
    <col min="3835" max="3835" width="10.42578125" customWidth="1"/>
    <col min="3836" max="3854" width="9.7109375" customWidth="1"/>
    <col min="3855" max="3855" width="10.42578125" customWidth="1"/>
    <col min="3856" max="3856" width="9.7109375" bestFit="1" customWidth="1"/>
    <col min="3857" max="3857" width="8.42578125" customWidth="1"/>
    <col min="3858" max="3861" width="9.7109375" bestFit="1" customWidth="1"/>
    <col min="3862" max="3862" width="10.42578125" bestFit="1" customWidth="1"/>
    <col min="3863" max="3866" width="9.7109375" bestFit="1" customWidth="1"/>
    <col min="3868" max="3868" width="10.7109375" bestFit="1" customWidth="1"/>
    <col min="3869" max="3871" width="9.7109375" bestFit="1" customWidth="1"/>
    <col min="4063" max="4063" width="6.28515625" customWidth="1"/>
    <col min="4064" max="4064" width="41.28515625" customWidth="1"/>
    <col min="4065" max="4065" width="7.140625" customWidth="1"/>
    <col min="4066" max="4079" width="9.28515625" customWidth="1"/>
    <col min="4080" max="4087" width="9.7109375" customWidth="1"/>
    <col min="4088" max="4088" width="9.85546875" customWidth="1"/>
    <col min="4089" max="4090" width="9.7109375" customWidth="1"/>
    <col min="4091" max="4091" width="10.42578125" customWidth="1"/>
    <col min="4092" max="4110" width="9.7109375" customWidth="1"/>
    <col min="4111" max="4111" width="10.42578125" customWidth="1"/>
    <col min="4112" max="4112" width="9.7109375" bestFit="1" customWidth="1"/>
    <col min="4113" max="4113" width="8.42578125" customWidth="1"/>
    <col min="4114" max="4117" width="9.7109375" bestFit="1" customWidth="1"/>
    <col min="4118" max="4118" width="10.42578125" bestFit="1" customWidth="1"/>
    <col min="4119" max="4122" width="9.7109375" bestFit="1" customWidth="1"/>
    <col min="4124" max="4124" width="10.7109375" bestFit="1" customWidth="1"/>
    <col min="4125" max="4127" width="9.7109375" bestFit="1" customWidth="1"/>
    <col min="4319" max="4319" width="6.28515625" customWidth="1"/>
    <col min="4320" max="4320" width="41.28515625" customWidth="1"/>
    <col min="4321" max="4321" width="7.140625" customWidth="1"/>
    <col min="4322" max="4335" width="9.28515625" customWidth="1"/>
    <col min="4336" max="4343" width="9.7109375" customWidth="1"/>
    <col min="4344" max="4344" width="9.85546875" customWidth="1"/>
    <col min="4345" max="4346" width="9.7109375" customWidth="1"/>
    <col min="4347" max="4347" width="10.42578125" customWidth="1"/>
    <col min="4348" max="4366" width="9.7109375" customWidth="1"/>
    <col min="4367" max="4367" width="10.42578125" customWidth="1"/>
    <col min="4368" max="4368" width="9.7109375" bestFit="1" customWidth="1"/>
    <col min="4369" max="4369" width="8.42578125" customWidth="1"/>
    <col min="4370" max="4373" width="9.7109375" bestFit="1" customWidth="1"/>
    <col min="4374" max="4374" width="10.42578125" bestFit="1" customWidth="1"/>
    <col min="4375" max="4378" width="9.7109375" bestFit="1" customWidth="1"/>
    <col min="4380" max="4380" width="10.7109375" bestFit="1" customWidth="1"/>
    <col min="4381" max="4383" width="9.7109375" bestFit="1" customWidth="1"/>
    <col min="4575" max="4575" width="6.28515625" customWidth="1"/>
    <col min="4576" max="4576" width="41.28515625" customWidth="1"/>
    <col min="4577" max="4577" width="7.140625" customWidth="1"/>
    <col min="4578" max="4591" width="9.28515625" customWidth="1"/>
    <col min="4592" max="4599" width="9.7109375" customWidth="1"/>
    <col min="4600" max="4600" width="9.85546875" customWidth="1"/>
    <col min="4601" max="4602" width="9.7109375" customWidth="1"/>
    <col min="4603" max="4603" width="10.42578125" customWidth="1"/>
    <col min="4604" max="4622" width="9.7109375" customWidth="1"/>
    <col min="4623" max="4623" width="10.42578125" customWidth="1"/>
    <col min="4624" max="4624" width="9.7109375" bestFit="1" customWidth="1"/>
    <col min="4625" max="4625" width="8.42578125" customWidth="1"/>
    <col min="4626" max="4629" width="9.7109375" bestFit="1" customWidth="1"/>
    <col min="4630" max="4630" width="10.42578125" bestFit="1" customWidth="1"/>
    <col min="4631" max="4634" width="9.7109375" bestFit="1" customWidth="1"/>
    <col min="4636" max="4636" width="10.7109375" bestFit="1" customWidth="1"/>
    <col min="4637" max="4639" width="9.7109375" bestFit="1" customWidth="1"/>
    <col min="4831" max="4831" width="6.28515625" customWidth="1"/>
    <col min="4832" max="4832" width="41.28515625" customWidth="1"/>
    <col min="4833" max="4833" width="7.140625" customWidth="1"/>
    <col min="4834" max="4847" width="9.28515625" customWidth="1"/>
    <col min="4848" max="4855" width="9.7109375" customWidth="1"/>
    <col min="4856" max="4856" width="9.85546875" customWidth="1"/>
    <col min="4857" max="4858" width="9.7109375" customWidth="1"/>
    <col min="4859" max="4859" width="10.42578125" customWidth="1"/>
    <col min="4860" max="4878" width="9.7109375" customWidth="1"/>
    <col min="4879" max="4879" width="10.42578125" customWidth="1"/>
    <col min="4880" max="4880" width="9.7109375" bestFit="1" customWidth="1"/>
    <col min="4881" max="4881" width="8.42578125" customWidth="1"/>
    <col min="4882" max="4885" width="9.7109375" bestFit="1" customWidth="1"/>
    <col min="4886" max="4886" width="10.42578125" bestFit="1" customWidth="1"/>
    <col min="4887" max="4890" width="9.7109375" bestFit="1" customWidth="1"/>
    <col min="4892" max="4892" width="10.7109375" bestFit="1" customWidth="1"/>
    <col min="4893" max="4895" width="9.7109375" bestFit="1" customWidth="1"/>
    <col min="5087" max="5087" width="6.28515625" customWidth="1"/>
    <col min="5088" max="5088" width="41.28515625" customWidth="1"/>
    <col min="5089" max="5089" width="7.140625" customWidth="1"/>
    <col min="5090" max="5103" width="9.28515625" customWidth="1"/>
    <col min="5104" max="5111" width="9.7109375" customWidth="1"/>
    <col min="5112" max="5112" width="9.85546875" customWidth="1"/>
    <col min="5113" max="5114" width="9.7109375" customWidth="1"/>
    <col min="5115" max="5115" width="10.42578125" customWidth="1"/>
    <col min="5116" max="5134" width="9.7109375" customWidth="1"/>
    <col min="5135" max="5135" width="10.42578125" customWidth="1"/>
    <col min="5136" max="5136" width="9.7109375" bestFit="1" customWidth="1"/>
    <col min="5137" max="5137" width="8.42578125" customWidth="1"/>
    <col min="5138" max="5141" width="9.7109375" bestFit="1" customWidth="1"/>
    <col min="5142" max="5142" width="10.42578125" bestFit="1" customWidth="1"/>
    <col min="5143" max="5146" width="9.7109375" bestFit="1" customWidth="1"/>
    <col min="5148" max="5148" width="10.7109375" bestFit="1" customWidth="1"/>
    <col min="5149" max="5151" width="9.7109375" bestFit="1" customWidth="1"/>
    <col min="5343" max="5343" width="6.28515625" customWidth="1"/>
    <col min="5344" max="5344" width="41.28515625" customWidth="1"/>
    <col min="5345" max="5345" width="7.140625" customWidth="1"/>
    <col min="5346" max="5359" width="9.28515625" customWidth="1"/>
    <col min="5360" max="5367" width="9.7109375" customWidth="1"/>
    <col min="5368" max="5368" width="9.85546875" customWidth="1"/>
    <col min="5369" max="5370" width="9.7109375" customWidth="1"/>
    <col min="5371" max="5371" width="10.42578125" customWidth="1"/>
    <col min="5372" max="5390" width="9.7109375" customWidth="1"/>
    <col min="5391" max="5391" width="10.42578125" customWidth="1"/>
    <col min="5392" max="5392" width="9.7109375" bestFit="1" customWidth="1"/>
    <col min="5393" max="5393" width="8.42578125" customWidth="1"/>
    <col min="5394" max="5397" width="9.7109375" bestFit="1" customWidth="1"/>
    <col min="5398" max="5398" width="10.42578125" bestFit="1" customWidth="1"/>
    <col min="5399" max="5402" width="9.7109375" bestFit="1" customWidth="1"/>
    <col min="5404" max="5404" width="10.7109375" bestFit="1" customWidth="1"/>
    <col min="5405" max="5407" width="9.7109375" bestFit="1" customWidth="1"/>
    <col min="5599" max="5599" width="6.28515625" customWidth="1"/>
    <col min="5600" max="5600" width="41.28515625" customWidth="1"/>
    <col min="5601" max="5601" width="7.140625" customWidth="1"/>
    <col min="5602" max="5615" width="9.28515625" customWidth="1"/>
    <col min="5616" max="5623" width="9.7109375" customWidth="1"/>
    <col min="5624" max="5624" width="9.85546875" customWidth="1"/>
    <col min="5625" max="5626" width="9.7109375" customWidth="1"/>
    <col min="5627" max="5627" width="10.42578125" customWidth="1"/>
    <col min="5628" max="5646" width="9.7109375" customWidth="1"/>
    <col min="5647" max="5647" width="10.42578125" customWidth="1"/>
    <col min="5648" max="5648" width="9.7109375" bestFit="1" customWidth="1"/>
    <col min="5649" max="5649" width="8.42578125" customWidth="1"/>
    <col min="5650" max="5653" width="9.7109375" bestFit="1" customWidth="1"/>
    <col min="5654" max="5654" width="10.42578125" bestFit="1" customWidth="1"/>
    <col min="5655" max="5658" width="9.7109375" bestFit="1" customWidth="1"/>
    <col min="5660" max="5660" width="10.7109375" bestFit="1" customWidth="1"/>
    <col min="5661" max="5663" width="9.7109375" bestFit="1" customWidth="1"/>
    <col min="5855" max="5855" width="6.28515625" customWidth="1"/>
    <col min="5856" max="5856" width="41.28515625" customWidth="1"/>
    <col min="5857" max="5857" width="7.140625" customWidth="1"/>
    <col min="5858" max="5871" width="9.28515625" customWidth="1"/>
    <col min="5872" max="5879" width="9.7109375" customWidth="1"/>
    <col min="5880" max="5880" width="9.85546875" customWidth="1"/>
    <col min="5881" max="5882" width="9.7109375" customWidth="1"/>
    <col min="5883" max="5883" width="10.42578125" customWidth="1"/>
    <col min="5884" max="5902" width="9.7109375" customWidth="1"/>
    <col min="5903" max="5903" width="10.42578125" customWidth="1"/>
    <col min="5904" max="5904" width="9.7109375" bestFit="1" customWidth="1"/>
    <col min="5905" max="5905" width="8.42578125" customWidth="1"/>
    <col min="5906" max="5909" width="9.7109375" bestFit="1" customWidth="1"/>
    <col min="5910" max="5910" width="10.42578125" bestFit="1" customWidth="1"/>
    <col min="5911" max="5914" width="9.7109375" bestFit="1" customWidth="1"/>
    <col min="5916" max="5916" width="10.7109375" bestFit="1" customWidth="1"/>
    <col min="5917" max="5919" width="9.7109375" bestFit="1" customWidth="1"/>
    <col min="6111" max="6111" width="6.28515625" customWidth="1"/>
    <col min="6112" max="6112" width="41.28515625" customWidth="1"/>
    <col min="6113" max="6113" width="7.140625" customWidth="1"/>
    <col min="6114" max="6127" width="9.28515625" customWidth="1"/>
    <col min="6128" max="6135" width="9.7109375" customWidth="1"/>
    <col min="6136" max="6136" width="9.85546875" customWidth="1"/>
    <col min="6137" max="6138" width="9.7109375" customWidth="1"/>
    <col min="6139" max="6139" width="10.42578125" customWidth="1"/>
    <col min="6140" max="6158" width="9.7109375" customWidth="1"/>
    <col min="6159" max="6159" width="10.42578125" customWidth="1"/>
    <col min="6160" max="6160" width="9.7109375" bestFit="1" customWidth="1"/>
    <col min="6161" max="6161" width="8.42578125" customWidth="1"/>
    <col min="6162" max="6165" width="9.7109375" bestFit="1" customWidth="1"/>
    <col min="6166" max="6166" width="10.42578125" bestFit="1" customWidth="1"/>
    <col min="6167" max="6170" width="9.7109375" bestFit="1" customWidth="1"/>
    <col min="6172" max="6172" width="10.7109375" bestFit="1" customWidth="1"/>
    <col min="6173" max="6175" width="9.7109375" bestFit="1" customWidth="1"/>
    <col min="6367" max="6367" width="6.28515625" customWidth="1"/>
    <col min="6368" max="6368" width="41.28515625" customWidth="1"/>
    <col min="6369" max="6369" width="7.140625" customWidth="1"/>
    <col min="6370" max="6383" width="9.28515625" customWidth="1"/>
    <col min="6384" max="6391" width="9.7109375" customWidth="1"/>
    <col min="6392" max="6392" width="9.85546875" customWidth="1"/>
    <col min="6393" max="6394" width="9.7109375" customWidth="1"/>
    <col min="6395" max="6395" width="10.42578125" customWidth="1"/>
    <col min="6396" max="6414" width="9.7109375" customWidth="1"/>
    <col min="6415" max="6415" width="10.42578125" customWidth="1"/>
    <col min="6416" max="6416" width="9.7109375" bestFit="1" customWidth="1"/>
    <col min="6417" max="6417" width="8.42578125" customWidth="1"/>
    <col min="6418" max="6421" width="9.7109375" bestFit="1" customWidth="1"/>
    <col min="6422" max="6422" width="10.42578125" bestFit="1" customWidth="1"/>
    <col min="6423" max="6426" width="9.7109375" bestFit="1" customWidth="1"/>
    <col min="6428" max="6428" width="10.7109375" bestFit="1" customWidth="1"/>
    <col min="6429" max="6431" width="9.7109375" bestFit="1" customWidth="1"/>
    <col min="6623" max="6623" width="6.28515625" customWidth="1"/>
    <col min="6624" max="6624" width="41.28515625" customWidth="1"/>
    <col min="6625" max="6625" width="7.140625" customWidth="1"/>
    <col min="6626" max="6639" width="9.28515625" customWidth="1"/>
    <col min="6640" max="6647" width="9.7109375" customWidth="1"/>
    <col min="6648" max="6648" width="9.85546875" customWidth="1"/>
    <col min="6649" max="6650" width="9.7109375" customWidth="1"/>
    <col min="6651" max="6651" width="10.42578125" customWidth="1"/>
    <col min="6652" max="6670" width="9.7109375" customWidth="1"/>
    <col min="6671" max="6671" width="10.42578125" customWidth="1"/>
    <col min="6672" max="6672" width="9.7109375" bestFit="1" customWidth="1"/>
    <col min="6673" max="6673" width="8.42578125" customWidth="1"/>
    <col min="6674" max="6677" width="9.7109375" bestFit="1" customWidth="1"/>
    <col min="6678" max="6678" width="10.42578125" bestFit="1" customWidth="1"/>
    <col min="6679" max="6682" width="9.7109375" bestFit="1" customWidth="1"/>
    <col min="6684" max="6684" width="10.7109375" bestFit="1" customWidth="1"/>
    <col min="6685" max="6687" width="9.7109375" bestFit="1" customWidth="1"/>
    <col min="6879" max="6879" width="6.28515625" customWidth="1"/>
    <col min="6880" max="6880" width="41.28515625" customWidth="1"/>
    <col min="6881" max="6881" width="7.140625" customWidth="1"/>
    <col min="6882" max="6895" width="9.28515625" customWidth="1"/>
    <col min="6896" max="6903" width="9.7109375" customWidth="1"/>
    <col min="6904" max="6904" width="9.85546875" customWidth="1"/>
    <col min="6905" max="6906" width="9.7109375" customWidth="1"/>
    <col min="6907" max="6907" width="10.42578125" customWidth="1"/>
    <col min="6908" max="6926" width="9.7109375" customWidth="1"/>
    <col min="6927" max="6927" width="10.42578125" customWidth="1"/>
    <col min="6928" max="6928" width="9.7109375" bestFit="1" customWidth="1"/>
    <col min="6929" max="6929" width="8.42578125" customWidth="1"/>
    <col min="6930" max="6933" width="9.7109375" bestFit="1" customWidth="1"/>
    <col min="6934" max="6934" width="10.42578125" bestFit="1" customWidth="1"/>
    <col min="6935" max="6938" width="9.7109375" bestFit="1" customWidth="1"/>
    <col min="6940" max="6940" width="10.7109375" bestFit="1" customWidth="1"/>
    <col min="6941" max="6943" width="9.7109375" bestFit="1" customWidth="1"/>
    <col min="7135" max="7135" width="6.28515625" customWidth="1"/>
    <col min="7136" max="7136" width="41.28515625" customWidth="1"/>
    <col min="7137" max="7137" width="7.140625" customWidth="1"/>
    <col min="7138" max="7151" width="9.28515625" customWidth="1"/>
    <col min="7152" max="7159" width="9.7109375" customWidth="1"/>
    <col min="7160" max="7160" width="9.85546875" customWidth="1"/>
    <col min="7161" max="7162" width="9.7109375" customWidth="1"/>
    <col min="7163" max="7163" width="10.42578125" customWidth="1"/>
    <col min="7164" max="7182" width="9.7109375" customWidth="1"/>
    <col min="7183" max="7183" width="10.42578125" customWidth="1"/>
    <col min="7184" max="7184" width="9.7109375" bestFit="1" customWidth="1"/>
    <col min="7185" max="7185" width="8.42578125" customWidth="1"/>
    <col min="7186" max="7189" width="9.7109375" bestFit="1" customWidth="1"/>
    <col min="7190" max="7190" width="10.42578125" bestFit="1" customWidth="1"/>
    <col min="7191" max="7194" width="9.7109375" bestFit="1" customWidth="1"/>
    <col min="7196" max="7196" width="10.7109375" bestFit="1" customWidth="1"/>
    <col min="7197" max="7199" width="9.7109375" bestFit="1" customWidth="1"/>
    <col min="7391" max="7391" width="6.28515625" customWidth="1"/>
    <col min="7392" max="7392" width="41.28515625" customWidth="1"/>
    <col min="7393" max="7393" width="7.140625" customWidth="1"/>
    <col min="7394" max="7407" width="9.28515625" customWidth="1"/>
    <col min="7408" max="7415" width="9.7109375" customWidth="1"/>
    <col min="7416" max="7416" width="9.85546875" customWidth="1"/>
    <col min="7417" max="7418" width="9.7109375" customWidth="1"/>
    <col min="7419" max="7419" width="10.42578125" customWidth="1"/>
    <col min="7420" max="7438" width="9.7109375" customWidth="1"/>
    <col min="7439" max="7439" width="10.42578125" customWidth="1"/>
    <col min="7440" max="7440" width="9.7109375" bestFit="1" customWidth="1"/>
    <col min="7441" max="7441" width="8.42578125" customWidth="1"/>
    <col min="7442" max="7445" width="9.7109375" bestFit="1" customWidth="1"/>
    <col min="7446" max="7446" width="10.42578125" bestFit="1" customWidth="1"/>
    <col min="7447" max="7450" width="9.7109375" bestFit="1" customWidth="1"/>
    <col min="7452" max="7452" width="10.7109375" bestFit="1" customWidth="1"/>
    <col min="7453" max="7455" width="9.7109375" bestFit="1" customWidth="1"/>
    <col min="7647" max="7647" width="6.28515625" customWidth="1"/>
    <col min="7648" max="7648" width="41.28515625" customWidth="1"/>
    <col min="7649" max="7649" width="7.140625" customWidth="1"/>
    <col min="7650" max="7663" width="9.28515625" customWidth="1"/>
    <col min="7664" max="7671" width="9.7109375" customWidth="1"/>
    <col min="7672" max="7672" width="9.85546875" customWidth="1"/>
    <col min="7673" max="7674" width="9.7109375" customWidth="1"/>
    <col min="7675" max="7675" width="10.42578125" customWidth="1"/>
    <col min="7676" max="7694" width="9.7109375" customWidth="1"/>
    <col min="7695" max="7695" width="10.42578125" customWidth="1"/>
    <col min="7696" max="7696" width="9.7109375" bestFit="1" customWidth="1"/>
    <col min="7697" max="7697" width="8.42578125" customWidth="1"/>
    <col min="7698" max="7701" width="9.7109375" bestFit="1" customWidth="1"/>
    <col min="7702" max="7702" width="10.42578125" bestFit="1" customWidth="1"/>
    <col min="7703" max="7706" width="9.7109375" bestFit="1" customWidth="1"/>
    <col min="7708" max="7708" width="10.7109375" bestFit="1" customWidth="1"/>
    <col min="7709" max="7711" width="9.7109375" bestFit="1" customWidth="1"/>
    <col min="7903" max="7903" width="6.28515625" customWidth="1"/>
    <col min="7904" max="7904" width="41.28515625" customWidth="1"/>
    <col min="7905" max="7905" width="7.140625" customWidth="1"/>
    <col min="7906" max="7919" width="9.28515625" customWidth="1"/>
    <col min="7920" max="7927" width="9.7109375" customWidth="1"/>
    <col min="7928" max="7928" width="9.85546875" customWidth="1"/>
    <col min="7929" max="7930" width="9.7109375" customWidth="1"/>
    <col min="7931" max="7931" width="10.42578125" customWidth="1"/>
    <col min="7932" max="7950" width="9.7109375" customWidth="1"/>
    <col min="7951" max="7951" width="10.42578125" customWidth="1"/>
    <col min="7952" max="7952" width="9.7109375" bestFit="1" customWidth="1"/>
    <col min="7953" max="7953" width="8.42578125" customWidth="1"/>
    <col min="7954" max="7957" width="9.7109375" bestFit="1" customWidth="1"/>
    <col min="7958" max="7958" width="10.42578125" bestFit="1" customWidth="1"/>
    <col min="7959" max="7962" width="9.7109375" bestFit="1" customWidth="1"/>
    <col min="7964" max="7964" width="10.7109375" bestFit="1" customWidth="1"/>
    <col min="7965" max="7967" width="9.7109375" bestFit="1" customWidth="1"/>
    <col min="8159" max="8159" width="6.28515625" customWidth="1"/>
    <col min="8160" max="8160" width="41.28515625" customWidth="1"/>
    <col min="8161" max="8161" width="7.140625" customWidth="1"/>
    <col min="8162" max="8175" width="9.28515625" customWidth="1"/>
    <col min="8176" max="8183" width="9.7109375" customWidth="1"/>
    <col min="8184" max="8184" width="9.85546875" customWidth="1"/>
    <col min="8185" max="8186" width="9.7109375" customWidth="1"/>
    <col min="8187" max="8187" width="10.42578125" customWidth="1"/>
    <col min="8188" max="8206" width="9.7109375" customWidth="1"/>
    <col min="8207" max="8207" width="10.42578125" customWidth="1"/>
    <col min="8208" max="8208" width="9.7109375" bestFit="1" customWidth="1"/>
    <col min="8209" max="8209" width="8.42578125" customWidth="1"/>
    <col min="8210" max="8213" width="9.7109375" bestFit="1" customWidth="1"/>
    <col min="8214" max="8214" width="10.42578125" bestFit="1" customWidth="1"/>
    <col min="8215" max="8218" width="9.7109375" bestFit="1" customWidth="1"/>
    <col min="8220" max="8220" width="10.7109375" bestFit="1" customWidth="1"/>
    <col min="8221" max="8223" width="9.7109375" bestFit="1" customWidth="1"/>
    <col min="8415" max="8415" width="6.28515625" customWidth="1"/>
    <col min="8416" max="8416" width="41.28515625" customWidth="1"/>
    <col min="8417" max="8417" width="7.140625" customWidth="1"/>
    <col min="8418" max="8431" width="9.28515625" customWidth="1"/>
    <col min="8432" max="8439" width="9.7109375" customWidth="1"/>
    <col min="8440" max="8440" width="9.85546875" customWidth="1"/>
    <col min="8441" max="8442" width="9.7109375" customWidth="1"/>
    <col min="8443" max="8443" width="10.42578125" customWidth="1"/>
    <col min="8444" max="8462" width="9.7109375" customWidth="1"/>
    <col min="8463" max="8463" width="10.42578125" customWidth="1"/>
    <col min="8464" max="8464" width="9.7109375" bestFit="1" customWidth="1"/>
    <col min="8465" max="8465" width="8.42578125" customWidth="1"/>
    <col min="8466" max="8469" width="9.7109375" bestFit="1" customWidth="1"/>
    <col min="8470" max="8470" width="10.42578125" bestFit="1" customWidth="1"/>
    <col min="8471" max="8474" width="9.7109375" bestFit="1" customWidth="1"/>
    <col min="8476" max="8476" width="10.7109375" bestFit="1" customWidth="1"/>
    <col min="8477" max="8479" width="9.7109375" bestFit="1" customWidth="1"/>
    <col min="8671" max="8671" width="6.28515625" customWidth="1"/>
    <col min="8672" max="8672" width="41.28515625" customWidth="1"/>
    <col min="8673" max="8673" width="7.140625" customWidth="1"/>
    <col min="8674" max="8687" width="9.28515625" customWidth="1"/>
    <col min="8688" max="8695" width="9.7109375" customWidth="1"/>
    <col min="8696" max="8696" width="9.85546875" customWidth="1"/>
    <col min="8697" max="8698" width="9.7109375" customWidth="1"/>
    <col min="8699" max="8699" width="10.42578125" customWidth="1"/>
    <col min="8700" max="8718" width="9.7109375" customWidth="1"/>
    <col min="8719" max="8719" width="10.42578125" customWidth="1"/>
    <col min="8720" max="8720" width="9.7109375" bestFit="1" customWidth="1"/>
    <col min="8721" max="8721" width="8.42578125" customWidth="1"/>
    <col min="8722" max="8725" width="9.7109375" bestFit="1" customWidth="1"/>
    <col min="8726" max="8726" width="10.42578125" bestFit="1" customWidth="1"/>
    <col min="8727" max="8730" width="9.7109375" bestFit="1" customWidth="1"/>
    <col min="8732" max="8732" width="10.7109375" bestFit="1" customWidth="1"/>
    <col min="8733" max="8735" width="9.7109375" bestFit="1" customWidth="1"/>
    <col min="8927" max="8927" width="6.28515625" customWidth="1"/>
    <col min="8928" max="8928" width="41.28515625" customWidth="1"/>
    <col min="8929" max="8929" width="7.140625" customWidth="1"/>
    <col min="8930" max="8943" width="9.28515625" customWidth="1"/>
    <col min="8944" max="8951" width="9.7109375" customWidth="1"/>
    <col min="8952" max="8952" width="9.85546875" customWidth="1"/>
    <col min="8953" max="8954" width="9.7109375" customWidth="1"/>
    <col min="8955" max="8955" width="10.42578125" customWidth="1"/>
    <col min="8956" max="8974" width="9.7109375" customWidth="1"/>
    <col min="8975" max="8975" width="10.42578125" customWidth="1"/>
    <col min="8976" max="8976" width="9.7109375" bestFit="1" customWidth="1"/>
    <col min="8977" max="8977" width="8.42578125" customWidth="1"/>
    <col min="8978" max="8981" width="9.7109375" bestFit="1" customWidth="1"/>
    <col min="8982" max="8982" width="10.42578125" bestFit="1" customWidth="1"/>
    <col min="8983" max="8986" width="9.7109375" bestFit="1" customWidth="1"/>
    <col min="8988" max="8988" width="10.7109375" bestFit="1" customWidth="1"/>
    <col min="8989" max="8991" width="9.7109375" bestFit="1" customWidth="1"/>
    <col min="9183" max="9183" width="6.28515625" customWidth="1"/>
    <col min="9184" max="9184" width="41.28515625" customWidth="1"/>
    <col min="9185" max="9185" width="7.140625" customWidth="1"/>
    <col min="9186" max="9199" width="9.28515625" customWidth="1"/>
    <col min="9200" max="9207" width="9.7109375" customWidth="1"/>
    <col min="9208" max="9208" width="9.85546875" customWidth="1"/>
    <col min="9209" max="9210" width="9.7109375" customWidth="1"/>
    <col min="9211" max="9211" width="10.42578125" customWidth="1"/>
    <col min="9212" max="9230" width="9.7109375" customWidth="1"/>
    <col min="9231" max="9231" width="10.42578125" customWidth="1"/>
    <col min="9232" max="9232" width="9.7109375" bestFit="1" customWidth="1"/>
    <col min="9233" max="9233" width="8.42578125" customWidth="1"/>
    <col min="9234" max="9237" width="9.7109375" bestFit="1" customWidth="1"/>
    <col min="9238" max="9238" width="10.42578125" bestFit="1" customWidth="1"/>
    <col min="9239" max="9242" width="9.7109375" bestFit="1" customWidth="1"/>
    <col min="9244" max="9244" width="10.7109375" bestFit="1" customWidth="1"/>
    <col min="9245" max="9247" width="9.7109375" bestFit="1" customWidth="1"/>
    <col min="9439" max="9439" width="6.28515625" customWidth="1"/>
    <col min="9440" max="9440" width="41.28515625" customWidth="1"/>
    <col min="9441" max="9441" width="7.140625" customWidth="1"/>
    <col min="9442" max="9455" width="9.28515625" customWidth="1"/>
    <col min="9456" max="9463" width="9.7109375" customWidth="1"/>
    <col min="9464" max="9464" width="9.85546875" customWidth="1"/>
    <col min="9465" max="9466" width="9.7109375" customWidth="1"/>
    <col min="9467" max="9467" width="10.42578125" customWidth="1"/>
    <col min="9468" max="9486" width="9.7109375" customWidth="1"/>
    <col min="9487" max="9487" width="10.42578125" customWidth="1"/>
    <col min="9488" max="9488" width="9.7109375" bestFit="1" customWidth="1"/>
    <col min="9489" max="9489" width="8.42578125" customWidth="1"/>
    <col min="9490" max="9493" width="9.7109375" bestFit="1" customWidth="1"/>
    <col min="9494" max="9494" width="10.42578125" bestFit="1" customWidth="1"/>
    <col min="9495" max="9498" width="9.7109375" bestFit="1" customWidth="1"/>
    <col min="9500" max="9500" width="10.7109375" bestFit="1" customWidth="1"/>
    <col min="9501" max="9503" width="9.7109375" bestFit="1" customWidth="1"/>
    <col min="9695" max="9695" width="6.28515625" customWidth="1"/>
    <col min="9696" max="9696" width="41.28515625" customWidth="1"/>
    <col min="9697" max="9697" width="7.140625" customWidth="1"/>
    <col min="9698" max="9711" width="9.28515625" customWidth="1"/>
    <col min="9712" max="9719" width="9.7109375" customWidth="1"/>
    <col min="9720" max="9720" width="9.85546875" customWidth="1"/>
    <col min="9721" max="9722" width="9.7109375" customWidth="1"/>
    <col min="9723" max="9723" width="10.42578125" customWidth="1"/>
    <col min="9724" max="9742" width="9.7109375" customWidth="1"/>
    <col min="9743" max="9743" width="10.42578125" customWidth="1"/>
    <col min="9744" max="9744" width="9.7109375" bestFit="1" customWidth="1"/>
    <col min="9745" max="9745" width="8.42578125" customWidth="1"/>
    <col min="9746" max="9749" width="9.7109375" bestFit="1" customWidth="1"/>
    <col min="9750" max="9750" width="10.42578125" bestFit="1" customWidth="1"/>
    <col min="9751" max="9754" width="9.7109375" bestFit="1" customWidth="1"/>
    <col min="9756" max="9756" width="10.7109375" bestFit="1" customWidth="1"/>
    <col min="9757" max="9759" width="9.7109375" bestFit="1" customWidth="1"/>
    <col min="9951" max="9951" width="6.28515625" customWidth="1"/>
    <col min="9952" max="9952" width="41.28515625" customWidth="1"/>
    <col min="9953" max="9953" width="7.140625" customWidth="1"/>
    <col min="9954" max="9967" width="9.28515625" customWidth="1"/>
    <col min="9968" max="9975" width="9.7109375" customWidth="1"/>
    <col min="9976" max="9976" width="9.85546875" customWidth="1"/>
    <col min="9977" max="9978" width="9.7109375" customWidth="1"/>
    <col min="9979" max="9979" width="10.42578125" customWidth="1"/>
    <col min="9980" max="9998" width="9.7109375" customWidth="1"/>
    <col min="9999" max="9999" width="10.42578125" customWidth="1"/>
    <col min="10000" max="10000" width="9.7109375" bestFit="1" customWidth="1"/>
    <col min="10001" max="10001" width="8.42578125" customWidth="1"/>
    <col min="10002" max="10005" width="9.7109375" bestFit="1" customWidth="1"/>
    <col min="10006" max="10006" width="10.42578125" bestFit="1" customWidth="1"/>
    <col min="10007" max="10010" width="9.7109375" bestFit="1" customWidth="1"/>
    <col min="10012" max="10012" width="10.7109375" bestFit="1" customWidth="1"/>
    <col min="10013" max="10015" width="9.7109375" bestFit="1" customWidth="1"/>
    <col min="10207" max="10207" width="6.28515625" customWidth="1"/>
    <col min="10208" max="10208" width="41.28515625" customWidth="1"/>
    <col min="10209" max="10209" width="7.140625" customWidth="1"/>
    <col min="10210" max="10223" width="9.28515625" customWidth="1"/>
    <col min="10224" max="10231" width="9.7109375" customWidth="1"/>
    <col min="10232" max="10232" width="9.85546875" customWidth="1"/>
    <col min="10233" max="10234" width="9.7109375" customWidth="1"/>
    <col min="10235" max="10235" width="10.42578125" customWidth="1"/>
    <col min="10236" max="10254" width="9.7109375" customWidth="1"/>
    <col min="10255" max="10255" width="10.42578125" customWidth="1"/>
    <col min="10256" max="10256" width="9.7109375" bestFit="1" customWidth="1"/>
    <col min="10257" max="10257" width="8.42578125" customWidth="1"/>
    <col min="10258" max="10261" width="9.7109375" bestFit="1" customWidth="1"/>
    <col min="10262" max="10262" width="10.42578125" bestFit="1" customWidth="1"/>
    <col min="10263" max="10266" width="9.7109375" bestFit="1" customWidth="1"/>
    <col min="10268" max="10268" width="10.7109375" bestFit="1" customWidth="1"/>
    <col min="10269" max="10271" width="9.7109375" bestFit="1" customWidth="1"/>
    <col min="10463" max="10463" width="6.28515625" customWidth="1"/>
    <col min="10464" max="10464" width="41.28515625" customWidth="1"/>
    <col min="10465" max="10465" width="7.140625" customWidth="1"/>
    <col min="10466" max="10479" width="9.28515625" customWidth="1"/>
    <col min="10480" max="10487" width="9.7109375" customWidth="1"/>
    <col min="10488" max="10488" width="9.85546875" customWidth="1"/>
    <col min="10489" max="10490" width="9.7109375" customWidth="1"/>
    <col min="10491" max="10491" width="10.42578125" customWidth="1"/>
    <col min="10492" max="10510" width="9.7109375" customWidth="1"/>
    <col min="10511" max="10511" width="10.42578125" customWidth="1"/>
    <col min="10512" max="10512" width="9.7109375" bestFit="1" customWidth="1"/>
    <col min="10513" max="10513" width="8.42578125" customWidth="1"/>
    <col min="10514" max="10517" width="9.7109375" bestFit="1" customWidth="1"/>
    <col min="10518" max="10518" width="10.42578125" bestFit="1" customWidth="1"/>
    <col min="10519" max="10522" width="9.7109375" bestFit="1" customWidth="1"/>
    <col min="10524" max="10524" width="10.7109375" bestFit="1" customWidth="1"/>
    <col min="10525" max="10527" width="9.7109375" bestFit="1" customWidth="1"/>
    <col min="10719" max="10719" width="6.28515625" customWidth="1"/>
    <col min="10720" max="10720" width="41.28515625" customWidth="1"/>
    <col min="10721" max="10721" width="7.140625" customWidth="1"/>
    <col min="10722" max="10735" width="9.28515625" customWidth="1"/>
    <col min="10736" max="10743" width="9.7109375" customWidth="1"/>
    <col min="10744" max="10744" width="9.85546875" customWidth="1"/>
    <col min="10745" max="10746" width="9.7109375" customWidth="1"/>
    <col min="10747" max="10747" width="10.42578125" customWidth="1"/>
    <col min="10748" max="10766" width="9.7109375" customWidth="1"/>
    <col min="10767" max="10767" width="10.42578125" customWidth="1"/>
    <col min="10768" max="10768" width="9.7109375" bestFit="1" customWidth="1"/>
    <col min="10769" max="10769" width="8.42578125" customWidth="1"/>
    <col min="10770" max="10773" width="9.7109375" bestFit="1" customWidth="1"/>
    <col min="10774" max="10774" width="10.42578125" bestFit="1" customWidth="1"/>
    <col min="10775" max="10778" width="9.7109375" bestFit="1" customWidth="1"/>
    <col min="10780" max="10780" width="10.7109375" bestFit="1" customWidth="1"/>
    <col min="10781" max="10783" width="9.7109375" bestFit="1" customWidth="1"/>
    <col min="10975" max="10975" width="6.28515625" customWidth="1"/>
    <col min="10976" max="10976" width="41.28515625" customWidth="1"/>
    <col min="10977" max="10977" width="7.140625" customWidth="1"/>
    <col min="10978" max="10991" width="9.28515625" customWidth="1"/>
    <col min="10992" max="10999" width="9.7109375" customWidth="1"/>
    <col min="11000" max="11000" width="9.85546875" customWidth="1"/>
    <col min="11001" max="11002" width="9.7109375" customWidth="1"/>
    <col min="11003" max="11003" width="10.42578125" customWidth="1"/>
    <col min="11004" max="11022" width="9.7109375" customWidth="1"/>
    <col min="11023" max="11023" width="10.42578125" customWidth="1"/>
    <col min="11024" max="11024" width="9.7109375" bestFit="1" customWidth="1"/>
    <col min="11025" max="11025" width="8.42578125" customWidth="1"/>
    <col min="11026" max="11029" width="9.7109375" bestFit="1" customWidth="1"/>
    <col min="11030" max="11030" width="10.42578125" bestFit="1" customWidth="1"/>
    <col min="11031" max="11034" width="9.7109375" bestFit="1" customWidth="1"/>
    <col min="11036" max="11036" width="10.7109375" bestFit="1" customWidth="1"/>
    <col min="11037" max="11039" width="9.7109375" bestFit="1" customWidth="1"/>
    <col min="11231" max="11231" width="6.28515625" customWidth="1"/>
    <col min="11232" max="11232" width="41.28515625" customWidth="1"/>
    <col min="11233" max="11233" width="7.140625" customWidth="1"/>
    <col min="11234" max="11247" width="9.28515625" customWidth="1"/>
    <col min="11248" max="11255" width="9.7109375" customWidth="1"/>
    <col min="11256" max="11256" width="9.85546875" customWidth="1"/>
    <col min="11257" max="11258" width="9.7109375" customWidth="1"/>
    <col min="11259" max="11259" width="10.42578125" customWidth="1"/>
    <col min="11260" max="11278" width="9.7109375" customWidth="1"/>
    <col min="11279" max="11279" width="10.42578125" customWidth="1"/>
    <col min="11280" max="11280" width="9.7109375" bestFit="1" customWidth="1"/>
    <col min="11281" max="11281" width="8.42578125" customWidth="1"/>
    <col min="11282" max="11285" width="9.7109375" bestFit="1" customWidth="1"/>
    <col min="11286" max="11286" width="10.42578125" bestFit="1" customWidth="1"/>
    <col min="11287" max="11290" width="9.7109375" bestFit="1" customWidth="1"/>
    <col min="11292" max="11292" width="10.7109375" bestFit="1" customWidth="1"/>
    <col min="11293" max="11295" width="9.7109375" bestFit="1" customWidth="1"/>
    <col min="11487" max="11487" width="6.28515625" customWidth="1"/>
    <col min="11488" max="11488" width="41.28515625" customWidth="1"/>
    <col min="11489" max="11489" width="7.140625" customWidth="1"/>
    <col min="11490" max="11503" width="9.28515625" customWidth="1"/>
    <col min="11504" max="11511" width="9.7109375" customWidth="1"/>
    <col min="11512" max="11512" width="9.85546875" customWidth="1"/>
    <col min="11513" max="11514" width="9.7109375" customWidth="1"/>
    <col min="11515" max="11515" width="10.42578125" customWidth="1"/>
    <col min="11516" max="11534" width="9.7109375" customWidth="1"/>
    <col min="11535" max="11535" width="10.42578125" customWidth="1"/>
    <col min="11536" max="11536" width="9.7109375" bestFit="1" customWidth="1"/>
    <col min="11537" max="11537" width="8.42578125" customWidth="1"/>
    <col min="11538" max="11541" width="9.7109375" bestFit="1" customWidth="1"/>
    <col min="11542" max="11542" width="10.42578125" bestFit="1" customWidth="1"/>
    <col min="11543" max="11546" width="9.7109375" bestFit="1" customWidth="1"/>
    <col min="11548" max="11548" width="10.7109375" bestFit="1" customWidth="1"/>
    <col min="11549" max="11551" width="9.7109375" bestFit="1" customWidth="1"/>
    <col min="11743" max="11743" width="6.28515625" customWidth="1"/>
    <col min="11744" max="11744" width="41.28515625" customWidth="1"/>
    <col min="11745" max="11745" width="7.140625" customWidth="1"/>
    <col min="11746" max="11759" width="9.28515625" customWidth="1"/>
    <col min="11760" max="11767" width="9.7109375" customWidth="1"/>
    <col min="11768" max="11768" width="9.85546875" customWidth="1"/>
    <col min="11769" max="11770" width="9.7109375" customWidth="1"/>
    <col min="11771" max="11771" width="10.42578125" customWidth="1"/>
    <col min="11772" max="11790" width="9.7109375" customWidth="1"/>
    <col min="11791" max="11791" width="10.42578125" customWidth="1"/>
    <col min="11792" max="11792" width="9.7109375" bestFit="1" customWidth="1"/>
    <col min="11793" max="11793" width="8.42578125" customWidth="1"/>
    <col min="11794" max="11797" width="9.7109375" bestFit="1" customWidth="1"/>
    <col min="11798" max="11798" width="10.42578125" bestFit="1" customWidth="1"/>
    <col min="11799" max="11802" width="9.7109375" bestFit="1" customWidth="1"/>
    <col min="11804" max="11804" width="10.7109375" bestFit="1" customWidth="1"/>
    <col min="11805" max="11807" width="9.7109375" bestFit="1" customWidth="1"/>
    <col min="11999" max="11999" width="6.28515625" customWidth="1"/>
    <col min="12000" max="12000" width="41.28515625" customWidth="1"/>
    <col min="12001" max="12001" width="7.140625" customWidth="1"/>
    <col min="12002" max="12015" width="9.28515625" customWidth="1"/>
    <col min="12016" max="12023" width="9.7109375" customWidth="1"/>
    <col min="12024" max="12024" width="9.85546875" customWidth="1"/>
    <col min="12025" max="12026" width="9.7109375" customWidth="1"/>
    <col min="12027" max="12027" width="10.42578125" customWidth="1"/>
    <col min="12028" max="12046" width="9.7109375" customWidth="1"/>
    <col min="12047" max="12047" width="10.42578125" customWidth="1"/>
    <col min="12048" max="12048" width="9.7109375" bestFit="1" customWidth="1"/>
    <col min="12049" max="12049" width="8.42578125" customWidth="1"/>
    <col min="12050" max="12053" width="9.7109375" bestFit="1" customWidth="1"/>
    <col min="12054" max="12054" width="10.42578125" bestFit="1" customWidth="1"/>
    <col min="12055" max="12058" width="9.7109375" bestFit="1" customWidth="1"/>
    <col min="12060" max="12060" width="10.7109375" bestFit="1" customWidth="1"/>
    <col min="12061" max="12063" width="9.7109375" bestFit="1" customWidth="1"/>
    <col min="12255" max="12255" width="6.28515625" customWidth="1"/>
    <col min="12256" max="12256" width="41.28515625" customWidth="1"/>
    <col min="12257" max="12257" width="7.140625" customWidth="1"/>
    <col min="12258" max="12271" width="9.28515625" customWidth="1"/>
    <col min="12272" max="12279" width="9.7109375" customWidth="1"/>
    <col min="12280" max="12280" width="9.85546875" customWidth="1"/>
    <col min="12281" max="12282" width="9.7109375" customWidth="1"/>
    <col min="12283" max="12283" width="10.42578125" customWidth="1"/>
    <col min="12284" max="12302" width="9.7109375" customWidth="1"/>
    <col min="12303" max="12303" width="10.42578125" customWidth="1"/>
    <col min="12304" max="12304" width="9.7109375" bestFit="1" customWidth="1"/>
    <col min="12305" max="12305" width="8.42578125" customWidth="1"/>
    <col min="12306" max="12309" width="9.7109375" bestFit="1" customWidth="1"/>
    <col min="12310" max="12310" width="10.42578125" bestFit="1" customWidth="1"/>
    <col min="12311" max="12314" width="9.7109375" bestFit="1" customWidth="1"/>
    <col min="12316" max="12316" width="10.7109375" bestFit="1" customWidth="1"/>
    <col min="12317" max="12319" width="9.7109375" bestFit="1" customWidth="1"/>
    <col min="12511" max="12511" width="6.28515625" customWidth="1"/>
    <col min="12512" max="12512" width="41.28515625" customWidth="1"/>
    <col min="12513" max="12513" width="7.140625" customWidth="1"/>
    <col min="12514" max="12527" width="9.28515625" customWidth="1"/>
    <col min="12528" max="12535" width="9.7109375" customWidth="1"/>
    <col min="12536" max="12536" width="9.85546875" customWidth="1"/>
    <col min="12537" max="12538" width="9.7109375" customWidth="1"/>
    <col min="12539" max="12539" width="10.42578125" customWidth="1"/>
    <col min="12540" max="12558" width="9.7109375" customWidth="1"/>
    <col min="12559" max="12559" width="10.42578125" customWidth="1"/>
    <col min="12560" max="12560" width="9.7109375" bestFit="1" customWidth="1"/>
    <col min="12561" max="12561" width="8.42578125" customWidth="1"/>
    <col min="12562" max="12565" width="9.7109375" bestFit="1" customWidth="1"/>
    <col min="12566" max="12566" width="10.42578125" bestFit="1" customWidth="1"/>
    <col min="12567" max="12570" width="9.7109375" bestFit="1" customWidth="1"/>
    <col min="12572" max="12572" width="10.7109375" bestFit="1" customWidth="1"/>
    <col min="12573" max="12575" width="9.7109375" bestFit="1" customWidth="1"/>
    <col min="12767" max="12767" width="6.28515625" customWidth="1"/>
    <col min="12768" max="12768" width="41.28515625" customWidth="1"/>
    <col min="12769" max="12769" width="7.140625" customWidth="1"/>
    <col min="12770" max="12783" width="9.28515625" customWidth="1"/>
    <col min="12784" max="12791" width="9.7109375" customWidth="1"/>
    <col min="12792" max="12792" width="9.85546875" customWidth="1"/>
    <col min="12793" max="12794" width="9.7109375" customWidth="1"/>
    <col min="12795" max="12795" width="10.42578125" customWidth="1"/>
    <col min="12796" max="12814" width="9.7109375" customWidth="1"/>
    <col min="12815" max="12815" width="10.42578125" customWidth="1"/>
    <col min="12816" max="12816" width="9.7109375" bestFit="1" customWidth="1"/>
    <col min="12817" max="12817" width="8.42578125" customWidth="1"/>
    <col min="12818" max="12821" width="9.7109375" bestFit="1" customWidth="1"/>
    <col min="12822" max="12822" width="10.42578125" bestFit="1" customWidth="1"/>
    <col min="12823" max="12826" width="9.7109375" bestFit="1" customWidth="1"/>
    <col min="12828" max="12828" width="10.7109375" bestFit="1" customWidth="1"/>
    <col min="12829" max="12831" width="9.7109375" bestFit="1" customWidth="1"/>
    <col min="13023" max="13023" width="6.28515625" customWidth="1"/>
    <col min="13024" max="13024" width="41.28515625" customWidth="1"/>
    <col min="13025" max="13025" width="7.140625" customWidth="1"/>
    <col min="13026" max="13039" width="9.28515625" customWidth="1"/>
    <col min="13040" max="13047" width="9.7109375" customWidth="1"/>
    <col min="13048" max="13048" width="9.85546875" customWidth="1"/>
    <col min="13049" max="13050" width="9.7109375" customWidth="1"/>
    <col min="13051" max="13051" width="10.42578125" customWidth="1"/>
    <col min="13052" max="13070" width="9.7109375" customWidth="1"/>
    <col min="13071" max="13071" width="10.42578125" customWidth="1"/>
    <col min="13072" max="13072" width="9.7109375" bestFit="1" customWidth="1"/>
    <col min="13073" max="13073" width="8.42578125" customWidth="1"/>
    <col min="13074" max="13077" width="9.7109375" bestFit="1" customWidth="1"/>
    <col min="13078" max="13078" width="10.42578125" bestFit="1" customWidth="1"/>
    <col min="13079" max="13082" width="9.7109375" bestFit="1" customWidth="1"/>
    <col min="13084" max="13084" width="10.7109375" bestFit="1" customWidth="1"/>
    <col min="13085" max="13087" width="9.7109375" bestFit="1" customWidth="1"/>
    <col min="13279" max="13279" width="6.28515625" customWidth="1"/>
    <col min="13280" max="13280" width="41.28515625" customWidth="1"/>
    <col min="13281" max="13281" width="7.140625" customWidth="1"/>
    <col min="13282" max="13295" width="9.28515625" customWidth="1"/>
    <col min="13296" max="13303" width="9.7109375" customWidth="1"/>
    <col min="13304" max="13304" width="9.85546875" customWidth="1"/>
    <col min="13305" max="13306" width="9.7109375" customWidth="1"/>
    <col min="13307" max="13307" width="10.42578125" customWidth="1"/>
    <col min="13308" max="13326" width="9.7109375" customWidth="1"/>
    <col min="13327" max="13327" width="10.42578125" customWidth="1"/>
    <col min="13328" max="13328" width="9.7109375" bestFit="1" customWidth="1"/>
    <col min="13329" max="13329" width="8.42578125" customWidth="1"/>
    <col min="13330" max="13333" width="9.7109375" bestFit="1" customWidth="1"/>
    <col min="13334" max="13334" width="10.42578125" bestFit="1" customWidth="1"/>
    <col min="13335" max="13338" width="9.7109375" bestFit="1" customWidth="1"/>
    <col min="13340" max="13340" width="10.7109375" bestFit="1" customWidth="1"/>
    <col min="13341" max="13343" width="9.7109375" bestFit="1" customWidth="1"/>
    <col min="13535" max="13535" width="6.28515625" customWidth="1"/>
    <col min="13536" max="13536" width="41.28515625" customWidth="1"/>
    <col min="13537" max="13537" width="7.140625" customWidth="1"/>
    <col min="13538" max="13551" width="9.28515625" customWidth="1"/>
    <col min="13552" max="13559" width="9.7109375" customWidth="1"/>
    <col min="13560" max="13560" width="9.85546875" customWidth="1"/>
    <col min="13561" max="13562" width="9.7109375" customWidth="1"/>
    <col min="13563" max="13563" width="10.42578125" customWidth="1"/>
    <col min="13564" max="13582" width="9.7109375" customWidth="1"/>
    <col min="13583" max="13583" width="10.42578125" customWidth="1"/>
    <col min="13584" max="13584" width="9.7109375" bestFit="1" customWidth="1"/>
    <col min="13585" max="13585" width="8.42578125" customWidth="1"/>
    <col min="13586" max="13589" width="9.7109375" bestFit="1" customWidth="1"/>
    <col min="13590" max="13590" width="10.42578125" bestFit="1" customWidth="1"/>
    <col min="13591" max="13594" width="9.7109375" bestFit="1" customWidth="1"/>
    <col min="13596" max="13596" width="10.7109375" bestFit="1" customWidth="1"/>
    <col min="13597" max="13599" width="9.7109375" bestFit="1" customWidth="1"/>
    <col min="13791" max="13791" width="6.28515625" customWidth="1"/>
    <col min="13792" max="13792" width="41.28515625" customWidth="1"/>
    <col min="13793" max="13793" width="7.140625" customWidth="1"/>
    <col min="13794" max="13807" width="9.28515625" customWidth="1"/>
    <col min="13808" max="13815" width="9.7109375" customWidth="1"/>
    <col min="13816" max="13816" width="9.85546875" customWidth="1"/>
    <col min="13817" max="13818" width="9.7109375" customWidth="1"/>
    <col min="13819" max="13819" width="10.42578125" customWidth="1"/>
    <col min="13820" max="13838" width="9.7109375" customWidth="1"/>
    <col min="13839" max="13839" width="10.42578125" customWidth="1"/>
    <col min="13840" max="13840" width="9.7109375" bestFit="1" customWidth="1"/>
    <col min="13841" max="13841" width="8.42578125" customWidth="1"/>
    <col min="13842" max="13845" width="9.7109375" bestFit="1" customWidth="1"/>
    <col min="13846" max="13846" width="10.42578125" bestFit="1" customWidth="1"/>
    <col min="13847" max="13850" width="9.7109375" bestFit="1" customWidth="1"/>
    <col min="13852" max="13852" width="10.7109375" bestFit="1" customWidth="1"/>
    <col min="13853" max="13855" width="9.7109375" bestFit="1" customWidth="1"/>
    <col min="14047" max="14047" width="6.28515625" customWidth="1"/>
    <col min="14048" max="14048" width="41.28515625" customWidth="1"/>
    <col min="14049" max="14049" width="7.140625" customWidth="1"/>
    <col min="14050" max="14063" width="9.28515625" customWidth="1"/>
    <col min="14064" max="14071" width="9.7109375" customWidth="1"/>
    <col min="14072" max="14072" width="9.85546875" customWidth="1"/>
    <col min="14073" max="14074" width="9.7109375" customWidth="1"/>
    <col min="14075" max="14075" width="10.42578125" customWidth="1"/>
    <col min="14076" max="14094" width="9.7109375" customWidth="1"/>
    <col min="14095" max="14095" width="10.42578125" customWidth="1"/>
    <col min="14096" max="14096" width="9.7109375" bestFit="1" customWidth="1"/>
    <col min="14097" max="14097" width="8.42578125" customWidth="1"/>
    <col min="14098" max="14101" width="9.7109375" bestFit="1" customWidth="1"/>
    <col min="14102" max="14102" width="10.42578125" bestFit="1" customWidth="1"/>
    <col min="14103" max="14106" width="9.7109375" bestFit="1" customWidth="1"/>
    <col min="14108" max="14108" width="10.7109375" bestFit="1" customWidth="1"/>
    <col min="14109" max="14111" width="9.7109375" bestFit="1" customWidth="1"/>
    <col min="14303" max="14303" width="6.28515625" customWidth="1"/>
    <col min="14304" max="14304" width="41.28515625" customWidth="1"/>
    <col min="14305" max="14305" width="7.140625" customWidth="1"/>
    <col min="14306" max="14319" width="9.28515625" customWidth="1"/>
    <col min="14320" max="14327" width="9.7109375" customWidth="1"/>
    <col min="14328" max="14328" width="9.85546875" customWidth="1"/>
    <col min="14329" max="14330" width="9.7109375" customWidth="1"/>
    <col min="14331" max="14331" width="10.42578125" customWidth="1"/>
    <col min="14332" max="14350" width="9.7109375" customWidth="1"/>
    <col min="14351" max="14351" width="10.42578125" customWidth="1"/>
    <col min="14352" max="14352" width="9.7109375" bestFit="1" customWidth="1"/>
    <col min="14353" max="14353" width="8.42578125" customWidth="1"/>
    <col min="14354" max="14357" width="9.7109375" bestFit="1" customWidth="1"/>
    <col min="14358" max="14358" width="10.42578125" bestFit="1" customWidth="1"/>
    <col min="14359" max="14362" width="9.7109375" bestFit="1" customWidth="1"/>
    <col min="14364" max="14364" width="10.7109375" bestFit="1" customWidth="1"/>
    <col min="14365" max="14367" width="9.7109375" bestFit="1" customWidth="1"/>
    <col min="14559" max="14559" width="6.28515625" customWidth="1"/>
    <col min="14560" max="14560" width="41.28515625" customWidth="1"/>
    <col min="14561" max="14561" width="7.140625" customWidth="1"/>
    <col min="14562" max="14575" width="9.28515625" customWidth="1"/>
    <col min="14576" max="14583" width="9.7109375" customWidth="1"/>
    <col min="14584" max="14584" width="9.85546875" customWidth="1"/>
    <col min="14585" max="14586" width="9.7109375" customWidth="1"/>
    <col min="14587" max="14587" width="10.42578125" customWidth="1"/>
    <col min="14588" max="14606" width="9.7109375" customWidth="1"/>
    <col min="14607" max="14607" width="10.42578125" customWidth="1"/>
    <col min="14608" max="14608" width="9.7109375" bestFit="1" customWidth="1"/>
    <col min="14609" max="14609" width="8.42578125" customWidth="1"/>
    <col min="14610" max="14613" width="9.7109375" bestFit="1" customWidth="1"/>
    <col min="14614" max="14614" width="10.42578125" bestFit="1" customWidth="1"/>
    <col min="14615" max="14618" width="9.7109375" bestFit="1" customWidth="1"/>
    <col min="14620" max="14620" width="10.7109375" bestFit="1" customWidth="1"/>
    <col min="14621" max="14623" width="9.7109375" bestFit="1" customWidth="1"/>
    <col min="14815" max="14815" width="6.28515625" customWidth="1"/>
    <col min="14816" max="14816" width="41.28515625" customWidth="1"/>
    <col min="14817" max="14817" width="7.140625" customWidth="1"/>
    <col min="14818" max="14831" width="9.28515625" customWidth="1"/>
    <col min="14832" max="14839" width="9.7109375" customWidth="1"/>
    <col min="14840" max="14840" width="9.85546875" customWidth="1"/>
    <col min="14841" max="14842" width="9.7109375" customWidth="1"/>
    <col min="14843" max="14843" width="10.42578125" customWidth="1"/>
    <col min="14844" max="14862" width="9.7109375" customWidth="1"/>
    <col min="14863" max="14863" width="10.42578125" customWidth="1"/>
    <col min="14864" max="14864" width="9.7109375" bestFit="1" customWidth="1"/>
    <col min="14865" max="14865" width="8.42578125" customWidth="1"/>
    <col min="14866" max="14869" width="9.7109375" bestFit="1" customWidth="1"/>
    <col min="14870" max="14870" width="10.42578125" bestFit="1" customWidth="1"/>
    <col min="14871" max="14874" width="9.7109375" bestFit="1" customWidth="1"/>
    <col min="14876" max="14876" width="10.7109375" bestFit="1" customWidth="1"/>
    <col min="14877" max="14879" width="9.7109375" bestFit="1" customWidth="1"/>
    <col min="15071" max="15071" width="6.28515625" customWidth="1"/>
    <col min="15072" max="15072" width="41.28515625" customWidth="1"/>
    <col min="15073" max="15073" width="7.140625" customWidth="1"/>
    <col min="15074" max="15087" width="9.28515625" customWidth="1"/>
    <col min="15088" max="15095" width="9.7109375" customWidth="1"/>
    <col min="15096" max="15096" width="9.85546875" customWidth="1"/>
    <col min="15097" max="15098" width="9.7109375" customWidth="1"/>
    <col min="15099" max="15099" width="10.42578125" customWidth="1"/>
    <col min="15100" max="15118" width="9.7109375" customWidth="1"/>
    <col min="15119" max="15119" width="10.42578125" customWidth="1"/>
    <col min="15120" max="15120" width="9.7109375" bestFit="1" customWidth="1"/>
    <col min="15121" max="15121" width="8.42578125" customWidth="1"/>
    <col min="15122" max="15125" width="9.7109375" bestFit="1" customWidth="1"/>
    <col min="15126" max="15126" width="10.42578125" bestFit="1" customWidth="1"/>
    <col min="15127" max="15130" width="9.7109375" bestFit="1" customWidth="1"/>
    <col min="15132" max="15132" width="10.7109375" bestFit="1" customWidth="1"/>
    <col min="15133" max="15135" width="9.7109375" bestFit="1" customWidth="1"/>
    <col min="15327" max="15327" width="6.28515625" customWidth="1"/>
    <col min="15328" max="15328" width="41.28515625" customWidth="1"/>
    <col min="15329" max="15329" width="7.140625" customWidth="1"/>
    <col min="15330" max="15343" width="9.28515625" customWidth="1"/>
    <col min="15344" max="15351" width="9.7109375" customWidth="1"/>
    <col min="15352" max="15352" width="9.85546875" customWidth="1"/>
    <col min="15353" max="15354" width="9.7109375" customWidth="1"/>
    <col min="15355" max="15355" width="10.42578125" customWidth="1"/>
    <col min="15356" max="15374" width="9.7109375" customWidth="1"/>
    <col min="15375" max="15375" width="10.42578125" customWidth="1"/>
    <col min="15376" max="15376" width="9.7109375" bestFit="1" customWidth="1"/>
    <col min="15377" max="15377" width="8.42578125" customWidth="1"/>
    <col min="15378" max="15381" width="9.7109375" bestFit="1" customWidth="1"/>
    <col min="15382" max="15382" width="10.42578125" bestFit="1" customWidth="1"/>
    <col min="15383" max="15386" width="9.7109375" bestFit="1" customWidth="1"/>
    <col min="15388" max="15388" width="10.7109375" bestFit="1" customWidth="1"/>
    <col min="15389" max="15391" width="9.7109375" bestFit="1" customWidth="1"/>
    <col min="15583" max="15583" width="6.28515625" customWidth="1"/>
    <col min="15584" max="15584" width="41.28515625" customWidth="1"/>
    <col min="15585" max="15585" width="7.140625" customWidth="1"/>
    <col min="15586" max="15599" width="9.28515625" customWidth="1"/>
    <col min="15600" max="15607" width="9.7109375" customWidth="1"/>
    <col min="15608" max="15608" width="9.85546875" customWidth="1"/>
    <col min="15609" max="15610" width="9.7109375" customWidth="1"/>
    <col min="15611" max="15611" width="10.42578125" customWidth="1"/>
    <col min="15612" max="15630" width="9.7109375" customWidth="1"/>
    <col min="15631" max="15631" width="10.42578125" customWidth="1"/>
    <col min="15632" max="15632" width="9.7109375" bestFit="1" customWidth="1"/>
    <col min="15633" max="15633" width="8.42578125" customWidth="1"/>
    <col min="15634" max="15637" width="9.7109375" bestFit="1" customWidth="1"/>
    <col min="15638" max="15638" width="10.42578125" bestFit="1" customWidth="1"/>
    <col min="15639" max="15642" width="9.7109375" bestFit="1" customWidth="1"/>
    <col min="15644" max="15644" width="10.7109375" bestFit="1" customWidth="1"/>
    <col min="15645" max="15647" width="9.7109375" bestFit="1" customWidth="1"/>
    <col min="15839" max="15839" width="6.28515625" customWidth="1"/>
    <col min="15840" max="15840" width="41.28515625" customWidth="1"/>
    <col min="15841" max="15841" width="7.140625" customWidth="1"/>
    <col min="15842" max="15855" width="9.28515625" customWidth="1"/>
    <col min="15856" max="15863" width="9.7109375" customWidth="1"/>
    <col min="15864" max="15864" width="9.85546875" customWidth="1"/>
    <col min="15865" max="15866" width="9.7109375" customWidth="1"/>
    <col min="15867" max="15867" width="10.42578125" customWidth="1"/>
    <col min="15868" max="15886" width="9.7109375" customWidth="1"/>
    <col min="15887" max="15887" width="10.42578125" customWidth="1"/>
    <col min="15888" max="15888" width="9.7109375" bestFit="1" customWidth="1"/>
    <col min="15889" max="15889" width="8.42578125" customWidth="1"/>
    <col min="15890" max="15893" width="9.7109375" bestFit="1" customWidth="1"/>
    <col min="15894" max="15894" width="10.42578125" bestFit="1" customWidth="1"/>
    <col min="15895" max="15898" width="9.7109375" bestFit="1" customWidth="1"/>
    <col min="15900" max="15900" width="10.7109375" bestFit="1" customWidth="1"/>
    <col min="15901" max="15903" width="9.7109375" bestFit="1" customWidth="1"/>
    <col min="16095" max="16095" width="6.28515625" customWidth="1"/>
    <col min="16096" max="16096" width="41.28515625" customWidth="1"/>
    <col min="16097" max="16097" width="7.140625" customWidth="1"/>
    <col min="16098" max="16111" width="9.28515625" customWidth="1"/>
    <col min="16112" max="16119" width="9.7109375" customWidth="1"/>
    <col min="16120" max="16120" width="9.85546875" customWidth="1"/>
    <col min="16121" max="16122" width="9.7109375" customWidth="1"/>
    <col min="16123" max="16123" width="10.42578125" customWidth="1"/>
    <col min="16124" max="16142" width="9.7109375" customWidth="1"/>
    <col min="16143" max="16143" width="10.42578125" customWidth="1"/>
    <col min="16144" max="16144" width="9.7109375" bestFit="1" customWidth="1"/>
    <col min="16145" max="16145" width="8.42578125" customWidth="1"/>
    <col min="16146" max="16149" width="9.7109375" bestFit="1" customWidth="1"/>
    <col min="16150" max="16150" width="10.42578125" bestFit="1" customWidth="1"/>
    <col min="16151" max="16154" width="9.7109375" bestFit="1" customWidth="1"/>
    <col min="16156" max="16156" width="10.7109375" bestFit="1" customWidth="1"/>
    <col min="16157" max="16159" width="9.7109375" bestFit="1" customWidth="1"/>
  </cols>
  <sheetData>
    <row r="1" spans="1:222" ht="15" x14ac:dyDescent="0.25">
      <c r="A1" s="180" t="s">
        <v>164</v>
      </c>
      <c r="B1" s="181"/>
      <c r="D1" s="183">
        <v>2016</v>
      </c>
      <c r="E1" s="183">
        <v>2016</v>
      </c>
      <c r="F1" s="183">
        <v>2017</v>
      </c>
      <c r="G1" s="183">
        <v>2017</v>
      </c>
      <c r="H1" s="183">
        <v>2017</v>
      </c>
      <c r="I1" s="183">
        <v>2017</v>
      </c>
      <c r="J1" s="183">
        <v>2018</v>
      </c>
      <c r="K1" s="183">
        <v>2018</v>
      </c>
      <c r="L1" s="183">
        <v>2018</v>
      </c>
      <c r="M1" s="183">
        <v>2018</v>
      </c>
      <c r="N1" s="183">
        <v>2019</v>
      </c>
      <c r="O1" s="183">
        <v>2019</v>
      </c>
      <c r="P1" s="183">
        <v>2019</v>
      </c>
      <c r="Q1" s="183">
        <v>2019</v>
      </c>
      <c r="R1" s="183">
        <v>2020</v>
      </c>
      <c r="S1" s="183">
        <v>2020</v>
      </c>
      <c r="T1" s="183">
        <v>2020</v>
      </c>
      <c r="U1" s="183">
        <v>2020</v>
      </c>
      <c r="V1" s="183">
        <v>2021</v>
      </c>
      <c r="W1" s="183">
        <v>2021</v>
      </c>
      <c r="X1" s="183">
        <v>2021</v>
      </c>
      <c r="Y1" s="183">
        <v>2021</v>
      </c>
      <c r="Z1" s="183">
        <v>2022</v>
      </c>
      <c r="AA1" s="183">
        <v>2022</v>
      </c>
      <c r="AB1" s="183">
        <v>2022</v>
      </c>
      <c r="AC1" s="183">
        <v>2022</v>
      </c>
      <c r="AD1" s="183">
        <v>2023</v>
      </c>
      <c r="AE1" s="183">
        <v>2023</v>
      </c>
      <c r="AF1" s="183">
        <v>2023</v>
      </c>
      <c r="AG1" s="183">
        <v>2023</v>
      </c>
      <c r="AH1" s="183">
        <v>2024</v>
      </c>
      <c r="AI1" s="183">
        <v>2024</v>
      </c>
      <c r="AJ1" s="183">
        <v>2024</v>
      </c>
      <c r="AK1" s="183">
        <v>2024</v>
      </c>
      <c r="AL1" s="183">
        <v>2025</v>
      </c>
      <c r="AM1" s="183">
        <v>2025</v>
      </c>
      <c r="AN1" s="183">
        <v>2025</v>
      </c>
      <c r="AO1" s="183">
        <v>2025</v>
      </c>
    </row>
    <row r="2" spans="1:222" ht="15" x14ac:dyDescent="0.25">
      <c r="A2" s="184"/>
      <c r="B2" s="185" t="s">
        <v>163</v>
      </c>
      <c r="C2" s="186"/>
      <c r="D2" s="223" t="s">
        <v>80</v>
      </c>
      <c r="E2" s="223"/>
      <c r="F2" s="223"/>
      <c r="G2" s="223"/>
      <c r="H2" s="223" t="s">
        <v>92</v>
      </c>
      <c r="I2" s="223"/>
      <c r="J2" s="223"/>
      <c r="K2" s="223"/>
      <c r="L2" s="223" t="s">
        <v>134</v>
      </c>
      <c r="M2" s="223"/>
      <c r="N2" s="223"/>
      <c r="O2" s="223"/>
      <c r="P2" s="223" t="s">
        <v>136</v>
      </c>
      <c r="Q2" s="223"/>
      <c r="R2" s="223"/>
      <c r="S2" s="223"/>
      <c r="T2" s="223" t="s">
        <v>137</v>
      </c>
      <c r="U2" s="223"/>
      <c r="V2" s="223"/>
      <c r="W2" s="223"/>
      <c r="X2" s="223" t="s">
        <v>138</v>
      </c>
      <c r="Y2" s="223"/>
      <c r="Z2" s="223"/>
      <c r="AA2" s="223"/>
      <c r="AB2" s="223" t="s">
        <v>139</v>
      </c>
      <c r="AC2" s="223"/>
      <c r="AD2" s="223"/>
      <c r="AE2" s="223"/>
      <c r="AF2" s="223" t="s">
        <v>140</v>
      </c>
      <c r="AG2" s="223"/>
      <c r="AH2" s="223"/>
      <c r="AI2" s="223"/>
      <c r="AJ2" s="222" t="s">
        <v>166</v>
      </c>
      <c r="AK2" s="222"/>
      <c r="AL2" s="222"/>
      <c r="AM2" s="222"/>
      <c r="AN2" s="222" t="s">
        <v>167</v>
      </c>
      <c r="AO2" s="222"/>
      <c r="AP2" s="187"/>
      <c r="AQ2" s="187"/>
      <c r="AR2" s="187"/>
      <c r="AS2" s="187"/>
      <c r="AT2" s="187"/>
      <c r="AU2" s="187"/>
      <c r="AV2" s="187"/>
      <c r="AW2" s="187"/>
      <c r="AX2" s="187"/>
      <c r="AY2" s="187"/>
      <c r="AZ2" s="187"/>
      <c r="BA2" s="187"/>
      <c r="BB2" s="187"/>
      <c r="BC2" s="187"/>
      <c r="BD2" s="187"/>
      <c r="BE2" s="187"/>
      <c r="BF2" s="187"/>
      <c r="BG2" s="187"/>
      <c r="BH2" s="187"/>
      <c r="BI2" s="187"/>
      <c r="BJ2" s="187"/>
      <c r="BK2" s="187"/>
      <c r="BL2" s="187"/>
      <c r="BM2" s="187"/>
      <c r="BN2" s="187"/>
      <c r="BO2" s="187"/>
      <c r="BP2" s="187"/>
      <c r="BQ2" s="187"/>
      <c r="BR2" s="187"/>
      <c r="BS2" s="187"/>
      <c r="BT2" s="187"/>
      <c r="BU2" s="187"/>
      <c r="BV2" s="187"/>
      <c r="BW2" s="187"/>
      <c r="BX2" s="187"/>
      <c r="BY2" s="187"/>
      <c r="BZ2" s="187"/>
      <c r="CA2" s="187"/>
      <c r="CB2" s="187"/>
      <c r="CC2" s="187"/>
      <c r="CD2" s="187"/>
      <c r="CE2" s="187"/>
      <c r="CF2" s="187"/>
      <c r="CG2" s="187"/>
      <c r="CH2" s="187"/>
      <c r="CI2" s="187"/>
      <c r="CJ2" s="187"/>
      <c r="CK2" s="187"/>
      <c r="CL2" s="187"/>
      <c r="CM2" s="187"/>
      <c r="CN2" s="187"/>
      <c r="CO2" s="187"/>
      <c r="CP2" s="187"/>
      <c r="CQ2" s="187"/>
      <c r="CR2" s="187"/>
      <c r="CS2" s="187"/>
      <c r="CT2" s="187"/>
      <c r="CU2" s="187"/>
      <c r="CV2" s="187"/>
      <c r="CW2" s="187"/>
      <c r="CX2" s="187"/>
      <c r="CY2" s="187"/>
      <c r="CZ2" s="187"/>
      <c r="DA2" s="187"/>
      <c r="DB2" s="187"/>
      <c r="DC2" s="187"/>
      <c r="DD2" s="187"/>
      <c r="DE2" s="187"/>
      <c r="DF2" s="187"/>
      <c r="DG2" s="187"/>
      <c r="DH2" s="187"/>
      <c r="DI2" s="187"/>
      <c r="DJ2" s="187"/>
      <c r="DK2" s="187"/>
      <c r="DL2" s="187"/>
      <c r="DM2" s="187"/>
      <c r="DN2" s="187"/>
      <c r="DO2" s="187"/>
      <c r="DP2" s="187"/>
      <c r="DQ2" s="187"/>
      <c r="DR2" s="187"/>
      <c r="DS2" s="187"/>
      <c r="DT2" s="187"/>
      <c r="DU2" s="187"/>
      <c r="DV2" s="187"/>
      <c r="DW2" s="187"/>
      <c r="DX2" s="187"/>
      <c r="DY2" s="187"/>
      <c r="DZ2" s="187"/>
      <c r="EA2" s="187"/>
      <c r="EB2" s="187"/>
      <c r="EC2" s="187"/>
      <c r="ED2" s="187"/>
      <c r="EE2" s="187"/>
      <c r="EF2" s="187"/>
      <c r="EG2" s="187"/>
      <c r="EH2" s="187"/>
      <c r="EI2" s="187"/>
      <c r="EJ2" s="187"/>
      <c r="EK2" s="187"/>
      <c r="EL2" s="187"/>
      <c r="EM2" s="187"/>
      <c r="EN2" s="187"/>
      <c r="EO2" s="187"/>
      <c r="EP2" s="187"/>
      <c r="EQ2" s="187"/>
      <c r="ER2" s="187"/>
      <c r="ES2" s="187"/>
      <c r="ET2" s="187"/>
      <c r="EU2" s="187"/>
      <c r="EV2" s="187"/>
      <c r="EW2" s="187"/>
      <c r="EX2" s="187"/>
      <c r="EY2" s="187"/>
      <c r="EZ2" s="187"/>
      <c r="FA2" s="187"/>
      <c r="FB2" s="187"/>
      <c r="FC2" s="187"/>
      <c r="FD2" s="187"/>
      <c r="FE2" s="187"/>
      <c r="FF2" s="187"/>
      <c r="FG2" s="187"/>
      <c r="FH2" s="187"/>
      <c r="FI2" s="187"/>
      <c r="FJ2" s="187"/>
      <c r="FK2" s="187"/>
      <c r="FL2" s="187"/>
      <c r="FM2" s="187"/>
      <c r="FN2" s="187"/>
      <c r="FO2" s="187"/>
      <c r="FP2" s="187"/>
      <c r="FQ2" s="187"/>
      <c r="FR2" s="187"/>
      <c r="FS2" s="187"/>
      <c r="FT2" s="187"/>
      <c r="FU2" s="187"/>
      <c r="FV2" s="187"/>
      <c r="FW2" s="187"/>
      <c r="FX2" s="187"/>
      <c r="FY2" s="187"/>
      <c r="FZ2" s="187"/>
      <c r="GA2" s="187"/>
      <c r="GB2" s="187"/>
      <c r="GC2" s="187"/>
      <c r="GD2" s="187"/>
      <c r="GE2" s="187"/>
      <c r="GF2" s="187"/>
      <c r="GG2" s="187"/>
      <c r="GH2" s="187"/>
      <c r="GI2" s="187"/>
      <c r="GJ2" s="187"/>
      <c r="GK2" s="187"/>
      <c r="GL2" s="187"/>
      <c r="GM2" s="187"/>
      <c r="GN2" s="187"/>
      <c r="GO2" s="187"/>
      <c r="GP2" s="187"/>
      <c r="GQ2" s="187"/>
      <c r="GR2" s="187"/>
      <c r="GS2" s="187"/>
      <c r="GT2" s="187"/>
      <c r="GU2" s="187"/>
      <c r="GV2" s="187"/>
      <c r="GW2" s="187"/>
      <c r="GX2" s="187"/>
      <c r="GY2" s="187"/>
      <c r="GZ2" s="187"/>
      <c r="HA2" s="187"/>
      <c r="HB2" s="187"/>
      <c r="HC2" s="187"/>
      <c r="HD2" s="187"/>
      <c r="HE2" s="187"/>
      <c r="HF2" s="187"/>
      <c r="HG2" s="187"/>
      <c r="HH2" s="187"/>
      <c r="HI2" s="187"/>
      <c r="HJ2" s="187"/>
      <c r="HK2" s="187"/>
      <c r="HL2" s="187"/>
      <c r="HM2" s="187"/>
      <c r="HN2" s="187"/>
    </row>
    <row r="3" spans="1:222" ht="15" x14ac:dyDescent="0.25">
      <c r="A3" s="191"/>
      <c r="B3" s="192" t="s">
        <v>162</v>
      </c>
      <c r="C3" s="189"/>
      <c r="D3" s="188" t="s">
        <v>46</v>
      </c>
      <c r="E3" s="188" t="s">
        <v>47</v>
      </c>
      <c r="F3" s="188" t="s">
        <v>48</v>
      </c>
      <c r="G3" s="188" t="s">
        <v>49</v>
      </c>
      <c r="H3" s="188" t="s">
        <v>46</v>
      </c>
      <c r="I3" s="188" t="s">
        <v>47</v>
      </c>
      <c r="J3" s="188" t="s">
        <v>48</v>
      </c>
      <c r="K3" s="188" t="s">
        <v>49</v>
      </c>
      <c r="L3" s="188" t="s">
        <v>46</v>
      </c>
      <c r="M3" s="188" t="s">
        <v>47</v>
      </c>
      <c r="N3" s="188" t="s">
        <v>48</v>
      </c>
      <c r="O3" s="188" t="s">
        <v>49</v>
      </c>
      <c r="P3" s="188" t="s">
        <v>46</v>
      </c>
      <c r="Q3" s="188" t="s">
        <v>47</v>
      </c>
      <c r="R3" s="188" t="s">
        <v>48</v>
      </c>
      <c r="S3" s="188" t="s">
        <v>49</v>
      </c>
      <c r="T3" s="188" t="s">
        <v>46</v>
      </c>
      <c r="U3" s="188" t="s">
        <v>47</v>
      </c>
      <c r="V3" s="188" t="s">
        <v>48</v>
      </c>
      <c r="W3" s="188" t="s">
        <v>49</v>
      </c>
      <c r="X3" s="188" t="s">
        <v>46</v>
      </c>
      <c r="Y3" s="188" t="s">
        <v>47</v>
      </c>
      <c r="Z3" s="188" t="s">
        <v>48</v>
      </c>
      <c r="AA3" s="188" t="s">
        <v>49</v>
      </c>
      <c r="AB3" s="188" t="s">
        <v>46</v>
      </c>
      <c r="AC3" s="188" t="s">
        <v>47</v>
      </c>
      <c r="AD3" s="188" t="s">
        <v>48</v>
      </c>
      <c r="AE3" s="188" t="s">
        <v>49</v>
      </c>
      <c r="AF3" s="188" t="s">
        <v>46</v>
      </c>
      <c r="AG3" s="188" t="s">
        <v>47</v>
      </c>
      <c r="AH3" s="188" t="s">
        <v>48</v>
      </c>
      <c r="AI3" s="188" t="s">
        <v>49</v>
      </c>
      <c r="AJ3" s="188" t="s">
        <v>46</v>
      </c>
      <c r="AK3" s="188" t="s">
        <v>47</v>
      </c>
      <c r="AL3" s="188" t="s">
        <v>48</v>
      </c>
      <c r="AM3" s="188" t="s">
        <v>49</v>
      </c>
      <c r="AN3" s="188" t="s">
        <v>46</v>
      </c>
      <c r="AO3" s="188" t="s">
        <v>47</v>
      </c>
      <c r="AP3" s="189"/>
      <c r="AQ3" s="189"/>
      <c r="AR3" s="189"/>
      <c r="AS3" s="189"/>
      <c r="AT3" s="189"/>
      <c r="AU3" s="189"/>
      <c r="AV3" s="189"/>
      <c r="AW3" s="189"/>
      <c r="AX3" s="189"/>
      <c r="AY3" s="189"/>
      <c r="AZ3" s="189"/>
      <c r="BA3" s="189"/>
      <c r="BB3" s="189"/>
      <c r="BC3" s="189"/>
      <c r="BD3" s="189"/>
      <c r="BE3" s="189"/>
      <c r="BF3" s="189"/>
      <c r="BG3" s="189"/>
      <c r="BH3" s="189"/>
      <c r="BI3" s="189"/>
      <c r="BJ3" s="189"/>
      <c r="BK3" s="189"/>
      <c r="BL3" s="189"/>
      <c r="BM3" s="189"/>
      <c r="BN3" s="189"/>
      <c r="BO3" s="189"/>
      <c r="BP3" s="189"/>
      <c r="BQ3" s="189"/>
      <c r="BR3" s="189"/>
      <c r="BS3" s="189"/>
      <c r="BT3" s="189"/>
      <c r="BU3" s="189"/>
      <c r="BV3" s="189"/>
      <c r="BW3" s="189"/>
      <c r="BX3" s="189"/>
      <c r="BY3" s="189"/>
      <c r="BZ3" s="189"/>
      <c r="CA3" s="189"/>
      <c r="CB3" s="189"/>
      <c r="CC3" s="189"/>
      <c r="CD3" s="189"/>
      <c r="CE3" s="189"/>
      <c r="CF3" s="189"/>
      <c r="CG3" s="189"/>
      <c r="CH3" s="189"/>
      <c r="CI3" s="189"/>
      <c r="CJ3" s="189"/>
      <c r="CK3" s="189"/>
      <c r="CL3" s="189"/>
      <c r="CM3" s="189"/>
      <c r="CN3" s="189"/>
      <c r="CO3" s="189"/>
      <c r="CP3" s="189"/>
      <c r="CQ3" s="189"/>
      <c r="CR3" s="189"/>
      <c r="CS3" s="189"/>
      <c r="CT3" s="189"/>
      <c r="CU3" s="189"/>
      <c r="CV3" s="189"/>
      <c r="CW3" s="189"/>
      <c r="CX3" s="189"/>
      <c r="CY3" s="189"/>
      <c r="CZ3" s="189"/>
      <c r="DA3" s="189"/>
      <c r="DB3" s="189"/>
      <c r="DC3" s="189"/>
      <c r="DD3" s="189"/>
      <c r="DE3" s="189"/>
      <c r="DF3" s="189"/>
      <c r="DG3" s="189"/>
      <c r="DH3" s="189"/>
      <c r="DI3" s="189"/>
      <c r="DJ3" s="189"/>
      <c r="DK3" s="189"/>
      <c r="DL3" s="189"/>
      <c r="DM3" s="189"/>
      <c r="DN3" s="189"/>
      <c r="DO3" s="189"/>
      <c r="DP3" s="189"/>
      <c r="DQ3" s="189"/>
      <c r="DR3" s="189"/>
      <c r="DS3" s="189"/>
      <c r="DT3" s="189"/>
      <c r="DU3" s="189"/>
      <c r="DV3" s="189"/>
      <c r="DW3" s="189"/>
      <c r="DX3" s="189"/>
      <c r="DY3" s="189"/>
      <c r="DZ3" s="189"/>
      <c r="EA3" s="189"/>
      <c r="EB3" s="189"/>
      <c r="EC3" s="189"/>
      <c r="ED3" s="189"/>
      <c r="EE3" s="189"/>
      <c r="EF3" s="189"/>
      <c r="EG3" s="189"/>
      <c r="EH3" s="189"/>
      <c r="EI3" s="189"/>
      <c r="EJ3" s="189"/>
      <c r="EK3" s="189"/>
      <c r="EL3" s="189"/>
      <c r="EM3" s="189"/>
      <c r="EN3" s="189"/>
      <c r="EO3" s="189"/>
      <c r="EP3" s="189"/>
      <c r="EQ3" s="189"/>
      <c r="ER3" s="189"/>
      <c r="ES3" s="189"/>
      <c r="ET3" s="189"/>
      <c r="EU3" s="189"/>
      <c r="EV3" s="189"/>
      <c r="EW3" s="189"/>
      <c r="EX3" s="189"/>
      <c r="EY3" s="189"/>
      <c r="EZ3" s="189"/>
      <c r="FA3" s="189"/>
      <c r="FB3" s="189"/>
      <c r="FC3" s="189"/>
      <c r="FD3" s="189"/>
      <c r="FE3" s="189"/>
      <c r="FF3" s="189"/>
      <c r="FG3" s="189"/>
      <c r="FH3" s="189"/>
      <c r="FI3" s="189"/>
      <c r="FJ3" s="189"/>
      <c r="FK3" s="189"/>
      <c r="FL3" s="189"/>
      <c r="FM3" s="189"/>
      <c r="FN3" s="189"/>
      <c r="FO3" s="189"/>
      <c r="FP3" s="189"/>
      <c r="FQ3" s="189"/>
      <c r="FR3" s="189"/>
      <c r="FS3" s="189"/>
      <c r="FT3" s="189"/>
      <c r="FU3" s="189"/>
      <c r="FV3" s="189"/>
      <c r="FW3" s="189"/>
      <c r="FX3" s="189"/>
      <c r="FY3" s="189"/>
      <c r="FZ3" s="189"/>
      <c r="GA3" s="189"/>
      <c r="GB3" s="189"/>
      <c r="GC3" s="189"/>
      <c r="GD3" s="189"/>
      <c r="GE3" s="189"/>
      <c r="GF3" s="189"/>
      <c r="GG3" s="189"/>
      <c r="GH3" s="189"/>
      <c r="GI3" s="189"/>
      <c r="GJ3" s="189"/>
      <c r="GK3" s="189"/>
      <c r="GL3" s="189"/>
      <c r="GM3" s="189"/>
      <c r="GN3" s="189"/>
      <c r="GO3" s="189"/>
      <c r="GP3" s="189"/>
      <c r="GQ3" s="189"/>
      <c r="GR3" s="189"/>
      <c r="GS3" s="189"/>
      <c r="GT3" s="189"/>
      <c r="GU3" s="189"/>
      <c r="GV3" s="189"/>
      <c r="GW3" s="189"/>
      <c r="GX3" s="189"/>
      <c r="GY3" s="189"/>
      <c r="GZ3" s="189"/>
      <c r="HA3" s="189"/>
      <c r="HB3" s="189"/>
      <c r="HC3" s="189"/>
      <c r="HD3" s="189"/>
      <c r="HE3" s="189"/>
      <c r="HF3" s="189"/>
      <c r="HG3" s="189"/>
      <c r="HH3" s="189"/>
      <c r="HI3" s="189"/>
      <c r="HJ3" s="189"/>
      <c r="HK3" s="189"/>
      <c r="HL3" s="189"/>
      <c r="HM3" s="189"/>
      <c r="HN3" s="189"/>
    </row>
    <row r="4" spans="1:222" ht="15" x14ac:dyDescent="0.25">
      <c r="A4" s="191"/>
      <c r="B4" s="192" t="s">
        <v>160</v>
      </c>
      <c r="C4" s="191"/>
      <c r="D4" s="172">
        <v>20866.504249848349</v>
      </c>
      <c r="E4" s="172">
        <v>21624.379673239157</v>
      </c>
      <c r="F4" s="172">
        <v>21469.230474726854</v>
      </c>
      <c r="G4" s="172">
        <v>21848.359853360827</v>
      </c>
      <c r="H4" s="172">
        <v>23234.402863659769</v>
      </c>
      <c r="I4" s="172">
        <v>22531.396760562777</v>
      </c>
      <c r="J4" s="172">
        <v>23929.195720757041</v>
      </c>
      <c r="K4" s="172">
        <v>24465.424091892513</v>
      </c>
      <c r="L4" s="172">
        <v>24014.064640342534</v>
      </c>
      <c r="M4" s="172">
        <v>24570.02761860258</v>
      </c>
      <c r="N4" s="172">
        <v>25450.291448168526</v>
      </c>
      <c r="O4" s="172">
        <v>26615.656004437056</v>
      </c>
      <c r="P4" s="172">
        <v>26810.446125859795</v>
      </c>
      <c r="Q4" s="172">
        <v>27158.448481750707</v>
      </c>
      <c r="R4" s="172">
        <v>25764.173885729917</v>
      </c>
      <c r="S4" s="172">
        <v>24206.286936073808</v>
      </c>
      <c r="T4" s="172">
        <v>26703.547305537009</v>
      </c>
      <c r="U4" s="172">
        <v>27548.115620561497</v>
      </c>
      <c r="V4" s="172">
        <v>27979.496488426295</v>
      </c>
      <c r="W4" s="172">
        <v>28057.962745319954</v>
      </c>
      <c r="X4" s="172">
        <v>26781.943343075305</v>
      </c>
      <c r="Y4" s="172">
        <v>27666.106144995181</v>
      </c>
      <c r="Z4" s="172">
        <v>30031.895655634962</v>
      </c>
      <c r="AA4" s="172">
        <v>30618.68168436566</v>
      </c>
      <c r="AB4" s="172">
        <v>29736.483047065816</v>
      </c>
      <c r="AC4" s="172">
        <v>29549.964581924316</v>
      </c>
      <c r="AD4" s="172">
        <v>29681.132465126568</v>
      </c>
      <c r="AE4" s="172">
        <v>30502.591691741189</v>
      </c>
      <c r="AF4" s="172">
        <v>30846.838463762346</v>
      </c>
      <c r="AG4" s="172">
        <v>30560.551225201678</v>
      </c>
      <c r="AH4" s="172">
        <v>29675.691214731796</v>
      </c>
      <c r="AI4" s="172">
        <v>31243.748185936191</v>
      </c>
      <c r="AJ4" s="172">
        <v>33017.466513513013</v>
      </c>
      <c r="AK4" s="172">
        <v>32059.567697913488</v>
      </c>
      <c r="AL4" s="172">
        <v>35973.091318119041</v>
      </c>
      <c r="AM4" s="172">
        <v>34071.25613106638</v>
      </c>
      <c r="AN4" s="172">
        <v>37320.649623725025</v>
      </c>
      <c r="AO4" s="172">
        <v>37744.521885550304</v>
      </c>
      <c r="AP4" s="191"/>
      <c r="AQ4" s="191"/>
      <c r="AR4" s="191"/>
      <c r="AS4" s="191"/>
      <c r="AT4" s="191"/>
      <c r="AU4" s="191"/>
      <c r="AV4" s="191"/>
      <c r="AW4" s="191"/>
      <c r="AX4" s="191"/>
      <c r="AY4" s="191"/>
      <c r="AZ4" s="191"/>
      <c r="BA4" s="191"/>
      <c r="BB4" s="191"/>
      <c r="BC4" s="191"/>
      <c r="BD4" s="191"/>
      <c r="BE4" s="191"/>
      <c r="BF4" s="191"/>
      <c r="BG4" s="191"/>
      <c r="BH4" s="191"/>
      <c r="BI4" s="191"/>
      <c r="BJ4" s="191"/>
      <c r="BK4" s="191"/>
      <c r="BL4" s="191"/>
      <c r="BM4" s="191"/>
      <c r="BN4" s="191"/>
      <c r="BO4" s="191"/>
      <c r="BP4" s="191"/>
      <c r="BQ4" s="191"/>
      <c r="BR4" s="191"/>
      <c r="BS4" s="191"/>
      <c r="BT4" s="191"/>
      <c r="BU4" s="191"/>
      <c r="BV4" s="191"/>
      <c r="BW4" s="191"/>
      <c r="BX4" s="191"/>
      <c r="BY4" s="191"/>
      <c r="BZ4" s="191"/>
      <c r="CA4" s="191"/>
      <c r="CB4" s="191"/>
      <c r="CC4" s="191"/>
      <c r="CD4" s="191"/>
      <c r="CE4" s="191"/>
      <c r="CF4" s="191"/>
      <c r="CG4" s="191"/>
      <c r="CH4" s="191"/>
      <c r="CI4" s="191"/>
      <c r="CJ4" s="191"/>
      <c r="CK4" s="191"/>
      <c r="CL4" s="191"/>
      <c r="CM4" s="191"/>
      <c r="CN4" s="191"/>
      <c r="CO4" s="191"/>
      <c r="CP4" s="191"/>
      <c r="CQ4" s="191"/>
      <c r="CR4" s="191"/>
      <c r="CS4" s="191"/>
      <c r="CT4" s="191"/>
      <c r="CU4" s="191"/>
      <c r="CV4" s="191"/>
      <c r="CW4" s="191"/>
      <c r="CX4" s="191"/>
      <c r="CY4" s="191"/>
      <c r="CZ4" s="191"/>
      <c r="DA4" s="191"/>
      <c r="DB4" s="191"/>
      <c r="DC4" s="191"/>
      <c r="DD4" s="191"/>
      <c r="DE4" s="191"/>
      <c r="DF4" s="191"/>
      <c r="DG4" s="191"/>
      <c r="DH4" s="191"/>
      <c r="DI4" s="191"/>
      <c r="DJ4" s="191"/>
      <c r="DK4" s="191"/>
      <c r="DL4" s="191"/>
      <c r="DM4" s="191"/>
      <c r="DN4" s="191"/>
      <c r="DO4" s="191"/>
      <c r="DP4" s="191"/>
      <c r="DQ4" s="191"/>
      <c r="DR4" s="191"/>
      <c r="DS4" s="191"/>
      <c r="DT4" s="191"/>
      <c r="DU4" s="191"/>
      <c r="DV4" s="191"/>
      <c r="DW4" s="191"/>
      <c r="DX4" s="191"/>
      <c r="DY4" s="191"/>
      <c r="DZ4" s="191"/>
      <c r="EA4" s="191"/>
      <c r="EB4" s="191"/>
      <c r="EC4" s="191"/>
      <c r="ED4" s="191"/>
      <c r="EE4" s="191"/>
      <c r="EF4" s="191"/>
      <c r="EG4" s="191"/>
      <c r="EH4" s="191"/>
      <c r="EI4" s="191"/>
      <c r="EJ4" s="191"/>
      <c r="EK4" s="191"/>
      <c r="EL4" s="191"/>
      <c r="EM4" s="191"/>
      <c r="EN4" s="191"/>
      <c r="EO4" s="191"/>
      <c r="EP4" s="191"/>
      <c r="EQ4" s="191"/>
      <c r="ER4" s="191"/>
      <c r="ES4" s="191"/>
      <c r="ET4" s="191"/>
      <c r="EU4" s="191"/>
      <c r="EV4" s="191"/>
      <c r="EW4" s="191"/>
      <c r="EX4" s="191"/>
      <c r="EY4" s="191"/>
      <c r="EZ4" s="191"/>
      <c r="FA4" s="191"/>
      <c r="FB4" s="191"/>
      <c r="FC4" s="191"/>
      <c r="FD4" s="191"/>
      <c r="FE4" s="191"/>
      <c r="FF4" s="191"/>
      <c r="FG4" s="191"/>
      <c r="FH4" s="191"/>
      <c r="FI4" s="191"/>
      <c r="FJ4" s="191"/>
      <c r="FK4" s="191"/>
      <c r="FL4" s="191"/>
      <c r="FM4" s="191"/>
      <c r="FN4" s="191"/>
      <c r="FO4" s="191"/>
      <c r="FP4" s="191"/>
      <c r="FQ4" s="191"/>
      <c r="FR4" s="191"/>
      <c r="FS4" s="191"/>
      <c r="FT4" s="191"/>
      <c r="FU4" s="191"/>
      <c r="FV4" s="191"/>
      <c r="FW4" s="191"/>
      <c r="FX4" s="191"/>
      <c r="FY4" s="191"/>
      <c r="FZ4" s="191"/>
      <c r="GA4" s="191"/>
      <c r="GB4" s="191"/>
      <c r="GC4" s="191"/>
      <c r="GD4" s="191"/>
      <c r="GE4" s="191"/>
      <c r="GF4" s="191"/>
      <c r="GG4" s="191"/>
      <c r="GH4" s="191"/>
      <c r="GI4" s="191"/>
      <c r="GJ4" s="191"/>
      <c r="GK4" s="191"/>
      <c r="GL4" s="191"/>
      <c r="GM4" s="191"/>
      <c r="GN4" s="191"/>
      <c r="GO4" s="191"/>
      <c r="GP4" s="191"/>
      <c r="GQ4" s="191"/>
      <c r="GR4" s="191"/>
      <c r="GS4" s="191"/>
      <c r="GT4" s="191"/>
      <c r="GU4" s="191"/>
      <c r="GV4" s="191"/>
      <c r="GW4" s="191"/>
      <c r="GX4" s="191"/>
      <c r="GY4" s="191"/>
      <c r="GZ4" s="191"/>
      <c r="HA4" s="191"/>
      <c r="HB4" s="191"/>
      <c r="HC4" s="191"/>
      <c r="HD4" s="191"/>
      <c r="HE4" s="191"/>
      <c r="HF4" s="191"/>
      <c r="HG4" s="191"/>
      <c r="HH4" s="191"/>
      <c r="HI4" s="191"/>
      <c r="HJ4" s="191"/>
      <c r="HK4" s="191"/>
      <c r="HL4" s="191"/>
      <c r="HM4" s="191"/>
      <c r="HN4" s="191"/>
    </row>
    <row r="5" spans="1:222" ht="15" x14ac:dyDescent="0.25">
      <c r="A5" s="191"/>
      <c r="B5" s="193" t="s">
        <v>159</v>
      </c>
      <c r="C5" s="189"/>
      <c r="D5" s="189">
        <v>2125.8237303710903</v>
      </c>
      <c r="E5" s="189">
        <v>2056.8745718431724</v>
      </c>
      <c r="F5" s="189">
        <v>2160.4491951673444</v>
      </c>
      <c r="G5" s="189">
        <v>2341.5332438240944</v>
      </c>
      <c r="H5" s="189">
        <v>2503.023276733094</v>
      </c>
      <c r="I5" s="189">
        <v>2510.6965232648931</v>
      </c>
      <c r="J5" s="189">
        <v>2582.7471879340819</v>
      </c>
      <c r="K5" s="189">
        <v>2484.8509538775584</v>
      </c>
      <c r="L5" s="189">
        <v>2569.9552868573287</v>
      </c>
      <c r="M5" s="189">
        <v>2612.3412655848829</v>
      </c>
      <c r="N5" s="189">
        <v>2582.1499052094982</v>
      </c>
      <c r="O5" s="189">
        <v>3063.6103482899489</v>
      </c>
      <c r="P5" s="189">
        <v>2791.201372840319</v>
      </c>
      <c r="Q5" s="189">
        <v>3218.175052708164</v>
      </c>
      <c r="R5" s="189">
        <v>3117.5103822895871</v>
      </c>
      <c r="S5" s="189">
        <v>3110.5180650812536</v>
      </c>
      <c r="T5" s="189">
        <v>2989.717418411798</v>
      </c>
      <c r="U5" s="189">
        <v>3398.501587849049</v>
      </c>
      <c r="V5" s="189">
        <v>3449.4979359854306</v>
      </c>
      <c r="W5" s="189">
        <v>3218.8401848094941</v>
      </c>
      <c r="X5" s="189">
        <v>3150.4521901719818</v>
      </c>
      <c r="Y5" s="189">
        <v>3092.630384156595</v>
      </c>
      <c r="Z5" s="189">
        <v>3720.2050965004782</v>
      </c>
      <c r="AA5" s="189">
        <v>3747.1477843962175</v>
      </c>
      <c r="AB5" s="189">
        <v>3701.221293640338</v>
      </c>
      <c r="AC5" s="189">
        <v>3728.5539372469962</v>
      </c>
      <c r="AD5" s="189">
        <v>3461.7289499875601</v>
      </c>
      <c r="AE5" s="189">
        <v>3402.8237730491087</v>
      </c>
      <c r="AF5" s="189">
        <v>3687.278263676285</v>
      </c>
      <c r="AG5" s="189">
        <v>3703.5601521321682</v>
      </c>
      <c r="AH5" s="189">
        <v>4117.4003081425108</v>
      </c>
      <c r="AI5" s="189">
        <v>4827.7031075379527</v>
      </c>
      <c r="AJ5" s="189">
        <v>4891.0868457779443</v>
      </c>
      <c r="AK5" s="189">
        <v>5186.022220249889</v>
      </c>
      <c r="AL5" s="189">
        <v>5565.7578299744619</v>
      </c>
      <c r="AM5" s="189">
        <v>5475.8988148227372</v>
      </c>
      <c r="AN5" s="189">
        <v>5817.0223934576588</v>
      </c>
      <c r="AO5" s="189">
        <v>5656.5524942021411</v>
      </c>
      <c r="AP5" s="189"/>
      <c r="AQ5" s="189"/>
      <c r="AR5" s="189"/>
      <c r="AS5" s="189"/>
      <c r="AT5" s="189"/>
      <c r="AU5" s="189"/>
      <c r="AV5" s="189"/>
      <c r="AW5" s="189"/>
      <c r="AX5" s="189"/>
      <c r="AY5" s="189"/>
      <c r="AZ5" s="189"/>
      <c r="BA5" s="189"/>
      <c r="BB5" s="189"/>
      <c r="BC5" s="189"/>
      <c r="BD5" s="189"/>
      <c r="BE5" s="189"/>
      <c r="BF5" s="189"/>
      <c r="BG5" s="189"/>
      <c r="BH5" s="189"/>
      <c r="BI5" s="189"/>
      <c r="BJ5" s="189"/>
      <c r="BK5" s="189"/>
      <c r="BL5" s="189"/>
      <c r="BM5" s="189"/>
      <c r="BN5" s="189"/>
      <c r="BO5" s="189"/>
      <c r="BP5" s="189"/>
      <c r="BQ5" s="189"/>
      <c r="BR5" s="189"/>
      <c r="BS5" s="189"/>
      <c r="BT5" s="189"/>
      <c r="BU5" s="189"/>
      <c r="BV5" s="189"/>
      <c r="BW5" s="189"/>
      <c r="BX5" s="189"/>
      <c r="BY5" s="189"/>
      <c r="BZ5" s="189"/>
      <c r="CA5" s="189"/>
      <c r="CB5" s="189"/>
      <c r="CC5" s="189"/>
      <c r="CD5" s="189"/>
      <c r="CE5" s="189"/>
      <c r="CF5" s="189"/>
      <c r="CG5" s="189"/>
      <c r="CH5" s="189"/>
      <c r="CI5" s="189"/>
      <c r="CJ5" s="189"/>
      <c r="CK5" s="189"/>
      <c r="CL5" s="189"/>
      <c r="CM5" s="189"/>
      <c r="CN5" s="189"/>
      <c r="CO5" s="189"/>
      <c r="CP5" s="189"/>
      <c r="CQ5" s="189"/>
      <c r="CR5" s="189"/>
      <c r="CS5" s="189"/>
      <c r="CT5" s="189"/>
      <c r="CU5" s="189"/>
      <c r="CV5" s="189"/>
      <c r="CW5" s="189"/>
      <c r="CX5" s="189"/>
      <c r="CY5" s="189"/>
      <c r="CZ5" s="189"/>
      <c r="DA5" s="189"/>
      <c r="DB5" s="189"/>
      <c r="DC5" s="189"/>
      <c r="DD5" s="189"/>
      <c r="DE5" s="189"/>
      <c r="DF5" s="189"/>
      <c r="DG5" s="189"/>
      <c r="DH5" s="189"/>
      <c r="DI5" s="189"/>
      <c r="DJ5" s="189"/>
      <c r="DK5" s="189"/>
      <c r="DL5" s="189"/>
      <c r="DM5" s="189"/>
      <c r="DN5" s="189"/>
      <c r="DO5" s="189"/>
      <c r="DP5" s="189"/>
      <c r="DQ5" s="189"/>
      <c r="DR5" s="189"/>
      <c r="DS5" s="189"/>
      <c r="DT5" s="189"/>
      <c r="DU5" s="189"/>
      <c r="DV5" s="189"/>
      <c r="DW5" s="189"/>
      <c r="DX5" s="189"/>
      <c r="DY5" s="189"/>
      <c r="DZ5" s="189"/>
      <c r="EA5" s="189"/>
      <c r="EB5" s="189"/>
      <c r="EC5" s="189"/>
      <c r="ED5" s="189"/>
      <c r="EE5" s="189"/>
      <c r="EF5" s="189"/>
      <c r="EG5" s="189"/>
      <c r="EH5" s="189"/>
      <c r="EI5" s="189"/>
      <c r="EJ5" s="189"/>
      <c r="EK5" s="189"/>
      <c r="EL5" s="189"/>
      <c r="EM5" s="189"/>
      <c r="EN5" s="189"/>
      <c r="EO5" s="189"/>
      <c r="EP5" s="189"/>
      <c r="EQ5" s="189"/>
      <c r="ER5" s="189"/>
      <c r="ES5" s="189"/>
      <c r="ET5" s="189"/>
      <c r="EU5" s="189"/>
      <c r="EV5" s="189"/>
      <c r="EW5" s="189"/>
      <c r="EX5" s="189"/>
      <c r="EY5" s="189"/>
      <c r="EZ5" s="189"/>
      <c r="FA5" s="189"/>
      <c r="FB5" s="189"/>
      <c r="FC5" s="189"/>
      <c r="FD5" s="189"/>
      <c r="FE5" s="189"/>
      <c r="FF5" s="189"/>
      <c r="FG5" s="189"/>
      <c r="FH5" s="189"/>
      <c r="FI5" s="189"/>
      <c r="FJ5" s="189"/>
      <c r="FK5" s="189"/>
      <c r="FL5" s="189"/>
      <c r="FM5" s="189"/>
      <c r="FN5" s="189"/>
      <c r="FO5" s="189"/>
      <c r="FP5" s="189"/>
      <c r="FQ5" s="189"/>
      <c r="FR5" s="189"/>
      <c r="FS5" s="189"/>
      <c r="FT5" s="189"/>
      <c r="FU5" s="189"/>
      <c r="FV5" s="189"/>
      <c r="FW5" s="189"/>
      <c r="FX5" s="189"/>
      <c r="FY5" s="189"/>
      <c r="FZ5" s="189"/>
      <c r="GA5" s="189"/>
      <c r="GB5" s="189"/>
      <c r="GC5" s="189"/>
      <c r="GD5" s="189"/>
      <c r="GE5" s="189"/>
      <c r="GF5" s="189"/>
      <c r="GG5" s="189"/>
      <c r="GH5" s="189"/>
      <c r="GI5" s="189"/>
      <c r="GJ5" s="189"/>
      <c r="GK5" s="189"/>
      <c r="GL5" s="189"/>
      <c r="GM5" s="189"/>
      <c r="GN5" s="189"/>
      <c r="GO5" s="189"/>
      <c r="GP5" s="189"/>
      <c r="GQ5" s="189"/>
      <c r="GR5" s="189"/>
      <c r="GS5" s="189"/>
      <c r="GT5" s="189"/>
      <c r="GU5" s="189"/>
      <c r="GV5" s="189"/>
      <c r="GW5" s="189"/>
      <c r="GX5" s="189"/>
      <c r="GY5" s="189"/>
      <c r="GZ5" s="189"/>
      <c r="HA5" s="189"/>
      <c r="HB5" s="189"/>
      <c r="HC5" s="189"/>
      <c r="HD5" s="189"/>
      <c r="HE5" s="189"/>
      <c r="HF5" s="189"/>
      <c r="HG5" s="189"/>
      <c r="HH5" s="189"/>
      <c r="HI5" s="189"/>
      <c r="HJ5" s="189"/>
      <c r="HK5" s="189"/>
      <c r="HL5" s="189"/>
      <c r="HM5" s="189"/>
      <c r="HN5" s="189"/>
    </row>
    <row r="6" spans="1:222" ht="15" x14ac:dyDescent="0.25">
      <c r="A6" s="189"/>
      <c r="B6" s="193" t="s">
        <v>158</v>
      </c>
      <c r="C6" s="189"/>
      <c r="D6" s="189">
        <v>1028.170887933522</v>
      </c>
      <c r="E6" s="189">
        <v>1046.908013220866</v>
      </c>
      <c r="F6" s="189">
        <v>1079.5993271468571</v>
      </c>
      <c r="G6" s="189">
        <v>1108.500413095561</v>
      </c>
      <c r="H6" s="189">
        <v>1141.3166395301798</v>
      </c>
      <c r="I6" s="189">
        <v>1187.332856051976</v>
      </c>
      <c r="J6" s="189">
        <v>1244.2666695152652</v>
      </c>
      <c r="K6" s="189">
        <v>1305.0388952741246</v>
      </c>
      <c r="L6" s="189">
        <v>1374.1372533410645</v>
      </c>
      <c r="M6" s="189">
        <v>1403.1679064109715</v>
      </c>
      <c r="N6" s="189">
        <v>1388.756705628871</v>
      </c>
      <c r="O6" s="189">
        <v>1342.8005215837609</v>
      </c>
      <c r="P6" s="189">
        <v>1255.5677812028</v>
      </c>
      <c r="Q6" s="189">
        <v>1193.7551622477595</v>
      </c>
      <c r="R6" s="189">
        <v>1139.7441028794426</v>
      </c>
      <c r="S6" s="189">
        <v>1112.4481868223234</v>
      </c>
      <c r="T6" s="189">
        <v>1103.003531945398</v>
      </c>
      <c r="U6" s="189">
        <v>1115.5495644188718</v>
      </c>
      <c r="V6" s="189">
        <v>1153.0131922919766</v>
      </c>
      <c r="W6" s="189">
        <v>1195.4937535577128</v>
      </c>
      <c r="X6" s="189">
        <v>1235.1993542526779</v>
      </c>
      <c r="Y6" s="189">
        <v>1276.7629831929414</v>
      </c>
      <c r="Z6" s="189">
        <v>1302.3728913055022</v>
      </c>
      <c r="AA6" s="189">
        <v>1333.4214078969578</v>
      </c>
      <c r="AB6" s="189">
        <v>1370.6269886340706</v>
      </c>
      <c r="AC6" s="189">
        <v>1363.0431752704526</v>
      </c>
      <c r="AD6" s="189">
        <v>1377.7645591229407</v>
      </c>
      <c r="AE6" s="189">
        <v>1383.4153949927174</v>
      </c>
      <c r="AF6" s="189">
        <v>1418.3292197758426</v>
      </c>
      <c r="AG6" s="189">
        <v>1451.7124533752128</v>
      </c>
      <c r="AH6" s="189">
        <v>1325.690035233489</v>
      </c>
      <c r="AI6" s="189">
        <v>1346.4191209077171</v>
      </c>
      <c r="AJ6" s="189">
        <v>1339.4247536162586</v>
      </c>
      <c r="AK6" s="189">
        <v>1346.4405678967987</v>
      </c>
      <c r="AL6" s="189">
        <v>1180.0537894472795</v>
      </c>
      <c r="AM6" s="189">
        <v>1281.8078656683704</v>
      </c>
      <c r="AN6" s="189">
        <v>1363.608481756693</v>
      </c>
      <c r="AO6" s="189">
        <v>1300.0770271207339</v>
      </c>
      <c r="AP6" s="189"/>
      <c r="AQ6" s="189"/>
      <c r="AR6" s="189"/>
      <c r="AS6" s="189"/>
      <c r="AT6" s="189"/>
      <c r="AU6" s="189"/>
      <c r="AV6" s="189"/>
      <c r="AW6" s="189"/>
      <c r="AX6" s="189"/>
      <c r="AY6" s="189"/>
      <c r="AZ6" s="189"/>
      <c r="BA6" s="189"/>
      <c r="BB6" s="189"/>
      <c r="BC6" s="189"/>
      <c r="BD6" s="189"/>
      <c r="BE6" s="189"/>
      <c r="BF6" s="189"/>
      <c r="BG6" s="189"/>
      <c r="BH6" s="189"/>
      <c r="BI6" s="189"/>
      <c r="BJ6" s="189"/>
      <c r="BK6" s="189"/>
      <c r="BL6" s="189"/>
      <c r="BM6" s="189"/>
      <c r="BN6" s="189"/>
      <c r="BO6" s="189"/>
      <c r="BP6" s="189"/>
      <c r="BQ6" s="189"/>
      <c r="BR6" s="189"/>
      <c r="BS6" s="189"/>
      <c r="BT6" s="189"/>
      <c r="BU6" s="189"/>
      <c r="BV6" s="189"/>
      <c r="BW6" s="189"/>
      <c r="BX6" s="189"/>
      <c r="BY6" s="189"/>
      <c r="BZ6" s="189"/>
      <c r="CA6" s="189"/>
      <c r="CB6" s="189"/>
      <c r="CC6" s="189"/>
      <c r="CD6" s="189"/>
      <c r="CE6" s="189"/>
      <c r="CF6" s="189"/>
      <c r="CG6" s="189"/>
      <c r="CH6" s="189"/>
      <c r="CI6" s="189"/>
      <c r="CJ6" s="189"/>
      <c r="CK6" s="189"/>
      <c r="CL6" s="189"/>
      <c r="CM6" s="189"/>
      <c r="CN6" s="189"/>
      <c r="CO6" s="189"/>
      <c r="CP6" s="189"/>
      <c r="CQ6" s="189"/>
      <c r="CR6" s="189"/>
      <c r="CS6" s="189"/>
      <c r="CT6" s="189"/>
      <c r="CU6" s="189"/>
      <c r="CV6" s="189"/>
      <c r="CW6" s="189"/>
      <c r="CX6" s="189"/>
      <c r="CY6" s="189"/>
      <c r="CZ6" s="189"/>
      <c r="DA6" s="189"/>
      <c r="DB6" s="189"/>
      <c r="DC6" s="189"/>
      <c r="DD6" s="189"/>
      <c r="DE6" s="189"/>
      <c r="DF6" s="189"/>
      <c r="DG6" s="189"/>
      <c r="DH6" s="189"/>
      <c r="DI6" s="189"/>
      <c r="DJ6" s="189"/>
      <c r="DK6" s="189"/>
      <c r="DL6" s="189"/>
      <c r="DM6" s="189"/>
      <c r="DN6" s="189"/>
      <c r="DO6" s="189"/>
      <c r="DP6" s="189"/>
      <c r="DQ6" s="189"/>
      <c r="DR6" s="189"/>
      <c r="DS6" s="189"/>
      <c r="DT6" s="189"/>
      <c r="DU6" s="189"/>
      <c r="DV6" s="189"/>
      <c r="DW6" s="189"/>
      <c r="DX6" s="189"/>
      <c r="DY6" s="189"/>
      <c r="DZ6" s="189"/>
      <c r="EA6" s="189"/>
      <c r="EB6" s="189"/>
      <c r="EC6" s="189"/>
      <c r="ED6" s="189"/>
      <c r="EE6" s="189"/>
      <c r="EF6" s="189"/>
      <c r="EG6" s="189"/>
      <c r="EH6" s="189"/>
      <c r="EI6" s="189"/>
      <c r="EJ6" s="189"/>
      <c r="EK6" s="189"/>
      <c r="EL6" s="189"/>
      <c r="EM6" s="189"/>
      <c r="EN6" s="189"/>
      <c r="EO6" s="189"/>
      <c r="EP6" s="189"/>
      <c r="EQ6" s="189"/>
      <c r="ER6" s="189"/>
      <c r="ES6" s="189"/>
      <c r="ET6" s="189"/>
      <c r="EU6" s="189"/>
      <c r="EV6" s="189"/>
      <c r="EW6" s="189"/>
      <c r="EX6" s="189"/>
      <c r="EY6" s="189"/>
      <c r="EZ6" s="189"/>
      <c r="FA6" s="189"/>
      <c r="FB6" s="189"/>
      <c r="FC6" s="189"/>
      <c r="FD6" s="189"/>
      <c r="FE6" s="189"/>
      <c r="FF6" s="189"/>
      <c r="FG6" s="189"/>
      <c r="FH6" s="189"/>
      <c r="FI6" s="189"/>
      <c r="FJ6" s="189"/>
      <c r="FK6" s="189"/>
      <c r="FL6" s="189"/>
      <c r="FM6" s="189"/>
      <c r="FN6" s="189"/>
      <c r="FO6" s="189"/>
      <c r="FP6" s="189"/>
      <c r="FQ6" s="189"/>
      <c r="FR6" s="189"/>
      <c r="FS6" s="189"/>
      <c r="FT6" s="189"/>
      <c r="FU6" s="189"/>
      <c r="FV6" s="189"/>
      <c r="FW6" s="189"/>
      <c r="FX6" s="189"/>
      <c r="FY6" s="189"/>
      <c r="FZ6" s="189"/>
      <c r="GA6" s="189"/>
      <c r="GB6" s="189"/>
      <c r="GC6" s="189"/>
      <c r="GD6" s="189"/>
      <c r="GE6" s="189"/>
      <c r="GF6" s="189"/>
      <c r="GG6" s="189"/>
      <c r="GH6" s="189"/>
      <c r="GI6" s="189"/>
      <c r="GJ6" s="189"/>
      <c r="GK6" s="189"/>
      <c r="GL6" s="189"/>
      <c r="GM6" s="189"/>
      <c r="GN6" s="189"/>
      <c r="GO6" s="189"/>
      <c r="GP6" s="189"/>
      <c r="GQ6" s="189"/>
      <c r="GR6" s="189"/>
      <c r="GS6" s="189"/>
      <c r="GT6" s="189"/>
      <c r="GU6" s="189"/>
      <c r="GV6" s="189"/>
      <c r="GW6" s="189"/>
      <c r="GX6" s="189"/>
      <c r="GY6" s="189"/>
      <c r="GZ6" s="189"/>
      <c r="HA6" s="189"/>
      <c r="HB6" s="189"/>
      <c r="HC6" s="189"/>
      <c r="HD6" s="189"/>
      <c r="HE6" s="189"/>
      <c r="HF6" s="189"/>
      <c r="HG6" s="189"/>
      <c r="HH6" s="189"/>
      <c r="HI6" s="189"/>
      <c r="HJ6" s="189"/>
      <c r="HK6" s="189"/>
      <c r="HL6" s="189"/>
      <c r="HM6" s="189"/>
      <c r="HN6" s="189"/>
    </row>
    <row r="7" spans="1:222" ht="15" x14ac:dyDescent="0.25">
      <c r="A7" s="189"/>
      <c r="B7" s="193" t="s">
        <v>157</v>
      </c>
      <c r="C7" s="189"/>
      <c r="D7" s="189">
        <v>17712.509631543737</v>
      </c>
      <c r="E7" s="189">
        <v>18520.59708817512</v>
      </c>
      <c r="F7" s="189">
        <v>18229.181952412651</v>
      </c>
      <c r="G7" s="189">
        <v>18398.326196441172</v>
      </c>
      <c r="H7" s="189">
        <v>19590.062947396495</v>
      </c>
      <c r="I7" s="189">
        <v>18833.367381245906</v>
      </c>
      <c r="J7" s="189">
        <v>20102.181863307695</v>
      </c>
      <c r="K7" s="189">
        <v>20675.534242740829</v>
      </c>
      <c r="L7" s="189">
        <v>20069.972100144139</v>
      </c>
      <c r="M7" s="189">
        <v>20554.518446606726</v>
      </c>
      <c r="N7" s="189">
        <v>21479.384837330155</v>
      </c>
      <c r="O7" s="189">
        <v>22209.245134563345</v>
      </c>
      <c r="P7" s="189">
        <v>22763.676971816676</v>
      </c>
      <c r="Q7" s="189">
        <v>22746.518266794785</v>
      </c>
      <c r="R7" s="189">
        <v>21506.919400560888</v>
      </c>
      <c r="S7" s="189">
        <v>19983.32068417023</v>
      </c>
      <c r="T7" s="189">
        <v>22610.826355179815</v>
      </c>
      <c r="U7" s="189">
        <v>23034.064468293578</v>
      </c>
      <c r="V7" s="189">
        <v>23376.98536014889</v>
      </c>
      <c r="W7" s="189">
        <v>23643.628806952747</v>
      </c>
      <c r="X7" s="189">
        <v>22396.291798650644</v>
      </c>
      <c r="Y7" s="189">
        <v>23296.712777645644</v>
      </c>
      <c r="Z7" s="189">
        <v>25009.317667828982</v>
      </c>
      <c r="AA7" s="189">
        <v>25538.112492072483</v>
      </c>
      <c r="AB7" s="189">
        <v>24664.634764791408</v>
      </c>
      <c r="AC7" s="189">
        <v>24458.367469406865</v>
      </c>
      <c r="AD7" s="189">
        <v>24841.638956016068</v>
      </c>
      <c r="AE7" s="189">
        <v>25716.352523699363</v>
      </c>
      <c r="AF7" s="189">
        <v>25741.230980310218</v>
      </c>
      <c r="AG7" s="189">
        <v>25405.278619694298</v>
      </c>
      <c r="AH7" s="189">
        <v>24232.600871355797</v>
      </c>
      <c r="AI7" s="189">
        <v>25069.62595749052</v>
      </c>
      <c r="AJ7" s="189">
        <v>26786.954914118807</v>
      </c>
      <c r="AK7" s="189">
        <v>25527.1049097668</v>
      </c>
      <c r="AL7" s="189">
        <v>29227.279698697301</v>
      </c>
      <c r="AM7" s="189">
        <v>27313.549450575272</v>
      </c>
      <c r="AN7" s="189">
        <v>30140.018748510673</v>
      </c>
      <c r="AO7" s="189">
        <v>30787.892364227428</v>
      </c>
      <c r="AP7" s="189"/>
      <c r="AQ7" s="189"/>
      <c r="AR7" s="189"/>
      <c r="AS7" s="189"/>
      <c r="AT7" s="189"/>
      <c r="AU7" s="189"/>
      <c r="AV7" s="189"/>
      <c r="AW7" s="189"/>
      <c r="AX7" s="189"/>
      <c r="AY7" s="189"/>
      <c r="AZ7" s="189"/>
      <c r="BA7" s="189"/>
      <c r="BB7" s="189"/>
      <c r="BC7" s="189"/>
      <c r="BD7" s="189"/>
      <c r="BE7" s="189"/>
      <c r="BF7" s="189"/>
      <c r="BG7" s="189"/>
      <c r="BH7" s="189"/>
      <c r="BI7" s="189"/>
      <c r="BJ7" s="189"/>
      <c r="BK7" s="189"/>
      <c r="BL7" s="189"/>
      <c r="BM7" s="189"/>
      <c r="BN7" s="189"/>
      <c r="BO7" s="189"/>
      <c r="BP7" s="189"/>
      <c r="BQ7" s="189"/>
      <c r="BR7" s="189"/>
      <c r="BS7" s="189"/>
      <c r="BT7" s="189"/>
      <c r="BU7" s="189"/>
      <c r="BV7" s="189"/>
      <c r="BW7" s="189"/>
      <c r="BX7" s="189"/>
      <c r="BY7" s="189"/>
      <c r="BZ7" s="189"/>
      <c r="CA7" s="189"/>
      <c r="CB7" s="189"/>
      <c r="CC7" s="189"/>
      <c r="CD7" s="189"/>
      <c r="CE7" s="189"/>
      <c r="CF7" s="189"/>
      <c r="CG7" s="189"/>
      <c r="CH7" s="189"/>
      <c r="CI7" s="189"/>
      <c r="CJ7" s="189"/>
      <c r="CK7" s="189"/>
      <c r="CL7" s="189"/>
      <c r="CM7" s="189"/>
      <c r="CN7" s="189"/>
      <c r="CO7" s="189"/>
      <c r="CP7" s="189"/>
      <c r="CQ7" s="189"/>
      <c r="CR7" s="189"/>
      <c r="CS7" s="189"/>
      <c r="CT7" s="189"/>
      <c r="CU7" s="189"/>
      <c r="CV7" s="189"/>
      <c r="CW7" s="189"/>
      <c r="CX7" s="189"/>
      <c r="CY7" s="189"/>
      <c r="CZ7" s="189"/>
      <c r="DA7" s="189"/>
      <c r="DB7" s="189"/>
      <c r="DC7" s="189"/>
      <c r="DD7" s="189"/>
      <c r="DE7" s="189"/>
      <c r="DF7" s="189"/>
      <c r="DG7" s="189"/>
      <c r="DH7" s="189"/>
      <c r="DI7" s="189"/>
      <c r="DJ7" s="189"/>
      <c r="DK7" s="189"/>
      <c r="DL7" s="189"/>
      <c r="DM7" s="189"/>
      <c r="DN7" s="189"/>
      <c r="DO7" s="189"/>
      <c r="DP7" s="189"/>
      <c r="DQ7" s="189"/>
      <c r="DR7" s="189"/>
      <c r="DS7" s="189"/>
      <c r="DT7" s="189"/>
      <c r="DU7" s="189"/>
      <c r="DV7" s="189"/>
      <c r="DW7" s="189"/>
      <c r="DX7" s="189"/>
      <c r="DY7" s="189"/>
      <c r="DZ7" s="189"/>
      <c r="EA7" s="189"/>
      <c r="EB7" s="189"/>
      <c r="EC7" s="189"/>
      <c r="ED7" s="189"/>
      <c r="EE7" s="189"/>
      <c r="EF7" s="189"/>
      <c r="EG7" s="189"/>
      <c r="EH7" s="189"/>
      <c r="EI7" s="189"/>
      <c r="EJ7" s="189"/>
      <c r="EK7" s="189"/>
      <c r="EL7" s="189"/>
      <c r="EM7" s="189"/>
      <c r="EN7" s="189"/>
      <c r="EO7" s="189"/>
      <c r="EP7" s="189"/>
      <c r="EQ7" s="189"/>
      <c r="ER7" s="189"/>
      <c r="ES7" s="189"/>
      <c r="ET7" s="189"/>
      <c r="EU7" s="189"/>
      <c r="EV7" s="189"/>
      <c r="EW7" s="189"/>
      <c r="EX7" s="189"/>
      <c r="EY7" s="189"/>
      <c r="EZ7" s="189"/>
      <c r="FA7" s="189"/>
      <c r="FB7" s="189"/>
      <c r="FC7" s="189"/>
      <c r="FD7" s="189"/>
      <c r="FE7" s="189"/>
      <c r="FF7" s="189"/>
      <c r="FG7" s="189"/>
      <c r="FH7" s="189"/>
      <c r="FI7" s="189"/>
      <c r="FJ7" s="189"/>
      <c r="FK7" s="189"/>
      <c r="FL7" s="189"/>
      <c r="FM7" s="189"/>
      <c r="FN7" s="189"/>
      <c r="FO7" s="189"/>
      <c r="FP7" s="189"/>
      <c r="FQ7" s="189"/>
      <c r="FR7" s="189"/>
      <c r="FS7" s="189"/>
      <c r="FT7" s="189"/>
      <c r="FU7" s="189"/>
      <c r="FV7" s="189"/>
      <c r="FW7" s="189"/>
      <c r="FX7" s="189"/>
      <c r="FY7" s="189"/>
      <c r="FZ7" s="189"/>
      <c r="GA7" s="189"/>
      <c r="GB7" s="189"/>
      <c r="GC7" s="189"/>
      <c r="GD7" s="189"/>
      <c r="GE7" s="189"/>
      <c r="GF7" s="189"/>
      <c r="GG7" s="189"/>
      <c r="GH7" s="189"/>
      <c r="GI7" s="189"/>
      <c r="GJ7" s="189"/>
      <c r="GK7" s="189"/>
      <c r="GL7" s="189"/>
      <c r="GM7" s="189"/>
      <c r="GN7" s="189"/>
      <c r="GO7" s="189"/>
      <c r="GP7" s="189"/>
      <c r="GQ7" s="189"/>
      <c r="GR7" s="189"/>
      <c r="GS7" s="189"/>
      <c r="GT7" s="189"/>
      <c r="GU7" s="189"/>
      <c r="GV7" s="189"/>
      <c r="GW7" s="189"/>
      <c r="GX7" s="189"/>
      <c r="GY7" s="189"/>
      <c r="GZ7" s="189"/>
      <c r="HA7" s="189"/>
      <c r="HB7" s="189"/>
      <c r="HC7" s="189"/>
      <c r="HD7" s="189"/>
      <c r="HE7" s="189"/>
      <c r="HF7" s="189"/>
      <c r="HG7" s="189"/>
      <c r="HH7" s="189"/>
      <c r="HI7" s="189"/>
      <c r="HJ7" s="189"/>
      <c r="HK7" s="189"/>
      <c r="HL7" s="189"/>
      <c r="HM7" s="189"/>
      <c r="HN7" s="189"/>
    </row>
    <row r="8" spans="1:222" ht="15" x14ac:dyDescent="0.25">
      <c r="A8" s="191"/>
      <c r="B8" s="192" t="s">
        <v>156</v>
      </c>
      <c r="C8" s="191"/>
      <c r="D8" s="172">
        <v>6331.581976178677</v>
      </c>
      <c r="E8" s="172">
        <v>6657.7920323651751</v>
      </c>
      <c r="F8" s="172">
        <v>6574.8993457590632</v>
      </c>
      <c r="G8" s="172">
        <v>6518.2942269755313</v>
      </c>
      <c r="H8" s="172">
        <v>7102.1693506549182</v>
      </c>
      <c r="I8" s="172">
        <v>7096.758474306389</v>
      </c>
      <c r="J8" s="172">
        <v>7180.1606588774121</v>
      </c>
      <c r="K8" s="172">
        <v>7231.8436448919256</v>
      </c>
      <c r="L8" s="172">
        <v>7627.4407468325271</v>
      </c>
      <c r="M8" s="172">
        <v>7649.0533774808182</v>
      </c>
      <c r="N8" s="172">
        <v>7862.8113857604349</v>
      </c>
      <c r="O8" s="172">
        <v>8303.9669472787027</v>
      </c>
      <c r="P8" s="172">
        <v>7965.4905097220781</v>
      </c>
      <c r="Q8" s="172">
        <v>7943.8797305595972</v>
      </c>
      <c r="R8" s="172">
        <v>8373.6899722304588</v>
      </c>
      <c r="S8" s="172">
        <v>7103.4344369445871</v>
      </c>
      <c r="T8" s="172">
        <v>7132.3590416224151</v>
      </c>
      <c r="U8" s="172">
        <v>8484.2726955143862</v>
      </c>
      <c r="V8" s="172">
        <v>8608.2865367344421</v>
      </c>
      <c r="W8" s="172">
        <v>8585.5452839405589</v>
      </c>
      <c r="X8" s="172">
        <v>8773.2233332326414</v>
      </c>
      <c r="Y8" s="172">
        <v>9096.5654383496258</v>
      </c>
      <c r="Z8" s="172">
        <v>8617.6563429052076</v>
      </c>
      <c r="AA8" s="172">
        <v>8752.2458824977512</v>
      </c>
      <c r="AB8" s="172">
        <v>9064.491845418137</v>
      </c>
      <c r="AC8" s="172">
        <v>9118.5402298632634</v>
      </c>
      <c r="AD8" s="172">
        <v>8948.613522020094</v>
      </c>
      <c r="AE8" s="172">
        <v>9366.1383082811972</v>
      </c>
      <c r="AF8" s="172">
        <v>9553.0902700729366</v>
      </c>
      <c r="AG8" s="172">
        <v>9321.1729427147548</v>
      </c>
      <c r="AH8" s="172">
        <v>9878.0544409008326</v>
      </c>
      <c r="AI8" s="172">
        <v>10198.728476639564</v>
      </c>
      <c r="AJ8" s="172">
        <v>9875.2868323497423</v>
      </c>
      <c r="AK8" s="172">
        <v>10065.852027757501</v>
      </c>
      <c r="AL8" s="172">
        <v>10816.03302143345</v>
      </c>
      <c r="AM8" s="172">
        <v>10942.775118673615</v>
      </c>
      <c r="AN8" s="172">
        <v>11202.686251698773</v>
      </c>
      <c r="AO8" s="172">
        <v>11616.648149899935</v>
      </c>
      <c r="AP8" s="191"/>
      <c r="AQ8" s="191"/>
      <c r="AR8" s="191"/>
      <c r="AS8" s="191"/>
      <c r="AT8" s="191"/>
      <c r="AU8" s="191"/>
      <c r="AV8" s="191"/>
      <c r="AW8" s="191"/>
      <c r="AX8" s="191"/>
      <c r="AY8" s="191"/>
      <c r="AZ8" s="191"/>
      <c r="BA8" s="191"/>
      <c r="BB8" s="191"/>
      <c r="BC8" s="191"/>
      <c r="BD8" s="191"/>
      <c r="BE8" s="191"/>
      <c r="BF8" s="191"/>
      <c r="BG8" s="191"/>
      <c r="BH8" s="191"/>
      <c r="BI8" s="191"/>
      <c r="BJ8" s="191"/>
      <c r="BK8" s="191"/>
      <c r="BL8" s="191"/>
      <c r="BM8" s="191"/>
      <c r="BN8" s="191"/>
      <c r="BO8" s="191"/>
      <c r="BP8" s="191"/>
      <c r="BQ8" s="191"/>
      <c r="BR8" s="191"/>
      <c r="BS8" s="191"/>
      <c r="BT8" s="191"/>
      <c r="BU8" s="191"/>
      <c r="BV8" s="191"/>
      <c r="BW8" s="191"/>
      <c r="BX8" s="191"/>
      <c r="BY8" s="191"/>
      <c r="BZ8" s="191"/>
      <c r="CA8" s="191"/>
      <c r="CB8" s="191"/>
      <c r="CC8" s="191"/>
      <c r="CD8" s="191"/>
      <c r="CE8" s="191"/>
      <c r="CF8" s="191"/>
      <c r="CG8" s="191"/>
      <c r="CH8" s="191"/>
      <c r="CI8" s="191"/>
      <c r="CJ8" s="191"/>
      <c r="CK8" s="191"/>
      <c r="CL8" s="191"/>
      <c r="CM8" s="191"/>
      <c r="CN8" s="191"/>
      <c r="CO8" s="191"/>
      <c r="CP8" s="191"/>
      <c r="CQ8" s="191"/>
      <c r="CR8" s="191"/>
      <c r="CS8" s="191"/>
      <c r="CT8" s="191"/>
      <c r="CU8" s="191"/>
      <c r="CV8" s="191"/>
      <c r="CW8" s="191"/>
      <c r="CX8" s="191"/>
      <c r="CY8" s="191"/>
      <c r="CZ8" s="191"/>
      <c r="DA8" s="191"/>
      <c r="DB8" s="191"/>
      <c r="DC8" s="191"/>
      <c r="DD8" s="191"/>
      <c r="DE8" s="191"/>
      <c r="DF8" s="191"/>
      <c r="DG8" s="191"/>
      <c r="DH8" s="191"/>
      <c r="DI8" s="191"/>
      <c r="DJ8" s="191"/>
      <c r="DK8" s="191"/>
      <c r="DL8" s="191"/>
      <c r="DM8" s="191"/>
      <c r="DN8" s="191"/>
      <c r="DO8" s="191"/>
      <c r="DP8" s="191"/>
      <c r="DQ8" s="191"/>
      <c r="DR8" s="191"/>
      <c r="DS8" s="191"/>
      <c r="DT8" s="191"/>
      <c r="DU8" s="191"/>
      <c r="DV8" s="191"/>
      <c r="DW8" s="191"/>
      <c r="DX8" s="191"/>
      <c r="DY8" s="191"/>
      <c r="DZ8" s="191"/>
      <c r="EA8" s="191"/>
      <c r="EB8" s="191"/>
      <c r="EC8" s="191"/>
      <c r="ED8" s="191"/>
      <c r="EE8" s="191"/>
      <c r="EF8" s="191"/>
      <c r="EG8" s="191"/>
      <c r="EH8" s="191"/>
      <c r="EI8" s="191"/>
      <c r="EJ8" s="191"/>
      <c r="EK8" s="191"/>
      <c r="EL8" s="191"/>
      <c r="EM8" s="191"/>
      <c r="EN8" s="191"/>
      <c r="EO8" s="191"/>
      <c r="EP8" s="191"/>
      <c r="EQ8" s="191"/>
      <c r="ER8" s="191"/>
      <c r="ES8" s="191"/>
      <c r="ET8" s="191"/>
      <c r="EU8" s="191"/>
      <c r="EV8" s="191"/>
      <c r="EW8" s="191"/>
      <c r="EX8" s="191"/>
      <c r="EY8" s="191"/>
      <c r="EZ8" s="191"/>
      <c r="FA8" s="191"/>
      <c r="FB8" s="191"/>
      <c r="FC8" s="191"/>
      <c r="FD8" s="191"/>
      <c r="FE8" s="191"/>
      <c r="FF8" s="191"/>
      <c r="FG8" s="191"/>
      <c r="FH8" s="191"/>
      <c r="FI8" s="191"/>
      <c r="FJ8" s="191"/>
      <c r="FK8" s="191"/>
      <c r="FL8" s="191"/>
      <c r="FM8" s="191"/>
      <c r="FN8" s="191"/>
      <c r="FO8" s="191"/>
      <c r="FP8" s="191"/>
      <c r="FQ8" s="191"/>
      <c r="FR8" s="191"/>
      <c r="FS8" s="191"/>
      <c r="FT8" s="191"/>
      <c r="FU8" s="191"/>
      <c r="FV8" s="191"/>
      <c r="FW8" s="191"/>
      <c r="FX8" s="191"/>
      <c r="FY8" s="191"/>
      <c r="FZ8" s="191"/>
      <c r="GA8" s="191"/>
      <c r="GB8" s="191"/>
      <c r="GC8" s="191"/>
      <c r="GD8" s="191"/>
      <c r="GE8" s="191"/>
      <c r="GF8" s="191"/>
      <c r="GG8" s="191"/>
      <c r="GH8" s="191"/>
      <c r="GI8" s="191"/>
      <c r="GJ8" s="191"/>
      <c r="GK8" s="191"/>
      <c r="GL8" s="191"/>
      <c r="GM8" s="191"/>
      <c r="GN8" s="191"/>
      <c r="GO8" s="191"/>
      <c r="GP8" s="191"/>
      <c r="GQ8" s="191"/>
      <c r="GR8" s="191"/>
      <c r="GS8" s="191"/>
      <c r="GT8" s="191"/>
      <c r="GU8" s="191"/>
      <c r="GV8" s="191"/>
      <c r="GW8" s="191"/>
      <c r="GX8" s="191"/>
      <c r="GY8" s="191"/>
      <c r="GZ8" s="191"/>
      <c r="HA8" s="191"/>
      <c r="HB8" s="191"/>
      <c r="HC8" s="191"/>
      <c r="HD8" s="191"/>
      <c r="HE8" s="191"/>
      <c r="HF8" s="191"/>
      <c r="HG8" s="191"/>
      <c r="HH8" s="191"/>
      <c r="HI8" s="191"/>
      <c r="HJ8" s="191"/>
      <c r="HK8" s="191"/>
      <c r="HL8" s="191"/>
      <c r="HM8" s="191"/>
      <c r="HN8" s="191"/>
    </row>
    <row r="9" spans="1:222" ht="15" x14ac:dyDescent="0.25">
      <c r="A9" s="189"/>
      <c r="B9" s="193" t="s">
        <v>155</v>
      </c>
      <c r="C9" s="189"/>
      <c r="D9" s="189">
        <v>82.406737562127361</v>
      </c>
      <c r="E9" s="189">
        <v>82.390891301992056</v>
      </c>
      <c r="F9" s="189">
        <v>82.525207969826738</v>
      </c>
      <c r="G9" s="189">
        <v>82.811756809924958</v>
      </c>
      <c r="H9" s="189">
        <v>83.25302942830001</v>
      </c>
      <c r="I9" s="189">
        <v>83.659634558340016</v>
      </c>
      <c r="J9" s="189">
        <v>84.031416698336841</v>
      </c>
      <c r="K9" s="189">
        <v>84.367521819030003</v>
      </c>
      <c r="L9" s="189">
        <v>84.667439768038321</v>
      </c>
      <c r="M9" s="189">
        <v>84.977221396922886</v>
      </c>
      <c r="N9" s="189">
        <v>85.297351974984238</v>
      </c>
      <c r="O9" s="189">
        <v>85.627714601521035</v>
      </c>
      <c r="P9" s="189">
        <v>85.96857212957805</v>
      </c>
      <c r="Q9" s="189">
        <v>86.308392790409599</v>
      </c>
      <c r="R9" s="189">
        <v>86.647585753058763</v>
      </c>
      <c r="S9" s="189">
        <v>86.985826270427779</v>
      </c>
      <c r="T9" s="189">
        <v>87.32314830576928</v>
      </c>
      <c r="U9" s="189">
        <v>87.662171243821575</v>
      </c>
      <c r="V9" s="189">
        <v>88.003251170338586</v>
      </c>
      <c r="W9" s="189">
        <v>88.346132257279834</v>
      </c>
      <c r="X9" s="189">
        <v>88.690920306923388</v>
      </c>
      <c r="Y9" s="189">
        <v>89.036752215316668</v>
      </c>
      <c r="Z9" s="189">
        <v>89.384024568557052</v>
      </c>
      <c r="AA9" s="189">
        <v>89.732471986215074</v>
      </c>
      <c r="AB9" s="189">
        <v>90.082060333437013</v>
      </c>
      <c r="AC9" s="189">
        <v>90.433004834203729</v>
      </c>
      <c r="AD9" s="189">
        <v>90.785506155731653</v>
      </c>
      <c r="AE9" s="189">
        <v>91.139372426558126</v>
      </c>
      <c r="AF9" s="189">
        <v>91.494577497487967</v>
      </c>
      <c r="AG9" s="189">
        <v>91.851132160972909</v>
      </c>
      <c r="AH9" s="189">
        <v>92.209191143716282</v>
      </c>
      <c r="AI9" s="189">
        <v>92.56862121628086</v>
      </c>
      <c r="AJ9" s="189">
        <v>92.929350861627455</v>
      </c>
      <c r="AK9" s="189">
        <v>93.291507407074803</v>
      </c>
      <c r="AL9" s="189">
        <v>93.655141090043585</v>
      </c>
      <c r="AM9" s="189">
        <v>94.020194127400813</v>
      </c>
      <c r="AN9" s="189">
        <v>94.386615180980101</v>
      </c>
      <c r="AO9" s="189">
        <v>94.754454869469654</v>
      </c>
      <c r="AP9" s="189"/>
      <c r="AQ9" s="189"/>
      <c r="AR9" s="189"/>
      <c r="AS9" s="189"/>
      <c r="AT9" s="189"/>
      <c r="AU9" s="189"/>
      <c r="AV9" s="189"/>
      <c r="AW9" s="189"/>
      <c r="AX9" s="189"/>
      <c r="AY9" s="189"/>
      <c r="AZ9" s="189"/>
      <c r="BA9" s="189"/>
      <c r="BB9" s="189"/>
      <c r="BC9" s="189"/>
      <c r="BD9" s="189"/>
      <c r="BE9" s="189"/>
      <c r="BF9" s="189"/>
      <c r="BG9" s="189"/>
      <c r="BH9" s="189"/>
      <c r="BI9" s="189"/>
      <c r="BJ9" s="189"/>
      <c r="BK9" s="189"/>
      <c r="BL9" s="189"/>
      <c r="BM9" s="189"/>
      <c r="BN9" s="189"/>
      <c r="BO9" s="189"/>
      <c r="BP9" s="189"/>
      <c r="BQ9" s="189"/>
      <c r="BR9" s="189"/>
      <c r="BS9" s="189"/>
      <c r="BT9" s="189"/>
      <c r="BU9" s="189"/>
      <c r="BV9" s="189"/>
      <c r="BW9" s="189"/>
      <c r="BX9" s="189"/>
      <c r="BY9" s="189"/>
      <c r="BZ9" s="189"/>
      <c r="CA9" s="189"/>
      <c r="CB9" s="189"/>
      <c r="CC9" s="189"/>
      <c r="CD9" s="189"/>
      <c r="CE9" s="189"/>
      <c r="CF9" s="189"/>
      <c r="CG9" s="189"/>
      <c r="CH9" s="189"/>
      <c r="CI9" s="189"/>
      <c r="CJ9" s="189"/>
      <c r="CK9" s="189"/>
      <c r="CL9" s="189"/>
      <c r="CM9" s="189"/>
      <c r="CN9" s="189"/>
      <c r="CO9" s="189"/>
      <c r="CP9" s="189"/>
      <c r="CQ9" s="189"/>
      <c r="CR9" s="189"/>
      <c r="CS9" s="189"/>
      <c r="CT9" s="189"/>
      <c r="CU9" s="189"/>
      <c r="CV9" s="189"/>
      <c r="CW9" s="189"/>
      <c r="CX9" s="189"/>
      <c r="CY9" s="189"/>
      <c r="CZ9" s="189"/>
      <c r="DA9" s="189"/>
      <c r="DB9" s="189"/>
      <c r="DC9" s="189"/>
      <c r="DD9" s="189"/>
      <c r="DE9" s="189"/>
      <c r="DF9" s="189"/>
      <c r="DG9" s="189"/>
      <c r="DH9" s="189"/>
      <c r="DI9" s="189"/>
      <c r="DJ9" s="189"/>
      <c r="DK9" s="189"/>
      <c r="DL9" s="189"/>
      <c r="DM9" s="189"/>
      <c r="DN9" s="189"/>
      <c r="DO9" s="189"/>
      <c r="DP9" s="189"/>
      <c r="DQ9" s="189"/>
      <c r="DR9" s="189"/>
      <c r="DS9" s="189"/>
      <c r="DT9" s="189"/>
      <c r="DU9" s="189"/>
      <c r="DV9" s="189"/>
      <c r="DW9" s="189"/>
      <c r="DX9" s="189"/>
      <c r="DY9" s="189"/>
      <c r="DZ9" s="189"/>
      <c r="EA9" s="189"/>
      <c r="EB9" s="189"/>
      <c r="EC9" s="189"/>
      <c r="ED9" s="189"/>
      <c r="EE9" s="189"/>
      <c r="EF9" s="189"/>
      <c r="EG9" s="189"/>
      <c r="EH9" s="189"/>
      <c r="EI9" s="189"/>
      <c r="EJ9" s="189"/>
      <c r="EK9" s="189"/>
      <c r="EL9" s="189"/>
      <c r="EM9" s="189"/>
      <c r="EN9" s="189"/>
      <c r="EO9" s="189"/>
      <c r="EP9" s="189"/>
      <c r="EQ9" s="189"/>
      <c r="ER9" s="189"/>
      <c r="ES9" s="189"/>
      <c r="ET9" s="189"/>
      <c r="EU9" s="189"/>
      <c r="EV9" s="189"/>
      <c r="EW9" s="189"/>
      <c r="EX9" s="189"/>
      <c r="EY9" s="189"/>
      <c r="EZ9" s="189"/>
      <c r="FA9" s="189"/>
      <c r="FB9" s="189"/>
      <c r="FC9" s="189"/>
      <c r="FD9" s="189"/>
      <c r="FE9" s="189"/>
      <c r="FF9" s="189"/>
      <c r="FG9" s="189"/>
      <c r="FH9" s="189"/>
      <c r="FI9" s="189"/>
      <c r="FJ9" s="189"/>
      <c r="FK9" s="189"/>
      <c r="FL9" s="189"/>
      <c r="FM9" s="189"/>
      <c r="FN9" s="189"/>
      <c r="FO9" s="189"/>
      <c r="FP9" s="189"/>
      <c r="FQ9" s="189"/>
      <c r="FR9" s="189"/>
      <c r="FS9" s="189"/>
      <c r="FT9" s="189"/>
      <c r="FU9" s="189"/>
      <c r="FV9" s="189"/>
      <c r="FW9" s="189"/>
      <c r="FX9" s="189"/>
      <c r="FY9" s="189"/>
      <c r="FZ9" s="189"/>
      <c r="GA9" s="189"/>
      <c r="GB9" s="189"/>
      <c r="GC9" s="189"/>
      <c r="GD9" s="189"/>
      <c r="GE9" s="189"/>
      <c r="GF9" s="189"/>
      <c r="GG9" s="189"/>
      <c r="GH9" s="189"/>
      <c r="GI9" s="189"/>
      <c r="GJ9" s="189"/>
      <c r="GK9" s="189"/>
      <c r="GL9" s="189"/>
      <c r="GM9" s="189"/>
      <c r="GN9" s="189"/>
      <c r="GO9" s="189"/>
      <c r="GP9" s="189"/>
      <c r="GQ9" s="189"/>
      <c r="GR9" s="189"/>
      <c r="GS9" s="189"/>
      <c r="GT9" s="189"/>
      <c r="GU9" s="189"/>
      <c r="GV9" s="189"/>
      <c r="GW9" s="189"/>
      <c r="GX9" s="189"/>
      <c r="GY9" s="189"/>
      <c r="GZ9" s="189"/>
      <c r="HA9" s="189"/>
      <c r="HB9" s="189"/>
      <c r="HC9" s="189"/>
      <c r="HD9" s="189"/>
      <c r="HE9" s="189"/>
      <c r="HF9" s="189"/>
      <c r="HG9" s="189"/>
      <c r="HH9" s="189"/>
      <c r="HI9" s="189"/>
      <c r="HJ9" s="189"/>
      <c r="HK9" s="189"/>
      <c r="HL9" s="189"/>
      <c r="HM9" s="189"/>
      <c r="HN9" s="189"/>
    </row>
    <row r="10" spans="1:222" ht="15" x14ac:dyDescent="0.25">
      <c r="A10" s="189"/>
      <c r="B10" s="193" t="s">
        <v>154</v>
      </c>
      <c r="C10" s="189"/>
      <c r="D10" s="189">
        <v>1437.6835483458854</v>
      </c>
      <c r="E10" s="189">
        <v>1535.1142176657245</v>
      </c>
      <c r="F10" s="189">
        <v>1501.3020454603304</v>
      </c>
      <c r="G10" s="189">
        <v>1500.9963422846627</v>
      </c>
      <c r="H10" s="189">
        <v>1534.7932485926049</v>
      </c>
      <c r="I10" s="189">
        <v>1531.7973084756809</v>
      </c>
      <c r="J10" s="189">
        <v>1669.8788459210666</v>
      </c>
      <c r="K10" s="189">
        <v>1718.4013130269325</v>
      </c>
      <c r="L10" s="189">
        <v>1756.4822743577081</v>
      </c>
      <c r="M10" s="189">
        <v>1770.8882630341709</v>
      </c>
      <c r="N10" s="189">
        <v>1806.4930531896384</v>
      </c>
      <c r="O10" s="189">
        <v>1895.2917716983745</v>
      </c>
      <c r="P10" s="189">
        <v>1873.4408069085089</v>
      </c>
      <c r="Q10" s="189">
        <v>1963.9971527899693</v>
      </c>
      <c r="R10" s="189">
        <v>1954.3021821065047</v>
      </c>
      <c r="S10" s="189">
        <v>1791.3547290956192</v>
      </c>
      <c r="T10" s="189">
        <v>1560.4329927034332</v>
      </c>
      <c r="U10" s="189">
        <v>1964.858884153816</v>
      </c>
      <c r="V10" s="189">
        <v>2031.2724594178844</v>
      </c>
      <c r="W10" s="189">
        <v>2140.8979744007797</v>
      </c>
      <c r="X10" s="189">
        <v>2295.7157245866292</v>
      </c>
      <c r="Y10" s="189">
        <v>2232.7016958173231</v>
      </c>
      <c r="Z10" s="189">
        <v>2046.8356193073298</v>
      </c>
      <c r="AA10" s="189">
        <v>2116.2827304289485</v>
      </c>
      <c r="AB10" s="189">
        <v>2210.6566729329033</v>
      </c>
      <c r="AC10" s="189">
        <v>2147.1143310515067</v>
      </c>
      <c r="AD10" s="189">
        <v>2167.7068380068986</v>
      </c>
      <c r="AE10" s="189">
        <v>2147.7230907987741</v>
      </c>
      <c r="AF10" s="189">
        <v>2302.4039845140583</v>
      </c>
      <c r="AG10" s="189">
        <v>2125.8922281926216</v>
      </c>
      <c r="AH10" s="189">
        <v>2292.2411026306636</v>
      </c>
      <c r="AI10" s="189">
        <v>2413.6638806156921</v>
      </c>
      <c r="AJ10" s="189">
        <v>2408.5950517704414</v>
      </c>
      <c r="AK10" s="189">
        <v>2546.4623010872374</v>
      </c>
      <c r="AL10" s="189">
        <v>2825.8755647018479</v>
      </c>
      <c r="AM10" s="189">
        <v>2824.045917843061</v>
      </c>
      <c r="AN10" s="189">
        <v>2859.4483116744741</v>
      </c>
      <c r="AO10" s="189">
        <v>2973.1505480087494</v>
      </c>
      <c r="AP10" s="189"/>
      <c r="AQ10" s="189"/>
      <c r="AR10" s="189"/>
      <c r="AS10" s="189"/>
      <c r="AT10" s="189"/>
      <c r="AU10" s="189"/>
      <c r="AV10" s="189"/>
      <c r="AW10" s="189"/>
      <c r="AX10" s="189"/>
      <c r="AY10" s="189"/>
      <c r="AZ10" s="189"/>
      <c r="BA10" s="189"/>
      <c r="BB10" s="189"/>
      <c r="BC10" s="189"/>
      <c r="BD10" s="189"/>
      <c r="BE10" s="189"/>
      <c r="BF10" s="189"/>
      <c r="BG10" s="189"/>
      <c r="BH10" s="189"/>
      <c r="BI10" s="189"/>
      <c r="BJ10" s="189"/>
      <c r="BK10" s="189"/>
      <c r="BL10" s="189"/>
      <c r="BM10" s="189"/>
      <c r="BN10" s="189"/>
      <c r="BO10" s="189"/>
      <c r="BP10" s="189"/>
      <c r="BQ10" s="189"/>
      <c r="BR10" s="189"/>
      <c r="BS10" s="189"/>
      <c r="BT10" s="189"/>
      <c r="BU10" s="189"/>
      <c r="BV10" s="189"/>
      <c r="BW10" s="189"/>
      <c r="BX10" s="189"/>
      <c r="BY10" s="189"/>
      <c r="BZ10" s="189"/>
      <c r="CA10" s="189"/>
      <c r="CB10" s="189"/>
      <c r="CC10" s="189"/>
      <c r="CD10" s="189"/>
      <c r="CE10" s="189"/>
      <c r="CF10" s="189"/>
      <c r="CG10" s="189"/>
      <c r="CH10" s="189"/>
      <c r="CI10" s="189"/>
      <c r="CJ10" s="189"/>
      <c r="CK10" s="189"/>
      <c r="CL10" s="189"/>
      <c r="CM10" s="189"/>
      <c r="CN10" s="189"/>
      <c r="CO10" s="189"/>
      <c r="CP10" s="189"/>
      <c r="CQ10" s="189"/>
      <c r="CR10" s="189"/>
      <c r="CS10" s="189"/>
      <c r="CT10" s="189"/>
      <c r="CU10" s="189"/>
      <c r="CV10" s="189"/>
      <c r="CW10" s="189"/>
      <c r="CX10" s="189"/>
      <c r="CY10" s="189"/>
      <c r="CZ10" s="189"/>
      <c r="DA10" s="189"/>
      <c r="DB10" s="189"/>
      <c r="DC10" s="189"/>
      <c r="DD10" s="189"/>
      <c r="DE10" s="189"/>
      <c r="DF10" s="189"/>
      <c r="DG10" s="189"/>
      <c r="DH10" s="189"/>
      <c r="DI10" s="189"/>
      <c r="DJ10" s="189"/>
      <c r="DK10" s="189"/>
      <c r="DL10" s="189"/>
      <c r="DM10" s="189"/>
      <c r="DN10" s="189"/>
      <c r="DO10" s="189"/>
      <c r="DP10" s="189"/>
      <c r="DQ10" s="189"/>
      <c r="DR10" s="189"/>
      <c r="DS10" s="189"/>
      <c r="DT10" s="189"/>
      <c r="DU10" s="189"/>
      <c r="DV10" s="189"/>
      <c r="DW10" s="189"/>
      <c r="DX10" s="189"/>
      <c r="DY10" s="189"/>
      <c r="DZ10" s="189"/>
      <c r="EA10" s="189"/>
      <c r="EB10" s="189"/>
      <c r="EC10" s="189"/>
      <c r="ED10" s="189"/>
      <c r="EE10" s="189"/>
      <c r="EF10" s="189"/>
      <c r="EG10" s="189"/>
      <c r="EH10" s="189"/>
      <c r="EI10" s="189"/>
      <c r="EJ10" s="189"/>
      <c r="EK10" s="189"/>
      <c r="EL10" s="189"/>
      <c r="EM10" s="189"/>
      <c r="EN10" s="189"/>
      <c r="EO10" s="189"/>
      <c r="EP10" s="189"/>
      <c r="EQ10" s="189"/>
      <c r="ER10" s="189"/>
      <c r="ES10" s="189"/>
      <c r="ET10" s="189"/>
      <c r="EU10" s="189"/>
      <c r="EV10" s="189"/>
      <c r="EW10" s="189"/>
      <c r="EX10" s="189"/>
      <c r="EY10" s="189"/>
      <c r="EZ10" s="189"/>
      <c r="FA10" s="189"/>
      <c r="FB10" s="189"/>
      <c r="FC10" s="189"/>
      <c r="FD10" s="189"/>
      <c r="FE10" s="189"/>
      <c r="FF10" s="189"/>
      <c r="FG10" s="189"/>
      <c r="FH10" s="189"/>
      <c r="FI10" s="189"/>
      <c r="FJ10" s="189"/>
      <c r="FK10" s="189"/>
      <c r="FL10" s="189"/>
      <c r="FM10" s="189"/>
      <c r="FN10" s="189"/>
      <c r="FO10" s="189"/>
      <c r="FP10" s="189"/>
      <c r="FQ10" s="189"/>
      <c r="FR10" s="189"/>
      <c r="FS10" s="189"/>
      <c r="FT10" s="189"/>
      <c r="FU10" s="189"/>
      <c r="FV10" s="189"/>
      <c r="FW10" s="189"/>
      <c r="FX10" s="189"/>
      <c r="FY10" s="189"/>
      <c r="FZ10" s="189"/>
      <c r="GA10" s="189"/>
      <c r="GB10" s="189"/>
      <c r="GC10" s="189"/>
      <c r="GD10" s="189"/>
      <c r="GE10" s="189"/>
      <c r="GF10" s="189"/>
      <c r="GG10" s="189"/>
      <c r="GH10" s="189"/>
      <c r="GI10" s="189"/>
      <c r="GJ10" s="189"/>
      <c r="GK10" s="189"/>
      <c r="GL10" s="189"/>
      <c r="GM10" s="189"/>
      <c r="GN10" s="189"/>
      <c r="GO10" s="189"/>
      <c r="GP10" s="189"/>
      <c r="GQ10" s="189"/>
      <c r="GR10" s="189"/>
      <c r="GS10" s="189"/>
      <c r="GT10" s="189"/>
      <c r="GU10" s="189"/>
      <c r="GV10" s="189"/>
      <c r="GW10" s="189"/>
      <c r="GX10" s="189"/>
      <c r="GY10" s="189"/>
      <c r="GZ10" s="189"/>
      <c r="HA10" s="189"/>
      <c r="HB10" s="189"/>
      <c r="HC10" s="189"/>
      <c r="HD10" s="189"/>
      <c r="HE10" s="189"/>
      <c r="HF10" s="189"/>
      <c r="HG10" s="189"/>
      <c r="HH10" s="189"/>
      <c r="HI10" s="189"/>
      <c r="HJ10" s="189"/>
      <c r="HK10" s="189"/>
      <c r="HL10" s="189"/>
      <c r="HM10" s="189"/>
      <c r="HN10" s="189"/>
    </row>
    <row r="11" spans="1:222" ht="15" x14ac:dyDescent="0.25">
      <c r="A11" s="189"/>
      <c r="B11" s="193" t="s">
        <v>153</v>
      </c>
      <c r="C11" s="189"/>
      <c r="D11" s="189">
        <v>2350.4569681729695</v>
      </c>
      <c r="E11" s="189">
        <v>2407.9761986764652</v>
      </c>
      <c r="F11" s="189">
        <v>2357.1111714208687</v>
      </c>
      <c r="G11" s="189">
        <v>2246.0642579195505</v>
      </c>
      <c r="H11" s="189">
        <v>2388.5059860529159</v>
      </c>
      <c r="I11" s="189">
        <v>2451.8012099310918</v>
      </c>
      <c r="J11" s="189">
        <v>2455.8655263293876</v>
      </c>
      <c r="K11" s="189">
        <v>2785.9880747189386</v>
      </c>
      <c r="L11" s="189">
        <v>2794.1142813549127</v>
      </c>
      <c r="M11" s="189">
        <v>2932.1882617196434</v>
      </c>
      <c r="N11" s="189">
        <v>2968.4154845022767</v>
      </c>
      <c r="O11" s="189">
        <v>3028.8766069542039</v>
      </c>
      <c r="P11" s="189">
        <v>2993.4799387992543</v>
      </c>
      <c r="Q11" s="189">
        <v>3051.6958619315474</v>
      </c>
      <c r="R11" s="189">
        <v>3172.3322490745036</v>
      </c>
      <c r="S11" s="189">
        <v>2885.0241344819101</v>
      </c>
      <c r="T11" s="189">
        <v>2611.5818407015813</v>
      </c>
      <c r="U11" s="189">
        <v>3315.6873822855782</v>
      </c>
      <c r="V11" s="189">
        <v>3410.8892090662007</v>
      </c>
      <c r="W11" s="189">
        <v>3361.7335331254612</v>
      </c>
      <c r="X11" s="189">
        <v>3348.0138902797994</v>
      </c>
      <c r="Y11" s="189">
        <v>3284.6673185836094</v>
      </c>
      <c r="Z11" s="189">
        <v>3052.8634480506121</v>
      </c>
      <c r="AA11" s="189">
        <v>3094.3360343704758</v>
      </c>
      <c r="AB11" s="189">
        <v>3419.6252917557058</v>
      </c>
      <c r="AC11" s="189">
        <v>3435.0161800242581</v>
      </c>
      <c r="AD11" s="189">
        <v>3434.7784580834882</v>
      </c>
      <c r="AE11" s="189">
        <v>3579.6048955655524</v>
      </c>
      <c r="AF11" s="189">
        <v>3635.059221276339</v>
      </c>
      <c r="AG11" s="189">
        <v>3663.0857816852194</v>
      </c>
      <c r="AH11" s="189">
        <v>3756.8520044916445</v>
      </c>
      <c r="AI11" s="189">
        <v>4016.136311218027</v>
      </c>
      <c r="AJ11" s="189">
        <v>3897.1051630637826</v>
      </c>
      <c r="AK11" s="189">
        <v>3794.0863479788936</v>
      </c>
      <c r="AL11" s="189">
        <v>4292.5587600412427</v>
      </c>
      <c r="AM11" s="189">
        <v>4383.592898609756</v>
      </c>
      <c r="AN11" s="189">
        <v>4264.7728424673178</v>
      </c>
      <c r="AO11" s="189">
        <v>4617.9412128883769</v>
      </c>
      <c r="AP11" s="189"/>
      <c r="AQ11" s="189"/>
      <c r="AR11" s="189"/>
      <c r="AS11" s="189"/>
      <c r="AT11" s="189"/>
      <c r="AU11" s="189"/>
      <c r="AV11" s="189"/>
      <c r="AW11" s="189"/>
      <c r="AX11" s="189"/>
      <c r="AY11" s="189"/>
      <c r="AZ11" s="189"/>
      <c r="BA11" s="189"/>
      <c r="BB11" s="189"/>
      <c r="BC11" s="189"/>
      <c r="BD11" s="189"/>
      <c r="BE11" s="189"/>
      <c r="BF11" s="189"/>
      <c r="BG11" s="189"/>
      <c r="BH11" s="189"/>
      <c r="BI11" s="189"/>
      <c r="BJ11" s="189"/>
      <c r="BK11" s="189"/>
      <c r="BL11" s="189"/>
      <c r="BM11" s="189"/>
      <c r="BN11" s="189"/>
      <c r="BO11" s="189"/>
      <c r="BP11" s="189"/>
      <c r="BQ11" s="189"/>
      <c r="BR11" s="189"/>
      <c r="BS11" s="189"/>
      <c r="BT11" s="189"/>
      <c r="BU11" s="189"/>
      <c r="BV11" s="189"/>
      <c r="BW11" s="189"/>
      <c r="BX11" s="189"/>
      <c r="BY11" s="189"/>
      <c r="BZ11" s="189"/>
      <c r="CA11" s="189"/>
      <c r="CB11" s="189"/>
      <c r="CC11" s="189"/>
      <c r="CD11" s="189"/>
      <c r="CE11" s="189"/>
      <c r="CF11" s="189"/>
      <c r="CG11" s="189"/>
      <c r="CH11" s="189"/>
      <c r="CI11" s="189"/>
      <c r="CJ11" s="189"/>
      <c r="CK11" s="189"/>
      <c r="CL11" s="189"/>
      <c r="CM11" s="189"/>
      <c r="CN11" s="189"/>
      <c r="CO11" s="189"/>
      <c r="CP11" s="189"/>
      <c r="CQ11" s="189"/>
      <c r="CR11" s="189"/>
      <c r="CS11" s="189"/>
      <c r="CT11" s="189"/>
      <c r="CU11" s="189"/>
      <c r="CV11" s="189"/>
      <c r="CW11" s="189"/>
      <c r="CX11" s="189"/>
      <c r="CY11" s="189"/>
      <c r="CZ11" s="189"/>
      <c r="DA11" s="189"/>
      <c r="DB11" s="189"/>
      <c r="DC11" s="189"/>
      <c r="DD11" s="189"/>
      <c r="DE11" s="189"/>
      <c r="DF11" s="189"/>
      <c r="DG11" s="189"/>
      <c r="DH11" s="189"/>
      <c r="DI11" s="189"/>
      <c r="DJ11" s="189"/>
      <c r="DK11" s="189"/>
      <c r="DL11" s="189"/>
      <c r="DM11" s="189"/>
      <c r="DN11" s="189"/>
      <c r="DO11" s="189"/>
      <c r="DP11" s="189"/>
      <c r="DQ11" s="189"/>
      <c r="DR11" s="189"/>
      <c r="DS11" s="189"/>
      <c r="DT11" s="189"/>
      <c r="DU11" s="189"/>
      <c r="DV11" s="189"/>
      <c r="DW11" s="189"/>
      <c r="DX11" s="189"/>
      <c r="DY11" s="189"/>
      <c r="DZ11" s="189"/>
      <c r="EA11" s="189"/>
      <c r="EB11" s="189"/>
      <c r="EC11" s="189"/>
      <c r="ED11" s="189"/>
      <c r="EE11" s="189"/>
      <c r="EF11" s="189"/>
      <c r="EG11" s="189"/>
      <c r="EH11" s="189"/>
      <c r="EI11" s="189"/>
      <c r="EJ11" s="189"/>
      <c r="EK11" s="189"/>
      <c r="EL11" s="189"/>
      <c r="EM11" s="189"/>
      <c r="EN11" s="189"/>
      <c r="EO11" s="189"/>
      <c r="EP11" s="189"/>
      <c r="EQ11" s="189"/>
      <c r="ER11" s="189"/>
      <c r="ES11" s="189"/>
      <c r="ET11" s="189"/>
      <c r="EU11" s="189"/>
      <c r="EV11" s="189"/>
      <c r="EW11" s="189"/>
      <c r="EX11" s="189"/>
      <c r="EY11" s="189"/>
      <c r="EZ11" s="189"/>
      <c r="FA11" s="189"/>
      <c r="FB11" s="189"/>
      <c r="FC11" s="189"/>
      <c r="FD11" s="189"/>
      <c r="FE11" s="189"/>
      <c r="FF11" s="189"/>
      <c r="FG11" s="189"/>
      <c r="FH11" s="189"/>
      <c r="FI11" s="189"/>
      <c r="FJ11" s="189"/>
      <c r="FK11" s="189"/>
      <c r="FL11" s="189"/>
      <c r="FM11" s="189"/>
      <c r="FN11" s="189"/>
      <c r="FO11" s="189"/>
      <c r="FP11" s="189"/>
      <c r="FQ11" s="189"/>
      <c r="FR11" s="189"/>
      <c r="FS11" s="189"/>
      <c r="FT11" s="189"/>
      <c r="FU11" s="189"/>
      <c r="FV11" s="189"/>
      <c r="FW11" s="189"/>
      <c r="FX11" s="189"/>
      <c r="FY11" s="189"/>
      <c r="FZ11" s="189"/>
      <c r="GA11" s="189"/>
      <c r="GB11" s="189"/>
      <c r="GC11" s="189"/>
      <c r="GD11" s="189"/>
      <c r="GE11" s="189"/>
      <c r="GF11" s="189"/>
      <c r="GG11" s="189"/>
      <c r="GH11" s="189"/>
      <c r="GI11" s="189"/>
      <c r="GJ11" s="189"/>
      <c r="GK11" s="189"/>
      <c r="GL11" s="189"/>
      <c r="GM11" s="189"/>
      <c r="GN11" s="189"/>
      <c r="GO11" s="189"/>
      <c r="GP11" s="189"/>
      <c r="GQ11" s="189"/>
      <c r="GR11" s="189"/>
      <c r="GS11" s="189"/>
      <c r="GT11" s="189"/>
      <c r="GU11" s="189"/>
      <c r="GV11" s="189"/>
      <c r="GW11" s="189"/>
      <c r="GX11" s="189"/>
      <c r="GY11" s="189"/>
      <c r="GZ11" s="189"/>
      <c r="HA11" s="189"/>
      <c r="HB11" s="189"/>
      <c r="HC11" s="189"/>
      <c r="HD11" s="189"/>
      <c r="HE11" s="189"/>
      <c r="HF11" s="189"/>
      <c r="HG11" s="189"/>
      <c r="HH11" s="189"/>
      <c r="HI11" s="189"/>
      <c r="HJ11" s="189"/>
      <c r="HK11" s="189"/>
      <c r="HL11" s="189"/>
      <c r="HM11" s="189"/>
      <c r="HN11" s="189"/>
    </row>
    <row r="12" spans="1:222" ht="15" x14ac:dyDescent="0.25">
      <c r="A12" s="189"/>
      <c r="B12" s="193" t="s">
        <v>152</v>
      </c>
      <c r="C12" s="189"/>
      <c r="D12" s="189">
        <v>459.97922357865934</v>
      </c>
      <c r="E12" s="189">
        <v>539.13671326925544</v>
      </c>
      <c r="F12" s="189">
        <v>468.38041206085825</v>
      </c>
      <c r="G12" s="189">
        <v>418.82011243366111</v>
      </c>
      <c r="H12" s="189">
        <v>635.60753509536892</v>
      </c>
      <c r="I12" s="189">
        <v>654.91835477910683</v>
      </c>
      <c r="J12" s="189">
        <v>617.21814350979275</v>
      </c>
      <c r="K12" s="189">
        <v>603.74002102893826</v>
      </c>
      <c r="L12" s="189">
        <v>574.64003637488167</v>
      </c>
      <c r="M12" s="189">
        <v>558.74687055607103</v>
      </c>
      <c r="N12" s="189">
        <v>533.29328804033469</v>
      </c>
      <c r="O12" s="189">
        <v>541.41779046631268</v>
      </c>
      <c r="P12" s="189">
        <v>526.79638373943908</v>
      </c>
      <c r="Q12" s="189">
        <v>470.77866198698473</v>
      </c>
      <c r="R12" s="189">
        <v>479.01388921474444</v>
      </c>
      <c r="S12" s="189">
        <v>189.67844850619016</v>
      </c>
      <c r="T12" s="189">
        <v>471.13056115113358</v>
      </c>
      <c r="U12" s="189">
        <v>461.26587632342631</v>
      </c>
      <c r="V12" s="189">
        <v>580.51155673910898</v>
      </c>
      <c r="W12" s="189">
        <v>504.34108333719053</v>
      </c>
      <c r="X12" s="189">
        <v>515.79042477112341</v>
      </c>
      <c r="Y12" s="189">
        <v>585.28116049461494</v>
      </c>
      <c r="Z12" s="189">
        <v>510.78455327072163</v>
      </c>
      <c r="AA12" s="189">
        <v>552.82327681989113</v>
      </c>
      <c r="AB12" s="189">
        <v>541.14643889726938</v>
      </c>
      <c r="AC12" s="189">
        <v>489.04664965132935</v>
      </c>
      <c r="AD12" s="189">
        <v>565.12208804361399</v>
      </c>
      <c r="AE12" s="189">
        <v>567.92321084758521</v>
      </c>
      <c r="AF12" s="189">
        <v>496.92368943055334</v>
      </c>
      <c r="AG12" s="189">
        <v>465.98935451134821</v>
      </c>
      <c r="AH12" s="189">
        <v>513.10275314921182</v>
      </c>
      <c r="AI12" s="189">
        <v>486.26254981809342</v>
      </c>
      <c r="AJ12" s="189">
        <v>486.72857460998443</v>
      </c>
      <c r="AK12" s="189">
        <v>708.1544235885533</v>
      </c>
      <c r="AL12" s="189">
        <v>550.17060372529795</v>
      </c>
      <c r="AM12" s="189">
        <v>652.64280426990808</v>
      </c>
      <c r="AN12" s="189">
        <v>757.15835485898526</v>
      </c>
      <c r="AO12" s="189">
        <v>713.35135344123523</v>
      </c>
      <c r="AP12" s="189"/>
      <c r="AQ12" s="189"/>
      <c r="AR12" s="189"/>
      <c r="AS12" s="189"/>
      <c r="AT12" s="189"/>
      <c r="AU12" s="189"/>
      <c r="AV12" s="189"/>
      <c r="AW12" s="189"/>
      <c r="AX12" s="189"/>
      <c r="AY12" s="189"/>
      <c r="AZ12" s="189"/>
      <c r="BA12" s="189"/>
      <c r="BB12" s="189"/>
      <c r="BC12" s="189"/>
      <c r="BD12" s="189"/>
      <c r="BE12" s="189"/>
      <c r="BF12" s="189"/>
      <c r="BG12" s="189"/>
      <c r="BH12" s="189"/>
      <c r="BI12" s="189"/>
      <c r="BJ12" s="189"/>
      <c r="BK12" s="189"/>
      <c r="BL12" s="189"/>
      <c r="BM12" s="189"/>
      <c r="BN12" s="189"/>
      <c r="BO12" s="189"/>
      <c r="BP12" s="189"/>
      <c r="BQ12" s="189"/>
      <c r="BR12" s="189"/>
      <c r="BS12" s="189"/>
      <c r="BT12" s="189"/>
      <c r="BU12" s="189"/>
      <c r="BV12" s="189"/>
      <c r="BW12" s="189"/>
      <c r="BX12" s="189"/>
      <c r="BY12" s="189"/>
      <c r="BZ12" s="189"/>
      <c r="CA12" s="189"/>
      <c r="CB12" s="189"/>
      <c r="CC12" s="189"/>
      <c r="CD12" s="189"/>
      <c r="CE12" s="189"/>
      <c r="CF12" s="189"/>
      <c r="CG12" s="189"/>
      <c r="CH12" s="189"/>
      <c r="CI12" s="189"/>
      <c r="CJ12" s="189"/>
      <c r="CK12" s="189"/>
      <c r="CL12" s="189"/>
      <c r="CM12" s="189"/>
      <c r="CN12" s="189"/>
      <c r="CO12" s="189"/>
      <c r="CP12" s="189"/>
      <c r="CQ12" s="189"/>
      <c r="CR12" s="189"/>
      <c r="CS12" s="189"/>
      <c r="CT12" s="189"/>
      <c r="CU12" s="189"/>
      <c r="CV12" s="189"/>
      <c r="CW12" s="189"/>
      <c r="CX12" s="189"/>
      <c r="CY12" s="189"/>
      <c r="CZ12" s="189"/>
      <c r="DA12" s="189"/>
      <c r="DB12" s="189"/>
      <c r="DC12" s="189"/>
      <c r="DD12" s="189"/>
      <c r="DE12" s="189"/>
      <c r="DF12" s="189"/>
      <c r="DG12" s="189"/>
      <c r="DH12" s="189"/>
      <c r="DI12" s="189"/>
      <c r="DJ12" s="189"/>
      <c r="DK12" s="189"/>
      <c r="DL12" s="189"/>
      <c r="DM12" s="189"/>
      <c r="DN12" s="189"/>
      <c r="DO12" s="189"/>
      <c r="DP12" s="189"/>
      <c r="DQ12" s="189"/>
      <c r="DR12" s="189"/>
      <c r="DS12" s="189"/>
      <c r="DT12" s="189"/>
      <c r="DU12" s="189"/>
      <c r="DV12" s="189"/>
      <c r="DW12" s="189"/>
      <c r="DX12" s="189"/>
      <c r="DY12" s="189"/>
      <c r="DZ12" s="189"/>
      <c r="EA12" s="189"/>
      <c r="EB12" s="189"/>
      <c r="EC12" s="189"/>
      <c r="ED12" s="189"/>
      <c r="EE12" s="189"/>
      <c r="EF12" s="189"/>
      <c r="EG12" s="189"/>
      <c r="EH12" s="189"/>
      <c r="EI12" s="189"/>
      <c r="EJ12" s="189"/>
      <c r="EK12" s="189"/>
      <c r="EL12" s="189"/>
      <c r="EM12" s="189"/>
      <c r="EN12" s="189"/>
      <c r="EO12" s="189"/>
      <c r="EP12" s="189"/>
      <c r="EQ12" s="189"/>
      <c r="ER12" s="189"/>
      <c r="ES12" s="189"/>
      <c r="ET12" s="189"/>
      <c r="EU12" s="189"/>
      <c r="EV12" s="189"/>
      <c r="EW12" s="189"/>
      <c r="EX12" s="189"/>
      <c r="EY12" s="189"/>
      <c r="EZ12" s="189"/>
      <c r="FA12" s="189"/>
      <c r="FB12" s="189"/>
      <c r="FC12" s="189"/>
      <c r="FD12" s="189"/>
      <c r="FE12" s="189"/>
      <c r="FF12" s="189"/>
      <c r="FG12" s="189"/>
      <c r="FH12" s="189"/>
      <c r="FI12" s="189"/>
      <c r="FJ12" s="189"/>
      <c r="FK12" s="189"/>
      <c r="FL12" s="189"/>
      <c r="FM12" s="189"/>
      <c r="FN12" s="189"/>
      <c r="FO12" s="189"/>
      <c r="FP12" s="189"/>
      <c r="FQ12" s="189"/>
      <c r="FR12" s="189"/>
      <c r="FS12" s="189"/>
      <c r="FT12" s="189"/>
      <c r="FU12" s="189"/>
      <c r="FV12" s="189"/>
      <c r="FW12" s="189"/>
      <c r="FX12" s="189"/>
      <c r="FY12" s="189"/>
      <c r="FZ12" s="189"/>
      <c r="GA12" s="189"/>
      <c r="GB12" s="189"/>
      <c r="GC12" s="189"/>
      <c r="GD12" s="189"/>
      <c r="GE12" s="189"/>
      <c r="GF12" s="189"/>
      <c r="GG12" s="189"/>
      <c r="GH12" s="189"/>
      <c r="GI12" s="189"/>
      <c r="GJ12" s="189"/>
      <c r="GK12" s="189"/>
      <c r="GL12" s="189"/>
      <c r="GM12" s="189"/>
      <c r="GN12" s="189"/>
      <c r="GO12" s="189"/>
      <c r="GP12" s="189"/>
      <c r="GQ12" s="189"/>
      <c r="GR12" s="189"/>
      <c r="GS12" s="189"/>
      <c r="GT12" s="189"/>
      <c r="GU12" s="189"/>
      <c r="GV12" s="189"/>
      <c r="GW12" s="189"/>
      <c r="GX12" s="189"/>
      <c r="GY12" s="189"/>
      <c r="GZ12" s="189"/>
      <c r="HA12" s="189"/>
      <c r="HB12" s="189"/>
      <c r="HC12" s="189"/>
      <c r="HD12" s="189"/>
      <c r="HE12" s="189"/>
      <c r="HF12" s="189"/>
      <c r="HG12" s="189"/>
      <c r="HH12" s="189"/>
      <c r="HI12" s="189"/>
      <c r="HJ12" s="189"/>
      <c r="HK12" s="189"/>
      <c r="HL12" s="189"/>
      <c r="HM12" s="189"/>
      <c r="HN12" s="189"/>
    </row>
    <row r="13" spans="1:222" ht="15" x14ac:dyDescent="0.25">
      <c r="A13" s="189"/>
      <c r="B13" s="193" t="s">
        <v>151</v>
      </c>
      <c r="C13" s="189"/>
      <c r="D13" s="189">
        <v>45.302428338874421</v>
      </c>
      <c r="E13" s="189">
        <v>188.7847632368933</v>
      </c>
      <c r="F13" s="189">
        <v>330.3172361422574</v>
      </c>
      <c r="G13" s="189">
        <v>173.48822375964895</v>
      </c>
      <c r="H13" s="189">
        <v>160.1574567741313</v>
      </c>
      <c r="I13" s="189">
        <v>187.67296354328479</v>
      </c>
      <c r="J13" s="189">
        <v>126.75295954913925</v>
      </c>
      <c r="K13" s="189">
        <v>103.08463273286122</v>
      </c>
      <c r="L13" s="189">
        <v>133.72519774316402</v>
      </c>
      <c r="M13" s="189">
        <v>144.96080015195582</v>
      </c>
      <c r="N13" s="189">
        <v>162.9867445331584</v>
      </c>
      <c r="O13" s="189">
        <v>151.3195675164358</v>
      </c>
      <c r="P13" s="189">
        <v>139.17143557904248</v>
      </c>
      <c r="Q13" s="189">
        <v>119.99939704895435</v>
      </c>
      <c r="R13" s="189">
        <v>111.77819898313881</v>
      </c>
      <c r="S13" s="189">
        <v>126.00335044895731</v>
      </c>
      <c r="T13" s="189">
        <v>115.85654808022645</v>
      </c>
      <c r="U13" s="189">
        <v>123.59081682686771</v>
      </c>
      <c r="V13" s="189">
        <v>98.515782699933155</v>
      </c>
      <c r="W13" s="189">
        <v>125.04988611037584</v>
      </c>
      <c r="X13" s="189">
        <v>103.41444003674246</v>
      </c>
      <c r="Y13" s="189">
        <v>119.74651806985038</v>
      </c>
      <c r="Z13" s="189">
        <v>108.10981260546255</v>
      </c>
      <c r="AA13" s="189">
        <v>169.59191451772685</v>
      </c>
      <c r="AB13" s="189">
        <v>152.95817128792223</v>
      </c>
      <c r="AC13" s="189">
        <v>112.19500379920909</v>
      </c>
      <c r="AD13" s="189">
        <v>141.81397454424476</v>
      </c>
      <c r="AE13" s="189">
        <v>120.3023969084316</v>
      </c>
      <c r="AF13" s="189">
        <v>124.04663064086249</v>
      </c>
      <c r="AG13" s="189">
        <v>69.139213802771934</v>
      </c>
      <c r="AH13" s="189">
        <v>138.22749457129717</v>
      </c>
      <c r="AI13" s="189">
        <v>130.94278467219084</v>
      </c>
      <c r="AJ13" s="189">
        <v>99.412674935483111</v>
      </c>
      <c r="AK13" s="189">
        <v>128.60980234789091</v>
      </c>
      <c r="AL13" s="189">
        <v>121.19628062089637</v>
      </c>
      <c r="AM13" s="189">
        <v>104.26840728056104</v>
      </c>
      <c r="AN13" s="189">
        <v>167.61727448849061</v>
      </c>
      <c r="AO13" s="189">
        <v>256.48450292008704</v>
      </c>
      <c r="AP13" s="189"/>
      <c r="AQ13" s="189"/>
      <c r="AR13" s="189"/>
      <c r="AS13" s="189"/>
      <c r="AT13" s="189"/>
      <c r="AU13" s="189"/>
      <c r="AV13" s="189"/>
      <c r="AW13" s="189"/>
      <c r="AX13" s="189"/>
      <c r="AY13" s="189"/>
      <c r="AZ13" s="189"/>
      <c r="BA13" s="189"/>
      <c r="BB13" s="189"/>
      <c r="BC13" s="189"/>
      <c r="BD13" s="189"/>
      <c r="BE13" s="189"/>
      <c r="BF13" s="189"/>
      <c r="BG13" s="189"/>
      <c r="BH13" s="189"/>
      <c r="BI13" s="189"/>
      <c r="BJ13" s="189"/>
      <c r="BK13" s="189"/>
      <c r="BL13" s="189"/>
      <c r="BM13" s="189"/>
      <c r="BN13" s="189"/>
      <c r="BO13" s="189"/>
      <c r="BP13" s="189"/>
      <c r="BQ13" s="189"/>
      <c r="BR13" s="189"/>
      <c r="BS13" s="189"/>
      <c r="BT13" s="189"/>
      <c r="BU13" s="189"/>
      <c r="BV13" s="189"/>
      <c r="BW13" s="189"/>
      <c r="BX13" s="189"/>
      <c r="BY13" s="189"/>
      <c r="BZ13" s="189"/>
      <c r="CA13" s="189"/>
      <c r="CB13" s="189"/>
      <c r="CC13" s="189"/>
      <c r="CD13" s="189"/>
      <c r="CE13" s="189"/>
      <c r="CF13" s="189"/>
      <c r="CG13" s="189"/>
      <c r="CH13" s="189"/>
      <c r="CI13" s="189"/>
      <c r="CJ13" s="189"/>
      <c r="CK13" s="189"/>
      <c r="CL13" s="189"/>
      <c r="CM13" s="189"/>
      <c r="CN13" s="189"/>
      <c r="CO13" s="189"/>
      <c r="CP13" s="189"/>
      <c r="CQ13" s="189"/>
      <c r="CR13" s="189"/>
      <c r="CS13" s="189"/>
      <c r="CT13" s="189"/>
      <c r="CU13" s="189"/>
      <c r="CV13" s="189"/>
      <c r="CW13" s="189"/>
      <c r="CX13" s="189"/>
      <c r="CY13" s="189"/>
      <c r="CZ13" s="189"/>
      <c r="DA13" s="189"/>
      <c r="DB13" s="189"/>
      <c r="DC13" s="189"/>
      <c r="DD13" s="189"/>
      <c r="DE13" s="189"/>
      <c r="DF13" s="189"/>
      <c r="DG13" s="189"/>
      <c r="DH13" s="189"/>
      <c r="DI13" s="189"/>
      <c r="DJ13" s="189"/>
      <c r="DK13" s="189"/>
      <c r="DL13" s="189"/>
      <c r="DM13" s="189"/>
      <c r="DN13" s="189"/>
      <c r="DO13" s="189"/>
      <c r="DP13" s="189"/>
      <c r="DQ13" s="189"/>
      <c r="DR13" s="189"/>
      <c r="DS13" s="189"/>
      <c r="DT13" s="189"/>
      <c r="DU13" s="189"/>
      <c r="DV13" s="189"/>
      <c r="DW13" s="189"/>
      <c r="DX13" s="189"/>
      <c r="DY13" s="189"/>
      <c r="DZ13" s="189"/>
      <c r="EA13" s="189"/>
      <c r="EB13" s="189"/>
      <c r="EC13" s="189"/>
      <c r="ED13" s="189"/>
      <c r="EE13" s="189"/>
      <c r="EF13" s="189"/>
      <c r="EG13" s="189"/>
      <c r="EH13" s="189"/>
      <c r="EI13" s="189"/>
      <c r="EJ13" s="189"/>
      <c r="EK13" s="189"/>
      <c r="EL13" s="189"/>
      <c r="EM13" s="189"/>
      <c r="EN13" s="189"/>
      <c r="EO13" s="189"/>
      <c r="EP13" s="189"/>
      <c r="EQ13" s="189"/>
      <c r="ER13" s="189"/>
      <c r="ES13" s="189"/>
      <c r="ET13" s="189"/>
      <c r="EU13" s="189"/>
      <c r="EV13" s="189"/>
      <c r="EW13" s="189"/>
      <c r="EX13" s="189"/>
      <c r="EY13" s="189"/>
      <c r="EZ13" s="189"/>
      <c r="FA13" s="189"/>
      <c r="FB13" s="189"/>
      <c r="FC13" s="189"/>
      <c r="FD13" s="189"/>
      <c r="FE13" s="189"/>
      <c r="FF13" s="189"/>
      <c r="FG13" s="189"/>
      <c r="FH13" s="189"/>
      <c r="FI13" s="189"/>
      <c r="FJ13" s="189"/>
      <c r="FK13" s="189"/>
      <c r="FL13" s="189"/>
      <c r="FM13" s="189"/>
      <c r="FN13" s="189"/>
      <c r="FO13" s="189"/>
      <c r="FP13" s="189"/>
      <c r="FQ13" s="189"/>
      <c r="FR13" s="189"/>
      <c r="FS13" s="189"/>
      <c r="FT13" s="189"/>
      <c r="FU13" s="189"/>
      <c r="FV13" s="189"/>
      <c r="FW13" s="189"/>
      <c r="FX13" s="189"/>
      <c r="FY13" s="189"/>
      <c r="FZ13" s="189"/>
      <c r="GA13" s="189"/>
      <c r="GB13" s="189"/>
      <c r="GC13" s="189"/>
      <c r="GD13" s="189"/>
      <c r="GE13" s="189"/>
      <c r="GF13" s="189"/>
      <c r="GG13" s="189"/>
      <c r="GH13" s="189"/>
      <c r="GI13" s="189"/>
      <c r="GJ13" s="189"/>
      <c r="GK13" s="189"/>
      <c r="GL13" s="189"/>
      <c r="GM13" s="189"/>
      <c r="GN13" s="189"/>
      <c r="GO13" s="189"/>
      <c r="GP13" s="189"/>
      <c r="GQ13" s="189"/>
      <c r="GR13" s="189"/>
      <c r="GS13" s="189"/>
      <c r="GT13" s="189"/>
      <c r="GU13" s="189"/>
      <c r="GV13" s="189"/>
      <c r="GW13" s="189"/>
      <c r="GX13" s="189"/>
      <c r="GY13" s="189"/>
      <c r="GZ13" s="189"/>
      <c r="HA13" s="189"/>
      <c r="HB13" s="189"/>
      <c r="HC13" s="189"/>
      <c r="HD13" s="189"/>
      <c r="HE13" s="189"/>
      <c r="HF13" s="189"/>
      <c r="HG13" s="189"/>
      <c r="HH13" s="189"/>
      <c r="HI13" s="189"/>
      <c r="HJ13" s="189"/>
      <c r="HK13" s="189"/>
      <c r="HL13" s="189"/>
      <c r="HM13" s="189"/>
      <c r="HN13" s="189"/>
    </row>
    <row r="14" spans="1:222" ht="15" x14ac:dyDescent="0.25">
      <c r="A14" s="189"/>
      <c r="B14" s="193" t="s">
        <v>150</v>
      </c>
      <c r="C14" s="189"/>
      <c r="D14" s="189">
        <v>1384.0696357627721</v>
      </c>
      <c r="E14" s="189">
        <v>1379.9165468546532</v>
      </c>
      <c r="F14" s="189">
        <v>1324.4027218383294</v>
      </c>
      <c r="G14" s="189">
        <v>1633.3680383804019</v>
      </c>
      <c r="H14" s="189">
        <v>1750.4398436097204</v>
      </c>
      <c r="I14" s="189">
        <v>1627.116138508572</v>
      </c>
      <c r="J14" s="189">
        <v>1660.0495507949331</v>
      </c>
      <c r="K14" s="189">
        <v>1340.1788894135618</v>
      </c>
      <c r="L14" s="189">
        <v>1729.9093328018039</v>
      </c>
      <c r="M14" s="189">
        <v>1660.4049901088943</v>
      </c>
      <c r="N14" s="189">
        <v>1700.9184399184876</v>
      </c>
      <c r="O14" s="189">
        <v>1988.4494882092456</v>
      </c>
      <c r="P14" s="189">
        <v>1758.7581850639215</v>
      </c>
      <c r="Q14" s="189">
        <v>1637.7156983446928</v>
      </c>
      <c r="R14" s="189">
        <v>1968.9796935112097</v>
      </c>
      <c r="S14" s="189">
        <v>1468.7270783310107</v>
      </c>
      <c r="T14" s="189">
        <v>1676.9208695608079</v>
      </c>
      <c r="U14" s="189">
        <v>1895.772828340663</v>
      </c>
      <c r="V14" s="189">
        <v>1774.9129408124059</v>
      </c>
      <c r="W14" s="189">
        <v>1758.7617189646874</v>
      </c>
      <c r="X14" s="189">
        <v>1752.6860969111108</v>
      </c>
      <c r="Y14" s="189">
        <v>2015.2719282818471</v>
      </c>
      <c r="Z14" s="189">
        <v>2104.8580644134563</v>
      </c>
      <c r="AA14" s="189">
        <v>1989.8709076595089</v>
      </c>
      <c r="AB14" s="189">
        <v>1870.1033196505405</v>
      </c>
      <c r="AC14" s="189">
        <v>2048.6080067643952</v>
      </c>
      <c r="AD14" s="189">
        <v>1638.532188230005</v>
      </c>
      <c r="AE14" s="189">
        <v>1830.9034021396983</v>
      </c>
      <c r="AF14" s="189">
        <v>1943.5271346337036</v>
      </c>
      <c r="AG14" s="189">
        <v>1875.3634015991702</v>
      </c>
      <c r="AH14" s="189">
        <v>2117.1742419275879</v>
      </c>
      <c r="AI14" s="189">
        <v>2095.3042950935173</v>
      </c>
      <c r="AJ14" s="189">
        <v>1861.1260656924103</v>
      </c>
      <c r="AK14" s="189">
        <v>1778.3421710191926</v>
      </c>
      <c r="AL14" s="189">
        <v>1883.3180633343561</v>
      </c>
      <c r="AM14" s="189">
        <v>1918.0853511868672</v>
      </c>
      <c r="AN14" s="189">
        <v>2093.1959925673218</v>
      </c>
      <c r="AO14" s="189">
        <v>1935.675053998948</v>
      </c>
      <c r="AP14" s="189"/>
      <c r="AQ14" s="189"/>
      <c r="AR14" s="189"/>
      <c r="AS14" s="189"/>
      <c r="AT14" s="189"/>
      <c r="AU14" s="189"/>
      <c r="AV14" s="189"/>
      <c r="AW14" s="189"/>
      <c r="AX14" s="189"/>
      <c r="AY14" s="189"/>
      <c r="AZ14" s="189"/>
      <c r="BA14" s="189"/>
      <c r="BB14" s="189"/>
      <c r="BC14" s="189"/>
      <c r="BD14" s="189"/>
      <c r="BE14" s="189"/>
      <c r="BF14" s="189"/>
      <c r="BG14" s="189"/>
      <c r="BH14" s="189"/>
      <c r="BI14" s="189"/>
      <c r="BJ14" s="189"/>
      <c r="BK14" s="189"/>
      <c r="BL14" s="189"/>
      <c r="BM14" s="189"/>
      <c r="BN14" s="189"/>
      <c r="BO14" s="189"/>
      <c r="BP14" s="189"/>
      <c r="BQ14" s="189"/>
      <c r="BR14" s="189"/>
      <c r="BS14" s="189"/>
      <c r="BT14" s="189"/>
      <c r="BU14" s="189"/>
      <c r="BV14" s="189"/>
      <c r="BW14" s="189"/>
      <c r="BX14" s="189"/>
      <c r="BY14" s="189"/>
      <c r="BZ14" s="189"/>
      <c r="CA14" s="189"/>
      <c r="CB14" s="189"/>
      <c r="CC14" s="189"/>
      <c r="CD14" s="189"/>
      <c r="CE14" s="189"/>
      <c r="CF14" s="189"/>
      <c r="CG14" s="189"/>
      <c r="CH14" s="189"/>
      <c r="CI14" s="189"/>
      <c r="CJ14" s="189"/>
      <c r="CK14" s="189"/>
      <c r="CL14" s="189"/>
      <c r="CM14" s="189"/>
      <c r="CN14" s="189"/>
      <c r="CO14" s="189"/>
      <c r="CP14" s="189"/>
      <c r="CQ14" s="189"/>
      <c r="CR14" s="189"/>
      <c r="CS14" s="189"/>
      <c r="CT14" s="189"/>
      <c r="CU14" s="189"/>
      <c r="CV14" s="189"/>
      <c r="CW14" s="189"/>
      <c r="CX14" s="189"/>
      <c r="CY14" s="189"/>
      <c r="CZ14" s="189"/>
      <c r="DA14" s="189"/>
      <c r="DB14" s="189"/>
      <c r="DC14" s="189"/>
      <c r="DD14" s="189"/>
      <c r="DE14" s="189"/>
      <c r="DF14" s="189"/>
      <c r="DG14" s="189"/>
      <c r="DH14" s="189"/>
      <c r="DI14" s="189"/>
      <c r="DJ14" s="189"/>
      <c r="DK14" s="189"/>
      <c r="DL14" s="189"/>
      <c r="DM14" s="189"/>
      <c r="DN14" s="189"/>
      <c r="DO14" s="189"/>
      <c r="DP14" s="189"/>
      <c r="DQ14" s="189"/>
      <c r="DR14" s="189"/>
      <c r="DS14" s="189"/>
      <c r="DT14" s="189"/>
      <c r="DU14" s="189"/>
      <c r="DV14" s="189"/>
      <c r="DW14" s="189"/>
      <c r="DX14" s="189"/>
      <c r="DY14" s="189"/>
      <c r="DZ14" s="189"/>
      <c r="EA14" s="189"/>
      <c r="EB14" s="189"/>
      <c r="EC14" s="189"/>
      <c r="ED14" s="189"/>
      <c r="EE14" s="189"/>
      <c r="EF14" s="189"/>
      <c r="EG14" s="189"/>
      <c r="EH14" s="189"/>
      <c r="EI14" s="189"/>
      <c r="EJ14" s="189"/>
      <c r="EK14" s="189"/>
      <c r="EL14" s="189"/>
      <c r="EM14" s="189"/>
      <c r="EN14" s="189"/>
      <c r="EO14" s="189"/>
      <c r="EP14" s="189"/>
      <c r="EQ14" s="189"/>
      <c r="ER14" s="189"/>
      <c r="ES14" s="189"/>
      <c r="ET14" s="189"/>
      <c r="EU14" s="189"/>
      <c r="EV14" s="189"/>
      <c r="EW14" s="189"/>
      <c r="EX14" s="189"/>
      <c r="EY14" s="189"/>
      <c r="EZ14" s="189"/>
      <c r="FA14" s="189"/>
      <c r="FB14" s="189"/>
      <c r="FC14" s="189"/>
      <c r="FD14" s="189"/>
      <c r="FE14" s="189"/>
      <c r="FF14" s="189"/>
      <c r="FG14" s="189"/>
      <c r="FH14" s="189"/>
      <c r="FI14" s="189"/>
      <c r="FJ14" s="189"/>
      <c r="FK14" s="189"/>
      <c r="FL14" s="189"/>
      <c r="FM14" s="189"/>
      <c r="FN14" s="189"/>
      <c r="FO14" s="189"/>
      <c r="FP14" s="189"/>
      <c r="FQ14" s="189"/>
      <c r="FR14" s="189"/>
      <c r="FS14" s="189"/>
      <c r="FT14" s="189"/>
      <c r="FU14" s="189"/>
      <c r="FV14" s="189"/>
      <c r="FW14" s="189"/>
      <c r="FX14" s="189"/>
      <c r="FY14" s="189"/>
      <c r="FZ14" s="189"/>
      <c r="GA14" s="189"/>
      <c r="GB14" s="189"/>
      <c r="GC14" s="189"/>
      <c r="GD14" s="189"/>
      <c r="GE14" s="189"/>
      <c r="GF14" s="189"/>
      <c r="GG14" s="189"/>
      <c r="GH14" s="189"/>
      <c r="GI14" s="189"/>
      <c r="GJ14" s="189"/>
      <c r="GK14" s="189"/>
      <c r="GL14" s="189"/>
      <c r="GM14" s="189"/>
      <c r="GN14" s="189"/>
      <c r="GO14" s="189"/>
      <c r="GP14" s="189"/>
      <c r="GQ14" s="189"/>
      <c r="GR14" s="189"/>
      <c r="GS14" s="189"/>
      <c r="GT14" s="189"/>
      <c r="GU14" s="189"/>
      <c r="GV14" s="189"/>
      <c r="GW14" s="189"/>
      <c r="GX14" s="189"/>
      <c r="GY14" s="189"/>
      <c r="GZ14" s="189"/>
      <c r="HA14" s="189"/>
      <c r="HB14" s="189"/>
      <c r="HC14" s="189"/>
      <c r="HD14" s="189"/>
      <c r="HE14" s="189"/>
      <c r="HF14" s="189"/>
      <c r="HG14" s="189"/>
      <c r="HH14" s="189"/>
      <c r="HI14" s="189"/>
      <c r="HJ14" s="189"/>
      <c r="HK14" s="189"/>
      <c r="HL14" s="189"/>
      <c r="HM14" s="189"/>
      <c r="HN14" s="189"/>
    </row>
    <row r="15" spans="1:222" ht="15" x14ac:dyDescent="0.25">
      <c r="A15" s="189"/>
      <c r="B15" s="194" t="s">
        <v>149</v>
      </c>
      <c r="C15" s="189"/>
      <c r="D15" s="189">
        <v>571.68343441738944</v>
      </c>
      <c r="E15" s="189">
        <v>524.47270136019142</v>
      </c>
      <c r="F15" s="189">
        <v>510.86055086659252</v>
      </c>
      <c r="G15" s="189">
        <v>462.74549538768036</v>
      </c>
      <c r="H15" s="189">
        <v>549.41225110187793</v>
      </c>
      <c r="I15" s="189">
        <v>559.79286451031328</v>
      </c>
      <c r="J15" s="189">
        <v>566.36421607475484</v>
      </c>
      <c r="K15" s="189">
        <v>596.0831921516633</v>
      </c>
      <c r="L15" s="189">
        <v>553.90218443201832</v>
      </c>
      <c r="M15" s="189">
        <v>496.88697051315887</v>
      </c>
      <c r="N15" s="189">
        <v>605.40702360155433</v>
      </c>
      <c r="O15" s="189">
        <v>612.984007832609</v>
      </c>
      <c r="P15" s="189">
        <v>587.8751875023338</v>
      </c>
      <c r="Q15" s="189">
        <v>613.38456566703917</v>
      </c>
      <c r="R15" s="189">
        <v>600.63617358729971</v>
      </c>
      <c r="S15" s="189">
        <v>555.66086981047158</v>
      </c>
      <c r="T15" s="189">
        <v>609.11308111946425</v>
      </c>
      <c r="U15" s="189">
        <v>635.43473634021314</v>
      </c>
      <c r="V15" s="189">
        <v>624.18133682856887</v>
      </c>
      <c r="W15" s="189">
        <v>606.41495574478279</v>
      </c>
      <c r="X15" s="189">
        <v>668.9118363403129</v>
      </c>
      <c r="Y15" s="189">
        <v>769.86006488706585</v>
      </c>
      <c r="Z15" s="189">
        <v>704.82082068906868</v>
      </c>
      <c r="AA15" s="189">
        <v>739.60854671498419</v>
      </c>
      <c r="AB15" s="189">
        <v>779.91989056035868</v>
      </c>
      <c r="AC15" s="189">
        <v>796.1270537383632</v>
      </c>
      <c r="AD15" s="189">
        <v>909.87446895611242</v>
      </c>
      <c r="AE15" s="189">
        <v>1028.5419395945978</v>
      </c>
      <c r="AF15" s="189">
        <v>959.63503207993278</v>
      </c>
      <c r="AG15" s="189">
        <v>1029.85183076265</v>
      </c>
      <c r="AH15" s="189">
        <v>968.24765298671184</v>
      </c>
      <c r="AI15" s="189">
        <v>963.85003400576375</v>
      </c>
      <c r="AJ15" s="189">
        <v>1029.389951416013</v>
      </c>
      <c r="AK15" s="189">
        <v>1016.9054743286575</v>
      </c>
      <c r="AL15" s="189">
        <v>1049.2586079197652</v>
      </c>
      <c r="AM15" s="189">
        <v>966.11954535605946</v>
      </c>
      <c r="AN15" s="189">
        <v>966.10686046120247</v>
      </c>
      <c r="AO15" s="189">
        <v>1025.2910237730662</v>
      </c>
      <c r="AP15" s="189"/>
      <c r="AQ15" s="189"/>
      <c r="AR15" s="189"/>
      <c r="AS15" s="189"/>
      <c r="AT15" s="189"/>
      <c r="AU15" s="189"/>
      <c r="AV15" s="189"/>
      <c r="AW15" s="189"/>
      <c r="AX15" s="189"/>
      <c r="AY15" s="189"/>
      <c r="AZ15" s="189"/>
      <c r="BA15" s="189"/>
      <c r="BB15" s="189"/>
      <c r="BC15" s="189"/>
      <c r="BD15" s="189"/>
      <c r="BE15" s="189"/>
      <c r="BF15" s="189"/>
      <c r="BG15" s="189"/>
      <c r="BH15" s="189"/>
      <c r="BI15" s="189"/>
      <c r="BJ15" s="189"/>
      <c r="BK15" s="189"/>
      <c r="BL15" s="189"/>
      <c r="BM15" s="189"/>
      <c r="BN15" s="189"/>
      <c r="BO15" s="189"/>
      <c r="BP15" s="189"/>
      <c r="BQ15" s="189"/>
      <c r="BR15" s="189"/>
      <c r="BS15" s="189"/>
      <c r="BT15" s="189"/>
      <c r="BU15" s="189"/>
      <c r="BV15" s="189"/>
      <c r="BW15" s="189"/>
      <c r="BX15" s="189"/>
      <c r="BY15" s="189"/>
      <c r="BZ15" s="189"/>
      <c r="CA15" s="189"/>
      <c r="CB15" s="189"/>
      <c r="CC15" s="189"/>
      <c r="CD15" s="189"/>
      <c r="CE15" s="189"/>
      <c r="CF15" s="189"/>
      <c r="CG15" s="189"/>
      <c r="CH15" s="189"/>
      <c r="CI15" s="189"/>
      <c r="CJ15" s="189"/>
      <c r="CK15" s="189"/>
      <c r="CL15" s="189"/>
      <c r="CM15" s="189"/>
      <c r="CN15" s="189"/>
      <c r="CO15" s="189"/>
      <c r="CP15" s="189"/>
      <c r="CQ15" s="189"/>
      <c r="CR15" s="189"/>
      <c r="CS15" s="189"/>
      <c r="CT15" s="189"/>
      <c r="CU15" s="189"/>
      <c r="CV15" s="189"/>
      <c r="CW15" s="189"/>
      <c r="CX15" s="189"/>
      <c r="CY15" s="189"/>
      <c r="CZ15" s="189"/>
      <c r="DA15" s="189"/>
      <c r="DB15" s="189"/>
      <c r="DC15" s="189"/>
      <c r="DD15" s="189"/>
      <c r="DE15" s="189"/>
      <c r="DF15" s="189"/>
      <c r="DG15" s="189"/>
      <c r="DH15" s="189"/>
      <c r="DI15" s="189"/>
      <c r="DJ15" s="189"/>
      <c r="DK15" s="189"/>
      <c r="DL15" s="189"/>
      <c r="DM15" s="189"/>
      <c r="DN15" s="189"/>
      <c r="DO15" s="189"/>
      <c r="DP15" s="189"/>
      <c r="DQ15" s="189"/>
      <c r="DR15" s="189"/>
      <c r="DS15" s="189"/>
      <c r="DT15" s="189"/>
      <c r="DU15" s="189"/>
      <c r="DV15" s="189"/>
      <c r="DW15" s="189"/>
      <c r="DX15" s="189"/>
      <c r="DY15" s="189"/>
      <c r="DZ15" s="189"/>
      <c r="EA15" s="189"/>
      <c r="EB15" s="189"/>
      <c r="EC15" s="189"/>
      <c r="ED15" s="189"/>
      <c r="EE15" s="189"/>
      <c r="EF15" s="189"/>
      <c r="EG15" s="189"/>
      <c r="EH15" s="189"/>
      <c r="EI15" s="189"/>
      <c r="EJ15" s="189"/>
      <c r="EK15" s="189"/>
      <c r="EL15" s="189"/>
      <c r="EM15" s="189"/>
      <c r="EN15" s="189"/>
      <c r="EO15" s="189"/>
      <c r="EP15" s="189"/>
      <c r="EQ15" s="189"/>
      <c r="ER15" s="189"/>
      <c r="ES15" s="189"/>
      <c r="ET15" s="189"/>
      <c r="EU15" s="189"/>
      <c r="EV15" s="189"/>
      <c r="EW15" s="189"/>
      <c r="EX15" s="189"/>
      <c r="EY15" s="189"/>
      <c r="EZ15" s="189"/>
      <c r="FA15" s="189"/>
      <c r="FB15" s="189"/>
      <c r="FC15" s="189"/>
      <c r="FD15" s="189"/>
      <c r="FE15" s="189"/>
      <c r="FF15" s="189"/>
      <c r="FG15" s="189"/>
      <c r="FH15" s="189"/>
      <c r="FI15" s="189"/>
      <c r="FJ15" s="189"/>
      <c r="FK15" s="189"/>
      <c r="FL15" s="189"/>
      <c r="FM15" s="189"/>
      <c r="FN15" s="189"/>
      <c r="FO15" s="189"/>
      <c r="FP15" s="189"/>
      <c r="FQ15" s="189"/>
      <c r="FR15" s="189"/>
      <c r="FS15" s="189"/>
      <c r="FT15" s="189"/>
      <c r="FU15" s="189"/>
      <c r="FV15" s="189"/>
      <c r="FW15" s="189"/>
      <c r="FX15" s="189"/>
      <c r="FY15" s="189"/>
      <c r="FZ15" s="189"/>
      <c r="GA15" s="189"/>
      <c r="GB15" s="189"/>
      <c r="GC15" s="189"/>
      <c r="GD15" s="189"/>
      <c r="GE15" s="189"/>
      <c r="GF15" s="189"/>
      <c r="GG15" s="189"/>
      <c r="GH15" s="189"/>
      <c r="GI15" s="189"/>
      <c r="GJ15" s="189"/>
      <c r="GK15" s="189"/>
      <c r="GL15" s="189"/>
      <c r="GM15" s="189"/>
      <c r="GN15" s="189"/>
      <c r="GO15" s="189"/>
      <c r="GP15" s="189"/>
      <c r="GQ15" s="189"/>
      <c r="GR15" s="189"/>
      <c r="GS15" s="189"/>
      <c r="GT15" s="189"/>
      <c r="GU15" s="189"/>
      <c r="GV15" s="189"/>
      <c r="GW15" s="189"/>
      <c r="GX15" s="189"/>
      <c r="GY15" s="189"/>
      <c r="GZ15" s="189"/>
      <c r="HA15" s="189"/>
      <c r="HB15" s="189"/>
      <c r="HC15" s="189"/>
      <c r="HD15" s="189"/>
      <c r="HE15" s="189"/>
      <c r="HF15" s="189"/>
      <c r="HG15" s="189"/>
      <c r="HH15" s="189"/>
      <c r="HI15" s="189"/>
      <c r="HJ15" s="189"/>
      <c r="HK15" s="189"/>
      <c r="HL15" s="189"/>
      <c r="HM15" s="189"/>
      <c r="HN15" s="189"/>
    </row>
    <row r="16" spans="1:222" ht="15" x14ac:dyDescent="0.25">
      <c r="A16" s="189"/>
      <c r="B16" s="192" t="s">
        <v>148</v>
      </c>
      <c r="C16" s="189"/>
      <c r="D16" s="189">
        <v>146.45651946531012</v>
      </c>
      <c r="E16" s="189">
        <v>150.82598532230878</v>
      </c>
      <c r="F16" s="189">
        <v>154.65277374432853</v>
      </c>
      <c r="G16" s="189">
        <v>157.5048121174521</v>
      </c>
      <c r="H16" s="189">
        <v>161.18261528252009</v>
      </c>
      <c r="I16" s="189">
        <v>163.44322760226032</v>
      </c>
      <c r="J16" s="189">
        <v>168.26555758862122</v>
      </c>
      <c r="K16" s="189">
        <v>171.32496607078585</v>
      </c>
      <c r="L16" s="189">
        <v>176.27794914718953</v>
      </c>
      <c r="M16" s="189">
        <v>179.98519722101526</v>
      </c>
      <c r="N16" s="189">
        <v>182.89760158314544</v>
      </c>
      <c r="O16" s="189">
        <v>188.12867867214314</v>
      </c>
      <c r="P16" s="189">
        <v>192.98811328762366</v>
      </c>
      <c r="Q16" s="189">
        <v>197.53263131220356</v>
      </c>
      <c r="R16" s="189">
        <v>201.87590198110786</v>
      </c>
      <c r="S16" s="189">
        <v>204.88839766116931</v>
      </c>
      <c r="T16" s="189">
        <v>204.53187224065951</v>
      </c>
      <c r="U16" s="189">
        <v>210.95012669502984</v>
      </c>
      <c r="V16" s="189">
        <v>221.77263371982971</v>
      </c>
      <c r="W16" s="189">
        <v>237.80527010590745</v>
      </c>
      <c r="X16" s="189">
        <v>232.35357331489243</v>
      </c>
      <c r="Y16" s="189">
        <v>237.01023557902391</v>
      </c>
      <c r="Z16" s="189">
        <v>242.86136823583132</v>
      </c>
      <c r="AA16" s="189">
        <v>249.82897263662554</v>
      </c>
      <c r="AB16" s="189">
        <v>265.58502479798193</v>
      </c>
      <c r="AC16" s="189">
        <v>263.0195838988497</v>
      </c>
      <c r="AD16" s="189">
        <v>269.42398831386657</v>
      </c>
      <c r="AE16" s="189">
        <v>262.58429513465364</v>
      </c>
      <c r="AF16" s="189">
        <v>270.02640155375718</v>
      </c>
      <c r="AG16" s="189">
        <v>278.59973460680504</v>
      </c>
      <c r="AH16" s="189">
        <v>285.60118294003485</v>
      </c>
      <c r="AI16" s="189">
        <v>293.47962352983228</v>
      </c>
      <c r="AJ16" s="189">
        <v>299.09484467991558</v>
      </c>
      <c r="AK16" s="189">
        <v>304.9871912656169</v>
      </c>
      <c r="AL16" s="189">
        <v>311.28450482710298</v>
      </c>
      <c r="AM16" s="189">
        <v>315.91176809036529</v>
      </c>
      <c r="AN16" s="189">
        <v>323.21179415887849</v>
      </c>
      <c r="AO16" s="189">
        <v>330.02546474697226</v>
      </c>
      <c r="AP16" s="189"/>
      <c r="AQ16" s="189"/>
      <c r="AR16" s="189"/>
      <c r="AS16" s="189"/>
      <c r="AT16" s="189"/>
      <c r="AU16" s="189"/>
      <c r="AV16" s="189"/>
      <c r="AW16" s="189"/>
      <c r="AX16" s="189"/>
      <c r="AY16" s="189"/>
      <c r="AZ16" s="189"/>
      <c r="BA16" s="189"/>
      <c r="BB16" s="189"/>
      <c r="BC16" s="189"/>
      <c r="BD16" s="189"/>
      <c r="BE16" s="189"/>
      <c r="BF16" s="189"/>
      <c r="BG16" s="189"/>
      <c r="BH16" s="189"/>
      <c r="BI16" s="189"/>
      <c r="BJ16" s="189"/>
      <c r="BK16" s="189"/>
      <c r="BL16" s="189"/>
      <c r="BM16" s="189"/>
      <c r="BN16" s="189"/>
      <c r="BO16" s="189"/>
      <c r="BP16" s="189"/>
      <c r="BQ16" s="189"/>
      <c r="BR16" s="189"/>
      <c r="BS16" s="189"/>
      <c r="BT16" s="189"/>
      <c r="BU16" s="189"/>
      <c r="BV16" s="189"/>
      <c r="BW16" s="189"/>
      <c r="BX16" s="189"/>
      <c r="BY16" s="189"/>
      <c r="BZ16" s="189"/>
      <c r="CA16" s="189"/>
      <c r="CB16" s="189"/>
      <c r="CC16" s="189"/>
      <c r="CD16" s="189"/>
      <c r="CE16" s="189"/>
      <c r="CF16" s="189"/>
      <c r="CG16" s="189"/>
      <c r="CH16" s="189"/>
      <c r="CI16" s="189"/>
      <c r="CJ16" s="189"/>
      <c r="CK16" s="189"/>
      <c r="CL16" s="189"/>
      <c r="CM16" s="189"/>
      <c r="CN16" s="189"/>
      <c r="CO16" s="189"/>
      <c r="CP16" s="189"/>
      <c r="CQ16" s="189"/>
      <c r="CR16" s="189"/>
      <c r="CS16" s="189"/>
      <c r="CT16" s="189"/>
      <c r="CU16" s="189"/>
      <c r="CV16" s="189"/>
      <c r="CW16" s="189"/>
      <c r="CX16" s="189"/>
      <c r="CY16" s="189"/>
      <c r="CZ16" s="189"/>
      <c r="DA16" s="189"/>
      <c r="DB16" s="189"/>
      <c r="DC16" s="189"/>
      <c r="DD16" s="189"/>
      <c r="DE16" s="189"/>
      <c r="DF16" s="189"/>
      <c r="DG16" s="189"/>
      <c r="DH16" s="189"/>
      <c r="DI16" s="189"/>
      <c r="DJ16" s="189"/>
      <c r="DK16" s="189"/>
      <c r="DL16" s="189"/>
      <c r="DM16" s="189"/>
      <c r="DN16" s="189"/>
      <c r="DO16" s="189"/>
      <c r="DP16" s="189"/>
      <c r="DQ16" s="189"/>
      <c r="DR16" s="189"/>
      <c r="DS16" s="189"/>
      <c r="DT16" s="189"/>
      <c r="DU16" s="189"/>
      <c r="DV16" s="189"/>
      <c r="DW16" s="189"/>
      <c r="DX16" s="189"/>
      <c r="DY16" s="189"/>
      <c r="DZ16" s="189"/>
      <c r="EA16" s="189"/>
      <c r="EB16" s="189"/>
      <c r="EC16" s="189"/>
      <c r="ED16" s="189"/>
      <c r="EE16" s="189"/>
      <c r="EF16" s="189"/>
      <c r="EG16" s="189"/>
      <c r="EH16" s="189"/>
      <c r="EI16" s="189"/>
      <c r="EJ16" s="189"/>
      <c r="EK16" s="189"/>
      <c r="EL16" s="189"/>
      <c r="EM16" s="189"/>
      <c r="EN16" s="189"/>
      <c r="EO16" s="189"/>
      <c r="EP16" s="189"/>
      <c r="EQ16" s="189"/>
      <c r="ER16" s="189"/>
      <c r="ES16" s="189"/>
      <c r="ET16" s="189"/>
      <c r="EU16" s="189"/>
      <c r="EV16" s="189"/>
      <c r="EW16" s="189"/>
      <c r="EX16" s="189"/>
      <c r="EY16" s="189"/>
      <c r="EZ16" s="189"/>
      <c r="FA16" s="189"/>
      <c r="FB16" s="189"/>
      <c r="FC16" s="189"/>
      <c r="FD16" s="189"/>
      <c r="FE16" s="189"/>
      <c r="FF16" s="189"/>
      <c r="FG16" s="189"/>
      <c r="FH16" s="189"/>
      <c r="FI16" s="189"/>
      <c r="FJ16" s="189"/>
      <c r="FK16" s="189"/>
      <c r="FL16" s="189"/>
      <c r="FM16" s="189"/>
      <c r="FN16" s="189"/>
      <c r="FO16" s="189"/>
      <c r="FP16" s="189"/>
      <c r="FQ16" s="189"/>
      <c r="FR16" s="189"/>
      <c r="FS16" s="189"/>
      <c r="FT16" s="189"/>
      <c r="FU16" s="189"/>
      <c r="FV16" s="189"/>
      <c r="FW16" s="189"/>
      <c r="FX16" s="189"/>
      <c r="FY16" s="189"/>
      <c r="FZ16" s="189"/>
      <c r="GA16" s="189"/>
      <c r="GB16" s="189"/>
      <c r="GC16" s="189"/>
      <c r="GD16" s="189"/>
      <c r="GE16" s="189"/>
      <c r="GF16" s="189"/>
      <c r="GG16" s="189"/>
      <c r="GH16" s="189"/>
      <c r="GI16" s="189"/>
      <c r="GJ16" s="189"/>
      <c r="GK16" s="189"/>
      <c r="GL16" s="189"/>
      <c r="GM16" s="189"/>
      <c r="GN16" s="189"/>
      <c r="GO16" s="189"/>
      <c r="GP16" s="189"/>
      <c r="GQ16" s="189"/>
      <c r="GR16" s="189"/>
      <c r="GS16" s="189"/>
      <c r="GT16" s="189"/>
      <c r="GU16" s="189"/>
      <c r="GV16" s="189"/>
      <c r="GW16" s="189"/>
      <c r="GX16" s="189"/>
      <c r="GY16" s="189"/>
      <c r="GZ16" s="189"/>
      <c r="HA16" s="189"/>
      <c r="HB16" s="189"/>
      <c r="HC16" s="189"/>
      <c r="HD16" s="189"/>
      <c r="HE16" s="189"/>
      <c r="HF16" s="189"/>
      <c r="HG16" s="189"/>
      <c r="HH16" s="189"/>
      <c r="HI16" s="189"/>
      <c r="HJ16" s="189"/>
      <c r="HK16" s="189"/>
      <c r="HL16" s="189"/>
      <c r="HM16" s="189"/>
      <c r="HN16" s="189"/>
    </row>
    <row r="17" spans="1:222" ht="15" x14ac:dyDescent="0.25">
      <c r="A17" s="191"/>
      <c r="B17" s="192" t="s">
        <v>147</v>
      </c>
      <c r="C17" s="191"/>
      <c r="D17" s="175">
        <v>-1350.7834056240881</v>
      </c>
      <c r="E17" s="175">
        <v>-952.73864855106513</v>
      </c>
      <c r="F17" s="175">
        <v>-446.69484400354668</v>
      </c>
      <c r="G17" s="175">
        <v>-1043.166902227872</v>
      </c>
      <c r="H17" s="175">
        <v>-314.54371886134413</v>
      </c>
      <c r="I17" s="175">
        <v>-152.47202462011046</v>
      </c>
      <c r="J17" s="175">
        <v>-1854.8837054589339</v>
      </c>
      <c r="K17" s="175">
        <v>-1955.7815206328014</v>
      </c>
      <c r="L17" s="175">
        <v>-1855.5501934748572</v>
      </c>
      <c r="M17" s="175">
        <v>-1771.5255556183183</v>
      </c>
      <c r="N17" s="175">
        <v>-156.34704268053974</v>
      </c>
      <c r="O17" s="175">
        <v>-1065.2371168100517</v>
      </c>
      <c r="P17" s="175">
        <v>-919.23167769161773</v>
      </c>
      <c r="Q17" s="175">
        <v>-774.75345597282376</v>
      </c>
      <c r="R17" s="175">
        <v>-1563.4739243435779</v>
      </c>
      <c r="S17" s="175">
        <v>-1788.3237845298972</v>
      </c>
      <c r="T17" s="175">
        <v>-2324.3444557061621</v>
      </c>
      <c r="U17" s="175">
        <v>-2758.9169024151952</v>
      </c>
      <c r="V17" s="175">
        <v>-1628.5500832701919</v>
      </c>
      <c r="W17" s="175">
        <v>-3424.3300458930917</v>
      </c>
      <c r="X17" s="175">
        <v>-2090.6054990044522</v>
      </c>
      <c r="Y17" s="175">
        <v>-2982.5021857243546</v>
      </c>
      <c r="Z17" s="175">
        <v>-3121.1240421491439</v>
      </c>
      <c r="AA17" s="175">
        <v>-3304.6461363484464</v>
      </c>
      <c r="AB17" s="175">
        <v>-3055.5774774282381</v>
      </c>
      <c r="AC17" s="175">
        <v>-2697.4121327843623</v>
      </c>
      <c r="AD17" s="175">
        <v>-2177.9204761528681</v>
      </c>
      <c r="AE17" s="175">
        <v>-2743.3051731341993</v>
      </c>
      <c r="AF17" s="175">
        <v>-1893.1379251161043</v>
      </c>
      <c r="AG17" s="175">
        <v>-1679.9373898304975</v>
      </c>
      <c r="AH17" s="175">
        <v>-1179.8894260022089</v>
      </c>
      <c r="AI17" s="175">
        <v>-1176.0867342199272</v>
      </c>
      <c r="AJ17" s="175">
        <v>-1424.6923857201082</v>
      </c>
      <c r="AK17" s="175">
        <v>-1623.9810373348746</v>
      </c>
      <c r="AL17" s="175">
        <v>826.47922642534559</v>
      </c>
      <c r="AM17" s="175">
        <v>-987.99663272477665</v>
      </c>
      <c r="AN17" s="175">
        <v>-1291.2633203253245</v>
      </c>
      <c r="AO17" s="175">
        <v>-1323.2237466214719</v>
      </c>
      <c r="AP17" s="191"/>
      <c r="AQ17" s="191"/>
      <c r="AR17" s="191"/>
      <c r="AS17" s="191"/>
      <c r="AT17" s="191"/>
      <c r="AU17" s="191"/>
      <c r="AV17" s="191"/>
      <c r="AW17" s="191"/>
      <c r="AX17" s="191"/>
      <c r="AY17" s="191"/>
      <c r="AZ17" s="191"/>
      <c r="BA17" s="191"/>
      <c r="BB17" s="191"/>
      <c r="BC17" s="191"/>
      <c r="BD17" s="191"/>
      <c r="BE17" s="191"/>
      <c r="BF17" s="191"/>
      <c r="BG17" s="191"/>
      <c r="BH17" s="191"/>
      <c r="BI17" s="191"/>
      <c r="BJ17" s="191"/>
      <c r="BK17" s="191"/>
      <c r="BL17" s="191"/>
      <c r="BM17" s="191"/>
      <c r="BN17" s="191"/>
      <c r="BO17" s="191"/>
      <c r="BP17" s="191"/>
      <c r="BQ17" s="191"/>
      <c r="BR17" s="191"/>
      <c r="BS17" s="191"/>
      <c r="BT17" s="191"/>
      <c r="BU17" s="191"/>
      <c r="BV17" s="191"/>
      <c r="BW17" s="191"/>
      <c r="BX17" s="191"/>
      <c r="BY17" s="191"/>
      <c r="BZ17" s="191"/>
      <c r="CA17" s="191"/>
      <c r="CB17" s="191"/>
      <c r="CC17" s="191"/>
      <c r="CD17" s="191"/>
      <c r="CE17" s="191"/>
      <c r="CF17" s="191"/>
      <c r="CG17" s="191"/>
      <c r="CH17" s="191"/>
      <c r="CI17" s="191"/>
      <c r="CJ17" s="191"/>
      <c r="CK17" s="191"/>
      <c r="CL17" s="191"/>
      <c r="CM17" s="191"/>
      <c r="CN17" s="191"/>
      <c r="CO17" s="191"/>
      <c r="CP17" s="191"/>
      <c r="CQ17" s="191"/>
      <c r="CR17" s="191"/>
      <c r="CS17" s="191"/>
      <c r="CT17" s="191"/>
      <c r="CU17" s="191"/>
      <c r="CV17" s="191"/>
      <c r="CW17" s="191"/>
      <c r="CX17" s="191"/>
      <c r="CY17" s="191"/>
      <c r="CZ17" s="191"/>
      <c r="DA17" s="191"/>
      <c r="DB17" s="191"/>
      <c r="DC17" s="191"/>
      <c r="DD17" s="191"/>
      <c r="DE17" s="191"/>
      <c r="DF17" s="191"/>
      <c r="DG17" s="191"/>
      <c r="DH17" s="191"/>
      <c r="DI17" s="191"/>
      <c r="DJ17" s="191"/>
      <c r="DK17" s="191"/>
      <c r="DL17" s="191"/>
      <c r="DM17" s="191"/>
      <c r="DN17" s="191"/>
      <c r="DO17" s="191"/>
      <c r="DP17" s="191"/>
      <c r="DQ17" s="191"/>
      <c r="DR17" s="191"/>
      <c r="DS17" s="191"/>
      <c r="DT17" s="191"/>
      <c r="DU17" s="191"/>
      <c r="DV17" s="191"/>
      <c r="DW17" s="191"/>
      <c r="DX17" s="191"/>
      <c r="DY17" s="191"/>
      <c r="DZ17" s="191"/>
      <c r="EA17" s="191"/>
      <c r="EB17" s="191"/>
      <c r="EC17" s="191"/>
      <c r="ED17" s="191"/>
      <c r="EE17" s="191"/>
      <c r="EF17" s="191"/>
      <c r="EG17" s="191"/>
      <c r="EH17" s="191"/>
      <c r="EI17" s="191"/>
      <c r="EJ17" s="191"/>
      <c r="EK17" s="191"/>
      <c r="EL17" s="191"/>
      <c r="EM17" s="191"/>
      <c r="EN17" s="191"/>
      <c r="EO17" s="191"/>
      <c r="EP17" s="191"/>
      <c r="EQ17" s="191"/>
      <c r="ER17" s="191"/>
      <c r="ES17" s="191"/>
      <c r="ET17" s="191"/>
      <c r="EU17" s="191"/>
      <c r="EV17" s="191"/>
      <c r="EW17" s="191"/>
      <c r="EX17" s="191"/>
      <c r="EY17" s="191"/>
      <c r="EZ17" s="191"/>
      <c r="FA17" s="191"/>
      <c r="FB17" s="191"/>
      <c r="FC17" s="191"/>
      <c r="FD17" s="191"/>
      <c r="FE17" s="191"/>
      <c r="FF17" s="191"/>
      <c r="FG17" s="191"/>
      <c r="FH17" s="191"/>
      <c r="FI17" s="191"/>
      <c r="FJ17" s="191"/>
      <c r="FK17" s="191"/>
      <c r="FL17" s="191"/>
      <c r="FM17" s="191"/>
      <c r="FN17" s="191"/>
      <c r="FO17" s="191"/>
      <c r="FP17" s="191"/>
      <c r="FQ17" s="191"/>
      <c r="FR17" s="191"/>
      <c r="FS17" s="191"/>
      <c r="FT17" s="191"/>
      <c r="FU17" s="191"/>
      <c r="FV17" s="191"/>
      <c r="FW17" s="191"/>
      <c r="FX17" s="191"/>
      <c r="FY17" s="191"/>
      <c r="FZ17" s="191"/>
      <c r="GA17" s="191"/>
      <c r="GB17" s="191"/>
      <c r="GC17" s="191"/>
      <c r="GD17" s="191"/>
      <c r="GE17" s="191"/>
      <c r="GF17" s="191"/>
      <c r="GG17" s="191"/>
      <c r="GH17" s="191"/>
      <c r="GI17" s="191"/>
      <c r="GJ17" s="191"/>
      <c r="GK17" s="191"/>
      <c r="GL17" s="191"/>
      <c r="GM17" s="191"/>
      <c r="GN17" s="191"/>
      <c r="GO17" s="191"/>
      <c r="GP17" s="191"/>
      <c r="GQ17" s="191"/>
      <c r="GR17" s="191"/>
      <c r="GS17" s="191"/>
      <c r="GT17" s="191"/>
      <c r="GU17" s="191"/>
      <c r="GV17" s="191"/>
      <c r="GW17" s="191"/>
      <c r="GX17" s="191"/>
      <c r="GY17" s="191"/>
      <c r="GZ17" s="191"/>
      <c r="HA17" s="191"/>
      <c r="HB17" s="191"/>
      <c r="HC17" s="191"/>
      <c r="HD17" s="191"/>
      <c r="HE17" s="191"/>
      <c r="HF17" s="191"/>
      <c r="HG17" s="191"/>
      <c r="HH17" s="191"/>
      <c r="HI17" s="191"/>
      <c r="HJ17" s="191"/>
      <c r="HK17" s="191"/>
      <c r="HL17" s="191"/>
      <c r="HM17" s="191"/>
      <c r="HN17" s="191"/>
    </row>
    <row r="18" spans="1:222" ht="15" x14ac:dyDescent="0.25">
      <c r="A18" s="191"/>
      <c r="B18" s="195" t="s">
        <v>146</v>
      </c>
      <c r="C18" s="191"/>
      <c r="D18" s="191">
        <v>4217.1358154627596</v>
      </c>
      <c r="E18" s="191">
        <v>4340.5559329966582</v>
      </c>
      <c r="F18" s="191">
        <v>4788.8748664758041</v>
      </c>
      <c r="G18" s="191">
        <v>4810.6787729509406</v>
      </c>
      <c r="H18" s="191">
        <v>5503.6937476567073</v>
      </c>
      <c r="I18" s="191">
        <v>5863.1281730890205</v>
      </c>
      <c r="J18" s="191">
        <v>3971.0664542830909</v>
      </c>
      <c r="K18" s="191">
        <v>4166.9988036754276</v>
      </c>
      <c r="L18" s="191">
        <v>4349.3476035523927</v>
      </c>
      <c r="M18" s="191">
        <v>4687.8972015123072</v>
      </c>
      <c r="N18" s="191">
        <v>6495.8251829237051</v>
      </c>
      <c r="O18" s="191">
        <v>5073.2808333157154</v>
      </c>
      <c r="P18" s="191">
        <v>5539.5907975216742</v>
      </c>
      <c r="Q18" s="191">
        <v>5717.0473712305511</v>
      </c>
      <c r="R18" s="191">
        <v>5578.2387866952467</v>
      </c>
      <c r="S18" s="191">
        <v>3659.9135279012535</v>
      </c>
      <c r="T18" s="191">
        <v>4727.7741286535775</v>
      </c>
      <c r="U18" s="191">
        <v>4812.5105896912619</v>
      </c>
      <c r="V18" s="191">
        <v>5139.4018625364815</v>
      </c>
      <c r="W18" s="191">
        <v>5616.3782658793643</v>
      </c>
      <c r="X18" s="191">
        <v>4234.6917459273118</v>
      </c>
      <c r="Y18" s="191">
        <v>4051.9261258186243</v>
      </c>
      <c r="Z18" s="191">
        <v>4152.3462249874156</v>
      </c>
      <c r="AA18" s="191">
        <v>4061.2953563835295</v>
      </c>
      <c r="AB18" s="191">
        <v>3895.0252289385571</v>
      </c>
      <c r="AC18" s="191">
        <v>3474.5533528144661</v>
      </c>
      <c r="AD18" s="191">
        <v>4523.9579369216608</v>
      </c>
      <c r="AE18" s="191">
        <v>4684.26213847282</v>
      </c>
      <c r="AF18" s="191">
        <v>5795.5895406160171</v>
      </c>
      <c r="AG18" s="191">
        <v>6011.2208206309751</v>
      </c>
      <c r="AH18" s="191">
        <v>6210.0617366790721</v>
      </c>
      <c r="AI18" s="191">
        <v>5871.5772119744634</v>
      </c>
      <c r="AJ18" s="191">
        <v>5539.2966487383255</v>
      </c>
      <c r="AK18" s="191">
        <v>7816.9892974942331</v>
      </c>
      <c r="AL18" s="191">
        <v>7905.5176054809972</v>
      </c>
      <c r="AM18" s="191">
        <v>8874.3389011283853</v>
      </c>
      <c r="AN18" s="191">
        <v>9127.4437469577788</v>
      </c>
      <c r="AO18" s="191">
        <v>9668.0034802608025</v>
      </c>
      <c r="AP18" s="191"/>
      <c r="AQ18" s="191"/>
      <c r="AR18" s="191"/>
      <c r="AS18" s="191"/>
      <c r="AT18" s="191"/>
      <c r="AU18" s="191"/>
      <c r="AV18" s="191"/>
      <c r="AW18" s="191"/>
      <c r="AX18" s="191"/>
      <c r="AY18" s="191"/>
      <c r="AZ18" s="191"/>
      <c r="BA18" s="191"/>
      <c r="BB18" s="191"/>
      <c r="BC18" s="191"/>
      <c r="BD18" s="191"/>
      <c r="BE18" s="191"/>
      <c r="BF18" s="191"/>
      <c r="BG18" s="191"/>
      <c r="BH18" s="191"/>
      <c r="BI18" s="191"/>
      <c r="BJ18" s="191"/>
      <c r="BK18" s="191"/>
      <c r="BL18" s="191"/>
      <c r="BM18" s="191"/>
      <c r="BN18" s="191"/>
      <c r="BO18" s="191"/>
      <c r="BP18" s="191"/>
      <c r="BQ18" s="191"/>
      <c r="BR18" s="191"/>
      <c r="BS18" s="191"/>
      <c r="BT18" s="191"/>
      <c r="BU18" s="191"/>
      <c r="BV18" s="191"/>
      <c r="BW18" s="191"/>
      <c r="BX18" s="191"/>
      <c r="BY18" s="191"/>
      <c r="BZ18" s="191"/>
      <c r="CA18" s="191"/>
      <c r="CB18" s="191"/>
      <c r="CC18" s="191"/>
      <c r="CD18" s="191"/>
      <c r="CE18" s="191"/>
      <c r="CF18" s="191"/>
      <c r="CG18" s="191"/>
      <c r="CH18" s="191"/>
      <c r="CI18" s="191"/>
      <c r="CJ18" s="191"/>
      <c r="CK18" s="191"/>
      <c r="CL18" s="191"/>
      <c r="CM18" s="191"/>
      <c r="CN18" s="191"/>
      <c r="CO18" s="191"/>
      <c r="CP18" s="191"/>
      <c r="CQ18" s="191"/>
      <c r="CR18" s="191"/>
      <c r="CS18" s="191"/>
      <c r="CT18" s="191"/>
      <c r="CU18" s="191"/>
      <c r="CV18" s="191"/>
      <c r="CW18" s="191"/>
      <c r="CX18" s="191"/>
      <c r="CY18" s="191"/>
      <c r="CZ18" s="191"/>
      <c r="DA18" s="191"/>
      <c r="DB18" s="191"/>
      <c r="DC18" s="191"/>
      <c r="DD18" s="191"/>
      <c r="DE18" s="191"/>
      <c r="DF18" s="191"/>
      <c r="DG18" s="191"/>
      <c r="DH18" s="191"/>
      <c r="DI18" s="191"/>
      <c r="DJ18" s="191"/>
      <c r="DK18" s="191"/>
      <c r="DL18" s="191"/>
      <c r="DM18" s="191"/>
      <c r="DN18" s="191"/>
      <c r="DO18" s="191"/>
      <c r="DP18" s="191"/>
      <c r="DQ18" s="191"/>
      <c r="DR18" s="191"/>
      <c r="DS18" s="191"/>
      <c r="DT18" s="191"/>
      <c r="DU18" s="191"/>
      <c r="DV18" s="191"/>
      <c r="DW18" s="191"/>
      <c r="DX18" s="191"/>
      <c r="DY18" s="191"/>
      <c r="DZ18" s="191"/>
      <c r="EA18" s="191"/>
      <c r="EB18" s="191"/>
      <c r="EC18" s="191"/>
      <c r="ED18" s="191"/>
      <c r="EE18" s="191"/>
      <c r="EF18" s="191"/>
      <c r="EG18" s="191"/>
      <c r="EH18" s="191"/>
      <c r="EI18" s="191"/>
      <c r="EJ18" s="191"/>
      <c r="EK18" s="191"/>
      <c r="EL18" s="191"/>
      <c r="EM18" s="191"/>
      <c r="EN18" s="191"/>
      <c r="EO18" s="191"/>
      <c r="EP18" s="191"/>
      <c r="EQ18" s="191"/>
      <c r="ER18" s="191"/>
      <c r="ES18" s="191"/>
      <c r="ET18" s="191"/>
      <c r="EU18" s="191"/>
      <c r="EV18" s="191"/>
      <c r="EW18" s="191"/>
      <c r="EX18" s="191"/>
      <c r="EY18" s="191"/>
      <c r="EZ18" s="191"/>
      <c r="FA18" s="191"/>
      <c r="FB18" s="191"/>
      <c r="FC18" s="191"/>
      <c r="FD18" s="191"/>
      <c r="FE18" s="191"/>
      <c r="FF18" s="191"/>
      <c r="FG18" s="191"/>
      <c r="FH18" s="191"/>
      <c r="FI18" s="191"/>
      <c r="FJ18" s="191"/>
      <c r="FK18" s="191"/>
      <c r="FL18" s="191"/>
      <c r="FM18" s="191"/>
      <c r="FN18" s="191"/>
      <c r="FO18" s="191"/>
      <c r="FP18" s="191"/>
      <c r="FQ18" s="191"/>
      <c r="FR18" s="191"/>
      <c r="FS18" s="191"/>
      <c r="FT18" s="191"/>
      <c r="FU18" s="191"/>
      <c r="FV18" s="191"/>
      <c r="FW18" s="191"/>
      <c r="FX18" s="191"/>
      <c r="FY18" s="191"/>
      <c r="FZ18" s="191"/>
      <c r="GA18" s="191"/>
      <c r="GB18" s="191"/>
      <c r="GC18" s="191"/>
      <c r="GD18" s="191"/>
      <c r="GE18" s="191"/>
      <c r="GF18" s="191"/>
      <c r="GG18" s="191"/>
      <c r="GH18" s="191"/>
      <c r="GI18" s="191"/>
      <c r="GJ18" s="191"/>
      <c r="GK18" s="191"/>
      <c r="GL18" s="191"/>
      <c r="GM18" s="191"/>
      <c r="GN18" s="191"/>
      <c r="GO18" s="191"/>
      <c r="GP18" s="191"/>
      <c r="GQ18" s="191"/>
      <c r="GR18" s="191"/>
      <c r="GS18" s="191"/>
      <c r="GT18" s="191"/>
      <c r="GU18" s="191"/>
      <c r="GV18" s="191"/>
      <c r="GW18" s="191"/>
      <c r="GX18" s="191"/>
      <c r="GY18" s="191"/>
      <c r="GZ18" s="191"/>
      <c r="HA18" s="191"/>
      <c r="HB18" s="191"/>
      <c r="HC18" s="191"/>
      <c r="HD18" s="191"/>
      <c r="HE18" s="191"/>
      <c r="HF18" s="191"/>
      <c r="HG18" s="191"/>
      <c r="HH18" s="191"/>
      <c r="HI18" s="191"/>
      <c r="HJ18" s="191"/>
      <c r="HK18" s="191"/>
      <c r="HL18" s="191"/>
      <c r="HM18" s="191"/>
      <c r="HN18" s="191"/>
    </row>
    <row r="19" spans="1:222" ht="15" x14ac:dyDescent="0.25">
      <c r="A19" s="189"/>
      <c r="B19" s="193" t="s">
        <v>144</v>
      </c>
      <c r="C19" s="189"/>
      <c r="D19" s="189">
        <v>2619.5356457838016</v>
      </c>
      <c r="E19" s="189">
        <v>2788.3145911217553</v>
      </c>
      <c r="F19" s="189">
        <v>3081.0686619854105</v>
      </c>
      <c r="G19" s="189">
        <v>3122.5149019098058</v>
      </c>
      <c r="H19" s="189">
        <v>3656.9505079147098</v>
      </c>
      <c r="I19" s="189">
        <v>3906.5857471345689</v>
      </c>
      <c r="J19" s="189">
        <v>2527.4454724240245</v>
      </c>
      <c r="K19" s="189">
        <v>2552.6840993397564</v>
      </c>
      <c r="L19" s="189">
        <v>2722.022967443515</v>
      </c>
      <c r="M19" s="189">
        <v>3034.8688869863131</v>
      </c>
      <c r="N19" s="189">
        <v>4672.9740999243368</v>
      </c>
      <c r="O19" s="189">
        <v>3310.4477282004482</v>
      </c>
      <c r="P19" s="189">
        <v>3601.8641198161731</v>
      </c>
      <c r="Q19" s="189">
        <v>3715.2115501192029</v>
      </c>
      <c r="R19" s="189">
        <v>3827.5525817543298</v>
      </c>
      <c r="S19" s="189">
        <v>3079.3336887294413</v>
      </c>
      <c r="T19" s="189">
        <v>3926.2492443932415</v>
      </c>
      <c r="U19" s="189">
        <v>3788.1931521328179</v>
      </c>
      <c r="V19" s="189">
        <v>3832.5669496006267</v>
      </c>
      <c r="W19" s="189">
        <v>4195.16958672696</v>
      </c>
      <c r="X19" s="189">
        <v>3001.8488823379298</v>
      </c>
      <c r="Y19" s="189">
        <v>2905.7067976617209</v>
      </c>
      <c r="Z19" s="189">
        <v>2988.0906360181202</v>
      </c>
      <c r="AA19" s="189">
        <v>2892.695056820588</v>
      </c>
      <c r="AB19" s="189">
        <v>2959.5332331432487</v>
      </c>
      <c r="AC19" s="189">
        <v>2412.3242820173296</v>
      </c>
      <c r="AD19" s="189">
        <v>3472.5941369520037</v>
      </c>
      <c r="AE19" s="189">
        <v>3398.1501101834042</v>
      </c>
      <c r="AF19" s="189">
        <v>4249.5713793599461</v>
      </c>
      <c r="AG19" s="189">
        <v>4422.7112357948645</v>
      </c>
      <c r="AH19" s="189">
        <v>4405.2221911425768</v>
      </c>
      <c r="AI19" s="189">
        <v>4291.9787005265707</v>
      </c>
      <c r="AJ19" s="189">
        <v>4119.7935978992155</v>
      </c>
      <c r="AK19" s="189">
        <v>5845.4081810551852</v>
      </c>
      <c r="AL19" s="189">
        <v>6088.9259254313693</v>
      </c>
      <c r="AM19" s="189">
        <v>7129.5606849868918</v>
      </c>
      <c r="AN19" s="189">
        <v>7305.6611315632617</v>
      </c>
      <c r="AO19" s="189">
        <v>8126.1139084925117</v>
      </c>
      <c r="AP19" s="189"/>
      <c r="AQ19" s="189"/>
      <c r="AR19" s="189"/>
      <c r="AS19" s="189"/>
      <c r="AT19" s="189"/>
      <c r="AU19" s="189"/>
      <c r="AV19" s="189"/>
      <c r="AW19" s="189"/>
      <c r="AX19" s="189"/>
      <c r="AY19" s="189"/>
      <c r="AZ19" s="189"/>
      <c r="BA19" s="189"/>
      <c r="BB19" s="189"/>
      <c r="BC19" s="189"/>
      <c r="BD19" s="189"/>
      <c r="BE19" s="189"/>
      <c r="BF19" s="189"/>
      <c r="BG19" s="189"/>
      <c r="BH19" s="189"/>
      <c r="BI19" s="189"/>
      <c r="BJ19" s="189"/>
      <c r="BK19" s="189"/>
      <c r="BL19" s="189"/>
      <c r="BM19" s="189"/>
      <c r="BN19" s="189"/>
      <c r="BO19" s="189"/>
      <c r="BP19" s="189"/>
      <c r="BQ19" s="189"/>
      <c r="BR19" s="189"/>
      <c r="BS19" s="189"/>
      <c r="BT19" s="189"/>
      <c r="BU19" s="189"/>
      <c r="BV19" s="189"/>
      <c r="BW19" s="189"/>
      <c r="BX19" s="189"/>
      <c r="BY19" s="189"/>
      <c r="BZ19" s="189"/>
      <c r="CA19" s="189"/>
      <c r="CB19" s="189"/>
      <c r="CC19" s="189"/>
      <c r="CD19" s="189"/>
      <c r="CE19" s="189"/>
      <c r="CF19" s="189"/>
      <c r="CG19" s="189"/>
      <c r="CH19" s="189"/>
      <c r="CI19" s="189"/>
      <c r="CJ19" s="189"/>
      <c r="CK19" s="189"/>
      <c r="CL19" s="189"/>
      <c r="CM19" s="189"/>
      <c r="CN19" s="189"/>
      <c r="CO19" s="189"/>
      <c r="CP19" s="189"/>
      <c r="CQ19" s="189"/>
      <c r="CR19" s="189"/>
      <c r="CS19" s="189"/>
      <c r="CT19" s="189"/>
      <c r="CU19" s="189"/>
      <c r="CV19" s="189"/>
      <c r="CW19" s="189"/>
      <c r="CX19" s="189"/>
      <c r="CY19" s="189"/>
      <c r="CZ19" s="189"/>
      <c r="DA19" s="189"/>
      <c r="DB19" s="189"/>
      <c r="DC19" s="189"/>
      <c r="DD19" s="189"/>
      <c r="DE19" s="189"/>
      <c r="DF19" s="189"/>
      <c r="DG19" s="189"/>
      <c r="DH19" s="189"/>
      <c r="DI19" s="189"/>
      <c r="DJ19" s="189"/>
      <c r="DK19" s="189"/>
      <c r="DL19" s="189"/>
      <c r="DM19" s="189"/>
      <c r="DN19" s="189"/>
      <c r="DO19" s="189"/>
      <c r="DP19" s="189"/>
      <c r="DQ19" s="189"/>
      <c r="DR19" s="189"/>
      <c r="DS19" s="189"/>
      <c r="DT19" s="189"/>
      <c r="DU19" s="189"/>
      <c r="DV19" s="189"/>
      <c r="DW19" s="189"/>
      <c r="DX19" s="189"/>
      <c r="DY19" s="189"/>
      <c r="DZ19" s="189"/>
      <c r="EA19" s="189"/>
      <c r="EB19" s="189"/>
      <c r="EC19" s="189"/>
      <c r="ED19" s="189"/>
      <c r="EE19" s="189"/>
      <c r="EF19" s="189"/>
      <c r="EG19" s="189"/>
      <c r="EH19" s="189"/>
      <c r="EI19" s="189"/>
      <c r="EJ19" s="189"/>
      <c r="EK19" s="189"/>
      <c r="EL19" s="189"/>
      <c r="EM19" s="189"/>
      <c r="EN19" s="189"/>
      <c r="EO19" s="189"/>
      <c r="EP19" s="189"/>
      <c r="EQ19" s="189"/>
      <c r="ER19" s="189"/>
      <c r="ES19" s="189"/>
      <c r="ET19" s="189"/>
      <c r="EU19" s="189"/>
      <c r="EV19" s="189"/>
      <c r="EW19" s="189"/>
      <c r="EX19" s="189"/>
      <c r="EY19" s="189"/>
      <c r="EZ19" s="189"/>
      <c r="FA19" s="189"/>
      <c r="FB19" s="189"/>
      <c r="FC19" s="189"/>
      <c r="FD19" s="189"/>
      <c r="FE19" s="189"/>
      <c r="FF19" s="189"/>
      <c r="FG19" s="189"/>
      <c r="FH19" s="189"/>
      <c r="FI19" s="189"/>
      <c r="FJ19" s="189"/>
      <c r="FK19" s="189"/>
      <c r="FL19" s="189"/>
      <c r="FM19" s="189"/>
      <c r="FN19" s="189"/>
      <c r="FO19" s="189"/>
      <c r="FP19" s="189"/>
      <c r="FQ19" s="189"/>
      <c r="FR19" s="189"/>
      <c r="FS19" s="189"/>
      <c r="FT19" s="189"/>
      <c r="FU19" s="189"/>
      <c r="FV19" s="189"/>
      <c r="FW19" s="189"/>
      <c r="FX19" s="189"/>
      <c r="FY19" s="189"/>
      <c r="FZ19" s="189"/>
      <c r="GA19" s="189"/>
      <c r="GB19" s="189"/>
      <c r="GC19" s="189"/>
      <c r="GD19" s="189"/>
      <c r="GE19" s="189"/>
      <c r="GF19" s="189"/>
      <c r="GG19" s="189"/>
      <c r="GH19" s="189"/>
      <c r="GI19" s="189"/>
      <c r="GJ19" s="189"/>
      <c r="GK19" s="189"/>
      <c r="GL19" s="189"/>
      <c r="GM19" s="189"/>
      <c r="GN19" s="189"/>
      <c r="GO19" s="189"/>
      <c r="GP19" s="189"/>
      <c r="GQ19" s="189"/>
      <c r="GR19" s="189"/>
      <c r="GS19" s="189"/>
      <c r="GT19" s="189"/>
      <c r="GU19" s="189"/>
      <c r="GV19" s="189"/>
      <c r="GW19" s="189"/>
      <c r="GX19" s="189"/>
      <c r="GY19" s="189"/>
      <c r="GZ19" s="189"/>
      <c r="HA19" s="189"/>
      <c r="HB19" s="189"/>
      <c r="HC19" s="189"/>
      <c r="HD19" s="189"/>
      <c r="HE19" s="189"/>
      <c r="HF19" s="189"/>
      <c r="HG19" s="189"/>
      <c r="HH19" s="189"/>
      <c r="HI19" s="189"/>
      <c r="HJ19" s="189"/>
      <c r="HK19" s="189"/>
      <c r="HL19" s="189"/>
      <c r="HM19" s="189"/>
      <c r="HN19" s="189"/>
    </row>
    <row r="20" spans="1:222" ht="15" x14ac:dyDescent="0.25">
      <c r="A20" s="189"/>
      <c r="B20" s="193" t="s">
        <v>143</v>
      </c>
      <c r="C20" s="189"/>
      <c r="D20" s="189">
        <v>1597.6001696789576</v>
      </c>
      <c r="E20" s="189">
        <v>1552.2413418749024</v>
      </c>
      <c r="F20" s="189">
        <v>1707.8062044903934</v>
      </c>
      <c r="G20" s="189">
        <v>1688.1638710411348</v>
      </c>
      <c r="H20" s="189">
        <v>1846.7432397419971</v>
      </c>
      <c r="I20" s="189">
        <v>1956.5424259544511</v>
      </c>
      <c r="J20" s="189">
        <v>1443.6209818590667</v>
      </c>
      <c r="K20" s="189">
        <v>1614.3147043356716</v>
      </c>
      <c r="L20" s="189">
        <v>1627.3246361088779</v>
      </c>
      <c r="M20" s="189">
        <v>1653.0283145259937</v>
      </c>
      <c r="N20" s="189">
        <v>1822.8510829993679</v>
      </c>
      <c r="O20" s="189">
        <v>1762.8331051152668</v>
      </c>
      <c r="P20" s="189">
        <v>1937.7266777055015</v>
      </c>
      <c r="Q20" s="189">
        <v>2001.8358211113482</v>
      </c>
      <c r="R20" s="189">
        <v>1750.6862049409167</v>
      </c>
      <c r="S20" s="189">
        <v>580.5798391718123</v>
      </c>
      <c r="T20" s="189">
        <v>801.52488426033585</v>
      </c>
      <c r="U20" s="189">
        <v>1024.3174375584438</v>
      </c>
      <c r="V20" s="189">
        <v>1306.8349129358551</v>
      </c>
      <c r="W20" s="189">
        <v>1421.2086791524043</v>
      </c>
      <c r="X20" s="189">
        <v>1232.842863589382</v>
      </c>
      <c r="Y20" s="189">
        <v>1146.2193281569032</v>
      </c>
      <c r="Z20" s="189">
        <v>1164.2555889692953</v>
      </c>
      <c r="AA20" s="189">
        <v>1168.6002995629415</v>
      </c>
      <c r="AB20" s="189">
        <v>935.49199579530864</v>
      </c>
      <c r="AC20" s="189">
        <v>1062.2290707971363</v>
      </c>
      <c r="AD20" s="189">
        <v>1051.3637999696575</v>
      </c>
      <c r="AE20" s="189">
        <v>1286.1120282894158</v>
      </c>
      <c r="AF20" s="189">
        <v>1546.0181612560709</v>
      </c>
      <c r="AG20" s="189">
        <v>1588.5095848361111</v>
      </c>
      <c r="AH20" s="189">
        <v>1804.8395455364953</v>
      </c>
      <c r="AI20" s="189">
        <v>1579.5985114478926</v>
      </c>
      <c r="AJ20" s="189">
        <v>1419.5030508391098</v>
      </c>
      <c r="AK20" s="189">
        <v>1971.5811164390477</v>
      </c>
      <c r="AL20" s="189">
        <v>1816.5916800496277</v>
      </c>
      <c r="AM20" s="189">
        <v>1744.7782161414941</v>
      </c>
      <c r="AN20" s="189">
        <v>1821.7826153945175</v>
      </c>
      <c r="AO20" s="189">
        <v>1541.8895717682904</v>
      </c>
      <c r="AP20" s="189"/>
      <c r="AQ20" s="189"/>
      <c r="AR20" s="189"/>
      <c r="AS20" s="189"/>
      <c r="AT20" s="189"/>
      <c r="AU20" s="189"/>
      <c r="AV20" s="189"/>
      <c r="AW20" s="189"/>
      <c r="AX20" s="189"/>
      <c r="AY20" s="189"/>
      <c r="AZ20" s="189"/>
      <c r="BA20" s="189"/>
      <c r="BB20" s="189"/>
      <c r="BC20" s="189"/>
      <c r="BD20" s="189"/>
      <c r="BE20" s="189"/>
      <c r="BF20" s="189"/>
      <c r="BG20" s="189"/>
      <c r="BH20" s="189"/>
      <c r="BI20" s="189"/>
      <c r="BJ20" s="189"/>
      <c r="BK20" s="189"/>
      <c r="BL20" s="189"/>
      <c r="BM20" s="189"/>
      <c r="BN20" s="189"/>
      <c r="BO20" s="189"/>
      <c r="BP20" s="189"/>
      <c r="BQ20" s="189"/>
      <c r="BR20" s="189"/>
      <c r="BS20" s="189"/>
      <c r="BT20" s="189"/>
      <c r="BU20" s="189"/>
      <c r="BV20" s="189"/>
      <c r="BW20" s="189"/>
      <c r="BX20" s="189"/>
      <c r="BY20" s="189"/>
      <c r="BZ20" s="189"/>
      <c r="CA20" s="189"/>
      <c r="CB20" s="189"/>
      <c r="CC20" s="189"/>
      <c r="CD20" s="189"/>
      <c r="CE20" s="189"/>
      <c r="CF20" s="189"/>
      <c r="CG20" s="189"/>
      <c r="CH20" s="189"/>
      <c r="CI20" s="189"/>
      <c r="CJ20" s="189"/>
      <c r="CK20" s="189"/>
      <c r="CL20" s="189"/>
      <c r="CM20" s="189"/>
      <c r="CN20" s="189"/>
      <c r="CO20" s="189"/>
      <c r="CP20" s="189"/>
      <c r="CQ20" s="189"/>
      <c r="CR20" s="189"/>
      <c r="CS20" s="189"/>
      <c r="CT20" s="189"/>
      <c r="CU20" s="189"/>
      <c r="CV20" s="189"/>
      <c r="CW20" s="189"/>
      <c r="CX20" s="189"/>
      <c r="CY20" s="189"/>
      <c r="CZ20" s="189"/>
      <c r="DA20" s="189"/>
      <c r="DB20" s="189"/>
      <c r="DC20" s="189"/>
      <c r="DD20" s="189"/>
      <c r="DE20" s="189"/>
      <c r="DF20" s="189"/>
      <c r="DG20" s="189"/>
      <c r="DH20" s="189"/>
      <c r="DI20" s="189"/>
      <c r="DJ20" s="189"/>
      <c r="DK20" s="189"/>
      <c r="DL20" s="189"/>
      <c r="DM20" s="189"/>
      <c r="DN20" s="189"/>
      <c r="DO20" s="189"/>
      <c r="DP20" s="189"/>
      <c r="DQ20" s="189"/>
      <c r="DR20" s="189"/>
      <c r="DS20" s="189"/>
      <c r="DT20" s="189"/>
      <c r="DU20" s="189"/>
      <c r="DV20" s="189"/>
      <c r="DW20" s="189"/>
      <c r="DX20" s="189"/>
      <c r="DY20" s="189"/>
      <c r="DZ20" s="189"/>
      <c r="EA20" s="189"/>
      <c r="EB20" s="189"/>
      <c r="EC20" s="189"/>
      <c r="ED20" s="189"/>
      <c r="EE20" s="189"/>
      <c r="EF20" s="189"/>
      <c r="EG20" s="189"/>
      <c r="EH20" s="189"/>
      <c r="EI20" s="189"/>
      <c r="EJ20" s="189"/>
      <c r="EK20" s="189"/>
      <c r="EL20" s="189"/>
      <c r="EM20" s="189"/>
      <c r="EN20" s="189"/>
      <c r="EO20" s="189"/>
      <c r="EP20" s="189"/>
      <c r="EQ20" s="189"/>
      <c r="ER20" s="189"/>
      <c r="ES20" s="189"/>
      <c r="ET20" s="189"/>
      <c r="EU20" s="189"/>
      <c r="EV20" s="189"/>
      <c r="EW20" s="189"/>
      <c r="EX20" s="189"/>
      <c r="EY20" s="189"/>
      <c r="EZ20" s="189"/>
      <c r="FA20" s="189"/>
      <c r="FB20" s="189"/>
      <c r="FC20" s="189"/>
      <c r="FD20" s="189"/>
      <c r="FE20" s="189"/>
      <c r="FF20" s="189"/>
      <c r="FG20" s="189"/>
      <c r="FH20" s="189"/>
      <c r="FI20" s="189"/>
      <c r="FJ20" s="189"/>
      <c r="FK20" s="189"/>
      <c r="FL20" s="189"/>
      <c r="FM20" s="189"/>
      <c r="FN20" s="189"/>
      <c r="FO20" s="189"/>
      <c r="FP20" s="189"/>
      <c r="FQ20" s="189"/>
      <c r="FR20" s="189"/>
      <c r="FS20" s="189"/>
      <c r="FT20" s="189"/>
      <c r="FU20" s="189"/>
      <c r="FV20" s="189"/>
      <c r="FW20" s="189"/>
      <c r="FX20" s="189"/>
      <c r="FY20" s="189"/>
      <c r="FZ20" s="189"/>
      <c r="GA20" s="189"/>
      <c r="GB20" s="189"/>
      <c r="GC20" s="189"/>
      <c r="GD20" s="189"/>
      <c r="GE20" s="189"/>
      <c r="GF20" s="189"/>
      <c r="GG20" s="189"/>
      <c r="GH20" s="189"/>
      <c r="GI20" s="189"/>
      <c r="GJ20" s="189"/>
      <c r="GK20" s="189"/>
      <c r="GL20" s="189"/>
      <c r="GM20" s="189"/>
      <c r="GN20" s="189"/>
      <c r="GO20" s="189"/>
      <c r="GP20" s="189"/>
      <c r="GQ20" s="189"/>
      <c r="GR20" s="189"/>
      <c r="GS20" s="189"/>
      <c r="GT20" s="189"/>
      <c r="GU20" s="189"/>
      <c r="GV20" s="189"/>
      <c r="GW20" s="189"/>
      <c r="GX20" s="189"/>
      <c r="GY20" s="189"/>
      <c r="GZ20" s="189"/>
      <c r="HA20" s="189"/>
      <c r="HB20" s="189"/>
      <c r="HC20" s="189"/>
      <c r="HD20" s="189"/>
      <c r="HE20" s="189"/>
      <c r="HF20" s="189"/>
      <c r="HG20" s="189"/>
      <c r="HH20" s="189"/>
      <c r="HI20" s="189"/>
      <c r="HJ20" s="189"/>
      <c r="HK20" s="189"/>
      <c r="HL20" s="189"/>
      <c r="HM20" s="189"/>
      <c r="HN20" s="189"/>
    </row>
    <row r="21" spans="1:222" ht="15" x14ac:dyDescent="0.25">
      <c r="A21" s="191"/>
      <c r="B21" s="195" t="s">
        <v>145</v>
      </c>
      <c r="C21" s="191"/>
      <c r="D21" s="191">
        <v>5567.9192210868478</v>
      </c>
      <c r="E21" s="191">
        <v>5293.2945815477233</v>
      </c>
      <c r="F21" s="191">
        <v>5235.5697104793508</v>
      </c>
      <c r="G21" s="191">
        <v>5853.8456751788126</v>
      </c>
      <c r="H21" s="191">
        <v>5818.2374665180514</v>
      </c>
      <c r="I21" s="191">
        <v>6015.600197709131</v>
      </c>
      <c r="J21" s="191">
        <v>5825.9501597420249</v>
      </c>
      <c r="K21" s="191">
        <v>6122.780324308229</v>
      </c>
      <c r="L21" s="191">
        <v>6204.8977970272499</v>
      </c>
      <c r="M21" s="191">
        <v>6459.4227571306255</v>
      </c>
      <c r="N21" s="191">
        <v>6652.1722256042449</v>
      </c>
      <c r="O21" s="191">
        <v>6138.5179501257671</v>
      </c>
      <c r="P21" s="191">
        <v>6458.8224752132919</v>
      </c>
      <c r="Q21" s="191">
        <v>6491.8008272033749</v>
      </c>
      <c r="R21" s="191">
        <v>7141.7127110388246</v>
      </c>
      <c r="S21" s="191">
        <v>5448.2373124311507</v>
      </c>
      <c r="T21" s="191">
        <v>7052.1185843597395</v>
      </c>
      <c r="U21" s="191">
        <v>7571.4274921064571</v>
      </c>
      <c r="V21" s="191">
        <v>6767.9519458066734</v>
      </c>
      <c r="W21" s="191">
        <v>9040.708311772456</v>
      </c>
      <c r="X21" s="191">
        <v>6325.297244931764</v>
      </c>
      <c r="Y21" s="191">
        <v>7034.4283115429789</v>
      </c>
      <c r="Z21" s="191">
        <v>7273.4702671365594</v>
      </c>
      <c r="AA21" s="191">
        <v>7365.9414927319758</v>
      </c>
      <c r="AB21" s="191">
        <v>6950.6027063667952</v>
      </c>
      <c r="AC21" s="191">
        <v>6171.9654855988283</v>
      </c>
      <c r="AD21" s="191">
        <v>6701.8784130745289</v>
      </c>
      <c r="AE21" s="191">
        <v>7427.5673116070193</v>
      </c>
      <c r="AF21" s="191">
        <v>7688.7274657321213</v>
      </c>
      <c r="AG21" s="191">
        <v>7691.1582104614727</v>
      </c>
      <c r="AH21" s="191">
        <v>7389.9511626812809</v>
      </c>
      <c r="AI21" s="191">
        <v>7047.6639461943905</v>
      </c>
      <c r="AJ21" s="191">
        <v>6963.9890344584337</v>
      </c>
      <c r="AK21" s="191">
        <v>9440.9703348291077</v>
      </c>
      <c r="AL21" s="191">
        <v>7079.0383790556516</v>
      </c>
      <c r="AM21" s="191">
        <v>9862.3355338531619</v>
      </c>
      <c r="AN21" s="191">
        <v>10418.707067283103</v>
      </c>
      <c r="AO21" s="191">
        <v>10991.227226882274</v>
      </c>
      <c r="AP21" s="191"/>
      <c r="AQ21" s="191"/>
      <c r="AR21" s="191"/>
      <c r="AS21" s="191"/>
      <c r="AT21" s="191"/>
      <c r="AU21" s="191"/>
      <c r="AV21" s="191"/>
      <c r="AW21" s="191"/>
      <c r="AX21" s="191"/>
      <c r="AY21" s="191"/>
      <c r="AZ21" s="191"/>
      <c r="BA21" s="191"/>
      <c r="BB21" s="191"/>
      <c r="BC21" s="191"/>
      <c r="BD21" s="191"/>
      <c r="BE21" s="191"/>
      <c r="BF21" s="191"/>
      <c r="BG21" s="191"/>
      <c r="BH21" s="191"/>
      <c r="BI21" s="191"/>
      <c r="BJ21" s="191"/>
      <c r="BK21" s="191"/>
      <c r="BL21" s="191"/>
      <c r="BM21" s="191"/>
      <c r="BN21" s="191"/>
      <c r="BO21" s="191"/>
      <c r="BP21" s="191"/>
      <c r="BQ21" s="191"/>
      <c r="BR21" s="191"/>
      <c r="BS21" s="191"/>
      <c r="BT21" s="191"/>
      <c r="BU21" s="191"/>
      <c r="BV21" s="191"/>
      <c r="BW21" s="191"/>
      <c r="BX21" s="191"/>
      <c r="BY21" s="191"/>
      <c r="BZ21" s="191"/>
      <c r="CA21" s="191"/>
      <c r="CB21" s="191"/>
      <c r="CC21" s="191"/>
      <c r="CD21" s="191"/>
      <c r="CE21" s="191"/>
      <c r="CF21" s="191"/>
      <c r="CG21" s="191"/>
      <c r="CH21" s="191"/>
      <c r="CI21" s="191"/>
      <c r="CJ21" s="191"/>
      <c r="CK21" s="191"/>
      <c r="CL21" s="191"/>
      <c r="CM21" s="191"/>
      <c r="CN21" s="191"/>
      <c r="CO21" s="191"/>
      <c r="CP21" s="191"/>
      <c r="CQ21" s="191"/>
      <c r="CR21" s="191"/>
      <c r="CS21" s="191"/>
      <c r="CT21" s="191"/>
      <c r="CU21" s="191"/>
      <c r="CV21" s="191"/>
      <c r="CW21" s="191"/>
      <c r="CX21" s="191"/>
      <c r="CY21" s="191"/>
      <c r="CZ21" s="191"/>
      <c r="DA21" s="191"/>
      <c r="DB21" s="191"/>
      <c r="DC21" s="191"/>
      <c r="DD21" s="191"/>
      <c r="DE21" s="191"/>
      <c r="DF21" s="191"/>
      <c r="DG21" s="191"/>
      <c r="DH21" s="191"/>
      <c r="DI21" s="191"/>
      <c r="DJ21" s="191"/>
      <c r="DK21" s="191"/>
      <c r="DL21" s="191"/>
      <c r="DM21" s="191"/>
      <c r="DN21" s="191"/>
      <c r="DO21" s="191"/>
      <c r="DP21" s="191"/>
      <c r="DQ21" s="191"/>
      <c r="DR21" s="191"/>
      <c r="DS21" s="191"/>
      <c r="DT21" s="191"/>
      <c r="DU21" s="191"/>
      <c r="DV21" s="191"/>
      <c r="DW21" s="191"/>
      <c r="DX21" s="191"/>
      <c r="DY21" s="191"/>
      <c r="DZ21" s="191"/>
      <c r="EA21" s="191"/>
      <c r="EB21" s="191"/>
      <c r="EC21" s="191"/>
      <c r="ED21" s="191"/>
      <c r="EE21" s="191"/>
      <c r="EF21" s="191"/>
      <c r="EG21" s="191"/>
      <c r="EH21" s="191"/>
      <c r="EI21" s="191"/>
      <c r="EJ21" s="191"/>
      <c r="EK21" s="191"/>
      <c r="EL21" s="191"/>
      <c r="EM21" s="191"/>
      <c r="EN21" s="191"/>
      <c r="EO21" s="191"/>
      <c r="EP21" s="191"/>
      <c r="EQ21" s="191"/>
      <c r="ER21" s="191"/>
      <c r="ES21" s="191"/>
      <c r="ET21" s="191"/>
      <c r="EU21" s="191"/>
      <c r="EV21" s="191"/>
      <c r="EW21" s="191"/>
      <c r="EX21" s="191"/>
      <c r="EY21" s="191"/>
      <c r="EZ21" s="191"/>
      <c r="FA21" s="191"/>
      <c r="FB21" s="191"/>
      <c r="FC21" s="191"/>
      <c r="FD21" s="191"/>
      <c r="FE21" s="191"/>
      <c r="FF21" s="191"/>
      <c r="FG21" s="191"/>
      <c r="FH21" s="191"/>
      <c r="FI21" s="191"/>
      <c r="FJ21" s="191"/>
      <c r="FK21" s="191"/>
      <c r="FL21" s="191"/>
      <c r="FM21" s="191"/>
      <c r="FN21" s="191"/>
      <c r="FO21" s="191"/>
      <c r="FP21" s="191"/>
      <c r="FQ21" s="191"/>
      <c r="FR21" s="191"/>
      <c r="FS21" s="191"/>
      <c r="FT21" s="191"/>
      <c r="FU21" s="191"/>
      <c r="FV21" s="191"/>
      <c r="FW21" s="191"/>
      <c r="FX21" s="191"/>
      <c r="FY21" s="191"/>
      <c r="FZ21" s="191"/>
      <c r="GA21" s="191"/>
      <c r="GB21" s="191"/>
      <c r="GC21" s="191"/>
      <c r="GD21" s="191"/>
      <c r="GE21" s="191"/>
      <c r="GF21" s="191"/>
      <c r="GG21" s="191"/>
      <c r="GH21" s="191"/>
      <c r="GI21" s="191"/>
      <c r="GJ21" s="191"/>
      <c r="GK21" s="191"/>
      <c r="GL21" s="191"/>
      <c r="GM21" s="191"/>
      <c r="GN21" s="191"/>
      <c r="GO21" s="191"/>
      <c r="GP21" s="191"/>
      <c r="GQ21" s="191"/>
      <c r="GR21" s="191"/>
      <c r="GS21" s="191"/>
      <c r="GT21" s="191"/>
      <c r="GU21" s="191"/>
      <c r="GV21" s="191"/>
      <c r="GW21" s="191"/>
      <c r="GX21" s="191"/>
      <c r="GY21" s="191"/>
      <c r="GZ21" s="191"/>
      <c r="HA21" s="191"/>
      <c r="HB21" s="191"/>
      <c r="HC21" s="191"/>
      <c r="HD21" s="191"/>
      <c r="HE21" s="191"/>
      <c r="HF21" s="191"/>
      <c r="HG21" s="191"/>
      <c r="HH21" s="191"/>
      <c r="HI21" s="191"/>
      <c r="HJ21" s="191"/>
      <c r="HK21" s="191"/>
      <c r="HL21" s="191"/>
      <c r="HM21" s="191"/>
      <c r="HN21" s="191"/>
    </row>
    <row r="22" spans="1:222" ht="15" x14ac:dyDescent="0.25">
      <c r="A22" s="189"/>
      <c r="B22" s="193" t="s">
        <v>144</v>
      </c>
      <c r="C22" s="189"/>
      <c r="D22" s="189">
        <v>3759.6603267409105</v>
      </c>
      <c r="E22" s="189">
        <v>3457.8120674035526</v>
      </c>
      <c r="F22" s="189">
        <v>3431.933742734293</v>
      </c>
      <c r="G22" s="189">
        <v>3874.9631288249989</v>
      </c>
      <c r="H22" s="189">
        <v>3786.7164271331885</v>
      </c>
      <c r="I22" s="189">
        <v>3881.7403637312204</v>
      </c>
      <c r="J22" s="189">
        <v>3860.9324823166389</v>
      </c>
      <c r="K22" s="189">
        <v>4044.0961999082992</v>
      </c>
      <c r="L22" s="189">
        <v>3836.5077366906958</v>
      </c>
      <c r="M22" s="189">
        <v>4064.679998372495</v>
      </c>
      <c r="N22" s="189">
        <v>4167.6516107128782</v>
      </c>
      <c r="O22" s="189">
        <v>3820.0115126710248</v>
      </c>
      <c r="P22" s="189">
        <v>4021.8071272519833</v>
      </c>
      <c r="Q22" s="189">
        <v>4133.5515827484605</v>
      </c>
      <c r="R22" s="189">
        <v>4157.0619019592432</v>
      </c>
      <c r="S22" s="189">
        <v>3555.6158003274854</v>
      </c>
      <c r="T22" s="189">
        <v>4892.3180325805934</v>
      </c>
      <c r="U22" s="189">
        <v>5133.0521096000411</v>
      </c>
      <c r="V22" s="189">
        <v>4665.2313620550158</v>
      </c>
      <c r="W22" s="189">
        <v>6531.8659421171451</v>
      </c>
      <c r="X22" s="189">
        <v>4209.0544698587782</v>
      </c>
      <c r="Y22" s="189">
        <v>4900.6614535064446</v>
      </c>
      <c r="Z22" s="189">
        <v>5011.2017050291724</v>
      </c>
      <c r="AA22" s="189">
        <v>5054.3039563988232</v>
      </c>
      <c r="AB22" s="189">
        <v>4681.404967457871</v>
      </c>
      <c r="AC22" s="189">
        <v>4113.1783280768186</v>
      </c>
      <c r="AD22" s="189">
        <v>4411.8925151595658</v>
      </c>
      <c r="AE22" s="189">
        <v>4952.3656881101415</v>
      </c>
      <c r="AF22" s="189">
        <v>5011.4639294101626</v>
      </c>
      <c r="AG22" s="189">
        <v>4851.9876249227627</v>
      </c>
      <c r="AH22" s="189">
        <v>4529.5942213123408</v>
      </c>
      <c r="AI22" s="189">
        <v>4320.7361629156785</v>
      </c>
      <c r="AJ22" s="189">
        <v>4486.4822411281821</v>
      </c>
      <c r="AK22" s="189">
        <v>6212.1558927053402</v>
      </c>
      <c r="AL22" s="189">
        <v>4417.7589399573089</v>
      </c>
      <c r="AM22" s="189">
        <v>6690.8051614628484</v>
      </c>
      <c r="AN22" s="189">
        <v>6788.4826379513606</v>
      </c>
      <c r="AO22" s="189">
        <v>7445.594204785647</v>
      </c>
      <c r="AP22" s="189"/>
      <c r="AQ22" s="189"/>
      <c r="AR22" s="189"/>
      <c r="AS22" s="189"/>
      <c r="AT22" s="189"/>
      <c r="AU22" s="189"/>
      <c r="AV22" s="189"/>
      <c r="AW22" s="189"/>
      <c r="AX22" s="189"/>
      <c r="AY22" s="189"/>
      <c r="AZ22" s="189"/>
      <c r="BA22" s="189"/>
      <c r="BB22" s="189"/>
      <c r="BC22" s="189"/>
      <c r="BD22" s="189"/>
      <c r="BE22" s="189"/>
      <c r="BF22" s="189"/>
      <c r="BG22" s="189"/>
      <c r="BH22" s="189"/>
      <c r="BI22" s="189"/>
      <c r="BJ22" s="189"/>
      <c r="BK22" s="189"/>
      <c r="BL22" s="189"/>
      <c r="BM22" s="189"/>
      <c r="BN22" s="189"/>
      <c r="BO22" s="189"/>
      <c r="BP22" s="189"/>
      <c r="BQ22" s="189"/>
      <c r="BR22" s="189"/>
      <c r="BS22" s="189"/>
      <c r="BT22" s="189"/>
      <c r="BU22" s="189"/>
      <c r="BV22" s="189"/>
      <c r="BW22" s="189"/>
      <c r="BX22" s="189"/>
      <c r="BY22" s="189"/>
      <c r="BZ22" s="189"/>
      <c r="CA22" s="189"/>
      <c r="CB22" s="189"/>
      <c r="CC22" s="189"/>
      <c r="CD22" s="189"/>
      <c r="CE22" s="189"/>
      <c r="CF22" s="189"/>
      <c r="CG22" s="189"/>
      <c r="CH22" s="189"/>
      <c r="CI22" s="189"/>
      <c r="CJ22" s="189"/>
      <c r="CK22" s="189"/>
      <c r="CL22" s="189"/>
      <c r="CM22" s="189"/>
      <c r="CN22" s="189"/>
      <c r="CO22" s="189"/>
      <c r="CP22" s="189"/>
      <c r="CQ22" s="189"/>
      <c r="CR22" s="189"/>
      <c r="CS22" s="189"/>
      <c r="CT22" s="189"/>
      <c r="CU22" s="189"/>
      <c r="CV22" s="189"/>
      <c r="CW22" s="189"/>
      <c r="CX22" s="189"/>
      <c r="CY22" s="189"/>
      <c r="CZ22" s="189"/>
      <c r="DA22" s="189"/>
      <c r="DB22" s="189"/>
      <c r="DC22" s="189"/>
      <c r="DD22" s="189"/>
      <c r="DE22" s="189"/>
      <c r="DF22" s="189"/>
      <c r="DG22" s="189"/>
      <c r="DH22" s="189"/>
      <c r="DI22" s="189"/>
      <c r="DJ22" s="189"/>
      <c r="DK22" s="189"/>
      <c r="DL22" s="189"/>
      <c r="DM22" s="189"/>
      <c r="DN22" s="189"/>
      <c r="DO22" s="189"/>
      <c r="DP22" s="189"/>
      <c r="DQ22" s="189"/>
      <c r="DR22" s="189"/>
      <c r="DS22" s="189"/>
      <c r="DT22" s="189"/>
      <c r="DU22" s="189"/>
      <c r="DV22" s="189"/>
      <c r="DW22" s="189"/>
      <c r="DX22" s="189"/>
      <c r="DY22" s="189"/>
      <c r="DZ22" s="189"/>
      <c r="EA22" s="189"/>
      <c r="EB22" s="189"/>
      <c r="EC22" s="189"/>
      <c r="ED22" s="189"/>
      <c r="EE22" s="189"/>
      <c r="EF22" s="189"/>
      <c r="EG22" s="189"/>
      <c r="EH22" s="189"/>
      <c r="EI22" s="189"/>
      <c r="EJ22" s="189"/>
      <c r="EK22" s="189"/>
      <c r="EL22" s="189"/>
      <c r="EM22" s="189"/>
      <c r="EN22" s="189"/>
      <c r="EO22" s="189"/>
      <c r="EP22" s="189"/>
      <c r="EQ22" s="189"/>
      <c r="ER22" s="189"/>
      <c r="ES22" s="189"/>
      <c r="ET22" s="189"/>
      <c r="EU22" s="189"/>
      <c r="EV22" s="189"/>
      <c r="EW22" s="189"/>
      <c r="EX22" s="189"/>
      <c r="EY22" s="189"/>
      <c r="EZ22" s="189"/>
      <c r="FA22" s="189"/>
      <c r="FB22" s="189"/>
      <c r="FC22" s="189"/>
      <c r="FD22" s="189"/>
      <c r="FE22" s="189"/>
      <c r="FF22" s="189"/>
      <c r="FG22" s="189"/>
      <c r="FH22" s="189"/>
      <c r="FI22" s="189"/>
      <c r="FJ22" s="189"/>
      <c r="FK22" s="189"/>
      <c r="FL22" s="189"/>
      <c r="FM22" s="189"/>
      <c r="FN22" s="189"/>
      <c r="FO22" s="189"/>
      <c r="FP22" s="189"/>
      <c r="FQ22" s="189"/>
      <c r="FR22" s="189"/>
      <c r="FS22" s="189"/>
      <c r="FT22" s="189"/>
      <c r="FU22" s="189"/>
      <c r="FV22" s="189"/>
      <c r="FW22" s="189"/>
      <c r="FX22" s="189"/>
      <c r="FY22" s="189"/>
      <c r="FZ22" s="189"/>
      <c r="GA22" s="189"/>
      <c r="GB22" s="189"/>
      <c r="GC22" s="189"/>
      <c r="GD22" s="189"/>
      <c r="GE22" s="189"/>
      <c r="GF22" s="189"/>
      <c r="GG22" s="189"/>
      <c r="GH22" s="189"/>
      <c r="GI22" s="189"/>
      <c r="GJ22" s="189"/>
      <c r="GK22" s="189"/>
      <c r="GL22" s="189"/>
      <c r="GM22" s="189"/>
      <c r="GN22" s="189"/>
      <c r="GO22" s="189"/>
      <c r="GP22" s="189"/>
      <c r="GQ22" s="189"/>
      <c r="GR22" s="189"/>
      <c r="GS22" s="189"/>
      <c r="GT22" s="189"/>
      <c r="GU22" s="189"/>
      <c r="GV22" s="189"/>
      <c r="GW22" s="189"/>
      <c r="GX22" s="189"/>
      <c r="GY22" s="189"/>
      <c r="GZ22" s="189"/>
      <c r="HA22" s="189"/>
      <c r="HB22" s="189"/>
      <c r="HC22" s="189"/>
      <c r="HD22" s="189"/>
      <c r="HE22" s="189"/>
      <c r="HF22" s="189"/>
      <c r="HG22" s="189"/>
      <c r="HH22" s="189"/>
      <c r="HI22" s="189"/>
      <c r="HJ22" s="189"/>
      <c r="HK22" s="189"/>
      <c r="HL22" s="189"/>
      <c r="HM22" s="189"/>
      <c r="HN22" s="189"/>
    </row>
    <row r="23" spans="1:222" ht="15" x14ac:dyDescent="0.25">
      <c r="A23" s="189"/>
      <c r="B23" s="193" t="s">
        <v>143</v>
      </c>
      <c r="C23" s="189"/>
      <c r="D23" s="189">
        <v>1808.2588943459375</v>
      </c>
      <c r="E23" s="189">
        <v>1835.4825141441706</v>
      </c>
      <c r="F23" s="189">
        <v>1803.6359677450575</v>
      </c>
      <c r="G23" s="189">
        <v>1978.8825463538137</v>
      </c>
      <c r="H23" s="189">
        <v>2031.5210393848629</v>
      </c>
      <c r="I23" s="189">
        <v>2133.859833977911</v>
      </c>
      <c r="J23" s="189">
        <v>1965.0176774253857</v>
      </c>
      <c r="K23" s="189">
        <v>2078.6841243999293</v>
      </c>
      <c r="L23" s="189">
        <v>2368.3900603365537</v>
      </c>
      <c r="M23" s="189">
        <v>2394.742758758131</v>
      </c>
      <c r="N23" s="189">
        <v>2484.5206148913671</v>
      </c>
      <c r="O23" s="189">
        <v>2318.5064374547424</v>
      </c>
      <c r="P23" s="189">
        <v>2437.0153479613086</v>
      </c>
      <c r="Q23" s="189">
        <v>2358.2492444549139</v>
      </c>
      <c r="R23" s="189">
        <v>2984.6508090795819</v>
      </c>
      <c r="S23" s="189">
        <v>1892.6215121036657</v>
      </c>
      <c r="T23" s="189">
        <v>2159.8005517791466</v>
      </c>
      <c r="U23" s="189">
        <v>2438.3753825064155</v>
      </c>
      <c r="V23" s="189">
        <v>2102.7205837516576</v>
      </c>
      <c r="W23" s="189">
        <v>2508.8423696553104</v>
      </c>
      <c r="X23" s="189">
        <v>2116.2427750729862</v>
      </c>
      <c r="Y23" s="189">
        <v>2133.7668580365344</v>
      </c>
      <c r="Z23" s="189">
        <v>2262.2685621073874</v>
      </c>
      <c r="AA23" s="189">
        <v>2311.6375363331522</v>
      </c>
      <c r="AB23" s="189">
        <v>2269.1977389089243</v>
      </c>
      <c r="AC23" s="189">
        <v>2058.7871575220092</v>
      </c>
      <c r="AD23" s="189">
        <v>2289.9858979149631</v>
      </c>
      <c r="AE23" s="189">
        <v>2475.2016234968778</v>
      </c>
      <c r="AF23" s="189">
        <v>2677.2635363219588</v>
      </c>
      <c r="AG23" s="189">
        <v>2839.1705855387099</v>
      </c>
      <c r="AH23" s="189">
        <v>2860.3569413689402</v>
      </c>
      <c r="AI23" s="189">
        <v>2726.9277832787125</v>
      </c>
      <c r="AJ23" s="189">
        <v>2477.5067933302516</v>
      </c>
      <c r="AK23" s="189">
        <v>3228.814442123768</v>
      </c>
      <c r="AL23" s="189">
        <v>2661.2794390983427</v>
      </c>
      <c r="AM23" s="189">
        <v>3171.5303723903144</v>
      </c>
      <c r="AN23" s="189">
        <v>3630.2244293317422</v>
      </c>
      <c r="AO23" s="189">
        <v>3545.6330220966279</v>
      </c>
      <c r="AP23" s="189"/>
      <c r="AQ23" s="189"/>
      <c r="AR23" s="189"/>
      <c r="AS23" s="189"/>
      <c r="AT23" s="189"/>
      <c r="AU23" s="189"/>
      <c r="AV23" s="189"/>
      <c r="AW23" s="189"/>
      <c r="AX23" s="189"/>
      <c r="AY23" s="189"/>
      <c r="AZ23" s="189"/>
      <c r="BA23" s="189"/>
      <c r="BB23" s="189"/>
      <c r="BC23" s="189"/>
      <c r="BD23" s="189"/>
      <c r="BE23" s="189"/>
      <c r="BF23" s="189"/>
      <c r="BG23" s="189"/>
      <c r="BH23" s="189"/>
      <c r="BI23" s="189"/>
      <c r="BJ23" s="189"/>
      <c r="BK23" s="189"/>
      <c r="BL23" s="189"/>
      <c r="BM23" s="189"/>
      <c r="BN23" s="189"/>
      <c r="BO23" s="189"/>
      <c r="BP23" s="189"/>
      <c r="BQ23" s="189"/>
      <c r="BR23" s="189"/>
      <c r="BS23" s="189"/>
      <c r="BT23" s="189"/>
      <c r="BU23" s="189"/>
      <c r="BV23" s="189"/>
      <c r="BW23" s="189"/>
      <c r="BX23" s="189"/>
      <c r="BY23" s="189"/>
      <c r="BZ23" s="189"/>
      <c r="CA23" s="189"/>
      <c r="CB23" s="189"/>
      <c r="CC23" s="189"/>
      <c r="CD23" s="189"/>
      <c r="CE23" s="189"/>
      <c r="CF23" s="189"/>
      <c r="CG23" s="189"/>
      <c r="CH23" s="189"/>
      <c r="CI23" s="189"/>
      <c r="CJ23" s="189"/>
      <c r="CK23" s="189"/>
      <c r="CL23" s="189"/>
      <c r="CM23" s="189"/>
      <c r="CN23" s="189"/>
      <c r="CO23" s="189"/>
      <c r="CP23" s="189"/>
      <c r="CQ23" s="189"/>
      <c r="CR23" s="189"/>
      <c r="CS23" s="189"/>
      <c r="CT23" s="189"/>
      <c r="CU23" s="189"/>
      <c r="CV23" s="189"/>
      <c r="CW23" s="189"/>
      <c r="CX23" s="189"/>
      <c r="CY23" s="189"/>
      <c r="CZ23" s="189"/>
      <c r="DA23" s="189"/>
      <c r="DB23" s="189"/>
      <c r="DC23" s="189"/>
      <c r="DD23" s="189"/>
      <c r="DE23" s="189"/>
      <c r="DF23" s="189"/>
      <c r="DG23" s="189"/>
      <c r="DH23" s="189"/>
      <c r="DI23" s="189"/>
      <c r="DJ23" s="189"/>
      <c r="DK23" s="189"/>
      <c r="DL23" s="189"/>
      <c r="DM23" s="189"/>
      <c r="DN23" s="189"/>
      <c r="DO23" s="189"/>
      <c r="DP23" s="189"/>
      <c r="DQ23" s="189"/>
      <c r="DR23" s="189"/>
      <c r="DS23" s="189"/>
      <c r="DT23" s="189"/>
      <c r="DU23" s="189"/>
      <c r="DV23" s="189"/>
      <c r="DW23" s="189"/>
      <c r="DX23" s="189"/>
      <c r="DY23" s="189"/>
      <c r="DZ23" s="189"/>
      <c r="EA23" s="189"/>
      <c r="EB23" s="189"/>
      <c r="EC23" s="189"/>
      <c r="ED23" s="189"/>
      <c r="EE23" s="189"/>
      <c r="EF23" s="189"/>
      <c r="EG23" s="189"/>
      <c r="EH23" s="189"/>
      <c r="EI23" s="189"/>
      <c r="EJ23" s="189"/>
      <c r="EK23" s="189"/>
      <c r="EL23" s="189"/>
      <c r="EM23" s="189"/>
      <c r="EN23" s="189"/>
      <c r="EO23" s="189"/>
      <c r="EP23" s="189"/>
      <c r="EQ23" s="189"/>
      <c r="ER23" s="189"/>
      <c r="ES23" s="189"/>
      <c r="ET23" s="189"/>
      <c r="EU23" s="189"/>
      <c r="EV23" s="189"/>
      <c r="EW23" s="189"/>
      <c r="EX23" s="189"/>
      <c r="EY23" s="189"/>
      <c r="EZ23" s="189"/>
      <c r="FA23" s="189"/>
      <c r="FB23" s="189"/>
      <c r="FC23" s="189"/>
      <c r="FD23" s="189"/>
      <c r="FE23" s="189"/>
      <c r="FF23" s="189"/>
      <c r="FG23" s="189"/>
      <c r="FH23" s="189"/>
      <c r="FI23" s="189"/>
      <c r="FJ23" s="189"/>
      <c r="FK23" s="189"/>
      <c r="FL23" s="189"/>
      <c r="FM23" s="189"/>
      <c r="FN23" s="189"/>
      <c r="FO23" s="189"/>
      <c r="FP23" s="189"/>
      <c r="FQ23" s="189"/>
      <c r="FR23" s="189"/>
      <c r="FS23" s="189"/>
      <c r="FT23" s="189"/>
      <c r="FU23" s="189"/>
      <c r="FV23" s="189"/>
      <c r="FW23" s="189"/>
      <c r="FX23" s="189"/>
      <c r="FY23" s="189"/>
      <c r="FZ23" s="189"/>
      <c r="GA23" s="189"/>
      <c r="GB23" s="189"/>
      <c r="GC23" s="189"/>
      <c r="GD23" s="189"/>
      <c r="GE23" s="189"/>
      <c r="GF23" s="189"/>
      <c r="GG23" s="189"/>
      <c r="GH23" s="189"/>
      <c r="GI23" s="189"/>
      <c r="GJ23" s="189"/>
      <c r="GK23" s="189"/>
      <c r="GL23" s="189"/>
      <c r="GM23" s="189"/>
      <c r="GN23" s="189"/>
      <c r="GO23" s="189"/>
      <c r="GP23" s="189"/>
      <c r="GQ23" s="189"/>
      <c r="GR23" s="189"/>
      <c r="GS23" s="189"/>
      <c r="GT23" s="189"/>
      <c r="GU23" s="189"/>
      <c r="GV23" s="189"/>
      <c r="GW23" s="189"/>
      <c r="GX23" s="189"/>
      <c r="GY23" s="189"/>
      <c r="GZ23" s="189"/>
      <c r="HA23" s="189"/>
      <c r="HB23" s="189"/>
      <c r="HC23" s="189"/>
      <c r="HD23" s="189"/>
      <c r="HE23" s="189"/>
      <c r="HF23" s="189"/>
      <c r="HG23" s="189"/>
      <c r="HH23" s="189"/>
      <c r="HI23" s="189"/>
      <c r="HJ23" s="189"/>
      <c r="HK23" s="189"/>
      <c r="HL23" s="189"/>
      <c r="HM23" s="189"/>
      <c r="HN23" s="189"/>
    </row>
    <row r="24" spans="1:222" ht="15" x14ac:dyDescent="0.25">
      <c r="A24" s="196"/>
      <c r="B24" s="195" t="s">
        <v>142</v>
      </c>
      <c r="C24" s="196"/>
      <c r="D24" s="174">
        <v>424.57057349078605</v>
      </c>
      <c r="E24" s="174">
        <v>-659.91830253025546</v>
      </c>
      <c r="F24" s="174">
        <v>-132.29423462738851</v>
      </c>
      <c r="G24" s="174">
        <v>396.52744646059</v>
      </c>
      <c r="H24" s="174">
        <v>-1891.8719948202815</v>
      </c>
      <c r="I24" s="174">
        <v>-1076.1496337240824</v>
      </c>
      <c r="J24" s="174">
        <v>-197.10228085466588</v>
      </c>
      <c r="K24" s="174">
        <v>-487.56140713916102</v>
      </c>
      <c r="L24" s="174">
        <v>-3.3080939885840053</v>
      </c>
      <c r="M24" s="174">
        <v>-474.44688977264377</v>
      </c>
      <c r="N24" s="174">
        <v>-1778.6218931446601</v>
      </c>
      <c r="O24" s="174">
        <v>-2670.6848334766109</v>
      </c>
      <c r="P24" s="174">
        <v>-1737.8058940352857</v>
      </c>
      <c r="Q24" s="174">
        <v>-1844.0605454101205</v>
      </c>
      <c r="R24" s="174">
        <v>-834.27459615917178</v>
      </c>
      <c r="S24" s="174">
        <v>-87.849064620979334</v>
      </c>
      <c r="T24" s="174">
        <v>220.79263163611176</v>
      </c>
      <c r="U24" s="174">
        <v>-818.46200042534474</v>
      </c>
      <c r="V24" s="174">
        <v>-2267.8579534109012</v>
      </c>
      <c r="W24" s="174">
        <v>-190.72036571640638</v>
      </c>
      <c r="X24" s="174">
        <v>-1006.9079582703744</v>
      </c>
      <c r="Y24" s="174">
        <v>231.10192571964581</v>
      </c>
      <c r="Z24" s="174">
        <v>-766.87871517183521</v>
      </c>
      <c r="AA24" s="174">
        <v>-1201.8807627660572</v>
      </c>
      <c r="AB24" s="174">
        <v>-493.24535297657712</v>
      </c>
      <c r="AC24" s="174">
        <v>-397.56709472250805</v>
      </c>
      <c r="AD24" s="174">
        <v>-922.46824675665266</v>
      </c>
      <c r="AE24" s="174">
        <v>646.01350690610707</v>
      </c>
      <c r="AF24" s="174">
        <v>-1293.6668942581673</v>
      </c>
      <c r="AG24" s="174">
        <v>-446.36388376378454</v>
      </c>
      <c r="AH24" s="174">
        <v>-328.95190772219212</v>
      </c>
      <c r="AI24" s="174">
        <v>-1564.6117475882711</v>
      </c>
      <c r="AJ24" s="174">
        <v>-1941.9955815525464</v>
      </c>
      <c r="AK24" s="174">
        <v>-659.89832106488757</v>
      </c>
      <c r="AL24" s="174">
        <v>-6468.6604556174061</v>
      </c>
      <c r="AM24" s="174">
        <v>-3194.0927419252912</v>
      </c>
      <c r="AN24" s="174">
        <v>-5618.7798112746968</v>
      </c>
      <c r="AO24" s="174">
        <v>-4769.571857300798</v>
      </c>
      <c r="AP24" s="196"/>
      <c r="AQ24" s="196"/>
      <c r="AR24" s="196"/>
      <c r="AS24" s="196"/>
      <c r="AT24" s="196"/>
      <c r="AU24" s="196"/>
      <c r="AV24" s="196"/>
      <c r="AW24" s="196"/>
      <c r="AX24" s="196"/>
      <c r="AY24" s="196"/>
      <c r="AZ24" s="196"/>
      <c r="BA24" s="196"/>
      <c r="BB24" s="196"/>
      <c r="BC24" s="196"/>
      <c r="BD24" s="196"/>
      <c r="BE24" s="196"/>
      <c r="BF24" s="196"/>
      <c r="BG24" s="196"/>
      <c r="BH24" s="196"/>
      <c r="BI24" s="196"/>
      <c r="BJ24" s="196"/>
      <c r="BK24" s="196"/>
      <c r="BL24" s="196"/>
      <c r="BM24" s="196"/>
      <c r="BN24" s="196"/>
      <c r="BO24" s="196"/>
      <c r="BP24" s="196"/>
      <c r="BQ24" s="196"/>
      <c r="BR24" s="196"/>
      <c r="BS24" s="196"/>
      <c r="BT24" s="196"/>
      <c r="BU24" s="196"/>
      <c r="BV24" s="196"/>
      <c r="BW24" s="196"/>
      <c r="BX24" s="196"/>
      <c r="BY24" s="196"/>
      <c r="BZ24" s="196"/>
      <c r="CA24" s="196"/>
      <c r="CB24" s="196"/>
      <c r="CC24" s="196"/>
      <c r="CD24" s="196"/>
      <c r="CE24" s="196"/>
      <c r="CF24" s="196"/>
      <c r="CG24" s="196"/>
      <c r="CH24" s="196"/>
      <c r="CI24" s="196"/>
      <c r="CJ24" s="196"/>
      <c r="CK24" s="196"/>
      <c r="CL24" s="196"/>
      <c r="CM24" s="196"/>
      <c r="CN24" s="196"/>
      <c r="CO24" s="196"/>
      <c r="CP24" s="196"/>
      <c r="CQ24" s="196"/>
      <c r="CR24" s="196"/>
      <c r="CS24" s="196"/>
      <c r="CT24" s="196"/>
      <c r="CU24" s="196"/>
      <c r="CV24" s="196"/>
      <c r="CW24" s="196"/>
      <c r="CX24" s="196"/>
      <c r="CY24" s="196"/>
      <c r="CZ24" s="196"/>
      <c r="DA24" s="196"/>
      <c r="DB24" s="196"/>
      <c r="DC24" s="196"/>
      <c r="DD24" s="196"/>
      <c r="DE24" s="196"/>
      <c r="DF24" s="196"/>
      <c r="DG24" s="196"/>
      <c r="DH24" s="196"/>
      <c r="DI24" s="196"/>
      <c r="DJ24" s="196"/>
      <c r="DK24" s="196"/>
      <c r="DL24" s="196"/>
      <c r="DM24" s="196"/>
      <c r="DN24" s="196"/>
      <c r="DO24" s="196"/>
      <c r="DP24" s="196"/>
      <c r="DQ24" s="196"/>
      <c r="DR24" s="196"/>
      <c r="DS24" s="196"/>
      <c r="DT24" s="196"/>
      <c r="DU24" s="196"/>
      <c r="DV24" s="196"/>
      <c r="DW24" s="196"/>
      <c r="DX24" s="196"/>
      <c r="DY24" s="196"/>
      <c r="DZ24" s="196"/>
      <c r="EA24" s="196"/>
      <c r="EB24" s="196"/>
      <c r="EC24" s="196"/>
      <c r="ED24" s="196"/>
      <c r="EE24" s="196"/>
      <c r="EF24" s="196"/>
      <c r="EG24" s="196"/>
      <c r="EH24" s="196"/>
      <c r="EI24" s="196"/>
      <c r="EJ24" s="196"/>
      <c r="EK24" s="196"/>
      <c r="EL24" s="196"/>
      <c r="EM24" s="196"/>
      <c r="EN24" s="196"/>
      <c r="EO24" s="196"/>
      <c r="EP24" s="196"/>
      <c r="EQ24" s="196"/>
      <c r="ER24" s="196"/>
      <c r="ES24" s="196"/>
      <c r="ET24" s="196"/>
      <c r="EU24" s="196"/>
      <c r="EV24" s="196"/>
      <c r="EW24" s="196"/>
      <c r="EX24" s="196"/>
      <c r="EY24" s="196"/>
      <c r="EZ24" s="196"/>
      <c r="FA24" s="196"/>
      <c r="FB24" s="196"/>
      <c r="FC24" s="196"/>
      <c r="FD24" s="196"/>
      <c r="FE24" s="196"/>
      <c r="FF24" s="196"/>
      <c r="FG24" s="196"/>
      <c r="FH24" s="196"/>
      <c r="FI24" s="196"/>
      <c r="FJ24" s="196"/>
      <c r="FK24" s="196"/>
      <c r="FL24" s="196"/>
      <c r="FM24" s="196"/>
      <c r="FN24" s="196"/>
      <c r="FO24" s="196"/>
      <c r="FP24" s="196"/>
      <c r="FQ24" s="196"/>
      <c r="FR24" s="196"/>
      <c r="FS24" s="196"/>
      <c r="FT24" s="196"/>
      <c r="FU24" s="196"/>
      <c r="FV24" s="196"/>
      <c r="FW24" s="196"/>
      <c r="FX24" s="196"/>
      <c r="FY24" s="196"/>
      <c r="FZ24" s="196"/>
      <c r="GA24" s="196"/>
      <c r="GB24" s="196"/>
      <c r="GC24" s="196"/>
      <c r="GD24" s="196"/>
      <c r="GE24" s="196"/>
      <c r="GF24" s="196"/>
      <c r="GG24" s="196"/>
      <c r="GH24" s="196"/>
      <c r="GI24" s="196"/>
      <c r="GJ24" s="196"/>
      <c r="GK24" s="196"/>
      <c r="GL24" s="196"/>
      <c r="GM24" s="196"/>
      <c r="GN24" s="196"/>
      <c r="GO24" s="196"/>
      <c r="GP24" s="196"/>
      <c r="GQ24" s="196"/>
      <c r="GR24" s="196"/>
      <c r="GS24" s="196"/>
      <c r="GT24" s="196"/>
      <c r="GU24" s="196"/>
      <c r="GV24" s="196"/>
      <c r="GW24" s="196"/>
      <c r="GX24" s="196"/>
      <c r="GY24" s="196"/>
      <c r="GZ24" s="196"/>
      <c r="HA24" s="196"/>
      <c r="HB24" s="196"/>
      <c r="HC24" s="196"/>
      <c r="HD24" s="196"/>
      <c r="HE24" s="196"/>
      <c r="HF24" s="196"/>
      <c r="HG24" s="196"/>
      <c r="HH24" s="196"/>
      <c r="HI24" s="196"/>
      <c r="HJ24" s="196"/>
      <c r="HK24" s="196"/>
      <c r="HL24" s="196"/>
      <c r="HM24" s="196"/>
      <c r="HN24" s="196"/>
    </row>
    <row r="25" spans="1:222" ht="15" x14ac:dyDescent="0.25">
      <c r="A25" s="191"/>
      <c r="B25" s="192" t="s">
        <v>141</v>
      </c>
      <c r="C25" s="191"/>
      <c r="D25" s="172">
        <v>26418.329913359037</v>
      </c>
      <c r="E25" s="172">
        <v>26820.34073984532</v>
      </c>
      <c r="F25" s="172">
        <v>27619.793515599307</v>
      </c>
      <c r="G25" s="172">
        <v>27877.519436686529</v>
      </c>
      <c r="H25" s="172">
        <v>28291.33911591558</v>
      </c>
      <c r="I25" s="172">
        <v>28562.976804127233</v>
      </c>
      <c r="J25" s="172">
        <v>29225.635950909473</v>
      </c>
      <c r="K25" s="172">
        <v>29425.249775083259</v>
      </c>
      <c r="L25" s="172">
        <v>29958.925048858808</v>
      </c>
      <c r="M25" s="172">
        <v>30153.093747913452</v>
      </c>
      <c r="N25" s="172">
        <v>31561.031499686902</v>
      </c>
      <c r="O25" s="172">
        <v>31371.829680101248</v>
      </c>
      <c r="P25" s="172">
        <v>32311.887177142591</v>
      </c>
      <c r="Q25" s="172">
        <v>32681.046842239568</v>
      </c>
      <c r="R25" s="172">
        <v>31941.991239438736</v>
      </c>
      <c r="S25" s="172">
        <v>29638.436921528686</v>
      </c>
      <c r="T25" s="172">
        <v>31936.886395330035</v>
      </c>
      <c r="U25" s="172">
        <v>32665.95953993038</v>
      </c>
      <c r="V25" s="172">
        <v>32913.147622199474</v>
      </c>
      <c r="W25" s="172">
        <v>33266.262887756922</v>
      </c>
      <c r="X25" s="172">
        <v>32690.006792348013</v>
      </c>
      <c r="Y25" s="172">
        <v>34248.281558919123</v>
      </c>
      <c r="Z25" s="172">
        <v>35004.410609455022</v>
      </c>
      <c r="AA25" s="172">
        <v>35114.229640385529</v>
      </c>
      <c r="AB25" s="172">
        <v>35517.737086877118</v>
      </c>
      <c r="AC25" s="172">
        <v>35836.54516817956</v>
      </c>
      <c r="AD25" s="172">
        <v>35798.781252551009</v>
      </c>
      <c r="AE25" s="172">
        <v>36969.932194423294</v>
      </c>
      <c r="AF25" s="172">
        <v>37483.150316014762</v>
      </c>
      <c r="AG25" s="172">
        <v>38034.022628928949</v>
      </c>
      <c r="AH25" s="172">
        <v>38330.505504848268</v>
      </c>
      <c r="AI25" s="172">
        <v>38995.257804297391</v>
      </c>
      <c r="AJ25" s="172">
        <v>39825.160223270017</v>
      </c>
      <c r="AK25" s="172">
        <v>40146.527558536844</v>
      </c>
      <c r="AL25" s="172">
        <v>41458.227615187541</v>
      </c>
      <c r="AM25" s="172">
        <v>41147.853643180293</v>
      </c>
      <c r="AN25" s="172">
        <v>41936.504537982662</v>
      </c>
      <c r="AO25" s="172">
        <v>43598.399896274939</v>
      </c>
      <c r="AP25" s="191"/>
      <c r="AQ25" s="191"/>
      <c r="AR25" s="191"/>
      <c r="AS25" s="191"/>
      <c r="AT25" s="191"/>
      <c r="AU25" s="191"/>
      <c r="AV25" s="191"/>
      <c r="AW25" s="191"/>
      <c r="AX25" s="191"/>
      <c r="AY25" s="191"/>
      <c r="AZ25" s="191"/>
      <c r="BA25" s="191"/>
      <c r="BB25" s="191"/>
      <c r="BC25" s="191"/>
      <c r="BD25" s="191"/>
      <c r="BE25" s="191"/>
      <c r="BF25" s="191"/>
      <c r="BG25" s="191"/>
      <c r="BH25" s="191"/>
      <c r="BI25" s="191"/>
      <c r="BJ25" s="191"/>
      <c r="BK25" s="191"/>
      <c r="BL25" s="191"/>
      <c r="BM25" s="191"/>
      <c r="BN25" s="191"/>
      <c r="BO25" s="191"/>
      <c r="BP25" s="191"/>
      <c r="BQ25" s="191"/>
      <c r="BR25" s="191"/>
      <c r="BS25" s="191"/>
      <c r="BT25" s="191"/>
      <c r="BU25" s="191"/>
      <c r="BV25" s="191"/>
      <c r="BW25" s="191"/>
      <c r="BX25" s="191"/>
      <c r="BY25" s="191"/>
      <c r="BZ25" s="191"/>
      <c r="CA25" s="191"/>
      <c r="CB25" s="191"/>
      <c r="CC25" s="191"/>
      <c r="CD25" s="191"/>
      <c r="CE25" s="191"/>
      <c r="CF25" s="191"/>
      <c r="CG25" s="191"/>
      <c r="CH25" s="191"/>
      <c r="CI25" s="191"/>
      <c r="CJ25" s="191"/>
      <c r="CK25" s="191"/>
      <c r="CL25" s="191"/>
      <c r="CM25" s="191"/>
      <c r="CN25" s="191"/>
      <c r="CO25" s="191"/>
      <c r="CP25" s="191"/>
      <c r="CQ25" s="191"/>
      <c r="CR25" s="191"/>
      <c r="CS25" s="191"/>
      <c r="CT25" s="191"/>
      <c r="CU25" s="191"/>
      <c r="CV25" s="191"/>
      <c r="CW25" s="191"/>
      <c r="CX25" s="191"/>
      <c r="CY25" s="191"/>
      <c r="CZ25" s="191"/>
      <c r="DA25" s="191"/>
      <c r="DB25" s="191"/>
      <c r="DC25" s="191"/>
      <c r="DD25" s="191"/>
      <c r="DE25" s="191"/>
      <c r="DF25" s="191"/>
      <c r="DG25" s="191"/>
      <c r="DH25" s="191"/>
      <c r="DI25" s="191"/>
      <c r="DJ25" s="191"/>
      <c r="DK25" s="191"/>
      <c r="DL25" s="191"/>
      <c r="DM25" s="191"/>
      <c r="DN25" s="191"/>
      <c r="DO25" s="191"/>
      <c r="DP25" s="191"/>
      <c r="DQ25" s="191"/>
      <c r="DR25" s="191"/>
      <c r="DS25" s="191"/>
      <c r="DT25" s="191"/>
      <c r="DU25" s="191"/>
      <c r="DV25" s="191"/>
      <c r="DW25" s="191"/>
      <c r="DX25" s="191"/>
      <c r="DY25" s="191"/>
      <c r="DZ25" s="191"/>
      <c r="EA25" s="191"/>
      <c r="EB25" s="191"/>
      <c r="EC25" s="191"/>
      <c r="ED25" s="191"/>
      <c r="EE25" s="191"/>
      <c r="EF25" s="191"/>
      <c r="EG25" s="191"/>
      <c r="EH25" s="191"/>
      <c r="EI25" s="191"/>
      <c r="EJ25" s="191"/>
      <c r="EK25" s="191"/>
      <c r="EL25" s="191"/>
      <c r="EM25" s="191"/>
      <c r="EN25" s="191"/>
      <c r="EO25" s="191"/>
      <c r="EP25" s="191"/>
      <c r="EQ25" s="191"/>
      <c r="ER25" s="191"/>
      <c r="ES25" s="191"/>
      <c r="ET25" s="191"/>
      <c r="EU25" s="191"/>
      <c r="EV25" s="191"/>
      <c r="EW25" s="191"/>
      <c r="EX25" s="191"/>
      <c r="EY25" s="191"/>
      <c r="EZ25" s="191"/>
      <c r="FA25" s="191"/>
      <c r="FB25" s="191"/>
      <c r="FC25" s="191"/>
      <c r="FD25" s="191"/>
      <c r="FE25" s="191"/>
      <c r="FF25" s="191"/>
      <c r="FG25" s="191"/>
      <c r="FH25" s="191"/>
      <c r="FI25" s="191"/>
      <c r="FJ25" s="191"/>
      <c r="FK25" s="191"/>
      <c r="FL25" s="191"/>
      <c r="FM25" s="191"/>
      <c r="FN25" s="191"/>
      <c r="FO25" s="191"/>
      <c r="FP25" s="191"/>
      <c r="FQ25" s="191"/>
      <c r="FR25" s="191"/>
      <c r="FS25" s="191"/>
      <c r="FT25" s="191"/>
      <c r="FU25" s="191"/>
      <c r="FV25" s="191"/>
      <c r="FW25" s="191"/>
      <c r="FX25" s="191"/>
      <c r="FY25" s="191"/>
      <c r="FZ25" s="191"/>
      <c r="GA25" s="191"/>
      <c r="GB25" s="191"/>
      <c r="GC25" s="191"/>
      <c r="GD25" s="191"/>
      <c r="GE25" s="191"/>
      <c r="GF25" s="191"/>
      <c r="GG25" s="191"/>
      <c r="GH25" s="191"/>
      <c r="GI25" s="191"/>
      <c r="GJ25" s="191"/>
      <c r="GK25" s="191"/>
      <c r="GL25" s="191"/>
      <c r="GM25" s="191"/>
      <c r="GN25" s="191"/>
      <c r="GO25" s="191"/>
      <c r="GP25" s="191"/>
      <c r="GQ25" s="191"/>
      <c r="GR25" s="191"/>
      <c r="GS25" s="191"/>
      <c r="GT25" s="191"/>
      <c r="GU25" s="191"/>
      <c r="GV25" s="191"/>
      <c r="GW25" s="191"/>
      <c r="GX25" s="191"/>
      <c r="GY25" s="191"/>
      <c r="GZ25" s="191"/>
      <c r="HA25" s="191"/>
      <c r="HB25" s="191"/>
      <c r="HC25" s="191"/>
      <c r="HD25" s="191"/>
      <c r="HE25" s="191"/>
      <c r="HF25" s="191"/>
      <c r="HG25" s="191"/>
      <c r="HH25" s="191"/>
      <c r="HI25" s="191"/>
      <c r="HJ25" s="191"/>
      <c r="HK25" s="191"/>
      <c r="HL25" s="191"/>
      <c r="HM25" s="191"/>
      <c r="HN25" s="191"/>
    </row>
    <row r="26" spans="1:222" ht="15" x14ac:dyDescent="0.25">
      <c r="A26" s="197"/>
      <c r="B26" s="198"/>
      <c r="C26" s="197"/>
      <c r="D26" s="170"/>
      <c r="E26" s="170"/>
      <c r="F26" s="170"/>
      <c r="G26" s="170"/>
      <c r="H26" s="223" t="s">
        <v>92</v>
      </c>
      <c r="I26" s="223"/>
      <c r="J26" s="223"/>
      <c r="K26" s="223"/>
      <c r="L26" s="223" t="s">
        <v>134</v>
      </c>
      <c r="M26" s="223"/>
      <c r="N26" s="223"/>
      <c r="O26" s="223"/>
      <c r="P26" s="223" t="s">
        <v>136</v>
      </c>
      <c r="Q26" s="223"/>
      <c r="R26" s="223"/>
      <c r="S26" s="223"/>
      <c r="T26" s="223" t="s">
        <v>137</v>
      </c>
      <c r="U26" s="223"/>
      <c r="V26" s="223"/>
      <c r="W26" s="223"/>
      <c r="X26" s="223" t="s">
        <v>138</v>
      </c>
      <c r="Y26" s="223"/>
      <c r="Z26" s="223"/>
      <c r="AA26" s="223"/>
      <c r="AB26" s="224" t="s">
        <v>139</v>
      </c>
      <c r="AC26" s="224"/>
      <c r="AD26" s="224"/>
      <c r="AE26" s="224"/>
      <c r="AF26" s="223" t="s">
        <v>140</v>
      </c>
      <c r="AG26" s="223"/>
      <c r="AH26" s="223"/>
      <c r="AI26" s="223"/>
      <c r="AJ26" s="224" t="s">
        <v>166</v>
      </c>
      <c r="AK26" s="224"/>
      <c r="AL26" s="224"/>
      <c r="AM26" s="224"/>
      <c r="AN26" s="189" t="s">
        <v>167</v>
      </c>
      <c r="AO26" s="189" t="s">
        <v>182</v>
      </c>
      <c r="AP26" s="189"/>
      <c r="AQ26" s="189"/>
      <c r="AR26" s="189"/>
      <c r="AS26" s="189"/>
      <c r="AT26" s="189"/>
      <c r="AU26" s="189"/>
      <c r="AV26" s="189"/>
      <c r="AW26" s="189"/>
      <c r="AX26" s="189"/>
      <c r="AY26" s="189"/>
      <c r="AZ26" s="189"/>
      <c r="BA26" s="189"/>
      <c r="BB26" s="189"/>
      <c r="BC26" s="189"/>
      <c r="BD26" s="189"/>
      <c r="BE26" s="189"/>
      <c r="BF26" s="189"/>
      <c r="BG26" s="189"/>
      <c r="BH26" s="189"/>
      <c r="BI26" s="189"/>
      <c r="BJ26" s="189"/>
      <c r="BK26" s="189"/>
      <c r="BL26" s="189"/>
      <c r="BM26" s="189"/>
      <c r="BN26" s="189"/>
      <c r="BO26" s="189"/>
      <c r="BP26" s="189"/>
      <c r="BQ26" s="189"/>
      <c r="BR26" s="189"/>
      <c r="BS26" s="189"/>
      <c r="BT26" s="189"/>
      <c r="BU26" s="189"/>
      <c r="BV26" s="189"/>
      <c r="BW26" s="189"/>
      <c r="BX26" s="189"/>
      <c r="BY26" s="189"/>
      <c r="BZ26" s="189"/>
      <c r="CA26" s="189"/>
      <c r="CB26" s="189"/>
      <c r="CC26" s="189"/>
      <c r="CD26" s="189"/>
      <c r="CE26" s="189"/>
      <c r="CF26" s="189"/>
      <c r="CG26" s="189"/>
      <c r="CH26" s="189"/>
      <c r="CI26" s="189"/>
      <c r="CJ26" s="189"/>
      <c r="CK26" s="189"/>
      <c r="CL26" s="189"/>
      <c r="CM26" s="189"/>
      <c r="CN26" s="189"/>
      <c r="CO26" s="189"/>
      <c r="CP26" s="189"/>
      <c r="CQ26" s="189"/>
      <c r="CR26" s="189"/>
      <c r="CS26" s="189"/>
      <c r="CT26" s="189"/>
      <c r="CU26" s="189"/>
      <c r="CV26" s="189"/>
      <c r="CW26" s="189"/>
      <c r="CX26" s="189"/>
      <c r="CY26" s="189"/>
      <c r="CZ26" s="189"/>
      <c r="DA26" s="189"/>
      <c r="DB26" s="189"/>
      <c r="DC26" s="189"/>
      <c r="DD26" s="189"/>
      <c r="DE26" s="189"/>
      <c r="DF26" s="189"/>
      <c r="DG26" s="189"/>
      <c r="DH26" s="189"/>
      <c r="DI26" s="189"/>
      <c r="DJ26" s="189"/>
      <c r="DK26" s="189"/>
      <c r="DL26" s="189"/>
      <c r="DM26" s="189"/>
      <c r="DN26" s="189"/>
      <c r="DO26" s="189"/>
      <c r="DP26" s="189"/>
      <c r="DQ26" s="189"/>
      <c r="DR26" s="189"/>
      <c r="DS26" s="189"/>
      <c r="DT26" s="189"/>
      <c r="DU26" s="189"/>
      <c r="DV26" s="189"/>
      <c r="DW26" s="189"/>
      <c r="DX26" s="189"/>
      <c r="DY26" s="189"/>
      <c r="DZ26" s="189"/>
      <c r="EA26" s="189"/>
      <c r="EB26" s="189"/>
      <c r="EC26" s="189"/>
      <c r="ED26" s="189"/>
      <c r="EE26" s="189"/>
      <c r="EF26" s="189"/>
      <c r="EG26" s="189"/>
      <c r="EH26" s="189"/>
      <c r="EI26" s="189"/>
      <c r="EJ26" s="189"/>
      <c r="EK26" s="189"/>
      <c r="EL26" s="189"/>
      <c r="EM26" s="189"/>
      <c r="EN26" s="189"/>
      <c r="EO26" s="189"/>
      <c r="EP26" s="189"/>
      <c r="EQ26" s="189"/>
      <c r="ER26" s="189"/>
      <c r="ES26" s="189"/>
      <c r="ET26" s="189"/>
      <c r="EU26" s="189"/>
      <c r="EV26" s="189"/>
      <c r="EW26" s="189"/>
      <c r="EX26" s="189"/>
      <c r="EY26" s="189"/>
      <c r="EZ26" s="189"/>
      <c r="FA26" s="189"/>
      <c r="FB26" s="189"/>
      <c r="FC26" s="189"/>
      <c r="FD26" s="189"/>
      <c r="FE26" s="189"/>
      <c r="FF26" s="189"/>
      <c r="FG26" s="189"/>
      <c r="FH26" s="189"/>
      <c r="FI26" s="189"/>
      <c r="FJ26" s="189"/>
      <c r="FK26" s="189"/>
      <c r="FL26" s="189"/>
      <c r="FM26" s="189"/>
      <c r="FN26" s="189"/>
      <c r="FO26" s="189"/>
      <c r="FP26" s="189"/>
      <c r="FQ26" s="189"/>
      <c r="FR26" s="189"/>
      <c r="FS26" s="189"/>
      <c r="FT26" s="189"/>
      <c r="FU26" s="189"/>
      <c r="FV26" s="189"/>
      <c r="FW26" s="189"/>
      <c r="FX26" s="189"/>
      <c r="FY26" s="189"/>
      <c r="FZ26" s="189"/>
      <c r="GA26" s="189"/>
      <c r="GB26" s="189"/>
      <c r="GC26" s="189"/>
      <c r="GD26" s="189"/>
      <c r="GE26" s="189"/>
      <c r="GF26" s="189"/>
      <c r="GG26" s="189"/>
      <c r="GH26" s="189"/>
      <c r="GI26" s="189"/>
      <c r="GJ26" s="189"/>
      <c r="GK26" s="189"/>
      <c r="GL26" s="189"/>
      <c r="GM26" s="189"/>
      <c r="GN26" s="189"/>
      <c r="GO26" s="189"/>
      <c r="GP26" s="189"/>
      <c r="GQ26" s="189"/>
      <c r="GR26" s="189"/>
      <c r="GS26" s="189"/>
      <c r="GT26" s="189"/>
      <c r="GU26" s="189"/>
      <c r="GV26" s="189"/>
      <c r="GW26" s="189"/>
      <c r="GX26" s="189"/>
      <c r="GY26" s="189"/>
      <c r="GZ26" s="189"/>
      <c r="HA26" s="189"/>
      <c r="HB26" s="189"/>
      <c r="HC26" s="189"/>
      <c r="HD26" s="189"/>
      <c r="HE26" s="189"/>
      <c r="HF26" s="189"/>
      <c r="HG26" s="189"/>
      <c r="HH26" s="189"/>
      <c r="HI26" s="189"/>
      <c r="HJ26" s="189"/>
      <c r="HK26" s="189"/>
      <c r="HL26" s="189"/>
      <c r="HM26" s="189"/>
      <c r="HN26" s="189"/>
    </row>
    <row r="27" spans="1:222" ht="15" x14ac:dyDescent="0.25">
      <c r="A27" s="199"/>
      <c r="B27" s="200" t="s">
        <v>161</v>
      </c>
      <c r="C27" s="199"/>
      <c r="D27" s="169"/>
      <c r="E27" s="188"/>
      <c r="F27" s="188"/>
      <c r="G27" s="188"/>
      <c r="H27" s="188" t="s">
        <v>46</v>
      </c>
      <c r="I27" s="188" t="s">
        <v>47</v>
      </c>
      <c r="J27" s="188" t="s">
        <v>48</v>
      </c>
      <c r="K27" s="188" t="s">
        <v>49</v>
      </c>
      <c r="L27" s="188" t="s">
        <v>46</v>
      </c>
      <c r="M27" s="188" t="s">
        <v>47</v>
      </c>
      <c r="N27" s="188" t="s">
        <v>48</v>
      </c>
      <c r="O27" s="188" t="s">
        <v>49</v>
      </c>
      <c r="P27" s="188" t="s">
        <v>46</v>
      </c>
      <c r="Q27" s="188" t="s">
        <v>47</v>
      </c>
      <c r="R27" s="188" t="s">
        <v>48</v>
      </c>
      <c r="S27" s="188" t="s">
        <v>49</v>
      </c>
      <c r="T27" s="188" t="s">
        <v>46</v>
      </c>
      <c r="U27" s="188" t="s">
        <v>47</v>
      </c>
      <c r="V27" s="188" t="s">
        <v>48</v>
      </c>
      <c r="W27" s="188" t="s">
        <v>49</v>
      </c>
      <c r="X27" s="188" t="s">
        <v>46</v>
      </c>
      <c r="Y27" s="188" t="s">
        <v>47</v>
      </c>
      <c r="Z27" s="188" t="s">
        <v>48</v>
      </c>
      <c r="AA27" s="188" t="s">
        <v>49</v>
      </c>
      <c r="AB27" s="188" t="s">
        <v>46</v>
      </c>
      <c r="AC27" s="188" t="s">
        <v>47</v>
      </c>
      <c r="AD27" s="188" t="s">
        <v>48</v>
      </c>
      <c r="AE27" s="188" t="s">
        <v>49</v>
      </c>
      <c r="AF27" s="188" t="s">
        <v>46</v>
      </c>
      <c r="AG27" s="188" t="s">
        <v>47</v>
      </c>
      <c r="AH27" s="188" t="s">
        <v>48</v>
      </c>
      <c r="AI27" s="188" t="s">
        <v>49</v>
      </c>
      <c r="AJ27" s="188" t="s">
        <v>46</v>
      </c>
      <c r="AK27" s="188" t="s">
        <v>47</v>
      </c>
      <c r="AL27" s="188" t="s">
        <v>48</v>
      </c>
      <c r="AM27" s="188" t="s">
        <v>49</v>
      </c>
      <c r="AN27" s="188" t="s">
        <v>46</v>
      </c>
      <c r="AO27" s="188" t="s">
        <v>47</v>
      </c>
      <c r="AP27" s="199"/>
      <c r="AQ27" s="199"/>
      <c r="AR27" s="199"/>
      <c r="AS27" s="199"/>
      <c r="AT27" s="199"/>
      <c r="AU27" s="199"/>
      <c r="AV27" s="199"/>
      <c r="AW27" s="199"/>
      <c r="AX27" s="199"/>
      <c r="AY27" s="199"/>
      <c r="AZ27" s="199"/>
      <c r="BA27" s="199"/>
      <c r="BB27" s="199"/>
      <c r="BC27" s="199"/>
      <c r="BD27" s="199"/>
      <c r="BE27" s="199"/>
      <c r="BF27" s="199"/>
      <c r="BG27" s="199"/>
      <c r="BH27" s="199"/>
      <c r="BI27" s="199"/>
      <c r="BJ27" s="199"/>
      <c r="BK27" s="199"/>
      <c r="BL27" s="199"/>
      <c r="BM27" s="199"/>
      <c r="BN27" s="199"/>
      <c r="BO27" s="199"/>
      <c r="BP27" s="199"/>
      <c r="BQ27" s="199"/>
      <c r="BR27" s="199"/>
      <c r="BS27" s="199"/>
      <c r="BT27" s="199"/>
      <c r="BU27" s="199"/>
      <c r="BV27" s="199"/>
      <c r="BW27" s="199"/>
      <c r="BX27" s="199"/>
      <c r="BY27" s="199"/>
      <c r="BZ27" s="199"/>
      <c r="CA27" s="199"/>
      <c r="CB27" s="199"/>
      <c r="CC27" s="199"/>
      <c r="CD27" s="199"/>
      <c r="CE27" s="199"/>
      <c r="CF27" s="199"/>
      <c r="CG27" s="199"/>
      <c r="CH27" s="199"/>
      <c r="CI27" s="199"/>
      <c r="CJ27" s="199"/>
      <c r="CK27" s="199"/>
      <c r="CL27" s="199"/>
      <c r="CM27" s="199"/>
      <c r="CN27" s="199"/>
      <c r="CO27" s="199"/>
      <c r="CP27" s="199"/>
      <c r="CQ27" s="199"/>
      <c r="CR27" s="199"/>
      <c r="CS27" s="199"/>
      <c r="CT27" s="199"/>
      <c r="CU27" s="199"/>
      <c r="CV27" s="199"/>
      <c r="CW27" s="199"/>
      <c r="CX27" s="199"/>
      <c r="CY27" s="199"/>
      <c r="CZ27" s="199"/>
      <c r="DA27" s="199"/>
      <c r="DB27" s="199"/>
      <c r="DC27" s="199"/>
      <c r="DD27" s="199"/>
      <c r="DE27" s="199"/>
      <c r="DF27" s="199"/>
      <c r="DG27" s="199"/>
      <c r="DH27" s="199"/>
      <c r="DI27" s="199"/>
      <c r="DJ27" s="199"/>
      <c r="DK27" s="199"/>
      <c r="DL27" s="199"/>
      <c r="DM27" s="199"/>
      <c r="DN27" s="199"/>
      <c r="DO27" s="199"/>
      <c r="DP27" s="199"/>
      <c r="DQ27" s="199"/>
      <c r="DR27" s="199"/>
      <c r="DS27" s="199"/>
      <c r="DT27" s="199"/>
      <c r="DU27" s="199"/>
      <c r="DV27" s="199"/>
      <c r="DW27" s="199"/>
      <c r="DX27" s="199"/>
      <c r="DY27" s="199"/>
      <c r="DZ27" s="199"/>
      <c r="EA27" s="199"/>
      <c r="EB27" s="199"/>
      <c r="EC27" s="199"/>
      <c r="ED27" s="199"/>
      <c r="EE27" s="199"/>
      <c r="EF27" s="199"/>
      <c r="EG27" s="199"/>
      <c r="EH27" s="199"/>
      <c r="EI27" s="199"/>
      <c r="EJ27" s="199"/>
      <c r="EK27" s="199"/>
      <c r="EL27" s="199"/>
      <c r="EM27" s="199"/>
      <c r="EN27" s="199"/>
      <c r="EO27" s="199"/>
      <c r="EP27" s="199"/>
      <c r="EQ27" s="199"/>
      <c r="ER27" s="199"/>
      <c r="ES27" s="199"/>
      <c r="ET27" s="199"/>
      <c r="EU27" s="199"/>
      <c r="EV27" s="199"/>
      <c r="EW27" s="199"/>
      <c r="EX27" s="199"/>
      <c r="EY27" s="199"/>
      <c r="EZ27" s="199"/>
      <c r="FA27" s="199"/>
      <c r="FB27" s="199"/>
      <c r="FC27" s="199"/>
      <c r="FD27" s="199"/>
      <c r="FE27" s="199"/>
      <c r="FF27" s="199"/>
      <c r="FG27" s="199"/>
      <c r="FH27" s="199"/>
      <c r="FI27" s="199"/>
      <c r="FJ27" s="199"/>
      <c r="FK27" s="199"/>
      <c r="FL27" s="199"/>
      <c r="FM27" s="199"/>
      <c r="FN27" s="199"/>
      <c r="FO27" s="199"/>
      <c r="FP27" s="199"/>
      <c r="FQ27" s="199"/>
      <c r="FR27" s="199"/>
      <c r="FS27" s="199"/>
      <c r="FT27" s="199"/>
      <c r="FU27" s="199"/>
      <c r="FV27" s="199"/>
      <c r="FW27" s="199"/>
      <c r="FX27" s="199"/>
      <c r="FY27" s="199"/>
      <c r="FZ27" s="199"/>
      <c r="GA27" s="199"/>
      <c r="GB27" s="199"/>
      <c r="GC27" s="199"/>
      <c r="GD27" s="199"/>
      <c r="GE27" s="199"/>
      <c r="GF27" s="199"/>
      <c r="GG27" s="199"/>
      <c r="GH27" s="199"/>
      <c r="GI27" s="199"/>
      <c r="GJ27" s="199"/>
      <c r="GK27" s="199"/>
      <c r="GL27" s="199"/>
      <c r="GM27" s="199"/>
      <c r="GN27" s="199"/>
      <c r="GO27" s="199"/>
      <c r="GP27" s="199"/>
      <c r="GQ27" s="199"/>
      <c r="GR27" s="199"/>
      <c r="GS27" s="199"/>
      <c r="GT27" s="199"/>
      <c r="GU27" s="199"/>
      <c r="GV27" s="199"/>
      <c r="GW27" s="199"/>
      <c r="GX27" s="199"/>
      <c r="GY27" s="199"/>
      <c r="GZ27" s="199"/>
      <c r="HA27" s="199"/>
      <c r="HB27" s="199"/>
      <c r="HC27" s="199"/>
      <c r="HD27" s="199"/>
      <c r="HE27" s="199"/>
      <c r="HF27" s="199"/>
      <c r="HG27" s="199"/>
      <c r="HH27" s="199"/>
      <c r="HI27" s="199"/>
      <c r="HJ27" s="199"/>
      <c r="HK27" s="199"/>
      <c r="HL27" s="199"/>
      <c r="HM27" s="199"/>
      <c r="HN27" s="199"/>
    </row>
    <row r="28" spans="1:222" ht="15" x14ac:dyDescent="0.25">
      <c r="A28" s="199"/>
      <c r="B28" s="192" t="s">
        <v>160</v>
      </c>
      <c r="C28" s="199"/>
      <c r="D28" s="199">
        <v>0.10583100357370046</v>
      </c>
      <c r="E28" s="199">
        <v>3.632019116936247E-2</v>
      </c>
      <c r="F28" s="199">
        <v>-7.1747352227775618E-3</v>
      </c>
      <c r="G28" s="199">
        <v>1.7659197383915526E-2</v>
      </c>
      <c r="H28" s="199">
        <v>6.3439224710761577E-2</v>
      </c>
      <c r="I28" s="199">
        <v>-3.0257119462990034E-2</v>
      </c>
      <c r="J28" s="199">
        <v>6.2037829924546095E-2</v>
      </c>
      <c r="K28" s="199">
        <v>2.2408959222575575E-2</v>
      </c>
      <c r="L28" s="199">
        <v>-1.8448870939439477E-2</v>
      </c>
      <c r="M28" s="199">
        <v>2.3151556664258166E-2</v>
      </c>
      <c r="N28" s="199">
        <v>3.5826733418055978E-2</v>
      </c>
      <c r="O28" s="199">
        <v>4.5789831469784437E-2</v>
      </c>
      <c r="P28" s="199">
        <v>7.318629358234352E-3</v>
      </c>
      <c r="Q28" s="199">
        <v>1.2980103138054533E-2</v>
      </c>
      <c r="R28" s="199">
        <v>-5.133852167430264E-2</v>
      </c>
      <c r="S28" s="199">
        <v>-6.0467180378680041E-2</v>
      </c>
      <c r="T28" s="199">
        <v>0.10316577573661734</v>
      </c>
      <c r="U28" s="199">
        <v>3.1627570126211868E-2</v>
      </c>
      <c r="V28" s="199">
        <v>1.565917879126455E-2</v>
      </c>
      <c r="W28" s="199">
        <v>2.804419905344524E-3</v>
      </c>
      <c r="X28" s="199">
        <v>-4.5477977636045108E-2</v>
      </c>
      <c r="Y28" s="199">
        <v>3.3013392291731725E-2</v>
      </c>
      <c r="Z28" s="199">
        <v>8.5512196701658105E-2</v>
      </c>
      <c r="AA28" s="199">
        <v>1.9538760904711516E-2</v>
      </c>
      <c r="AB28" s="199">
        <v>-2.8812430476074624E-2</v>
      </c>
      <c r="AC28" s="199">
        <v>-6.2723781035667336E-3</v>
      </c>
      <c r="AD28" s="199">
        <v>4.4388507755601658E-3</v>
      </c>
      <c r="AE28" s="199">
        <v>2.767614165597565E-2</v>
      </c>
      <c r="AF28" s="199">
        <v>1.1285820414872028E-2</v>
      </c>
      <c r="AG28" s="199">
        <v>-9.2809264358481025E-3</v>
      </c>
      <c r="AH28" s="199">
        <v>-2.8954321011729123E-2</v>
      </c>
      <c r="AI28" s="199">
        <v>5.2839779193617264E-2</v>
      </c>
      <c r="AJ28" s="199">
        <v>5.6770343846748395E-2</v>
      </c>
      <c r="AK28" s="199">
        <v>-2.9011881187415933E-2</v>
      </c>
      <c r="AL28" s="199">
        <v>0.12207038027091843</v>
      </c>
      <c r="AM28" s="199">
        <v>-5.286827229370572E-2</v>
      </c>
      <c r="AN28" s="199">
        <v>9.5370522300638916E-2</v>
      </c>
      <c r="AO28" s="199">
        <v>1.1357579948335639E-2</v>
      </c>
      <c r="AP28" s="199"/>
      <c r="AQ28" s="199"/>
      <c r="AR28" s="199"/>
      <c r="AS28" s="199"/>
      <c r="AT28" s="199"/>
      <c r="AU28" s="199"/>
      <c r="AV28" s="199"/>
      <c r="AW28" s="199"/>
      <c r="AX28" s="199"/>
      <c r="AY28" s="199"/>
      <c r="AZ28" s="199"/>
      <c r="BA28" s="199"/>
      <c r="BB28" s="199"/>
      <c r="BC28" s="199"/>
      <c r="BD28" s="199"/>
      <c r="BE28" s="199"/>
      <c r="BF28" s="199"/>
      <c r="BG28" s="199"/>
      <c r="BH28" s="199"/>
      <c r="BI28" s="199"/>
      <c r="BJ28" s="199"/>
      <c r="BK28" s="199"/>
      <c r="BL28" s="199"/>
      <c r="BM28" s="199"/>
      <c r="BN28" s="199"/>
      <c r="BO28" s="199"/>
      <c r="BP28" s="199"/>
      <c r="BQ28" s="199"/>
      <c r="BR28" s="199"/>
      <c r="BS28" s="199"/>
      <c r="BT28" s="199"/>
      <c r="BU28" s="199"/>
      <c r="BV28" s="199"/>
      <c r="BW28" s="199"/>
      <c r="BX28" s="199"/>
      <c r="BY28" s="199"/>
      <c r="BZ28" s="199"/>
      <c r="CA28" s="199"/>
      <c r="CB28" s="199"/>
      <c r="CC28" s="199"/>
      <c r="CD28" s="199"/>
      <c r="CE28" s="199"/>
      <c r="CF28" s="199"/>
      <c r="CG28" s="199"/>
      <c r="CH28" s="199"/>
      <c r="CI28" s="199"/>
      <c r="CJ28" s="199"/>
      <c r="CK28" s="199"/>
      <c r="CL28" s="199"/>
      <c r="CM28" s="199"/>
      <c r="CN28" s="199"/>
      <c r="CO28" s="199"/>
      <c r="CP28" s="199"/>
      <c r="CQ28" s="199"/>
      <c r="CR28" s="199"/>
      <c r="CS28" s="199"/>
      <c r="CT28" s="199"/>
      <c r="CU28" s="199"/>
      <c r="CV28" s="199"/>
      <c r="CW28" s="199"/>
      <c r="CX28" s="199"/>
      <c r="CY28" s="199"/>
      <c r="CZ28" s="199"/>
      <c r="DA28" s="199"/>
      <c r="DB28" s="199"/>
      <c r="DC28" s="199"/>
      <c r="DD28" s="199"/>
      <c r="DE28" s="199"/>
      <c r="DF28" s="199"/>
      <c r="DG28" s="199"/>
      <c r="DH28" s="199"/>
      <c r="DI28" s="199"/>
      <c r="DJ28" s="199"/>
      <c r="DK28" s="199"/>
      <c r="DL28" s="199"/>
      <c r="DM28" s="199"/>
      <c r="DN28" s="199"/>
      <c r="DO28" s="199"/>
      <c r="DP28" s="199"/>
      <c r="DQ28" s="199"/>
      <c r="DR28" s="199"/>
      <c r="DS28" s="199"/>
      <c r="DT28" s="199"/>
      <c r="DU28" s="199"/>
      <c r="DV28" s="199"/>
      <c r="DW28" s="199"/>
      <c r="DX28" s="199"/>
      <c r="DY28" s="199"/>
      <c r="DZ28" s="199"/>
      <c r="EA28" s="199"/>
      <c r="EB28" s="199"/>
      <c r="EC28" s="199"/>
      <c r="ED28" s="199"/>
      <c r="EE28" s="199"/>
      <c r="EF28" s="199"/>
      <c r="EG28" s="199"/>
      <c r="EH28" s="199"/>
      <c r="EI28" s="199"/>
      <c r="EJ28" s="199"/>
      <c r="EK28" s="199"/>
      <c r="EL28" s="199"/>
      <c r="EM28" s="199"/>
      <c r="EN28" s="199"/>
      <c r="EO28" s="199"/>
      <c r="EP28" s="199"/>
      <c r="EQ28" s="199"/>
      <c r="ER28" s="199"/>
      <c r="ES28" s="199"/>
      <c r="ET28" s="199"/>
      <c r="EU28" s="199"/>
      <c r="EV28" s="199"/>
      <c r="EW28" s="199"/>
      <c r="EX28" s="199"/>
      <c r="EY28" s="199"/>
      <c r="EZ28" s="199"/>
      <c r="FA28" s="199"/>
      <c r="FB28" s="199"/>
      <c r="FC28" s="199"/>
      <c r="FD28" s="199"/>
      <c r="FE28" s="199"/>
      <c r="FF28" s="199"/>
      <c r="FG28" s="199"/>
      <c r="FH28" s="199"/>
      <c r="FI28" s="199"/>
      <c r="FJ28" s="199"/>
      <c r="FK28" s="199"/>
      <c r="FL28" s="199"/>
      <c r="FM28" s="199"/>
      <c r="FN28" s="199"/>
      <c r="FO28" s="199"/>
      <c r="FP28" s="199"/>
      <c r="FQ28" s="199"/>
      <c r="FR28" s="199"/>
      <c r="FS28" s="199"/>
      <c r="FT28" s="199"/>
      <c r="FU28" s="199"/>
      <c r="FV28" s="199"/>
      <c r="FW28" s="199"/>
      <c r="FX28" s="199"/>
      <c r="FY28" s="199"/>
      <c r="FZ28" s="199"/>
      <c r="GA28" s="199"/>
      <c r="GB28" s="199"/>
      <c r="GC28" s="199"/>
      <c r="GD28" s="199"/>
      <c r="GE28" s="199"/>
      <c r="GF28" s="199"/>
      <c r="GG28" s="199"/>
      <c r="GH28" s="199"/>
      <c r="GI28" s="199"/>
      <c r="GJ28" s="199"/>
      <c r="GK28" s="199"/>
      <c r="GL28" s="199"/>
      <c r="GM28" s="199"/>
      <c r="GN28" s="199"/>
      <c r="GO28" s="199"/>
      <c r="GP28" s="199"/>
      <c r="GQ28" s="199"/>
      <c r="GR28" s="199"/>
      <c r="GS28" s="199"/>
      <c r="GT28" s="199"/>
      <c r="GU28" s="199"/>
      <c r="GV28" s="199"/>
      <c r="GW28" s="199"/>
      <c r="GX28" s="199"/>
      <c r="GY28" s="199"/>
      <c r="GZ28" s="199"/>
      <c r="HA28" s="199"/>
      <c r="HB28" s="199"/>
      <c r="HC28" s="199"/>
      <c r="HD28" s="199"/>
      <c r="HE28" s="199"/>
      <c r="HF28" s="199"/>
      <c r="HG28" s="199"/>
      <c r="HH28" s="199"/>
      <c r="HI28" s="199"/>
      <c r="HJ28" s="199"/>
      <c r="HK28" s="199"/>
      <c r="HL28" s="199"/>
      <c r="HM28" s="199"/>
      <c r="HN28" s="199"/>
    </row>
    <row r="29" spans="1:222" ht="15" x14ac:dyDescent="0.25">
      <c r="A29" s="199"/>
      <c r="B29" s="193" t="s">
        <v>159</v>
      </c>
      <c r="C29" s="199"/>
      <c r="D29" s="199">
        <v>0.1732625778225938</v>
      </c>
      <c r="E29" s="199">
        <v>-3.2434090156610473E-2</v>
      </c>
      <c r="F29" s="199">
        <v>5.0355342392783164E-2</v>
      </c>
      <c r="G29" s="199">
        <v>8.3817776905752872E-2</v>
      </c>
      <c r="H29" s="199">
        <v>6.8967644740871137E-2</v>
      </c>
      <c r="I29" s="199">
        <v>3.0655913603065965E-3</v>
      </c>
      <c r="J29" s="199">
        <v>2.8697480560292643E-2</v>
      </c>
      <c r="K29" s="199">
        <v>-3.7903916617882394E-2</v>
      </c>
      <c r="L29" s="199">
        <v>3.424927070453343E-2</v>
      </c>
      <c r="M29" s="199">
        <v>1.6492885671713697E-2</v>
      </c>
      <c r="N29" s="199">
        <v>-1.1557203789997583E-2</v>
      </c>
      <c r="O29" s="199">
        <v>0.18645720068734284</v>
      </c>
      <c r="P29" s="199">
        <v>-8.8917631317469437E-2</v>
      </c>
      <c r="Q29" s="199">
        <v>0.1529712918682602</v>
      </c>
      <c r="R29" s="199">
        <v>-3.1280048092432233E-2</v>
      </c>
      <c r="S29" s="199">
        <v>-2.2429170558843081E-3</v>
      </c>
      <c r="T29" s="199">
        <v>-3.883618231495467E-2</v>
      </c>
      <c r="U29" s="199">
        <v>0.13673003572839537</v>
      </c>
      <c r="V29" s="199">
        <v>1.5005539005399582E-2</v>
      </c>
      <c r="W29" s="199">
        <v>-6.6867050062473399E-2</v>
      </c>
      <c r="X29" s="199">
        <v>-2.124616032826121E-2</v>
      </c>
      <c r="Y29" s="199">
        <v>-1.8353494204979559E-2</v>
      </c>
      <c r="Z29" s="199">
        <v>0.20292587033966947</v>
      </c>
      <c r="AA29" s="199">
        <v>7.2422587456490994E-3</v>
      </c>
      <c r="AB29" s="199">
        <v>-1.2256386296565447E-2</v>
      </c>
      <c r="AC29" s="199">
        <v>7.38476341677341E-3</v>
      </c>
      <c r="AD29" s="199">
        <v>-7.1562592830948346E-2</v>
      </c>
      <c r="AE29" s="199">
        <v>-1.7016114718820807E-2</v>
      </c>
      <c r="AF29" s="199">
        <v>8.3593659148645916E-2</v>
      </c>
      <c r="AG29" s="199">
        <v>4.415692901801771E-3</v>
      </c>
      <c r="AH29" s="199">
        <v>0.11174117309046316</v>
      </c>
      <c r="AI29" s="199">
        <v>0.17251244626148132</v>
      </c>
      <c r="AJ29" s="199">
        <v>1.3129170710813653E-2</v>
      </c>
      <c r="AK29" s="199">
        <v>6.0300580171978924E-2</v>
      </c>
      <c r="AL29" s="199">
        <v>7.3222904491580643E-2</v>
      </c>
      <c r="AM29" s="199">
        <v>-1.6144973945468433E-2</v>
      </c>
      <c r="AN29" s="199">
        <v>6.2295449600261454E-2</v>
      </c>
      <c r="AO29" s="199">
        <v>-2.7586261217766084E-2</v>
      </c>
      <c r="AP29" s="199"/>
      <c r="AQ29" s="199"/>
      <c r="AR29" s="199"/>
      <c r="AS29" s="199"/>
      <c r="AT29" s="199"/>
      <c r="AU29" s="199"/>
      <c r="AV29" s="199"/>
      <c r="AW29" s="199"/>
      <c r="AX29" s="199"/>
      <c r="AY29" s="199"/>
      <c r="AZ29" s="199"/>
      <c r="BA29" s="199"/>
      <c r="BB29" s="199"/>
      <c r="BC29" s="199"/>
      <c r="BD29" s="199"/>
      <c r="BE29" s="199"/>
      <c r="BF29" s="199"/>
      <c r="BG29" s="199"/>
      <c r="BH29" s="199"/>
      <c r="BI29" s="199"/>
      <c r="BJ29" s="199"/>
      <c r="BK29" s="199"/>
      <c r="BL29" s="199"/>
      <c r="BM29" s="199"/>
      <c r="BN29" s="199"/>
      <c r="BO29" s="199"/>
      <c r="BP29" s="199"/>
      <c r="BQ29" s="199"/>
      <c r="BR29" s="199"/>
      <c r="BS29" s="199"/>
      <c r="BT29" s="199"/>
      <c r="BU29" s="199"/>
      <c r="BV29" s="199"/>
      <c r="BW29" s="199"/>
      <c r="BX29" s="199"/>
      <c r="BY29" s="199"/>
      <c r="BZ29" s="199"/>
      <c r="CA29" s="199"/>
      <c r="CB29" s="199"/>
      <c r="CC29" s="199"/>
      <c r="CD29" s="199"/>
      <c r="CE29" s="199"/>
      <c r="CF29" s="199"/>
      <c r="CG29" s="199"/>
      <c r="CH29" s="199"/>
      <c r="CI29" s="199"/>
      <c r="CJ29" s="199"/>
      <c r="CK29" s="199"/>
      <c r="CL29" s="199"/>
      <c r="CM29" s="199"/>
      <c r="CN29" s="199"/>
      <c r="CO29" s="199"/>
      <c r="CP29" s="199"/>
      <c r="CQ29" s="199"/>
      <c r="CR29" s="199"/>
      <c r="CS29" s="199"/>
      <c r="CT29" s="199"/>
      <c r="CU29" s="199"/>
      <c r="CV29" s="199"/>
      <c r="CW29" s="199"/>
      <c r="CX29" s="199"/>
      <c r="CY29" s="199"/>
      <c r="CZ29" s="199"/>
      <c r="DA29" s="199"/>
      <c r="DB29" s="199"/>
      <c r="DC29" s="199"/>
      <c r="DD29" s="199"/>
      <c r="DE29" s="199"/>
      <c r="DF29" s="199"/>
      <c r="DG29" s="199"/>
      <c r="DH29" s="199"/>
      <c r="DI29" s="199"/>
      <c r="DJ29" s="199"/>
      <c r="DK29" s="199"/>
      <c r="DL29" s="199"/>
      <c r="DM29" s="199"/>
      <c r="DN29" s="199"/>
      <c r="DO29" s="199"/>
      <c r="DP29" s="199"/>
      <c r="DQ29" s="199"/>
      <c r="DR29" s="199"/>
      <c r="DS29" s="199"/>
      <c r="DT29" s="199"/>
      <c r="DU29" s="199"/>
      <c r="DV29" s="199"/>
      <c r="DW29" s="199"/>
      <c r="DX29" s="199"/>
      <c r="DY29" s="199"/>
      <c r="DZ29" s="199"/>
      <c r="EA29" s="199"/>
      <c r="EB29" s="199"/>
      <c r="EC29" s="199"/>
      <c r="ED29" s="199"/>
      <c r="EE29" s="199"/>
      <c r="EF29" s="199"/>
      <c r="EG29" s="199"/>
      <c r="EH29" s="199"/>
      <c r="EI29" s="199"/>
      <c r="EJ29" s="199"/>
      <c r="EK29" s="199"/>
      <c r="EL29" s="199"/>
      <c r="EM29" s="199"/>
      <c r="EN29" s="199"/>
      <c r="EO29" s="199"/>
      <c r="EP29" s="199"/>
      <c r="EQ29" s="199"/>
      <c r="ER29" s="199"/>
      <c r="ES29" s="199"/>
      <c r="ET29" s="199"/>
      <c r="EU29" s="199"/>
      <c r="EV29" s="199"/>
      <c r="EW29" s="199"/>
      <c r="EX29" s="199"/>
      <c r="EY29" s="199"/>
      <c r="EZ29" s="199"/>
      <c r="FA29" s="199"/>
      <c r="FB29" s="199"/>
      <c r="FC29" s="199"/>
      <c r="FD29" s="199"/>
      <c r="FE29" s="199"/>
      <c r="FF29" s="199"/>
      <c r="FG29" s="199"/>
      <c r="FH29" s="199"/>
      <c r="FI29" s="199"/>
      <c r="FJ29" s="199"/>
      <c r="FK29" s="199"/>
      <c r="FL29" s="199"/>
      <c r="FM29" s="199"/>
      <c r="FN29" s="199"/>
      <c r="FO29" s="199"/>
      <c r="FP29" s="199"/>
      <c r="FQ29" s="199"/>
      <c r="FR29" s="199"/>
      <c r="FS29" s="199"/>
      <c r="FT29" s="199"/>
      <c r="FU29" s="199"/>
      <c r="FV29" s="199"/>
      <c r="FW29" s="199"/>
      <c r="FX29" s="199"/>
      <c r="FY29" s="199"/>
      <c r="FZ29" s="199"/>
      <c r="GA29" s="199"/>
      <c r="GB29" s="199"/>
      <c r="GC29" s="199"/>
      <c r="GD29" s="199"/>
      <c r="GE29" s="199"/>
      <c r="GF29" s="199"/>
      <c r="GG29" s="199"/>
      <c r="GH29" s="199"/>
      <c r="GI29" s="199"/>
      <c r="GJ29" s="199"/>
      <c r="GK29" s="199"/>
      <c r="GL29" s="199"/>
      <c r="GM29" s="199"/>
      <c r="GN29" s="199"/>
      <c r="GO29" s="199"/>
      <c r="GP29" s="199"/>
      <c r="GQ29" s="199"/>
      <c r="GR29" s="199"/>
      <c r="GS29" s="199"/>
      <c r="GT29" s="199"/>
      <c r="GU29" s="199"/>
      <c r="GV29" s="199"/>
      <c r="GW29" s="199"/>
      <c r="GX29" s="199"/>
      <c r="GY29" s="199"/>
      <c r="GZ29" s="199"/>
      <c r="HA29" s="199"/>
      <c r="HB29" s="199"/>
      <c r="HC29" s="199"/>
      <c r="HD29" s="199"/>
      <c r="HE29" s="199"/>
      <c r="HF29" s="199"/>
      <c r="HG29" s="199"/>
      <c r="HH29" s="199"/>
      <c r="HI29" s="199"/>
      <c r="HJ29" s="199"/>
      <c r="HK29" s="199"/>
      <c r="HL29" s="199"/>
      <c r="HM29" s="199"/>
      <c r="HN29" s="199"/>
    </row>
    <row r="30" spans="1:222" ht="15" x14ac:dyDescent="0.25">
      <c r="A30" s="199"/>
      <c r="B30" s="193" t="s">
        <v>158</v>
      </c>
      <c r="C30" s="199"/>
      <c r="D30" s="199">
        <v>2.3029756333772022E-2</v>
      </c>
      <c r="E30" s="199">
        <v>1.8223746176088573E-2</v>
      </c>
      <c r="F30" s="199">
        <v>3.1226539020763333E-2</v>
      </c>
      <c r="G30" s="199">
        <v>2.6770196333007146E-2</v>
      </c>
      <c r="H30" s="199">
        <v>2.960416256677556E-2</v>
      </c>
      <c r="I30" s="199">
        <v>4.0318536441156905E-2</v>
      </c>
      <c r="J30" s="199">
        <v>4.7951013208377802E-2</v>
      </c>
      <c r="K30" s="199">
        <v>4.884180155893314E-2</v>
      </c>
      <c r="L30" s="199">
        <v>5.2947355298882393E-2</v>
      </c>
      <c r="M30" s="199">
        <v>2.1126458073472687E-2</v>
      </c>
      <c r="N30" s="199">
        <v>-1.0270474913413263E-2</v>
      </c>
      <c r="O30" s="199">
        <v>-3.3091601904668977E-2</v>
      </c>
      <c r="P30" s="199">
        <v>-6.4963290510249849E-2</v>
      </c>
      <c r="Q30" s="199">
        <v>-4.923081006094765E-2</v>
      </c>
      <c r="R30" s="199">
        <v>-4.5244670830673295E-2</v>
      </c>
      <c r="S30" s="199">
        <v>-2.3949161911133388E-2</v>
      </c>
      <c r="T30" s="199">
        <v>-8.4899728264232754E-3</v>
      </c>
      <c r="U30" s="199">
        <v>1.1374426382249281E-2</v>
      </c>
      <c r="V30" s="199">
        <v>3.358311371186895E-2</v>
      </c>
      <c r="W30" s="199">
        <v>3.6843083452751113E-2</v>
      </c>
      <c r="X30" s="199">
        <v>3.321272116797247E-2</v>
      </c>
      <c r="Y30" s="199">
        <v>3.3649328585838134E-2</v>
      </c>
      <c r="Z30" s="199">
        <v>2.0058466958773558E-2</v>
      </c>
      <c r="AA30" s="199">
        <v>2.383995919965165E-2</v>
      </c>
      <c r="AB30" s="199">
        <v>2.7902342437858829E-2</v>
      </c>
      <c r="AC30" s="199">
        <v>-5.5330979372993916E-3</v>
      </c>
      <c r="AD30" s="199">
        <v>1.0800379708857832E-2</v>
      </c>
      <c r="AE30" s="199">
        <v>4.101452481383383E-3</v>
      </c>
      <c r="AF30" s="199">
        <v>2.5237412356039934E-2</v>
      </c>
      <c r="AG30" s="199">
        <v>2.3537013222251879E-2</v>
      </c>
      <c r="AH30" s="199">
        <v>-8.6809490301418379E-2</v>
      </c>
      <c r="AI30" s="199">
        <v>1.5636449790902507E-2</v>
      </c>
      <c r="AJ30" s="199">
        <v>-5.1947920100414713E-3</v>
      </c>
      <c r="AK30" s="199">
        <v>5.2379308815955206E-3</v>
      </c>
      <c r="AL30" s="199">
        <v>-0.12357528614086755</v>
      </c>
      <c r="AM30" s="199">
        <v>8.6228337327530546E-2</v>
      </c>
      <c r="AN30" s="199">
        <v>6.3816597072970493E-2</v>
      </c>
      <c r="AO30" s="199">
        <v>-4.6590686026031114E-2</v>
      </c>
      <c r="AP30" s="199"/>
      <c r="AQ30" s="199"/>
      <c r="AR30" s="199"/>
      <c r="AS30" s="199"/>
      <c r="AT30" s="199"/>
      <c r="AU30" s="199"/>
      <c r="AV30" s="199"/>
      <c r="AW30" s="199"/>
      <c r="AX30" s="199"/>
      <c r="AY30" s="199"/>
      <c r="AZ30" s="199"/>
      <c r="BA30" s="199"/>
      <c r="BB30" s="199"/>
      <c r="BC30" s="199"/>
      <c r="BD30" s="199"/>
      <c r="BE30" s="199"/>
      <c r="BF30" s="199"/>
      <c r="BG30" s="199"/>
      <c r="BH30" s="199"/>
      <c r="BI30" s="199"/>
      <c r="BJ30" s="199"/>
      <c r="BK30" s="199"/>
      <c r="BL30" s="199"/>
      <c r="BM30" s="199"/>
      <c r="BN30" s="199"/>
      <c r="BO30" s="199"/>
      <c r="BP30" s="199"/>
      <c r="BQ30" s="199"/>
      <c r="BR30" s="199"/>
      <c r="BS30" s="199"/>
      <c r="BT30" s="199"/>
      <c r="BU30" s="199"/>
      <c r="BV30" s="199"/>
      <c r="BW30" s="199"/>
      <c r="BX30" s="199"/>
      <c r="BY30" s="199"/>
      <c r="BZ30" s="199"/>
      <c r="CA30" s="199"/>
      <c r="CB30" s="199"/>
      <c r="CC30" s="199"/>
      <c r="CD30" s="199"/>
      <c r="CE30" s="199"/>
      <c r="CF30" s="199"/>
      <c r="CG30" s="199"/>
      <c r="CH30" s="199"/>
      <c r="CI30" s="199"/>
      <c r="CJ30" s="199"/>
      <c r="CK30" s="199"/>
      <c r="CL30" s="199"/>
      <c r="CM30" s="199"/>
      <c r="CN30" s="199"/>
      <c r="CO30" s="199"/>
      <c r="CP30" s="199"/>
      <c r="CQ30" s="199"/>
      <c r="CR30" s="199"/>
      <c r="CS30" s="199"/>
      <c r="CT30" s="199"/>
      <c r="CU30" s="199"/>
      <c r="CV30" s="199"/>
      <c r="CW30" s="199"/>
      <c r="CX30" s="199"/>
      <c r="CY30" s="199"/>
      <c r="CZ30" s="199"/>
      <c r="DA30" s="199"/>
      <c r="DB30" s="199"/>
      <c r="DC30" s="199"/>
      <c r="DD30" s="199"/>
      <c r="DE30" s="199"/>
      <c r="DF30" s="199"/>
      <c r="DG30" s="199"/>
      <c r="DH30" s="199"/>
      <c r="DI30" s="199"/>
      <c r="DJ30" s="199"/>
      <c r="DK30" s="199"/>
      <c r="DL30" s="199"/>
      <c r="DM30" s="199"/>
      <c r="DN30" s="199"/>
      <c r="DO30" s="199"/>
      <c r="DP30" s="199"/>
      <c r="DQ30" s="199"/>
      <c r="DR30" s="199"/>
      <c r="DS30" s="199"/>
      <c r="DT30" s="199"/>
      <c r="DU30" s="199"/>
      <c r="DV30" s="199"/>
      <c r="DW30" s="199"/>
      <c r="DX30" s="199"/>
      <c r="DY30" s="199"/>
      <c r="DZ30" s="199"/>
      <c r="EA30" s="199"/>
      <c r="EB30" s="199"/>
      <c r="EC30" s="199"/>
      <c r="ED30" s="199"/>
      <c r="EE30" s="199"/>
      <c r="EF30" s="199"/>
      <c r="EG30" s="199"/>
      <c r="EH30" s="199"/>
      <c r="EI30" s="199"/>
      <c r="EJ30" s="199"/>
      <c r="EK30" s="199"/>
      <c r="EL30" s="199"/>
      <c r="EM30" s="199"/>
      <c r="EN30" s="199"/>
      <c r="EO30" s="199"/>
      <c r="EP30" s="199"/>
      <c r="EQ30" s="199"/>
      <c r="ER30" s="199"/>
      <c r="ES30" s="199"/>
      <c r="ET30" s="199"/>
      <c r="EU30" s="199"/>
      <c r="EV30" s="199"/>
      <c r="EW30" s="199"/>
      <c r="EX30" s="199"/>
      <c r="EY30" s="199"/>
      <c r="EZ30" s="199"/>
      <c r="FA30" s="199"/>
      <c r="FB30" s="199"/>
      <c r="FC30" s="199"/>
      <c r="FD30" s="199"/>
      <c r="FE30" s="199"/>
      <c r="FF30" s="199"/>
      <c r="FG30" s="199"/>
      <c r="FH30" s="199"/>
      <c r="FI30" s="199"/>
      <c r="FJ30" s="199"/>
      <c r="FK30" s="199"/>
      <c r="FL30" s="199"/>
      <c r="FM30" s="199"/>
      <c r="FN30" s="199"/>
      <c r="FO30" s="199"/>
      <c r="FP30" s="199"/>
      <c r="FQ30" s="199"/>
      <c r="FR30" s="199"/>
      <c r="FS30" s="199"/>
      <c r="FT30" s="199"/>
      <c r="FU30" s="199"/>
      <c r="FV30" s="199"/>
      <c r="FW30" s="199"/>
      <c r="FX30" s="199"/>
      <c r="FY30" s="199"/>
      <c r="FZ30" s="199"/>
      <c r="GA30" s="199"/>
      <c r="GB30" s="199"/>
      <c r="GC30" s="199"/>
      <c r="GD30" s="199"/>
      <c r="GE30" s="199"/>
      <c r="GF30" s="199"/>
      <c r="GG30" s="199"/>
      <c r="GH30" s="199"/>
      <c r="GI30" s="199"/>
      <c r="GJ30" s="199"/>
      <c r="GK30" s="199"/>
      <c r="GL30" s="199"/>
      <c r="GM30" s="199"/>
      <c r="GN30" s="199"/>
      <c r="GO30" s="199"/>
      <c r="GP30" s="199"/>
      <c r="GQ30" s="199"/>
      <c r="GR30" s="199"/>
      <c r="GS30" s="199"/>
      <c r="GT30" s="199"/>
      <c r="GU30" s="199"/>
      <c r="GV30" s="199"/>
      <c r="GW30" s="199"/>
      <c r="GX30" s="199"/>
      <c r="GY30" s="199"/>
      <c r="GZ30" s="199"/>
      <c r="HA30" s="199"/>
      <c r="HB30" s="199"/>
      <c r="HC30" s="199"/>
      <c r="HD30" s="199"/>
      <c r="HE30" s="199"/>
      <c r="HF30" s="199"/>
      <c r="HG30" s="199"/>
      <c r="HH30" s="199"/>
      <c r="HI30" s="199"/>
      <c r="HJ30" s="199"/>
      <c r="HK30" s="199"/>
      <c r="HL30" s="199"/>
      <c r="HM30" s="199"/>
      <c r="HN30" s="199"/>
    </row>
    <row r="31" spans="1:222" ht="15" x14ac:dyDescent="0.25">
      <c r="A31" s="199"/>
      <c r="B31" s="193" t="s">
        <v>157</v>
      </c>
      <c r="C31" s="199"/>
      <c r="D31" s="199">
        <v>0.10340390278786638</v>
      </c>
      <c r="E31" s="199">
        <v>4.5622414521784282E-2</v>
      </c>
      <c r="F31" s="199">
        <v>-1.5734651230468688E-2</v>
      </c>
      <c r="G31" s="199">
        <v>9.2787621775938245E-3</v>
      </c>
      <c r="H31" s="199">
        <v>6.4774194034337818E-2</v>
      </c>
      <c r="I31" s="199">
        <v>-3.8626499985348617E-2</v>
      </c>
      <c r="J31" s="199">
        <v>6.7370558667339653E-2</v>
      </c>
      <c r="K31" s="199">
        <v>2.8521897937838769E-2</v>
      </c>
      <c r="L31" s="199">
        <v>-2.9288826856278316E-2</v>
      </c>
      <c r="M31" s="199">
        <v>2.4142851023649659E-2</v>
      </c>
      <c r="N31" s="199">
        <v>4.4995770303541738E-2</v>
      </c>
      <c r="O31" s="199">
        <v>3.3979571703782074E-2</v>
      </c>
      <c r="P31" s="199">
        <v>2.4964010883489651E-2</v>
      </c>
      <c r="Q31" s="199">
        <v>-7.5377563313405727E-4</v>
      </c>
      <c r="R31" s="199">
        <v>-5.4496202526232551E-2</v>
      </c>
      <c r="S31" s="199">
        <v>-7.084225722959292E-2</v>
      </c>
      <c r="T31" s="199">
        <v>0.13148493749044232</v>
      </c>
      <c r="U31" s="199">
        <v>1.8718383241079772E-2</v>
      </c>
      <c r="V31" s="199">
        <v>1.4887554574979367E-2</v>
      </c>
      <c r="W31" s="199">
        <v>1.1406237489390181E-2</v>
      </c>
      <c r="X31" s="199">
        <v>-5.2755734683810784E-2</v>
      </c>
      <c r="Y31" s="199">
        <v>4.0204020696374743E-2</v>
      </c>
      <c r="Z31" s="199">
        <v>7.351272716151902E-2</v>
      </c>
      <c r="AA31" s="199">
        <v>2.114391249161196E-2</v>
      </c>
      <c r="AB31" s="199">
        <v>-3.4202908596013826E-2</v>
      </c>
      <c r="AC31" s="199">
        <v>-8.3628765376646541E-3</v>
      </c>
      <c r="AD31" s="199">
        <v>1.5670362590169074E-2</v>
      </c>
      <c r="AE31" s="199">
        <v>3.5211588463709642E-2</v>
      </c>
      <c r="AF31" s="199">
        <v>9.674177777709847E-4</v>
      </c>
      <c r="AG31" s="199">
        <v>-1.3051138108853277E-2</v>
      </c>
      <c r="AH31" s="199">
        <v>-4.6158822577503034E-2</v>
      </c>
      <c r="AI31" s="199">
        <v>3.4541281415819025E-2</v>
      </c>
      <c r="AJ31" s="199">
        <v>6.8502376522900255E-2</v>
      </c>
      <c r="AK31" s="199">
        <v>-4.7032221780758277E-2</v>
      </c>
      <c r="AL31" s="199">
        <v>0.1449508200013232</v>
      </c>
      <c r="AM31" s="199">
        <v>-6.5477535639669071E-2</v>
      </c>
      <c r="AN31" s="199">
        <v>0.10348231389882101</v>
      </c>
      <c r="AO31" s="199">
        <v>2.1495461602815569E-2</v>
      </c>
      <c r="AP31" s="199"/>
      <c r="AQ31" s="199"/>
      <c r="AR31" s="199"/>
      <c r="AS31" s="199"/>
      <c r="AT31" s="199"/>
      <c r="AU31" s="199"/>
      <c r="AV31" s="199"/>
      <c r="AW31" s="199"/>
      <c r="AX31" s="199"/>
      <c r="AY31" s="199"/>
      <c r="AZ31" s="199"/>
      <c r="BA31" s="199"/>
      <c r="BB31" s="199"/>
      <c r="BC31" s="199"/>
      <c r="BD31" s="199"/>
      <c r="BE31" s="199"/>
      <c r="BF31" s="199"/>
      <c r="BG31" s="199"/>
      <c r="BH31" s="199"/>
      <c r="BI31" s="199"/>
      <c r="BJ31" s="199"/>
      <c r="BK31" s="199"/>
      <c r="BL31" s="199"/>
      <c r="BM31" s="199"/>
      <c r="BN31" s="199"/>
      <c r="BO31" s="199"/>
      <c r="BP31" s="199"/>
      <c r="BQ31" s="199"/>
      <c r="BR31" s="199"/>
      <c r="BS31" s="199"/>
      <c r="BT31" s="199"/>
      <c r="BU31" s="199"/>
      <c r="BV31" s="199"/>
      <c r="BW31" s="199"/>
      <c r="BX31" s="199"/>
      <c r="BY31" s="199"/>
      <c r="BZ31" s="199"/>
      <c r="CA31" s="199"/>
      <c r="CB31" s="199"/>
      <c r="CC31" s="199"/>
      <c r="CD31" s="199"/>
      <c r="CE31" s="199"/>
      <c r="CF31" s="199"/>
      <c r="CG31" s="199"/>
      <c r="CH31" s="199"/>
      <c r="CI31" s="199"/>
      <c r="CJ31" s="199"/>
      <c r="CK31" s="199"/>
      <c r="CL31" s="199"/>
      <c r="CM31" s="199"/>
      <c r="CN31" s="199"/>
      <c r="CO31" s="199"/>
      <c r="CP31" s="199"/>
      <c r="CQ31" s="199"/>
      <c r="CR31" s="199"/>
      <c r="CS31" s="199"/>
      <c r="CT31" s="199"/>
      <c r="CU31" s="199"/>
      <c r="CV31" s="199"/>
      <c r="CW31" s="199"/>
      <c r="CX31" s="199"/>
      <c r="CY31" s="199"/>
      <c r="CZ31" s="199"/>
      <c r="DA31" s="199"/>
      <c r="DB31" s="199"/>
      <c r="DC31" s="199"/>
      <c r="DD31" s="199"/>
      <c r="DE31" s="199"/>
      <c r="DF31" s="199"/>
      <c r="DG31" s="199"/>
      <c r="DH31" s="199"/>
      <c r="DI31" s="199"/>
      <c r="DJ31" s="199"/>
      <c r="DK31" s="199"/>
      <c r="DL31" s="199"/>
      <c r="DM31" s="199"/>
      <c r="DN31" s="199"/>
      <c r="DO31" s="199"/>
      <c r="DP31" s="199"/>
      <c r="DQ31" s="199"/>
      <c r="DR31" s="199"/>
      <c r="DS31" s="199"/>
      <c r="DT31" s="199"/>
      <c r="DU31" s="199"/>
      <c r="DV31" s="199"/>
      <c r="DW31" s="199"/>
      <c r="DX31" s="199"/>
      <c r="DY31" s="199"/>
      <c r="DZ31" s="199"/>
      <c r="EA31" s="199"/>
      <c r="EB31" s="199"/>
      <c r="EC31" s="199"/>
      <c r="ED31" s="199"/>
      <c r="EE31" s="199"/>
      <c r="EF31" s="199"/>
      <c r="EG31" s="199"/>
      <c r="EH31" s="199"/>
      <c r="EI31" s="199"/>
      <c r="EJ31" s="199"/>
      <c r="EK31" s="199"/>
      <c r="EL31" s="199"/>
      <c r="EM31" s="199"/>
      <c r="EN31" s="199"/>
      <c r="EO31" s="199"/>
      <c r="EP31" s="199"/>
      <c r="EQ31" s="199"/>
      <c r="ER31" s="199"/>
      <c r="ES31" s="199"/>
      <c r="ET31" s="199"/>
      <c r="EU31" s="199"/>
      <c r="EV31" s="199"/>
      <c r="EW31" s="199"/>
      <c r="EX31" s="199"/>
      <c r="EY31" s="199"/>
      <c r="EZ31" s="199"/>
      <c r="FA31" s="199"/>
      <c r="FB31" s="199"/>
      <c r="FC31" s="199"/>
      <c r="FD31" s="199"/>
      <c r="FE31" s="199"/>
      <c r="FF31" s="199"/>
      <c r="FG31" s="199"/>
      <c r="FH31" s="199"/>
      <c r="FI31" s="199"/>
      <c r="FJ31" s="199"/>
      <c r="FK31" s="199"/>
      <c r="FL31" s="199"/>
      <c r="FM31" s="199"/>
      <c r="FN31" s="199"/>
      <c r="FO31" s="199"/>
      <c r="FP31" s="199"/>
      <c r="FQ31" s="199"/>
      <c r="FR31" s="199"/>
      <c r="FS31" s="199"/>
      <c r="FT31" s="199"/>
      <c r="FU31" s="199"/>
      <c r="FV31" s="199"/>
      <c r="FW31" s="199"/>
      <c r="FX31" s="199"/>
      <c r="FY31" s="199"/>
      <c r="FZ31" s="199"/>
      <c r="GA31" s="199"/>
      <c r="GB31" s="199"/>
      <c r="GC31" s="199"/>
      <c r="GD31" s="199"/>
      <c r="GE31" s="199"/>
      <c r="GF31" s="199"/>
      <c r="GG31" s="199"/>
      <c r="GH31" s="199"/>
      <c r="GI31" s="199"/>
      <c r="GJ31" s="199"/>
      <c r="GK31" s="199"/>
      <c r="GL31" s="199"/>
      <c r="GM31" s="199"/>
      <c r="GN31" s="199"/>
      <c r="GO31" s="199"/>
      <c r="GP31" s="199"/>
      <c r="GQ31" s="199"/>
      <c r="GR31" s="199"/>
      <c r="GS31" s="199"/>
      <c r="GT31" s="199"/>
      <c r="GU31" s="199"/>
      <c r="GV31" s="199"/>
      <c r="GW31" s="199"/>
      <c r="GX31" s="199"/>
      <c r="GY31" s="199"/>
      <c r="GZ31" s="199"/>
      <c r="HA31" s="199"/>
      <c r="HB31" s="199"/>
      <c r="HC31" s="199"/>
      <c r="HD31" s="199"/>
      <c r="HE31" s="199"/>
      <c r="HF31" s="199"/>
      <c r="HG31" s="199"/>
      <c r="HH31" s="199"/>
      <c r="HI31" s="199"/>
      <c r="HJ31" s="199"/>
      <c r="HK31" s="199"/>
      <c r="HL31" s="199"/>
      <c r="HM31" s="199"/>
      <c r="HN31" s="199"/>
    </row>
    <row r="32" spans="1:222" s="207" customFormat="1" ht="15" x14ac:dyDescent="0.25">
      <c r="A32" s="200"/>
      <c r="B32" s="192" t="s">
        <v>156</v>
      </c>
      <c r="C32" s="200"/>
      <c r="D32" s="200">
        <v>2.3135011356576696E-2</v>
      </c>
      <c r="E32" s="200">
        <v>5.1521098110045571E-2</v>
      </c>
      <c r="F32" s="200">
        <v>-1.2450477005462202E-2</v>
      </c>
      <c r="G32" s="200">
        <v>-8.6092753374306108E-3</v>
      </c>
      <c r="H32" s="200">
        <v>8.9574834051377783E-2</v>
      </c>
      <c r="I32" s="200">
        <v>-7.6186247910725591E-4</v>
      </c>
      <c r="J32" s="200">
        <v>1.1752152038565056E-2</v>
      </c>
      <c r="K32" s="200">
        <v>7.1980264049682496E-3</v>
      </c>
      <c r="L32" s="200">
        <v>5.4702109360456719E-2</v>
      </c>
      <c r="M32" s="200">
        <v>2.8335363545455294E-3</v>
      </c>
      <c r="N32" s="200">
        <v>2.7945681345214579E-2</v>
      </c>
      <c r="O32" s="200">
        <v>5.6106593414818606E-2</v>
      </c>
      <c r="P32" s="200">
        <v>-4.0760812236559696E-2</v>
      </c>
      <c r="Q32" s="200">
        <v>-2.7130506446657598E-3</v>
      </c>
      <c r="R32" s="200">
        <v>5.4105834459881041E-2</v>
      </c>
      <c r="S32" s="200">
        <v>-0.15169603119991315</v>
      </c>
      <c r="T32" s="200">
        <v>4.0719183001665105E-3</v>
      </c>
      <c r="U32" s="200">
        <v>0.18954649450519634</v>
      </c>
      <c r="V32" s="200">
        <v>1.4616908917322036E-2</v>
      </c>
      <c r="W32" s="200">
        <v>-2.6417862250330826E-3</v>
      </c>
      <c r="X32" s="200">
        <v>2.1859770472952844E-2</v>
      </c>
      <c r="Y32" s="200">
        <v>3.685556526210565E-2</v>
      </c>
      <c r="Z32" s="200">
        <v>-5.2647243477787375E-2</v>
      </c>
      <c r="AA32" s="200">
        <v>1.5617881966638159E-2</v>
      </c>
      <c r="AB32" s="200">
        <v>3.5676095840131428E-2</v>
      </c>
      <c r="AC32" s="200">
        <v>5.9626491332160914E-3</v>
      </c>
      <c r="AD32" s="200">
        <v>-1.8635297269036455E-2</v>
      </c>
      <c r="AE32" s="200">
        <v>4.6658042079221307E-2</v>
      </c>
      <c r="AF32" s="200">
        <v>1.9960410111224069E-2</v>
      </c>
      <c r="AG32" s="200">
        <v>-2.4276681241536258E-2</v>
      </c>
      <c r="AH32" s="200">
        <v>5.9743714831653749E-2</v>
      </c>
      <c r="AI32" s="200">
        <v>3.246327884274014E-2</v>
      </c>
      <c r="AJ32" s="200">
        <v>-3.1713918556678156E-2</v>
      </c>
      <c r="AK32" s="200">
        <v>1.9297180795144087E-2</v>
      </c>
      <c r="AL32" s="200">
        <v>7.4527321840938798E-2</v>
      </c>
      <c r="AM32" s="200">
        <v>1.1717983570224799E-2</v>
      </c>
      <c r="AN32" s="200">
        <v>2.3751848156106758E-2</v>
      </c>
      <c r="AO32" s="200">
        <v>3.6952021051057216E-2</v>
      </c>
      <c r="AP32" s="200"/>
      <c r="AQ32" s="200"/>
      <c r="AR32" s="200"/>
      <c r="AS32" s="200"/>
      <c r="AT32" s="200"/>
      <c r="AU32" s="200"/>
      <c r="AV32" s="200"/>
      <c r="AW32" s="200"/>
      <c r="AX32" s="200"/>
      <c r="AY32" s="200"/>
      <c r="AZ32" s="200"/>
      <c r="BA32" s="200"/>
      <c r="BB32" s="200"/>
      <c r="BC32" s="200"/>
      <c r="BD32" s="200"/>
      <c r="BE32" s="200"/>
      <c r="BF32" s="200"/>
      <c r="BG32" s="200"/>
      <c r="BH32" s="200"/>
      <c r="BI32" s="200"/>
      <c r="BJ32" s="200"/>
      <c r="BK32" s="200"/>
      <c r="BL32" s="200"/>
      <c r="BM32" s="200"/>
      <c r="BN32" s="200"/>
      <c r="BO32" s="200"/>
      <c r="BP32" s="200"/>
      <c r="BQ32" s="200"/>
      <c r="BR32" s="200"/>
      <c r="BS32" s="200"/>
      <c r="BT32" s="200"/>
      <c r="BU32" s="200"/>
      <c r="BV32" s="200"/>
      <c r="BW32" s="200"/>
      <c r="BX32" s="200"/>
      <c r="BY32" s="200"/>
      <c r="BZ32" s="200"/>
      <c r="CA32" s="200"/>
      <c r="CB32" s="200"/>
      <c r="CC32" s="200"/>
      <c r="CD32" s="200"/>
      <c r="CE32" s="200"/>
      <c r="CF32" s="200"/>
      <c r="CG32" s="200"/>
      <c r="CH32" s="200"/>
      <c r="CI32" s="200"/>
      <c r="CJ32" s="200"/>
      <c r="CK32" s="200"/>
      <c r="CL32" s="200"/>
      <c r="CM32" s="200"/>
      <c r="CN32" s="200"/>
      <c r="CO32" s="200"/>
      <c r="CP32" s="200"/>
      <c r="CQ32" s="200"/>
      <c r="CR32" s="200"/>
      <c r="CS32" s="200"/>
      <c r="CT32" s="200"/>
      <c r="CU32" s="200"/>
      <c r="CV32" s="200"/>
      <c r="CW32" s="200"/>
      <c r="CX32" s="200"/>
      <c r="CY32" s="200"/>
      <c r="CZ32" s="200"/>
      <c r="DA32" s="200"/>
      <c r="DB32" s="200"/>
      <c r="DC32" s="200"/>
      <c r="DD32" s="200"/>
      <c r="DE32" s="200"/>
      <c r="DF32" s="200"/>
      <c r="DG32" s="200"/>
      <c r="DH32" s="200"/>
      <c r="DI32" s="200"/>
      <c r="DJ32" s="200"/>
      <c r="DK32" s="200"/>
      <c r="DL32" s="200"/>
      <c r="DM32" s="200"/>
      <c r="DN32" s="200"/>
      <c r="DO32" s="200"/>
      <c r="DP32" s="200"/>
      <c r="DQ32" s="200"/>
      <c r="DR32" s="200"/>
      <c r="DS32" s="200"/>
      <c r="DT32" s="200"/>
      <c r="DU32" s="200"/>
      <c r="DV32" s="200"/>
      <c r="DW32" s="200"/>
      <c r="DX32" s="200"/>
      <c r="DY32" s="200"/>
      <c r="DZ32" s="200"/>
      <c r="EA32" s="200"/>
      <c r="EB32" s="200"/>
      <c r="EC32" s="200"/>
      <c r="ED32" s="200"/>
      <c r="EE32" s="200"/>
      <c r="EF32" s="200"/>
      <c r="EG32" s="200"/>
      <c r="EH32" s="200"/>
      <c r="EI32" s="200"/>
      <c r="EJ32" s="200"/>
      <c r="EK32" s="200"/>
      <c r="EL32" s="200"/>
      <c r="EM32" s="200"/>
      <c r="EN32" s="200"/>
      <c r="EO32" s="200"/>
      <c r="EP32" s="200"/>
      <c r="EQ32" s="200"/>
      <c r="ER32" s="200"/>
      <c r="ES32" s="200"/>
      <c r="ET32" s="200"/>
      <c r="EU32" s="200"/>
      <c r="EV32" s="200"/>
      <c r="EW32" s="200"/>
      <c r="EX32" s="200"/>
      <c r="EY32" s="200"/>
      <c r="EZ32" s="200"/>
      <c r="FA32" s="200"/>
      <c r="FB32" s="200"/>
      <c r="FC32" s="200"/>
      <c r="FD32" s="200"/>
      <c r="FE32" s="200"/>
      <c r="FF32" s="200"/>
      <c r="FG32" s="200"/>
      <c r="FH32" s="200"/>
      <c r="FI32" s="200"/>
      <c r="FJ32" s="200"/>
      <c r="FK32" s="200"/>
      <c r="FL32" s="200"/>
      <c r="FM32" s="200"/>
      <c r="FN32" s="200"/>
      <c r="FO32" s="200"/>
      <c r="FP32" s="200"/>
      <c r="FQ32" s="200"/>
      <c r="FR32" s="200"/>
      <c r="FS32" s="200"/>
      <c r="FT32" s="200"/>
      <c r="FU32" s="200"/>
      <c r="FV32" s="200"/>
      <c r="FW32" s="200"/>
      <c r="FX32" s="200"/>
      <c r="FY32" s="200"/>
      <c r="FZ32" s="200"/>
      <c r="GA32" s="200"/>
      <c r="GB32" s="200"/>
      <c r="GC32" s="200"/>
      <c r="GD32" s="200"/>
      <c r="GE32" s="200"/>
      <c r="GF32" s="200"/>
      <c r="GG32" s="200"/>
      <c r="GH32" s="200"/>
      <c r="GI32" s="200"/>
      <c r="GJ32" s="200"/>
      <c r="GK32" s="200"/>
      <c r="GL32" s="200"/>
      <c r="GM32" s="200"/>
      <c r="GN32" s="200"/>
      <c r="GO32" s="200"/>
      <c r="GP32" s="200"/>
      <c r="GQ32" s="200"/>
      <c r="GR32" s="200"/>
      <c r="GS32" s="200"/>
      <c r="GT32" s="200"/>
      <c r="GU32" s="200"/>
      <c r="GV32" s="200"/>
      <c r="GW32" s="200"/>
      <c r="GX32" s="200"/>
      <c r="GY32" s="200"/>
      <c r="GZ32" s="200"/>
      <c r="HA32" s="200"/>
      <c r="HB32" s="200"/>
      <c r="HC32" s="200"/>
      <c r="HD32" s="200"/>
      <c r="HE32" s="200"/>
      <c r="HF32" s="200"/>
      <c r="HG32" s="200"/>
      <c r="HH32" s="200"/>
      <c r="HI32" s="200"/>
      <c r="HJ32" s="200"/>
      <c r="HK32" s="200"/>
      <c r="HL32" s="200"/>
      <c r="HM32" s="200"/>
      <c r="HN32" s="200"/>
    </row>
    <row r="33" spans="1:222" ht="15" x14ac:dyDescent="0.25">
      <c r="A33" s="199"/>
      <c r="B33" s="193" t="s">
        <v>155</v>
      </c>
      <c r="C33" s="199"/>
      <c r="D33" s="199">
        <v>-1.9786863760953288E-3</v>
      </c>
      <c r="E33" s="199">
        <v>-1.922932590718851E-4</v>
      </c>
      <c r="F33" s="199">
        <v>1.6302368588581029E-3</v>
      </c>
      <c r="G33" s="199">
        <v>3.4722583213966374E-3</v>
      </c>
      <c r="H33" s="199">
        <v>5.3286228353770504E-3</v>
      </c>
      <c r="I33" s="199">
        <v>4.8839679808911907E-3</v>
      </c>
      <c r="J33" s="199">
        <v>4.4439847479558203E-3</v>
      </c>
      <c r="K33" s="199">
        <v>3.9997554950161884E-3</v>
      </c>
      <c r="L33" s="199">
        <v>3.5548981710242789E-3</v>
      </c>
      <c r="M33" s="199">
        <v>3.6588047274521696E-3</v>
      </c>
      <c r="N33" s="199">
        <v>3.7672516563709291E-3</v>
      </c>
      <c r="O33" s="199">
        <v>3.8730701350926378E-3</v>
      </c>
      <c r="P33" s="199">
        <v>3.9806916445597196E-3</v>
      </c>
      <c r="Q33" s="199">
        <v>3.9528475629366788E-3</v>
      </c>
      <c r="R33" s="199">
        <v>3.930011342846651E-3</v>
      </c>
      <c r="S33" s="199">
        <v>3.9036346417427037E-3</v>
      </c>
      <c r="T33" s="199">
        <v>3.8778965471089055E-3</v>
      </c>
      <c r="U33" s="199">
        <v>3.8823948131734287E-3</v>
      </c>
      <c r="V33" s="199">
        <v>3.8908450666632621E-3</v>
      </c>
      <c r="W33" s="199">
        <v>3.8962320412181395E-3</v>
      </c>
      <c r="X33" s="199">
        <v>3.9026954642391587E-3</v>
      </c>
      <c r="Y33" s="199">
        <v>3.8992932669601466E-3</v>
      </c>
      <c r="Z33" s="199">
        <v>3.9003259283376668E-3</v>
      </c>
      <c r="AA33" s="199">
        <v>3.8983187358134774E-3</v>
      </c>
      <c r="AB33" s="199">
        <v>3.8958956494103969E-3</v>
      </c>
      <c r="AC33" s="199">
        <v>3.8958311951091673E-3</v>
      </c>
      <c r="AD33" s="199">
        <v>3.8979277772996923E-3</v>
      </c>
      <c r="AE33" s="199">
        <v>3.8978278120678223E-3</v>
      </c>
      <c r="AF33" s="199">
        <v>3.8973833314035478E-3</v>
      </c>
      <c r="AG33" s="199">
        <v>3.8970032239860064E-3</v>
      </c>
      <c r="AH33" s="199">
        <v>3.8982533401532571E-3</v>
      </c>
      <c r="AI33" s="199">
        <v>3.8979853104272877E-3</v>
      </c>
      <c r="AJ33" s="199">
        <v>3.896889038714102E-3</v>
      </c>
      <c r="AK33" s="199">
        <v>3.8971169182770993E-3</v>
      </c>
      <c r="AL33" s="199">
        <v>3.8978219247982615E-3</v>
      </c>
      <c r="AM33" s="199">
        <v>3.8978430132976527E-3</v>
      </c>
      <c r="AN33" s="199">
        <v>3.8972590620560688E-3</v>
      </c>
      <c r="AO33" s="199">
        <v>3.8971594413492738E-3</v>
      </c>
      <c r="AP33" s="199"/>
      <c r="AQ33" s="199"/>
      <c r="AR33" s="199"/>
      <c r="AS33" s="199"/>
      <c r="AT33" s="199"/>
      <c r="AU33" s="199"/>
      <c r="AV33" s="199"/>
      <c r="AW33" s="199"/>
      <c r="AX33" s="199"/>
      <c r="AY33" s="199"/>
      <c r="AZ33" s="199"/>
      <c r="BA33" s="199"/>
      <c r="BB33" s="199"/>
      <c r="BC33" s="199"/>
      <c r="BD33" s="199"/>
      <c r="BE33" s="199"/>
      <c r="BF33" s="199"/>
      <c r="BG33" s="199"/>
      <c r="BH33" s="199"/>
      <c r="BI33" s="199"/>
      <c r="BJ33" s="199"/>
      <c r="BK33" s="199"/>
      <c r="BL33" s="199"/>
      <c r="BM33" s="199"/>
      <c r="BN33" s="199"/>
      <c r="BO33" s="199"/>
      <c r="BP33" s="199"/>
      <c r="BQ33" s="199"/>
      <c r="BR33" s="199"/>
      <c r="BS33" s="199"/>
      <c r="BT33" s="199"/>
      <c r="BU33" s="199"/>
      <c r="BV33" s="199"/>
      <c r="BW33" s="199"/>
      <c r="BX33" s="199"/>
      <c r="BY33" s="199"/>
      <c r="BZ33" s="199"/>
      <c r="CA33" s="199"/>
      <c r="CB33" s="199"/>
      <c r="CC33" s="199"/>
      <c r="CD33" s="199"/>
      <c r="CE33" s="199"/>
      <c r="CF33" s="199"/>
      <c r="CG33" s="199"/>
      <c r="CH33" s="199"/>
      <c r="CI33" s="199"/>
      <c r="CJ33" s="199"/>
      <c r="CK33" s="199"/>
      <c r="CL33" s="199"/>
      <c r="CM33" s="199"/>
      <c r="CN33" s="199"/>
      <c r="CO33" s="199"/>
      <c r="CP33" s="199"/>
      <c r="CQ33" s="199"/>
      <c r="CR33" s="199"/>
      <c r="CS33" s="199"/>
      <c r="CT33" s="199"/>
      <c r="CU33" s="199"/>
      <c r="CV33" s="199"/>
      <c r="CW33" s="199"/>
      <c r="CX33" s="199"/>
      <c r="CY33" s="199"/>
      <c r="CZ33" s="199"/>
      <c r="DA33" s="199"/>
      <c r="DB33" s="199"/>
      <c r="DC33" s="199"/>
      <c r="DD33" s="199"/>
      <c r="DE33" s="199"/>
      <c r="DF33" s="199"/>
      <c r="DG33" s="199"/>
      <c r="DH33" s="199"/>
      <c r="DI33" s="199"/>
      <c r="DJ33" s="199"/>
      <c r="DK33" s="199"/>
      <c r="DL33" s="199"/>
      <c r="DM33" s="199"/>
      <c r="DN33" s="199"/>
      <c r="DO33" s="199"/>
      <c r="DP33" s="199"/>
      <c r="DQ33" s="199"/>
      <c r="DR33" s="199"/>
      <c r="DS33" s="199"/>
      <c r="DT33" s="199"/>
      <c r="DU33" s="199"/>
      <c r="DV33" s="199"/>
      <c r="DW33" s="199"/>
      <c r="DX33" s="199"/>
      <c r="DY33" s="199"/>
      <c r="DZ33" s="199"/>
      <c r="EA33" s="199"/>
      <c r="EB33" s="199"/>
      <c r="EC33" s="199"/>
      <c r="ED33" s="199"/>
      <c r="EE33" s="199"/>
      <c r="EF33" s="199"/>
      <c r="EG33" s="199"/>
      <c r="EH33" s="199"/>
      <c r="EI33" s="199"/>
      <c r="EJ33" s="199"/>
      <c r="EK33" s="199"/>
      <c r="EL33" s="199"/>
      <c r="EM33" s="199"/>
      <c r="EN33" s="199"/>
      <c r="EO33" s="199"/>
      <c r="EP33" s="199"/>
      <c r="EQ33" s="199"/>
      <c r="ER33" s="199"/>
      <c r="ES33" s="199"/>
      <c r="ET33" s="199"/>
      <c r="EU33" s="199"/>
      <c r="EV33" s="199"/>
      <c r="EW33" s="199"/>
      <c r="EX33" s="199"/>
      <c r="EY33" s="199"/>
      <c r="EZ33" s="199"/>
      <c r="FA33" s="199"/>
      <c r="FB33" s="199"/>
      <c r="FC33" s="199"/>
      <c r="FD33" s="199"/>
      <c r="FE33" s="199"/>
      <c r="FF33" s="199"/>
      <c r="FG33" s="199"/>
      <c r="FH33" s="199"/>
      <c r="FI33" s="199"/>
      <c r="FJ33" s="199"/>
      <c r="FK33" s="199"/>
      <c r="FL33" s="199"/>
      <c r="FM33" s="199"/>
      <c r="FN33" s="199"/>
      <c r="FO33" s="199"/>
      <c r="FP33" s="199"/>
      <c r="FQ33" s="199"/>
      <c r="FR33" s="199"/>
      <c r="FS33" s="199"/>
      <c r="FT33" s="199"/>
      <c r="FU33" s="199"/>
      <c r="FV33" s="199"/>
      <c r="FW33" s="199"/>
      <c r="FX33" s="199"/>
      <c r="FY33" s="199"/>
      <c r="FZ33" s="199"/>
      <c r="GA33" s="199"/>
      <c r="GB33" s="199"/>
      <c r="GC33" s="199"/>
      <c r="GD33" s="199"/>
      <c r="GE33" s="199"/>
      <c r="GF33" s="199"/>
      <c r="GG33" s="199"/>
      <c r="GH33" s="199"/>
      <c r="GI33" s="199"/>
      <c r="GJ33" s="199"/>
      <c r="GK33" s="199"/>
      <c r="GL33" s="199"/>
      <c r="GM33" s="199"/>
      <c r="GN33" s="199"/>
      <c r="GO33" s="199"/>
      <c r="GP33" s="199"/>
      <c r="GQ33" s="199"/>
      <c r="GR33" s="199"/>
      <c r="GS33" s="199"/>
      <c r="GT33" s="199"/>
      <c r="GU33" s="199"/>
      <c r="GV33" s="199"/>
      <c r="GW33" s="199"/>
      <c r="GX33" s="199"/>
      <c r="GY33" s="199"/>
      <c r="GZ33" s="199"/>
      <c r="HA33" s="199"/>
      <c r="HB33" s="199"/>
      <c r="HC33" s="199"/>
      <c r="HD33" s="199"/>
      <c r="HE33" s="199"/>
      <c r="HF33" s="199"/>
      <c r="HG33" s="199"/>
      <c r="HH33" s="199"/>
      <c r="HI33" s="199"/>
      <c r="HJ33" s="199"/>
      <c r="HK33" s="199"/>
      <c r="HL33" s="199"/>
      <c r="HM33" s="199"/>
      <c r="HN33" s="199"/>
    </row>
    <row r="34" spans="1:222" ht="15" x14ac:dyDescent="0.25">
      <c r="A34" s="199"/>
      <c r="B34" s="193" t="s">
        <v>154</v>
      </c>
      <c r="C34" s="199"/>
      <c r="D34" s="199">
        <v>0.15274235031319261</v>
      </c>
      <c r="E34" s="199">
        <v>6.7769203752757079E-2</v>
      </c>
      <c r="F34" s="199">
        <v>-2.2025834831240432E-2</v>
      </c>
      <c r="G34" s="199">
        <v>-2.036253641245489E-4</v>
      </c>
      <c r="H34" s="199">
        <v>2.2516314900874468E-2</v>
      </c>
      <c r="I34" s="199">
        <v>-1.9520154389988109E-3</v>
      </c>
      <c r="J34" s="199">
        <v>9.0143478305751312E-2</v>
      </c>
      <c r="K34" s="199">
        <v>2.9057477567542955E-2</v>
      </c>
      <c r="L34" s="199">
        <v>2.2160691476484473E-2</v>
      </c>
      <c r="M34" s="199">
        <v>8.2016134673095209E-3</v>
      </c>
      <c r="N34" s="199">
        <v>2.0105610782277017E-2</v>
      </c>
      <c r="O34" s="199">
        <v>4.915530582968386E-2</v>
      </c>
      <c r="P34" s="199">
        <v>-1.1529077008699762E-2</v>
      </c>
      <c r="Q34" s="199">
        <v>4.8336913313473451E-2</v>
      </c>
      <c r="R34" s="199">
        <v>-4.9363466080856178E-3</v>
      </c>
      <c r="S34" s="199">
        <v>-8.3378842076125448E-2</v>
      </c>
      <c r="T34" s="199">
        <v>-0.12890899420505553</v>
      </c>
      <c r="U34" s="199">
        <v>0.25917542973102559</v>
      </c>
      <c r="V34" s="199">
        <v>3.3800684517183432E-2</v>
      </c>
      <c r="W34" s="199">
        <v>5.3968887568293766E-2</v>
      </c>
      <c r="X34" s="199">
        <v>7.2314398928413182E-2</v>
      </c>
      <c r="Y34" s="199">
        <v>-2.7448532975768436E-2</v>
      </c>
      <c r="Z34" s="199">
        <v>-8.3247160540160459E-2</v>
      </c>
      <c r="AA34" s="199">
        <v>3.3929012406536341E-2</v>
      </c>
      <c r="AB34" s="199">
        <v>4.4594203386437936E-2</v>
      </c>
      <c r="AC34" s="199">
        <v>-2.8743650092483253E-2</v>
      </c>
      <c r="AD34" s="199">
        <v>9.5907826879937375E-3</v>
      </c>
      <c r="AE34" s="199">
        <v>-9.2188421689431976E-3</v>
      </c>
      <c r="AF34" s="199">
        <v>7.2020873816538211E-2</v>
      </c>
      <c r="AG34" s="199">
        <v>-7.6664111732195006E-2</v>
      </c>
      <c r="AH34" s="199">
        <v>7.824896870687903E-2</v>
      </c>
      <c r="AI34" s="199">
        <v>5.297120701905178E-2</v>
      </c>
      <c r="AJ34" s="199">
        <v>-2.1000558055985774E-3</v>
      </c>
      <c r="AK34" s="199">
        <v>5.7239696318173827E-2</v>
      </c>
      <c r="AL34" s="199">
        <v>0.1097260554359325</v>
      </c>
      <c r="AM34" s="199">
        <v>-6.4746193414921827E-4</v>
      </c>
      <c r="AN34" s="199">
        <v>1.2536054604399771E-2</v>
      </c>
      <c r="AO34" s="199">
        <v>3.9763697028568412E-2</v>
      </c>
      <c r="AP34" s="199"/>
      <c r="AQ34" s="199"/>
      <c r="AR34" s="199"/>
      <c r="AS34" s="199"/>
      <c r="AT34" s="199"/>
      <c r="AU34" s="199"/>
      <c r="AV34" s="199"/>
      <c r="AW34" s="199"/>
      <c r="AX34" s="199"/>
      <c r="AY34" s="199"/>
      <c r="AZ34" s="199"/>
      <c r="BA34" s="199"/>
      <c r="BB34" s="199"/>
      <c r="BC34" s="199"/>
      <c r="BD34" s="199"/>
      <c r="BE34" s="199"/>
      <c r="BF34" s="199"/>
      <c r="BG34" s="199"/>
      <c r="BH34" s="199"/>
      <c r="BI34" s="199"/>
      <c r="BJ34" s="199"/>
      <c r="BK34" s="199"/>
      <c r="BL34" s="199"/>
      <c r="BM34" s="199"/>
      <c r="BN34" s="199"/>
      <c r="BO34" s="199"/>
      <c r="BP34" s="199"/>
      <c r="BQ34" s="199"/>
      <c r="BR34" s="199"/>
      <c r="BS34" s="199"/>
      <c r="BT34" s="199"/>
      <c r="BU34" s="199"/>
      <c r="BV34" s="199"/>
      <c r="BW34" s="199"/>
      <c r="BX34" s="199"/>
      <c r="BY34" s="199"/>
      <c r="BZ34" s="199"/>
      <c r="CA34" s="199"/>
      <c r="CB34" s="199"/>
      <c r="CC34" s="199"/>
      <c r="CD34" s="199"/>
      <c r="CE34" s="199"/>
      <c r="CF34" s="199"/>
      <c r="CG34" s="199"/>
      <c r="CH34" s="199"/>
      <c r="CI34" s="199"/>
      <c r="CJ34" s="199"/>
      <c r="CK34" s="199"/>
      <c r="CL34" s="199"/>
      <c r="CM34" s="199"/>
      <c r="CN34" s="199"/>
      <c r="CO34" s="199"/>
      <c r="CP34" s="199"/>
      <c r="CQ34" s="199"/>
      <c r="CR34" s="199"/>
      <c r="CS34" s="199"/>
      <c r="CT34" s="199"/>
      <c r="CU34" s="199"/>
      <c r="CV34" s="199"/>
      <c r="CW34" s="199"/>
      <c r="CX34" s="199"/>
      <c r="CY34" s="199"/>
      <c r="CZ34" s="199"/>
      <c r="DA34" s="199"/>
      <c r="DB34" s="199"/>
      <c r="DC34" s="199"/>
      <c r="DD34" s="199"/>
      <c r="DE34" s="199"/>
      <c r="DF34" s="199"/>
      <c r="DG34" s="199"/>
      <c r="DH34" s="199"/>
      <c r="DI34" s="199"/>
      <c r="DJ34" s="199"/>
      <c r="DK34" s="199"/>
      <c r="DL34" s="199"/>
      <c r="DM34" s="199"/>
      <c r="DN34" s="199"/>
      <c r="DO34" s="199"/>
      <c r="DP34" s="199"/>
      <c r="DQ34" s="199"/>
      <c r="DR34" s="199"/>
      <c r="DS34" s="199"/>
      <c r="DT34" s="199"/>
      <c r="DU34" s="199"/>
      <c r="DV34" s="199"/>
      <c r="DW34" s="199"/>
      <c r="DX34" s="199"/>
      <c r="DY34" s="199"/>
      <c r="DZ34" s="199"/>
      <c r="EA34" s="199"/>
      <c r="EB34" s="199"/>
      <c r="EC34" s="199"/>
      <c r="ED34" s="199"/>
      <c r="EE34" s="199"/>
      <c r="EF34" s="199"/>
      <c r="EG34" s="199"/>
      <c r="EH34" s="199"/>
      <c r="EI34" s="199"/>
      <c r="EJ34" s="199"/>
      <c r="EK34" s="199"/>
      <c r="EL34" s="199"/>
      <c r="EM34" s="199"/>
      <c r="EN34" s="199"/>
      <c r="EO34" s="199"/>
      <c r="EP34" s="199"/>
      <c r="EQ34" s="199"/>
      <c r="ER34" s="199"/>
      <c r="ES34" s="199"/>
      <c r="ET34" s="199"/>
      <c r="EU34" s="199"/>
      <c r="EV34" s="199"/>
      <c r="EW34" s="199"/>
      <c r="EX34" s="199"/>
      <c r="EY34" s="199"/>
      <c r="EZ34" s="199"/>
      <c r="FA34" s="199"/>
      <c r="FB34" s="199"/>
      <c r="FC34" s="199"/>
      <c r="FD34" s="199"/>
      <c r="FE34" s="199"/>
      <c r="FF34" s="199"/>
      <c r="FG34" s="199"/>
      <c r="FH34" s="199"/>
      <c r="FI34" s="199"/>
      <c r="FJ34" s="199"/>
      <c r="FK34" s="199"/>
      <c r="FL34" s="199"/>
      <c r="FM34" s="199"/>
      <c r="FN34" s="199"/>
      <c r="FO34" s="199"/>
      <c r="FP34" s="199"/>
      <c r="FQ34" s="199"/>
      <c r="FR34" s="199"/>
      <c r="FS34" s="199"/>
      <c r="FT34" s="199"/>
      <c r="FU34" s="199"/>
      <c r="FV34" s="199"/>
      <c r="FW34" s="199"/>
      <c r="FX34" s="199"/>
      <c r="FY34" s="199"/>
      <c r="FZ34" s="199"/>
      <c r="GA34" s="199"/>
      <c r="GB34" s="199"/>
      <c r="GC34" s="199"/>
      <c r="GD34" s="199"/>
      <c r="GE34" s="199"/>
      <c r="GF34" s="199"/>
      <c r="GG34" s="199"/>
      <c r="GH34" s="199"/>
      <c r="GI34" s="199"/>
      <c r="GJ34" s="199"/>
      <c r="GK34" s="199"/>
      <c r="GL34" s="199"/>
      <c r="GM34" s="199"/>
      <c r="GN34" s="199"/>
      <c r="GO34" s="199"/>
      <c r="GP34" s="199"/>
      <c r="GQ34" s="199"/>
      <c r="GR34" s="199"/>
      <c r="GS34" s="199"/>
      <c r="GT34" s="199"/>
      <c r="GU34" s="199"/>
      <c r="GV34" s="199"/>
      <c r="GW34" s="199"/>
      <c r="GX34" s="199"/>
      <c r="GY34" s="199"/>
      <c r="GZ34" s="199"/>
      <c r="HA34" s="199"/>
      <c r="HB34" s="199"/>
      <c r="HC34" s="199"/>
      <c r="HD34" s="199"/>
      <c r="HE34" s="199"/>
      <c r="HF34" s="199"/>
      <c r="HG34" s="199"/>
      <c r="HH34" s="199"/>
      <c r="HI34" s="199"/>
      <c r="HJ34" s="199"/>
      <c r="HK34" s="199"/>
      <c r="HL34" s="199"/>
      <c r="HM34" s="199"/>
      <c r="HN34" s="199"/>
    </row>
    <row r="35" spans="1:222" ht="15" x14ac:dyDescent="0.25">
      <c r="A35" s="199"/>
      <c r="B35" s="193" t="s">
        <v>153</v>
      </c>
      <c r="C35" s="199"/>
      <c r="D35" s="199">
        <v>9.6228293436249501E-2</v>
      </c>
      <c r="E35" s="199">
        <v>2.4471509703156036E-2</v>
      </c>
      <c r="F35" s="199">
        <v>-2.1123558980173596E-2</v>
      </c>
      <c r="G35" s="199">
        <v>-4.7111445080623371E-2</v>
      </c>
      <c r="H35" s="199">
        <v>6.3418367320133617E-2</v>
      </c>
      <c r="I35" s="199">
        <v>2.6499922649460661E-2</v>
      </c>
      <c r="J35" s="199">
        <v>1.657685942005882E-3</v>
      </c>
      <c r="K35" s="199">
        <v>0.13442207842827703</v>
      </c>
      <c r="L35" s="199">
        <v>2.9168131442176559E-3</v>
      </c>
      <c r="M35" s="199">
        <v>4.941601039230803E-2</v>
      </c>
      <c r="N35" s="199">
        <v>1.2355012553452838E-2</v>
      </c>
      <c r="O35" s="199">
        <v>2.0368146833752654E-2</v>
      </c>
      <c r="P35" s="199">
        <v>-1.1686401510606292E-2</v>
      </c>
      <c r="Q35" s="199">
        <v>1.9447574168693027E-2</v>
      </c>
      <c r="R35" s="199">
        <v>3.9530933815468794E-2</v>
      </c>
      <c r="S35" s="199">
        <v>-9.0566842321264662E-2</v>
      </c>
      <c r="T35" s="199">
        <v>-9.4779898203324109E-2</v>
      </c>
      <c r="U35" s="199">
        <v>0.26960883653366352</v>
      </c>
      <c r="V35" s="199">
        <v>2.8712546089009638E-2</v>
      </c>
      <c r="W35" s="199">
        <v>-1.4411396245320063E-2</v>
      </c>
      <c r="X35" s="199">
        <v>-4.0811214542951779E-3</v>
      </c>
      <c r="Y35" s="199">
        <v>-1.8920641840854513E-2</v>
      </c>
      <c r="Z35" s="199">
        <v>-7.0571491128347819E-2</v>
      </c>
      <c r="AA35" s="199">
        <v>1.3584815379261705E-2</v>
      </c>
      <c r="AB35" s="199">
        <v>0.10512408923014993</v>
      </c>
      <c r="AC35" s="199">
        <v>4.5007528472953418E-3</v>
      </c>
      <c r="AD35" s="199">
        <v>-6.9205479191758457E-5</v>
      </c>
      <c r="AE35" s="199">
        <v>4.2164709965857083E-2</v>
      </c>
      <c r="AF35" s="199">
        <v>1.5491744851361622E-2</v>
      </c>
      <c r="AG35" s="199">
        <v>7.7100698235776921E-3</v>
      </c>
      <c r="AH35" s="199">
        <v>2.5597604968805143E-2</v>
      </c>
      <c r="AI35" s="199">
        <v>6.9016374990653162E-2</v>
      </c>
      <c r="AJ35" s="199">
        <v>-2.9638224136407376E-2</v>
      </c>
      <c r="AK35" s="199">
        <v>-2.6434702368641982E-2</v>
      </c>
      <c r="AL35" s="199">
        <v>0.13138140947368915</v>
      </c>
      <c r="AM35" s="199">
        <v>2.1207429800597311E-2</v>
      </c>
      <c r="AN35" s="199">
        <v>-2.7105632044463257E-2</v>
      </c>
      <c r="AO35" s="199">
        <v>8.2810593545408873E-2</v>
      </c>
      <c r="AP35" s="199"/>
      <c r="AQ35" s="199"/>
      <c r="AR35" s="199"/>
      <c r="AS35" s="199"/>
      <c r="AT35" s="199"/>
      <c r="AU35" s="199"/>
      <c r="AV35" s="199"/>
      <c r="AW35" s="199"/>
      <c r="AX35" s="199"/>
      <c r="AY35" s="199"/>
      <c r="AZ35" s="199"/>
      <c r="BA35" s="199"/>
      <c r="BB35" s="199"/>
      <c r="BC35" s="199"/>
      <c r="BD35" s="199"/>
      <c r="BE35" s="199"/>
      <c r="BF35" s="199"/>
      <c r="BG35" s="199"/>
      <c r="BH35" s="199"/>
      <c r="BI35" s="199"/>
      <c r="BJ35" s="199"/>
      <c r="BK35" s="199"/>
      <c r="BL35" s="199"/>
      <c r="BM35" s="199"/>
      <c r="BN35" s="199"/>
      <c r="BO35" s="199"/>
      <c r="BP35" s="199"/>
      <c r="BQ35" s="199"/>
      <c r="BR35" s="199"/>
      <c r="BS35" s="199"/>
      <c r="BT35" s="199"/>
      <c r="BU35" s="199"/>
      <c r="BV35" s="199"/>
      <c r="BW35" s="199"/>
      <c r="BX35" s="199"/>
      <c r="BY35" s="199"/>
      <c r="BZ35" s="199"/>
      <c r="CA35" s="199"/>
      <c r="CB35" s="199"/>
      <c r="CC35" s="199"/>
      <c r="CD35" s="199"/>
      <c r="CE35" s="199"/>
      <c r="CF35" s="199"/>
      <c r="CG35" s="199"/>
      <c r="CH35" s="199"/>
      <c r="CI35" s="199"/>
      <c r="CJ35" s="199"/>
      <c r="CK35" s="199"/>
      <c r="CL35" s="199"/>
      <c r="CM35" s="199"/>
      <c r="CN35" s="199"/>
      <c r="CO35" s="199"/>
      <c r="CP35" s="199"/>
      <c r="CQ35" s="199"/>
      <c r="CR35" s="199"/>
      <c r="CS35" s="199"/>
      <c r="CT35" s="199"/>
      <c r="CU35" s="199"/>
      <c r="CV35" s="199"/>
      <c r="CW35" s="199"/>
      <c r="CX35" s="199"/>
      <c r="CY35" s="199"/>
      <c r="CZ35" s="199"/>
      <c r="DA35" s="199"/>
      <c r="DB35" s="199"/>
      <c r="DC35" s="199"/>
      <c r="DD35" s="199"/>
      <c r="DE35" s="199"/>
      <c r="DF35" s="199"/>
      <c r="DG35" s="199"/>
      <c r="DH35" s="199"/>
      <c r="DI35" s="199"/>
      <c r="DJ35" s="199"/>
      <c r="DK35" s="199"/>
      <c r="DL35" s="199"/>
      <c r="DM35" s="199"/>
      <c r="DN35" s="199"/>
      <c r="DO35" s="199"/>
      <c r="DP35" s="199"/>
      <c r="DQ35" s="199"/>
      <c r="DR35" s="199"/>
      <c r="DS35" s="199"/>
      <c r="DT35" s="199"/>
      <c r="DU35" s="199"/>
      <c r="DV35" s="199"/>
      <c r="DW35" s="199"/>
      <c r="DX35" s="199"/>
      <c r="DY35" s="199"/>
      <c r="DZ35" s="199"/>
      <c r="EA35" s="199"/>
      <c r="EB35" s="199"/>
      <c r="EC35" s="199"/>
      <c r="ED35" s="199"/>
      <c r="EE35" s="199"/>
      <c r="EF35" s="199"/>
      <c r="EG35" s="199"/>
      <c r="EH35" s="199"/>
      <c r="EI35" s="199"/>
      <c r="EJ35" s="199"/>
      <c r="EK35" s="199"/>
      <c r="EL35" s="199"/>
      <c r="EM35" s="199"/>
      <c r="EN35" s="199"/>
      <c r="EO35" s="199"/>
      <c r="EP35" s="199"/>
      <c r="EQ35" s="199"/>
      <c r="ER35" s="199"/>
      <c r="ES35" s="199"/>
      <c r="ET35" s="199"/>
      <c r="EU35" s="199"/>
      <c r="EV35" s="199"/>
      <c r="EW35" s="199"/>
      <c r="EX35" s="199"/>
      <c r="EY35" s="199"/>
      <c r="EZ35" s="199"/>
      <c r="FA35" s="199"/>
      <c r="FB35" s="199"/>
      <c r="FC35" s="199"/>
      <c r="FD35" s="199"/>
      <c r="FE35" s="199"/>
      <c r="FF35" s="199"/>
      <c r="FG35" s="199"/>
      <c r="FH35" s="199"/>
      <c r="FI35" s="199"/>
      <c r="FJ35" s="199"/>
      <c r="FK35" s="199"/>
      <c r="FL35" s="199"/>
      <c r="FM35" s="199"/>
      <c r="FN35" s="199"/>
      <c r="FO35" s="199"/>
      <c r="FP35" s="199"/>
      <c r="FQ35" s="199"/>
      <c r="FR35" s="199"/>
      <c r="FS35" s="199"/>
      <c r="FT35" s="199"/>
      <c r="FU35" s="199"/>
      <c r="FV35" s="199"/>
      <c r="FW35" s="199"/>
      <c r="FX35" s="199"/>
      <c r="FY35" s="199"/>
      <c r="FZ35" s="199"/>
      <c r="GA35" s="199"/>
      <c r="GB35" s="199"/>
      <c r="GC35" s="199"/>
      <c r="GD35" s="199"/>
      <c r="GE35" s="199"/>
      <c r="GF35" s="199"/>
      <c r="GG35" s="199"/>
      <c r="GH35" s="199"/>
      <c r="GI35" s="199"/>
      <c r="GJ35" s="199"/>
      <c r="GK35" s="199"/>
      <c r="GL35" s="199"/>
      <c r="GM35" s="199"/>
      <c r="GN35" s="199"/>
      <c r="GO35" s="199"/>
      <c r="GP35" s="199"/>
      <c r="GQ35" s="199"/>
      <c r="GR35" s="199"/>
      <c r="GS35" s="199"/>
      <c r="GT35" s="199"/>
      <c r="GU35" s="199"/>
      <c r="GV35" s="199"/>
      <c r="GW35" s="199"/>
      <c r="GX35" s="199"/>
      <c r="GY35" s="199"/>
      <c r="GZ35" s="199"/>
      <c r="HA35" s="199"/>
      <c r="HB35" s="199"/>
      <c r="HC35" s="199"/>
      <c r="HD35" s="199"/>
      <c r="HE35" s="199"/>
      <c r="HF35" s="199"/>
      <c r="HG35" s="199"/>
      <c r="HH35" s="199"/>
      <c r="HI35" s="199"/>
      <c r="HJ35" s="199"/>
      <c r="HK35" s="199"/>
      <c r="HL35" s="199"/>
      <c r="HM35" s="199"/>
      <c r="HN35" s="199"/>
    </row>
    <row r="36" spans="1:222" ht="15" x14ac:dyDescent="0.25">
      <c r="A36" s="199"/>
      <c r="B36" s="193" t="s">
        <v>152</v>
      </c>
      <c r="C36" s="199"/>
      <c r="D36" s="199">
        <v>3.3214665507267815E-2</v>
      </c>
      <c r="E36" s="199">
        <v>0.17208927193438694</v>
      </c>
      <c r="F36" s="199">
        <v>-0.13123999806902431</v>
      </c>
      <c r="G36" s="199">
        <v>-0.10581206718089142</v>
      </c>
      <c r="H36" s="199">
        <v>0.51761464224344245</v>
      </c>
      <c r="I36" s="199">
        <v>3.0381672049939468E-2</v>
      </c>
      <c r="J36" s="199">
        <v>-5.7564749856537034E-2</v>
      </c>
      <c r="K36" s="199">
        <v>-2.1836886395159349E-2</v>
      </c>
      <c r="L36" s="199">
        <v>-4.819952900333202E-2</v>
      </c>
      <c r="M36" s="199">
        <v>-2.7657602695198125E-2</v>
      </c>
      <c r="N36" s="199">
        <v>-4.5554765238156381E-2</v>
      </c>
      <c r="O36" s="199">
        <v>1.5234585936441558E-2</v>
      </c>
      <c r="P36" s="199">
        <v>-2.7005774439514574E-2</v>
      </c>
      <c r="Q36" s="199">
        <v>-0.10633657231056759</v>
      </c>
      <c r="R36" s="199">
        <v>1.7492779288257987E-2</v>
      </c>
      <c r="S36" s="199">
        <v>-0.60402307161253033</v>
      </c>
      <c r="T36" s="199">
        <v>1.4838381211018721</v>
      </c>
      <c r="U36" s="199">
        <v>-2.0938325044345341E-2</v>
      </c>
      <c r="V36" s="199">
        <v>0.25851832215759019</v>
      </c>
      <c r="W36" s="199">
        <v>-0.1312126735767134</v>
      </c>
      <c r="X36" s="199">
        <v>2.27015839323923E-2</v>
      </c>
      <c r="Y36" s="199">
        <v>0.13472668817829891</v>
      </c>
      <c r="Z36" s="199">
        <v>-0.12728345323969936</v>
      </c>
      <c r="AA36" s="199">
        <v>8.2302260865137145E-2</v>
      </c>
      <c r="AB36" s="199">
        <v>-2.1122189336513886E-2</v>
      </c>
      <c r="AC36" s="199">
        <v>-9.6276692409003495E-2</v>
      </c>
      <c r="AD36" s="199">
        <v>0.15555865365098276</v>
      </c>
      <c r="AE36" s="199">
        <v>4.9566684141977291E-3</v>
      </c>
      <c r="AF36" s="199">
        <v>-0.12501605861656917</v>
      </c>
      <c r="AG36" s="199">
        <v>-6.2251680845914481E-2</v>
      </c>
      <c r="AH36" s="199">
        <v>0.10110402347553249</v>
      </c>
      <c r="AI36" s="199">
        <v>-5.230960692840636E-2</v>
      </c>
      <c r="AJ36" s="199">
        <v>9.5838100644463076E-4</v>
      </c>
      <c r="AK36" s="199">
        <v>0.45492675081999723</v>
      </c>
      <c r="AL36" s="199">
        <v>-0.22309232930111011</v>
      </c>
      <c r="AM36" s="199">
        <v>0.18625531762466685</v>
      </c>
      <c r="AN36" s="199">
        <v>0.16014204079978422</v>
      </c>
      <c r="AO36" s="199">
        <v>-5.7857119500330567E-2</v>
      </c>
      <c r="AP36" s="199"/>
      <c r="AQ36" s="199"/>
      <c r="AR36" s="199"/>
      <c r="AS36" s="199"/>
      <c r="AT36" s="199"/>
      <c r="AU36" s="199"/>
      <c r="AV36" s="199"/>
      <c r="AW36" s="199"/>
      <c r="AX36" s="199"/>
      <c r="AY36" s="199"/>
      <c r="AZ36" s="199"/>
      <c r="BA36" s="199"/>
      <c r="BB36" s="199"/>
      <c r="BC36" s="199"/>
      <c r="BD36" s="199"/>
      <c r="BE36" s="199"/>
      <c r="BF36" s="199"/>
      <c r="BG36" s="199"/>
      <c r="BH36" s="199"/>
      <c r="BI36" s="199"/>
      <c r="BJ36" s="199"/>
      <c r="BK36" s="199"/>
      <c r="BL36" s="199"/>
      <c r="BM36" s="199"/>
      <c r="BN36" s="199"/>
      <c r="BO36" s="199"/>
      <c r="BP36" s="199"/>
      <c r="BQ36" s="199"/>
      <c r="BR36" s="199"/>
      <c r="BS36" s="199"/>
      <c r="BT36" s="199"/>
      <c r="BU36" s="199"/>
      <c r="BV36" s="199"/>
      <c r="BW36" s="199"/>
      <c r="BX36" s="199"/>
      <c r="BY36" s="199"/>
      <c r="BZ36" s="199"/>
      <c r="CA36" s="199"/>
      <c r="CB36" s="199"/>
      <c r="CC36" s="199"/>
      <c r="CD36" s="199"/>
      <c r="CE36" s="199"/>
      <c r="CF36" s="199"/>
      <c r="CG36" s="199"/>
      <c r="CH36" s="199"/>
      <c r="CI36" s="199"/>
      <c r="CJ36" s="199"/>
      <c r="CK36" s="199"/>
      <c r="CL36" s="199"/>
      <c r="CM36" s="199"/>
      <c r="CN36" s="199"/>
      <c r="CO36" s="199"/>
      <c r="CP36" s="199"/>
      <c r="CQ36" s="199"/>
      <c r="CR36" s="199"/>
      <c r="CS36" s="199"/>
      <c r="CT36" s="199"/>
      <c r="CU36" s="199"/>
      <c r="CV36" s="199"/>
      <c r="CW36" s="199"/>
      <c r="CX36" s="199"/>
      <c r="CY36" s="199"/>
      <c r="CZ36" s="199"/>
      <c r="DA36" s="199"/>
      <c r="DB36" s="199"/>
      <c r="DC36" s="199"/>
      <c r="DD36" s="199"/>
      <c r="DE36" s="199"/>
      <c r="DF36" s="199"/>
      <c r="DG36" s="199"/>
      <c r="DH36" s="199"/>
      <c r="DI36" s="199"/>
      <c r="DJ36" s="199"/>
      <c r="DK36" s="199"/>
      <c r="DL36" s="199"/>
      <c r="DM36" s="199"/>
      <c r="DN36" s="199"/>
      <c r="DO36" s="199"/>
      <c r="DP36" s="199"/>
      <c r="DQ36" s="199"/>
      <c r="DR36" s="199"/>
      <c r="DS36" s="199"/>
      <c r="DT36" s="199"/>
      <c r="DU36" s="199"/>
      <c r="DV36" s="199"/>
      <c r="DW36" s="199"/>
      <c r="DX36" s="199"/>
      <c r="DY36" s="199"/>
      <c r="DZ36" s="199"/>
      <c r="EA36" s="199"/>
      <c r="EB36" s="199"/>
      <c r="EC36" s="199"/>
      <c r="ED36" s="199"/>
      <c r="EE36" s="199"/>
      <c r="EF36" s="199"/>
      <c r="EG36" s="199"/>
      <c r="EH36" s="199"/>
      <c r="EI36" s="199"/>
      <c r="EJ36" s="199"/>
      <c r="EK36" s="199"/>
      <c r="EL36" s="199"/>
      <c r="EM36" s="199"/>
      <c r="EN36" s="199"/>
      <c r="EO36" s="199"/>
      <c r="EP36" s="199"/>
      <c r="EQ36" s="199"/>
      <c r="ER36" s="199"/>
      <c r="ES36" s="199"/>
      <c r="ET36" s="199"/>
      <c r="EU36" s="199"/>
      <c r="EV36" s="199"/>
      <c r="EW36" s="199"/>
      <c r="EX36" s="199"/>
      <c r="EY36" s="199"/>
      <c r="EZ36" s="199"/>
      <c r="FA36" s="199"/>
      <c r="FB36" s="199"/>
      <c r="FC36" s="199"/>
      <c r="FD36" s="199"/>
      <c r="FE36" s="199"/>
      <c r="FF36" s="199"/>
      <c r="FG36" s="199"/>
      <c r="FH36" s="199"/>
      <c r="FI36" s="199"/>
      <c r="FJ36" s="199"/>
      <c r="FK36" s="199"/>
      <c r="FL36" s="199"/>
      <c r="FM36" s="199"/>
      <c r="FN36" s="199"/>
      <c r="FO36" s="199"/>
      <c r="FP36" s="199"/>
      <c r="FQ36" s="199"/>
      <c r="FR36" s="199"/>
      <c r="FS36" s="199"/>
      <c r="FT36" s="199"/>
      <c r="FU36" s="199"/>
      <c r="FV36" s="199"/>
      <c r="FW36" s="199"/>
      <c r="FX36" s="199"/>
      <c r="FY36" s="199"/>
      <c r="FZ36" s="199"/>
      <c r="GA36" s="199"/>
      <c r="GB36" s="199"/>
      <c r="GC36" s="199"/>
      <c r="GD36" s="199"/>
      <c r="GE36" s="199"/>
      <c r="GF36" s="199"/>
      <c r="GG36" s="199"/>
      <c r="GH36" s="199"/>
      <c r="GI36" s="199"/>
      <c r="GJ36" s="199"/>
      <c r="GK36" s="199"/>
      <c r="GL36" s="199"/>
      <c r="GM36" s="199"/>
      <c r="GN36" s="199"/>
      <c r="GO36" s="199"/>
      <c r="GP36" s="199"/>
      <c r="GQ36" s="199"/>
      <c r="GR36" s="199"/>
      <c r="GS36" s="199"/>
      <c r="GT36" s="199"/>
      <c r="GU36" s="199"/>
      <c r="GV36" s="199"/>
      <c r="GW36" s="199"/>
      <c r="GX36" s="199"/>
      <c r="GY36" s="199"/>
      <c r="GZ36" s="199"/>
      <c r="HA36" s="199"/>
      <c r="HB36" s="199"/>
      <c r="HC36" s="199"/>
      <c r="HD36" s="199"/>
      <c r="HE36" s="199"/>
      <c r="HF36" s="199"/>
      <c r="HG36" s="199"/>
      <c r="HH36" s="199"/>
      <c r="HI36" s="199"/>
      <c r="HJ36" s="199"/>
      <c r="HK36" s="199"/>
      <c r="HL36" s="199"/>
      <c r="HM36" s="199"/>
      <c r="HN36" s="199"/>
    </row>
    <row r="37" spans="1:222" ht="15" x14ac:dyDescent="0.25">
      <c r="A37" s="199"/>
      <c r="B37" s="193" t="s">
        <v>151</v>
      </c>
      <c r="C37" s="199"/>
      <c r="D37" s="199">
        <v>-0.75470456911130235</v>
      </c>
      <c r="E37" s="199">
        <v>3.1672106807328779</v>
      </c>
      <c r="F37" s="199">
        <v>0.74970283871778642</v>
      </c>
      <c r="G37" s="199">
        <v>-0.47478301227692232</v>
      </c>
      <c r="H37" s="199">
        <v>-7.6839607303756385E-2</v>
      </c>
      <c r="I37" s="199">
        <v>0.17180284529591638</v>
      </c>
      <c r="J37" s="199">
        <v>-0.32460724679767194</v>
      </c>
      <c r="K37" s="199">
        <v>-0.18672800146415791</v>
      </c>
      <c r="L37" s="199">
        <v>0.29723698089613726</v>
      </c>
      <c r="M37" s="199">
        <v>8.4020084459857536E-2</v>
      </c>
      <c r="N37" s="199">
        <v>0.12435047517885378</v>
      </c>
      <c r="O37" s="199">
        <v>-7.1583594421379515E-2</v>
      </c>
      <c r="P37" s="199">
        <v>-8.0281302258373377E-2</v>
      </c>
      <c r="Q37" s="199">
        <v>-0.13775843045895264</v>
      </c>
      <c r="R37" s="199">
        <v>-6.8510328118245978E-2</v>
      </c>
      <c r="S37" s="199">
        <v>0.12726230691876061</v>
      </c>
      <c r="T37" s="199">
        <v>-8.0528036219491117E-2</v>
      </c>
      <c r="U37" s="199">
        <v>6.6757286271688088E-2</v>
      </c>
      <c r="V37" s="199">
        <v>-0.20288751843157515</v>
      </c>
      <c r="W37" s="199">
        <v>0.2693386042646817</v>
      </c>
      <c r="X37" s="199">
        <v>-0.17301452041736964</v>
      </c>
      <c r="Y37" s="199">
        <v>0.15792840948812614</v>
      </c>
      <c r="Z37" s="199">
        <v>-9.7177819046061265E-2</v>
      </c>
      <c r="AA37" s="199">
        <v>0.56870047621521591</v>
      </c>
      <c r="AB37" s="199">
        <v>-9.8080992110422538E-2</v>
      </c>
      <c r="AC37" s="199">
        <v>-0.2664987894761256</v>
      </c>
      <c r="AD37" s="199">
        <v>0.26399545204386787</v>
      </c>
      <c r="AE37" s="199">
        <v>-0.15168870137760448</v>
      </c>
      <c r="AF37" s="199">
        <v>3.11235173084774E-2</v>
      </c>
      <c r="AG37" s="199">
        <v>-0.44263529411820535</v>
      </c>
      <c r="AH37" s="199">
        <v>0.99926332638968107</v>
      </c>
      <c r="AI37" s="199">
        <v>-5.2700874899739292E-2</v>
      </c>
      <c r="AJ37" s="199">
        <v>-0.24079302892207377</v>
      </c>
      <c r="AK37" s="199">
        <v>0.29369622567098363</v>
      </c>
      <c r="AL37" s="199">
        <v>-5.7643520102308221E-2</v>
      </c>
      <c r="AM37" s="199">
        <v>-0.13967320823388929</v>
      </c>
      <c r="AN37" s="199">
        <v>0.60755571951409126</v>
      </c>
      <c r="AO37" s="199">
        <v>0.53017941439978777</v>
      </c>
      <c r="AP37" s="199"/>
      <c r="AQ37" s="199"/>
      <c r="AR37" s="199"/>
      <c r="AS37" s="199"/>
      <c r="AT37" s="199"/>
      <c r="AU37" s="199"/>
      <c r="AV37" s="199"/>
      <c r="AW37" s="199"/>
      <c r="AX37" s="199"/>
      <c r="AY37" s="199"/>
      <c r="AZ37" s="199"/>
      <c r="BA37" s="199"/>
      <c r="BB37" s="199"/>
      <c r="BC37" s="199"/>
      <c r="BD37" s="199"/>
      <c r="BE37" s="199"/>
      <c r="BF37" s="199"/>
      <c r="BG37" s="199"/>
      <c r="BH37" s="199"/>
      <c r="BI37" s="199"/>
      <c r="BJ37" s="199"/>
      <c r="BK37" s="199"/>
      <c r="BL37" s="199"/>
      <c r="BM37" s="199"/>
      <c r="BN37" s="199"/>
      <c r="BO37" s="199"/>
      <c r="BP37" s="199"/>
      <c r="BQ37" s="199"/>
      <c r="BR37" s="199"/>
      <c r="BS37" s="199"/>
      <c r="BT37" s="199"/>
      <c r="BU37" s="199"/>
      <c r="BV37" s="199"/>
      <c r="BW37" s="199"/>
      <c r="BX37" s="199"/>
      <c r="BY37" s="199"/>
      <c r="BZ37" s="199"/>
      <c r="CA37" s="199"/>
      <c r="CB37" s="199"/>
      <c r="CC37" s="199"/>
      <c r="CD37" s="199"/>
      <c r="CE37" s="199"/>
      <c r="CF37" s="199"/>
      <c r="CG37" s="199"/>
      <c r="CH37" s="199"/>
      <c r="CI37" s="199"/>
      <c r="CJ37" s="199"/>
      <c r="CK37" s="199"/>
      <c r="CL37" s="199"/>
      <c r="CM37" s="199"/>
      <c r="CN37" s="199"/>
      <c r="CO37" s="199"/>
      <c r="CP37" s="199"/>
      <c r="CQ37" s="199"/>
      <c r="CR37" s="199"/>
      <c r="CS37" s="199"/>
      <c r="CT37" s="199"/>
      <c r="CU37" s="199"/>
      <c r="CV37" s="199"/>
      <c r="CW37" s="199"/>
      <c r="CX37" s="199"/>
      <c r="CY37" s="199"/>
      <c r="CZ37" s="199"/>
      <c r="DA37" s="199"/>
      <c r="DB37" s="199"/>
      <c r="DC37" s="199"/>
      <c r="DD37" s="199"/>
      <c r="DE37" s="199"/>
      <c r="DF37" s="199"/>
      <c r="DG37" s="199"/>
      <c r="DH37" s="199"/>
      <c r="DI37" s="199"/>
      <c r="DJ37" s="199"/>
      <c r="DK37" s="199"/>
      <c r="DL37" s="199"/>
      <c r="DM37" s="199"/>
      <c r="DN37" s="199"/>
      <c r="DO37" s="199"/>
      <c r="DP37" s="199"/>
      <c r="DQ37" s="199"/>
      <c r="DR37" s="199"/>
      <c r="DS37" s="199"/>
      <c r="DT37" s="199"/>
      <c r="DU37" s="199"/>
      <c r="DV37" s="199"/>
      <c r="DW37" s="199"/>
      <c r="DX37" s="199"/>
      <c r="DY37" s="199"/>
      <c r="DZ37" s="199"/>
      <c r="EA37" s="199"/>
      <c r="EB37" s="199"/>
      <c r="EC37" s="199"/>
      <c r="ED37" s="199"/>
      <c r="EE37" s="199"/>
      <c r="EF37" s="199"/>
      <c r="EG37" s="199"/>
      <c r="EH37" s="199"/>
      <c r="EI37" s="199"/>
      <c r="EJ37" s="199"/>
      <c r="EK37" s="199"/>
      <c r="EL37" s="199"/>
      <c r="EM37" s="199"/>
      <c r="EN37" s="199"/>
      <c r="EO37" s="199"/>
      <c r="EP37" s="199"/>
      <c r="EQ37" s="199"/>
      <c r="ER37" s="199"/>
      <c r="ES37" s="199"/>
      <c r="ET37" s="199"/>
      <c r="EU37" s="199"/>
      <c r="EV37" s="199"/>
      <c r="EW37" s="199"/>
      <c r="EX37" s="199"/>
      <c r="EY37" s="199"/>
      <c r="EZ37" s="199"/>
      <c r="FA37" s="199"/>
      <c r="FB37" s="199"/>
      <c r="FC37" s="199"/>
      <c r="FD37" s="199"/>
      <c r="FE37" s="199"/>
      <c r="FF37" s="199"/>
      <c r="FG37" s="199"/>
      <c r="FH37" s="199"/>
      <c r="FI37" s="199"/>
      <c r="FJ37" s="199"/>
      <c r="FK37" s="199"/>
      <c r="FL37" s="199"/>
      <c r="FM37" s="199"/>
      <c r="FN37" s="199"/>
      <c r="FO37" s="199"/>
      <c r="FP37" s="199"/>
      <c r="FQ37" s="199"/>
      <c r="FR37" s="199"/>
      <c r="FS37" s="199"/>
      <c r="FT37" s="199"/>
      <c r="FU37" s="199"/>
      <c r="FV37" s="199"/>
      <c r="FW37" s="199"/>
      <c r="FX37" s="199"/>
      <c r="FY37" s="199"/>
      <c r="FZ37" s="199"/>
      <c r="GA37" s="199"/>
      <c r="GB37" s="199"/>
      <c r="GC37" s="199"/>
      <c r="GD37" s="199"/>
      <c r="GE37" s="199"/>
      <c r="GF37" s="199"/>
      <c r="GG37" s="199"/>
      <c r="GH37" s="199"/>
      <c r="GI37" s="199"/>
      <c r="GJ37" s="199"/>
      <c r="GK37" s="199"/>
      <c r="GL37" s="199"/>
      <c r="GM37" s="199"/>
      <c r="GN37" s="199"/>
      <c r="GO37" s="199"/>
      <c r="GP37" s="199"/>
      <c r="GQ37" s="199"/>
      <c r="GR37" s="199"/>
      <c r="GS37" s="199"/>
      <c r="GT37" s="199"/>
      <c r="GU37" s="199"/>
      <c r="GV37" s="199"/>
      <c r="GW37" s="199"/>
      <c r="GX37" s="199"/>
      <c r="GY37" s="199"/>
      <c r="GZ37" s="199"/>
      <c r="HA37" s="199"/>
      <c r="HB37" s="199"/>
      <c r="HC37" s="199"/>
      <c r="HD37" s="199"/>
      <c r="HE37" s="199"/>
      <c r="HF37" s="199"/>
      <c r="HG37" s="199"/>
      <c r="HH37" s="199"/>
      <c r="HI37" s="199"/>
      <c r="HJ37" s="199"/>
      <c r="HK37" s="199"/>
      <c r="HL37" s="199"/>
      <c r="HM37" s="199"/>
      <c r="HN37" s="199"/>
    </row>
    <row r="38" spans="1:222" ht="15" x14ac:dyDescent="0.25">
      <c r="A38" s="199"/>
      <c r="B38" s="193" t="s">
        <v>150</v>
      </c>
      <c r="C38" s="199"/>
      <c r="D38" s="199">
        <v>-7.7020308812229099E-2</v>
      </c>
      <c r="E38" s="199">
        <v>-3.0006358067599104E-3</v>
      </c>
      <c r="F38" s="199">
        <v>-4.0229842263186599E-2</v>
      </c>
      <c r="G38" s="199">
        <v>0.2332865309376706</v>
      </c>
      <c r="H38" s="199">
        <v>7.1675092495016246E-2</v>
      </c>
      <c r="I38" s="199">
        <v>-7.0452981032945838E-2</v>
      </c>
      <c r="J38" s="199">
        <v>2.024035746861208E-2</v>
      </c>
      <c r="K38" s="199">
        <v>-0.192687417811232</v>
      </c>
      <c r="L38" s="199">
        <v>0.29080479215635235</v>
      </c>
      <c r="M38" s="199">
        <v>-4.017802631328582E-2</v>
      </c>
      <c r="N38" s="199">
        <v>2.4399739853188773E-2</v>
      </c>
      <c r="O38" s="199">
        <v>0.16904458293987168</v>
      </c>
      <c r="P38" s="199">
        <v>-0.11551276736336868</v>
      </c>
      <c r="Q38" s="199">
        <v>-6.8822699872654436E-2</v>
      </c>
      <c r="R38" s="199">
        <v>0.20227197889190363</v>
      </c>
      <c r="S38" s="199">
        <v>-0.25406692452379576</v>
      </c>
      <c r="T38" s="199">
        <v>0.14175117644482893</v>
      </c>
      <c r="U38" s="199">
        <v>0.13050822060385792</v>
      </c>
      <c r="V38" s="199">
        <v>-6.3752304981627872E-2</v>
      </c>
      <c r="W38" s="199">
        <v>-9.0997262323896377E-3</v>
      </c>
      <c r="X38" s="199">
        <v>-3.4544884551802602E-3</v>
      </c>
      <c r="Y38" s="199">
        <v>0.14981908730462967</v>
      </c>
      <c r="Z38" s="199">
        <v>4.4453621803776766E-2</v>
      </c>
      <c r="AA38" s="199">
        <v>-5.4629411216850832E-2</v>
      </c>
      <c r="AB38" s="199">
        <v>-6.0188622059829666E-2</v>
      </c>
      <c r="AC38" s="199">
        <v>9.5451778112030317E-2</v>
      </c>
      <c r="AD38" s="199">
        <v>-0.20017290627603801</v>
      </c>
      <c r="AE38" s="199">
        <v>0.11740459863501296</v>
      </c>
      <c r="AF38" s="199">
        <v>6.1512656736770976E-2</v>
      </c>
      <c r="AG38" s="199">
        <v>-3.5072179760114452E-2</v>
      </c>
      <c r="AH38" s="199">
        <v>0.12894079095401967</v>
      </c>
      <c r="AI38" s="199">
        <v>-1.0329781272116256E-2</v>
      </c>
      <c r="AJ38" s="199">
        <v>-0.11176335100800017</v>
      </c>
      <c r="AK38" s="199">
        <v>-4.4480541216007752E-2</v>
      </c>
      <c r="AL38" s="199">
        <v>5.9030199039254772E-2</v>
      </c>
      <c r="AM38" s="199">
        <v>1.8460656502681694E-2</v>
      </c>
      <c r="AN38" s="199">
        <v>9.129449910667442E-2</v>
      </c>
      <c r="AO38" s="199">
        <v>-7.5253793303499128E-2</v>
      </c>
      <c r="AP38" s="199"/>
      <c r="AQ38" s="199"/>
      <c r="AR38" s="199"/>
      <c r="AS38" s="199"/>
      <c r="AT38" s="199"/>
      <c r="AU38" s="199"/>
      <c r="AV38" s="199"/>
      <c r="AW38" s="199"/>
      <c r="AX38" s="199"/>
      <c r="AY38" s="199"/>
      <c r="AZ38" s="199"/>
      <c r="BA38" s="199"/>
      <c r="BB38" s="199"/>
      <c r="BC38" s="199"/>
      <c r="BD38" s="199"/>
      <c r="BE38" s="199"/>
      <c r="BF38" s="199"/>
      <c r="BG38" s="199"/>
      <c r="BH38" s="199"/>
      <c r="BI38" s="199"/>
      <c r="BJ38" s="199"/>
      <c r="BK38" s="199"/>
      <c r="BL38" s="199"/>
      <c r="BM38" s="199"/>
      <c r="BN38" s="199"/>
      <c r="BO38" s="199"/>
      <c r="BP38" s="199"/>
      <c r="BQ38" s="199"/>
      <c r="BR38" s="199"/>
      <c r="BS38" s="199"/>
      <c r="BT38" s="199"/>
      <c r="BU38" s="199"/>
      <c r="BV38" s="199"/>
      <c r="BW38" s="199"/>
      <c r="BX38" s="199"/>
      <c r="BY38" s="199"/>
      <c r="BZ38" s="199"/>
      <c r="CA38" s="199"/>
      <c r="CB38" s="199"/>
      <c r="CC38" s="199"/>
      <c r="CD38" s="199"/>
      <c r="CE38" s="199"/>
      <c r="CF38" s="199"/>
      <c r="CG38" s="199"/>
      <c r="CH38" s="199"/>
      <c r="CI38" s="199"/>
      <c r="CJ38" s="199"/>
      <c r="CK38" s="199"/>
      <c r="CL38" s="199"/>
      <c r="CM38" s="199"/>
      <c r="CN38" s="199"/>
      <c r="CO38" s="199"/>
      <c r="CP38" s="199"/>
      <c r="CQ38" s="199"/>
      <c r="CR38" s="199"/>
      <c r="CS38" s="199"/>
      <c r="CT38" s="199"/>
      <c r="CU38" s="199"/>
      <c r="CV38" s="199"/>
      <c r="CW38" s="199"/>
      <c r="CX38" s="199"/>
      <c r="CY38" s="199"/>
      <c r="CZ38" s="199"/>
      <c r="DA38" s="199"/>
      <c r="DB38" s="199"/>
      <c r="DC38" s="199"/>
      <c r="DD38" s="199"/>
      <c r="DE38" s="199"/>
      <c r="DF38" s="199"/>
      <c r="DG38" s="199"/>
      <c r="DH38" s="199"/>
      <c r="DI38" s="199"/>
      <c r="DJ38" s="199"/>
      <c r="DK38" s="199"/>
      <c r="DL38" s="199"/>
      <c r="DM38" s="199"/>
      <c r="DN38" s="199"/>
      <c r="DO38" s="199"/>
      <c r="DP38" s="199"/>
      <c r="DQ38" s="199"/>
      <c r="DR38" s="199"/>
      <c r="DS38" s="199"/>
      <c r="DT38" s="199"/>
      <c r="DU38" s="199"/>
      <c r="DV38" s="199"/>
      <c r="DW38" s="199"/>
      <c r="DX38" s="199"/>
      <c r="DY38" s="199"/>
      <c r="DZ38" s="199"/>
      <c r="EA38" s="199"/>
      <c r="EB38" s="199"/>
      <c r="EC38" s="199"/>
      <c r="ED38" s="199"/>
      <c r="EE38" s="199"/>
      <c r="EF38" s="199"/>
      <c r="EG38" s="199"/>
      <c r="EH38" s="199"/>
      <c r="EI38" s="199"/>
      <c r="EJ38" s="199"/>
      <c r="EK38" s="199"/>
      <c r="EL38" s="199"/>
      <c r="EM38" s="199"/>
      <c r="EN38" s="199"/>
      <c r="EO38" s="199"/>
      <c r="EP38" s="199"/>
      <c r="EQ38" s="199"/>
      <c r="ER38" s="199"/>
      <c r="ES38" s="199"/>
      <c r="ET38" s="199"/>
      <c r="EU38" s="199"/>
      <c r="EV38" s="199"/>
      <c r="EW38" s="199"/>
      <c r="EX38" s="199"/>
      <c r="EY38" s="199"/>
      <c r="EZ38" s="199"/>
      <c r="FA38" s="199"/>
      <c r="FB38" s="199"/>
      <c r="FC38" s="199"/>
      <c r="FD38" s="199"/>
      <c r="FE38" s="199"/>
      <c r="FF38" s="199"/>
      <c r="FG38" s="199"/>
      <c r="FH38" s="199"/>
      <c r="FI38" s="199"/>
      <c r="FJ38" s="199"/>
      <c r="FK38" s="199"/>
      <c r="FL38" s="199"/>
      <c r="FM38" s="199"/>
      <c r="FN38" s="199"/>
      <c r="FO38" s="199"/>
      <c r="FP38" s="199"/>
      <c r="FQ38" s="199"/>
      <c r="FR38" s="199"/>
      <c r="FS38" s="199"/>
      <c r="FT38" s="199"/>
      <c r="FU38" s="199"/>
      <c r="FV38" s="199"/>
      <c r="FW38" s="199"/>
      <c r="FX38" s="199"/>
      <c r="FY38" s="199"/>
      <c r="FZ38" s="199"/>
      <c r="GA38" s="199"/>
      <c r="GB38" s="199"/>
      <c r="GC38" s="199"/>
      <c r="GD38" s="199"/>
      <c r="GE38" s="199"/>
      <c r="GF38" s="199"/>
      <c r="GG38" s="199"/>
      <c r="GH38" s="199"/>
      <c r="GI38" s="199"/>
      <c r="GJ38" s="199"/>
      <c r="GK38" s="199"/>
      <c r="GL38" s="199"/>
      <c r="GM38" s="199"/>
      <c r="GN38" s="199"/>
      <c r="GO38" s="199"/>
      <c r="GP38" s="199"/>
      <c r="GQ38" s="199"/>
      <c r="GR38" s="199"/>
      <c r="GS38" s="199"/>
      <c r="GT38" s="199"/>
      <c r="GU38" s="199"/>
      <c r="GV38" s="199"/>
      <c r="GW38" s="199"/>
      <c r="GX38" s="199"/>
      <c r="GY38" s="199"/>
      <c r="GZ38" s="199"/>
      <c r="HA38" s="199"/>
      <c r="HB38" s="199"/>
      <c r="HC38" s="199"/>
      <c r="HD38" s="199"/>
      <c r="HE38" s="199"/>
      <c r="HF38" s="199"/>
      <c r="HG38" s="199"/>
      <c r="HH38" s="199"/>
      <c r="HI38" s="199"/>
      <c r="HJ38" s="199"/>
      <c r="HK38" s="199"/>
      <c r="HL38" s="199"/>
      <c r="HM38" s="199"/>
      <c r="HN38" s="199"/>
    </row>
    <row r="39" spans="1:222" ht="15" x14ac:dyDescent="0.25">
      <c r="A39" s="199"/>
      <c r="B39" s="194" t="s">
        <v>149</v>
      </c>
      <c r="C39" s="199"/>
      <c r="D39" s="199">
        <v>-2.2900709463612778E-2</v>
      </c>
      <c r="E39" s="199">
        <v>-8.2581950455344444E-2</v>
      </c>
      <c r="F39" s="199">
        <v>-2.5953973311283018E-2</v>
      </c>
      <c r="G39" s="199">
        <v>-9.4184323681467896E-2</v>
      </c>
      <c r="H39" s="199">
        <v>0.18728816720644592</v>
      </c>
      <c r="I39" s="199">
        <v>1.889403337405815E-2</v>
      </c>
      <c r="J39" s="199">
        <v>1.1738898405198483E-2</v>
      </c>
      <c r="K39" s="199">
        <v>5.247325878544884E-2</v>
      </c>
      <c r="L39" s="199">
        <v>-7.0763625405013464E-2</v>
      </c>
      <c r="M39" s="199">
        <v>-0.10293372281483948</v>
      </c>
      <c r="N39" s="199">
        <v>0.21839987668890104</v>
      </c>
      <c r="O39" s="199">
        <v>1.2515520857322215E-2</v>
      </c>
      <c r="P39" s="199">
        <v>-4.0961623809820158E-2</v>
      </c>
      <c r="Q39" s="199">
        <v>4.3392506958977783E-2</v>
      </c>
      <c r="R39" s="199">
        <v>-2.0783685787522099E-2</v>
      </c>
      <c r="S39" s="199">
        <v>-7.4879445752015106E-2</v>
      </c>
      <c r="T39" s="199">
        <v>9.6195744946417694E-2</v>
      </c>
      <c r="U39" s="199">
        <v>4.3213084789401224E-2</v>
      </c>
      <c r="V39" s="199">
        <v>-1.7709764462135347E-2</v>
      </c>
      <c r="W39" s="199">
        <v>-2.8463492955518532E-2</v>
      </c>
      <c r="X39" s="199">
        <v>0.1030595964091503</v>
      </c>
      <c r="Y39" s="199">
        <v>0.1509141011752031</v>
      </c>
      <c r="Z39" s="199">
        <v>-8.4481904133497321E-2</v>
      </c>
      <c r="AA39" s="199">
        <v>4.935683652464351E-2</v>
      </c>
      <c r="AB39" s="199">
        <v>5.450362090111005E-2</v>
      </c>
      <c r="AC39" s="199">
        <v>2.0780548584752756E-2</v>
      </c>
      <c r="AD39" s="199">
        <v>0.14287595765478267</v>
      </c>
      <c r="AE39" s="199">
        <v>0.13042180508112411</v>
      </c>
      <c r="AF39" s="199">
        <v>-6.6994747478965055E-2</v>
      </c>
      <c r="AG39" s="199">
        <v>7.3170316146679015E-2</v>
      </c>
      <c r="AH39" s="199">
        <v>-5.9818486442188123E-2</v>
      </c>
      <c r="AI39" s="199">
        <v>-4.5418328331423563E-3</v>
      </c>
      <c r="AJ39" s="199">
        <v>6.7998044403095648E-2</v>
      </c>
      <c r="AK39" s="199">
        <v>-1.2128034735701454E-2</v>
      </c>
      <c r="AL39" s="199">
        <v>3.1815281171995391E-2</v>
      </c>
      <c r="AM39" s="199">
        <v>-7.9236007154170673E-2</v>
      </c>
      <c r="AN39" s="199">
        <v>-1.3129736291861427E-5</v>
      </c>
      <c r="AO39" s="199">
        <v>6.1260473073972532E-2</v>
      </c>
      <c r="AP39" s="199"/>
      <c r="AQ39" s="199"/>
      <c r="AR39" s="199"/>
      <c r="AS39" s="199"/>
      <c r="AT39" s="199"/>
      <c r="AU39" s="199"/>
      <c r="AV39" s="199"/>
      <c r="AW39" s="199"/>
      <c r="AX39" s="199"/>
      <c r="AY39" s="199"/>
      <c r="AZ39" s="199"/>
      <c r="BA39" s="199"/>
      <c r="BB39" s="199"/>
      <c r="BC39" s="199"/>
      <c r="BD39" s="199"/>
      <c r="BE39" s="199"/>
      <c r="BF39" s="199"/>
      <c r="BG39" s="199"/>
      <c r="BH39" s="199"/>
      <c r="BI39" s="199"/>
      <c r="BJ39" s="199"/>
      <c r="BK39" s="199"/>
      <c r="BL39" s="199"/>
      <c r="BM39" s="199"/>
      <c r="BN39" s="199"/>
      <c r="BO39" s="199"/>
      <c r="BP39" s="199"/>
      <c r="BQ39" s="199"/>
      <c r="BR39" s="199"/>
      <c r="BS39" s="199"/>
      <c r="BT39" s="199"/>
      <c r="BU39" s="199"/>
      <c r="BV39" s="199"/>
      <c r="BW39" s="199"/>
      <c r="BX39" s="199"/>
      <c r="BY39" s="199"/>
      <c r="BZ39" s="199"/>
      <c r="CA39" s="199"/>
      <c r="CB39" s="199"/>
      <c r="CC39" s="199"/>
      <c r="CD39" s="199"/>
      <c r="CE39" s="199"/>
      <c r="CF39" s="199"/>
      <c r="CG39" s="199"/>
      <c r="CH39" s="199"/>
      <c r="CI39" s="199"/>
      <c r="CJ39" s="199"/>
      <c r="CK39" s="199"/>
      <c r="CL39" s="199"/>
      <c r="CM39" s="199"/>
      <c r="CN39" s="199"/>
      <c r="CO39" s="199"/>
      <c r="CP39" s="199"/>
      <c r="CQ39" s="199"/>
      <c r="CR39" s="199"/>
      <c r="CS39" s="199"/>
      <c r="CT39" s="199"/>
      <c r="CU39" s="199"/>
      <c r="CV39" s="199"/>
      <c r="CW39" s="199"/>
      <c r="CX39" s="199"/>
      <c r="CY39" s="199"/>
      <c r="CZ39" s="199"/>
      <c r="DA39" s="199"/>
      <c r="DB39" s="199"/>
      <c r="DC39" s="199"/>
      <c r="DD39" s="199"/>
      <c r="DE39" s="199"/>
      <c r="DF39" s="199"/>
      <c r="DG39" s="199"/>
      <c r="DH39" s="199"/>
      <c r="DI39" s="199"/>
      <c r="DJ39" s="199"/>
      <c r="DK39" s="199"/>
      <c r="DL39" s="199"/>
      <c r="DM39" s="199"/>
      <c r="DN39" s="199"/>
      <c r="DO39" s="199"/>
      <c r="DP39" s="199"/>
      <c r="DQ39" s="199"/>
      <c r="DR39" s="199"/>
      <c r="DS39" s="199"/>
      <c r="DT39" s="199"/>
      <c r="DU39" s="199"/>
      <c r="DV39" s="199"/>
      <c r="DW39" s="199"/>
      <c r="DX39" s="199"/>
      <c r="DY39" s="199"/>
      <c r="DZ39" s="199"/>
      <c r="EA39" s="199"/>
      <c r="EB39" s="199"/>
      <c r="EC39" s="199"/>
      <c r="ED39" s="199"/>
      <c r="EE39" s="199"/>
      <c r="EF39" s="199"/>
      <c r="EG39" s="199"/>
      <c r="EH39" s="199"/>
      <c r="EI39" s="199"/>
      <c r="EJ39" s="199"/>
      <c r="EK39" s="199"/>
      <c r="EL39" s="199"/>
      <c r="EM39" s="199"/>
      <c r="EN39" s="199"/>
      <c r="EO39" s="199"/>
      <c r="EP39" s="199"/>
      <c r="EQ39" s="199"/>
      <c r="ER39" s="199"/>
      <c r="ES39" s="199"/>
      <c r="ET39" s="199"/>
      <c r="EU39" s="199"/>
      <c r="EV39" s="199"/>
      <c r="EW39" s="199"/>
      <c r="EX39" s="199"/>
      <c r="EY39" s="199"/>
      <c r="EZ39" s="199"/>
      <c r="FA39" s="199"/>
      <c r="FB39" s="199"/>
      <c r="FC39" s="199"/>
      <c r="FD39" s="199"/>
      <c r="FE39" s="199"/>
      <c r="FF39" s="199"/>
      <c r="FG39" s="199"/>
      <c r="FH39" s="199"/>
      <c r="FI39" s="199"/>
      <c r="FJ39" s="199"/>
      <c r="FK39" s="199"/>
      <c r="FL39" s="199"/>
      <c r="FM39" s="199"/>
      <c r="FN39" s="199"/>
      <c r="FO39" s="199"/>
      <c r="FP39" s="199"/>
      <c r="FQ39" s="199"/>
      <c r="FR39" s="199"/>
      <c r="FS39" s="199"/>
      <c r="FT39" s="199"/>
      <c r="FU39" s="199"/>
      <c r="FV39" s="199"/>
      <c r="FW39" s="199"/>
      <c r="FX39" s="199"/>
      <c r="FY39" s="199"/>
      <c r="FZ39" s="199"/>
      <c r="GA39" s="199"/>
      <c r="GB39" s="199"/>
      <c r="GC39" s="199"/>
      <c r="GD39" s="199"/>
      <c r="GE39" s="199"/>
      <c r="GF39" s="199"/>
      <c r="GG39" s="199"/>
      <c r="GH39" s="199"/>
      <c r="GI39" s="199"/>
      <c r="GJ39" s="199"/>
      <c r="GK39" s="199"/>
      <c r="GL39" s="199"/>
      <c r="GM39" s="199"/>
      <c r="GN39" s="199"/>
      <c r="GO39" s="199"/>
      <c r="GP39" s="199"/>
      <c r="GQ39" s="199"/>
      <c r="GR39" s="199"/>
      <c r="GS39" s="199"/>
      <c r="GT39" s="199"/>
      <c r="GU39" s="199"/>
      <c r="GV39" s="199"/>
      <c r="GW39" s="199"/>
      <c r="GX39" s="199"/>
      <c r="GY39" s="199"/>
      <c r="GZ39" s="199"/>
      <c r="HA39" s="199"/>
      <c r="HB39" s="199"/>
      <c r="HC39" s="199"/>
      <c r="HD39" s="199"/>
      <c r="HE39" s="199"/>
      <c r="HF39" s="199"/>
      <c r="HG39" s="199"/>
      <c r="HH39" s="199"/>
      <c r="HI39" s="199"/>
      <c r="HJ39" s="199"/>
      <c r="HK39" s="199"/>
      <c r="HL39" s="199"/>
      <c r="HM39" s="199"/>
      <c r="HN39" s="199"/>
    </row>
    <row r="40" spans="1:222" ht="15" x14ac:dyDescent="0.25">
      <c r="A40" s="199"/>
      <c r="B40" s="192" t="s">
        <v>148</v>
      </c>
      <c r="C40" s="199"/>
      <c r="D40" s="199">
        <v>1.5887842380227113E-2</v>
      </c>
      <c r="E40" s="199">
        <v>2.9834560270521893E-2</v>
      </c>
      <c r="F40" s="199">
        <v>2.5372208998615697E-2</v>
      </c>
      <c r="G40" s="199">
        <v>1.8441559786302575E-2</v>
      </c>
      <c r="H40" s="199">
        <v>2.3350417778508437E-2</v>
      </c>
      <c r="I40" s="199">
        <v>1.4025162178798567E-2</v>
      </c>
      <c r="J40" s="199">
        <v>2.9504617946581879E-2</v>
      </c>
      <c r="K40" s="199">
        <v>1.8182024449972856E-2</v>
      </c>
      <c r="L40" s="199">
        <v>2.8909873382711115E-2</v>
      </c>
      <c r="M40" s="199">
        <v>2.1030696645615299E-2</v>
      </c>
      <c r="N40" s="199">
        <v>1.6181354950840054E-2</v>
      </c>
      <c r="O40" s="199">
        <v>2.8601124584018311E-2</v>
      </c>
      <c r="P40" s="199">
        <v>2.5830376579368819E-2</v>
      </c>
      <c r="Q40" s="199">
        <v>2.3548175828875362E-2</v>
      </c>
      <c r="R40" s="199">
        <v>2.198761105976299E-2</v>
      </c>
      <c r="S40" s="199">
        <v>1.4922512546065914E-2</v>
      </c>
      <c r="T40" s="199">
        <v>-1.7400957037079223E-3</v>
      </c>
      <c r="U40" s="199">
        <v>3.1380216609069089E-2</v>
      </c>
      <c r="V40" s="199">
        <v>5.1303628939962431E-2</v>
      </c>
      <c r="W40" s="199">
        <v>7.2293123444311602E-2</v>
      </c>
      <c r="X40" s="199">
        <v>-2.2925046146315853E-2</v>
      </c>
      <c r="Y40" s="199">
        <v>2.0041276739138469E-2</v>
      </c>
      <c r="Z40" s="199">
        <v>2.4687257250780359E-2</v>
      </c>
      <c r="AA40" s="199">
        <v>2.8689636607944546E-2</v>
      </c>
      <c r="AB40" s="199">
        <v>6.3067353618242894E-2</v>
      </c>
      <c r="AC40" s="199">
        <v>-9.6595841617336253E-3</v>
      </c>
      <c r="AD40" s="199">
        <v>2.434953443421084E-2</v>
      </c>
      <c r="AE40" s="199">
        <v>-2.5386355617470158E-2</v>
      </c>
      <c r="AF40" s="199">
        <v>2.8341780361568203E-2</v>
      </c>
      <c r="AG40" s="199">
        <v>3.1749980756385687E-2</v>
      </c>
      <c r="AH40" s="199">
        <v>2.5130850691983397E-2</v>
      </c>
      <c r="AI40" s="199">
        <v>2.7585462037289954E-2</v>
      </c>
      <c r="AJ40" s="199">
        <v>1.9133257302657469E-2</v>
      </c>
      <c r="AK40" s="199">
        <v>1.9700595615438132E-2</v>
      </c>
      <c r="AL40" s="199">
        <v>2.0647796831577914E-2</v>
      </c>
      <c r="AM40" s="199">
        <v>1.4865061355471054E-2</v>
      </c>
      <c r="AN40" s="199">
        <v>2.3107800360336883E-2</v>
      </c>
      <c r="AO40" s="199">
        <v>2.1081132283014448E-2</v>
      </c>
      <c r="AP40" s="199"/>
      <c r="AQ40" s="199"/>
      <c r="AR40" s="199"/>
      <c r="AS40" s="199"/>
      <c r="AT40" s="199"/>
      <c r="AU40" s="199"/>
      <c r="AV40" s="199"/>
      <c r="AW40" s="199"/>
      <c r="AX40" s="199"/>
      <c r="AY40" s="199"/>
      <c r="AZ40" s="199"/>
      <c r="BA40" s="199"/>
      <c r="BB40" s="199"/>
      <c r="BC40" s="199"/>
      <c r="BD40" s="199"/>
      <c r="BE40" s="199"/>
      <c r="BF40" s="199"/>
      <c r="BG40" s="199"/>
      <c r="BH40" s="199"/>
      <c r="BI40" s="199"/>
      <c r="BJ40" s="199"/>
      <c r="BK40" s="199"/>
      <c r="BL40" s="199"/>
      <c r="BM40" s="199"/>
      <c r="BN40" s="199"/>
      <c r="BO40" s="199"/>
      <c r="BP40" s="199"/>
      <c r="BQ40" s="199"/>
      <c r="BR40" s="199"/>
      <c r="BS40" s="199"/>
      <c r="BT40" s="199"/>
      <c r="BU40" s="199"/>
      <c r="BV40" s="199"/>
      <c r="BW40" s="199"/>
      <c r="BX40" s="199"/>
      <c r="BY40" s="199"/>
      <c r="BZ40" s="199"/>
      <c r="CA40" s="199"/>
      <c r="CB40" s="199"/>
      <c r="CC40" s="199"/>
      <c r="CD40" s="199"/>
      <c r="CE40" s="199"/>
      <c r="CF40" s="199"/>
      <c r="CG40" s="199"/>
      <c r="CH40" s="199"/>
      <c r="CI40" s="199"/>
      <c r="CJ40" s="199"/>
      <c r="CK40" s="199"/>
      <c r="CL40" s="199"/>
      <c r="CM40" s="199"/>
      <c r="CN40" s="199"/>
      <c r="CO40" s="199"/>
      <c r="CP40" s="199"/>
      <c r="CQ40" s="199"/>
      <c r="CR40" s="199"/>
      <c r="CS40" s="199"/>
      <c r="CT40" s="199"/>
      <c r="CU40" s="199"/>
      <c r="CV40" s="199"/>
      <c r="CW40" s="199"/>
      <c r="CX40" s="199"/>
      <c r="CY40" s="199"/>
      <c r="CZ40" s="199"/>
      <c r="DA40" s="199"/>
      <c r="DB40" s="199"/>
      <c r="DC40" s="199"/>
      <c r="DD40" s="199"/>
      <c r="DE40" s="199"/>
      <c r="DF40" s="199"/>
      <c r="DG40" s="199"/>
      <c r="DH40" s="199"/>
      <c r="DI40" s="199"/>
      <c r="DJ40" s="199"/>
      <c r="DK40" s="199"/>
      <c r="DL40" s="199"/>
      <c r="DM40" s="199"/>
      <c r="DN40" s="199"/>
      <c r="DO40" s="199"/>
      <c r="DP40" s="199"/>
      <c r="DQ40" s="199"/>
      <c r="DR40" s="199"/>
      <c r="DS40" s="199"/>
      <c r="DT40" s="199"/>
      <c r="DU40" s="199"/>
      <c r="DV40" s="199"/>
      <c r="DW40" s="199"/>
      <c r="DX40" s="199"/>
      <c r="DY40" s="199"/>
      <c r="DZ40" s="199"/>
      <c r="EA40" s="199"/>
      <c r="EB40" s="199"/>
      <c r="EC40" s="199"/>
      <c r="ED40" s="199"/>
      <c r="EE40" s="199"/>
      <c r="EF40" s="199"/>
      <c r="EG40" s="199"/>
      <c r="EH40" s="199"/>
      <c r="EI40" s="199"/>
      <c r="EJ40" s="199"/>
      <c r="EK40" s="199"/>
      <c r="EL40" s="199"/>
      <c r="EM40" s="199"/>
      <c r="EN40" s="199"/>
      <c r="EO40" s="199"/>
      <c r="EP40" s="199"/>
      <c r="EQ40" s="199"/>
      <c r="ER40" s="199"/>
      <c r="ES40" s="199"/>
      <c r="ET40" s="199"/>
      <c r="EU40" s="199"/>
      <c r="EV40" s="199"/>
      <c r="EW40" s="199"/>
      <c r="EX40" s="199"/>
      <c r="EY40" s="199"/>
      <c r="EZ40" s="199"/>
      <c r="FA40" s="199"/>
      <c r="FB40" s="199"/>
      <c r="FC40" s="199"/>
      <c r="FD40" s="199"/>
      <c r="FE40" s="199"/>
      <c r="FF40" s="199"/>
      <c r="FG40" s="199"/>
      <c r="FH40" s="199"/>
      <c r="FI40" s="199"/>
      <c r="FJ40" s="199"/>
      <c r="FK40" s="199"/>
      <c r="FL40" s="199"/>
      <c r="FM40" s="199"/>
      <c r="FN40" s="199"/>
      <c r="FO40" s="199"/>
      <c r="FP40" s="199"/>
      <c r="FQ40" s="199"/>
      <c r="FR40" s="199"/>
      <c r="FS40" s="199"/>
      <c r="FT40" s="199"/>
      <c r="FU40" s="199"/>
      <c r="FV40" s="199"/>
      <c r="FW40" s="199"/>
      <c r="FX40" s="199"/>
      <c r="FY40" s="199"/>
      <c r="FZ40" s="199"/>
      <c r="GA40" s="199"/>
      <c r="GB40" s="199"/>
      <c r="GC40" s="199"/>
      <c r="GD40" s="199"/>
      <c r="GE40" s="199"/>
      <c r="GF40" s="199"/>
      <c r="GG40" s="199"/>
      <c r="GH40" s="199"/>
      <c r="GI40" s="199"/>
      <c r="GJ40" s="199"/>
      <c r="GK40" s="199"/>
      <c r="GL40" s="199"/>
      <c r="GM40" s="199"/>
      <c r="GN40" s="199"/>
      <c r="GO40" s="199"/>
      <c r="GP40" s="199"/>
      <c r="GQ40" s="199"/>
      <c r="GR40" s="199"/>
      <c r="GS40" s="199"/>
      <c r="GT40" s="199"/>
      <c r="GU40" s="199"/>
      <c r="GV40" s="199"/>
      <c r="GW40" s="199"/>
      <c r="GX40" s="199"/>
      <c r="GY40" s="199"/>
      <c r="GZ40" s="199"/>
      <c r="HA40" s="199"/>
      <c r="HB40" s="199"/>
      <c r="HC40" s="199"/>
      <c r="HD40" s="199"/>
      <c r="HE40" s="199"/>
      <c r="HF40" s="199"/>
      <c r="HG40" s="199"/>
      <c r="HH40" s="199"/>
      <c r="HI40" s="199"/>
      <c r="HJ40" s="199"/>
      <c r="HK40" s="199"/>
      <c r="HL40" s="199"/>
      <c r="HM40" s="199"/>
      <c r="HN40" s="199"/>
    </row>
    <row r="41" spans="1:222" ht="15" x14ac:dyDescent="0.25">
      <c r="A41" s="199"/>
      <c r="B41" s="192" t="s">
        <v>147</v>
      </c>
      <c r="C41" s="199"/>
      <c r="D41" s="199">
        <v>0.25881058616234398</v>
      </c>
      <c r="E41" s="199">
        <v>-0.29467696702205093</v>
      </c>
      <c r="F41" s="199">
        <v>-0.53114650625028714</v>
      </c>
      <c r="G41" s="199">
        <v>1.3353009694009126</v>
      </c>
      <c r="H41" s="199">
        <v>-0.69847229797113097</v>
      </c>
      <c r="I41" s="199">
        <v>-0.51525967464216782</v>
      </c>
      <c r="J41" s="199">
        <v>11.165403522911456</v>
      </c>
      <c r="K41" s="199">
        <v>5.4395763398494834E-2</v>
      </c>
      <c r="L41" s="199">
        <v>-5.1248734125227791E-2</v>
      </c>
      <c r="M41" s="199">
        <v>-4.5282869820507221E-2</v>
      </c>
      <c r="N41" s="199">
        <v>-0.91174440459823358</v>
      </c>
      <c r="O41" s="199">
        <v>5.8132859985501986</v>
      </c>
      <c r="P41" s="199">
        <v>-0.13706379247811074</v>
      </c>
      <c r="Q41" s="199">
        <v>-0.15717280553430113</v>
      </c>
      <c r="R41" s="199">
        <v>1.0180276864727147</v>
      </c>
      <c r="S41" s="199">
        <v>0.14381426941976172</v>
      </c>
      <c r="T41" s="199">
        <v>0.29973356939787643</v>
      </c>
      <c r="U41" s="199">
        <v>0.18696559610266772</v>
      </c>
      <c r="V41" s="199">
        <v>-0.40971397803082221</v>
      </c>
      <c r="W41" s="199">
        <v>1.1026863595234997</v>
      </c>
      <c r="X41" s="199">
        <v>-0.38948481279957747</v>
      </c>
      <c r="Y41" s="199">
        <v>0.42662122870365748</v>
      </c>
      <c r="Z41" s="199">
        <v>4.6478375468858912E-2</v>
      </c>
      <c r="AA41" s="199">
        <v>5.8800000166905564E-2</v>
      </c>
      <c r="AB41" s="199">
        <v>-7.5369237323371308E-2</v>
      </c>
      <c r="AC41" s="199">
        <v>-0.11721690819155073</v>
      </c>
      <c r="AD41" s="199">
        <v>-0.1925889078341384</v>
      </c>
      <c r="AE41" s="199">
        <v>0.25959841195856725</v>
      </c>
      <c r="AF41" s="199">
        <v>-0.30990618774169676</v>
      </c>
      <c r="AG41" s="199">
        <v>-0.11261753961879528</v>
      </c>
      <c r="AH41" s="199">
        <v>-0.29765869064843098</v>
      </c>
      <c r="AI41" s="199">
        <v>-3.2229221641271177E-3</v>
      </c>
      <c r="AJ41" s="199">
        <v>0.211383773208764</v>
      </c>
      <c r="AK41" s="199">
        <v>0.13988188159932946</v>
      </c>
      <c r="AL41" s="199">
        <v>-1.5089217222521796</v>
      </c>
      <c r="AM41" s="199">
        <v>-2.1954282710746638</v>
      </c>
      <c r="AN41" s="199">
        <v>0.30695113480718494</v>
      </c>
      <c r="AO41" s="199">
        <v>2.4751284879752644E-2</v>
      </c>
      <c r="AP41" s="199"/>
      <c r="AQ41" s="199"/>
      <c r="AR41" s="199"/>
      <c r="AS41" s="199"/>
      <c r="AT41" s="199"/>
      <c r="AU41" s="199"/>
      <c r="AV41" s="199"/>
      <c r="AW41" s="199"/>
      <c r="AX41" s="199"/>
      <c r="AY41" s="199"/>
      <c r="AZ41" s="199"/>
      <c r="BA41" s="199"/>
      <c r="BB41" s="199"/>
      <c r="BC41" s="199"/>
      <c r="BD41" s="199"/>
      <c r="BE41" s="199"/>
      <c r="BF41" s="199"/>
      <c r="BG41" s="199"/>
      <c r="BH41" s="199"/>
      <c r="BI41" s="199"/>
      <c r="BJ41" s="199"/>
      <c r="BK41" s="199"/>
      <c r="BL41" s="199"/>
      <c r="BM41" s="199"/>
      <c r="BN41" s="199"/>
      <c r="BO41" s="199"/>
      <c r="BP41" s="199"/>
      <c r="BQ41" s="199"/>
      <c r="BR41" s="199"/>
      <c r="BS41" s="199"/>
      <c r="BT41" s="199"/>
      <c r="BU41" s="199"/>
      <c r="BV41" s="199"/>
      <c r="BW41" s="199"/>
      <c r="BX41" s="199"/>
      <c r="BY41" s="199"/>
      <c r="BZ41" s="199"/>
      <c r="CA41" s="199"/>
      <c r="CB41" s="199"/>
      <c r="CC41" s="199"/>
      <c r="CD41" s="199"/>
      <c r="CE41" s="199"/>
      <c r="CF41" s="199"/>
      <c r="CG41" s="199"/>
      <c r="CH41" s="199"/>
      <c r="CI41" s="199"/>
      <c r="CJ41" s="199"/>
      <c r="CK41" s="199"/>
      <c r="CL41" s="199"/>
      <c r="CM41" s="199"/>
      <c r="CN41" s="199"/>
      <c r="CO41" s="199"/>
      <c r="CP41" s="199"/>
      <c r="CQ41" s="199"/>
      <c r="CR41" s="199"/>
      <c r="CS41" s="199"/>
      <c r="CT41" s="199"/>
      <c r="CU41" s="199"/>
      <c r="CV41" s="199"/>
      <c r="CW41" s="199"/>
      <c r="CX41" s="199"/>
      <c r="CY41" s="199"/>
      <c r="CZ41" s="199"/>
      <c r="DA41" s="199"/>
      <c r="DB41" s="199"/>
      <c r="DC41" s="199"/>
      <c r="DD41" s="199"/>
      <c r="DE41" s="199"/>
      <c r="DF41" s="199"/>
      <c r="DG41" s="199"/>
      <c r="DH41" s="199"/>
      <c r="DI41" s="199"/>
      <c r="DJ41" s="199"/>
      <c r="DK41" s="199"/>
      <c r="DL41" s="199"/>
      <c r="DM41" s="199"/>
      <c r="DN41" s="199"/>
      <c r="DO41" s="199"/>
      <c r="DP41" s="199"/>
      <c r="DQ41" s="199"/>
      <c r="DR41" s="199"/>
      <c r="DS41" s="199"/>
      <c r="DT41" s="199"/>
      <c r="DU41" s="199"/>
      <c r="DV41" s="199"/>
      <c r="DW41" s="199"/>
      <c r="DX41" s="199"/>
      <c r="DY41" s="199"/>
      <c r="DZ41" s="199"/>
      <c r="EA41" s="199"/>
      <c r="EB41" s="199"/>
      <c r="EC41" s="199"/>
      <c r="ED41" s="199"/>
      <c r="EE41" s="199"/>
      <c r="EF41" s="199"/>
      <c r="EG41" s="199"/>
      <c r="EH41" s="199"/>
      <c r="EI41" s="199"/>
      <c r="EJ41" s="199"/>
      <c r="EK41" s="199"/>
      <c r="EL41" s="199"/>
      <c r="EM41" s="199"/>
      <c r="EN41" s="199"/>
      <c r="EO41" s="199"/>
      <c r="EP41" s="199"/>
      <c r="EQ41" s="199"/>
      <c r="ER41" s="199"/>
      <c r="ES41" s="199"/>
      <c r="ET41" s="199"/>
      <c r="EU41" s="199"/>
      <c r="EV41" s="199"/>
      <c r="EW41" s="199"/>
      <c r="EX41" s="199"/>
      <c r="EY41" s="199"/>
      <c r="EZ41" s="199"/>
      <c r="FA41" s="199"/>
      <c r="FB41" s="199"/>
      <c r="FC41" s="199"/>
      <c r="FD41" s="199"/>
      <c r="FE41" s="199"/>
      <c r="FF41" s="199"/>
      <c r="FG41" s="199"/>
      <c r="FH41" s="199"/>
      <c r="FI41" s="199"/>
      <c r="FJ41" s="199"/>
      <c r="FK41" s="199"/>
      <c r="FL41" s="199"/>
      <c r="FM41" s="199"/>
      <c r="FN41" s="199"/>
      <c r="FO41" s="199"/>
      <c r="FP41" s="199"/>
      <c r="FQ41" s="199"/>
      <c r="FR41" s="199"/>
      <c r="FS41" s="199"/>
      <c r="FT41" s="199"/>
      <c r="FU41" s="199"/>
      <c r="FV41" s="199"/>
      <c r="FW41" s="199"/>
      <c r="FX41" s="199"/>
      <c r="FY41" s="199"/>
      <c r="FZ41" s="199"/>
      <c r="GA41" s="199"/>
      <c r="GB41" s="199"/>
      <c r="GC41" s="199"/>
      <c r="GD41" s="199"/>
      <c r="GE41" s="199"/>
      <c r="GF41" s="199"/>
      <c r="GG41" s="199"/>
      <c r="GH41" s="199"/>
      <c r="GI41" s="199"/>
      <c r="GJ41" s="199"/>
      <c r="GK41" s="199"/>
      <c r="GL41" s="199"/>
      <c r="GM41" s="199"/>
      <c r="GN41" s="199"/>
      <c r="GO41" s="199"/>
      <c r="GP41" s="199"/>
      <c r="GQ41" s="199"/>
      <c r="GR41" s="199"/>
      <c r="GS41" s="199"/>
      <c r="GT41" s="199"/>
      <c r="GU41" s="199"/>
      <c r="GV41" s="199"/>
      <c r="GW41" s="199"/>
      <c r="GX41" s="199"/>
      <c r="GY41" s="199"/>
      <c r="GZ41" s="199"/>
      <c r="HA41" s="199"/>
      <c r="HB41" s="199"/>
      <c r="HC41" s="199"/>
      <c r="HD41" s="199"/>
      <c r="HE41" s="199"/>
      <c r="HF41" s="199"/>
      <c r="HG41" s="199"/>
      <c r="HH41" s="199"/>
      <c r="HI41" s="199"/>
      <c r="HJ41" s="199"/>
      <c r="HK41" s="199"/>
      <c r="HL41" s="199"/>
      <c r="HM41" s="199"/>
      <c r="HN41" s="199"/>
    </row>
    <row r="42" spans="1:222" ht="15" x14ac:dyDescent="0.25">
      <c r="A42" s="199"/>
      <c r="B42" s="195" t="s">
        <v>146</v>
      </c>
      <c r="C42" s="199"/>
      <c r="D42" s="199">
        <v>9.5812870684611084E-2</v>
      </c>
      <c r="E42" s="199">
        <v>2.9266336901306422E-2</v>
      </c>
      <c r="F42" s="199">
        <v>0.10328606298355725</v>
      </c>
      <c r="G42" s="199">
        <v>4.5530332454024602E-3</v>
      </c>
      <c r="H42" s="199">
        <v>0.14405762833352953</v>
      </c>
      <c r="I42" s="199">
        <v>6.5307853582032838E-2</v>
      </c>
      <c r="J42" s="199">
        <v>-0.32270516061549559</v>
      </c>
      <c r="K42" s="199">
        <v>4.9339982507975666E-2</v>
      </c>
      <c r="L42" s="199">
        <v>4.3760223716917679E-2</v>
      </c>
      <c r="M42" s="199">
        <v>7.7839167806086351E-2</v>
      </c>
      <c r="N42" s="199">
        <v>0.38565862340756185</v>
      </c>
      <c r="O42" s="199">
        <v>-0.21899363199422139</v>
      </c>
      <c r="P42" s="199">
        <v>9.1914873141606623E-2</v>
      </c>
      <c r="Q42" s="199">
        <v>3.2034238664030656E-2</v>
      </c>
      <c r="R42" s="199">
        <v>-2.4279768125382351E-2</v>
      </c>
      <c r="S42" s="199">
        <v>-0.34389443194318314</v>
      </c>
      <c r="T42" s="199">
        <v>0.29177208494449847</v>
      </c>
      <c r="U42" s="199">
        <v>1.7923119576318758E-2</v>
      </c>
      <c r="V42" s="199">
        <v>6.7925309825903391E-2</v>
      </c>
      <c r="W42" s="199">
        <v>9.2807765592293645E-2</v>
      </c>
      <c r="X42" s="199">
        <v>-0.24601023195785765</v>
      </c>
      <c r="Y42" s="199">
        <v>-4.315913201579813E-2</v>
      </c>
      <c r="Z42" s="199">
        <v>2.4783299608776233E-2</v>
      </c>
      <c r="AA42" s="199">
        <v>-2.1927571466939022E-2</v>
      </c>
      <c r="AB42" s="199">
        <v>-4.0940171264232106E-2</v>
      </c>
      <c r="AC42" s="199">
        <v>-0.10795100196017859</v>
      </c>
      <c r="AD42" s="199">
        <v>0.3020257505204671</v>
      </c>
      <c r="AE42" s="199">
        <v>3.5434503102440118E-2</v>
      </c>
      <c r="AF42" s="199">
        <v>0.23724705605513274</v>
      </c>
      <c r="AG42" s="199">
        <v>3.7206099311173579E-2</v>
      </c>
      <c r="AH42" s="199">
        <v>3.3078291744941257E-2</v>
      </c>
      <c r="AI42" s="199">
        <v>-5.4505822817410232E-2</v>
      </c>
      <c r="AJ42" s="199">
        <v>-5.6591363996455146E-2</v>
      </c>
      <c r="AK42" s="199">
        <v>0.41118806108257311</v>
      </c>
      <c r="AL42" s="199">
        <v>1.1325115670190566E-2</v>
      </c>
      <c r="AM42" s="199">
        <v>0.12255001430591861</v>
      </c>
      <c r="AN42" s="199">
        <v>2.8520980396321116E-2</v>
      </c>
      <c r="AO42" s="199">
        <v>5.9223562290722898E-2</v>
      </c>
      <c r="AP42" s="199"/>
      <c r="AQ42" s="199"/>
      <c r="AR42" s="199"/>
      <c r="AS42" s="199"/>
      <c r="AT42" s="199"/>
      <c r="AU42" s="199"/>
      <c r="AV42" s="199"/>
      <c r="AW42" s="199"/>
      <c r="AX42" s="199"/>
      <c r="AY42" s="199"/>
      <c r="AZ42" s="199"/>
      <c r="BA42" s="199"/>
      <c r="BB42" s="199"/>
      <c r="BC42" s="199"/>
      <c r="BD42" s="199"/>
      <c r="BE42" s="199"/>
      <c r="BF42" s="199"/>
      <c r="BG42" s="199"/>
      <c r="BH42" s="199"/>
      <c r="BI42" s="199"/>
      <c r="BJ42" s="199"/>
      <c r="BK42" s="199"/>
      <c r="BL42" s="199"/>
      <c r="BM42" s="199"/>
      <c r="BN42" s="199"/>
      <c r="BO42" s="199"/>
      <c r="BP42" s="199"/>
      <c r="BQ42" s="199"/>
      <c r="BR42" s="199"/>
      <c r="BS42" s="199"/>
      <c r="BT42" s="199"/>
      <c r="BU42" s="199"/>
      <c r="BV42" s="199"/>
      <c r="BW42" s="199"/>
      <c r="BX42" s="199"/>
      <c r="BY42" s="199"/>
      <c r="BZ42" s="199"/>
      <c r="CA42" s="199"/>
      <c r="CB42" s="199"/>
      <c r="CC42" s="199"/>
      <c r="CD42" s="199"/>
      <c r="CE42" s="199"/>
      <c r="CF42" s="199"/>
      <c r="CG42" s="199"/>
      <c r="CH42" s="199"/>
      <c r="CI42" s="199"/>
      <c r="CJ42" s="199"/>
      <c r="CK42" s="199"/>
      <c r="CL42" s="199"/>
      <c r="CM42" s="199"/>
      <c r="CN42" s="199"/>
      <c r="CO42" s="199"/>
      <c r="CP42" s="199"/>
      <c r="CQ42" s="199"/>
      <c r="CR42" s="199"/>
      <c r="CS42" s="199"/>
      <c r="CT42" s="199"/>
      <c r="CU42" s="199"/>
      <c r="CV42" s="199"/>
      <c r="CW42" s="199"/>
      <c r="CX42" s="199"/>
      <c r="CY42" s="199"/>
      <c r="CZ42" s="199"/>
      <c r="DA42" s="199"/>
      <c r="DB42" s="199"/>
      <c r="DC42" s="199"/>
      <c r="DD42" s="199"/>
      <c r="DE42" s="199"/>
      <c r="DF42" s="199"/>
      <c r="DG42" s="199"/>
      <c r="DH42" s="199"/>
      <c r="DI42" s="199"/>
      <c r="DJ42" s="199"/>
      <c r="DK42" s="199"/>
      <c r="DL42" s="199"/>
      <c r="DM42" s="199"/>
      <c r="DN42" s="199"/>
      <c r="DO42" s="199"/>
      <c r="DP42" s="199"/>
      <c r="DQ42" s="199"/>
      <c r="DR42" s="199"/>
      <c r="DS42" s="199"/>
      <c r="DT42" s="199"/>
      <c r="DU42" s="199"/>
      <c r="DV42" s="199"/>
      <c r="DW42" s="199"/>
      <c r="DX42" s="199"/>
      <c r="DY42" s="199"/>
      <c r="DZ42" s="199"/>
      <c r="EA42" s="199"/>
      <c r="EB42" s="199"/>
      <c r="EC42" s="199"/>
      <c r="ED42" s="199"/>
      <c r="EE42" s="199"/>
      <c r="EF42" s="199"/>
      <c r="EG42" s="199"/>
      <c r="EH42" s="199"/>
      <c r="EI42" s="199"/>
      <c r="EJ42" s="199"/>
      <c r="EK42" s="199"/>
      <c r="EL42" s="199"/>
      <c r="EM42" s="199"/>
      <c r="EN42" s="199"/>
      <c r="EO42" s="199"/>
      <c r="EP42" s="199"/>
      <c r="EQ42" s="199"/>
      <c r="ER42" s="199"/>
      <c r="ES42" s="199"/>
      <c r="ET42" s="199"/>
      <c r="EU42" s="199"/>
      <c r="EV42" s="199"/>
      <c r="EW42" s="199"/>
      <c r="EX42" s="199"/>
      <c r="EY42" s="199"/>
      <c r="EZ42" s="199"/>
      <c r="FA42" s="199"/>
      <c r="FB42" s="199"/>
      <c r="FC42" s="199"/>
      <c r="FD42" s="199"/>
      <c r="FE42" s="199"/>
      <c r="FF42" s="199"/>
      <c r="FG42" s="199"/>
      <c r="FH42" s="199"/>
      <c r="FI42" s="199"/>
      <c r="FJ42" s="199"/>
      <c r="FK42" s="199"/>
      <c r="FL42" s="199"/>
      <c r="FM42" s="199"/>
      <c r="FN42" s="199"/>
      <c r="FO42" s="199"/>
      <c r="FP42" s="199"/>
      <c r="FQ42" s="199"/>
      <c r="FR42" s="199"/>
      <c r="FS42" s="199"/>
      <c r="FT42" s="199"/>
      <c r="FU42" s="199"/>
      <c r="FV42" s="199"/>
      <c r="FW42" s="199"/>
      <c r="FX42" s="199"/>
      <c r="FY42" s="199"/>
      <c r="FZ42" s="199"/>
      <c r="GA42" s="199"/>
      <c r="GB42" s="199"/>
      <c r="GC42" s="199"/>
      <c r="GD42" s="199"/>
      <c r="GE42" s="199"/>
      <c r="GF42" s="199"/>
      <c r="GG42" s="199"/>
      <c r="GH42" s="199"/>
      <c r="GI42" s="199"/>
      <c r="GJ42" s="199"/>
      <c r="GK42" s="199"/>
      <c r="GL42" s="199"/>
      <c r="GM42" s="199"/>
      <c r="GN42" s="199"/>
      <c r="GO42" s="199"/>
      <c r="GP42" s="199"/>
      <c r="GQ42" s="199"/>
      <c r="GR42" s="199"/>
      <c r="GS42" s="199"/>
      <c r="GT42" s="199"/>
      <c r="GU42" s="199"/>
      <c r="GV42" s="199"/>
      <c r="GW42" s="199"/>
      <c r="GX42" s="199"/>
      <c r="GY42" s="199"/>
      <c r="GZ42" s="199"/>
      <c r="HA42" s="199"/>
      <c r="HB42" s="199"/>
      <c r="HC42" s="199"/>
      <c r="HD42" s="199"/>
      <c r="HE42" s="199"/>
      <c r="HF42" s="199"/>
      <c r="HG42" s="199"/>
      <c r="HH42" s="199"/>
      <c r="HI42" s="199"/>
      <c r="HJ42" s="199"/>
      <c r="HK42" s="199"/>
      <c r="HL42" s="199"/>
      <c r="HM42" s="199"/>
      <c r="HN42" s="199"/>
    </row>
    <row r="43" spans="1:222" ht="15" x14ac:dyDescent="0.25">
      <c r="A43" s="199"/>
      <c r="B43" s="193" t="s">
        <v>144</v>
      </c>
      <c r="C43" s="199"/>
      <c r="D43" s="199">
        <v>-2.5615243035264412E-2</v>
      </c>
      <c r="E43" s="199">
        <v>6.4430864153197209E-2</v>
      </c>
      <c r="F43" s="199">
        <v>0.1049931997615372</v>
      </c>
      <c r="G43" s="199">
        <v>1.3451904021407834E-2</v>
      </c>
      <c r="H43" s="199">
        <v>0.17115550214925479</v>
      </c>
      <c r="I43" s="199">
        <v>6.826322606214541E-2</v>
      </c>
      <c r="J43" s="199">
        <v>-0.35302956698752264</v>
      </c>
      <c r="K43" s="199">
        <v>9.9858244979369459E-3</v>
      </c>
      <c r="L43" s="199">
        <v>6.6337573124523264E-2</v>
      </c>
      <c r="M43" s="199">
        <v>0.1149314033292741</v>
      </c>
      <c r="N43" s="199">
        <v>0.5397614440486409</v>
      </c>
      <c r="O43" s="199">
        <v>-0.29157584497332223</v>
      </c>
      <c r="P43" s="199">
        <v>8.8029298615187157E-2</v>
      </c>
      <c r="Q43" s="199">
        <v>3.1469102257198678E-2</v>
      </c>
      <c r="R43" s="199">
        <v>3.0238125102599378E-2</v>
      </c>
      <c r="S43" s="199">
        <v>-0.19548232899309981</v>
      </c>
      <c r="T43" s="199">
        <v>0.27503208202591534</v>
      </c>
      <c r="U43" s="199">
        <v>-3.5162335263755895E-2</v>
      </c>
      <c r="V43" s="199">
        <v>1.1713710385339082E-2</v>
      </c>
      <c r="W43" s="199">
        <v>9.4610907492201468E-2</v>
      </c>
      <c r="X43" s="199">
        <v>-0.28445112401762285</v>
      </c>
      <c r="Y43" s="199">
        <v>-3.202762312316354E-2</v>
      </c>
      <c r="Z43" s="199">
        <v>2.8352426481121684E-2</v>
      </c>
      <c r="AA43" s="199">
        <v>-3.1925262924639708E-2</v>
      </c>
      <c r="AB43" s="199">
        <v>2.3105849392961453E-2</v>
      </c>
      <c r="AC43" s="199">
        <v>-0.18489704558740228</v>
      </c>
      <c r="AD43" s="199">
        <v>0.4395221085483636</v>
      </c>
      <c r="AE43" s="199">
        <v>-2.143758349887126E-2</v>
      </c>
      <c r="AF43" s="199">
        <v>0.25055434326607462</v>
      </c>
      <c r="AG43" s="199">
        <v>4.0742898748766576E-2</v>
      </c>
      <c r="AH43" s="199">
        <v>-3.9543718139998241E-3</v>
      </c>
      <c r="AI43" s="199">
        <v>-2.5706646725720428E-2</v>
      </c>
      <c r="AJ43" s="199">
        <v>-4.0117883764481443E-2</v>
      </c>
      <c r="AK43" s="199">
        <v>0.4188594749105643</v>
      </c>
      <c r="AL43" s="199">
        <v>4.1659664617677006E-2</v>
      </c>
      <c r="AM43" s="199">
        <v>0.17090612897902835</v>
      </c>
      <c r="AN43" s="199">
        <v>2.4700041749724289E-2</v>
      </c>
      <c r="AO43" s="199">
        <v>0.11230370012435675</v>
      </c>
      <c r="AP43" s="199"/>
      <c r="AQ43" s="199"/>
      <c r="AR43" s="199"/>
      <c r="AS43" s="199"/>
      <c r="AT43" s="199"/>
      <c r="AU43" s="199"/>
      <c r="AV43" s="199"/>
      <c r="AW43" s="199"/>
      <c r="AX43" s="199"/>
      <c r="AY43" s="199"/>
      <c r="AZ43" s="199"/>
      <c r="BA43" s="199"/>
      <c r="BB43" s="199"/>
      <c r="BC43" s="199"/>
      <c r="BD43" s="199"/>
      <c r="BE43" s="199"/>
      <c r="BF43" s="199"/>
      <c r="BG43" s="199"/>
      <c r="BH43" s="199"/>
      <c r="BI43" s="199"/>
      <c r="BJ43" s="199"/>
      <c r="BK43" s="199"/>
      <c r="BL43" s="199"/>
      <c r="BM43" s="199"/>
      <c r="BN43" s="199"/>
      <c r="BO43" s="199"/>
      <c r="BP43" s="199"/>
      <c r="BQ43" s="199"/>
      <c r="BR43" s="199"/>
      <c r="BS43" s="199"/>
      <c r="BT43" s="199"/>
      <c r="BU43" s="199"/>
      <c r="BV43" s="199"/>
      <c r="BW43" s="199"/>
      <c r="BX43" s="199"/>
      <c r="BY43" s="199"/>
      <c r="BZ43" s="199"/>
      <c r="CA43" s="199"/>
      <c r="CB43" s="199"/>
      <c r="CC43" s="199"/>
      <c r="CD43" s="199"/>
      <c r="CE43" s="199"/>
      <c r="CF43" s="199"/>
      <c r="CG43" s="199"/>
      <c r="CH43" s="199"/>
      <c r="CI43" s="199"/>
      <c r="CJ43" s="199"/>
      <c r="CK43" s="199"/>
      <c r="CL43" s="199"/>
      <c r="CM43" s="199"/>
      <c r="CN43" s="199"/>
      <c r="CO43" s="199"/>
      <c r="CP43" s="199"/>
      <c r="CQ43" s="199"/>
      <c r="CR43" s="199"/>
      <c r="CS43" s="199"/>
      <c r="CT43" s="199"/>
      <c r="CU43" s="199"/>
      <c r="CV43" s="199"/>
      <c r="CW43" s="199"/>
      <c r="CX43" s="199"/>
      <c r="CY43" s="199"/>
      <c r="CZ43" s="199"/>
      <c r="DA43" s="199"/>
      <c r="DB43" s="199"/>
      <c r="DC43" s="199"/>
      <c r="DD43" s="199"/>
      <c r="DE43" s="199"/>
      <c r="DF43" s="199"/>
      <c r="DG43" s="199"/>
      <c r="DH43" s="199"/>
      <c r="DI43" s="199"/>
      <c r="DJ43" s="199"/>
      <c r="DK43" s="199"/>
      <c r="DL43" s="199"/>
      <c r="DM43" s="199"/>
      <c r="DN43" s="199"/>
      <c r="DO43" s="199"/>
      <c r="DP43" s="199"/>
      <c r="DQ43" s="199"/>
      <c r="DR43" s="199"/>
      <c r="DS43" s="199"/>
      <c r="DT43" s="199"/>
      <c r="DU43" s="199"/>
      <c r="DV43" s="199"/>
      <c r="DW43" s="199"/>
      <c r="DX43" s="199"/>
      <c r="DY43" s="199"/>
      <c r="DZ43" s="199"/>
      <c r="EA43" s="199"/>
      <c r="EB43" s="199"/>
      <c r="EC43" s="199"/>
      <c r="ED43" s="199"/>
      <c r="EE43" s="199"/>
      <c r="EF43" s="199"/>
      <c r="EG43" s="199"/>
      <c r="EH43" s="199"/>
      <c r="EI43" s="199"/>
      <c r="EJ43" s="199"/>
      <c r="EK43" s="199"/>
      <c r="EL43" s="199"/>
      <c r="EM43" s="199"/>
      <c r="EN43" s="199"/>
      <c r="EO43" s="199"/>
      <c r="EP43" s="199"/>
      <c r="EQ43" s="199"/>
      <c r="ER43" s="199"/>
      <c r="ES43" s="199"/>
      <c r="ET43" s="199"/>
      <c r="EU43" s="199"/>
      <c r="EV43" s="199"/>
      <c r="EW43" s="199"/>
      <c r="EX43" s="199"/>
      <c r="EY43" s="199"/>
      <c r="EZ43" s="199"/>
      <c r="FA43" s="199"/>
      <c r="FB43" s="199"/>
      <c r="FC43" s="199"/>
      <c r="FD43" s="199"/>
      <c r="FE43" s="199"/>
      <c r="FF43" s="199"/>
      <c r="FG43" s="199"/>
      <c r="FH43" s="199"/>
      <c r="FI43" s="199"/>
      <c r="FJ43" s="199"/>
      <c r="FK43" s="199"/>
      <c r="FL43" s="199"/>
      <c r="FM43" s="199"/>
      <c r="FN43" s="199"/>
      <c r="FO43" s="199"/>
      <c r="FP43" s="199"/>
      <c r="FQ43" s="199"/>
      <c r="FR43" s="199"/>
      <c r="FS43" s="199"/>
      <c r="FT43" s="199"/>
      <c r="FU43" s="199"/>
      <c r="FV43" s="199"/>
      <c r="FW43" s="199"/>
      <c r="FX43" s="199"/>
      <c r="FY43" s="199"/>
      <c r="FZ43" s="199"/>
      <c r="GA43" s="199"/>
      <c r="GB43" s="199"/>
      <c r="GC43" s="199"/>
      <c r="GD43" s="199"/>
      <c r="GE43" s="199"/>
      <c r="GF43" s="199"/>
      <c r="GG43" s="199"/>
      <c r="GH43" s="199"/>
      <c r="GI43" s="199"/>
      <c r="GJ43" s="199"/>
      <c r="GK43" s="199"/>
      <c r="GL43" s="199"/>
      <c r="GM43" s="199"/>
      <c r="GN43" s="199"/>
      <c r="GO43" s="199"/>
      <c r="GP43" s="199"/>
      <c r="GQ43" s="199"/>
      <c r="GR43" s="199"/>
      <c r="GS43" s="199"/>
      <c r="GT43" s="199"/>
      <c r="GU43" s="199"/>
      <c r="GV43" s="199"/>
      <c r="GW43" s="199"/>
      <c r="GX43" s="199"/>
      <c r="GY43" s="199"/>
      <c r="GZ43" s="199"/>
      <c r="HA43" s="199"/>
      <c r="HB43" s="199"/>
      <c r="HC43" s="199"/>
      <c r="HD43" s="199"/>
      <c r="HE43" s="199"/>
      <c r="HF43" s="199"/>
      <c r="HG43" s="199"/>
      <c r="HH43" s="199"/>
      <c r="HI43" s="199"/>
      <c r="HJ43" s="199"/>
      <c r="HK43" s="199"/>
      <c r="HL43" s="199"/>
      <c r="HM43" s="199"/>
      <c r="HN43" s="199"/>
    </row>
    <row r="44" spans="1:222" ht="15" x14ac:dyDescent="0.25">
      <c r="A44" s="199"/>
      <c r="B44" s="193" t="s">
        <v>143</v>
      </c>
      <c r="C44" s="199"/>
      <c r="D44" s="199">
        <v>0.37723075547777629</v>
      </c>
      <c r="E44" s="199">
        <v>-2.8391852144814322E-2</v>
      </c>
      <c r="F44" s="199">
        <v>0.1002195073786587</v>
      </c>
      <c r="G44" s="199">
        <v>-1.150150022737495E-2</v>
      </c>
      <c r="H44" s="199">
        <v>9.3936004330587908E-2</v>
      </c>
      <c r="I44" s="199">
        <v>5.9455577716257757E-2</v>
      </c>
      <c r="J44" s="199">
        <v>-0.26215707734789773</v>
      </c>
      <c r="K44" s="199">
        <v>0.11823998447070849</v>
      </c>
      <c r="L44" s="199">
        <v>8.0591050420741883E-3</v>
      </c>
      <c r="M44" s="199">
        <v>1.5795052718292402E-2</v>
      </c>
      <c r="N44" s="199">
        <v>0.10273433732565618</v>
      </c>
      <c r="O44" s="199">
        <v>-3.2925332433270338E-2</v>
      </c>
      <c r="P44" s="199">
        <v>9.9211645210621757E-2</v>
      </c>
      <c r="Q44" s="199">
        <v>3.3084719400034102E-2</v>
      </c>
      <c r="R44" s="199">
        <v>-0.12545964735060144</v>
      </c>
      <c r="S44" s="199">
        <v>-0.66837012964787368</v>
      </c>
      <c r="T44" s="199">
        <v>0.38055927915736465</v>
      </c>
      <c r="U44" s="199">
        <v>0.27796086893010896</v>
      </c>
      <c r="V44" s="199">
        <v>0.27581047145972448</v>
      </c>
      <c r="W44" s="199">
        <v>8.7519674508545364E-2</v>
      </c>
      <c r="X44" s="199">
        <v>-0.13253916777046559</v>
      </c>
      <c r="Y44" s="199">
        <v>-7.0263241156522716E-2</v>
      </c>
      <c r="Z44" s="199">
        <v>1.573543594086324E-2</v>
      </c>
      <c r="AA44" s="199">
        <v>3.7317498277955607E-3</v>
      </c>
      <c r="AB44" s="199">
        <v>-0.19947650523007376</v>
      </c>
      <c r="AC44" s="199">
        <v>0.13547638629882885</v>
      </c>
      <c r="AD44" s="199">
        <v>-1.0228745499617165E-2</v>
      </c>
      <c r="AE44" s="199">
        <v>0.2232797327875784</v>
      </c>
      <c r="AF44" s="199">
        <v>0.20208669793123812</v>
      </c>
      <c r="AG44" s="199">
        <v>2.7484427185200611E-2</v>
      </c>
      <c r="AH44" s="199">
        <v>0.13618423380347644</v>
      </c>
      <c r="AI44" s="199">
        <v>-0.12479837038458119</v>
      </c>
      <c r="AJ44" s="199">
        <v>-0.10135199511047654</v>
      </c>
      <c r="AK44" s="199">
        <v>0.38892347943429106</v>
      </c>
      <c r="AL44" s="199">
        <v>-7.8611747240383778E-2</v>
      </c>
      <c r="AM44" s="199">
        <v>-3.9531978868345252E-2</v>
      </c>
      <c r="AN44" s="199">
        <v>4.4134204875228011E-2</v>
      </c>
      <c r="AO44" s="199">
        <v>-0.15363690555671194</v>
      </c>
      <c r="AP44" s="199"/>
      <c r="AQ44" s="199"/>
      <c r="AR44" s="199"/>
      <c r="AS44" s="199"/>
      <c r="AT44" s="199"/>
      <c r="AU44" s="199"/>
      <c r="AV44" s="199"/>
      <c r="AW44" s="199"/>
      <c r="AX44" s="199"/>
      <c r="AY44" s="199"/>
      <c r="AZ44" s="199"/>
      <c r="BA44" s="199"/>
      <c r="BB44" s="199"/>
      <c r="BC44" s="199"/>
      <c r="BD44" s="199"/>
      <c r="BE44" s="199"/>
      <c r="BF44" s="199"/>
      <c r="BG44" s="199"/>
      <c r="BH44" s="199"/>
      <c r="BI44" s="199"/>
      <c r="BJ44" s="199"/>
      <c r="BK44" s="199"/>
      <c r="BL44" s="199"/>
      <c r="BM44" s="199"/>
      <c r="BN44" s="199"/>
      <c r="BO44" s="199"/>
      <c r="BP44" s="199"/>
      <c r="BQ44" s="199"/>
      <c r="BR44" s="199"/>
      <c r="BS44" s="199"/>
      <c r="BT44" s="199"/>
      <c r="BU44" s="199"/>
      <c r="BV44" s="199"/>
      <c r="BW44" s="199"/>
      <c r="BX44" s="199"/>
      <c r="BY44" s="199"/>
      <c r="BZ44" s="199"/>
      <c r="CA44" s="199"/>
      <c r="CB44" s="199"/>
      <c r="CC44" s="199"/>
      <c r="CD44" s="199"/>
      <c r="CE44" s="199"/>
      <c r="CF44" s="199"/>
      <c r="CG44" s="199"/>
      <c r="CH44" s="199"/>
      <c r="CI44" s="199"/>
      <c r="CJ44" s="199"/>
      <c r="CK44" s="199"/>
      <c r="CL44" s="199"/>
      <c r="CM44" s="199"/>
      <c r="CN44" s="199"/>
      <c r="CO44" s="199"/>
      <c r="CP44" s="199"/>
      <c r="CQ44" s="199"/>
      <c r="CR44" s="199"/>
      <c r="CS44" s="199"/>
      <c r="CT44" s="199"/>
      <c r="CU44" s="199"/>
      <c r="CV44" s="199"/>
      <c r="CW44" s="199"/>
      <c r="CX44" s="199"/>
      <c r="CY44" s="199"/>
      <c r="CZ44" s="199"/>
      <c r="DA44" s="199"/>
      <c r="DB44" s="199"/>
      <c r="DC44" s="199"/>
      <c r="DD44" s="199"/>
      <c r="DE44" s="199"/>
      <c r="DF44" s="199"/>
      <c r="DG44" s="199"/>
      <c r="DH44" s="199"/>
      <c r="DI44" s="199"/>
      <c r="DJ44" s="199"/>
      <c r="DK44" s="199"/>
      <c r="DL44" s="199"/>
      <c r="DM44" s="199"/>
      <c r="DN44" s="199"/>
      <c r="DO44" s="199"/>
      <c r="DP44" s="199"/>
      <c r="DQ44" s="199"/>
      <c r="DR44" s="199"/>
      <c r="DS44" s="199"/>
      <c r="DT44" s="199"/>
      <c r="DU44" s="199"/>
      <c r="DV44" s="199"/>
      <c r="DW44" s="199"/>
      <c r="DX44" s="199"/>
      <c r="DY44" s="199"/>
      <c r="DZ44" s="199"/>
      <c r="EA44" s="199"/>
      <c r="EB44" s="199"/>
      <c r="EC44" s="199"/>
      <c r="ED44" s="199"/>
      <c r="EE44" s="199"/>
      <c r="EF44" s="199"/>
      <c r="EG44" s="199"/>
      <c r="EH44" s="199"/>
      <c r="EI44" s="199"/>
      <c r="EJ44" s="199"/>
      <c r="EK44" s="199"/>
      <c r="EL44" s="199"/>
      <c r="EM44" s="199"/>
      <c r="EN44" s="199"/>
      <c r="EO44" s="199"/>
      <c r="EP44" s="199"/>
      <c r="EQ44" s="199"/>
      <c r="ER44" s="199"/>
      <c r="ES44" s="199"/>
      <c r="ET44" s="199"/>
      <c r="EU44" s="199"/>
      <c r="EV44" s="199"/>
      <c r="EW44" s="199"/>
      <c r="EX44" s="199"/>
      <c r="EY44" s="199"/>
      <c r="EZ44" s="199"/>
      <c r="FA44" s="199"/>
      <c r="FB44" s="199"/>
      <c r="FC44" s="199"/>
      <c r="FD44" s="199"/>
      <c r="FE44" s="199"/>
      <c r="FF44" s="199"/>
      <c r="FG44" s="199"/>
      <c r="FH44" s="199"/>
      <c r="FI44" s="199"/>
      <c r="FJ44" s="199"/>
      <c r="FK44" s="199"/>
      <c r="FL44" s="199"/>
      <c r="FM44" s="199"/>
      <c r="FN44" s="199"/>
      <c r="FO44" s="199"/>
      <c r="FP44" s="199"/>
      <c r="FQ44" s="199"/>
      <c r="FR44" s="199"/>
      <c r="FS44" s="199"/>
      <c r="FT44" s="199"/>
      <c r="FU44" s="199"/>
      <c r="FV44" s="199"/>
      <c r="FW44" s="199"/>
      <c r="FX44" s="199"/>
      <c r="FY44" s="199"/>
      <c r="FZ44" s="199"/>
      <c r="GA44" s="199"/>
      <c r="GB44" s="199"/>
      <c r="GC44" s="199"/>
      <c r="GD44" s="199"/>
      <c r="GE44" s="199"/>
      <c r="GF44" s="199"/>
      <c r="GG44" s="199"/>
      <c r="GH44" s="199"/>
      <c r="GI44" s="199"/>
      <c r="GJ44" s="199"/>
      <c r="GK44" s="199"/>
      <c r="GL44" s="199"/>
      <c r="GM44" s="199"/>
      <c r="GN44" s="199"/>
      <c r="GO44" s="199"/>
      <c r="GP44" s="199"/>
      <c r="GQ44" s="199"/>
      <c r="GR44" s="199"/>
      <c r="GS44" s="199"/>
      <c r="GT44" s="199"/>
      <c r="GU44" s="199"/>
      <c r="GV44" s="199"/>
      <c r="GW44" s="199"/>
      <c r="GX44" s="199"/>
      <c r="GY44" s="199"/>
      <c r="GZ44" s="199"/>
      <c r="HA44" s="199"/>
      <c r="HB44" s="199"/>
      <c r="HC44" s="199"/>
      <c r="HD44" s="199"/>
      <c r="HE44" s="199"/>
      <c r="HF44" s="199"/>
      <c r="HG44" s="199"/>
      <c r="HH44" s="199"/>
      <c r="HI44" s="199"/>
      <c r="HJ44" s="199"/>
      <c r="HK44" s="199"/>
      <c r="HL44" s="199"/>
      <c r="HM44" s="199"/>
      <c r="HN44" s="199"/>
    </row>
    <row r="45" spans="1:222" ht="15" x14ac:dyDescent="0.25">
      <c r="A45" s="199"/>
      <c r="B45" s="195" t="s">
        <v>145</v>
      </c>
      <c r="C45" s="199"/>
      <c r="D45" s="199">
        <v>0.13135241288454047</v>
      </c>
      <c r="E45" s="199">
        <v>-4.9322669499058946E-2</v>
      </c>
      <c r="F45" s="199">
        <v>-1.0905282179004328E-2</v>
      </c>
      <c r="G45" s="199">
        <v>0.11809143968839542</v>
      </c>
      <c r="H45" s="199">
        <v>-6.0828745130309114E-3</v>
      </c>
      <c r="I45" s="199">
        <v>3.3921394980324093E-2</v>
      </c>
      <c r="J45" s="199">
        <v>-3.1526370060185993E-2</v>
      </c>
      <c r="K45" s="199">
        <v>5.094965738247037E-2</v>
      </c>
      <c r="L45" s="199">
        <v>1.3411794702645752E-2</v>
      </c>
      <c r="M45" s="199">
        <v>4.1020008456113199E-2</v>
      </c>
      <c r="N45" s="199">
        <v>2.9840045422145689E-2</v>
      </c>
      <c r="O45" s="199">
        <v>-7.7216021783293565E-2</v>
      </c>
      <c r="P45" s="199">
        <v>5.2179455642214378E-2</v>
      </c>
      <c r="Q45" s="199">
        <v>5.1059387553447078E-3</v>
      </c>
      <c r="R45" s="199">
        <v>0.1001127269820179</v>
      </c>
      <c r="S45" s="199">
        <v>-0.23712454800794458</v>
      </c>
      <c r="T45" s="199">
        <v>0.29438535437306301</v>
      </c>
      <c r="U45" s="199">
        <v>7.3638708926200724E-2</v>
      </c>
      <c r="V45" s="199">
        <v>-0.10611942690297727</v>
      </c>
      <c r="W45" s="199">
        <v>0.33581154005887259</v>
      </c>
      <c r="X45" s="199">
        <v>-0.30035379676001606</v>
      </c>
      <c r="Y45" s="199">
        <v>0.11211031500209989</v>
      </c>
      <c r="Z45" s="199">
        <v>3.398171749100487E-2</v>
      </c>
      <c r="AA45" s="199">
        <v>1.2713494686741988E-2</v>
      </c>
      <c r="AB45" s="199">
        <v>-5.638638139808716E-2</v>
      </c>
      <c r="AC45" s="199">
        <v>-0.11202441768894811</v>
      </c>
      <c r="AD45" s="199">
        <v>8.585805100695354E-2</v>
      </c>
      <c r="AE45" s="199">
        <v>0.10828141810462588</v>
      </c>
      <c r="AF45" s="199">
        <v>3.5160927281936427E-2</v>
      </c>
      <c r="AG45" s="199">
        <v>3.1614395752543878E-4</v>
      </c>
      <c r="AH45" s="199">
        <v>-3.9162768407298043E-2</v>
      </c>
      <c r="AI45" s="199">
        <v>-4.6317926729396497E-2</v>
      </c>
      <c r="AJ45" s="199">
        <v>-1.187271589207084E-2</v>
      </c>
      <c r="AK45" s="199">
        <v>0.35568426201051606</v>
      </c>
      <c r="AL45" s="199">
        <v>-0.2501789405120729</v>
      </c>
      <c r="AM45" s="199">
        <v>0.39317446887027674</v>
      </c>
      <c r="AN45" s="199">
        <v>5.6413770502956151E-2</v>
      </c>
      <c r="AO45" s="199">
        <v>5.4951171570703172E-2</v>
      </c>
      <c r="AP45" s="199"/>
      <c r="AQ45" s="199"/>
      <c r="AR45" s="199"/>
      <c r="AS45" s="199"/>
      <c r="AT45" s="199"/>
      <c r="AU45" s="199"/>
      <c r="AV45" s="199"/>
      <c r="AW45" s="199"/>
      <c r="AX45" s="199"/>
      <c r="AY45" s="199"/>
      <c r="AZ45" s="199"/>
      <c r="BA45" s="199"/>
      <c r="BB45" s="199"/>
      <c r="BC45" s="199"/>
      <c r="BD45" s="199"/>
      <c r="BE45" s="199"/>
      <c r="BF45" s="199"/>
      <c r="BG45" s="199"/>
      <c r="BH45" s="199"/>
      <c r="BI45" s="199"/>
      <c r="BJ45" s="199"/>
      <c r="BK45" s="199"/>
      <c r="BL45" s="199"/>
      <c r="BM45" s="199"/>
      <c r="BN45" s="199"/>
      <c r="BO45" s="199"/>
      <c r="BP45" s="199"/>
      <c r="BQ45" s="199"/>
      <c r="BR45" s="199"/>
      <c r="BS45" s="199"/>
      <c r="BT45" s="199"/>
      <c r="BU45" s="199"/>
      <c r="BV45" s="199"/>
      <c r="BW45" s="199"/>
      <c r="BX45" s="199"/>
      <c r="BY45" s="199"/>
      <c r="BZ45" s="199"/>
      <c r="CA45" s="199"/>
      <c r="CB45" s="199"/>
      <c r="CC45" s="199"/>
      <c r="CD45" s="199"/>
      <c r="CE45" s="199"/>
      <c r="CF45" s="199"/>
      <c r="CG45" s="199"/>
      <c r="CH45" s="199"/>
      <c r="CI45" s="199"/>
      <c r="CJ45" s="199"/>
      <c r="CK45" s="199"/>
      <c r="CL45" s="199"/>
      <c r="CM45" s="199"/>
      <c r="CN45" s="199"/>
      <c r="CO45" s="199"/>
      <c r="CP45" s="199"/>
      <c r="CQ45" s="199"/>
      <c r="CR45" s="199"/>
      <c r="CS45" s="199"/>
      <c r="CT45" s="199"/>
      <c r="CU45" s="199"/>
      <c r="CV45" s="199"/>
      <c r="CW45" s="199"/>
      <c r="CX45" s="199"/>
      <c r="CY45" s="199"/>
      <c r="CZ45" s="199"/>
      <c r="DA45" s="199"/>
      <c r="DB45" s="199"/>
      <c r="DC45" s="199"/>
      <c r="DD45" s="199"/>
      <c r="DE45" s="199"/>
      <c r="DF45" s="199"/>
      <c r="DG45" s="199"/>
      <c r="DH45" s="199"/>
      <c r="DI45" s="199"/>
      <c r="DJ45" s="199"/>
      <c r="DK45" s="199"/>
      <c r="DL45" s="199"/>
      <c r="DM45" s="199"/>
      <c r="DN45" s="199"/>
      <c r="DO45" s="199"/>
      <c r="DP45" s="199"/>
      <c r="DQ45" s="199"/>
      <c r="DR45" s="199"/>
      <c r="DS45" s="199"/>
      <c r="DT45" s="199"/>
      <c r="DU45" s="199"/>
      <c r="DV45" s="199"/>
      <c r="DW45" s="199"/>
      <c r="DX45" s="199"/>
      <c r="DY45" s="199"/>
      <c r="DZ45" s="199"/>
      <c r="EA45" s="199"/>
      <c r="EB45" s="199"/>
      <c r="EC45" s="199"/>
      <c r="ED45" s="199"/>
      <c r="EE45" s="199"/>
      <c r="EF45" s="199"/>
      <c r="EG45" s="199"/>
      <c r="EH45" s="199"/>
      <c r="EI45" s="199"/>
      <c r="EJ45" s="199"/>
      <c r="EK45" s="199"/>
      <c r="EL45" s="199"/>
      <c r="EM45" s="199"/>
      <c r="EN45" s="199"/>
      <c r="EO45" s="199"/>
      <c r="EP45" s="199"/>
      <c r="EQ45" s="199"/>
      <c r="ER45" s="199"/>
      <c r="ES45" s="199"/>
      <c r="ET45" s="199"/>
      <c r="EU45" s="199"/>
      <c r="EV45" s="199"/>
      <c r="EW45" s="199"/>
      <c r="EX45" s="199"/>
      <c r="EY45" s="199"/>
      <c r="EZ45" s="199"/>
      <c r="FA45" s="199"/>
      <c r="FB45" s="199"/>
      <c r="FC45" s="199"/>
      <c r="FD45" s="199"/>
      <c r="FE45" s="199"/>
      <c r="FF45" s="199"/>
      <c r="FG45" s="199"/>
      <c r="FH45" s="199"/>
      <c r="FI45" s="199"/>
      <c r="FJ45" s="199"/>
      <c r="FK45" s="199"/>
      <c r="FL45" s="199"/>
      <c r="FM45" s="199"/>
      <c r="FN45" s="199"/>
      <c r="FO45" s="199"/>
      <c r="FP45" s="199"/>
      <c r="FQ45" s="199"/>
      <c r="FR45" s="199"/>
      <c r="FS45" s="199"/>
      <c r="FT45" s="199"/>
      <c r="FU45" s="199"/>
      <c r="FV45" s="199"/>
      <c r="FW45" s="199"/>
      <c r="FX45" s="199"/>
      <c r="FY45" s="199"/>
      <c r="FZ45" s="199"/>
      <c r="GA45" s="199"/>
      <c r="GB45" s="199"/>
      <c r="GC45" s="199"/>
      <c r="GD45" s="199"/>
      <c r="GE45" s="199"/>
      <c r="GF45" s="199"/>
      <c r="GG45" s="199"/>
      <c r="GH45" s="199"/>
      <c r="GI45" s="199"/>
      <c r="GJ45" s="199"/>
      <c r="GK45" s="199"/>
      <c r="GL45" s="199"/>
      <c r="GM45" s="199"/>
      <c r="GN45" s="199"/>
      <c r="GO45" s="199"/>
      <c r="GP45" s="199"/>
      <c r="GQ45" s="199"/>
      <c r="GR45" s="199"/>
      <c r="GS45" s="199"/>
      <c r="GT45" s="199"/>
      <c r="GU45" s="199"/>
      <c r="GV45" s="199"/>
      <c r="GW45" s="199"/>
      <c r="GX45" s="199"/>
      <c r="GY45" s="199"/>
      <c r="GZ45" s="199"/>
      <c r="HA45" s="199"/>
      <c r="HB45" s="199"/>
      <c r="HC45" s="199"/>
      <c r="HD45" s="199"/>
      <c r="HE45" s="199"/>
      <c r="HF45" s="199"/>
      <c r="HG45" s="199"/>
      <c r="HH45" s="199"/>
      <c r="HI45" s="199"/>
      <c r="HJ45" s="199"/>
      <c r="HK45" s="199"/>
      <c r="HL45" s="199"/>
      <c r="HM45" s="199"/>
      <c r="HN45" s="199"/>
    </row>
    <row r="46" spans="1:222" ht="15" x14ac:dyDescent="0.25">
      <c r="A46" s="199"/>
      <c r="B46" s="193" t="s">
        <v>144</v>
      </c>
      <c r="C46" s="199"/>
      <c r="D46" s="199">
        <v>-3.4684823397111209E-2</v>
      </c>
      <c r="E46" s="199">
        <v>-8.0286045308517906E-2</v>
      </c>
      <c r="F46" s="199">
        <v>-7.4840171081627105E-3</v>
      </c>
      <c r="G46" s="199">
        <v>0.12909030864265314</v>
      </c>
      <c r="H46" s="199">
        <v>-2.2773559065726978E-2</v>
      </c>
      <c r="I46" s="199">
        <v>2.5094019693989056E-2</v>
      </c>
      <c r="J46" s="199">
        <v>-5.3604516182994555E-3</v>
      </c>
      <c r="K46" s="199">
        <v>4.7440279888489201E-2</v>
      </c>
      <c r="L46" s="199">
        <v>-5.1331237674887786E-2</v>
      </c>
      <c r="M46" s="199">
        <v>5.9473948012578992E-2</v>
      </c>
      <c r="N46" s="199">
        <v>2.5333264213077911E-2</v>
      </c>
      <c r="O46" s="199">
        <v>-8.3413905602918059E-2</v>
      </c>
      <c r="P46" s="199">
        <v>5.2825917909304687E-2</v>
      </c>
      <c r="Q46" s="199">
        <v>2.7784638089502378E-2</v>
      </c>
      <c r="R46" s="199">
        <v>5.687680131754913E-3</v>
      </c>
      <c r="S46" s="199">
        <v>-0.14468057388038735</v>
      </c>
      <c r="T46" s="199">
        <v>0.37594113293398923</v>
      </c>
      <c r="U46" s="199">
        <v>4.9206546961229725E-2</v>
      </c>
      <c r="V46" s="199">
        <v>-9.1138904798976794E-2</v>
      </c>
      <c r="W46" s="199">
        <v>0.40011618614342082</v>
      </c>
      <c r="X46" s="199">
        <v>-0.35561223895931404</v>
      </c>
      <c r="Y46" s="199">
        <v>0.16431409681207354</v>
      </c>
      <c r="Z46" s="199">
        <v>2.2556190132994258E-2</v>
      </c>
      <c r="AA46" s="199">
        <v>8.6011806961181492E-3</v>
      </c>
      <c r="AB46" s="199">
        <v>-7.3778504846123583E-2</v>
      </c>
      <c r="AC46" s="199">
        <v>-0.12137950964101585</v>
      </c>
      <c r="AD46" s="199">
        <v>7.2623689822467696E-2</v>
      </c>
      <c r="AE46" s="199">
        <v>0.12250370359057317</v>
      </c>
      <c r="AF46" s="199">
        <v>1.1933335505071252E-2</v>
      </c>
      <c r="AG46" s="199">
        <v>-3.1822299179188107E-2</v>
      </c>
      <c r="AH46" s="199">
        <v>-6.6445636001710495E-2</v>
      </c>
      <c r="AI46" s="199">
        <v>-4.6109661967943527E-2</v>
      </c>
      <c r="AJ46" s="199">
        <v>3.836061077625641E-2</v>
      </c>
      <c r="AK46" s="199">
        <v>0.38463846702828275</v>
      </c>
      <c r="AL46" s="199">
        <v>-0.28885253102793385</v>
      </c>
      <c r="AM46" s="199">
        <v>0.51452472903093827</v>
      </c>
      <c r="AN46" s="199">
        <v>1.4598762649838726E-2</v>
      </c>
      <c r="AO46" s="199">
        <v>9.6798003601080262E-2</v>
      </c>
      <c r="AP46" s="199"/>
      <c r="AQ46" s="199"/>
      <c r="AR46" s="199"/>
      <c r="AS46" s="199"/>
      <c r="AT46" s="199"/>
      <c r="AU46" s="199"/>
      <c r="AV46" s="199"/>
      <c r="AW46" s="199"/>
      <c r="AX46" s="199"/>
      <c r="AY46" s="199"/>
      <c r="AZ46" s="199"/>
      <c r="BA46" s="199"/>
      <c r="BB46" s="199"/>
      <c r="BC46" s="199"/>
      <c r="BD46" s="199"/>
      <c r="BE46" s="199"/>
      <c r="BF46" s="199"/>
      <c r="BG46" s="199"/>
      <c r="BH46" s="199"/>
      <c r="BI46" s="199"/>
      <c r="BJ46" s="199"/>
      <c r="BK46" s="199"/>
      <c r="BL46" s="199"/>
      <c r="BM46" s="199"/>
      <c r="BN46" s="199"/>
      <c r="BO46" s="199"/>
      <c r="BP46" s="199"/>
      <c r="BQ46" s="199"/>
      <c r="BR46" s="199"/>
      <c r="BS46" s="199"/>
      <c r="BT46" s="199"/>
      <c r="BU46" s="199"/>
      <c r="BV46" s="199"/>
      <c r="BW46" s="199"/>
      <c r="BX46" s="199"/>
      <c r="BY46" s="199"/>
      <c r="BZ46" s="199"/>
      <c r="CA46" s="199"/>
      <c r="CB46" s="199"/>
      <c r="CC46" s="199"/>
      <c r="CD46" s="199"/>
      <c r="CE46" s="199"/>
      <c r="CF46" s="199"/>
      <c r="CG46" s="199"/>
      <c r="CH46" s="199"/>
      <c r="CI46" s="199"/>
      <c r="CJ46" s="199"/>
      <c r="CK46" s="199"/>
      <c r="CL46" s="199"/>
      <c r="CM46" s="199"/>
      <c r="CN46" s="199"/>
      <c r="CO46" s="199"/>
      <c r="CP46" s="199"/>
      <c r="CQ46" s="199"/>
      <c r="CR46" s="199"/>
      <c r="CS46" s="199"/>
      <c r="CT46" s="199"/>
      <c r="CU46" s="199"/>
      <c r="CV46" s="199"/>
      <c r="CW46" s="199"/>
      <c r="CX46" s="199"/>
      <c r="CY46" s="199"/>
      <c r="CZ46" s="199"/>
      <c r="DA46" s="199"/>
      <c r="DB46" s="199"/>
      <c r="DC46" s="199"/>
      <c r="DD46" s="199"/>
      <c r="DE46" s="199"/>
      <c r="DF46" s="199"/>
      <c r="DG46" s="199"/>
      <c r="DH46" s="199"/>
      <c r="DI46" s="199"/>
      <c r="DJ46" s="199"/>
      <c r="DK46" s="199"/>
      <c r="DL46" s="199"/>
      <c r="DM46" s="199"/>
      <c r="DN46" s="199"/>
      <c r="DO46" s="199"/>
      <c r="DP46" s="199"/>
      <c r="DQ46" s="199"/>
      <c r="DR46" s="199"/>
      <c r="DS46" s="199"/>
      <c r="DT46" s="199"/>
      <c r="DU46" s="199"/>
      <c r="DV46" s="199"/>
      <c r="DW46" s="199"/>
      <c r="DX46" s="199"/>
      <c r="DY46" s="199"/>
      <c r="DZ46" s="199"/>
      <c r="EA46" s="199"/>
      <c r="EB46" s="199"/>
      <c r="EC46" s="199"/>
      <c r="ED46" s="199"/>
      <c r="EE46" s="199"/>
      <c r="EF46" s="199"/>
      <c r="EG46" s="199"/>
      <c r="EH46" s="199"/>
      <c r="EI46" s="199"/>
      <c r="EJ46" s="199"/>
      <c r="EK46" s="199"/>
      <c r="EL46" s="199"/>
      <c r="EM46" s="199"/>
      <c r="EN46" s="199"/>
      <c r="EO46" s="199"/>
      <c r="EP46" s="199"/>
      <c r="EQ46" s="199"/>
      <c r="ER46" s="199"/>
      <c r="ES46" s="199"/>
      <c r="ET46" s="199"/>
      <c r="EU46" s="199"/>
      <c r="EV46" s="199"/>
      <c r="EW46" s="199"/>
      <c r="EX46" s="199"/>
      <c r="EY46" s="199"/>
      <c r="EZ46" s="199"/>
      <c r="FA46" s="199"/>
      <c r="FB46" s="199"/>
      <c r="FC46" s="199"/>
      <c r="FD46" s="199"/>
      <c r="FE46" s="199"/>
      <c r="FF46" s="199"/>
      <c r="FG46" s="199"/>
      <c r="FH46" s="199"/>
      <c r="FI46" s="199"/>
      <c r="FJ46" s="199"/>
      <c r="FK46" s="199"/>
      <c r="FL46" s="199"/>
      <c r="FM46" s="199"/>
      <c r="FN46" s="199"/>
      <c r="FO46" s="199"/>
      <c r="FP46" s="199"/>
      <c r="FQ46" s="199"/>
      <c r="FR46" s="199"/>
      <c r="FS46" s="199"/>
      <c r="FT46" s="199"/>
      <c r="FU46" s="199"/>
      <c r="FV46" s="199"/>
      <c r="FW46" s="199"/>
      <c r="FX46" s="199"/>
      <c r="FY46" s="199"/>
      <c r="FZ46" s="199"/>
      <c r="GA46" s="199"/>
      <c r="GB46" s="199"/>
      <c r="GC46" s="199"/>
      <c r="GD46" s="199"/>
      <c r="GE46" s="199"/>
      <c r="GF46" s="199"/>
      <c r="GG46" s="199"/>
      <c r="GH46" s="199"/>
      <c r="GI46" s="199"/>
      <c r="GJ46" s="199"/>
      <c r="GK46" s="199"/>
      <c r="GL46" s="199"/>
      <c r="GM46" s="199"/>
      <c r="GN46" s="199"/>
      <c r="GO46" s="199"/>
      <c r="GP46" s="199"/>
      <c r="GQ46" s="199"/>
      <c r="GR46" s="199"/>
      <c r="GS46" s="199"/>
      <c r="GT46" s="199"/>
      <c r="GU46" s="199"/>
      <c r="GV46" s="199"/>
      <c r="GW46" s="199"/>
      <c r="GX46" s="199"/>
      <c r="GY46" s="199"/>
      <c r="GZ46" s="199"/>
      <c r="HA46" s="199"/>
      <c r="HB46" s="199"/>
      <c r="HC46" s="199"/>
      <c r="HD46" s="199"/>
      <c r="HE46" s="199"/>
      <c r="HF46" s="199"/>
      <c r="HG46" s="199"/>
      <c r="HH46" s="199"/>
      <c r="HI46" s="199"/>
      <c r="HJ46" s="199"/>
      <c r="HK46" s="199"/>
      <c r="HL46" s="199"/>
      <c r="HM46" s="199"/>
      <c r="HN46" s="199"/>
    </row>
    <row r="47" spans="1:222" ht="15" x14ac:dyDescent="0.25">
      <c r="A47" s="199"/>
      <c r="B47" s="193" t="s">
        <v>143</v>
      </c>
      <c r="C47" s="199"/>
      <c r="D47" s="199">
        <v>0.76119450967213909</v>
      </c>
      <c r="E47" s="199">
        <v>1.5055156030674643E-2</v>
      </c>
      <c r="F47" s="199">
        <v>-1.7350503834116959E-2</v>
      </c>
      <c r="G47" s="199">
        <v>9.7162942934572838E-2</v>
      </c>
      <c r="H47" s="199">
        <v>2.6600109808456285E-2</v>
      </c>
      <c r="I47" s="199">
        <v>5.0375453962335559E-2</v>
      </c>
      <c r="J47" s="199">
        <v>-7.9125232999850859E-2</v>
      </c>
      <c r="K47" s="199">
        <v>5.7844999706807787E-2</v>
      </c>
      <c r="L47" s="199">
        <v>0.13936986987874178</v>
      </c>
      <c r="M47" s="199">
        <v>1.1126840490891299E-2</v>
      </c>
      <c r="N47" s="199">
        <v>3.748956158439043E-2</v>
      </c>
      <c r="O47" s="199">
        <v>-6.681940026643074E-2</v>
      </c>
      <c r="P47" s="199">
        <v>5.1114333172464832E-2</v>
      </c>
      <c r="Q47" s="199">
        <v>-3.2320725256115734E-2</v>
      </c>
      <c r="R47" s="199">
        <v>0.26562144188005643</v>
      </c>
      <c r="S47" s="199">
        <v>-0.36588176199837608</v>
      </c>
      <c r="T47" s="199">
        <v>0.14116876404860745</v>
      </c>
      <c r="U47" s="199">
        <v>0.12898173884518704</v>
      </c>
      <c r="V47" s="199">
        <v>-0.13765509657079011</v>
      </c>
      <c r="W47" s="199">
        <v>0.19314110920960004</v>
      </c>
      <c r="X47" s="199">
        <v>-0.1564863537585518</v>
      </c>
      <c r="Y47" s="199">
        <v>8.2807526480244142E-3</v>
      </c>
      <c r="Z47" s="199">
        <v>6.0222935597143312E-2</v>
      </c>
      <c r="AA47" s="199">
        <v>2.182277341102945E-2</v>
      </c>
      <c r="AB47" s="199">
        <v>-1.8359192026077054E-2</v>
      </c>
      <c r="AC47" s="199">
        <v>-9.2724656727396826E-2</v>
      </c>
      <c r="AD47" s="199">
        <v>0.11229851495247734</v>
      </c>
      <c r="AE47" s="199">
        <v>8.0880727584634382E-2</v>
      </c>
      <c r="AF47" s="199">
        <v>8.1634526620750547E-2</v>
      </c>
      <c r="AG47" s="199">
        <v>6.0474827009066257E-2</v>
      </c>
      <c r="AH47" s="199">
        <v>7.4621637523799578E-3</v>
      </c>
      <c r="AI47" s="199">
        <v>-4.6647729925052506E-2</v>
      </c>
      <c r="AJ47" s="199">
        <v>-9.146593154314131E-2</v>
      </c>
      <c r="AK47" s="199">
        <v>0.30325149897313208</v>
      </c>
      <c r="AL47" s="199">
        <v>-0.17577194762921289</v>
      </c>
      <c r="AM47" s="199">
        <v>0.19173143781731072</v>
      </c>
      <c r="AN47" s="199">
        <v>0.14462861870552413</v>
      </c>
      <c r="AO47" s="199">
        <v>-2.3301977296948051E-2</v>
      </c>
      <c r="AP47" s="199"/>
      <c r="AQ47" s="199"/>
      <c r="AR47" s="199"/>
      <c r="AS47" s="199"/>
      <c r="AT47" s="199"/>
      <c r="AU47" s="199"/>
      <c r="AV47" s="199"/>
      <c r="AW47" s="199"/>
      <c r="AX47" s="199"/>
      <c r="AY47" s="199"/>
      <c r="AZ47" s="199"/>
      <c r="BA47" s="199"/>
      <c r="BB47" s="199"/>
      <c r="BC47" s="199"/>
      <c r="BD47" s="199"/>
      <c r="BE47" s="199"/>
      <c r="BF47" s="199"/>
      <c r="BG47" s="199"/>
      <c r="BH47" s="199"/>
      <c r="BI47" s="199"/>
      <c r="BJ47" s="199"/>
      <c r="BK47" s="199"/>
      <c r="BL47" s="199"/>
      <c r="BM47" s="199"/>
      <c r="BN47" s="199"/>
      <c r="BO47" s="199"/>
      <c r="BP47" s="199"/>
      <c r="BQ47" s="199"/>
      <c r="BR47" s="199"/>
      <c r="BS47" s="199"/>
      <c r="BT47" s="199"/>
      <c r="BU47" s="199"/>
      <c r="BV47" s="199"/>
      <c r="BW47" s="199"/>
      <c r="BX47" s="199"/>
      <c r="BY47" s="199"/>
      <c r="BZ47" s="199"/>
      <c r="CA47" s="199"/>
      <c r="CB47" s="199"/>
      <c r="CC47" s="199"/>
      <c r="CD47" s="199"/>
      <c r="CE47" s="199"/>
      <c r="CF47" s="199"/>
      <c r="CG47" s="199"/>
      <c r="CH47" s="199"/>
      <c r="CI47" s="199"/>
      <c r="CJ47" s="199"/>
      <c r="CK47" s="199"/>
      <c r="CL47" s="199"/>
      <c r="CM47" s="199"/>
      <c r="CN47" s="199"/>
      <c r="CO47" s="199"/>
      <c r="CP47" s="199"/>
      <c r="CQ47" s="199"/>
      <c r="CR47" s="199"/>
      <c r="CS47" s="199"/>
      <c r="CT47" s="199"/>
      <c r="CU47" s="199"/>
      <c r="CV47" s="199"/>
      <c r="CW47" s="199"/>
      <c r="CX47" s="199"/>
      <c r="CY47" s="199"/>
      <c r="CZ47" s="199"/>
      <c r="DA47" s="199"/>
      <c r="DB47" s="199"/>
      <c r="DC47" s="199"/>
      <c r="DD47" s="199"/>
      <c r="DE47" s="199"/>
      <c r="DF47" s="199"/>
      <c r="DG47" s="199"/>
      <c r="DH47" s="199"/>
      <c r="DI47" s="199"/>
      <c r="DJ47" s="199"/>
      <c r="DK47" s="199"/>
      <c r="DL47" s="199"/>
      <c r="DM47" s="199"/>
      <c r="DN47" s="199"/>
      <c r="DO47" s="199"/>
      <c r="DP47" s="199"/>
      <c r="DQ47" s="199"/>
      <c r="DR47" s="199"/>
      <c r="DS47" s="199"/>
      <c r="DT47" s="199"/>
      <c r="DU47" s="199"/>
      <c r="DV47" s="199"/>
      <c r="DW47" s="199"/>
      <c r="DX47" s="199"/>
      <c r="DY47" s="199"/>
      <c r="DZ47" s="199"/>
      <c r="EA47" s="199"/>
      <c r="EB47" s="199"/>
      <c r="EC47" s="199"/>
      <c r="ED47" s="199"/>
      <c r="EE47" s="199"/>
      <c r="EF47" s="199"/>
      <c r="EG47" s="199"/>
      <c r="EH47" s="199"/>
      <c r="EI47" s="199"/>
      <c r="EJ47" s="199"/>
      <c r="EK47" s="199"/>
      <c r="EL47" s="199"/>
      <c r="EM47" s="199"/>
      <c r="EN47" s="199"/>
      <c r="EO47" s="199"/>
      <c r="EP47" s="199"/>
      <c r="EQ47" s="199"/>
      <c r="ER47" s="199"/>
      <c r="ES47" s="199"/>
      <c r="ET47" s="199"/>
      <c r="EU47" s="199"/>
      <c r="EV47" s="199"/>
      <c r="EW47" s="199"/>
      <c r="EX47" s="199"/>
      <c r="EY47" s="199"/>
      <c r="EZ47" s="199"/>
      <c r="FA47" s="199"/>
      <c r="FB47" s="199"/>
      <c r="FC47" s="199"/>
      <c r="FD47" s="199"/>
      <c r="FE47" s="199"/>
      <c r="FF47" s="199"/>
      <c r="FG47" s="199"/>
      <c r="FH47" s="199"/>
      <c r="FI47" s="199"/>
      <c r="FJ47" s="199"/>
      <c r="FK47" s="199"/>
      <c r="FL47" s="199"/>
      <c r="FM47" s="199"/>
      <c r="FN47" s="199"/>
      <c r="FO47" s="199"/>
      <c r="FP47" s="199"/>
      <c r="FQ47" s="199"/>
      <c r="FR47" s="199"/>
      <c r="FS47" s="199"/>
      <c r="FT47" s="199"/>
      <c r="FU47" s="199"/>
      <c r="FV47" s="199"/>
      <c r="FW47" s="199"/>
      <c r="FX47" s="199"/>
      <c r="FY47" s="199"/>
      <c r="FZ47" s="199"/>
      <c r="GA47" s="199"/>
      <c r="GB47" s="199"/>
      <c r="GC47" s="199"/>
      <c r="GD47" s="199"/>
      <c r="GE47" s="199"/>
      <c r="GF47" s="199"/>
      <c r="GG47" s="199"/>
      <c r="GH47" s="199"/>
      <c r="GI47" s="199"/>
      <c r="GJ47" s="199"/>
      <c r="GK47" s="199"/>
      <c r="GL47" s="199"/>
      <c r="GM47" s="199"/>
      <c r="GN47" s="199"/>
      <c r="GO47" s="199"/>
      <c r="GP47" s="199"/>
      <c r="GQ47" s="199"/>
      <c r="GR47" s="199"/>
      <c r="GS47" s="199"/>
      <c r="GT47" s="199"/>
      <c r="GU47" s="199"/>
      <c r="GV47" s="199"/>
      <c r="GW47" s="199"/>
      <c r="GX47" s="199"/>
      <c r="GY47" s="199"/>
      <c r="GZ47" s="199"/>
      <c r="HA47" s="199"/>
      <c r="HB47" s="199"/>
      <c r="HC47" s="199"/>
      <c r="HD47" s="199"/>
      <c r="HE47" s="199"/>
      <c r="HF47" s="199"/>
      <c r="HG47" s="199"/>
      <c r="HH47" s="199"/>
      <c r="HI47" s="199"/>
      <c r="HJ47" s="199"/>
      <c r="HK47" s="199"/>
      <c r="HL47" s="199"/>
      <c r="HM47" s="199"/>
      <c r="HN47" s="199"/>
    </row>
    <row r="48" spans="1:222" ht="15" x14ac:dyDescent="0.25">
      <c r="A48" s="199"/>
      <c r="B48" s="195" t="s">
        <v>142</v>
      </c>
      <c r="C48" s="199"/>
      <c r="D48" s="199">
        <v>0</v>
      </c>
      <c r="E48" s="199">
        <v>0</v>
      </c>
      <c r="F48" s="199">
        <v>0</v>
      </c>
      <c r="G48" s="199">
        <v>0</v>
      </c>
      <c r="H48" s="199">
        <v>0</v>
      </c>
      <c r="I48" s="199">
        <v>0</v>
      </c>
      <c r="J48" s="199">
        <v>0</v>
      </c>
      <c r="K48" s="199">
        <v>0</v>
      </c>
      <c r="L48" s="199">
        <v>0</v>
      </c>
      <c r="M48" s="199">
        <v>0</v>
      </c>
      <c r="N48" s="199">
        <v>0</v>
      </c>
      <c r="O48" s="199">
        <v>0</v>
      </c>
      <c r="P48" s="199">
        <v>0</v>
      </c>
      <c r="Q48" s="199">
        <v>0</v>
      </c>
      <c r="R48" s="199">
        <v>0</v>
      </c>
      <c r="S48" s="199">
        <v>0</v>
      </c>
      <c r="T48" s="199">
        <v>0</v>
      </c>
      <c r="U48" s="199">
        <v>0</v>
      </c>
      <c r="V48" s="199">
        <v>0</v>
      </c>
      <c r="W48" s="199">
        <v>0</v>
      </c>
      <c r="X48" s="199">
        <v>0</v>
      </c>
      <c r="Y48" s="199">
        <v>0</v>
      </c>
      <c r="Z48" s="199">
        <v>0</v>
      </c>
      <c r="AA48" s="199">
        <v>0</v>
      </c>
      <c r="AB48" s="199">
        <v>0</v>
      </c>
      <c r="AC48" s="199">
        <v>0</v>
      </c>
      <c r="AD48" s="199">
        <v>0</v>
      </c>
      <c r="AE48" s="199">
        <v>0</v>
      </c>
      <c r="AF48" s="199">
        <v>0</v>
      </c>
      <c r="AG48" s="199">
        <v>0</v>
      </c>
      <c r="AH48" s="199">
        <v>0</v>
      </c>
      <c r="AI48" s="199">
        <v>0</v>
      </c>
      <c r="AJ48" s="199">
        <v>0</v>
      </c>
      <c r="AK48" s="199">
        <v>0</v>
      </c>
      <c r="AL48" s="199">
        <v>0</v>
      </c>
      <c r="AM48" s="199">
        <v>0</v>
      </c>
      <c r="AN48" s="199">
        <v>0</v>
      </c>
      <c r="AO48" s="199">
        <v>0</v>
      </c>
      <c r="AP48" s="199"/>
      <c r="AQ48" s="199"/>
      <c r="AR48" s="199"/>
      <c r="AS48" s="199"/>
      <c r="AT48" s="199"/>
      <c r="AU48" s="199"/>
      <c r="AV48" s="199"/>
      <c r="AW48" s="199"/>
      <c r="AX48" s="199"/>
      <c r="AY48" s="199"/>
      <c r="AZ48" s="199"/>
      <c r="BA48" s="199"/>
      <c r="BB48" s="199"/>
      <c r="BC48" s="199"/>
      <c r="BD48" s="199"/>
      <c r="BE48" s="199"/>
      <c r="BF48" s="199"/>
      <c r="BG48" s="199"/>
      <c r="BH48" s="199"/>
      <c r="BI48" s="199"/>
      <c r="BJ48" s="199"/>
      <c r="BK48" s="199"/>
      <c r="BL48" s="199"/>
      <c r="BM48" s="199"/>
      <c r="BN48" s="199"/>
      <c r="BO48" s="199"/>
      <c r="BP48" s="199"/>
      <c r="BQ48" s="199"/>
      <c r="BR48" s="199"/>
      <c r="BS48" s="199"/>
      <c r="BT48" s="199"/>
      <c r="BU48" s="199"/>
      <c r="BV48" s="199"/>
      <c r="BW48" s="199"/>
      <c r="BX48" s="199"/>
      <c r="BY48" s="199"/>
      <c r="BZ48" s="199"/>
      <c r="CA48" s="199"/>
      <c r="CB48" s="199"/>
      <c r="CC48" s="199"/>
      <c r="CD48" s="199"/>
      <c r="CE48" s="199"/>
      <c r="CF48" s="199"/>
      <c r="CG48" s="199"/>
      <c r="CH48" s="199"/>
      <c r="CI48" s="199"/>
      <c r="CJ48" s="199"/>
      <c r="CK48" s="199"/>
      <c r="CL48" s="199"/>
      <c r="CM48" s="199"/>
      <c r="CN48" s="199"/>
      <c r="CO48" s="199"/>
      <c r="CP48" s="199"/>
      <c r="CQ48" s="199"/>
      <c r="CR48" s="199"/>
      <c r="CS48" s="199"/>
      <c r="CT48" s="199"/>
      <c r="CU48" s="199"/>
      <c r="CV48" s="199"/>
      <c r="CW48" s="199"/>
      <c r="CX48" s="199"/>
      <c r="CY48" s="199"/>
      <c r="CZ48" s="199"/>
      <c r="DA48" s="199"/>
      <c r="DB48" s="199"/>
      <c r="DC48" s="199"/>
      <c r="DD48" s="199"/>
      <c r="DE48" s="199"/>
      <c r="DF48" s="199"/>
      <c r="DG48" s="199"/>
      <c r="DH48" s="199"/>
      <c r="DI48" s="199"/>
      <c r="DJ48" s="199"/>
      <c r="DK48" s="199"/>
      <c r="DL48" s="199"/>
      <c r="DM48" s="199"/>
      <c r="DN48" s="199"/>
      <c r="DO48" s="199"/>
      <c r="DP48" s="199"/>
      <c r="DQ48" s="199"/>
      <c r="DR48" s="199"/>
      <c r="DS48" s="199"/>
      <c r="DT48" s="199"/>
      <c r="DU48" s="199"/>
      <c r="DV48" s="199"/>
      <c r="DW48" s="199"/>
      <c r="DX48" s="199"/>
      <c r="DY48" s="199"/>
      <c r="DZ48" s="199"/>
      <c r="EA48" s="199"/>
      <c r="EB48" s="199"/>
      <c r="EC48" s="199"/>
      <c r="ED48" s="199"/>
      <c r="EE48" s="199"/>
      <c r="EF48" s="199"/>
      <c r="EG48" s="199"/>
      <c r="EH48" s="199"/>
      <c r="EI48" s="199"/>
      <c r="EJ48" s="199"/>
      <c r="EK48" s="199"/>
      <c r="EL48" s="199"/>
      <c r="EM48" s="199"/>
      <c r="EN48" s="199"/>
      <c r="EO48" s="199"/>
      <c r="EP48" s="199"/>
      <c r="EQ48" s="199"/>
      <c r="ER48" s="199"/>
      <c r="ES48" s="199"/>
      <c r="ET48" s="199"/>
      <c r="EU48" s="199"/>
      <c r="EV48" s="199"/>
      <c r="EW48" s="199"/>
      <c r="EX48" s="199"/>
      <c r="EY48" s="199"/>
      <c r="EZ48" s="199"/>
      <c r="FA48" s="199"/>
      <c r="FB48" s="199"/>
      <c r="FC48" s="199"/>
      <c r="FD48" s="199"/>
      <c r="FE48" s="199"/>
      <c r="FF48" s="199"/>
      <c r="FG48" s="199"/>
      <c r="FH48" s="199"/>
      <c r="FI48" s="199"/>
      <c r="FJ48" s="199"/>
      <c r="FK48" s="199"/>
      <c r="FL48" s="199"/>
      <c r="FM48" s="199"/>
      <c r="FN48" s="199"/>
      <c r="FO48" s="199"/>
      <c r="FP48" s="199"/>
      <c r="FQ48" s="199"/>
      <c r="FR48" s="199"/>
      <c r="FS48" s="199"/>
      <c r="FT48" s="199"/>
      <c r="FU48" s="199"/>
      <c r="FV48" s="199"/>
      <c r="FW48" s="199"/>
      <c r="FX48" s="199"/>
      <c r="FY48" s="199"/>
      <c r="FZ48" s="199"/>
      <c r="GA48" s="199"/>
      <c r="GB48" s="199"/>
      <c r="GC48" s="199"/>
      <c r="GD48" s="199"/>
      <c r="GE48" s="199"/>
      <c r="GF48" s="199"/>
      <c r="GG48" s="199"/>
      <c r="GH48" s="199"/>
      <c r="GI48" s="199"/>
      <c r="GJ48" s="199"/>
      <c r="GK48" s="199"/>
      <c r="GL48" s="199"/>
      <c r="GM48" s="199"/>
      <c r="GN48" s="199"/>
      <c r="GO48" s="199"/>
      <c r="GP48" s="199"/>
      <c r="GQ48" s="199"/>
      <c r="GR48" s="199"/>
      <c r="GS48" s="199"/>
      <c r="GT48" s="199"/>
      <c r="GU48" s="199"/>
      <c r="GV48" s="199"/>
      <c r="GW48" s="199"/>
      <c r="GX48" s="199"/>
      <c r="GY48" s="199"/>
      <c r="GZ48" s="199"/>
      <c r="HA48" s="199"/>
      <c r="HB48" s="199"/>
      <c r="HC48" s="199"/>
      <c r="HD48" s="199"/>
      <c r="HE48" s="199"/>
      <c r="HF48" s="199"/>
      <c r="HG48" s="199"/>
      <c r="HH48" s="199"/>
      <c r="HI48" s="199"/>
      <c r="HJ48" s="199"/>
      <c r="HK48" s="199"/>
      <c r="HL48" s="199"/>
      <c r="HM48" s="199"/>
      <c r="HN48" s="199"/>
    </row>
    <row r="49" spans="1:222" ht="15" x14ac:dyDescent="0.25">
      <c r="A49" s="199"/>
      <c r="B49" s="192" t="s">
        <v>141</v>
      </c>
      <c r="C49" s="199"/>
      <c r="D49" s="199">
        <v>8.6546068418358324E-3</v>
      </c>
      <c r="E49" s="199">
        <v>1.521711735013942E-2</v>
      </c>
      <c r="F49" s="199">
        <v>2.9807703918030004E-2</v>
      </c>
      <c r="G49" s="199">
        <v>9.3312037594219799E-3</v>
      </c>
      <c r="H49" s="199">
        <v>1.4844207361020434E-2</v>
      </c>
      <c r="I49" s="199">
        <v>9.6014432932529648E-3</v>
      </c>
      <c r="J49" s="199">
        <v>2.3199932952593594E-2</v>
      </c>
      <c r="K49" s="199">
        <v>6.8300934326657181E-3</v>
      </c>
      <c r="L49" s="199">
        <v>1.8136643795882312E-2</v>
      </c>
      <c r="M49" s="199">
        <v>6.4811637513022546E-3</v>
      </c>
      <c r="N49" s="199">
        <v>4.6692978290855391E-2</v>
      </c>
      <c r="O49" s="199">
        <v>-5.9947920139280519E-3</v>
      </c>
      <c r="P49" s="199">
        <v>2.9965019784536473E-2</v>
      </c>
      <c r="Q49" s="199">
        <v>1.1424887165306874E-2</v>
      </c>
      <c r="R49" s="199">
        <v>-2.2614196123167618E-2</v>
      </c>
      <c r="S49" s="199">
        <v>-7.2116803884970548E-2</v>
      </c>
      <c r="T49" s="199">
        <v>7.7549618419040511E-2</v>
      </c>
      <c r="U49" s="199">
        <v>2.2828560542049292E-2</v>
      </c>
      <c r="V49" s="199">
        <v>7.5671459142945263E-3</v>
      </c>
      <c r="W49" s="199">
        <v>1.0728699351722826E-2</v>
      </c>
      <c r="X49" s="199">
        <v>-1.7322537772073932E-2</v>
      </c>
      <c r="Y49" s="199">
        <v>4.7668230125172961E-2</v>
      </c>
      <c r="Z49" s="199">
        <v>2.2077868322680327E-2</v>
      </c>
      <c r="AA49" s="199">
        <v>3.1372912446880896E-3</v>
      </c>
      <c r="AB49" s="199">
        <v>1.1491280048687269E-2</v>
      </c>
      <c r="AC49" s="199">
        <v>8.9760245851990828E-3</v>
      </c>
      <c r="AD49" s="199">
        <v>-1.0537822619710591E-3</v>
      </c>
      <c r="AE49" s="199">
        <v>3.2714827178336625E-2</v>
      </c>
      <c r="AF49" s="199">
        <v>1.388204119208214E-2</v>
      </c>
      <c r="AG49" s="199">
        <v>1.4696531862179896E-2</v>
      </c>
      <c r="AH49" s="199">
        <v>7.7952016491100729E-3</v>
      </c>
      <c r="AI49" s="199">
        <v>1.7342643690546611E-2</v>
      </c>
      <c r="AJ49" s="199">
        <v>2.1282137000801393E-2</v>
      </c>
      <c r="AK49" s="199">
        <v>8.0694549241022706E-3</v>
      </c>
      <c r="AL49" s="199">
        <v>3.267281472197392E-2</v>
      </c>
      <c r="AM49" s="199">
        <v>-7.4864264552773063E-3</v>
      </c>
      <c r="AN49" s="199">
        <v>1.9166270533604868E-2</v>
      </c>
      <c r="AO49" s="199">
        <v>3.9628847864205508E-2</v>
      </c>
      <c r="AP49" s="199"/>
      <c r="AQ49" s="199"/>
      <c r="AR49" s="199"/>
      <c r="AS49" s="199"/>
      <c r="AT49" s="199"/>
      <c r="AU49" s="199"/>
      <c r="AV49" s="199"/>
      <c r="AW49" s="199"/>
      <c r="AX49" s="199"/>
      <c r="AY49" s="199"/>
      <c r="AZ49" s="199"/>
      <c r="BA49" s="199"/>
      <c r="BB49" s="199"/>
      <c r="BC49" s="199"/>
      <c r="BD49" s="199"/>
      <c r="BE49" s="199"/>
      <c r="BF49" s="199"/>
      <c r="BG49" s="199"/>
      <c r="BH49" s="199"/>
      <c r="BI49" s="199"/>
      <c r="BJ49" s="199"/>
      <c r="BK49" s="199"/>
      <c r="BL49" s="199"/>
      <c r="BM49" s="199"/>
      <c r="BN49" s="199"/>
      <c r="BO49" s="199"/>
      <c r="BP49" s="199"/>
      <c r="BQ49" s="199"/>
      <c r="BR49" s="199"/>
      <c r="BS49" s="199"/>
      <c r="BT49" s="199"/>
      <c r="BU49" s="199"/>
      <c r="BV49" s="199"/>
      <c r="BW49" s="199"/>
      <c r="BX49" s="199"/>
      <c r="BY49" s="199"/>
      <c r="BZ49" s="199"/>
      <c r="CA49" s="199"/>
      <c r="CB49" s="199"/>
      <c r="CC49" s="199"/>
      <c r="CD49" s="199"/>
      <c r="CE49" s="199"/>
      <c r="CF49" s="199"/>
      <c r="CG49" s="199"/>
      <c r="CH49" s="199"/>
      <c r="CI49" s="199"/>
      <c r="CJ49" s="199"/>
      <c r="CK49" s="199"/>
      <c r="CL49" s="199"/>
      <c r="CM49" s="199"/>
      <c r="CN49" s="199"/>
      <c r="CO49" s="199"/>
      <c r="CP49" s="199"/>
      <c r="CQ49" s="199"/>
      <c r="CR49" s="199"/>
      <c r="CS49" s="199"/>
      <c r="CT49" s="199"/>
      <c r="CU49" s="199"/>
      <c r="CV49" s="199"/>
      <c r="CW49" s="199"/>
      <c r="CX49" s="199"/>
      <c r="CY49" s="199"/>
      <c r="CZ49" s="199"/>
      <c r="DA49" s="199"/>
      <c r="DB49" s="199"/>
      <c r="DC49" s="199"/>
      <c r="DD49" s="199"/>
      <c r="DE49" s="199"/>
      <c r="DF49" s="199"/>
      <c r="DG49" s="199"/>
      <c r="DH49" s="199"/>
      <c r="DI49" s="199"/>
      <c r="DJ49" s="199"/>
      <c r="DK49" s="199"/>
      <c r="DL49" s="199"/>
      <c r="DM49" s="199"/>
      <c r="DN49" s="199"/>
      <c r="DO49" s="199"/>
      <c r="DP49" s="199"/>
      <c r="DQ49" s="199"/>
      <c r="DR49" s="199"/>
      <c r="DS49" s="199"/>
      <c r="DT49" s="199"/>
      <c r="DU49" s="199"/>
      <c r="DV49" s="199"/>
      <c r="DW49" s="199"/>
      <c r="DX49" s="199"/>
      <c r="DY49" s="199"/>
      <c r="DZ49" s="199"/>
      <c r="EA49" s="199"/>
      <c r="EB49" s="199"/>
      <c r="EC49" s="199"/>
      <c r="ED49" s="199"/>
      <c r="EE49" s="199"/>
      <c r="EF49" s="199"/>
      <c r="EG49" s="199"/>
      <c r="EH49" s="199"/>
      <c r="EI49" s="199"/>
      <c r="EJ49" s="199"/>
      <c r="EK49" s="199"/>
      <c r="EL49" s="199"/>
      <c r="EM49" s="199"/>
      <c r="EN49" s="199"/>
      <c r="EO49" s="199"/>
      <c r="EP49" s="199"/>
      <c r="EQ49" s="199"/>
      <c r="ER49" s="199"/>
      <c r="ES49" s="199"/>
      <c r="ET49" s="199"/>
      <c r="EU49" s="199"/>
      <c r="EV49" s="199"/>
      <c r="EW49" s="199"/>
      <c r="EX49" s="199"/>
      <c r="EY49" s="199"/>
      <c r="EZ49" s="199"/>
      <c r="FA49" s="199"/>
      <c r="FB49" s="199"/>
      <c r="FC49" s="199"/>
      <c r="FD49" s="199"/>
      <c r="FE49" s="199"/>
      <c r="FF49" s="199"/>
      <c r="FG49" s="199"/>
      <c r="FH49" s="199"/>
      <c r="FI49" s="199"/>
      <c r="FJ49" s="199"/>
      <c r="FK49" s="199"/>
      <c r="FL49" s="199"/>
      <c r="FM49" s="199"/>
      <c r="FN49" s="199"/>
      <c r="FO49" s="199"/>
      <c r="FP49" s="199"/>
      <c r="FQ49" s="199"/>
      <c r="FR49" s="199"/>
      <c r="FS49" s="199"/>
      <c r="FT49" s="199"/>
      <c r="FU49" s="199"/>
      <c r="FV49" s="199"/>
      <c r="FW49" s="199"/>
      <c r="FX49" s="199"/>
      <c r="FY49" s="199"/>
      <c r="FZ49" s="199"/>
      <c r="GA49" s="199"/>
      <c r="GB49" s="199"/>
      <c r="GC49" s="199"/>
      <c r="GD49" s="199"/>
      <c r="GE49" s="199"/>
      <c r="GF49" s="199"/>
      <c r="GG49" s="199"/>
      <c r="GH49" s="199"/>
      <c r="GI49" s="199"/>
      <c r="GJ49" s="199"/>
      <c r="GK49" s="199"/>
      <c r="GL49" s="199"/>
      <c r="GM49" s="199"/>
      <c r="GN49" s="199"/>
      <c r="GO49" s="199"/>
      <c r="GP49" s="199"/>
      <c r="GQ49" s="199"/>
      <c r="GR49" s="199"/>
      <c r="GS49" s="199"/>
      <c r="GT49" s="199"/>
      <c r="GU49" s="199"/>
      <c r="GV49" s="199"/>
      <c r="GW49" s="199"/>
      <c r="GX49" s="199"/>
      <c r="GY49" s="199"/>
      <c r="GZ49" s="199"/>
      <c r="HA49" s="199"/>
      <c r="HB49" s="199"/>
      <c r="HC49" s="199"/>
      <c r="HD49" s="199"/>
      <c r="HE49" s="199"/>
      <c r="HF49" s="199"/>
      <c r="HG49" s="199"/>
      <c r="HH49" s="199"/>
      <c r="HI49" s="199"/>
      <c r="HJ49" s="199"/>
      <c r="HK49" s="199"/>
      <c r="HL49" s="199"/>
      <c r="HM49" s="199"/>
      <c r="HN49" s="199"/>
    </row>
    <row r="50" spans="1:222" ht="15" x14ac:dyDescent="0.25">
      <c r="A50" s="201"/>
      <c r="B50" s="198"/>
      <c r="C50" s="201"/>
      <c r="D50" s="201"/>
      <c r="E50" s="201"/>
      <c r="F50" s="201"/>
      <c r="G50" s="201"/>
      <c r="H50" s="201"/>
      <c r="I50" s="201"/>
      <c r="J50" s="201"/>
      <c r="K50" s="201"/>
      <c r="L50" s="201"/>
      <c r="M50" s="201"/>
      <c r="N50" s="201"/>
      <c r="O50" s="201"/>
      <c r="P50" s="201"/>
      <c r="Q50" s="201"/>
      <c r="R50" s="201"/>
      <c r="S50" s="201"/>
      <c r="T50" s="201"/>
      <c r="U50" s="201"/>
      <c r="V50" s="201"/>
      <c r="W50" s="201"/>
      <c r="X50" s="201"/>
      <c r="Y50" s="201"/>
      <c r="Z50" s="201"/>
      <c r="AA50" s="201"/>
      <c r="AB50" s="202"/>
      <c r="AC50" s="202"/>
      <c r="AD50" s="202"/>
      <c r="AE50" s="202"/>
      <c r="AF50" s="202"/>
      <c r="AG50" s="202"/>
      <c r="AH50" s="202"/>
      <c r="AI50" s="202"/>
      <c r="AJ50" s="202"/>
      <c r="AK50" s="202"/>
      <c r="AL50" s="202"/>
      <c r="AM50" s="202"/>
      <c r="AN50" s="202"/>
      <c r="AO50" s="202"/>
      <c r="AP50" s="202"/>
      <c r="AQ50" s="202"/>
      <c r="AR50" s="202"/>
      <c r="AS50" s="202"/>
      <c r="AT50" s="202"/>
      <c r="AU50" s="202"/>
      <c r="AV50" s="202"/>
      <c r="AW50" s="202"/>
      <c r="AX50" s="202"/>
      <c r="AY50" s="202"/>
      <c r="AZ50" s="202"/>
      <c r="BA50" s="202"/>
      <c r="BB50" s="202"/>
      <c r="BC50" s="202"/>
      <c r="BD50" s="202"/>
      <c r="BE50" s="202"/>
      <c r="BF50" s="202"/>
      <c r="BG50" s="202"/>
      <c r="BH50" s="202"/>
      <c r="BI50" s="202"/>
      <c r="BJ50" s="202"/>
      <c r="BK50" s="202"/>
      <c r="BL50" s="202"/>
      <c r="BM50" s="202"/>
      <c r="BN50" s="202"/>
      <c r="BO50" s="202"/>
      <c r="BP50" s="202"/>
      <c r="BQ50" s="202"/>
      <c r="BR50" s="202"/>
      <c r="BS50" s="202"/>
      <c r="BT50" s="202"/>
      <c r="BU50" s="202"/>
      <c r="BV50" s="202"/>
      <c r="BW50" s="202"/>
      <c r="BX50" s="202"/>
      <c r="BY50" s="202"/>
      <c r="BZ50" s="202"/>
      <c r="CA50" s="202"/>
      <c r="CB50" s="202"/>
      <c r="CC50" s="202"/>
      <c r="CD50" s="202"/>
      <c r="CE50" s="202"/>
      <c r="CF50" s="202"/>
      <c r="CG50" s="202"/>
      <c r="CH50" s="202"/>
      <c r="CI50" s="202"/>
      <c r="CJ50" s="202"/>
      <c r="CK50" s="202"/>
      <c r="CL50" s="202"/>
      <c r="CM50" s="202"/>
      <c r="CN50" s="202"/>
      <c r="CO50" s="202"/>
      <c r="CP50" s="202"/>
      <c r="CQ50" s="202"/>
      <c r="CR50" s="202"/>
      <c r="CS50" s="202"/>
      <c r="CT50" s="202"/>
      <c r="CU50" s="202"/>
      <c r="CV50" s="202"/>
      <c r="CW50" s="202"/>
      <c r="CX50" s="202"/>
      <c r="CY50" s="202"/>
      <c r="CZ50" s="202"/>
      <c r="DA50" s="202"/>
      <c r="DB50" s="202"/>
      <c r="DC50" s="202"/>
      <c r="DD50" s="202"/>
      <c r="DE50" s="202"/>
      <c r="DF50" s="202"/>
      <c r="DG50" s="202"/>
      <c r="DH50" s="202"/>
      <c r="DI50" s="202"/>
      <c r="DJ50" s="202"/>
      <c r="DK50" s="202"/>
      <c r="DL50" s="202"/>
      <c r="DM50" s="202"/>
      <c r="DN50" s="202"/>
      <c r="DO50" s="202"/>
      <c r="DP50" s="202"/>
      <c r="DQ50" s="202"/>
      <c r="DR50" s="202"/>
      <c r="DS50" s="202"/>
      <c r="DT50" s="202"/>
      <c r="DU50" s="202"/>
      <c r="DV50" s="202"/>
      <c r="DW50" s="202"/>
      <c r="DX50" s="202"/>
      <c r="DY50" s="202"/>
      <c r="DZ50" s="202"/>
      <c r="EA50" s="202"/>
      <c r="EB50" s="202"/>
      <c r="EC50" s="202"/>
      <c r="ED50" s="202"/>
      <c r="EE50" s="202"/>
      <c r="EF50" s="202"/>
      <c r="EG50" s="202"/>
      <c r="EH50" s="202"/>
      <c r="EI50" s="202"/>
      <c r="EJ50" s="202"/>
      <c r="EK50" s="202"/>
      <c r="EL50" s="202"/>
      <c r="EM50" s="202"/>
      <c r="EN50" s="202"/>
      <c r="EO50" s="202"/>
      <c r="EP50" s="202"/>
      <c r="EQ50" s="202"/>
      <c r="ER50" s="202"/>
      <c r="ES50" s="202"/>
      <c r="ET50" s="202"/>
      <c r="EU50" s="202"/>
      <c r="EV50" s="202"/>
      <c r="EW50" s="202"/>
      <c r="EX50" s="202"/>
      <c r="EY50" s="202"/>
      <c r="EZ50" s="202"/>
      <c r="FA50" s="202"/>
      <c r="FB50" s="202"/>
      <c r="FC50" s="202"/>
      <c r="FD50" s="202"/>
      <c r="FE50" s="202"/>
      <c r="FF50" s="202"/>
      <c r="FG50" s="202"/>
      <c r="FH50" s="202"/>
      <c r="FI50" s="202"/>
      <c r="FJ50" s="202"/>
      <c r="FK50" s="202"/>
      <c r="FL50" s="202"/>
      <c r="FM50" s="202"/>
      <c r="FN50" s="202"/>
      <c r="FO50" s="202"/>
      <c r="FP50" s="202"/>
      <c r="FQ50" s="202"/>
      <c r="FR50" s="202"/>
      <c r="FS50" s="202"/>
      <c r="FT50" s="202"/>
      <c r="FU50" s="202"/>
      <c r="FV50" s="202"/>
      <c r="FW50" s="202"/>
      <c r="FX50" s="202"/>
      <c r="FY50" s="202"/>
      <c r="FZ50" s="202"/>
      <c r="GA50" s="202"/>
      <c r="GB50" s="202"/>
      <c r="GC50" s="202"/>
      <c r="GD50" s="202"/>
      <c r="GE50" s="202"/>
      <c r="GF50" s="202"/>
      <c r="GG50" s="202"/>
      <c r="GH50" s="202"/>
      <c r="GI50" s="202"/>
      <c r="GJ50" s="202"/>
      <c r="GK50" s="202"/>
      <c r="GL50" s="202"/>
      <c r="GM50" s="202"/>
      <c r="GN50" s="202"/>
      <c r="GO50" s="202"/>
      <c r="GP50" s="202"/>
      <c r="GQ50" s="202"/>
      <c r="GR50" s="202"/>
      <c r="GS50" s="202"/>
      <c r="GT50" s="202"/>
      <c r="GU50" s="202"/>
      <c r="GV50" s="202"/>
      <c r="GW50" s="202"/>
      <c r="GX50" s="202"/>
      <c r="GY50" s="202"/>
      <c r="GZ50" s="202"/>
      <c r="HA50" s="202"/>
      <c r="HB50" s="202"/>
      <c r="HC50" s="202"/>
      <c r="HD50" s="202"/>
      <c r="HE50" s="202"/>
      <c r="HF50" s="202"/>
      <c r="HG50" s="202"/>
      <c r="HH50" s="202"/>
      <c r="HI50" s="202"/>
      <c r="HJ50" s="202"/>
      <c r="HK50" s="202"/>
      <c r="HL50" s="202"/>
      <c r="HM50" s="202"/>
      <c r="HN50" s="202"/>
    </row>
    <row r="51" spans="1:222" ht="15" x14ac:dyDescent="0.25">
      <c r="A51" s="202"/>
      <c r="B51" s="203"/>
      <c r="C51" s="202"/>
      <c r="J51"/>
      <c r="K51"/>
      <c r="L51"/>
      <c r="M51"/>
      <c r="N51"/>
      <c r="O51"/>
      <c r="P51"/>
      <c r="Q51"/>
      <c r="R51"/>
      <c r="S51"/>
      <c r="T51"/>
      <c r="U51"/>
      <c r="V51"/>
      <c r="W51"/>
      <c r="X51"/>
      <c r="Y51"/>
    </row>
    <row r="52" spans="1:222" ht="15" x14ac:dyDescent="0.25">
      <c r="A52" s="202"/>
      <c r="B52" s="202"/>
      <c r="C52" s="202"/>
    </row>
    <row r="53" spans="1:222" ht="15" x14ac:dyDescent="0.25">
      <c r="A53" s="202"/>
      <c r="B53" s="202"/>
      <c r="C53" s="202"/>
    </row>
    <row r="54" spans="1:222" ht="15" x14ac:dyDescent="0.25">
      <c r="A54" s="202"/>
      <c r="B54" s="202"/>
      <c r="C54" s="202"/>
    </row>
    <row r="55" spans="1:222" ht="15" x14ac:dyDescent="0.25">
      <c r="A55" s="199"/>
      <c r="B55" s="200"/>
      <c r="C55" s="199"/>
    </row>
    <row r="56" spans="1:222" ht="15" x14ac:dyDescent="0.25">
      <c r="A56" s="199"/>
      <c r="B56" s="199"/>
      <c r="C56" s="199"/>
    </row>
    <row r="57" spans="1:222" ht="15" x14ac:dyDescent="0.25">
      <c r="A57" s="199"/>
      <c r="B57" s="199"/>
      <c r="C57" s="199"/>
    </row>
    <row r="58" spans="1:222" ht="15" x14ac:dyDescent="0.25">
      <c r="A58" s="199"/>
      <c r="B58" s="199"/>
      <c r="C58" s="199"/>
    </row>
    <row r="59" spans="1:222" ht="15" x14ac:dyDescent="0.25"/>
    <row r="60" spans="1:222" ht="15" x14ac:dyDescent="0.25">
      <c r="A60" s="204"/>
      <c r="B60" s="204"/>
      <c r="C60" s="187"/>
    </row>
    <row r="61" spans="1:222" ht="15" x14ac:dyDescent="0.25">
      <c r="A61" s="205"/>
      <c r="B61" s="181"/>
    </row>
    <row r="62" spans="1:222" ht="15" x14ac:dyDescent="0.25">
      <c r="A62" s="191"/>
      <c r="B62" s="192"/>
      <c r="C62" s="191"/>
    </row>
    <row r="63" spans="1:222" ht="15" x14ac:dyDescent="0.25">
      <c r="A63" s="189"/>
      <c r="B63" s="206"/>
      <c r="C63" s="189"/>
    </row>
    <row r="64" spans="1:222" ht="15" x14ac:dyDescent="0.25">
      <c r="A64" s="189"/>
      <c r="B64" s="206"/>
      <c r="C64" s="189"/>
    </row>
    <row r="65" spans="1:3" ht="15" x14ac:dyDescent="0.25">
      <c r="A65" s="189"/>
      <c r="B65" s="206"/>
      <c r="C65" s="189"/>
    </row>
    <row r="66" spans="1:3" ht="15" x14ac:dyDescent="0.25">
      <c r="A66" s="191"/>
      <c r="B66" s="192"/>
      <c r="C66" s="189"/>
    </row>
    <row r="67" spans="1:3" ht="15" x14ac:dyDescent="0.25">
      <c r="A67" s="189"/>
      <c r="B67" s="206"/>
      <c r="C67" s="189"/>
    </row>
    <row r="68" spans="1:3" ht="15" x14ac:dyDescent="0.25">
      <c r="A68" s="189"/>
      <c r="B68" s="206"/>
      <c r="C68" s="189"/>
    </row>
    <row r="69" spans="1:3" ht="15" x14ac:dyDescent="0.25">
      <c r="A69" s="189"/>
      <c r="B69" s="206"/>
      <c r="C69" s="189"/>
    </row>
    <row r="70" spans="1:3" ht="15" x14ac:dyDescent="0.25">
      <c r="A70" s="199"/>
      <c r="B70" s="200"/>
      <c r="C70" s="199"/>
    </row>
    <row r="71" spans="1:3" ht="15" x14ac:dyDescent="0.25">
      <c r="A71" s="199"/>
      <c r="B71" s="199"/>
      <c r="C71" s="199"/>
    </row>
    <row r="72" spans="1:3" ht="15" x14ac:dyDescent="0.25">
      <c r="A72" s="199"/>
      <c r="B72" s="199"/>
      <c r="C72" s="199"/>
    </row>
    <row r="73" spans="1:3" ht="15" x14ac:dyDescent="0.25">
      <c r="A73" s="199"/>
      <c r="B73" s="199"/>
      <c r="C73" s="199"/>
    </row>
    <row r="74" spans="1:3" ht="15" x14ac:dyDescent="0.25">
      <c r="A74" s="202"/>
      <c r="B74" s="203"/>
      <c r="C74" s="202"/>
    </row>
    <row r="75" spans="1:3" ht="15" x14ac:dyDescent="0.25">
      <c r="A75" s="202"/>
      <c r="B75" s="202"/>
      <c r="C75" s="202"/>
    </row>
    <row r="76" spans="1:3" ht="15" x14ac:dyDescent="0.25">
      <c r="A76" s="202"/>
      <c r="B76" s="202"/>
      <c r="C76" s="202"/>
    </row>
    <row r="77" spans="1:3" ht="15" x14ac:dyDescent="0.25">
      <c r="A77" s="202"/>
      <c r="B77" s="202"/>
      <c r="C77" s="202"/>
    </row>
    <row r="78" spans="1:3" ht="15" x14ac:dyDescent="0.25">
      <c r="A78" s="202"/>
      <c r="B78" s="203"/>
      <c r="C78" s="202"/>
    </row>
    <row r="79" spans="1:3" ht="15" x14ac:dyDescent="0.25">
      <c r="A79" s="202"/>
      <c r="B79" s="202"/>
      <c r="C79" s="202"/>
    </row>
    <row r="80" spans="1:3" ht="15" x14ac:dyDescent="0.25">
      <c r="A80" s="202"/>
      <c r="B80" s="202"/>
      <c r="C80" s="202"/>
    </row>
    <row r="81" spans="1:222" ht="15" x14ac:dyDescent="0.25">
      <c r="A81" s="202"/>
      <c r="B81" s="202"/>
      <c r="C81" s="202"/>
    </row>
    <row r="82" spans="1:222" ht="15" x14ac:dyDescent="0.25">
      <c r="A82" s="199"/>
      <c r="B82" s="200"/>
      <c r="C82" s="199"/>
    </row>
    <row r="83" spans="1:222" ht="15" x14ac:dyDescent="0.25">
      <c r="A83" s="199"/>
      <c r="B83" s="199"/>
      <c r="C83" s="199"/>
    </row>
    <row r="84" spans="1:222" ht="15" x14ac:dyDescent="0.25">
      <c r="A84" s="199"/>
      <c r="B84" s="199"/>
      <c r="C84" s="199"/>
    </row>
    <row r="85" spans="1:222" ht="15" x14ac:dyDescent="0.25">
      <c r="A85" s="199"/>
      <c r="B85" s="199"/>
      <c r="C85" s="199"/>
    </row>
    <row r="86" spans="1:222" ht="15" x14ac:dyDescent="0.25"/>
    <row r="87" spans="1:222" ht="15" x14ac:dyDescent="0.25">
      <c r="A87" s="204"/>
      <c r="B87" s="204"/>
      <c r="C87" s="187"/>
      <c r="D87" s="190"/>
      <c r="E87" s="190"/>
      <c r="F87" s="190"/>
      <c r="G87" s="190"/>
      <c r="H87" s="190"/>
      <c r="I87" s="190"/>
      <c r="J87" s="189"/>
      <c r="K87" s="189"/>
      <c r="L87" s="189"/>
      <c r="M87" s="189"/>
      <c r="N87" s="189"/>
      <c r="O87" s="189"/>
      <c r="P87" s="189"/>
      <c r="Q87" s="189"/>
      <c r="R87" s="189"/>
      <c r="S87" s="189"/>
      <c r="T87" s="189"/>
      <c r="U87" s="189"/>
      <c r="V87" s="189"/>
      <c r="W87" s="189"/>
      <c r="X87" s="189"/>
      <c r="Y87" s="189"/>
      <c r="Z87" s="189"/>
      <c r="AA87" s="189"/>
      <c r="AB87" s="189"/>
      <c r="AC87" s="189"/>
      <c r="AD87" s="189"/>
      <c r="AE87" s="189"/>
      <c r="AF87" s="189"/>
      <c r="AG87" s="189"/>
      <c r="AH87" s="189"/>
      <c r="AI87" s="189"/>
      <c r="AJ87" s="189"/>
      <c r="AK87" s="189"/>
      <c r="AL87" s="189"/>
      <c r="AM87" s="189"/>
      <c r="AN87" s="189"/>
      <c r="AO87" s="189"/>
      <c r="AP87" s="189"/>
      <c r="AQ87" s="189"/>
      <c r="AR87" s="189"/>
      <c r="AS87" s="189"/>
      <c r="AT87" s="189"/>
      <c r="AU87" s="189"/>
      <c r="AV87" s="189"/>
      <c r="AW87" s="189"/>
      <c r="AX87" s="189"/>
      <c r="AY87" s="189"/>
      <c r="AZ87" s="189"/>
      <c r="BA87" s="189"/>
      <c r="BB87" s="189"/>
      <c r="BC87" s="189"/>
      <c r="BD87" s="189"/>
      <c r="BE87" s="189"/>
      <c r="BF87" s="189"/>
      <c r="BG87" s="189"/>
      <c r="BH87" s="189"/>
      <c r="BI87" s="189"/>
      <c r="BJ87" s="189"/>
      <c r="BK87" s="189"/>
      <c r="BL87" s="189"/>
      <c r="BM87" s="189"/>
      <c r="BN87" s="189"/>
      <c r="BO87" s="189"/>
      <c r="BP87" s="189"/>
      <c r="BQ87" s="189"/>
      <c r="BR87" s="189"/>
      <c r="BS87" s="189"/>
      <c r="BT87" s="189"/>
      <c r="BU87" s="189"/>
      <c r="BV87" s="189"/>
      <c r="BW87" s="189"/>
      <c r="BX87" s="189"/>
      <c r="BY87" s="189"/>
      <c r="BZ87" s="189"/>
      <c r="CA87" s="189"/>
      <c r="CB87" s="189"/>
      <c r="CC87" s="189"/>
      <c r="CD87" s="189"/>
      <c r="CE87" s="189"/>
      <c r="CF87" s="189"/>
      <c r="CG87" s="189"/>
      <c r="CH87" s="189"/>
      <c r="CI87" s="189"/>
      <c r="CJ87" s="189"/>
      <c r="CK87" s="189"/>
      <c r="CL87" s="189"/>
      <c r="CM87" s="189"/>
      <c r="CN87" s="189"/>
      <c r="CO87" s="189"/>
      <c r="CP87" s="189"/>
      <c r="CQ87" s="189"/>
      <c r="CR87" s="189"/>
      <c r="CS87" s="189"/>
      <c r="CT87" s="189"/>
      <c r="CU87" s="189"/>
      <c r="CV87" s="189"/>
      <c r="CW87" s="189"/>
      <c r="CX87" s="189"/>
      <c r="CY87" s="189"/>
      <c r="CZ87" s="189"/>
      <c r="DA87" s="189"/>
      <c r="DB87" s="189"/>
      <c r="DC87" s="189"/>
      <c r="DD87" s="189"/>
      <c r="DE87" s="189"/>
      <c r="DF87" s="189"/>
      <c r="DG87" s="189"/>
      <c r="DH87" s="189"/>
      <c r="DI87" s="189"/>
      <c r="DJ87" s="189"/>
      <c r="DK87" s="189"/>
      <c r="DL87" s="189"/>
      <c r="DM87" s="189"/>
      <c r="DN87" s="189"/>
      <c r="DO87" s="189"/>
      <c r="DP87" s="189"/>
      <c r="DQ87" s="189"/>
      <c r="DR87" s="189"/>
      <c r="DS87" s="189"/>
      <c r="DT87" s="189"/>
      <c r="DU87" s="189"/>
      <c r="DV87" s="189"/>
      <c r="DW87" s="189"/>
      <c r="DX87" s="189"/>
      <c r="DY87" s="189"/>
      <c r="DZ87" s="189"/>
      <c r="EA87" s="189"/>
      <c r="EB87" s="189"/>
      <c r="EC87" s="189"/>
      <c r="ED87" s="189"/>
      <c r="EE87" s="189"/>
      <c r="EF87" s="189"/>
      <c r="EG87" s="189"/>
      <c r="EH87" s="189"/>
      <c r="EI87" s="189"/>
      <c r="EJ87" s="189"/>
      <c r="EK87" s="189"/>
      <c r="EL87" s="189"/>
      <c r="EM87" s="189"/>
      <c r="EN87" s="189"/>
      <c r="EO87" s="189"/>
      <c r="EP87" s="189"/>
      <c r="EQ87" s="189"/>
      <c r="ER87" s="189"/>
      <c r="ES87" s="189"/>
      <c r="ET87" s="189"/>
      <c r="EU87" s="189"/>
      <c r="EV87" s="189"/>
      <c r="EW87" s="189"/>
      <c r="EX87" s="189"/>
      <c r="EY87" s="189"/>
      <c r="EZ87" s="189"/>
      <c r="FA87" s="189"/>
      <c r="FB87" s="189"/>
      <c r="FC87" s="189"/>
      <c r="FD87" s="189"/>
      <c r="FE87" s="189"/>
      <c r="FF87" s="189"/>
      <c r="FG87" s="189"/>
      <c r="FH87" s="189"/>
      <c r="FI87" s="189"/>
      <c r="FJ87" s="189"/>
      <c r="FK87" s="189"/>
      <c r="FL87" s="189"/>
      <c r="FM87" s="189"/>
      <c r="FN87" s="189"/>
      <c r="FO87" s="189"/>
      <c r="FP87" s="189"/>
      <c r="FQ87" s="189"/>
      <c r="FR87" s="189"/>
      <c r="FS87" s="189"/>
      <c r="FT87" s="189"/>
      <c r="FU87" s="189"/>
      <c r="FV87" s="189"/>
      <c r="FW87" s="189"/>
      <c r="FX87" s="189"/>
      <c r="FY87" s="189"/>
      <c r="FZ87" s="189"/>
      <c r="GA87" s="189"/>
      <c r="GB87" s="189"/>
      <c r="GC87" s="189"/>
      <c r="GD87" s="189"/>
      <c r="GE87" s="189"/>
      <c r="GF87" s="189"/>
      <c r="GG87" s="189"/>
      <c r="GH87" s="189"/>
      <c r="GI87" s="189"/>
      <c r="GJ87" s="189"/>
      <c r="GK87" s="189"/>
      <c r="GL87" s="189"/>
      <c r="GM87" s="189"/>
      <c r="GN87" s="189"/>
      <c r="GO87" s="189"/>
      <c r="GP87" s="189"/>
      <c r="GQ87" s="189"/>
      <c r="GR87" s="189"/>
      <c r="GS87" s="189"/>
      <c r="GT87" s="189"/>
      <c r="GU87" s="189"/>
      <c r="GV87" s="189"/>
      <c r="GW87" s="189"/>
      <c r="GX87" s="189"/>
      <c r="GY87" s="189"/>
      <c r="GZ87" s="189"/>
      <c r="HA87" s="189"/>
      <c r="HB87" s="189"/>
      <c r="HC87" s="189"/>
      <c r="HD87" s="189"/>
      <c r="HE87" s="189"/>
      <c r="HF87" s="189"/>
      <c r="HG87" s="189"/>
      <c r="HH87" s="189"/>
      <c r="HI87" s="189"/>
      <c r="HJ87" s="189"/>
      <c r="HK87" s="189"/>
      <c r="HL87" s="189"/>
      <c r="HM87" s="189"/>
      <c r="HN87" s="189"/>
    </row>
    <row r="88" spans="1:222" ht="15" x14ac:dyDescent="0.25">
      <c r="A88" s="205"/>
      <c r="B88" s="181"/>
    </row>
    <row r="89" spans="1:222" ht="15" x14ac:dyDescent="0.25">
      <c r="A89" s="191"/>
      <c r="B89" s="192"/>
      <c r="C89" s="191"/>
    </row>
    <row r="90" spans="1:222" ht="15" x14ac:dyDescent="0.25">
      <c r="A90" s="189"/>
      <c r="B90" s="206"/>
      <c r="C90" s="189"/>
    </row>
    <row r="91" spans="1:222" ht="15" x14ac:dyDescent="0.25">
      <c r="A91" s="189"/>
      <c r="B91" s="206"/>
      <c r="C91" s="189"/>
    </row>
    <row r="92" spans="1:222" ht="15" x14ac:dyDescent="0.25">
      <c r="A92" s="189"/>
      <c r="B92" s="206"/>
      <c r="C92" s="189"/>
    </row>
    <row r="93" spans="1:222" ht="15" x14ac:dyDescent="0.25">
      <c r="A93" s="191"/>
      <c r="B93" s="192"/>
      <c r="C93" s="189"/>
    </row>
    <row r="94" spans="1:222" ht="15" x14ac:dyDescent="0.25">
      <c r="A94" s="189"/>
      <c r="B94" s="206"/>
      <c r="C94" s="189"/>
    </row>
    <row r="95" spans="1:222" ht="15" x14ac:dyDescent="0.25">
      <c r="A95" s="189"/>
      <c r="B95" s="206"/>
      <c r="C95" s="189"/>
    </row>
    <row r="96" spans="1:222" ht="15" x14ac:dyDescent="0.25">
      <c r="A96" s="189"/>
      <c r="B96" s="206"/>
      <c r="C96" s="189"/>
    </row>
    <row r="97" spans="1:3" ht="15" x14ac:dyDescent="0.25">
      <c r="A97" s="199"/>
      <c r="B97" s="200"/>
      <c r="C97" s="199"/>
    </row>
    <row r="98" spans="1:3" ht="15" x14ac:dyDescent="0.25">
      <c r="A98" s="199"/>
      <c r="B98" s="199"/>
      <c r="C98" s="199"/>
    </row>
    <row r="99" spans="1:3" ht="15" x14ac:dyDescent="0.25">
      <c r="A99" s="199"/>
      <c r="B99" s="199"/>
      <c r="C99" s="199"/>
    </row>
    <row r="100" spans="1:3" ht="15" x14ac:dyDescent="0.25">
      <c r="A100" s="199"/>
      <c r="B100" s="199"/>
      <c r="C100" s="199"/>
    </row>
    <row r="101" spans="1:3" ht="15" x14ac:dyDescent="0.25">
      <c r="A101" s="202"/>
      <c r="B101" s="203"/>
      <c r="C101" s="202"/>
    </row>
    <row r="102" spans="1:3" ht="15" x14ac:dyDescent="0.25">
      <c r="A102" s="202"/>
      <c r="B102" s="202"/>
      <c r="C102" s="202"/>
    </row>
    <row r="103" spans="1:3" ht="15" x14ac:dyDescent="0.25">
      <c r="A103" s="202"/>
      <c r="B103" s="202"/>
      <c r="C103" s="202"/>
    </row>
    <row r="104" spans="1:3" ht="15" x14ac:dyDescent="0.25">
      <c r="A104" s="202"/>
      <c r="B104" s="202"/>
      <c r="C104" s="202"/>
    </row>
    <row r="105" spans="1:3" ht="15" x14ac:dyDescent="0.25">
      <c r="A105" s="202"/>
      <c r="B105" s="203"/>
      <c r="C105" s="202"/>
    </row>
    <row r="106" spans="1:3" ht="15" x14ac:dyDescent="0.25">
      <c r="A106" s="202"/>
      <c r="B106" s="202"/>
      <c r="C106" s="202"/>
    </row>
    <row r="107" spans="1:3" ht="15" x14ac:dyDescent="0.25">
      <c r="A107" s="202"/>
      <c r="B107" s="202"/>
      <c r="C107" s="202"/>
    </row>
    <row r="108" spans="1:3" ht="15" x14ac:dyDescent="0.25">
      <c r="A108" s="202"/>
      <c r="B108" s="202"/>
      <c r="C108" s="202"/>
    </row>
    <row r="109" spans="1:3" ht="15" x14ac:dyDescent="0.25">
      <c r="A109" s="199"/>
      <c r="B109" s="200"/>
      <c r="C109" s="199"/>
    </row>
    <row r="110" spans="1:3" ht="15" x14ac:dyDescent="0.25">
      <c r="A110" s="199"/>
      <c r="B110" s="199"/>
      <c r="C110" s="199"/>
    </row>
    <row r="111" spans="1:3" ht="15" x14ac:dyDescent="0.25">
      <c r="A111" s="199"/>
      <c r="B111" s="199"/>
      <c r="C111" s="199"/>
    </row>
    <row r="112" spans="1:3" ht="15" x14ac:dyDescent="0.25">
      <c r="A112" s="199"/>
      <c r="B112" s="199"/>
      <c r="C112" s="199"/>
    </row>
    <row r="113" spans="1:3" ht="15" x14ac:dyDescent="0.25"/>
    <row r="114" spans="1:3" ht="15" x14ac:dyDescent="0.25">
      <c r="A114" s="204"/>
      <c r="B114" s="204"/>
      <c r="C114" s="187"/>
    </row>
    <row r="115" spans="1:3" ht="15" x14ac:dyDescent="0.25">
      <c r="A115" s="205"/>
      <c r="B115" s="181"/>
    </row>
    <row r="116" spans="1:3" ht="15" x14ac:dyDescent="0.25">
      <c r="A116" s="191"/>
      <c r="B116" s="192"/>
      <c r="C116" s="191"/>
    </row>
    <row r="117" spans="1:3" ht="15" x14ac:dyDescent="0.25">
      <c r="A117" s="189"/>
      <c r="B117" s="206"/>
      <c r="C117" s="189"/>
    </row>
    <row r="118" spans="1:3" ht="15" x14ac:dyDescent="0.25">
      <c r="A118" s="189"/>
      <c r="B118" s="206"/>
      <c r="C118" s="189"/>
    </row>
    <row r="119" spans="1:3" ht="15" x14ac:dyDescent="0.25">
      <c r="A119" s="189"/>
      <c r="B119" s="206"/>
      <c r="C119" s="189"/>
    </row>
    <row r="120" spans="1:3" ht="15" x14ac:dyDescent="0.25">
      <c r="A120" s="191"/>
      <c r="B120" s="192"/>
      <c r="C120" s="189"/>
    </row>
    <row r="121" spans="1:3" ht="15" x14ac:dyDescent="0.25">
      <c r="A121" s="189"/>
      <c r="B121" s="206"/>
      <c r="C121" s="189"/>
    </row>
    <row r="122" spans="1:3" ht="15" x14ac:dyDescent="0.25">
      <c r="A122" s="189"/>
      <c r="B122" s="206"/>
      <c r="C122" s="189"/>
    </row>
    <row r="123" spans="1:3" ht="15" x14ac:dyDescent="0.25">
      <c r="A123" s="189"/>
      <c r="B123" s="206"/>
      <c r="C123" s="189"/>
    </row>
    <row r="124" spans="1:3" ht="15" x14ac:dyDescent="0.25">
      <c r="A124" s="199"/>
      <c r="B124" s="200"/>
      <c r="C124" s="199"/>
    </row>
    <row r="125" spans="1:3" ht="15" x14ac:dyDescent="0.25">
      <c r="A125" s="199"/>
      <c r="B125" s="199"/>
      <c r="C125" s="199"/>
    </row>
    <row r="126" spans="1:3" ht="15" x14ac:dyDescent="0.25">
      <c r="A126" s="199"/>
      <c r="B126" s="199"/>
      <c r="C126" s="199"/>
    </row>
    <row r="127" spans="1:3" ht="15" x14ac:dyDescent="0.25">
      <c r="A127" s="199"/>
      <c r="B127" s="199"/>
      <c r="C127" s="199"/>
    </row>
    <row r="128" spans="1:3" ht="15" x14ac:dyDescent="0.25">
      <c r="A128" s="202"/>
      <c r="B128" s="203"/>
      <c r="C128" s="202"/>
    </row>
    <row r="129" spans="1:3" ht="15" x14ac:dyDescent="0.25">
      <c r="A129" s="202"/>
      <c r="B129" s="202"/>
      <c r="C129" s="202"/>
    </row>
    <row r="130" spans="1:3" ht="15" x14ac:dyDescent="0.25">
      <c r="A130" s="202"/>
      <c r="B130" s="202"/>
      <c r="C130" s="202"/>
    </row>
    <row r="131" spans="1:3" ht="15" x14ac:dyDescent="0.25">
      <c r="A131" s="202"/>
      <c r="B131" s="202"/>
      <c r="C131" s="202"/>
    </row>
    <row r="132" spans="1:3" ht="15" x14ac:dyDescent="0.25">
      <c r="A132" s="202"/>
      <c r="B132" s="203"/>
      <c r="C132" s="202"/>
    </row>
    <row r="133" spans="1:3" ht="15" x14ac:dyDescent="0.25">
      <c r="A133" s="202"/>
      <c r="B133" s="202"/>
      <c r="C133" s="202"/>
    </row>
    <row r="134" spans="1:3" ht="15" x14ac:dyDescent="0.25">
      <c r="A134" s="202"/>
      <c r="B134" s="202"/>
      <c r="C134" s="202"/>
    </row>
    <row r="135" spans="1:3" ht="15" x14ac:dyDescent="0.25">
      <c r="A135" s="202"/>
      <c r="B135" s="202"/>
      <c r="C135" s="202"/>
    </row>
    <row r="136" spans="1:3" ht="15" x14ac:dyDescent="0.25">
      <c r="A136" s="199"/>
      <c r="B136" s="200"/>
      <c r="C136" s="199"/>
    </row>
    <row r="137" spans="1:3" ht="15" x14ac:dyDescent="0.25">
      <c r="A137" s="199"/>
      <c r="B137" s="199"/>
      <c r="C137" s="199"/>
    </row>
    <row r="138" spans="1:3" ht="15" x14ac:dyDescent="0.25">
      <c r="A138" s="199"/>
      <c r="B138" s="199"/>
      <c r="C138" s="199"/>
    </row>
    <row r="139" spans="1:3" ht="15" x14ac:dyDescent="0.25">
      <c r="A139" s="199"/>
      <c r="B139" s="199"/>
      <c r="C139" s="199"/>
    </row>
    <row r="140" spans="1:3" ht="15" x14ac:dyDescent="0.25"/>
    <row r="141" spans="1:3" ht="15" x14ac:dyDescent="0.25">
      <c r="A141" s="204"/>
      <c r="B141" s="204"/>
      <c r="C141" s="187"/>
    </row>
    <row r="142" spans="1:3" ht="15" x14ac:dyDescent="0.25">
      <c r="A142" s="205"/>
      <c r="B142" s="181"/>
    </row>
    <row r="143" spans="1:3" ht="15" x14ac:dyDescent="0.25">
      <c r="A143" s="191"/>
      <c r="B143" s="192"/>
      <c r="C143" s="191"/>
    </row>
    <row r="144" spans="1:3" ht="15" x14ac:dyDescent="0.25">
      <c r="A144" s="189"/>
      <c r="B144" s="206"/>
      <c r="C144" s="189"/>
    </row>
    <row r="145" spans="1:3" ht="15" x14ac:dyDescent="0.25">
      <c r="A145" s="189"/>
      <c r="B145" s="206"/>
      <c r="C145" s="189"/>
    </row>
    <row r="146" spans="1:3" ht="15" x14ac:dyDescent="0.25">
      <c r="A146" s="189"/>
      <c r="B146" s="206"/>
      <c r="C146" s="189"/>
    </row>
    <row r="147" spans="1:3" ht="15" x14ac:dyDescent="0.25">
      <c r="A147" s="191"/>
      <c r="B147" s="192"/>
      <c r="C147" s="189"/>
    </row>
    <row r="148" spans="1:3" ht="15" x14ac:dyDescent="0.25">
      <c r="A148" s="189"/>
      <c r="B148" s="206"/>
      <c r="C148" s="189"/>
    </row>
    <row r="149" spans="1:3" ht="15" x14ac:dyDescent="0.25">
      <c r="A149" s="189"/>
      <c r="B149" s="206"/>
      <c r="C149" s="189"/>
    </row>
    <row r="150" spans="1:3" ht="15" x14ac:dyDescent="0.25">
      <c r="A150" s="189"/>
      <c r="B150" s="206"/>
      <c r="C150" s="189"/>
    </row>
    <row r="151" spans="1:3" ht="15" x14ac:dyDescent="0.25">
      <c r="A151" s="199"/>
      <c r="B151" s="200"/>
      <c r="C151" s="199"/>
    </row>
    <row r="152" spans="1:3" ht="15" x14ac:dyDescent="0.25">
      <c r="A152" s="199"/>
      <c r="B152" s="199"/>
      <c r="C152" s="199"/>
    </row>
    <row r="153" spans="1:3" ht="15" x14ac:dyDescent="0.25">
      <c r="A153" s="199"/>
      <c r="B153" s="199"/>
      <c r="C153" s="199"/>
    </row>
    <row r="154" spans="1:3" ht="15" x14ac:dyDescent="0.25">
      <c r="A154" s="199"/>
      <c r="B154" s="199"/>
      <c r="C154" s="199"/>
    </row>
    <row r="155" spans="1:3" ht="15" x14ac:dyDescent="0.25">
      <c r="A155" s="202"/>
      <c r="B155" s="203"/>
      <c r="C155" s="202"/>
    </row>
    <row r="156" spans="1:3" ht="15" x14ac:dyDescent="0.25">
      <c r="A156" s="202"/>
      <c r="B156" s="202"/>
      <c r="C156" s="202"/>
    </row>
    <row r="157" spans="1:3" ht="15" x14ac:dyDescent="0.25">
      <c r="A157" s="202"/>
      <c r="B157" s="202"/>
      <c r="C157" s="202"/>
    </row>
    <row r="158" spans="1:3" ht="15" x14ac:dyDescent="0.25">
      <c r="A158" s="202"/>
      <c r="B158" s="202"/>
      <c r="C158" s="202"/>
    </row>
    <row r="159" spans="1:3" ht="15" x14ac:dyDescent="0.25">
      <c r="A159" s="202"/>
      <c r="B159" s="203"/>
      <c r="C159" s="202"/>
    </row>
    <row r="160" spans="1:3" ht="15" x14ac:dyDescent="0.25">
      <c r="A160" s="202"/>
      <c r="B160" s="202"/>
      <c r="C160" s="202"/>
    </row>
    <row r="161" spans="1:3" ht="15" x14ac:dyDescent="0.25">
      <c r="A161" s="202"/>
      <c r="B161" s="202"/>
      <c r="C161" s="202"/>
    </row>
    <row r="162" spans="1:3" ht="15" x14ac:dyDescent="0.25">
      <c r="A162" s="202"/>
      <c r="B162" s="202"/>
      <c r="C162" s="202"/>
    </row>
    <row r="163" spans="1:3" ht="15" x14ac:dyDescent="0.25">
      <c r="A163" s="199"/>
      <c r="B163" s="200"/>
      <c r="C163" s="199"/>
    </row>
    <row r="164" spans="1:3" ht="15" x14ac:dyDescent="0.25">
      <c r="A164" s="199"/>
      <c r="B164" s="199"/>
      <c r="C164" s="199"/>
    </row>
    <row r="165" spans="1:3" ht="15" x14ac:dyDescent="0.25">
      <c r="A165" s="199"/>
      <c r="B165" s="199"/>
      <c r="C165" s="199"/>
    </row>
    <row r="166" spans="1:3" ht="15" x14ac:dyDescent="0.25">
      <c r="A166" s="199"/>
      <c r="B166" s="199"/>
      <c r="C166" s="199"/>
    </row>
  </sheetData>
  <mergeCells count="18">
    <mergeCell ref="D2:G2"/>
    <mergeCell ref="H2:K2"/>
    <mergeCell ref="L2:O2"/>
    <mergeCell ref="P2:S2"/>
    <mergeCell ref="T2:W2"/>
    <mergeCell ref="AN2:AO2"/>
    <mergeCell ref="X2:AA2"/>
    <mergeCell ref="H26:K26"/>
    <mergeCell ref="L26:O26"/>
    <mergeCell ref="P26:S26"/>
    <mergeCell ref="T26:W26"/>
    <mergeCell ref="X26:AA26"/>
    <mergeCell ref="AF2:AI2"/>
    <mergeCell ref="AF26:AI26"/>
    <mergeCell ref="AB26:AE26"/>
    <mergeCell ref="AB2:AE2"/>
    <mergeCell ref="AJ2:AM2"/>
    <mergeCell ref="AJ26:AM26"/>
  </mergeCells>
  <phoneticPr fontId="29" type="noConversion"/>
  <conditionalFormatting sqref="A1:XFD1048576">
    <cfRule type="cellIs" dxfId="0" priority="1" operator="lessThan">
      <formula>0</formula>
    </cfRule>
  </conditionalFormatting>
  <printOptions horizontalCentered="1" gridLines="1" gridLinesSet="0"/>
  <pageMargins left="0" right="0" top="0.78740157480314965" bottom="0.59055118110236227" header="0.51181102362204722" footer="0.31496062992125984"/>
  <pageSetup paperSize="9" scale="56" orientation="landscape" blackAndWhite="1" r:id="rId1"/>
  <headerFooter alignWithMargins="0">
    <oddHeader>&amp;L&amp;F&amp;C&amp;A&amp;R&amp;D</oddHeader>
    <oddFooter>Page &amp;P of &amp;N</oddFooter>
  </headerFooter>
  <rowBreaks count="1" manualBreakCount="1">
    <brk id="25" max="16383" man="1"/>
  </rowBreaks>
  <colBreaks count="1" manualBreakCount="1">
    <brk id="14" max="49"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5"/>
  <dimension ref="B63:G68"/>
  <sheetViews>
    <sheetView workbookViewId="0">
      <selection activeCell="Q18" sqref="Q18"/>
    </sheetView>
  </sheetViews>
  <sheetFormatPr defaultRowHeight="15" x14ac:dyDescent="0.25"/>
  <sheetData>
    <row r="63" spans="2:7" x14ac:dyDescent="0.25">
      <c r="G63" s="29"/>
    </row>
    <row r="64" spans="2:7" x14ac:dyDescent="0.25">
      <c r="B64" s="3"/>
      <c r="C64" s="29"/>
    </row>
    <row r="65" spans="2:3" x14ac:dyDescent="0.25">
      <c r="B65" s="3"/>
      <c r="C65" s="29"/>
    </row>
    <row r="66" spans="2:3" x14ac:dyDescent="0.25">
      <c r="B66" s="3"/>
      <c r="C66" s="29"/>
    </row>
    <row r="67" spans="2:3" x14ac:dyDescent="0.25">
      <c r="B67" s="4"/>
      <c r="C67" s="29"/>
    </row>
    <row r="68" spans="2:3" x14ac:dyDescent="0.25">
      <c r="B68" s="2"/>
      <c r="C68" s="30"/>
    </row>
  </sheetData>
  <pageMargins left="0.5" right="0" top="0.5" bottom="0" header="0" footer="0"/>
  <pageSetup paperSize="9" scale="8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14</vt:i4>
      </vt:variant>
    </vt:vector>
  </HeadingPairs>
  <TitlesOfParts>
    <vt:vector size="31" baseType="lpstr">
      <vt:lpstr>USE OF DATA</vt:lpstr>
      <vt:lpstr>Summary</vt:lpstr>
      <vt:lpstr>Summary IPD</vt:lpstr>
      <vt:lpstr>Original_VA</vt:lpstr>
      <vt:lpstr>Original_Growth</vt:lpstr>
      <vt:lpstr>Original_IPD</vt:lpstr>
      <vt:lpstr>Deseason_VA</vt:lpstr>
      <vt:lpstr>Deseason_Growth</vt:lpstr>
      <vt:lpstr>Deseason_Growth_Decomp</vt:lpstr>
      <vt:lpstr>Deseason</vt:lpstr>
      <vt:lpstr>Trend_VA</vt:lpstr>
      <vt:lpstr>Trend_Growth</vt:lpstr>
      <vt:lpstr>TS IPD</vt:lpstr>
      <vt:lpstr>Graphs </vt:lpstr>
      <vt:lpstr>Original_Expenditure</vt:lpstr>
      <vt:lpstr>Deseason_Exp</vt:lpstr>
      <vt:lpstr>Graphs Original</vt:lpstr>
      <vt:lpstr>Deseason!Print_Area</vt:lpstr>
      <vt:lpstr>Deseason_Exp!Print_Area</vt:lpstr>
      <vt:lpstr>Deseason_Growth!Print_Area</vt:lpstr>
      <vt:lpstr>Deseason_Growth_Decomp!Print_Area</vt:lpstr>
      <vt:lpstr>Deseason_VA!Print_Area</vt:lpstr>
      <vt:lpstr>Original_Expenditure!Print_Area</vt:lpstr>
      <vt:lpstr>Original_Growth!Print_Area</vt:lpstr>
      <vt:lpstr>Original_IPD!Print_Area</vt:lpstr>
      <vt:lpstr>Original_VA!Print_Area</vt:lpstr>
      <vt:lpstr>Summary!Print_Area</vt:lpstr>
      <vt:lpstr>'Summary IPD'!Print_Area</vt:lpstr>
      <vt:lpstr>Trend_Growth!Print_Area</vt:lpstr>
      <vt:lpstr>Trend_VA!Print_Area</vt:lpstr>
      <vt:lpstr>'TS IPD'!Print_Area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dc:creator>
  <cp:lastModifiedBy>Bwambale, Ezra</cp:lastModifiedBy>
  <cp:lastPrinted>2023-08-30T08:13:31Z</cp:lastPrinted>
  <dcterms:created xsi:type="dcterms:W3CDTF">2014-11-20T08:31:08Z</dcterms:created>
  <dcterms:modified xsi:type="dcterms:W3CDTF">2026-04-09T13:50:45Z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ies>
</file>