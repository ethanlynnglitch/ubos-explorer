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zra.bwambale\Downloads\"/>
    </mc:Choice>
  </mc:AlternateContent>
  <xr:revisionPtr revIDLastSave="0" documentId="13_ncr:1_{928794C1-A6A2-4BEF-B0F1-5BE8936535F3}" xr6:coauthVersionLast="47" xr6:coauthVersionMax="47" xr10:uidLastSave="{00000000-0000-0000-0000-000000000000}"/>
  <bookViews>
    <workbookView xWindow="-120" yWindow="-120" windowWidth="29040" windowHeight="15720" tabRatio="713" activeTab="8" xr2:uid="{00000000-000D-0000-FFFF-FFFF00000000}"/>
  </bookViews>
  <sheets>
    <sheet name="Summary" sheetId="2" r:id="rId1"/>
    <sheet name="Original_VA" sheetId="4" r:id="rId2"/>
    <sheet name="Original_%share" sheetId="6" r:id="rId3"/>
    <sheet name="Deseason_VA" sheetId="1" r:id="rId4"/>
    <sheet name="Deseason_%share" sheetId="8" r:id="rId5"/>
    <sheet name="Trend_VA" sheetId="9" r:id="rId6"/>
    <sheet name="Trend_%share" sheetId="11" r:id="rId7"/>
    <sheet name="Original_Expenditure" sheetId="15" r:id="rId8"/>
    <sheet name="Deseason_Exp" sheetId="16" r:id="rId9"/>
    <sheet name="OS VA CP Growth" sheetId="5" state="hidden" r:id="rId10"/>
    <sheet name="SA VA CKP growth" sheetId="7" state="hidden" r:id="rId11"/>
  </sheets>
  <externalReferences>
    <externalReference r:id="rId12"/>
  </externalReferences>
  <definedNames>
    <definedName name="_xlnm.Print_Area" localSheetId="4">'Deseason_%share'!$A$1:$AM$37</definedName>
    <definedName name="_xlnm.Print_Area" localSheetId="8">Deseason_Exp!$A$1:$AO$51</definedName>
    <definedName name="_xlnm.Print_Area" localSheetId="3">Deseason_VA!$A$1:$AM$37</definedName>
    <definedName name="_xlnm.Print_Area" localSheetId="2">'Original_%share'!$A$1:$AM$37</definedName>
    <definedName name="_xlnm.Print_Area" localSheetId="7">Original_Expenditure!$A$1:$AO$51</definedName>
    <definedName name="_xlnm.Print_Area" localSheetId="1">Original_VA!$A$1:$AM$37</definedName>
    <definedName name="_xlnm.Print_Area" localSheetId="0">Summary!$A$1:$AM$55</definedName>
    <definedName name="_xlnm.Print_Area" localSheetId="6">'Trend_%share'!$A$1:$AM$37</definedName>
    <definedName name="_xlnm.Print_Area" localSheetId="5">Trend_VA!$A$1:$AM$37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7" l="1"/>
  <c r="E26" i="7" l="1"/>
  <c r="D26" i="7"/>
  <c r="F26" i="7" l="1"/>
  <c r="Q26" i="7" l="1"/>
  <c r="J26" i="7"/>
  <c r="N26" i="7"/>
  <c r="Z26" i="7"/>
  <c r="S26" i="7"/>
  <c r="T26" i="7"/>
  <c r="W26" i="7"/>
  <c r="M26" i="7"/>
  <c r="L26" i="7"/>
  <c r="V26" i="7"/>
  <c r="O26" i="7"/>
  <c r="R26" i="7"/>
  <c r="Y26" i="7"/>
  <c r="P26" i="7"/>
  <c r="AA26" i="7"/>
  <c r="K26" i="7"/>
  <c r="G26" i="7"/>
  <c r="H26" i="7"/>
  <c r="U26" i="7"/>
  <c r="X26" i="7"/>
  <c r="I26" i="7"/>
  <c r="AB26" i="7"/>
  <c r="Y21" i="7" l="1"/>
  <c r="P21" i="7"/>
  <c r="Q21" i="7"/>
  <c r="T21" i="7"/>
  <c r="E21" i="7"/>
  <c r="G20" i="7"/>
  <c r="N20" i="7"/>
  <c r="V20" i="7"/>
  <c r="F11" i="7"/>
  <c r="AB11" i="7"/>
  <c r="O10" i="7"/>
  <c r="T10" i="7"/>
  <c r="F10" i="7"/>
  <c r="L11" i="7"/>
  <c r="W11" i="7"/>
  <c r="H11" i="7"/>
  <c r="AB10" i="7"/>
  <c r="Z21" i="7"/>
  <c r="U20" i="7"/>
  <c r="AA20" i="7"/>
  <c r="P11" i="7"/>
  <c r="Y11" i="7"/>
  <c r="AB21" i="7"/>
  <c r="M21" i="7"/>
  <c r="J21" i="7"/>
  <c r="Y20" i="7"/>
  <c r="I11" i="7"/>
  <c r="D11" i="7"/>
  <c r="S11" i="7"/>
  <c r="C11" i="7"/>
  <c r="U11" i="7"/>
  <c r="Q10" i="7"/>
  <c r="I10" i="7"/>
  <c r="S21" i="7"/>
  <c r="G21" i="7"/>
  <c r="W21" i="7"/>
  <c r="D21" i="7"/>
  <c r="K21" i="7"/>
  <c r="X21" i="7"/>
  <c r="W20" i="7"/>
  <c r="R20" i="7"/>
  <c r="Q20" i="7"/>
  <c r="J11" i="7"/>
  <c r="O11" i="7"/>
  <c r="R10" i="7"/>
  <c r="AB20" i="7"/>
  <c r="D20" i="7"/>
  <c r="D10" i="7"/>
  <c r="J10" i="7"/>
  <c r="E10" i="7"/>
  <c r="C21" i="7"/>
  <c r="N21" i="7"/>
  <c r="L21" i="7"/>
  <c r="H21" i="7"/>
  <c r="AA21" i="7"/>
  <c r="S20" i="7"/>
  <c r="J20" i="7"/>
  <c r="H20" i="7"/>
  <c r="N11" i="7"/>
  <c r="G11" i="7"/>
  <c r="K10" i="7"/>
  <c r="W10" i="7"/>
  <c r="S10" i="7"/>
  <c r="G10" i="7"/>
  <c r="AA10" i="7"/>
  <c r="Q11" i="7"/>
  <c r="K20" i="7"/>
  <c r="T11" i="7"/>
  <c r="Z11" i="7"/>
  <c r="M11" i="7"/>
  <c r="P10" i="7"/>
  <c r="R21" i="7"/>
  <c r="I21" i="7"/>
  <c r="X20" i="7"/>
  <c r="Z20" i="7"/>
  <c r="O20" i="7"/>
  <c r="T20" i="7"/>
  <c r="P20" i="7"/>
  <c r="C20" i="7"/>
  <c r="I20" i="7"/>
  <c r="V11" i="7"/>
  <c r="X11" i="7"/>
  <c r="K11" i="7"/>
  <c r="R11" i="7"/>
  <c r="M10" i="7"/>
  <c r="U10" i="7"/>
  <c r="Z10" i="7"/>
  <c r="V10" i="7"/>
  <c r="O21" i="7"/>
  <c r="U21" i="7"/>
  <c r="F21" i="7"/>
  <c r="V21" i="7"/>
  <c r="L20" i="7"/>
  <c r="F20" i="7"/>
  <c r="E20" i="7"/>
  <c r="N10" i="7"/>
  <c r="L10" i="7"/>
  <c r="M20" i="7"/>
  <c r="AA11" i="7"/>
  <c r="E11" i="7"/>
  <c r="X10" i="7"/>
  <c r="Y10" i="7"/>
  <c r="H10" i="7"/>
  <c r="C10" i="7"/>
  <c r="C12" i="7" l="1"/>
  <c r="AA12" i="7"/>
  <c r="G12" i="7"/>
  <c r="Z12" i="7"/>
  <c r="Q12" i="7"/>
  <c r="N8" i="7"/>
  <c r="Y8" i="7"/>
  <c r="Q8" i="7"/>
  <c r="O8" i="7"/>
  <c r="X19" i="7"/>
  <c r="X14" i="7"/>
  <c r="X18" i="7"/>
  <c r="K18" i="7"/>
  <c r="V18" i="7"/>
  <c r="I12" i="7"/>
  <c r="M12" i="7"/>
  <c r="Z8" i="7"/>
  <c r="U8" i="7"/>
  <c r="R8" i="7"/>
  <c r="C8" i="7"/>
  <c r="AB19" i="7"/>
  <c r="AB14" i="7"/>
  <c r="Y19" i="7"/>
  <c r="Y14" i="7"/>
  <c r="E19" i="7"/>
  <c r="E14" i="7"/>
  <c r="D19" i="7"/>
  <c r="D14" i="7"/>
  <c r="C18" i="7"/>
  <c r="E18" i="7"/>
  <c r="J12" i="7"/>
  <c r="AB12" i="7"/>
  <c r="N12" i="7"/>
  <c r="D12" i="7"/>
  <c r="K12" i="7"/>
  <c r="X12" i="7"/>
  <c r="F8" i="7"/>
  <c r="L8" i="7"/>
  <c r="V8" i="7"/>
  <c r="H8" i="7"/>
  <c r="G19" i="7"/>
  <c r="G14" i="7"/>
  <c r="U18" i="7"/>
  <c r="AA18" i="7"/>
  <c r="U12" i="7"/>
  <c r="H12" i="7"/>
  <c r="P12" i="7"/>
  <c r="E8" i="7"/>
  <c r="D8" i="7"/>
  <c r="N14" i="7"/>
  <c r="N19" i="7"/>
  <c r="C19" i="7"/>
  <c r="C14" i="7"/>
  <c r="C13" i="7" s="1"/>
  <c r="H18" i="7"/>
  <c r="N18" i="7"/>
  <c r="S12" i="7"/>
  <c r="T12" i="7"/>
  <c r="AA8" i="7"/>
  <c r="K8" i="7"/>
  <c r="AB8" i="7"/>
  <c r="J8" i="7"/>
  <c r="L19" i="7"/>
  <c r="L14" i="7"/>
  <c r="P19" i="7"/>
  <c r="P14" i="7"/>
  <c r="R19" i="7"/>
  <c r="R14" i="7"/>
  <c r="AA19" i="7"/>
  <c r="AA14" i="7"/>
  <c r="AA13" i="7" s="1"/>
  <c r="V19" i="7"/>
  <c r="V14" i="7"/>
  <c r="V13" i="7" s="1"/>
  <c r="K19" i="7"/>
  <c r="K14" i="7"/>
  <c r="K13" i="7" s="1"/>
  <c r="J18" i="7"/>
  <c r="R18" i="7"/>
  <c r="M18" i="7"/>
  <c r="W12" i="7"/>
  <c r="Y12" i="7"/>
  <c r="G8" i="7"/>
  <c r="S8" i="7"/>
  <c r="M8" i="7"/>
  <c r="U19" i="7"/>
  <c r="U14" i="7"/>
  <c r="U13" i="7" s="1"/>
  <c r="H19" i="7"/>
  <c r="H14" i="7"/>
  <c r="H13" i="7" s="1"/>
  <c r="Q19" i="7"/>
  <c r="Q14" i="7"/>
  <c r="M19" i="7"/>
  <c r="M14" i="7"/>
  <c r="M13" i="7" s="1"/>
  <c r="S19" i="7"/>
  <c r="S14" i="7"/>
  <c r="W19" i="7"/>
  <c r="W14" i="7"/>
  <c r="L18" i="7"/>
  <c r="T18" i="7"/>
  <c r="G18" i="7"/>
  <c r="S18" i="7"/>
  <c r="R12" i="7"/>
  <c r="O12" i="7"/>
  <c r="V12" i="7"/>
  <c r="F12" i="7"/>
  <c r="I8" i="7"/>
  <c r="W8" i="7"/>
  <c r="T19" i="7"/>
  <c r="T14" i="7"/>
  <c r="O19" i="7"/>
  <c r="O14" i="7"/>
  <c r="F14" i="7"/>
  <c r="F19" i="7"/>
  <c r="Y18" i="7"/>
  <c r="O18" i="7"/>
  <c r="F18" i="7"/>
  <c r="Q18" i="7"/>
  <c r="W18" i="7"/>
  <c r="I18" i="7"/>
  <c r="E12" i="7"/>
  <c r="L12" i="7"/>
  <c r="X8" i="7"/>
  <c r="P8" i="7"/>
  <c r="T8" i="7"/>
  <c r="J14" i="7"/>
  <c r="J13" i="7" s="1"/>
  <c r="J19" i="7"/>
  <c r="Z19" i="7"/>
  <c r="Z14" i="7"/>
  <c r="I19" i="7"/>
  <c r="I14" i="7"/>
  <c r="D18" i="7"/>
  <c r="AB18" i="7"/>
  <c r="P18" i="7"/>
  <c r="Z18" i="7"/>
  <c r="I13" i="7" l="1"/>
  <c r="Z13" i="7"/>
  <c r="O13" i="7"/>
  <c r="T13" i="7"/>
  <c r="W13" i="7"/>
  <c r="S13" i="7"/>
  <c r="Q13" i="7"/>
  <c r="R13" i="7"/>
  <c r="P13" i="7"/>
  <c r="L13" i="7"/>
  <c r="G13" i="7"/>
  <c r="D13" i="7"/>
  <c r="E13" i="7"/>
  <c r="Y13" i="7"/>
  <c r="AB13" i="7"/>
  <c r="X13" i="7"/>
  <c r="F13" i="7"/>
  <c r="N13" i="7"/>
  <c r="Y7" i="7" l="1"/>
  <c r="Y6" i="7" s="1"/>
  <c r="Y5" i="7" s="1"/>
  <c r="W7" i="7"/>
  <c r="W6" i="7" s="1"/>
  <c r="W5" i="7" s="1"/>
  <c r="D7" i="7"/>
  <c r="D6" i="7" s="1"/>
  <c r="D5" i="7" s="1"/>
  <c r="S7" i="7"/>
  <c r="S6" i="7" s="1"/>
  <c r="S5" i="7" s="1"/>
  <c r="K7" i="7"/>
  <c r="K6" i="7" s="1"/>
  <c r="K5" i="7" s="1"/>
  <c r="X7" i="7"/>
  <c r="X6" i="7" s="1"/>
  <c r="X5" i="7" s="1"/>
  <c r="R7" i="7"/>
  <c r="R6" i="7" s="1"/>
  <c r="R5" i="7" s="1"/>
  <c r="G7" i="7"/>
  <c r="G6" i="7" s="1"/>
  <c r="G5" i="7" s="1"/>
  <c r="E7" i="7"/>
  <c r="E6" i="7" s="1"/>
  <c r="E5" i="7" s="1"/>
  <c r="Z7" i="7"/>
  <c r="Z6" i="7" s="1"/>
  <c r="Z5" i="7" s="1"/>
  <c r="P7" i="7"/>
  <c r="P6" i="7" s="1"/>
  <c r="P5" i="7" s="1"/>
  <c r="T7" i="7"/>
  <c r="T6" i="7" s="1"/>
  <c r="T5" i="7" s="1"/>
  <c r="AB7" i="7"/>
  <c r="AB6" i="7" s="1"/>
  <c r="AB5" i="7" s="1"/>
  <c r="U7" i="7"/>
  <c r="U6" i="7" s="1"/>
  <c r="U5" i="7" s="1"/>
  <c r="I7" i="7"/>
  <c r="I6" i="7" s="1"/>
  <c r="I5" i="7" s="1"/>
  <c r="L7" i="7"/>
  <c r="L6" i="7" s="1"/>
  <c r="L5" i="7" s="1"/>
  <c r="N7" i="7"/>
  <c r="N6" i="7" s="1"/>
  <c r="N5" i="7" s="1"/>
  <c r="Q7" i="7"/>
  <c r="Q6" i="7" s="1"/>
  <c r="Q5" i="7" s="1"/>
  <c r="J7" i="7"/>
  <c r="J6" i="7" s="1"/>
  <c r="J5" i="7" s="1"/>
  <c r="M7" i="7"/>
  <c r="M6" i="7" s="1"/>
  <c r="M5" i="7" s="1"/>
  <c r="H7" i="7"/>
  <c r="H6" i="7" s="1"/>
  <c r="H5" i="7" s="1"/>
  <c r="O7" i="7"/>
  <c r="O6" i="7" s="1"/>
  <c r="O5" i="7" s="1"/>
  <c r="V7" i="7"/>
  <c r="V6" i="7" s="1"/>
  <c r="V5" i="7" s="1"/>
  <c r="AA7" i="7"/>
  <c r="AA6" i="7" s="1"/>
  <c r="AA5" i="7" s="1"/>
  <c r="C7" i="7"/>
  <c r="C6" i="7" s="1"/>
  <c r="C5" i="7" s="1"/>
  <c r="F7" i="7"/>
  <c r="F6" i="7" s="1"/>
  <c r="F5" i="7" s="1"/>
  <c r="F28" i="7" l="1"/>
  <c r="I24" i="7"/>
  <c r="J32" i="7"/>
  <c r="F25" i="7"/>
  <c r="G31" i="7"/>
  <c r="I23" i="7"/>
  <c r="M25" i="7"/>
  <c r="P16" i="7"/>
  <c r="Q27" i="7"/>
  <c r="S9" i="7"/>
  <c r="U31" i="7"/>
  <c r="Z9" i="7"/>
  <c r="E22" i="7"/>
  <c r="E9" i="7"/>
  <c r="G22" i="7"/>
  <c r="H30" i="7"/>
  <c r="P15" i="7"/>
  <c r="Q24" i="7"/>
  <c r="X30" i="7"/>
  <c r="U16" i="7"/>
  <c r="X9" i="7"/>
  <c r="Y23" i="7"/>
  <c r="Z29" i="7"/>
  <c r="AB22" i="7"/>
  <c r="N22" i="7"/>
  <c r="R28" i="7"/>
  <c r="T15" i="7"/>
  <c r="U28" i="7"/>
  <c r="AA28" i="7"/>
  <c r="G9" i="7"/>
  <c r="I29" i="7"/>
  <c r="P29" i="7"/>
  <c r="S25" i="7"/>
  <c r="T31" i="7"/>
  <c r="AA31" i="7"/>
  <c r="I17" i="7"/>
  <c r="L17" i="7"/>
  <c r="O15" i="7"/>
  <c r="W30" i="7"/>
  <c r="M16" i="7"/>
  <c r="W9" i="7"/>
  <c r="AB27" i="7"/>
  <c r="G15" i="7"/>
  <c r="R30" i="7"/>
  <c r="AA30" i="7"/>
  <c r="H25" i="7"/>
  <c r="K16" i="7"/>
  <c r="L27" i="7"/>
  <c r="S27" i="7"/>
  <c r="AA22" i="7"/>
  <c r="G32" i="7"/>
  <c r="J30" i="7"/>
  <c r="O17" i="7"/>
  <c r="AB30" i="7"/>
  <c r="F23" i="7"/>
  <c r="G29" i="7"/>
  <c r="I16" i="7"/>
  <c r="N29" i="7"/>
  <c r="Q25" i="7"/>
  <c r="R31" i="7"/>
  <c r="AA16" i="7"/>
  <c r="E16" i="7"/>
  <c r="F15" i="7"/>
  <c r="T28" i="7"/>
  <c r="J16" i="7"/>
  <c r="M9" i="7"/>
  <c r="Q16" i="7"/>
  <c r="V29" i="7"/>
  <c r="Y27" i="7"/>
  <c r="AA9" i="7"/>
  <c r="AB23" i="7"/>
  <c r="K17" i="7"/>
  <c r="L30" i="7"/>
  <c r="N17" i="7"/>
  <c r="R24" i="7"/>
  <c r="X22" i="7"/>
  <c r="H16" i="7"/>
  <c r="L23" i="7"/>
  <c r="P27" i="7"/>
  <c r="R9" i="7"/>
  <c r="S23" i="7"/>
  <c r="T29" i="7"/>
  <c r="F32" i="7"/>
  <c r="I32" i="7"/>
  <c r="O28" i="7"/>
  <c r="Q15" i="7"/>
  <c r="U24" i="7"/>
  <c r="V32" i="7"/>
  <c r="Y32" i="7"/>
  <c r="F31" i="7"/>
  <c r="I27" i="7"/>
  <c r="L25" i="7"/>
  <c r="Y9" i="7"/>
  <c r="AA29" i="7"/>
  <c r="G30" i="7"/>
  <c r="P24" i="7"/>
  <c r="T30" i="7"/>
  <c r="Y17" i="7"/>
  <c r="G27" i="7"/>
  <c r="P9" i="7"/>
  <c r="Q23" i="7"/>
  <c r="X23" i="7"/>
  <c r="AB25" i="7"/>
  <c r="E23" i="7"/>
  <c r="H15" i="7"/>
  <c r="I28" i="7"/>
  <c r="O22" i="7"/>
  <c r="P32" i="7"/>
  <c r="R22" i="7"/>
  <c r="J29" i="7"/>
  <c r="M27" i="7"/>
  <c r="O9" i="7"/>
  <c r="Q29" i="7"/>
  <c r="T25" i="7"/>
  <c r="F30" i="7"/>
  <c r="S30" i="7"/>
  <c r="U17" i="7"/>
  <c r="Y28" i="7"/>
  <c r="G23" i="7"/>
  <c r="H29" i="7"/>
  <c r="K25" i="7"/>
  <c r="V27" i="7"/>
  <c r="K15" i="7"/>
  <c r="O24" i="7"/>
  <c r="S32" i="7"/>
  <c r="V30" i="7"/>
  <c r="X17" i="7"/>
  <c r="AA15" i="7"/>
  <c r="K27" i="7"/>
  <c r="U23" i="7"/>
  <c r="E32" i="7"/>
  <c r="AB24" i="7"/>
  <c r="E27" i="7"/>
  <c r="H17" i="7"/>
  <c r="I30" i="7"/>
  <c r="L28" i="7"/>
  <c r="U22" i="7"/>
  <c r="Y30" i="7"/>
  <c r="AA17" i="7"/>
  <c r="I25" i="7"/>
  <c r="M29" i="7"/>
  <c r="Q31" i="7"/>
  <c r="W25" i="7"/>
  <c r="G17" i="7"/>
  <c r="N24" i="7"/>
  <c r="O32" i="7"/>
  <c r="Q22" i="7"/>
  <c r="AA32" i="7"/>
  <c r="L29" i="7"/>
  <c r="R16" i="7"/>
  <c r="V25" i="7"/>
  <c r="W31" i="7"/>
  <c r="AB9" i="7"/>
  <c r="AA24" i="7"/>
  <c r="E31" i="7"/>
  <c r="M30" i="7"/>
  <c r="R17" i="7"/>
  <c r="U15" i="7"/>
  <c r="Z32" i="7"/>
  <c r="J27" i="7"/>
  <c r="L9" i="7"/>
  <c r="N31" i="7"/>
  <c r="T23" i="7"/>
  <c r="W16" i="7"/>
  <c r="AB29" i="7"/>
  <c r="E24" i="7"/>
  <c r="M15" i="7"/>
  <c r="R32" i="7"/>
  <c r="T22" i="7"/>
  <c r="U32" i="7"/>
  <c r="Z17" i="7"/>
  <c r="G16" i="7"/>
  <c r="O27" i="7"/>
  <c r="Q9" i="7"/>
  <c r="E29" i="7"/>
  <c r="L24" i="7"/>
  <c r="M32" i="7"/>
  <c r="P30" i="7"/>
  <c r="V28" i="7"/>
  <c r="X15" i="7"/>
  <c r="Y24" i="7"/>
  <c r="F27" i="7"/>
  <c r="P23" i="7"/>
  <c r="X27" i="7"/>
  <c r="AA25" i="7"/>
  <c r="AB31" i="7"/>
  <c r="F22" i="7"/>
  <c r="L15" i="7"/>
  <c r="S22" i="7"/>
  <c r="F16" i="7"/>
  <c r="J25" i="7"/>
  <c r="K31" i="7"/>
  <c r="N27" i="7"/>
  <c r="T16" i="7"/>
  <c r="Y29" i="7"/>
  <c r="E28" i="7"/>
  <c r="K24" i="7"/>
  <c r="L32" i="7"/>
  <c r="T17" i="7"/>
  <c r="W15" i="7"/>
  <c r="X24" i="7"/>
  <c r="N9" i="7"/>
  <c r="O23" i="7"/>
  <c r="Z25" i="7"/>
  <c r="I22" i="7"/>
  <c r="M28" i="7"/>
  <c r="P28" i="7"/>
  <c r="S24" i="7"/>
  <c r="T32" i="7"/>
  <c r="V22" i="7"/>
  <c r="W32" i="7"/>
  <c r="Z30" i="7"/>
  <c r="M23" i="7"/>
  <c r="U27" i="7"/>
  <c r="H28" i="7"/>
  <c r="J15" i="7"/>
  <c r="U30" i="7"/>
  <c r="X28" i="7"/>
  <c r="Z15" i="7"/>
  <c r="I31" i="7"/>
  <c r="O25" i="7"/>
  <c r="P31" i="7"/>
  <c r="U9" i="7"/>
  <c r="V23" i="7"/>
  <c r="W29" i="7"/>
  <c r="H22" i="7"/>
  <c r="N15" i="7"/>
  <c r="K9" i="7"/>
  <c r="P25" i="7"/>
  <c r="X31" i="7"/>
  <c r="Z16" i="7"/>
  <c r="E15" i="7"/>
  <c r="F17" i="7"/>
  <c r="G28" i="7"/>
  <c r="J24" i="7"/>
  <c r="Q30" i="7"/>
  <c r="S17" i="7"/>
  <c r="V17" i="7"/>
  <c r="W28" i="7"/>
  <c r="K29" i="7"/>
  <c r="U25" i="7"/>
  <c r="V31" i="7"/>
  <c r="X16" i="7"/>
  <c r="E30" i="7"/>
  <c r="E25" i="7"/>
  <c r="I15" i="7"/>
  <c r="J28" i="7"/>
  <c r="M24" i="7"/>
  <c r="N32" i="7"/>
  <c r="P22" i="7"/>
  <c r="Q32" i="7"/>
  <c r="Y15" i="7"/>
  <c r="Z28" i="7"/>
  <c r="AB28" i="7"/>
  <c r="I9" i="7"/>
  <c r="J23" i="7"/>
  <c r="N25" i="7"/>
  <c r="O31" i="7"/>
  <c r="R29" i="7"/>
  <c r="H24" i="7"/>
  <c r="K22" i="7"/>
  <c r="O30" i="7"/>
  <c r="Q17" i="7"/>
  <c r="H23" i="7"/>
  <c r="M31" i="7"/>
  <c r="O16" i="7"/>
  <c r="V16" i="7"/>
  <c r="W27" i="7"/>
  <c r="Z23" i="7"/>
  <c r="H32" i="7"/>
  <c r="J22" i="7"/>
  <c r="N28" i="7"/>
  <c r="W22" i="7"/>
  <c r="X32" i="7"/>
  <c r="L31" i="7"/>
  <c r="N16" i="7"/>
  <c r="R25" i="7"/>
  <c r="S31" i="7"/>
  <c r="AB16" i="7"/>
  <c r="K30" i="7"/>
  <c r="M17" i="7"/>
  <c r="S15" i="7"/>
  <c r="T24" i="7"/>
  <c r="W24" i="7"/>
  <c r="Z22" i="7"/>
  <c r="H9" i="7"/>
  <c r="W23" i="7"/>
  <c r="E17" i="7"/>
  <c r="K32" i="7"/>
  <c r="N30" i="7"/>
  <c r="Q28" i="7"/>
  <c r="AB15" i="7"/>
  <c r="F29" i="7"/>
  <c r="J31" i="7"/>
  <c r="L16" i="7"/>
  <c r="S16" i="7"/>
  <c r="T27" i="7"/>
  <c r="V9" i="7"/>
  <c r="X29" i="7"/>
  <c r="AA27" i="7"/>
  <c r="G24" i="7"/>
  <c r="M22" i="7"/>
  <c r="P17" i="7"/>
  <c r="V15" i="7"/>
  <c r="Z24" i="7"/>
  <c r="AB17" i="7"/>
  <c r="F9" i="7"/>
  <c r="G25" i="7"/>
  <c r="H31" i="7"/>
  <c r="N23" i="7"/>
  <c r="O29" i="7"/>
  <c r="R27" i="7"/>
  <c r="T9" i="7"/>
  <c r="Y25" i="7"/>
  <c r="Z31" i="7"/>
  <c r="F24" i="7"/>
  <c r="L22" i="7"/>
  <c r="R15" i="7"/>
  <c r="S28" i="7"/>
  <c r="V24" i="7"/>
  <c r="Y22" i="7"/>
  <c r="AB32" i="7"/>
  <c r="U29" i="7"/>
  <c r="X25" i="7"/>
  <c r="Y31" i="7"/>
  <c r="AA23" i="7"/>
  <c r="J17" i="7"/>
  <c r="K28" i="7"/>
  <c r="W17" i="7"/>
  <c r="H27" i="7"/>
  <c r="J9" i="7"/>
  <c r="K23" i="7"/>
  <c r="R23" i="7"/>
  <c r="S29" i="7"/>
  <c r="Y16" i="7"/>
  <c r="Z27" i="7"/>
  <c r="C31" i="7"/>
  <c r="D24" i="7"/>
  <c r="D23" i="7"/>
  <c r="D15" i="7"/>
  <c r="D31" i="7"/>
  <c r="D27" i="7"/>
  <c r="C23" i="7"/>
  <c r="C16" i="7"/>
  <c r="C29" i="7"/>
  <c r="C22" i="7"/>
  <c r="D17" i="7"/>
  <c r="C17" i="7"/>
  <c r="D29" i="7"/>
  <c r="D32" i="7"/>
  <c r="D16" i="7"/>
  <c r="C28" i="7"/>
  <c r="D22" i="7"/>
  <c r="C32" i="7"/>
  <c r="D25" i="7"/>
  <c r="C24" i="7"/>
  <c r="C15" i="7"/>
  <c r="D30" i="7"/>
  <c r="C30" i="7"/>
  <c r="C27" i="7"/>
  <c r="C25" i="7"/>
  <c r="D9" i="7"/>
  <c r="D28" i="7"/>
  <c r="C9" i="7"/>
  <c r="H27" i="5" l="1"/>
  <c r="G9" i="5"/>
  <c r="AA21" i="5"/>
  <c r="V14" i="5"/>
  <c r="M28" i="5"/>
  <c r="AB26" i="5"/>
  <c r="P30" i="5"/>
  <c r="U17" i="5"/>
  <c r="N24" i="5"/>
  <c r="S21" i="5"/>
  <c r="M30" i="5"/>
  <c r="M14" i="5"/>
  <c r="Y24" i="5"/>
  <c r="J23" i="5"/>
  <c r="Z8" i="5"/>
  <c r="V33" i="5"/>
  <c r="AB30" i="5"/>
  <c r="N36" i="5"/>
  <c r="K26" i="5"/>
  <c r="G24" i="5"/>
  <c r="Z15" i="5"/>
  <c r="M15" i="5"/>
  <c r="V29" i="5"/>
  <c r="J7" i="5"/>
  <c r="T23" i="5"/>
  <c r="W25" i="5"/>
  <c r="H25" i="5"/>
  <c r="Q24" i="5"/>
  <c r="AA17" i="5"/>
  <c r="Z23" i="5"/>
  <c r="M17" i="5"/>
  <c r="Q29" i="5"/>
  <c r="S36" i="5"/>
  <c r="R25" i="5"/>
  <c r="I29" i="5"/>
  <c r="J36" i="5"/>
  <c r="Y30" i="5"/>
  <c r="N29" i="5"/>
  <c r="Y7" i="5"/>
  <c r="Q33" i="5"/>
  <c r="P33" i="5"/>
  <c r="Z17" i="5"/>
  <c r="Z29" i="5"/>
  <c r="L24" i="5"/>
  <c r="S17" i="5"/>
  <c r="I17" i="5"/>
  <c r="Q10" i="5"/>
  <c r="Y33" i="5"/>
  <c r="R33" i="5"/>
  <c r="S23" i="5"/>
  <c r="Z16" i="5"/>
  <c r="T30" i="5"/>
  <c r="G31" i="5"/>
  <c r="AB23" i="5"/>
  <c r="I26" i="5"/>
  <c r="J24" i="5"/>
  <c r="H26" i="5"/>
  <c r="N16" i="5"/>
  <c r="N26" i="5"/>
  <c r="AB33" i="5"/>
  <c r="X26" i="5"/>
  <c r="Y17" i="5"/>
  <c r="P10" i="5"/>
  <c r="AA24" i="5"/>
  <c r="O14" i="5"/>
  <c r="S9" i="5"/>
  <c r="N9" i="5"/>
  <c r="L36" i="5"/>
  <c r="Z28" i="5"/>
  <c r="N23" i="5"/>
  <c r="K16" i="5"/>
  <c r="T17" i="5"/>
  <c r="S15" i="5"/>
  <c r="I24" i="5"/>
  <c r="L25" i="5"/>
  <c r="M16" i="5"/>
  <c r="X23" i="5"/>
  <c r="J9" i="5"/>
  <c r="Q28" i="5"/>
  <c r="R16" i="5"/>
  <c r="G28" i="5"/>
  <c r="X8" i="5"/>
  <c r="R26" i="5"/>
  <c r="V7" i="5"/>
  <c r="AB25" i="5"/>
  <c r="H15" i="5"/>
  <c r="S14" i="5"/>
  <c r="G15" i="5"/>
  <c r="G30" i="5"/>
  <c r="L17" i="5"/>
  <c r="P28" i="5"/>
  <c r="Q16" i="5"/>
  <c r="I16" i="5"/>
  <c r="X14" i="5"/>
  <c r="J14" i="5"/>
  <c r="AB10" i="5"/>
  <c r="U23" i="5"/>
  <c r="G29" i="5"/>
  <c r="G7" i="5"/>
  <c r="O7" i="5"/>
  <c r="K28" i="5"/>
  <c r="J28" i="5"/>
  <c r="W21" i="5"/>
  <c r="AB16" i="5"/>
  <c r="M9" i="5"/>
  <c r="W36" i="5"/>
  <c r="R8" i="5"/>
  <c r="P15" i="5"/>
  <c r="O23" i="5"/>
  <c r="AB14" i="5"/>
  <c r="G17" i="5"/>
  <c r="AB28" i="5"/>
  <c r="Y16" i="5"/>
  <c r="Z26" i="5"/>
  <c r="N21" i="5"/>
  <c r="AA33" i="5"/>
  <c r="K14" i="5"/>
  <c r="V17" i="5"/>
  <c r="I12" i="5"/>
  <c r="K10" i="5"/>
  <c r="X15" i="5"/>
  <c r="L12" i="5"/>
  <c r="N14" i="5"/>
  <c r="Z36" i="5"/>
  <c r="U8" i="5"/>
  <c r="N17" i="5"/>
  <c r="S29" i="5"/>
  <c r="V16" i="5"/>
  <c r="I14" i="5"/>
  <c r="AA15" i="5"/>
  <c r="N15" i="5"/>
  <c r="AA16" i="5"/>
  <c r="V23" i="5"/>
  <c r="W12" i="5"/>
  <c r="U15" i="5"/>
  <c r="W16" i="5"/>
  <c r="R12" i="5"/>
  <c r="Z7" i="5"/>
  <c r="I8" i="5"/>
  <c r="U10" i="5"/>
  <c r="T36" i="5"/>
  <c r="S25" i="5"/>
  <c r="P36" i="5"/>
  <c r="U12" i="5"/>
  <c r="X24" i="5"/>
  <c r="W17" i="5"/>
  <c r="S24" i="5"/>
  <c r="T15" i="5"/>
  <c r="R7" i="5"/>
  <c r="V12" i="5"/>
  <c r="W14" i="5"/>
  <c r="Z30" i="5"/>
  <c r="X12" i="5"/>
  <c r="R21" i="5"/>
  <c r="P21" i="5"/>
  <c r="T26" i="5"/>
  <c r="U14" i="5"/>
  <c r="O26" i="5"/>
  <c r="S33" i="5"/>
  <c r="AA10" i="5"/>
  <c r="P29" i="5"/>
  <c r="J12" i="5"/>
  <c r="J30" i="5"/>
  <c r="AB17" i="5"/>
  <c r="R14" i="5"/>
  <c r="S26" i="5"/>
  <c r="T14" i="5"/>
  <c r="Q14" i="5"/>
  <c r="G21" i="5"/>
  <c r="AA14" i="5"/>
  <c r="S16" i="5"/>
  <c r="O9" i="5"/>
  <c r="M36" i="5"/>
  <c r="H7" i="5"/>
  <c r="AA12" i="5"/>
  <c r="X10" i="5"/>
  <c r="U33" i="5"/>
  <c r="O16" i="5"/>
  <c r="N12" i="5"/>
  <c r="Y29" i="5"/>
  <c r="S12" i="5"/>
  <c r="J16" i="5"/>
  <c r="AB15" i="5"/>
  <c r="J8" i="5"/>
  <c r="H21" i="5"/>
  <c r="X30" i="5"/>
  <c r="R30" i="5"/>
  <c r="U30" i="5"/>
  <c r="M12" i="5"/>
  <c r="R17" i="5"/>
  <c r="J26" i="5"/>
  <c r="L10" i="5"/>
  <c r="I15" i="5"/>
  <c r="Y28" i="5"/>
  <c r="K12" i="5"/>
  <c r="K25" i="5"/>
  <c r="I30" i="5"/>
  <c r="G14" i="5"/>
  <c r="G25" i="5"/>
  <c r="H12" i="5"/>
  <c r="X21" i="5"/>
  <c r="Z14" i="5"/>
  <c r="H17" i="5"/>
  <c r="P17" i="5"/>
  <c r="J21" i="5"/>
  <c r="H29" i="5"/>
  <c r="I7" i="5"/>
  <c r="M29" i="5"/>
  <c r="O30" i="5"/>
  <c r="N7" i="5"/>
  <c r="L16" i="5"/>
  <c r="Q17" i="5"/>
  <c r="P16" i="5"/>
  <c r="U9" i="5"/>
  <c r="V28" i="5"/>
  <c r="U29" i="5"/>
  <c r="G12" i="5"/>
  <c r="Z21" i="5"/>
  <c r="G27" i="5"/>
  <c r="T28" i="5"/>
  <c r="S30" i="5"/>
  <c r="L29" i="5"/>
  <c r="Q8" i="5"/>
  <c r="M10" i="5"/>
  <c r="S7" i="5"/>
  <c r="T9" i="5"/>
  <c r="T24" i="5"/>
  <c r="H10" i="5"/>
  <c r="W26" i="5"/>
  <c r="P12" i="5"/>
  <c r="G33" i="5"/>
  <c r="V24" i="5"/>
  <c r="W24" i="5"/>
  <c r="Q23" i="5"/>
  <c r="X28" i="5"/>
  <c r="S28" i="5"/>
  <c r="X9" i="5"/>
  <c r="U28" i="5"/>
  <c r="S10" i="5"/>
  <c r="W15" i="5"/>
  <c r="AB36" i="5"/>
  <c r="R15" i="5"/>
  <c r="V15" i="5"/>
  <c r="J15" i="5"/>
  <c r="M26" i="5"/>
  <c r="L9" i="5"/>
  <c r="U24" i="5"/>
  <c r="U36" i="5"/>
  <c r="U25" i="5"/>
  <c r="Q36" i="5"/>
  <c r="H33" i="5"/>
  <c r="AA8" i="5"/>
  <c r="L14" i="5"/>
  <c r="Q30" i="5"/>
  <c r="AA36" i="5"/>
  <c r="Q15" i="5"/>
  <c r="L26" i="5"/>
  <c r="U26" i="5"/>
  <c r="X7" i="5"/>
  <c r="R9" i="5"/>
  <c r="Y36" i="5"/>
  <c r="T8" i="5"/>
  <c r="H14" i="5"/>
  <c r="K17" i="5"/>
  <c r="V10" i="5"/>
  <c r="K36" i="5"/>
  <c r="I33" i="5"/>
  <c r="H9" i="5"/>
  <c r="R23" i="5"/>
  <c r="Z25" i="5"/>
  <c r="AA25" i="5"/>
  <c r="L7" i="5"/>
  <c r="M33" i="5"/>
  <c r="J25" i="5"/>
  <c r="V9" i="5"/>
  <c r="P26" i="5"/>
  <c r="Q12" i="5"/>
  <c r="H36" i="5"/>
  <c r="I23" i="5"/>
  <c r="J10" i="5"/>
  <c r="M23" i="5"/>
  <c r="P8" i="5"/>
  <c r="H16" i="5"/>
  <c r="W10" i="5"/>
  <c r="P9" i="5"/>
  <c r="AB12" i="5"/>
  <c r="Y25" i="5"/>
  <c r="K8" i="5"/>
  <c r="N10" i="5"/>
  <c r="X17" i="5"/>
  <c r="K33" i="5"/>
  <c r="K30" i="5"/>
  <c r="Z12" i="5"/>
  <c r="V21" i="5"/>
  <c r="I25" i="5"/>
  <c r="T25" i="5"/>
  <c r="AB8" i="5"/>
  <c r="R29" i="5"/>
  <c r="U16" i="5"/>
  <c r="G36" i="5"/>
  <c r="H23" i="5"/>
  <c r="I10" i="5"/>
  <c r="O10" i="5"/>
  <c r="O25" i="5"/>
  <c r="V30" i="5"/>
  <c r="O28" i="5"/>
  <c r="T7" i="5"/>
  <c r="N33" i="5"/>
  <c r="Q25" i="5"/>
  <c r="O24" i="5"/>
  <c r="M24" i="5"/>
  <c r="I9" i="5"/>
  <c r="X33" i="5"/>
  <c r="Z9" i="5"/>
  <c r="O29" i="5"/>
  <c r="AA28" i="5"/>
  <c r="L30" i="5"/>
  <c r="Y10" i="5"/>
  <c r="U7" i="5"/>
  <c r="R24" i="5"/>
  <c r="AA23" i="5"/>
  <c r="W33" i="5"/>
  <c r="Y9" i="5"/>
  <c r="L28" i="5"/>
  <c r="T16" i="5"/>
  <c r="H31" i="5"/>
  <c r="K29" i="5"/>
  <c r="G10" i="5"/>
  <c r="T12" i="5"/>
  <c r="K24" i="5"/>
  <c r="W7" i="5"/>
  <c r="L33" i="5"/>
  <c r="Y21" i="5"/>
  <c r="H30" i="5"/>
  <c r="Y23" i="5"/>
  <c r="K9" i="5"/>
  <c r="Y8" i="5"/>
  <c r="G16" i="5"/>
  <c r="Y15" i="5"/>
  <c r="N25" i="5"/>
  <c r="L15" i="5"/>
  <c r="R28" i="5"/>
  <c r="AA26" i="5"/>
  <c r="O33" i="5"/>
  <c r="AB9" i="5"/>
  <c r="AA29" i="5"/>
  <c r="P23" i="5"/>
  <c r="T29" i="5"/>
  <c r="Y26" i="5"/>
  <c r="L21" i="5"/>
  <c r="M8" i="5"/>
  <c r="U21" i="5"/>
  <c r="O15" i="5"/>
  <c r="Y14" i="5"/>
  <c r="R36" i="5"/>
  <c r="P25" i="5"/>
  <c r="V8" i="5"/>
  <c r="K23" i="5"/>
  <c r="X29" i="5"/>
  <c r="H28" i="5"/>
  <c r="AA9" i="5"/>
  <c r="W9" i="5"/>
  <c r="L23" i="5"/>
  <c r="X36" i="5"/>
  <c r="S8" i="5"/>
  <c r="K21" i="5"/>
  <c r="L8" i="5"/>
  <c r="W8" i="5"/>
  <c r="G23" i="5"/>
  <c r="J17" i="5"/>
  <c r="W30" i="5"/>
  <c r="Z10" i="5"/>
  <c r="T10" i="5"/>
  <c r="W29" i="5"/>
  <c r="Y12" i="5"/>
  <c r="T21" i="5"/>
  <c r="K7" i="5"/>
  <c r="J33" i="5"/>
  <c r="W28" i="5"/>
  <c r="O8" i="5"/>
  <c r="Z33" i="5"/>
  <c r="H24" i="5"/>
  <c r="Q9" i="5"/>
  <c r="K15" i="5"/>
  <c r="I36" i="5"/>
  <c r="X25" i="5"/>
  <c r="J29" i="5"/>
  <c r="AB24" i="5"/>
  <c r="AB29" i="5"/>
  <c r="Q7" i="5"/>
  <c r="Q26" i="5"/>
  <c r="H8" i="5"/>
  <c r="O21" i="5"/>
  <c r="AA7" i="5"/>
  <c r="V26" i="5"/>
  <c r="O12" i="5"/>
  <c r="AB7" i="5"/>
  <c r="R10" i="5"/>
  <c r="N28" i="5"/>
  <c r="P24" i="5"/>
  <c r="P7" i="5"/>
  <c r="G8" i="5"/>
  <c r="I21" i="5"/>
  <c r="O17" i="5"/>
  <c r="Q21" i="5"/>
  <c r="AA30" i="5"/>
  <c r="M7" i="5"/>
  <c r="W23" i="5"/>
  <c r="Z24" i="5"/>
  <c r="T33" i="5"/>
  <c r="P14" i="5"/>
  <c r="V36" i="5"/>
  <c r="V25" i="5"/>
  <c r="AB21" i="5"/>
  <c r="M21" i="5"/>
  <c r="I28" i="5"/>
  <c r="G26" i="5"/>
  <c r="O36" i="5"/>
  <c r="N8" i="5"/>
  <c r="M25" i="5"/>
  <c r="X16" i="5"/>
  <c r="N30" i="5"/>
  <c r="X27" i="5" l="1"/>
  <c r="J11" i="5"/>
  <c r="Q32" i="5"/>
  <c r="R18" i="5"/>
  <c r="T31" i="5"/>
  <c r="J27" i="5"/>
  <c r="K20" i="5"/>
  <c r="Q31" i="5"/>
  <c r="J20" i="5"/>
  <c r="P18" i="5"/>
  <c r="K22" i="5"/>
  <c r="L22" i="5"/>
  <c r="L31" i="5"/>
  <c r="Z20" i="5"/>
  <c r="Z18" i="5"/>
  <c r="Y31" i="5"/>
  <c r="X18" i="5"/>
  <c r="H18" i="5"/>
  <c r="I32" i="5"/>
  <c r="L18" i="5"/>
  <c r="Z32" i="5"/>
  <c r="S22" i="5"/>
  <c r="Z22" i="5"/>
  <c r="Y20" i="5"/>
  <c r="V22" i="5"/>
  <c r="T20" i="5"/>
  <c r="N22" i="5"/>
  <c r="M20" i="5"/>
  <c r="R27" i="5"/>
  <c r="U20" i="5"/>
  <c r="O32" i="5"/>
  <c r="Y18" i="5"/>
  <c r="K31" i="5"/>
  <c r="M11" i="5"/>
  <c r="J31" i="5"/>
  <c r="O20" i="5"/>
  <c r="AA31" i="5"/>
  <c r="W20" i="5"/>
  <c r="L32" i="5"/>
  <c r="I18" i="5"/>
  <c r="O27" i="5"/>
  <c r="W11" i="5"/>
  <c r="L20" i="5"/>
  <c r="AA18" i="5"/>
  <c r="N20" i="5"/>
  <c r="V32" i="5"/>
  <c r="T11" i="5"/>
  <c r="AB11" i="5"/>
  <c r="X20" i="5"/>
  <c r="L27" i="5"/>
  <c r="T32" i="5"/>
  <c r="P27" i="5"/>
  <c r="P31" i="5"/>
  <c r="AA11" i="5"/>
  <c r="I20" i="5"/>
  <c r="O22" i="5"/>
  <c r="J18" i="5"/>
  <c r="P22" i="5"/>
  <c r="AB31" i="5"/>
  <c r="AB18" i="5"/>
  <c r="Z27" i="5"/>
  <c r="K27" i="5"/>
  <c r="I27" i="5"/>
  <c r="O11" i="5"/>
  <c r="N18" i="5"/>
  <c r="U11" i="5"/>
  <c r="T22" i="5"/>
  <c r="P32" i="5"/>
  <c r="V20" i="5"/>
  <c r="Y22" i="5"/>
  <c r="X31" i="5"/>
  <c r="P11" i="5"/>
  <c r="Q18" i="5"/>
  <c r="N32" i="5"/>
  <c r="I22" i="5"/>
  <c r="G11" i="5"/>
  <c r="H20" i="5"/>
  <c r="Q27" i="5"/>
  <c r="J32" i="5"/>
  <c r="AA32" i="5"/>
  <c r="Z31" i="5"/>
  <c r="I11" i="5"/>
  <c r="R32" i="5"/>
  <c r="Y27" i="5"/>
  <c r="P20" i="5"/>
  <c r="H32" i="5"/>
  <c r="U22" i="5"/>
  <c r="S20" i="5"/>
  <c r="G32" i="5"/>
  <c r="T18" i="5"/>
  <c r="AB32" i="5"/>
  <c r="K32" i="5"/>
  <c r="R31" i="5"/>
  <c r="AA27" i="5"/>
  <c r="R20" i="5"/>
  <c r="AA22" i="5"/>
  <c r="S18" i="5"/>
  <c r="W32" i="5"/>
  <c r="AB22" i="5"/>
  <c r="G20" i="5"/>
  <c r="R22" i="5"/>
  <c r="X32" i="5"/>
  <c r="U31" i="5"/>
  <c r="W22" i="5"/>
  <c r="U18" i="5"/>
  <c r="Q20" i="5"/>
  <c r="T27" i="5"/>
  <c r="M32" i="5"/>
  <c r="AB27" i="5"/>
  <c r="X11" i="5"/>
  <c r="V31" i="5"/>
  <c r="I31" i="5"/>
  <c r="H22" i="5"/>
  <c r="O31" i="5"/>
  <c r="G22" i="5"/>
  <c r="U32" i="5"/>
  <c r="M22" i="5"/>
  <c r="AA20" i="5"/>
  <c r="S11" i="5"/>
  <c r="O18" i="5"/>
  <c r="J22" i="5"/>
  <c r="G18" i="5"/>
  <c r="W27" i="5"/>
  <c r="L11" i="5"/>
  <c r="M18" i="5"/>
  <c r="N31" i="5"/>
  <c r="V18" i="5"/>
  <c r="W31" i="5"/>
  <c r="U27" i="5"/>
  <c r="Y32" i="5"/>
  <c r="Y11" i="5"/>
  <c r="V27" i="5"/>
  <c r="AB20" i="5"/>
  <c r="W18" i="5"/>
  <c r="Q11" i="5"/>
  <c r="N11" i="5"/>
  <c r="K11" i="5"/>
  <c r="V11" i="5"/>
  <c r="S31" i="5"/>
  <c r="K18" i="5"/>
  <c r="S27" i="5"/>
  <c r="S32" i="5"/>
  <c r="M31" i="5"/>
  <c r="N27" i="5"/>
  <c r="Z11" i="5"/>
  <c r="X22" i="5"/>
  <c r="M27" i="5"/>
  <c r="H11" i="5"/>
  <c r="Q22" i="5"/>
  <c r="R11" i="5"/>
  <c r="Y6" i="5" l="1"/>
  <c r="G19" i="5"/>
  <c r="G13" i="5"/>
  <c r="N19" i="5"/>
  <c r="V13" i="5"/>
  <c r="P6" i="5"/>
  <c r="AB6" i="5"/>
  <c r="K19" i="5"/>
  <c r="W6" i="5"/>
  <c r="Y13" i="5"/>
  <c r="Z19" i="5"/>
  <c r="T6" i="5"/>
  <c r="W19" i="5"/>
  <c r="P13" i="5"/>
  <c r="N13" i="5"/>
  <c r="O6" i="5"/>
  <c r="J6" i="5"/>
  <c r="K6" i="5"/>
  <c r="S6" i="5"/>
  <c r="J13" i="5"/>
  <c r="H13" i="5"/>
  <c r="I19" i="5"/>
  <c r="M6" i="5"/>
  <c r="S19" i="5"/>
  <c r="W13" i="5"/>
  <c r="Z6" i="5"/>
  <c r="AA6" i="5"/>
  <c r="S13" i="5"/>
  <c r="K13" i="5"/>
  <c r="U13" i="5"/>
  <c r="M13" i="5"/>
  <c r="U19" i="5"/>
  <c r="Q19" i="5"/>
  <c r="V6" i="5"/>
  <c r="T13" i="5"/>
  <c r="X13" i="5"/>
  <c r="R6" i="5"/>
  <c r="AB19" i="5"/>
  <c r="Y19" i="5"/>
  <c r="H19" i="5"/>
  <c r="J19" i="5"/>
  <c r="H6" i="5"/>
  <c r="N6" i="5"/>
  <c r="X6" i="5"/>
  <c r="R19" i="5"/>
  <c r="G6" i="5"/>
  <c r="AA13" i="5"/>
  <c r="L13" i="5"/>
  <c r="R13" i="5"/>
  <c r="Q6" i="5"/>
  <c r="L6" i="5"/>
  <c r="V19" i="5"/>
  <c r="I13" i="5"/>
  <c r="O19" i="5"/>
  <c r="I6" i="5"/>
  <c r="AA19" i="5"/>
  <c r="AB13" i="5"/>
  <c r="O13" i="5"/>
  <c r="P19" i="5"/>
  <c r="Q13" i="5"/>
  <c r="X19" i="5"/>
  <c r="M19" i="5"/>
  <c r="L19" i="5"/>
  <c r="T19" i="5"/>
  <c r="U6" i="5"/>
  <c r="Z13" i="5"/>
  <c r="R5" i="5" l="1"/>
  <c r="L5" i="5"/>
  <c r="T5" i="5"/>
  <c r="G5" i="5"/>
  <c r="S5" i="5"/>
  <c r="X5" i="5"/>
  <c r="K5" i="5"/>
  <c r="P5" i="5"/>
  <c r="Q5" i="5"/>
  <c r="M5" i="5"/>
  <c r="AB5" i="5"/>
  <c r="AA5" i="5"/>
  <c r="U5" i="5"/>
  <c r="I5" i="5"/>
  <c r="Y5" i="5"/>
  <c r="V5" i="5"/>
  <c r="N5" i="5"/>
  <c r="W5" i="5"/>
  <c r="J5" i="5"/>
  <c r="H5" i="5"/>
  <c r="Z5" i="5"/>
  <c r="O5" i="5"/>
</calcChain>
</file>

<file path=xl/sharedStrings.xml><?xml version="1.0" encoding="utf-8"?>
<sst xmlns="http://schemas.openxmlformats.org/spreadsheetml/2006/main" count="1101" uniqueCount="130">
  <si>
    <t>GDP at market prices</t>
  </si>
  <si>
    <t>Agriculture, forestry and fishing</t>
  </si>
  <si>
    <t>Cash crops</t>
  </si>
  <si>
    <t>Food crops</t>
  </si>
  <si>
    <t>Livestock</t>
  </si>
  <si>
    <t>Agriculture Support Services</t>
  </si>
  <si>
    <t>Forestry</t>
  </si>
  <si>
    <t>Fishing</t>
  </si>
  <si>
    <t>Industry</t>
  </si>
  <si>
    <t>Mining &amp; quarrying</t>
  </si>
  <si>
    <t>Manufacturing</t>
  </si>
  <si>
    <t>Electricity</t>
  </si>
  <si>
    <t>Water</t>
  </si>
  <si>
    <t>Construction</t>
  </si>
  <si>
    <t>Services</t>
  </si>
  <si>
    <t>Trade and Repairs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</si>
  <si>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</si>
  <si>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</si>
  <si>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</si>
  <si>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</si>
  <si>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</si>
  <si>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</si>
  <si>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</si>
  <si>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 xml:space="preserve">Public Administration </t>
  </si>
  <si>
    <t>Education</t>
  </si>
  <si>
    <t>Human Health and Social Work Activities</t>
  </si>
  <si>
    <t>Arts, Entertainment and Recreation</t>
  </si>
  <si>
    <t>Other Service Activities</t>
  </si>
  <si>
    <t>Activities of Households as Employers</t>
  </si>
  <si>
    <t>Adjustments</t>
  </si>
  <si>
    <t>Taxes on products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</si>
  <si>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</si>
  <si>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</si>
  <si>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</si>
  <si>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</si>
  <si>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</si>
  <si>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</si>
  <si>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</si>
  <si>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</si>
  <si>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</si>
  <si>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</si>
  <si>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</si>
  <si>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</si>
  <si>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</si>
  <si>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</si>
  <si>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</si>
  <si>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</si>
  <si>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</si>
  <si>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</si>
  <si>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</si>
  <si>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</si>
  <si>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</si>
  <si>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</si>
  <si>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</si>
  <si>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</si>
  <si>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</si>
  <si>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</si>
  <si>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Q1</t>
  </si>
  <si>
    <t>Q2</t>
  </si>
  <si>
    <t>Q3</t>
  </si>
  <si>
    <t>Q4</t>
  </si>
  <si>
    <t>Y</t>
  </si>
  <si>
    <t>N</t>
  </si>
  <si>
    <t>Uganda Bureau of Statistics</t>
  </si>
  <si>
    <t>Trade &amp; Repairs</t>
  </si>
  <si>
    <t>Transportation &amp; Storage</t>
  </si>
  <si>
    <t xml:space="preserve">Accommodation &amp; Food Service </t>
  </si>
  <si>
    <t>Information &amp; Communication</t>
  </si>
  <si>
    <t xml:space="preserve">Financial and Insurance </t>
  </si>
  <si>
    <t>Activities of Households</t>
  </si>
  <si>
    <t xml:space="preserve">Professional, Scientific &amp; Technical </t>
  </si>
  <si>
    <t xml:space="preserve">Human Health &amp; Social Work </t>
  </si>
  <si>
    <t>Arts, Entertainment &amp; Recreation</t>
  </si>
  <si>
    <t>Agriculture, Forestry &amp; Fishing</t>
  </si>
  <si>
    <t xml:space="preserve">Administrative &amp; Support Service </t>
  </si>
  <si>
    <t>2016/17</t>
  </si>
  <si>
    <t>SEASONALLY ADJUSTED ESTIMATES</t>
  </si>
  <si>
    <t>TREND CYCLE ESTIMATES</t>
  </si>
  <si>
    <t>ORIGINAL ESTIMATES</t>
  </si>
  <si>
    <t>2017/18</t>
  </si>
  <si>
    <t>GDP AT MARKET PRICES</t>
  </si>
  <si>
    <t>AGRICULTURE,FORESTRY&amp;FISHING</t>
  </si>
  <si>
    <t>INDUSTRY</t>
  </si>
  <si>
    <t>SERVICES</t>
  </si>
  <si>
    <t>ADJUSTMENTS</t>
  </si>
  <si>
    <t>2018/19</t>
  </si>
  <si>
    <t>2019/20</t>
  </si>
  <si>
    <t>Construction SA</t>
  </si>
  <si>
    <t>Construction Trend</t>
  </si>
  <si>
    <t>2020/21</t>
  </si>
  <si>
    <t>2021/22</t>
  </si>
  <si>
    <t>2022/23</t>
  </si>
  <si>
    <t>2023/24</t>
  </si>
  <si>
    <t>Updated:</t>
  </si>
  <si>
    <t>Accounts for</t>
  </si>
  <si>
    <t>GDP EXPENDITURE (Billions of Shillings)</t>
  </si>
  <si>
    <t>EXPENDITURE  Current prices</t>
  </si>
  <si>
    <t>Final Consumption Expenditure</t>
  </si>
  <si>
    <t xml:space="preserve">   General Government FCE</t>
  </si>
  <si>
    <t xml:space="preserve">   NPISH FCE</t>
  </si>
  <si>
    <t xml:space="preserve">   Household FCE</t>
  </si>
  <si>
    <t>Gross Fixed Capital Formation</t>
  </si>
  <si>
    <t xml:space="preserve">   Dwellings</t>
  </si>
  <si>
    <t xml:space="preserve">   Other Buildings</t>
  </si>
  <si>
    <t xml:space="preserve">   Other Structures</t>
  </si>
  <si>
    <t xml:space="preserve">   Transport Equipment</t>
  </si>
  <si>
    <t xml:space="preserve">   ICT Equipment</t>
  </si>
  <si>
    <t xml:space="preserve">   Other Machinery and Equipment</t>
  </si>
  <si>
    <t xml:space="preserve">   Other Asset Types</t>
  </si>
  <si>
    <t>Changes in Inventories</t>
  </si>
  <si>
    <t>Exports less Imports of Goods and Services</t>
  </si>
  <si>
    <t xml:space="preserve">   Exports</t>
  </si>
  <si>
    <t xml:space="preserve">       Goods</t>
  </si>
  <si>
    <t xml:space="preserve">       Services</t>
  </si>
  <si>
    <t xml:space="preserve">   Less Imports</t>
  </si>
  <si>
    <t>Statistical Discrepancy</t>
  </si>
  <si>
    <t>GDP at Market Prices</t>
  </si>
  <si>
    <t>QUARTERLY Percentage Shares</t>
  </si>
  <si>
    <t>2024/25</t>
  </si>
  <si>
    <t xml:space="preserve">Construction </t>
  </si>
  <si>
    <t>2025/26</t>
  </si>
  <si>
    <t>Table 11: Summary of QGDP at current prices, BILLION SHILLINGS, 2016/17-2025/26</t>
  </si>
  <si>
    <t>Table 12: Summary of QGDP at current prices, percentage share, 2016/17-2025/26</t>
  </si>
  <si>
    <t>Table 13: ORIGINAL UNADJUSTED Value Added by activity at current prices, BILLION SHILLINGS, 2016/17-2025/26</t>
  </si>
  <si>
    <t>Table 14: ORIGINAL UNADJUSTED Value Added by activity at current prices, PERCENTAGE SHARE, 2016/17-2025/26</t>
  </si>
  <si>
    <t>Table 15: SEASONALLY ADJUSTED Value Added at current prices, BILLION SHILLINGS, 2016/17-2025/26</t>
  </si>
  <si>
    <t>Table 16: SEASONALLY ADJUSTED Value Added by activity at current prices, PERCENTAGE SHARE, 2016/17-2025/26</t>
  </si>
  <si>
    <t>Table 17: TREND-CYCLE Value Added by activity at current prices, BILLION SHILLINGS, 2016/17-2025/26</t>
  </si>
  <si>
    <t>Table 18: TREND-CYCLE Value Added by activity at current prices, PERCENTAGE SHARE, 2016/17-2025/26</t>
  </si>
  <si>
    <t>2025/27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</si>
</sst>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_(* #,##0.0_);_(* \(#,##0.0\);_(* &quot;-&quot;?_);_(@_)"/>
    <numFmt numFmtId="169" formatCode="#,##0.0_);[Red]\(#,##0.0\)"/>
    <numFmt numFmtId="170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  <font>
      <i/>
      <sz val="8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.5"/>
      <color theme="1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sz val="8.5"/>
      <name val="Arial"/>
      <family val="2"/>
    </font>
    <font>
      <i/>
      <sz val="8.5"/>
      <name val="Arial"/>
      <family val="2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9"/>
      <color theme="3"/>
      <name val="Arial"/>
      <family val="2"/>
    </font>
    <font>
      <sz val="10"/>
      <name val="MS Sans Serif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4" fillId="0" borderId="0"/>
    <xf numFmtId="40" fontId="20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54">
    <xf numFmtId="0" fontId="0" fillId="0" borderId="0" xfId="0"/>
    <xf numFmtId="164" fontId="3" fillId="0" borderId="0" xfId="0" applyNumberFormat="1" applyFont="1"/>
    <xf numFmtId="3" fontId="4" fillId="0" borderId="0" xfId="0" applyNumberFormat="1" applyFont="1" applyAlignment="1">
      <alignment wrapText="1"/>
    </xf>
    <xf numFmtId="3" fontId="4" fillId="0" borderId="0" xfId="0" applyNumberFormat="1" applyFont="1"/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horizontal="right"/>
    </xf>
    <xf numFmtId="165" fontId="0" fillId="0" borderId="0" xfId="1" applyNumberFormat="1" applyFont="1"/>
    <xf numFmtId="165" fontId="2" fillId="0" borderId="0" xfId="0" applyNumberFormat="1" applyFont="1"/>
    <xf numFmtId="0" fontId="2" fillId="0" borderId="0" xfId="0" applyFont="1"/>
    <xf numFmtId="165" fontId="2" fillId="0" borderId="0" xfId="1" applyNumberFormat="1" applyFont="1"/>
    <xf numFmtId="166" fontId="2" fillId="0" borderId="0" xfId="0" applyNumberFormat="1" applyFont="1"/>
    <xf numFmtId="164" fontId="2" fillId="0" borderId="0" xfId="0" applyNumberFormat="1" applyFont="1"/>
    <xf numFmtId="164" fontId="0" fillId="0" borderId="0" xfId="1" applyNumberFormat="1" applyFont="1"/>
    <xf numFmtId="164" fontId="0" fillId="0" borderId="0" xfId="0" applyNumberFormat="1"/>
    <xf numFmtId="164" fontId="9" fillId="0" borderId="0" xfId="0" applyNumberFormat="1" applyFont="1"/>
    <xf numFmtId="164" fontId="16" fillId="0" borderId="0" xfId="0" applyNumberFormat="1" applyFont="1"/>
    <xf numFmtId="165" fontId="14" fillId="0" borderId="0" xfId="1" applyNumberFormat="1" applyFont="1" applyFill="1" applyBorder="1"/>
    <xf numFmtId="0" fontId="11" fillId="0" borderId="0" xfId="0" applyFont="1"/>
    <xf numFmtId="0" fontId="10" fillId="0" borderId="0" xfId="0" applyFont="1"/>
    <xf numFmtId="0" fontId="14" fillId="0" borderId="0" xfId="0" applyFont="1"/>
    <xf numFmtId="0" fontId="12" fillId="0" borderId="0" xfId="0" applyFont="1"/>
    <xf numFmtId="164" fontId="13" fillId="0" borderId="0" xfId="0" applyNumberFormat="1" applyFont="1"/>
    <xf numFmtId="165" fontId="12" fillId="0" borderId="0" xfId="1" applyNumberFormat="1" applyFont="1" applyFill="1" applyBorder="1"/>
    <xf numFmtId="164" fontId="15" fillId="0" borderId="0" xfId="0" applyNumberFormat="1" applyFont="1"/>
    <xf numFmtId="3" fontId="15" fillId="0" borderId="0" xfId="0" applyNumberFormat="1" applyFont="1"/>
    <xf numFmtId="3" fontId="15" fillId="0" borderId="1" xfId="0" applyNumberFormat="1" applyFont="1" applyBorder="1"/>
    <xf numFmtId="165" fontId="14" fillId="0" borderId="1" xfId="1" applyNumberFormat="1" applyFont="1" applyFill="1" applyBorder="1"/>
    <xf numFmtId="0" fontId="14" fillId="0" borderId="1" xfId="0" applyFont="1" applyBorder="1"/>
    <xf numFmtId="0" fontId="8" fillId="0" borderId="0" xfId="0" applyFont="1"/>
    <xf numFmtId="0" fontId="7" fillId="0" borderId="0" xfId="0" applyFont="1"/>
    <xf numFmtId="0" fontId="10" fillId="0" borderId="1" xfId="0" applyFont="1" applyBorder="1"/>
    <xf numFmtId="166" fontId="12" fillId="0" borderId="0" xfId="1" applyNumberFormat="1" applyFont="1" applyFill="1"/>
    <xf numFmtId="166" fontId="14" fillId="0" borderId="0" xfId="1" applyNumberFormat="1" applyFont="1" applyFill="1"/>
    <xf numFmtId="166" fontId="14" fillId="0" borderId="0" xfId="1" applyNumberFormat="1" applyFont="1" applyFill="1" applyBorder="1"/>
    <xf numFmtId="166" fontId="14" fillId="0" borderId="1" xfId="1" applyNumberFormat="1" applyFont="1" applyFill="1" applyBorder="1"/>
    <xf numFmtId="166" fontId="14" fillId="0" borderId="0" xfId="0" applyNumberFormat="1" applyFont="1"/>
    <xf numFmtId="168" fontId="12" fillId="0" borderId="0" xfId="0" applyNumberFormat="1" applyFont="1"/>
    <xf numFmtId="3" fontId="15" fillId="0" borderId="0" xfId="0" applyNumberFormat="1" applyFont="1" applyAlignment="1">
      <alignment wrapTex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top" wrapText="1"/>
    </xf>
    <xf numFmtId="165" fontId="7" fillId="0" borderId="0" xfId="1" applyNumberFormat="1" applyFont="1" applyFill="1"/>
    <xf numFmtId="165" fontId="12" fillId="0" borderId="0" xfId="0" applyNumberFormat="1" applyFont="1"/>
    <xf numFmtId="167" fontId="14" fillId="0" borderId="0" xfId="1" applyNumberFormat="1" applyFont="1" applyFill="1" applyBorder="1"/>
    <xf numFmtId="167" fontId="14" fillId="0" borderId="1" xfId="1" applyNumberFormat="1" applyFont="1" applyFill="1" applyBorder="1"/>
    <xf numFmtId="166" fontId="10" fillId="0" borderId="0" xfId="1" applyNumberFormat="1" applyFont="1" applyFill="1"/>
    <xf numFmtId="168" fontId="12" fillId="0" borderId="0" xfId="1" applyNumberFormat="1" applyFont="1" applyFill="1" applyBorder="1"/>
    <xf numFmtId="0" fontId="6" fillId="0" borderId="0" xfId="0" applyFont="1"/>
    <xf numFmtId="0" fontId="12" fillId="2" borderId="2" xfId="0" applyFont="1" applyFill="1" applyBorder="1"/>
    <xf numFmtId="0" fontId="12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right"/>
    </xf>
    <xf numFmtId="0" fontId="12" fillId="2" borderId="3" xfId="0" applyFont="1" applyFill="1" applyBorder="1" applyAlignment="1">
      <alignment horizontal="right"/>
    </xf>
    <xf numFmtId="0" fontId="14" fillId="2" borderId="0" xfId="0" applyFont="1" applyFill="1"/>
    <xf numFmtId="164" fontId="13" fillId="2" borderId="0" xfId="0" applyNumberFormat="1" applyFont="1" applyFill="1"/>
    <xf numFmtId="165" fontId="12" fillId="2" borderId="0" xfId="1" applyNumberFormat="1" applyFont="1" applyFill="1" applyBorder="1"/>
    <xf numFmtId="0" fontId="12" fillId="2" borderId="0" xfId="0" applyFont="1" applyFill="1"/>
    <xf numFmtId="165" fontId="14" fillId="2" borderId="0" xfId="1" applyNumberFormat="1" applyFont="1" applyFill="1" applyBorder="1"/>
    <xf numFmtId="166" fontId="12" fillId="2" borderId="0" xfId="1" applyNumberFormat="1" applyFont="1" applyFill="1" applyBorder="1"/>
    <xf numFmtId="166" fontId="14" fillId="2" borderId="0" xfId="1" applyNumberFormat="1" applyFont="1" applyFill="1" applyBorder="1"/>
    <xf numFmtId="167" fontId="14" fillId="2" borderId="0" xfId="1" applyNumberFormat="1" applyFont="1" applyFill="1" applyBorder="1"/>
    <xf numFmtId="0" fontId="12" fillId="2" borderId="0" xfId="0" applyFont="1" applyFill="1" applyAlignment="1">
      <alignment horizontal="right"/>
    </xf>
    <xf numFmtId="0" fontId="10" fillId="2" borderId="2" xfId="0" applyFont="1" applyFill="1" applyBorder="1"/>
    <xf numFmtId="0" fontId="18" fillId="2" borderId="3" xfId="0" applyFont="1" applyFill="1" applyBorder="1" applyAlignment="1">
      <alignment horizontal="right"/>
    </xf>
    <xf numFmtId="0" fontId="10" fillId="2" borderId="3" xfId="0" applyFont="1" applyFill="1" applyBorder="1" applyAlignment="1">
      <alignment horizontal="right"/>
    </xf>
    <xf numFmtId="165" fontId="10" fillId="0" borderId="0" xfId="1" applyNumberFormat="1" applyFont="1" applyFill="1" applyBorder="1"/>
    <xf numFmtId="165" fontId="11" fillId="0" borderId="0" xfId="1" applyNumberFormat="1" applyFont="1" applyFill="1" applyBorder="1"/>
    <xf numFmtId="165" fontId="11" fillId="0" borderId="1" xfId="1" applyNumberFormat="1" applyFont="1" applyFill="1" applyBorder="1"/>
    <xf numFmtId="166" fontId="11" fillId="0" borderId="0" xfId="1" applyNumberFormat="1" applyFont="1" applyFill="1"/>
    <xf numFmtId="166" fontId="11" fillId="0" borderId="0" xfId="1" applyNumberFormat="1" applyFont="1" applyFill="1" applyBorder="1"/>
    <xf numFmtId="166" fontId="11" fillId="0" borderId="1" xfId="1" applyNumberFormat="1" applyFont="1" applyFill="1" applyBorder="1"/>
    <xf numFmtId="166" fontId="11" fillId="0" borderId="0" xfId="0" applyNumberFormat="1" applyFont="1"/>
    <xf numFmtId="168" fontId="10" fillId="0" borderId="0" xfId="0" applyNumberFormat="1" applyFont="1"/>
    <xf numFmtId="166" fontId="10" fillId="2" borderId="0" xfId="1" applyNumberFormat="1" applyFont="1" applyFill="1" applyBorder="1"/>
    <xf numFmtId="165" fontId="11" fillId="2" borderId="0" xfId="1" applyNumberFormat="1" applyFont="1" applyFill="1" applyBorder="1"/>
    <xf numFmtId="165" fontId="10" fillId="0" borderId="0" xfId="0" applyNumberFormat="1" applyFont="1"/>
    <xf numFmtId="165" fontId="10" fillId="2" borderId="0" xfId="1" applyNumberFormat="1" applyFont="1" applyFill="1" applyBorder="1"/>
    <xf numFmtId="167" fontId="11" fillId="0" borderId="0" xfId="1" applyNumberFormat="1" applyFont="1" applyFill="1" applyBorder="1"/>
    <xf numFmtId="167" fontId="11" fillId="2" borderId="0" xfId="1" applyNumberFormat="1" applyFont="1" applyFill="1" applyBorder="1"/>
    <xf numFmtId="167" fontId="11" fillId="0" borderId="1" xfId="1" applyNumberFormat="1" applyFont="1" applyFill="1" applyBorder="1"/>
    <xf numFmtId="168" fontId="10" fillId="0" borderId="0" xfId="1" applyNumberFormat="1" applyFont="1" applyFill="1" applyBorder="1"/>
    <xf numFmtId="166" fontId="11" fillId="2" borderId="0" xfId="1" applyNumberFormat="1" applyFont="1" applyFill="1" applyBorder="1"/>
    <xf numFmtId="165" fontId="19" fillId="0" borderId="0" xfId="1" applyNumberFormat="1" applyFont="1" applyFill="1" applyBorder="1"/>
    <xf numFmtId="165" fontId="19" fillId="2" borderId="0" xfId="1" applyNumberFormat="1" applyFont="1" applyFill="1" applyBorder="1"/>
    <xf numFmtId="164" fontId="4" fillId="0" borderId="0" xfId="2"/>
    <xf numFmtId="164" fontId="3" fillId="0" borderId="0" xfId="2" applyFont="1"/>
    <xf numFmtId="38" fontId="4" fillId="0" borderId="0" xfId="3" applyNumberFormat="1" applyFont="1" applyBorder="1" applyProtection="1"/>
    <xf numFmtId="1" fontId="4" fillId="0" borderId="0" xfId="2" applyNumberFormat="1"/>
    <xf numFmtId="14" fontId="3" fillId="0" borderId="4" xfId="2" applyNumberFormat="1" applyFont="1" applyBorder="1"/>
    <xf numFmtId="14" fontId="3" fillId="0" borderId="5" xfId="2" applyNumberFormat="1" applyFont="1" applyBorder="1"/>
    <xf numFmtId="14" fontId="4" fillId="0" borderId="6" xfId="2" applyNumberFormat="1" applyBorder="1"/>
    <xf numFmtId="14" fontId="4" fillId="0" borderId="0" xfId="2" applyNumberFormat="1"/>
    <xf numFmtId="164" fontId="3" fillId="0" borderId="7" xfId="2" applyFont="1" applyBorder="1"/>
    <xf numFmtId="164" fontId="3" fillId="0" borderId="3" xfId="2" applyFont="1" applyBorder="1"/>
    <xf numFmtId="164" fontId="4" fillId="0" borderId="8" xfId="2" applyBorder="1"/>
    <xf numFmtId="17" fontId="18" fillId="0" borderId="3" xfId="2" applyNumberFormat="1" applyFont="1" applyBorder="1" applyAlignment="1">
      <alignment horizontal="center"/>
    </xf>
    <xf numFmtId="3" fontId="3" fillId="0" borderId="5" xfId="2" applyNumberFormat="1" applyFont="1" applyBorder="1"/>
    <xf numFmtId="3" fontId="3" fillId="0" borderId="5" xfId="2" applyNumberFormat="1" applyFont="1" applyBorder="1" applyAlignment="1">
      <alignment wrapText="1"/>
    </xf>
    <xf numFmtId="3" fontId="4" fillId="0" borderId="0" xfId="2" applyNumberFormat="1"/>
    <xf numFmtId="3" fontId="3" fillId="0" borderId="0" xfId="2" applyNumberFormat="1" applyFont="1"/>
    <xf numFmtId="3" fontId="3" fillId="0" borderId="0" xfId="2" applyNumberFormat="1" applyFont="1" applyAlignment="1">
      <alignment wrapText="1"/>
    </xf>
    <xf numFmtId="38" fontId="3" fillId="0" borderId="0" xfId="3" applyNumberFormat="1" applyFont="1" applyBorder="1" applyProtection="1"/>
    <xf numFmtId="3" fontId="4" fillId="0" borderId="0" xfId="2" applyNumberFormat="1" applyAlignment="1">
      <alignment wrapText="1"/>
    </xf>
    <xf numFmtId="9" fontId="4" fillId="0" borderId="0" xfId="4" applyFont="1" applyBorder="1" applyProtection="1"/>
    <xf numFmtId="170" fontId="4" fillId="0" borderId="0" xfId="4" applyNumberFormat="1" applyFont="1" applyBorder="1" applyProtection="1"/>
    <xf numFmtId="3" fontId="4" fillId="0" borderId="0" xfId="2" applyNumberFormat="1" applyAlignment="1">
      <alignment horizontal="left" wrapText="1"/>
    </xf>
    <xf numFmtId="3" fontId="21" fillId="0" borderId="0" xfId="2" applyNumberFormat="1" applyFont="1" applyAlignment="1">
      <alignment wrapText="1"/>
    </xf>
    <xf numFmtId="3" fontId="21" fillId="0" borderId="0" xfId="2" applyNumberFormat="1" applyFont="1"/>
    <xf numFmtId="38" fontId="21" fillId="0" borderId="0" xfId="3" applyNumberFormat="1" applyFont="1" applyBorder="1" applyProtection="1"/>
    <xf numFmtId="3" fontId="4" fillId="0" borderId="3" xfId="2" applyNumberFormat="1" applyBorder="1"/>
    <xf numFmtId="169" fontId="4" fillId="0" borderId="3" xfId="3" applyNumberFormat="1" applyFont="1" applyBorder="1" applyProtection="1"/>
    <xf numFmtId="3" fontId="4" fillId="0" borderId="3" xfId="2" applyNumberFormat="1" applyBorder="1" applyAlignment="1">
      <alignment wrapText="1"/>
    </xf>
    <xf numFmtId="170" fontId="4" fillId="0" borderId="0" xfId="2" applyNumberFormat="1"/>
    <xf numFmtId="170" fontId="3" fillId="0" borderId="0" xfId="2" applyNumberFormat="1" applyFont="1"/>
    <xf numFmtId="40" fontId="4" fillId="0" borderId="0" xfId="3" applyFont="1" applyBorder="1" applyProtection="1"/>
    <xf numFmtId="167" fontId="4" fillId="0" borderId="3" xfId="2" applyNumberFormat="1" applyBorder="1"/>
    <xf numFmtId="167" fontId="4" fillId="0" borderId="0" xfId="2" applyNumberFormat="1"/>
    <xf numFmtId="167" fontId="3" fillId="0" borderId="0" xfId="2" applyNumberFormat="1" applyFont="1"/>
    <xf numFmtId="14" fontId="3" fillId="0" borderId="0" xfId="2" applyNumberFormat="1" applyFont="1"/>
    <xf numFmtId="1" fontId="3" fillId="0" borderId="0" xfId="2" applyNumberFormat="1" applyFont="1" applyAlignment="1">
      <alignment horizontal="left"/>
    </xf>
    <xf numFmtId="164" fontId="4" fillId="0" borderId="0" xfId="0" applyNumberFormat="1" applyFont="1"/>
    <xf numFmtId="1" fontId="0" fillId="0" borderId="0" xfId="0" applyNumberFormat="1"/>
    <xf numFmtId="14" fontId="3" fillId="0" borderId="4" xfId="0" applyNumberFormat="1" applyFont="1" applyBorder="1"/>
    <xf numFmtId="14" fontId="3" fillId="0" borderId="5" xfId="0" applyNumberFormat="1" applyFont="1" applyBorder="1"/>
    <xf numFmtId="14" fontId="4" fillId="0" borderId="6" xfId="0" applyNumberFormat="1" applyFont="1" applyBorder="1"/>
    <xf numFmtId="14" fontId="4" fillId="0" borderId="0" xfId="0" applyNumberFormat="1" applyFont="1"/>
    <xf numFmtId="164" fontId="3" fillId="0" borderId="7" xfId="0" applyNumberFormat="1" applyFont="1" applyBorder="1"/>
    <xf numFmtId="164" fontId="3" fillId="0" borderId="3" xfId="0" applyNumberFormat="1" applyFont="1" applyBorder="1"/>
    <xf numFmtId="164" fontId="4" fillId="0" borderId="8" xfId="0" applyNumberFormat="1" applyFont="1" applyBorder="1"/>
    <xf numFmtId="17" fontId="18" fillId="0" borderId="3" xfId="0" applyNumberFormat="1" applyFont="1" applyBorder="1" applyAlignment="1">
      <alignment horizontal="center"/>
    </xf>
    <xf numFmtId="3" fontId="3" fillId="0" borderId="5" xfId="0" applyNumberFormat="1" applyFont="1" applyBorder="1"/>
    <xf numFmtId="3" fontId="3" fillId="0" borderId="5" xfId="0" applyNumberFormat="1" applyFont="1" applyBorder="1" applyAlignment="1">
      <alignment wrapText="1"/>
    </xf>
    <xf numFmtId="3" fontId="0" fillId="0" borderId="0" xfId="0" applyNumberFormat="1"/>
    <xf numFmtId="3" fontId="3" fillId="0" borderId="0" xfId="0" applyNumberFormat="1" applyFont="1"/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3" fontId="21" fillId="0" borderId="0" xfId="0" applyNumberFormat="1" applyFont="1" applyAlignment="1">
      <alignment wrapText="1"/>
    </xf>
    <xf numFmtId="3" fontId="21" fillId="0" borderId="0" xfId="0" applyNumberFormat="1" applyFont="1"/>
    <xf numFmtId="3" fontId="4" fillId="0" borderId="3" xfId="0" applyNumberFormat="1" applyFont="1" applyBorder="1"/>
    <xf numFmtId="3" fontId="0" fillId="0" borderId="3" xfId="0" applyNumberFormat="1" applyBorder="1" applyAlignment="1">
      <alignment wrapText="1"/>
    </xf>
    <xf numFmtId="170" fontId="4" fillId="0" borderId="0" xfId="0" applyNumberFormat="1" applyFont="1"/>
    <xf numFmtId="170" fontId="3" fillId="0" borderId="0" xfId="0" applyNumberFormat="1" applyFont="1"/>
    <xf numFmtId="167" fontId="4" fillId="0" borderId="3" xfId="0" applyNumberFormat="1" applyFont="1" applyBorder="1"/>
    <xf numFmtId="167" fontId="4" fillId="0" borderId="0" xfId="0" applyNumberFormat="1" applyFont="1"/>
    <xf numFmtId="167" fontId="3" fillId="0" borderId="0" xfId="0" applyNumberFormat="1" applyFont="1"/>
    <xf numFmtId="14" fontId="3" fillId="0" borderId="0" xfId="0" applyNumberFormat="1" applyFont="1"/>
    <xf numFmtId="1" fontId="3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3" fontId="4" fillId="0" borderId="0" xfId="0" applyNumberFormat="1" applyFont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4" fontId="4" fillId="0" borderId="0" xfId="2" applyNumberFormat="1" applyAlignment="1">
      <alignment horizontal="center"/>
    </xf>
    <xf numFmtId="3" fontId="4" fillId="0" borderId="0" xfId="2" applyNumberFormat="1" applyAlignment="1">
      <alignment horizontal="center"/>
    </xf>
    <xf numFmtId="0" fontId="2" fillId="0" borderId="0" xfId="0" applyFont="1" applyAlignment="1">
      <alignment horizontal="center"/>
    </xf>
  </cellXfs>
  <cellStyles count="5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  <cellStyle name="Percent 2" xfId="4" xr:uid="{00000000-0005-0000-0000-000004000000}"/>
  </cellStyles>
  <dxfs count="2">
    <dxf>
      <font>
        <color theme="1"/>
      </font>
    </dxf>
    <dxf>
      <font>
        <color theme="1"/>
      </font>
    </dxf>
  </dxfs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ational%20Accounts\QGDP%20Q12023_24\Serena_LwezaAAA%20QNA%20Workshop%20Useful%20files\Seasonal%20Adjustment%20Tool%20V8.1%20CP%20(batch%20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ullResults"/>
      <sheetName val="Trend"/>
      <sheetName val="IndResults"/>
      <sheetName val="IndData"/>
      <sheetName val="X12Metafile"/>
      <sheetName val="X12Spec"/>
      <sheetName val="X12Results"/>
      <sheetName val="X12ResultsE18"/>
      <sheetName val="X12ForecastsOriginal"/>
      <sheetName val="X12ForecastsCalendarAdj"/>
      <sheetName val="X12ForecastsSAOnly"/>
      <sheetName val="X12ForecastsARIMA"/>
      <sheetName val="X12ForecastsSA"/>
      <sheetName val="X12ForecastsTrend"/>
      <sheetName val="X12ForecastsTC"/>
      <sheetName val="X12ForecastsFactors"/>
      <sheetName val="X12ForecastsIrregulars"/>
      <sheetName val="X12OriginalInput"/>
      <sheetName val="RawForecast"/>
      <sheetName val="CalcResults"/>
      <sheetName val="Lookups"/>
    </sheetNames>
    <sheetDataSet>
      <sheetData sheetId="0"/>
      <sheetData sheetId="1"/>
      <sheetData sheetId="2"/>
      <sheetData sheetId="3"/>
      <sheetData sheetId="4">
        <row r="1">
          <cell r="C1" t="str">
            <v xml:space="preserve">Enter below series to be seaonally adjusted </v>
          </cell>
          <cell r="F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K2">
            <v>0</v>
          </cell>
          <cell r="L2">
            <v>0</v>
          </cell>
          <cell r="M2">
            <v>0</v>
          </cell>
        </row>
        <row r="3">
          <cell r="C3" t="str">
            <v>Period</v>
          </cell>
          <cell r="F3" t="str">
            <v>LIVESTOCK</v>
          </cell>
          <cell r="K3" t="str">
            <v>MANUFACTURING</v>
          </cell>
          <cell r="L3" t="str">
            <v>ELECTRICITY</v>
          </cell>
          <cell r="M3" t="str">
            <v>WATER</v>
          </cell>
          <cell r="Q3" t="str">
            <v>ACCOMODATION &amp; FOOD SVCS</v>
          </cell>
          <cell r="R3" t="str">
            <v>INFORMATION &amp; COMMUNICATION SVCS</v>
          </cell>
          <cell r="S3" t="str">
            <v>FINANCIAL &amp; INSURANCE SVCS</v>
          </cell>
          <cell r="T3" t="str">
            <v>REAL ESTATE</v>
          </cell>
          <cell r="V3" t="str">
            <v>ADMINISTRATIVE &amp; SUPPROT SVCS</v>
          </cell>
          <cell r="W3" t="str">
            <v>PUBLIC ADMIN</v>
          </cell>
          <cell r="X3" t="str">
            <v>EDUCATION</v>
          </cell>
          <cell r="Y3" t="str">
            <v>HEALTH</v>
          </cell>
          <cell r="Z3" t="str">
            <v>ARTS, ENTER &amp; CREATIVE</v>
          </cell>
          <cell r="AA3" t="str">
            <v>OTHER SERVICES</v>
          </cell>
        </row>
        <row r="4">
          <cell r="C4" t="str">
            <v>2008Q1</v>
          </cell>
          <cell r="F4">
            <v>0</v>
          </cell>
          <cell r="K4">
            <v>0</v>
          </cell>
          <cell r="L4">
            <v>0</v>
          </cell>
          <cell r="M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C5" t="str">
            <v>2008Q2</v>
          </cell>
          <cell r="F5">
            <v>0</v>
          </cell>
          <cell r="K5">
            <v>0</v>
          </cell>
          <cell r="L5">
            <v>0</v>
          </cell>
          <cell r="M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C6" t="str">
            <v>2008Q3</v>
          </cell>
          <cell r="F6">
            <v>342.82529199109939</v>
          </cell>
          <cell r="K6">
            <v>752.41547388041147</v>
          </cell>
          <cell r="L6">
            <v>75.327796539888496</v>
          </cell>
          <cell r="M6">
            <v>159.83270578582452</v>
          </cell>
          <cell r="Q6">
            <v>177.66202469987914</v>
          </cell>
          <cell r="R6">
            <v>426.20711156149656</v>
          </cell>
          <cell r="S6">
            <v>173.30698809315035</v>
          </cell>
          <cell r="T6">
            <v>351.23723421560982</v>
          </cell>
          <cell r="V6">
            <v>117.30516815591717</v>
          </cell>
          <cell r="W6">
            <v>228.2401466169394</v>
          </cell>
          <cell r="X6">
            <v>427.35886038289578</v>
          </cell>
          <cell r="Y6">
            <v>276.52675107061873</v>
          </cell>
          <cell r="Z6">
            <v>27.281618279555811</v>
          </cell>
          <cell r="AA6">
            <v>80.428160124145421</v>
          </cell>
        </row>
        <row r="7">
          <cell r="C7" t="str">
            <v>2008Q4</v>
          </cell>
          <cell r="F7">
            <v>390.96987687706252</v>
          </cell>
          <cell r="K7">
            <v>822.91804340787758</v>
          </cell>
          <cell r="L7">
            <v>78.585952385041466</v>
          </cell>
          <cell r="M7">
            <v>161.81854975890309</v>
          </cell>
          <cell r="Q7">
            <v>148.49616991801915</v>
          </cell>
          <cell r="R7">
            <v>478.71965334974772</v>
          </cell>
          <cell r="S7">
            <v>203.94879894886557</v>
          </cell>
          <cell r="T7">
            <v>355.87864298430134</v>
          </cell>
          <cell r="V7">
            <v>121.86651038631005</v>
          </cell>
          <cell r="W7">
            <v>241.42887583057151</v>
          </cell>
          <cell r="X7">
            <v>446.46905596545025</v>
          </cell>
          <cell r="Y7">
            <v>280.30311158447995</v>
          </cell>
          <cell r="Z7">
            <v>25.574674096850924</v>
          </cell>
          <cell r="AA7">
            <v>82.394324124943566</v>
          </cell>
        </row>
        <row r="8">
          <cell r="C8" t="str">
            <v>2009Q1</v>
          </cell>
          <cell r="F8">
            <v>453.89294338518329</v>
          </cell>
          <cell r="K8">
            <v>798.91965881145131</v>
          </cell>
          <cell r="L8">
            <v>84.667780427776478</v>
          </cell>
          <cell r="M8">
            <v>164.2317516968977</v>
          </cell>
          <cell r="Q8">
            <v>140.0200279822615</v>
          </cell>
          <cell r="R8">
            <v>523.58677063324774</v>
          </cell>
          <cell r="S8">
            <v>213.58199566443912</v>
          </cell>
          <cell r="T8">
            <v>357.47508187112589</v>
          </cell>
          <cell r="V8">
            <v>123.43591256028597</v>
          </cell>
          <cell r="W8">
            <v>240.33917451980207</v>
          </cell>
          <cell r="X8">
            <v>460.82193650020628</v>
          </cell>
          <cell r="Y8">
            <v>281.03069187159537</v>
          </cell>
          <cell r="Z8">
            <v>22.638937241445866</v>
          </cell>
          <cell r="AA8">
            <v>83.572064259439983</v>
          </cell>
        </row>
        <row r="9">
          <cell r="C9" t="str">
            <v>2009Q2</v>
          </cell>
          <cell r="F9">
            <v>450.23822290134615</v>
          </cell>
          <cell r="K9">
            <v>806.08753997135489</v>
          </cell>
          <cell r="L9">
            <v>87.677184351071972</v>
          </cell>
          <cell r="M9">
            <v>166.52134845499756</v>
          </cell>
          <cell r="Q9">
            <v>168.45740422852867</v>
          </cell>
          <cell r="R9">
            <v>558.89558552334279</v>
          </cell>
          <cell r="S9">
            <v>222.48640568062768</v>
          </cell>
          <cell r="T9">
            <v>372.08328710410086</v>
          </cell>
          <cell r="V9">
            <v>145.48882056739018</v>
          </cell>
          <cell r="W9">
            <v>242.22947661392575</v>
          </cell>
          <cell r="X9">
            <v>477.2926393696867</v>
          </cell>
          <cell r="Y9">
            <v>293.47325954231871</v>
          </cell>
          <cell r="Z9">
            <v>27.46667565772028</v>
          </cell>
          <cell r="AA9">
            <v>84.538668123041489</v>
          </cell>
        </row>
        <row r="10">
          <cell r="C10" t="str">
            <v>2009Q3</v>
          </cell>
          <cell r="F10">
            <v>476.64962188956321</v>
          </cell>
          <cell r="K10">
            <v>803.35796048870498</v>
          </cell>
          <cell r="L10">
            <v>90.727950774238025</v>
          </cell>
          <cell r="M10">
            <v>187.92747118178386</v>
          </cell>
          <cell r="Q10">
            <v>227.36625267847214</v>
          </cell>
          <cell r="R10">
            <v>510.07869955720827</v>
          </cell>
          <cell r="S10">
            <v>223.23991761121059</v>
          </cell>
          <cell r="T10">
            <v>518.5370993034918</v>
          </cell>
          <cell r="V10">
            <v>152.71725681026521</v>
          </cell>
          <cell r="W10">
            <v>291.4395359190811</v>
          </cell>
          <cell r="X10">
            <v>474.18970255901451</v>
          </cell>
          <cell r="Y10">
            <v>300.91330337829601</v>
          </cell>
          <cell r="Z10">
            <v>28.670010792801719</v>
          </cell>
          <cell r="AA10">
            <v>92.290581206247992</v>
          </cell>
        </row>
        <row r="11">
          <cell r="C11" t="str">
            <v>2009Q4</v>
          </cell>
          <cell r="F11">
            <v>459.93276013743554</v>
          </cell>
          <cell r="K11">
            <v>837.95962436742536</v>
          </cell>
          <cell r="L11">
            <v>89.519083255951855</v>
          </cell>
          <cell r="M11">
            <v>190.36471656488655</v>
          </cell>
          <cell r="Q11">
            <v>234.12342262883971</v>
          </cell>
          <cell r="R11">
            <v>491.15210169836035</v>
          </cell>
          <cell r="S11">
            <v>221.32173056184945</v>
          </cell>
          <cell r="T11">
            <v>540.03469559739995</v>
          </cell>
          <cell r="V11">
            <v>154.31279805246425</v>
          </cell>
          <cell r="W11">
            <v>287.62776728589677</v>
          </cell>
          <cell r="X11">
            <v>491.35528793536753</v>
          </cell>
          <cell r="Y11">
            <v>305.08827930239482</v>
          </cell>
          <cell r="Z11">
            <v>29.186034724396436</v>
          </cell>
          <cell r="AA11">
            <v>108.51629101179066</v>
          </cell>
        </row>
        <row r="12">
          <cell r="C12" t="str">
            <v>2010Q1</v>
          </cell>
          <cell r="F12">
            <v>467.27899808519919</v>
          </cell>
          <cell r="K12">
            <v>926.59922308066996</v>
          </cell>
          <cell r="L12">
            <v>83.003098186429924</v>
          </cell>
          <cell r="M12">
            <v>193.83412487923536</v>
          </cell>
          <cell r="Q12">
            <v>225.27988121780697</v>
          </cell>
          <cell r="R12">
            <v>590.63157715392538</v>
          </cell>
          <cell r="S12">
            <v>240.19764227431475</v>
          </cell>
          <cell r="T12">
            <v>559.86086251635948</v>
          </cell>
          <cell r="V12">
            <v>148.52180072567356</v>
          </cell>
          <cell r="W12">
            <v>301.26355723580713</v>
          </cell>
          <cell r="X12">
            <v>523.87017899550733</v>
          </cell>
          <cell r="Y12">
            <v>307.71506217413605</v>
          </cell>
          <cell r="Z12">
            <v>34.779919248479402</v>
          </cell>
          <cell r="AA12">
            <v>100.72571044598443</v>
          </cell>
        </row>
        <row r="13">
          <cell r="C13" t="str">
            <v>2010Q2</v>
          </cell>
          <cell r="F13">
            <v>453.38731933235647</v>
          </cell>
          <cell r="K13">
            <v>913.57510540887586</v>
          </cell>
          <cell r="L13">
            <v>86.103270493089141</v>
          </cell>
          <cell r="M13">
            <v>196.89649493454729</v>
          </cell>
          <cell r="Q13">
            <v>247.25496217531986</v>
          </cell>
          <cell r="R13">
            <v>673.37233239808518</v>
          </cell>
          <cell r="S13">
            <v>255.21404806783806</v>
          </cell>
          <cell r="T13">
            <v>576.05808744929436</v>
          </cell>
          <cell r="V13">
            <v>174.4658709630923</v>
          </cell>
          <cell r="W13">
            <v>320.21599950204387</v>
          </cell>
          <cell r="X13">
            <v>541.10470670799953</v>
          </cell>
          <cell r="Y13">
            <v>316.94332059497657</v>
          </cell>
          <cell r="Z13">
            <v>31.032118794561455</v>
          </cell>
          <cell r="AA13">
            <v>99.92619159393368</v>
          </cell>
        </row>
        <row r="14">
          <cell r="C14" t="str">
            <v>2010Q3</v>
          </cell>
          <cell r="F14">
            <v>487.57911826874869</v>
          </cell>
          <cell r="K14">
            <v>1048.5415869605613</v>
          </cell>
          <cell r="L14">
            <v>87.639278038032643</v>
          </cell>
          <cell r="M14">
            <v>206.27691916163374</v>
          </cell>
          <cell r="Q14">
            <v>289.89785041198581</v>
          </cell>
          <cell r="R14">
            <v>746.90982469702976</v>
          </cell>
          <cell r="S14">
            <v>271.98269639712629</v>
          </cell>
          <cell r="T14">
            <v>440.94393191760565</v>
          </cell>
          <cell r="V14">
            <v>217.26888392449317</v>
          </cell>
          <cell r="W14">
            <v>379.24509001048926</v>
          </cell>
          <cell r="X14">
            <v>566.59302592757365</v>
          </cell>
          <cell r="Y14">
            <v>327.0611546576842</v>
          </cell>
          <cell r="Z14">
            <v>33.7368708910668</v>
          </cell>
          <cell r="AA14">
            <v>101.91197922582997</v>
          </cell>
        </row>
        <row r="15">
          <cell r="C15" t="str">
            <v>2010Q4</v>
          </cell>
          <cell r="F15">
            <v>486.20640963318135</v>
          </cell>
          <cell r="K15">
            <v>1177.9000848634369</v>
          </cell>
          <cell r="L15">
            <v>89.260742104439672</v>
          </cell>
          <cell r="M15">
            <v>208.54774273263394</v>
          </cell>
          <cell r="Q15">
            <v>274.58929202619186</v>
          </cell>
          <cell r="R15">
            <v>392.11113413138389</v>
          </cell>
          <cell r="S15">
            <v>284.64963319700831</v>
          </cell>
          <cell r="T15">
            <v>451.26555902522347</v>
          </cell>
          <cell r="V15">
            <v>214.36636071235762</v>
          </cell>
          <cell r="W15">
            <v>379.50836524312524</v>
          </cell>
          <cell r="X15">
            <v>572.77569660677636</v>
          </cell>
          <cell r="Y15">
            <v>336.92522770403713</v>
          </cell>
          <cell r="Z15">
            <v>32.239069507092474</v>
          </cell>
          <cell r="AA15">
            <v>108.76792737232185</v>
          </cell>
        </row>
        <row r="16">
          <cell r="C16" t="str">
            <v>2011Q1</v>
          </cell>
          <cell r="F16">
            <v>510.94121670511834</v>
          </cell>
          <cell r="K16">
            <v>1278.7660642286191</v>
          </cell>
          <cell r="L16">
            <v>90.78827817844811</v>
          </cell>
          <cell r="M16">
            <v>210.90214214842496</v>
          </cell>
          <cell r="Q16">
            <v>305.53061665006385</v>
          </cell>
          <cell r="R16">
            <v>336.79735031067673</v>
          </cell>
          <cell r="S16">
            <v>285.70552747211616</v>
          </cell>
          <cell r="T16">
            <v>461.18766027483355</v>
          </cell>
          <cell r="V16">
            <v>214.37784916960121</v>
          </cell>
          <cell r="W16">
            <v>381.19684919287641</v>
          </cell>
          <cell r="X16">
            <v>600.10775261729009</v>
          </cell>
          <cell r="Y16">
            <v>344.43834834273389</v>
          </cell>
          <cell r="Z16">
            <v>35.777739498564927</v>
          </cell>
          <cell r="AA16">
            <v>112.18762345560144</v>
          </cell>
        </row>
        <row r="17">
          <cell r="C17" t="str">
            <v>2011Q2</v>
          </cell>
          <cell r="F17">
            <v>495.95921745071462</v>
          </cell>
          <cell r="K17">
            <v>1309.460868148675</v>
          </cell>
          <cell r="L17">
            <v>90.068563419402238</v>
          </cell>
          <cell r="M17">
            <v>213.60917376612073</v>
          </cell>
          <cell r="Q17">
            <v>333.77437113537098</v>
          </cell>
          <cell r="R17">
            <v>299.47552538799579</v>
          </cell>
          <cell r="S17">
            <v>357.55591434663455</v>
          </cell>
          <cell r="T17">
            <v>477.8029047967114</v>
          </cell>
          <cell r="V17">
            <v>234.14019996095521</v>
          </cell>
          <cell r="W17">
            <v>388.85023208993056</v>
          </cell>
          <cell r="X17">
            <v>619.40271758726306</v>
          </cell>
          <cell r="Y17">
            <v>346.73692971948589</v>
          </cell>
          <cell r="Z17">
            <v>35.383740660982092</v>
          </cell>
          <cell r="AA17">
            <v>118.41498778881891</v>
          </cell>
        </row>
        <row r="18">
          <cell r="C18" t="str">
            <v>2011Q3</v>
          </cell>
          <cell r="F18">
            <v>565.00977852217375</v>
          </cell>
          <cell r="K18">
            <v>1673.1499000558911</v>
          </cell>
          <cell r="L18">
            <v>87.208038572256456</v>
          </cell>
          <cell r="M18">
            <v>224.10785103209423</v>
          </cell>
          <cell r="Q18">
            <v>380.90580840342392</v>
          </cell>
          <cell r="R18">
            <v>340.10323069592192</v>
          </cell>
          <cell r="S18">
            <v>377.50352467339144</v>
          </cell>
          <cell r="T18">
            <v>490.67411778311651</v>
          </cell>
          <cell r="V18">
            <v>233.34742646612935</v>
          </cell>
          <cell r="W18">
            <v>410.61063139030011</v>
          </cell>
          <cell r="X18">
            <v>646.58713430134731</v>
          </cell>
          <cell r="Y18">
            <v>351.82130587459596</v>
          </cell>
          <cell r="Z18">
            <v>45.354301675136753</v>
          </cell>
          <cell r="AA18">
            <v>137.81267199198606</v>
          </cell>
        </row>
        <row r="19">
          <cell r="C19" t="str">
            <v>2011Q4</v>
          </cell>
          <cell r="F19">
            <v>687.45207364942883</v>
          </cell>
          <cell r="K19">
            <v>1655.8821305206691</v>
          </cell>
          <cell r="L19">
            <v>82.943577353083597</v>
          </cell>
          <cell r="M19">
            <v>225.83729555338229</v>
          </cell>
          <cell r="Q19">
            <v>352.4747857623334</v>
          </cell>
          <cell r="R19">
            <v>401.29233805005759</v>
          </cell>
          <cell r="S19">
            <v>397.0644072994653</v>
          </cell>
          <cell r="T19">
            <v>516.13095431065176</v>
          </cell>
          <cell r="V19">
            <v>232.80328672442008</v>
          </cell>
          <cell r="W19">
            <v>445.08859753419915</v>
          </cell>
          <cell r="X19">
            <v>647.82164085292231</v>
          </cell>
          <cell r="Y19">
            <v>348.48980793765742</v>
          </cell>
          <cell r="Z19">
            <v>44.576845367094251</v>
          </cell>
          <cell r="AA19">
            <v>148.6662356185989</v>
          </cell>
        </row>
        <row r="20">
          <cell r="C20" t="str">
            <v>2012Q1</v>
          </cell>
          <cell r="F20">
            <v>724.98760593428653</v>
          </cell>
          <cell r="K20">
            <v>1514.823296488433</v>
          </cell>
          <cell r="L20">
            <v>146.53813525267444</v>
          </cell>
          <cell r="M20">
            <v>248.87346771540541</v>
          </cell>
          <cell r="Q20">
            <v>363.26107507649243</v>
          </cell>
          <cell r="R20">
            <v>417.90177956094089</v>
          </cell>
          <cell r="S20">
            <v>422.29140331310293</v>
          </cell>
          <cell r="T20">
            <v>538.19876445995362</v>
          </cell>
          <cell r="V20">
            <v>248.59206913629691</v>
          </cell>
          <cell r="W20">
            <v>434.99997146375449</v>
          </cell>
          <cell r="X20">
            <v>708.90685859457585</v>
          </cell>
          <cell r="Y20">
            <v>381.32963995209445</v>
          </cell>
          <cell r="Z20">
            <v>45.912825025567102</v>
          </cell>
          <cell r="AA20">
            <v>156.93433415741501</v>
          </cell>
        </row>
        <row r="21">
          <cell r="C21" t="str">
            <v>2012Q2</v>
          </cell>
          <cell r="F21">
            <v>725.20658189978394</v>
          </cell>
          <cell r="K21">
            <v>1628.8495195271719</v>
          </cell>
          <cell r="L21">
            <v>146.28504303099044</v>
          </cell>
          <cell r="M21">
            <v>218.51774250574741</v>
          </cell>
          <cell r="Q21">
            <v>392.84694961263915</v>
          </cell>
          <cell r="R21">
            <v>413.56327074356045</v>
          </cell>
          <cell r="S21">
            <v>421.78045372096096</v>
          </cell>
          <cell r="T21">
            <v>561.40489307687699</v>
          </cell>
          <cell r="V21">
            <v>268.89176758284128</v>
          </cell>
          <cell r="W21">
            <v>454.60520777732626</v>
          </cell>
          <cell r="X21">
            <v>766.05849940520238</v>
          </cell>
          <cell r="Y21">
            <v>412.17110964949848</v>
          </cell>
          <cell r="Z21">
            <v>37.310105426504947</v>
          </cell>
          <cell r="AA21">
            <v>160.10185890391423</v>
          </cell>
        </row>
        <row r="22">
          <cell r="C22" t="str">
            <v>2012Q3</v>
          </cell>
          <cell r="F22">
            <v>723.97895259524296</v>
          </cell>
          <cell r="K22">
            <v>1485.3868219696042</v>
          </cell>
          <cell r="L22">
            <v>148.00725181970472</v>
          </cell>
          <cell r="M22">
            <v>267.804374570172</v>
          </cell>
          <cell r="Q22">
            <v>462.27691015813923</v>
          </cell>
          <cell r="R22">
            <v>432.01664442993638</v>
          </cell>
          <cell r="S22">
            <v>415.18082907165427</v>
          </cell>
          <cell r="T22">
            <v>587.07758404270703</v>
          </cell>
          <cell r="V22">
            <v>236.11156911387818</v>
          </cell>
          <cell r="W22">
            <v>451.33491505205683</v>
          </cell>
          <cell r="X22">
            <v>830.40003090143466</v>
          </cell>
          <cell r="Y22">
            <v>439.18923071333779</v>
          </cell>
          <cell r="Z22">
            <v>41.490806326251182</v>
          </cell>
          <cell r="AA22">
            <v>167.65100217626596</v>
          </cell>
        </row>
        <row r="23">
          <cell r="C23" t="str">
            <v>2012Q4</v>
          </cell>
          <cell r="F23">
            <v>739.61799142340419</v>
          </cell>
          <cell r="K23">
            <v>1596.6697306998265</v>
          </cell>
          <cell r="L23">
            <v>147.43204679107262</v>
          </cell>
          <cell r="M23">
            <v>255.45796434375205</v>
          </cell>
          <cell r="Q23">
            <v>397.01240472471812</v>
          </cell>
          <cell r="R23">
            <v>498.87292177959694</v>
          </cell>
          <cell r="S23">
            <v>420.90438127836711</v>
          </cell>
          <cell r="T23">
            <v>601.1087028668702</v>
          </cell>
          <cell r="V23">
            <v>225.24892989771357</v>
          </cell>
          <cell r="W23">
            <v>456.74148349643605</v>
          </cell>
          <cell r="X23">
            <v>858.64666201697571</v>
          </cell>
          <cell r="Y23">
            <v>466.78235373603411</v>
          </cell>
          <cell r="Z23">
            <v>48.478130828113152</v>
          </cell>
          <cell r="AA23">
            <v>176.6261867893318</v>
          </cell>
        </row>
        <row r="24">
          <cell r="C24" t="str">
            <v>2013Q1</v>
          </cell>
          <cell r="F24">
            <v>750.57859780241586</v>
          </cell>
          <cell r="K24">
            <v>1603.4053769212867</v>
          </cell>
          <cell r="L24">
            <v>141.56082827588253</v>
          </cell>
          <cell r="M24">
            <v>228.43200060783849</v>
          </cell>
          <cell r="Q24">
            <v>451.76691249900426</v>
          </cell>
          <cell r="R24">
            <v>492.7837333910187</v>
          </cell>
          <cell r="S24">
            <v>440.51403850743742</v>
          </cell>
          <cell r="T24">
            <v>637.88700458343203</v>
          </cell>
          <cell r="V24">
            <v>256.8962848018835</v>
          </cell>
          <cell r="W24">
            <v>475.38560204719238</v>
          </cell>
          <cell r="X24">
            <v>865.99723230105883</v>
          </cell>
          <cell r="Y24">
            <v>492.24514836303888</v>
          </cell>
          <cell r="Z24">
            <v>48.356997806961978</v>
          </cell>
          <cell r="AA24">
            <v>180.47805661025208</v>
          </cell>
        </row>
        <row r="25">
          <cell r="C25" t="str">
            <v>2013Q2</v>
          </cell>
          <cell r="F25">
            <v>753.74640817495913</v>
          </cell>
          <cell r="K25">
            <v>1714.2725109353553</v>
          </cell>
          <cell r="L25">
            <v>146.92799905434336</v>
          </cell>
          <cell r="M25">
            <v>231.04119437682164</v>
          </cell>
          <cell r="Q25">
            <v>470.34133211531707</v>
          </cell>
          <cell r="R25">
            <v>510.84467885249529</v>
          </cell>
          <cell r="S25">
            <v>417.50477022368159</v>
          </cell>
          <cell r="T25">
            <v>672.56622367163823</v>
          </cell>
          <cell r="V25">
            <v>229.17252739252947</v>
          </cell>
          <cell r="W25">
            <v>482.48058118115938</v>
          </cell>
          <cell r="X25">
            <v>880.6485931574357</v>
          </cell>
          <cell r="Y25">
            <v>511.50021969717488</v>
          </cell>
          <cell r="Z25">
            <v>45.886100975906096</v>
          </cell>
          <cell r="AA25">
            <v>186.26462190149047</v>
          </cell>
        </row>
        <row r="26">
          <cell r="C26" t="str">
            <v>2013Q3</v>
          </cell>
          <cell r="F26">
            <v>789.20195662897402</v>
          </cell>
          <cell r="K26">
            <v>1572.6672504815917</v>
          </cell>
          <cell r="L26">
            <v>148.23561478249383</v>
          </cell>
          <cell r="M26">
            <v>283.87720125294481</v>
          </cell>
          <cell r="Q26">
            <v>544.30226016417657</v>
          </cell>
          <cell r="R26">
            <v>543.53323109951043</v>
          </cell>
          <cell r="S26">
            <v>454.51888085048665</v>
          </cell>
          <cell r="T26">
            <v>687.13454521509789</v>
          </cell>
          <cell r="V26">
            <v>312.10442207967304</v>
          </cell>
          <cell r="W26">
            <v>410.45505433108286</v>
          </cell>
          <cell r="X26">
            <v>942.11227589483951</v>
          </cell>
          <cell r="Y26">
            <v>517.98970863017735</v>
          </cell>
          <cell r="Z26">
            <v>53.267323690708089</v>
          </cell>
          <cell r="AA26">
            <v>189.58902372832165</v>
          </cell>
        </row>
        <row r="27">
          <cell r="C27" t="str">
            <v>2013Q4</v>
          </cell>
          <cell r="F27">
            <v>731.55447001092875</v>
          </cell>
          <cell r="K27">
            <v>1615.2994151393477</v>
          </cell>
          <cell r="L27">
            <v>146.23710231297838</v>
          </cell>
          <cell r="M27">
            <v>287.38168561082432</v>
          </cell>
          <cell r="Q27">
            <v>490.77048070759366</v>
          </cell>
          <cell r="R27">
            <v>558.53527437814728</v>
          </cell>
          <cell r="S27">
            <v>456.00796884349131</v>
          </cell>
          <cell r="T27">
            <v>702.02950731217243</v>
          </cell>
          <cell r="V27">
            <v>177.33917443812012</v>
          </cell>
          <cell r="W27">
            <v>425.04674084905969</v>
          </cell>
          <cell r="X27">
            <v>969.42185566206706</v>
          </cell>
          <cell r="Y27">
            <v>531.84601198886116</v>
          </cell>
          <cell r="Z27">
            <v>51.235144819871309</v>
          </cell>
          <cell r="AA27">
            <v>194.97694168935612</v>
          </cell>
        </row>
        <row r="28">
          <cell r="C28" t="str">
            <v>2014Q1</v>
          </cell>
          <cell r="F28">
            <v>757.63812775532801</v>
          </cell>
          <cell r="K28">
            <v>1592.5084289926961</v>
          </cell>
          <cell r="L28">
            <v>147.55983099265248</v>
          </cell>
          <cell r="M28">
            <v>291.89134263884728</v>
          </cell>
          <cell r="Q28">
            <v>566.62019930865358</v>
          </cell>
          <cell r="R28">
            <v>554.90328115239379</v>
          </cell>
          <cell r="S28">
            <v>499.66811120540729</v>
          </cell>
          <cell r="T28">
            <v>735.49493070592337</v>
          </cell>
          <cell r="V28">
            <v>279.12422184566651</v>
          </cell>
          <cell r="W28">
            <v>450.71230258775734</v>
          </cell>
          <cell r="X28">
            <v>996.11861457470525</v>
          </cell>
          <cell r="Y28">
            <v>582.05293970276375</v>
          </cell>
          <cell r="Z28">
            <v>54.493066169534188</v>
          </cell>
          <cell r="AA28">
            <v>204.02754882184092</v>
          </cell>
        </row>
        <row r="29">
          <cell r="C29" t="str">
            <v>2014Q2</v>
          </cell>
          <cell r="F29">
            <v>746.57869712575018</v>
          </cell>
          <cell r="K29">
            <v>1574.7900623776877</v>
          </cell>
          <cell r="L29">
            <v>153.10989513092233</v>
          </cell>
          <cell r="M29">
            <v>296.10620972295408</v>
          </cell>
          <cell r="Q29">
            <v>537.89477860625198</v>
          </cell>
          <cell r="R29">
            <v>546.53220942638256</v>
          </cell>
          <cell r="S29">
            <v>531.47689851864766</v>
          </cell>
          <cell r="T29">
            <v>762.929393166605</v>
          </cell>
          <cell r="V29">
            <v>325.7004950706845</v>
          </cell>
          <cell r="W29">
            <v>428.86039320425607</v>
          </cell>
          <cell r="X29">
            <v>1026.5988905733041</v>
          </cell>
          <cell r="Y29">
            <v>618.81588973104033</v>
          </cell>
          <cell r="Z29">
            <v>48.934650425725479</v>
          </cell>
          <cell r="AA29">
            <v>206.45905564448074</v>
          </cell>
        </row>
        <row r="30">
          <cell r="C30" t="str">
            <v>2014Q3</v>
          </cell>
          <cell r="F30">
            <v>784.54845054431121</v>
          </cell>
          <cell r="K30">
            <v>1715.2825870853524</v>
          </cell>
          <cell r="L30">
            <v>156.87231779150659</v>
          </cell>
          <cell r="M30">
            <v>313.60964718144589</v>
          </cell>
          <cell r="Q30">
            <v>588.97565723719015</v>
          </cell>
          <cell r="R30">
            <v>573.57654015717901</v>
          </cell>
          <cell r="S30">
            <v>490.99839450568845</v>
          </cell>
          <cell r="T30">
            <v>777.66103835003514</v>
          </cell>
          <cell r="V30">
            <v>313.48834119115588</v>
          </cell>
          <cell r="W30">
            <v>496.12649778011951</v>
          </cell>
          <cell r="X30">
            <v>1075.5477886022322</v>
          </cell>
          <cell r="Y30">
            <v>638.40402762989925</v>
          </cell>
          <cell r="Z30">
            <v>55.589039140661846</v>
          </cell>
          <cell r="AA30">
            <v>207.7692674264494</v>
          </cell>
        </row>
        <row r="31">
          <cell r="C31" t="str">
            <v>2014Q4</v>
          </cell>
          <cell r="F31">
            <v>778.39829553067489</v>
          </cell>
          <cell r="K31">
            <v>1785.2611260830486</v>
          </cell>
          <cell r="L31">
            <v>153.04920119274951</v>
          </cell>
          <cell r="M31">
            <v>324.03343840381689</v>
          </cell>
          <cell r="Q31">
            <v>539.96418744854338</v>
          </cell>
          <cell r="R31">
            <v>653.85924096285055</v>
          </cell>
          <cell r="S31">
            <v>565.0865988940626</v>
          </cell>
          <cell r="T31">
            <v>796.19393168416275</v>
          </cell>
          <cell r="V31">
            <v>317.22559311690196</v>
          </cell>
          <cell r="W31">
            <v>516.40867293408667</v>
          </cell>
          <cell r="X31">
            <v>1090.6399616114179</v>
          </cell>
          <cell r="Y31">
            <v>649.86351297016824</v>
          </cell>
          <cell r="Z31">
            <v>50.012829568452801</v>
          </cell>
          <cell r="AA31">
            <v>212.9231930501717</v>
          </cell>
        </row>
        <row r="32">
          <cell r="C32" t="str">
            <v>2015Q1</v>
          </cell>
          <cell r="F32">
            <v>826.11597414313258</v>
          </cell>
          <cell r="K32">
            <v>1816.4761301824865</v>
          </cell>
          <cell r="L32">
            <v>160.26340235840777</v>
          </cell>
          <cell r="M32">
            <v>329.91760942131145</v>
          </cell>
          <cell r="Q32">
            <v>590.08856979702762</v>
          </cell>
          <cell r="R32">
            <v>700.69981117597183</v>
          </cell>
          <cell r="S32">
            <v>558.68969117681013</v>
          </cell>
          <cell r="T32">
            <v>825.54560474619427</v>
          </cell>
          <cell r="V32">
            <v>349.72341664536958</v>
          </cell>
          <cell r="W32">
            <v>497.71721679003434</v>
          </cell>
          <cell r="X32">
            <v>1139.6666035753087</v>
          </cell>
          <cell r="Y32">
            <v>665.28930221131623</v>
          </cell>
          <cell r="Z32">
            <v>56.31921034597967</v>
          </cell>
          <cell r="AA32">
            <v>223.88637426006844</v>
          </cell>
        </row>
        <row r="33">
          <cell r="C33" t="str">
            <v>2015Q2</v>
          </cell>
          <cell r="F33">
            <v>856.48274279721511</v>
          </cell>
          <cell r="K33">
            <v>1848.3704632267452</v>
          </cell>
          <cell r="L33">
            <v>163.75241033684449</v>
          </cell>
          <cell r="M33">
            <v>333.96734237661161</v>
          </cell>
          <cell r="Q33">
            <v>595.54043274661433</v>
          </cell>
          <cell r="R33">
            <v>735.57280347514131</v>
          </cell>
          <cell r="S33">
            <v>536.78397936642773</v>
          </cell>
          <cell r="T33">
            <v>852.50396737310507</v>
          </cell>
          <cell r="V33">
            <v>404.54337520761879</v>
          </cell>
          <cell r="W33">
            <v>490.77944110474948</v>
          </cell>
          <cell r="X33">
            <v>1198.6580250328211</v>
          </cell>
          <cell r="Y33">
            <v>671.5988743999344</v>
          </cell>
          <cell r="Z33">
            <v>58.018391517749478</v>
          </cell>
          <cell r="AA33">
            <v>229.41200310156015</v>
          </cell>
        </row>
        <row r="34">
          <cell r="C34" t="str">
            <v>2015Q3</v>
          </cell>
          <cell r="F34">
            <v>855.4392290968168</v>
          </cell>
          <cell r="K34">
            <v>2206.1878936638118</v>
          </cell>
          <cell r="L34">
            <v>173.04711027332596</v>
          </cell>
          <cell r="M34">
            <v>367.70885558204907</v>
          </cell>
          <cell r="Q34">
            <v>674.20778273626308</v>
          </cell>
          <cell r="R34">
            <v>770.40615673546745</v>
          </cell>
          <cell r="S34">
            <v>605.15063666746312</v>
          </cell>
          <cell r="T34">
            <v>873.48810990158336</v>
          </cell>
          <cell r="V34">
            <v>314.99316041796641</v>
          </cell>
          <cell r="W34">
            <v>527.60303661931619</v>
          </cell>
          <cell r="X34">
            <v>1214.9587490519389</v>
          </cell>
          <cell r="Y34">
            <v>688.82906603586298</v>
          </cell>
          <cell r="Z34">
            <v>57.409983719188133</v>
          </cell>
          <cell r="AA34">
            <v>234.92099096612688</v>
          </cell>
        </row>
        <row r="35">
          <cell r="C35" t="str">
            <v/>
          </cell>
          <cell r="F35">
            <v>0</v>
          </cell>
          <cell r="K35">
            <v>0</v>
          </cell>
          <cell r="L35">
            <v>0</v>
          </cell>
          <cell r="M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C36" t="str">
            <v/>
          </cell>
          <cell r="F36">
            <v>0</v>
          </cell>
          <cell r="K36">
            <v>0</v>
          </cell>
          <cell r="L36">
            <v>0</v>
          </cell>
          <cell r="M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C37" t="str">
            <v/>
          </cell>
          <cell r="F37">
            <v>0</v>
          </cell>
          <cell r="K37">
            <v>0</v>
          </cell>
          <cell r="L37">
            <v>0</v>
          </cell>
          <cell r="M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C38" t="str">
            <v/>
          </cell>
          <cell r="F38">
            <v>0</v>
          </cell>
          <cell r="K38">
            <v>0</v>
          </cell>
          <cell r="L38">
            <v>0</v>
          </cell>
          <cell r="M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C39" t="str">
            <v/>
          </cell>
          <cell r="F39">
            <v>0</v>
          </cell>
          <cell r="K39">
            <v>0</v>
          </cell>
          <cell r="L39">
            <v>0</v>
          </cell>
          <cell r="M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C40" t="str">
            <v/>
          </cell>
          <cell r="F40">
            <v>0</v>
          </cell>
          <cell r="K40">
            <v>0</v>
          </cell>
          <cell r="L40">
            <v>0</v>
          </cell>
          <cell r="M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</row>
        <row r="41">
          <cell r="C41" t="str">
            <v/>
          </cell>
          <cell r="F41">
            <v>0</v>
          </cell>
          <cell r="K41">
            <v>0</v>
          </cell>
          <cell r="L41">
            <v>0</v>
          </cell>
          <cell r="M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C42" t="str">
            <v/>
          </cell>
          <cell r="F42">
            <v>0</v>
          </cell>
          <cell r="K42">
            <v>0</v>
          </cell>
          <cell r="L42">
            <v>0</v>
          </cell>
          <cell r="M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43">
          <cell r="C43" t="str">
            <v/>
          </cell>
          <cell r="F43">
            <v>0</v>
          </cell>
          <cell r="K43">
            <v>0</v>
          </cell>
          <cell r="L43">
            <v>0</v>
          </cell>
          <cell r="M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C44" t="str">
            <v/>
          </cell>
          <cell r="F44">
            <v>0</v>
          </cell>
          <cell r="K44">
            <v>0</v>
          </cell>
          <cell r="L44">
            <v>0</v>
          </cell>
          <cell r="M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</row>
        <row r="45">
          <cell r="C45" t="str">
            <v/>
          </cell>
          <cell r="F45">
            <v>0</v>
          </cell>
          <cell r="K45">
            <v>0</v>
          </cell>
          <cell r="L45">
            <v>0</v>
          </cell>
          <cell r="M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C46" t="str">
            <v/>
          </cell>
          <cell r="F46">
            <v>0</v>
          </cell>
          <cell r="K46">
            <v>0</v>
          </cell>
          <cell r="L46">
            <v>0</v>
          </cell>
          <cell r="M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</row>
        <row r="47">
          <cell r="C47" t="str">
            <v/>
          </cell>
          <cell r="F47">
            <v>0</v>
          </cell>
          <cell r="K47">
            <v>0</v>
          </cell>
          <cell r="L47">
            <v>0</v>
          </cell>
          <cell r="M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C48" t="str">
            <v/>
          </cell>
          <cell r="F48">
            <v>0</v>
          </cell>
          <cell r="K48">
            <v>0</v>
          </cell>
          <cell r="L48">
            <v>0</v>
          </cell>
          <cell r="M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</row>
        <row r="49">
          <cell r="C49" t="str">
            <v/>
          </cell>
          <cell r="F49">
            <v>0</v>
          </cell>
          <cell r="K49">
            <v>0</v>
          </cell>
          <cell r="L49">
            <v>0</v>
          </cell>
          <cell r="M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</row>
        <row r="50">
          <cell r="C50" t="str">
            <v/>
          </cell>
          <cell r="F50">
            <v>0</v>
          </cell>
          <cell r="K50">
            <v>0</v>
          </cell>
          <cell r="L50">
            <v>0</v>
          </cell>
          <cell r="M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</row>
        <row r="51">
          <cell r="C51" t="str">
            <v/>
          </cell>
          <cell r="F51">
            <v>0</v>
          </cell>
          <cell r="K51">
            <v>0</v>
          </cell>
          <cell r="L51">
            <v>0</v>
          </cell>
          <cell r="M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</row>
        <row r="52">
          <cell r="C52" t="str">
            <v/>
          </cell>
          <cell r="F52">
            <v>0</v>
          </cell>
          <cell r="K52">
            <v>0</v>
          </cell>
          <cell r="L52">
            <v>0</v>
          </cell>
          <cell r="M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</row>
        <row r="53">
          <cell r="C53" t="str">
            <v/>
          </cell>
          <cell r="F53">
            <v>0</v>
          </cell>
          <cell r="K53">
            <v>0</v>
          </cell>
          <cell r="L53">
            <v>0</v>
          </cell>
          <cell r="M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</row>
        <row r="54">
          <cell r="C54" t="str">
            <v/>
          </cell>
          <cell r="F54">
            <v>0</v>
          </cell>
          <cell r="K54">
            <v>0</v>
          </cell>
          <cell r="L54">
            <v>0</v>
          </cell>
          <cell r="M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</row>
        <row r="55">
          <cell r="C55" t="str">
            <v/>
          </cell>
          <cell r="F55">
            <v>0</v>
          </cell>
          <cell r="K55">
            <v>0</v>
          </cell>
          <cell r="L55">
            <v>0</v>
          </cell>
          <cell r="M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</row>
        <row r="56">
          <cell r="C56" t="str">
            <v/>
          </cell>
          <cell r="F56">
            <v>0</v>
          </cell>
          <cell r="K56">
            <v>0</v>
          </cell>
          <cell r="L56">
            <v>0</v>
          </cell>
          <cell r="M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57">
          <cell r="C57" t="str">
            <v/>
          </cell>
          <cell r="F57">
            <v>0</v>
          </cell>
          <cell r="K57">
            <v>0</v>
          </cell>
          <cell r="L57">
            <v>0</v>
          </cell>
          <cell r="M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</row>
        <row r="58">
          <cell r="C58" t="str">
            <v/>
          </cell>
          <cell r="F58">
            <v>0</v>
          </cell>
          <cell r="K58">
            <v>0</v>
          </cell>
          <cell r="L58">
            <v>0</v>
          </cell>
          <cell r="M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</row>
        <row r="59">
          <cell r="C59" t="str">
            <v/>
          </cell>
          <cell r="F59">
            <v>0</v>
          </cell>
          <cell r="K59">
            <v>0</v>
          </cell>
          <cell r="L59">
            <v>0</v>
          </cell>
          <cell r="M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</row>
        <row r="60">
          <cell r="C60" t="str">
            <v/>
          </cell>
          <cell r="F60">
            <v>0</v>
          </cell>
          <cell r="K60">
            <v>0</v>
          </cell>
          <cell r="L60">
            <v>0</v>
          </cell>
          <cell r="M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</row>
        <row r="61">
          <cell r="C61" t="str">
            <v/>
          </cell>
          <cell r="F61">
            <v>0</v>
          </cell>
          <cell r="K61">
            <v>0</v>
          </cell>
          <cell r="L61">
            <v>0</v>
          </cell>
          <cell r="M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C62" t="str">
            <v/>
          </cell>
          <cell r="F62">
            <v>0</v>
          </cell>
          <cell r="K62">
            <v>0</v>
          </cell>
          <cell r="L62">
            <v>0</v>
          </cell>
          <cell r="M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C63" t="str">
            <v/>
          </cell>
          <cell r="F63">
            <v>0</v>
          </cell>
          <cell r="K63">
            <v>0</v>
          </cell>
          <cell r="L63">
            <v>0</v>
          </cell>
          <cell r="M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</row>
        <row r="64">
          <cell r="C64" t="str">
            <v/>
          </cell>
          <cell r="F64">
            <v>0</v>
          </cell>
          <cell r="K64">
            <v>0</v>
          </cell>
          <cell r="L64">
            <v>0</v>
          </cell>
          <cell r="M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</row>
        <row r="65">
          <cell r="C65" t="str">
            <v/>
          </cell>
          <cell r="F65">
            <v>0</v>
          </cell>
          <cell r="K65">
            <v>0</v>
          </cell>
          <cell r="L65">
            <v>0</v>
          </cell>
          <cell r="M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</row>
        <row r="66">
          <cell r="C66" t="str">
            <v/>
          </cell>
          <cell r="F66">
            <v>0</v>
          </cell>
          <cell r="K66">
            <v>0</v>
          </cell>
          <cell r="L66">
            <v>0</v>
          </cell>
          <cell r="M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</row>
        <row r="67">
          <cell r="C67" t="str">
            <v/>
          </cell>
          <cell r="F67">
            <v>0</v>
          </cell>
          <cell r="K67">
            <v>0</v>
          </cell>
          <cell r="L67">
            <v>0</v>
          </cell>
          <cell r="M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</row>
        <row r="68">
          <cell r="C68" t="str">
            <v/>
          </cell>
          <cell r="F68">
            <v>0</v>
          </cell>
          <cell r="K68">
            <v>0</v>
          </cell>
          <cell r="L68">
            <v>0</v>
          </cell>
          <cell r="M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</row>
        <row r="69">
          <cell r="C69" t="str">
            <v/>
          </cell>
          <cell r="F69">
            <v>0</v>
          </cell>
          <cell r="K69">
            <v>0</v>
          </cell>
          <cell r="L69">
            <v>0</v>
          </cell>
          <cell r="M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</row>
        <row r="70">
          <cell r="C70" t="str">
            <v/>
          </cell>
          <cell r="F70">
            <v>0</v>
          </cell>
          <cell r="K70">
            <v>0</v>
          </cell>
          <cell r="L70">
            <v>0</v>
          </cell>
          <cell r="M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  <row r="71">
          <cell r="C71" t="str">
            <v/>
          </cell>
          <cell r="F71">
            <v>0</v>
          </cell>
          <cell r="K71">
            <v>0</v>
          </cell>
          <cell r="L71">
            <v>0</v>
          </cell>
          <cell r="M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</row>
        <row r="72">
          <cell r="C72" t="str">
            <v/>
          </cell>
          <cell r="F72">
            <v>0</v>
          </cell>
          <cell r="K72">
            <v>0</v>
          </cell>
          <cell r="L72">
            <v>0</v>
          </cell>
          <cell r="M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</row>
        <row r="73">
          <cell r="C73" t="str">
            <v/>
          </cell>
          <cell r="F73">
            <v>0</v>
          </cell>
          <cell r="K73">
            <v>0</v>
          </cell>
          <cell r="L73">
            <v>0</v>
          </cell>
          <cell r="M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</row>
        <row r="74">
          <cell r="C74" t="str">
            <v/>
          </cell>
          <cell r="F74">
            <v>0</v>
          </cell>
          <cell r="K74">
            <v>0</v>
          </cell>
          <cell r="L74">
            <v>0</v>
          </cell>
          <cell r="M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</row>
        <row r="75">
          <cell r="C75" t="str">
            <v/>
          </cell>
          <cell r="F75">
            <v>0</v>
          </cell>
          <cell r="K75">
            <v>0</v>
          </cell>
          <cell r="L75">
            <v>0</v>
          </cell>
          <cell r="M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</row>
        <row r="76">
          <cell r="C76" t="str">
            <v/>
          </cell>
          <cell r="F76">
            <v>0</v>
          </cell>
          <cell r="K76">
            <v>0</v>
          </cell>
          <cell r="L76">
            <v>0</v>
          </cell>
          <cell r="M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</row>
        <row r="77">
          <cell r="C77" t="str">
            <v/>
          </cell>
          <cell r="F77">
            <v>0</v>
          </cell>
          <cell r="K77">
            <v>0</v>
          </cell>
          <cell r="L77">
            <v>0</v>
          </cell>
          <cell r="M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</row>
        <row r="78">
          <cell r="C78" t="str">
            <v/>
          </cell>
          <cell r="F78">
            <v>0</v>
          </cell>
          <cell r="K78">
            <v>0</v>
          </cell>
          <cell r="L78">
            <v>0</v>
          </cell>
          <cell r="M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</row>
        <row r="79">
          <cell r="C79" t="str">
            <v/>
          </cell>
          <cell r="F79">
            <v>0</v>
          </cell>
          <cell r="K79">
            <v>0</v>
          </cell>
          <cell r="L79">
            <v>0</v>
          </cell>
          <cell r="M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C80" t="str">
            <v/>
          </cell>
          <cell r="F80">
            <v>0</v>
          </cell>
          <cell r="K80">
            <v>0</v>
          </cell>
          <cell r="L80">
            <v>0</v>
          </cell>
          <cell r="M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</row>
        <row r="81">
          <cell r="C81" t="str">
            <v/>
          </cell>
          <cell r="F81">
            <v>0</v>
          </cell>
          <cell r="K81">
            <v>0</v>
          </cell>
          <cell r="L81">
            <v>0</v>
          </cell>
          <cell r="M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</row>
        <row r="82">
          <cell r="C82" t="str">
            <v/>
          </cell>
          <cell r="F82">
            <v>0</v>
          </cell>
          <cell r="K82">
            <v>0</v>
          </cell>
          <cell r="L82">
            <v>0</v>
          </cell>
          <cell r="M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</row>
        <row r="83">
          <cell r="C83" t="str">
            <v/>
          </cell>
          <cell r="F83">
            <v>0</v>
          </cell>
          <cell r="K83">
            <v>0</v>
          </cell>
          <cell r="L83">
            <v>0</v>
          </cell>
          <cell r="M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</row>
        <row r="84">
          <cell r="C84" t="str">
            <v/>
          </cell>
          <cell r="F84">
            <v>0</v>
          </cell>
          <cell r="K84">
            <v>0</v>
          </cell>
          <cell r="L84">
            <v>0</v>
          </cell>
          <cell r="M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</row>
        <row r="85">
          <cell r="C85" t="str">
            <v/>
          </cell>
          <cell r="F85">
            <v>0</v>
          </cell>
          <cell r="K85">
            <v>0</v>
          </cell>
          <cell r="L85">
            <v>0</v>
          </cell>
          <cell r="M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</row>
        <row r="86">
          <cell r="C86" t="str">
            <v/>
          </cell>
          <cell r="F86">
            <v>0</v>
          </cell>
          <cell r="K86">
            <v>0</v>
          </cell>
          <cell r="L86">
            <v>0</v>
          </cell>
          <cell r="M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</row>
        <row r="87">
          <cell r="C87" t="str">
            <v/>
          </cell>
          <cell r="F87">
            <v>0</v>
          </cell>
          <cell r="K87">
            <v>0</v>
          </cell>
          <cell r="L87">
            <v>0</v>
          </cell>
          <cell r="M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</row>
        <row r="88">
          <cell r="C88" t="str">
            <v/>
          </cell>
          <cell r="F88">
            <v>0</v>
          </cell>
          <cell r="K88">
            <v>0</v>
          </cell>
          <cell r="L88">
            <v>0</v>
          </cell>
          <cell r="M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</row>
        <row r="89">
          <cell r="C89" t="str">
            <v/>
          </cell>
          <cell r="F89">
            <v>0</v>
          </cell>
          <cell r="K89">
            <v>0</v>
          </cell>
          <cell r="L89">
            <v>0</v>
          </cell>
          <cell r="M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</row>
        <row r="90">
          <cell r="C90" t="str">
            <v/>
          </cell>
          <cell r="F90">
            <v>0</v>
          </cell>
          <cell r="K90">
            <v>0</v>
          </cell>
          <cell r="L90">
            <v>0</v>
          </cell>
          <cell r="M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</row>
        <row r="91">
          <cell r="C91" t="str">
            <v/>
          </cell>
          <cell r="F91">
            <v>0</v>
          </cell>
          <cell r="K91">
            <v>0</v>
          </cell>
          <cell r="L91">
            <v>0</v>
          </cell>
          <cell r="M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</row>
        <row r="92">
          <cell r="C92" t="str">
            <v/>
          </cell>
          <cell r="F92">
            <v>0</v>
          </cell>
          <cell r="K92">
            <v>0</v>
          </cell>
          <cell r="L92">
            <v>0</v>
          </cell>
          <cell r="M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</row>
        <row r="93">
          <cell r="C93" t="str">
            <v/>
          </cell>
          <cell r="F93">
            <v>0</v>
          </cell>
          <cell r="K93">
            <v>0</v>
          </cell>
          <cell r="L93">
            <v>0</v>
          </cell>
          <cell r="M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</row>
        <row r="94">
          <cell r="C94" t="str">
            <v/>
          </cell>
          <cell r="F94">
            <v>0</v>
          </cell>
          <cell r="K94">
            <v>0</v>
          </cell>
          <cell r="L94">
            <v>0</v>
          </cell>
          <cell r="M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</row>
        <row r="95">
          <cell r="C95" t="str">
            <v/>
          </cell>
          <cell r="F95">
            <v>0</v>
          </cell>
          <cell r="K95">
            <v>0</v>
          </cell>
          <cell r="L95">
            <v>0</v>
          </cell>
          <cell r="M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</row>
        <row r="96">
          <cell r="C96" t="str">
            <v/>
          </cell>
          <cell r="F96">
            <v>0</v>
          </cell>
          <cell r="K96">
            <v>0</v>
          </cell>
          <cell r="L96">
            <v>0</v>
          </cell>
          <cell r="M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</row>
        <row r="97">
          <cell r="C97" t="str">
            <v/>
          </cell>
          <cell r="F97">
            <v>0</v>
          </cell>
          <cell r="K97">
            <v>0</v>
          </cell>
          <cell r="L97">
            <v>0</v>
          </cell>
          <cell r="M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</row>
        <row r="98">
          <cell r="C98" t="str">
            <v/>
          </cell>
          <cell r="F98">
            <v>0</v>
          </cell>
          <cell r="K98">
            <v>0</v>
          </cell>
          <cell r="L98">
            <v>0</v>
          </cell>
          <cell r="M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</row>
        <row r="99">
          <cell r="C99" t="str">
            <v/>
          </cell>
          <cell r="F99">
            <v>0</v>
          </cell>
          <cell r="K99">
            <v>0</v>
          </cell>
          <cell r="L99">
            <v>0</v>
          </cell>
          <cell r="M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</row>
        <row r="100">
          <cell r="C100" t="str">
            <v/>
          </cell>
          <cell r="F100">
            <v>0</v>
          </cell>
          <cell r="K100">
            <v>0</v>
          </cell>
          <cell r="L100">
            <v>0</v>
          </cell>
          <cell r="M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</row>
        <row r="101">
          <cell r="C101" t="str">
            <v/>
          </cell>
          <cell r="F101">
            <v>0</v>
          </cell>
          <cell r="K101">
            <v>0</v>
          </cell>
          <cell r="L101">
            <v>0</v>
          </cell>
          <cell r="M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</row>
        <row r="102">
          <cell r="C102" t="str">
            <v/>
          </cell>
          <cell r="F102">
            <v>0</v>
          </cell>
          <cell r="K102">
            <v>0</v>
          </cell>
          <cell r="L102">
            <v>0</v>
          </cell>
          <cell r="M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</row>
        <row r="103">
          <cell r="C103" t="str">
            <v/>
          </cell>
          <cell r="F103">
            <v>0</v>
          </cell>
          <cell r="K103">
            <v>0</v>
          </cell>
          <cell r="L103">
            <v>0</v>
          </cell>
          <cell r="M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</row>
        <row r="104">
          <cell r="C104" t="str">
            <v/>
          </cell>
          <cell r="F104">
            <v>0</v>
          </cell>
          <cell r="K104">
            <v>0</v>
          </cell>
          <cell r="L104">
            <v>0</v>
          </cell>
          <cell r="M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</row>
        <row r="105">
          <cell r="C105" t="str">
            <v/>
          </cell>
          <cell r="F105">
            <v>0</v>
          </cell>
          <cell r="K105">
            <v>0</v>
          </cell>
          <cell r="L105">
            <v>0</v>
          </cell>
          <cell r="M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</row>
        <row r="106">
          <cell r="C106" t="str">
            <v/>
          </cell>
          <cell r="F106">
            <v>0</v>
          </cell>
          <cell r="K106">
            <v>0</v>
          </cell>
          <cell r="L106">
            <v>0</v>
          </cell>
          <cell r="M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</row>
        <row r="107">
          <cell r="C107" t="str">
            <v/>
          </cell>
          <cell r="F107">
            <v>0</v>
          </cell>
          <cell r="K107">
            <v>0</v>
          </cell>
          <cell r="L107">
            <v>0</v>
          </cell>
          <cell r="M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</row>
        <row r="108">
          <cell r="C108" t="str">
            <v/>
          </cell>
          <cell r="F108">
            <v>0</v>
          </cell>
          <cell r="K108">
            <v>0</v>
          </cell>
          <cell r="L108">
            <v>0</v>
          </cell>
          <cell r="M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</row>
        <row r="109">
          <cell r="C109" t="str">
            <v/>
          </cell>
          <cell r="F109">
            <v>0</v>
          </cell>
          <cell r="K109">
            <v>0</v>
          </cell>
          <cell r="L109">
            <v>0</v>
          </cell>
          <cell r="M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</row>
        <row r="110">
          <cell r="C110" t="str">
            <v/>
          </cell>
          <cell r="F110">
            <v>0</v>
          </cell>
          <cell r="K110">
            <v>0</v>
          </cell>
          <cell r="L110">
            <v>0</v>
          </cell>
          <cell r="M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C111" t="str">
            <v/>
          </cell>
          <cell r="F111">
            <v>0</v>
          </cell>
          <cell r="K111">
            <v>0</v>
          </cell>
          <cell r="L111">
            <v>0</v>
          </cell>
          <cell r="M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  <row r="112">
          <cell r="C112" t="str">
            <v/>
          </cell>
          <cell r="F112">
            <v>0</v>
          </cell>
          <cell r="K112">
            <v>0</v>
          </cell>
          <cell r="L112">
            <v>0</v>
          </cell>
          <cell r="M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</row>
        <row r="113">
          <cell r="C113" t="str">
            <v/>
          </cell>
          <cell r="F113">
            <v>0</v>
          </cell>
          <cell r="K113">
            <v>0</v>
          </cell>
          <cell r="L113">
            <v>0</v>
          </cell>
          <cell r="M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</row>
        <row r="114">
          <cell r="C114" t="str">
            <v/>
          </cell>
          <cell r="F114">
            <v>0</v>
          </cell>
          <cell r="K114">
            <v>0</v>
          </cell>
          <cell r="L114">
            <v>0</v>
          </cell>
          <cell r="M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</row>
        <row r="115">
          <cell r="C115" t="str">
            <v/>
          </cell>
          <cell r="F115">
            <v>0</v>
          </cell>
          <cell r="K115">
            <v>0</v>
          </cell>
          <cell r="L115">
            <v>0</v>
          </cell>
          <cell r="M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</row>
        <row r="116">
          <cell r="C116" t="str">
            <v/>
          </cell>
          <cell r="F116">
            <v>0</v>
          </cell>
          <cell r="K116">
            <v>0</v>
          </cell>
          <cell r="L116">
            <v>0</v>
          </cell>
          <cell r="M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</row>
        <row r="117">
          <cell r="C117" t="str">
            <v/>
          </cell>
          <cell r="F117">
            <v>0</v>
          </cell>
          <cell r="K117">
            <v>0</v>
          </cell>
          <cell r="L117">
            <v>0</v>
          </cell>
          <cell r="M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</row>
        <row r="118">
          <cell r="C118" t="str">
            <v/>
          </cell>
          <cell r="F118">
            <v>0</v>
          </cell>
          <cell r="K118">
            <v>0</v>
          </cell>
          <cell r="L118">
            <v>0</v>
          </cell>
          <cell r="M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</row>
        <row r="119">
          <cell r="C119" t="str">
            <v/>
          </cell>
          <cell r="F119">
            <v>0</v>
          </cell>
          <cell r="K119">
            <v>0</v>
          </cell>
          <cell r="L119">
            <v>0</v>
          </cell>
          <cell r="M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</row>
        <row r="120">
          <cell r="C120" t="str">
            <v/>
          </cell>
          <cell r="F120">
            <v>0</v>
          </cell>
          <cell r="K120">
            <v>0</v>
          </cell>
          <cell r="L120">
            <v>0</v>
          </cell>
          <cell r="M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</row>
        <row r="121">
          <cell r="C121" t="str">
            <v/>
          </cell>
          <cell r="F121">
            <v>0</v>
          </cell>
          <cell r="K121">
            <v>0</v>
          </cell>
          <cell r="L121">
            <v>0</v>
          </cell>
          <cell r="M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</row>
        <row r="122">
          <cell r="C122" t="str">
            <v/>
          </cell>
          <cell r="F122">
            <v>0</v>
          </cell>
          <cell r="K122">
            <v>0</v>
          </cell>
          <cell r="L122">
            <v>0</v>
          </cell>
          <cell r="M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</row>
        <row r="123">
          <cell r="C123" t="str">
            <v/>
          </cell>
          <cell r="F123">
            <v>0</v>
          </cell>
          <cell r="K123">
            <v>0</v>
          </cell>
          <cell r="L123">
            <v>0</v>
          </cell>
          <cell r="M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</row>
        <row r="124">
          <cell r="C124" t="str">
            <v/>
          </cell>
          <cell r="F124">
            <v>0</v>
          </cell>
          <cell r="K124">
            <v>0</v>
          </cell>
          <cell r="L124">
            <v>0</v>
          </cell>
          <cell r="M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</row>
        <row r="125">
          <cell r="C125" t="str">
            <v/>
          </cell>
          <cell r="F125">
            <v>0</v>
          </cell>
          <cell r="K125">
            <v>0</v>
          </cell>
          <cell r="L125">
            <v>0</v>
          </cell>
          <cell r="M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</row>
        <row r="126">
          <cell r="C126" t="str">
            <v/>
          </cell>
          <cell r="F126">
            <v>0</v>
          </cell>
          <cell r="K126">
            <v>0</v>
          </cell>
          <cell r="L126">
            <v>0</v>
          </cell>
          <cell r="M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</row>
        <row r="127">
          <cell r="C127" t="str">
            <v/>
          </cell>
          <cell r="F127">
            <v>0</v>
          </cell>
          <cell r="K127">
            <v>0</v>
          </cell>
          <cell r="L127">
            <v>0</v>
          </cell>
          <cell r="M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</row>
        <row r="128">
          <cell r="C128" t="str">
            <v/>
          </cell>
          <cell r="F128">
            <v>0</v>
          </cell>
          <cell r="K128">
            <v>0</v>
          </cell>
          <cell r="L128">
            <v>0</v>
          </cell>
          <cell r="M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</row>
        <row r="129">
          <cell r="C129" t="str">
            <v/>
          </cell>
          <cell r="F129">
            <v>0</v>
          </cell>
          <cell r="K129">
            <v>0</v>
          </cell>
          <cell r="L129">
            <v>0</v>
          </cell>
          <cell r="M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</row>
        <row r="130">
          <cell r="C130" t="str">
            <v/>
          </cell>
          <cell r="F130">
            <v>0</v>
          </cell>
          <cell r="K130">
            <v>0</v>
          </cell>
          <cell r="L130">
            <v>0</v>
          </cell>
          <cell r="M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</row>
        <row r="131">
          <cell r="C131" t="str">
            <v/>
          </cell>
          <cell r="F131">
            <v>0</v>
          </cell>
          <cell r="K131">
            <v>0</v>
          </cell>
          <cell r="L131">
            <v>0</v>
          </cell>
          <cell r="M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</row>
        <row r="132">
          <cell r="C132" t="str">
            <v/>
          </cell>
          <cell r="F132">
            <v>0</v>
          </cell>
          <cell r="K132">
            <v>0</v>
          </cell>
          <cell r="L132">
            <v>0</v>
          </cell>
          <cell r="M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</row>
        <row r="133">
          <cell r="C133" t="str">
            <v/>
          </cell>
          <cell r="F133">
            <v>0</v>
          </cell>
          <cell r="K133">
            <v>0</v>
          </cell>
          <cell r="L133">
            <v>0</v>
          </cell>
          <cell r="M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</row>
        <row r="134">
          <cell r="C134" t="str">
            <v/>
          </cell>
          <cell r="F134">
            <v>0</v>
          </cell>
          <cell r="K134">
            <v>0</v>
          </cell>
          <cell r="L134">
            <v>0</v>
          </cell>
          <cell r="M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</row>
        <row r="135">
          <cell r="C135" t="str">
            <v/>
          </cell>
          <cell r="F135">
            <v>0</v>
          </cell>
          <cell r="K135">
            <v>0</v>
          </cell>
          <cell r="L135">
            <v>0</v>
          </cell>
          <cell r="M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</row>
        <row r="136">
          <cell r="C136" t="str">
            <v/>
          </cell>
          <cell r="F136">
            <v>0</v>
          </cell>
          <cell r="K136">
            <v>0</v>
          </cell>
          <cell r="L136">
            <v>0</v>
          </cell>
          <cell r="M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</row>
        <row r="137">
          <cell r="C137" t="str">
            <v/>
          </cell>
          <cell r="F137">
            <v>0</v>
          </cell>
          <cell r="K137">
            <v>0</v>
          </cell>
          <cell r="L137">
            <v>0</v>
          </cell>
          <cell r="M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</row>
        <row r="138">
          <cell r="C138" t="str">
            <v/>
          </cell>
          <cell r="F138">
            <v>0</v>
          </cell>
          <cell r="K138">
            <v>0</v>
          </cell>
          <cell r="L138">
            <v>0</v>
          </cell>
          <cell r="M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</row>
        <row r="139">
          <cell r="C139" t="str">
            <v/>
          </cell>
          <cell r="F139">
            <v>0</v>
          </cell>
          <cell r="K139">
            <v>0</v>
          </cell>
          <cell r="L139">
            <v>0</v>
          </cell>
          <cell r="M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</row>
        <row r="140">
          <cell r="C140" t="str">
            <v/>
          </cell>
          <cell r="F140">
            <v>0</v>
          </cell>
          <cell r="K140">
            <v>0</v>
          </cell>
          <cell r="L140">
            <v>0</v>
          </cell>
          <cell r="M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</row>
        <row r="141">
          <cell r="C141" t="str">
            <v/>
          </cell>
          <cell r="F141">
            <v>0</v>
          </cell>
          <cell r="K141">
            <v>0</v>
          </cell>
          <cell r="L141">
            <v>0</v>
          </cell>
          <cell r="M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</row>
        <row r="142">
          <cell r="C142" t="str">
            <v/>
          </cell>
          <cell r="F142">
            <v>0</v>
          </cell>
          <cell r="K142">
            <v>0</v>
          </cell>
          <cell r="L142">
            <v>0</v>
          </cell>
          <cell r="M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</row>
        <row r="143">
          <cell r="C143" t="str">
            <v/>
          </cell>
          <cell r="F143">
            <v>0</v>
          </cell>
          <cell r="K143">
            <v>0</v>
          </cell>
          <cell r="L143">
            <v>0</v>
          </cell>
          <cell r="M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</row>
        <row r="144">
          <cell r="C144" t="str">
            <v/>
          </cell>
          <cell r="F144">
            <v>0</v>
          </cell>
          <cell r="K144">
            <v>0</v>
          </cell>
          <cell r="L144">
            <v>0</v>
          </cell>
          <cell r="M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</row>
        <row r="145">
          <cell r="C145" t="str">
            <v/>
          </cell>
          <cell r="F145">
            <v>0</v>
          </cell>
          <cell r="K145">
            <v>0</v>
          </cell>
          <cell r="L145">
            <v>0</v>
          </cell>
          <cell r="M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</row>
        <row r="146">
          <cell r="C146" t="str">
            <v/>
          </cell>
          <cell r="F146">
            <v>0</v>
          </cell>
          <cell r="K146">
            <v>0</v>
          </cell>
          <cell r="L146">
            <v>0</v>
          </cell>
          <cell r="M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</row>
        <row r="147">
          <cell r="C147" t="str">
            <v/>
          </cell>
          <cell r="F147">
            <v>0</v>
          </cell>
          <cell r="K147">
            <v>0</v>
          </cell>
          <cell r="L147">
            <v>0</v>
          </cell>
          <cell r="M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</row>
        <row r="148">
          <cell r="C148" t="str">
            <v/>
          </cell>
          <cell r="F148">
            <v>0</v>
          </cell>
          <cell r="K148">
            <v>0</v>
          </cell>
          <cell r="L148">
            <v>0</v>
          </cell>
          <cell r="M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</row>
        <row r="149">
          <cell r="C149" t="str">
            <v/>
          </cell>
          <cell r="F149">
            <v>0</v>
          </cell>
          <cell r="K149">
            <v>0</v>
          </cell>
          <cell r="L149">
            <v>0</v>
          </cell>
          <cell r="M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</row>
        <row r="150">
          <cell r="C150" t="str">
            <v/>
          </cell>
          <cell r="F150">
            <v>0</v>
          </cell>
          <cell r="K150">
            <v>0</v>
          </cell>
          <cell r="L150">
            <v>0</v>
          </cell>
          <cell r="M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</row>
        <row r="151">
          <cell r="C151" t="str">
            <v/>
          </cell>
          <cell r="F151">
            <v>0</v>
          </cell>
          <cell r="K151">
            <v>0</v>
          </cell>
          <cell r="L151">
            <v>0</v>
          </cell>
          <cell r="M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</row>
        <row r="152">
          <cell r="C152" t="str">
            <v/>
          </cell>
          <cell r="F152">
            <v>0</v>
          </cell>
          <cell r="K152">
            <v>0</v>
          </cell>
          <cell r="L152">
            <v>0</v>
          </cell>
          <cell r="M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</row>
        <row r="153">
          <cell r="C153" t="str">
            <v/>
          </cell>
          <cell r="F153">
            <v>0</v>
          </cell>
          <cell r="K153">
            <v>0</v>
          </cell>
          <cell r="L153">
            <v>0</v>
          </cell>
          <cell r="M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</row>
        <row r="154">
          <cell r="C154" t="str">
            <v/>
          </cell>
          <cell r="F154">
            <v>0</v>
          </cell>
          <cell r="K154">
            <v>0</v>
          </cell>
          <cell r="L154">
            <v>0</v>
          </cell>
          <cell r="M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</row>
        <row r="155">
          <cell r="C155" t="str">
            <v/>
          </cell>
          <cell r="F155">
            <v>0</v>
          </cell>
          <cell r="K155">
            <v>0</v>
          </cell>
          <cell r="L155">
            <v>0</v>
          </cell>
          <cell r="M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</row>
        <row r="156">
          <cell r="C156" t="str">
            <v/>
          </cell>
          <cell r="F156">
            <v>0</v>
          </cell>
          <cell r="K156">
            <v>0</v>
          </cell>
          <cell r="L156">
            <v>0</v>
          </cell>
          <cell r="M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</row>
        <row r="157">
          <cell r="C157" t="str">
            <v/>
          </cell>
          <cell r="F157">
            <v>0</v>
          </cell>
          <cell r="K157">
            <v>0</v>
          </cell>
          <cell r="L157">
            <v>0</v>
          </cell>
          <cell r="M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</row>
        <row r="158">
          <cell r="C158" t="str">
            <v/>
          </cell>
          <cell r="F158">
            <v>0</v>
          </cell>
          <cell r="K158">
            <v>0</v>
          </cell>
          <cell r="L158">
            <v>0</v>
          </cell>
          <cell r="M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</row>
        <row r="159">
          <cell r="C159" t="str">
            <v/>
          </cell>
          <cell r="F159">
            <v>0</v>
          </cell>
          <cell r="K159">
            <v>0</v>
          </cell>
          <cell r="L159">
            <v>0</v>
          </cell>
          <cell r="M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</row>
        <row r="160">
          <cell r="C160" t="str">
            <v/>
          </cell>
          <cell r="F160">
            <v>0</v>
          </cell>
          <cell r="K160">
            <v>0</v>
          </cell>
          <cell r="L160">
            <v>0</v>
          </cell>
          <cell r="M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</row>
        <row r="161">
          <cell r="C161" t="str">
            <v/>
          </cell>
          <cell r="F161">
            <v>0</v>
          </cell>
          <cell r="K161">
            <v>0</v>
          </cell>
          <cell r="L161">
            <v>0</v>
          </cell>
          <cell r="M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</row>
        <row r="162">
          <cell r="C162" t="str">
            <v/>
          </cell>
          <cell r="F162">
            <v>0</v>
          </cell>
          <cell r="K162">
            <v>0</v>
          </cell>
          <cell r="L162">
            <v>0</v>
          </cell>
          <cell r="M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</row>
        <row r="163">
          <cell r="C163" t="str">
            <v/>
          </cell>
          <cell r="F163">
            <v>0</v>
          </cell>
          <cell r="K163">
            <v>0</v>
          </cell>
          <cell r="L163">
            <v>0</v>
          </cell>
          <cell r="M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</row>
        <row r="164">
          <cell r="C164" t="str">
            <v/>
          </cell>
          <cell r="F164">
            <v>0</v>
          </cell>
          <cell r="K164">
            <v>0</v>
          </cell>
          <cell r="L164">
            <v>0</v>
          </cell>
          <cell r="M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</row>
        <row r="165">
          <cell r="C165" t="str">
            <v/>
          </cell>
          <cell r="F165">
            <v>0</v>
          </cell>
          <cell r="K165">
            <v>0</v>
          </cell>
          <cell r="L165">
            <v>0</v>
          </cell>
          <cell r="M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</row>
        <row r="166">
          <cell r="C166" t="str">
            <v/>
          </cell>
          <cell r="F166">
            <v>0</v>
          </cell>
          <cell r="K166">
            <v>0</v>
          </cell>
          <cell r="L166">
            <v>0</v>
          </cell>
          <cell r="M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</row>
        <row r="167">
          <cell r="C167" t="str">
            <v/>
          </cell>
          <cell r="F167">
            <v>0</v>
          </cell>
          <cell r="K167">
            <v>0</v>
          </cell>
          <cell r="L167">
            <v>0</v>
          </cell>
          <cell r="M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</row>
        <row r="168">
          <cell r="C168" t="str">
            <v/>
          </cell>
          <cell r="F168">
            <v>0</v>
          </cell>
          <cell r="K168">
            <v>0</v>
          </cell>
          <cell r="L168">
            <v>0</v>
          </cell>
          <cell r="M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</row>
        <row r="169">
          <cell r="C169" t="str">
            <v/>
          </cell>
          <cell r="F169">
            <v>0</v>
          </cell>
          <cell r="K169">
            <v>0</v>
          </cell>
          <cell r="L169">
            <v>0</v>
          </cell>
          <cell r="M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</row>
        <row r="170">
          <cell r="C170" t="str">
            <v/>
          </cell>
          <cell r="F170">
            <v>0</v>
          </cell>
          <cell r="K170">
            <v>0</v>
          </cell>
          <cell r="L170">
            <v>0</v>
          </cell>
          <cell r="M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</row>
        <row r="171">
          <cell r="C171" t="str">
            <v/>
          </cell>
          <cell r="F171">
            <v>0</v>
          </cell>
          <cell r="K171">
            <v>0</v>
          </cell>
          <cell r="L171">
            <v>0</v>
          </cell>
          <cell r="M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</row>
        <row r="172">
          <cell r="C172" t="str">
            <v/>
          </cell>
          <cell r="F172">
            <v>0</v>
          </cell>
          <cell r="K172">
            <v>0</v>
          </cell>
          <cell r="L172">
            <v>0</v>
          </cell>
          <cell r="M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</row>
        <row r="173">
          <cell r="C173" t="str">
            <v/>
          </cell>
          <cell r="F173">
            <v>0</v>
          </cell>
          <cell r="K173">
            <v>0</v>
          </cell>
          <cell r="L173">
            <v>0</v>
          </cell>
          <cell r="M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</row>
        <row r="174">
          <cell r="C174" t="str">
            <v/>
          </cell>
          <cell r="F174">
            <v>0</v>
          </cell>
          <cell r="K174">
            <v>0</v>
          </cell>
          <cell r="L174">
            <v>0</v>
          </cell>
          <cell r="M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</row>
        <row r="175">
          <cell r="C175" t="str">
            <v/>
          </cell>
          <cell r="F175">
            <v>0</v>
          </cell>
          <cell r="K175">
            <v>0</v>
          </cell>
          <cell r="L175">
            <v>0</v>
          </cell>
          <cell r="M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</row>
        <row r="176">
          <cell r="C176" t="str">
            <v/>
          </cell>
          <cell r="F176">
            <v>0</v>
          </cell>
          <cell r="K176">
            <v>0</v>
          </cell>
          <cell r="L176">
            <v>0</v>
          </cell>
          <cell r="M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</row>
        <row r="177">
          <cell r="C177" t="str">
            <v/>
          </cell>
          <cell r="F177">
            <v>0</v>
          </cell>
          <cell r="K177">
            <v>0</v>
          </cell>
          <cell r="L177">
            <v>0</v>
          </cell>
          <cell r="M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</row>
        <row r="178">
          <cell r="C178" t="str">
            <v/>
          </cell>
          <cell r="F178">
            <v>0</v>
          </cell>
          <cell r="K178">
            <v>0</v>
          </cell>
          <cell r="L178">
            <v>0</v>
          </cell>
          <cell r="M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</row>
        <row r="179">
          <cell r="C179" t="str">
            <v/>
          </cell>
          <cell r="F179">
            <v>0</v>
          </cell>
          <cell r="K179">
            <v>0</v>
          </cell>
          <cell r="L179">
            <v>0</v>
          </cell>
          <cell r="M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</row>
        <row r="180">
          <cell r="C180" t="str">
            <v/>
          </cell>
          <cell r="F180">
            <v>0</v>
          </cell>
          <cell r="K180">
            <v>0</v>
          </cell>
          <cell r="L180">
            <v>0</v>
          </cell>
          <cell r="M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</row>
        <row r="181">
          <cell r="C181" t="str">
            <v/>
          </cell>
          <cell r="F181">
            <v>0</v>
          </cell>
          <cell r="K181">
            <v>0</v>
          </cell>
          <cell r="L181">
            <v>0</v>
          </cell>
          <cell r="M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</row>
        <row r="182">
          <cell r="C182" t="str">
            <v/>
          </cell>
          <cell r="F182">
            <v>0</v>
          </cell>
          <cell r="K182">
            <v>0</v>
          </cell>
          <cell r="L182">
            <v>0</v>
          </cell>
          <cell r="M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</row>
        <row r="183">
          <cell r="C183" t="str">
            <v/>
          </cell>
          <cell r="F183">
            <v>0</v>
          </cell>
          <cell r="K183">
            <v>0</v>
          </cell>
          <cell r="L183">
            <v>0</v>
          </cell>
          <cell r="M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</row>
        <row r="184">
          <cell r="C184" t="str">
            <v/>
          </cell>
          <cell r="F184">
            <v>0</v>
          </cell>
          <cell r="K184">
            <v>0</v>
          </cell>
          <cell r="L184">
            <v>0</v>
          </cell>
          <cell r="M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</row>
        <row r="185">
          <cell r="C185" t="str">
            <v/>
          </cell>
          <cell r="F185">
            <v>0</v>
          </cell>
          <cell r="K185">
            <v>0</v>
          </cell>
          <cell r="L185">
            <v>0</v>
          </cell>
          <cell r="M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</row>
        <row r="186">
          <cell r="C186" t="str">
            <v/>
          </cell>
          <cell r="F186">
            <v>0</v>
          </cell>
          <cell r="K186">
            <v>0</v>
          </cell>
          <cell r="L186">
            <v>0</v>
          </cell>
          <cell r="M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</row>
        <row r="187">
          <cell r="C187" t="str">
            <v/>
          </cell>
          <cell r="F187">
            <v>0</v>
          </cell>
          <cell r="K187">
            <v>0</v>
          </cell>
          <cell r="L187">
            <v>0</v>
          </cell>
          <cell r="M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</row>
        <row r="188">
          <cell r="C188" t="str">
            <v/>
          </cell>
          <cell r="F188">
            <v>0</v>
          </cell>
          <cell r="K188">
            <v>0</v>
          </cell>
          <cell r="L188">
            <v>0</v>
          </cell>
          <cell r="M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</row>
        <row r="189">
          <cell r="C189" t="str">
            <v/>
          </cell>
          <cell r="F189">
            <v>0</v>
          </cell>
          <cell r="K189">
            <v>0</v>
          </cell>
          <cell r="L189">
            <v>0</v>
          </cell>
          <cell r="M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</row>
        <row r="190">
          <cell r="C190" t="str">
            <v/>
          </cell>
          <cell r="F190">
            <v>0</v>
          </cell>
          <cell r="K190">
            <v>0</v>
          </cell>
          <cell r="L190">
            <v>0</v>
          </cell>
          <cell r="M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</row>
        <row r="191">
          <cell r="C191" t="str">
            <v/>
          </cell>
          <cell r="F191">
            <v>0</v>
          </cell>
          <cell r="K191">
            <v>0</v>
          </cell>
          <cell r="L191">
            <v>0</v>
          </cell>
          <cell r="M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</row>
        <row r="192">
          <cell r="C192" t="str">
            <v/>
          </cell>
          <cell r="F192">
            <v>0</v>
          </cell>
          <cell r="K192">
            <v>0</v>
          </cell>
          <cell r="L192">
            <v>0</v>
          </cell>
          <cell r="M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</row>
        <row r="193">
          <cell r="C193" t="str">
            <v/>
          </cell>
          <cell r="F193">
            <v>0</v>
          </cell>
          <cell r="K193">
            <v>0</v>
          </cell>
          <cell r="L193">
            <v>0</v>
          </cell>
          <cell r="M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</row>
        <row r="194">
          <cell r="C194" t="str">
            <v/>
          </cell>
          <cell r="F194">
            <v>0</v>
          </cell>
          <cell r="K194">
            <v>0</v>
          </cell>
          <cell r="L194">
            <v>0</v>
          </cell>
          <cell r="M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</row>
        <row r="195">
          <cell r="C195" t="str">
            <v/>
          </cell>
          <cell r="F195">
            <v>0</v>
          </cell>
          <cell r="K195">
            <v>0</v>
          </cell>
          <cell r="L195">
            <v>0</v>
          </cell>
          <cell r="M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</row>
        <row r="196">
          <cell r="C196" t="str">
            <v/>
          </cell>
          <cell r="F196">
            <v>0</v>
          </cell>
          <cell r="K196">
            <v>0</v>
          </cell>
          <cell r="L196">
            <v>0</v>
          </cell>
          <cell r="M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</row>
        <row r="197">
          <cell r="C197" t="str">
            <v/>
          </cell>
          <cell r="F197">
            <v>0</v>
          </cell>
          <cell r="K197">
            <v>0</v>
          </cell>
          <cell r="L197">
            <v>0</v>
          </cell>
          <cell r="M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</row>
        <row r="198">
          <cell r="C198" t="str">
            <v/>
          </cell>
          <cell r="F198">
            <v>0</v>
          </cell>
          <cell r="K198">
            <v>0</v>
          </cell>
          <cell r="L198">
            <v>0</v>
          </cell>
          <cell r="M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</row>
        <row r="199">
          <cell r="C199" t="str">
            <v/>
          </cell>
          <cell r="F199">
            <v>0</v>
          </cell>
          <cell r="K199">
            <v>0</v>
          </cell>
          <cell r="L199">
            <v>0</v>
          </cell>
          <cell r="M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</row>
        <row r="200">
          <cell r="C200" t="str">
            <v/>
          </cell>
          <cell r="F200">
            <v>0</v>
          </cell>
          <cell r="K200">
            <v>0</v>
          </cell>
          <cell r="L200">
            <v>0</v>
          </cell>
          <cell r="M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</row>
        <row r="201">
          <cell r="C201" t="str">
            <v/>
          </cell>
          <cell r="F201">
            <v>0</v>
          </cell>
          <cell r="K201">
            <v>0</v>
          </cell>
          <cell r="L201">
            <v>0</v>
          </cell>
          <cell r="M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</row>
        <row r="202">
          <cell r="C202" t="str">
            <v/>
          </cell>
          <cell r="F202">
            <v>0</v>
          </cell>
          <cell r="K202">
            <v>0</v>
          </cell>
          <cell r="L202">
            <v>0</v>
          </cell>
          <cell r="M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</row>
        <row r="203">
          <cell r="C203" t="str">
            <v/>
          </cell>
          <cell r="F203">
            <v>0</v>
          </cell>
          <cell r="K203">
            <v>0</v>
          </cell>
          <cell r="L203">
            <v>0</v>
          </cell>
          <cell r="M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</row>
        <row r="204">
          <cell r="C204" t="str">
            <v/>
          </cell>
          <cell r="F204">
            <v>0</v>
          </cell>
          <cell r="K204">
            <v>0</v>
          </cell>
          <cell r="L204">
            <v>0</v>
          </cell>
          <cell r="M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</row>
        <row r="205">
          <cell r="C205" t="str">
            <v/>
          </cell>
          <cell r="F205">
            <v>0</v>
          </cell>
          <cell r="K205">
            <v>0</v>
          </cell>
          <cell r="L205">
            <v>0</v>
          </cell>
          <cell r="M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</row>
        <row r="206">
          <cell r="C206" t="str">
            <v/>
          </cell>
          <cell r="F206">
            <v>0</v>
          </cell>
          <cell r="K206">
            <v>0</v>
          </cell>
          <cell r="L206">
            <v>0</v>
          </cell>
          <cell r="M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</row>
        <row r="207">
          <cell r="C207" t="str">
            <v/>
          </cell>
          <cell r="F207">
            <v>0</v>
          </cell>
          <cell r="K207">
            <v>0</v>
          </cell>
          <cell r="L207">
            <v>0</v>
          </cell>
          <cell r="M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</row>
        <row r="208">
          <cell r="C208" t="str">
            <v/>
          </cell>
          <cell r="F208">
            <v>0</v>
          </cell>
          <cell r="K208">
            <v>0</v>
          </cell>
          <cell r="L208">
            <v>0</v>
          </cell>
          <cell r="M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</row>
        <row r="209">
          <cell r="C209" t="str">
            <v/>
          </cell>
          <cell r="F209">
            <v>0</v>
          </cell>
          <cell r="K209">
            <v>0</v>
          </cell>
          <cell r="L209">
            <v>0</v>
          </cell>
          <cell r="M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</row>
        <row r="210">
          <cell r="C210" t="str">
            <v/>
          </cell>
          <cell r="F210">
            <v>0</v>
          </cell>
          <cell r="K210">
            <v>0</v>
          </cell>
          <cell r="L210">
            <v>0</v>
          </cell>
          <cell r="M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</row>
        <row r="211">
          <cell r="C211" t="str">
            <v/>
          </cell>
          <cell r="F211">
            <v>0</v>
          </cell>
          <cell r="K211">
            <v>0</v>
          </cell>
          <cell r="L211">
            <v>0</v>
          </cell>
          <cell r="M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</row>
        <row r="212">
          <cell r="C212" t="str">
            <v/>
          </cell>
          <cell r="F212">
            <v>0</v>
          </cell>
          <cell r="K212">
            <v>0</v>
          </cell>
          <cell r="L212">
            <v>0</v>
          </cell>
          <cell r="M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</row>
        <row r="213">
          <cell r="C213" t="str">
            <v/>
          </cell>
          <cell r="F213">
            <v>0</v>
          </cell>
          <cell r="K213">
            <v>0</v>
          </cell>
          <cell r="L213">
            <v>0</v>
          </cell>
          <cell r="M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</row>
        <row r="214">
          <cell r="C214" t="str">
            <v/>
          </cell>
          <cell r="F214">
            <v>0</v>
          </cell>
          <cell r="K214">
            <v>0</v>
          </cell>
          <cell r="L214">
            <v>0</v>
          </cell>
          <cell r="M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</row>
        <row r="215">
          <cell r="C215" t="str">
            <v/>
          </cell>
          <cell r="F215">
            <v>0</v>
          </cell>
          <cell r="K215">
            <v>0</v>
          </cell>
          <cell r="L215">
            <v>0</v>
          </cell>
          <cell r="M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</row>
        <row r="216">
          <cell r="C216" t="str">
            <v/>
          </cell>
          <cell r="F216">
            <v>0</v>
          </cell>
          <cell r="K216">
            <v>0</v>
          </cell>
          <cell r="L216">
            <v>0</v>
          </cell>
          <cell r="M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</row>
        <row r="217">
          <cell r="C217" t="str">
            <v/>
          </cell>
          <cell r="F217">
            <v>0</v>
          </cell>
          <cell r="K217">
            <v>0</v>
          </cell>
          <cell r="L217">
            <v>0</v>
          </cell>
          <cell r="M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</row>
        <row r="218">
          <cell r="C218" t="str">
            <v/>
          </cell>
          <cell r="F218">
            <v>0</v>
          </cell>
          <cell r="K218">
            <v>0</v>
          </cell>
          <cell r="L218">
            <v>0</v>
          </cell>
          <cell r="M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</row>
        <row r="219">
          <cell r="C219" t="str">
            <v/>
          </cell>
          <cell r="F219">
            <v>0</v>
          </cell>
          <cell r="K219">
            <v>0</v>
          </cell>
          <cell r="L219">
            <v>0</v>
          </cell>
          <cell r="M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</row>
        <row r="220">
          <cell r="C220" t="str">
            <v/>
          </cell>
          <cell r="F220">
            <v>0</v>
          </cell>
          <cell r="K220">
            <v>0</v>
          </cell>
          <cell r="L220">
            <v>0</v>
          </cell>
          <cell r="M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</row>
        <row r="221">
          <cell r="C221" t="str">
            <v/>
          </cell>
          <cell r="F221">
            <v>0</v>
          </cell>
          <cell r="K221">
            <v>0</v>
          </cell>
          <cell r="L221">
            <v>0</v>
          </cell>
          <cell r="M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</row>
        <row r="222">
          <cell r="C222" t="str">
            <v/>
          </cell>
          <cell r="F222">
            <v>0</v>
          </cell>
          <cell r="K222">
            <v>0</v>
          </cell>
          <cell r="L222">
            <v>0</v>
          </cell>
          <cell r="M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</row>
        <row r="223">
          <cell r="C223" t="str">
            <v/>
          </cell>
          <cell r="F223">
            <v>0</v>
          </cell>
          <cell r="K223">
            <v>0</v>
          </cell>
          <cell r="L223">
            <v>0</v>
          </cell>
          <cell r="M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</row>
        <row r="224">
          <cell r="C224" t="str">
            <v/>
          </cell>
          <cell r="F224">
            <v>0</v>
          </cell>
          <cell r="K224">
            <v>0</v>
          </cell>
          <cell r="L224">
            <v>0</v>
          </cell>
          <cell r="M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</row>
        <row r="225">
          <cell r="C225" t="str">
            <v/>
          </cell>
          <cell r="F225">
            <v>0</v>
          </cell>
          <cell r="K225">
            <v>0</v>
          </cell>
          <cell r="L225">
            <v>0</v>
          </cell>
          <cell r="M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</row>
        <row r="226">
          <cell r="C226" t="str">
            <v/>
          </cell>
          <cell r="F226">
            <v>0</v>
          </cell>
          <cell r="K226">
            <v>0</v>
          </cell>
          <cell r="L226">
            <v>0</v>
          </cell>
          <cell r="M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</row>
        <row r="227">
          <cell r="C227" t="str">
            <v/>
          </cell>
          <cell r="F227">
            <v>0</v>
          </cell>
          <cell r="K227">
            <v>0</v>
          </cell>
          <cell r="L227">
            <v>0</v>
          </cell>
          <cell r="M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</row>
        <row r="228">
          <cell r="C228" t="str">
            <v/>
          </cell>
          <cell r="F228">
            <v>0</v>
          </cell>
          <cell r="K228">
            <v>0</v>
          </cell>
          <cell r="L228">
            <v>0</v>
          </cell>
          <cell r="M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</row>
        <row r="229">
          <cell r="C229" t="str">
            <v/>
          </cell>
          <cell r="F229">
            <v>0</v>
          </cell>
          <cell r="K229">
            <v>0</v>
          </cell>
          <cell r="L229">
            <v>0</v>
          </cell>
          <cell r="M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</row>
        <row r="230">
          <cell r="C230" t="str">
            <v/>
          </cell>
          <cell r="F230">
            <v>0</v>
          </cell>
          <cell r="K230">
            <v>0</v>
          </cell>
          <cell r="L230">
            <v>0</v>
          </cell>
          <cell r="M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</row>
        <row r="231">
          <cell r="C231" t="str">
            <v/>
          </cell>
          <cell r="F231">
            <v>0</v>
          </cell>
          <cell r="K231">
            <v>0</v>
          </cell>
          <cell r="L231">
            <v>0</v>
          </cell>
          <cell r="M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</row>
        <row r="232">
          <cell r="C232" t="str">
            <v/>
          </cell>
          <cell r="F232">
            <v>0</v>
          </cell>
          <cell r="K232">
            <v>0</v>
          </cell>
          <cell r="L232">
            <v>0</v>
          </cell>
          <cell r="M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</row>
        <row r="233">
          <cell r="C233" t="str">
            <v/>
          </cell>
          <cell r="F233">
            <v>0</v>
          </cell>
          <cell r="K233">
            <v>0</v>
          </cell>
          <cell r="L233">
            <v>0</v>
          </cell>
          <cell r="M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</row>
        <row r="234">
          <cell r="C234" t="str">
            <v/>
          </cell>
          <cell r="F234">
            <v>0</v>
          </cell>
          <cell r="K234">
            <v>0</v>
          </cell>
          <cell r="L234">
            <v>0</v>
          </cell>
          <cell r="M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</row>
        <row r="235">
          <cell r="C235" t="str">
            <v/>
          </cell>
          <cell r="F235">
            <v>0</v>
          </cell>
          <cell r="K235">
            <v>0</v>
          </cell>
          <cell r="L235">
            <v>0</v>
          </cell>
          <cell r="M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</row>
        <row r="236">
          <cell r="C236" t="str">
            <v/>
          </cell>
          <cell r="F236">
            <v>0</v>
          </cell>
          <cell r="K236">
            <v>0</v>
          </cell>
          <cell r="L236">
            <v>0</v>
          </cell>
          <cell r="M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</row>
        <row r="237">
          <cell r="C237" t="str">
            <v/>
          </cell>
          <cell r="F237">
            <v>0</v>
          </cell>
          <cell r="K237">
            <v>0</v>
          </cell>
          <cell r="L237">
            <v>0</v>
          </cell>
          <cell r="M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</row>
        <row r="238">
          <cell r="C238" t="str">
            <v/>
          </cell>
          <cell r="F238">
            <v>0</v>
          </cell>
          <cell r="K238">
            <v>0</v>
          </cell>
          <cell r="L238">
            <v>0</v>
          </cell>
          <cell r="M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</row>
        <row r="239">
          <cell r="C239" t="str">
            <v/>
          </cell>
          <cell r="F239">
            <v>0</v>
          </cell>
          <cell r="K239">
            <v>0</v>
          </cell>
          <cell r="L239">
            <v>0</v>
          </cell>
          <cell r="M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</row>
        <row r="240">
          <cell r="C240" t="str">
            <v/>
          </cell>
          <cell r="F240">
            <v>0</v>
          </cell>
          <cell r="K240">
            <v>0</v>
          </cell>
          <cell r="L240">
            <v>0</v>
          </cell>
          <cell r="M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</row>
        <row r="241">
          <cell r="C241" t="str">
            <v/>
          </cell>
          <cell r="F241">
            <v>0</v>
          </cell>
          <cell r="K241">
            <v>0</v>
          </cell>
          <cell r="L241">
            <v>0</v>
          </cell>
          <cell r="M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</row>
        <row r="242">
          <cell r="C242" t="str">
            <v/>
          </cell>
          <cell r="F242">
            <v>0</v>
          </cell>
          <cell r="K242">
            <v>0</v>
          </cell>
          <cell r="L242">
            <v>0</v>
          </cell>
          <cell r="M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</row>
        <row r="243">
          <cell r="C243" t="str">
            <v/>
          </cell>
          <cell r="F243">
            <v>0</v>
          </cell>
          <cell r="K243">
            <v>0</v>
          </cell>
          <cell r="L243">
            <v>0</v>
          </cell>
          <cell r="M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</row>
        <row r="244">
          <cell r="C244" t="str">
            <v/>
          </cell>
          <cell r="F244">
            <v>0</v>
          </cell>
          <cell r="K244">
            <v>0</v>
          </cell>
          <cell r="L244">
            <v>0</v>
          </cell>
          <cell r="M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</row>
        <row r="245">
          <cell r="C245" t="str">
            <v/>
          </cell>
          <cell r="F245">
            <v>0</v>
          </cell>
          <cell r="K245">
            <v>0</v>
          </cell>
          <cell r="L245">
            <v>0</v>
          </cell>
          <cell r="M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</row>
        <row r="246">
          <cell r="C246" t="str">
            <v/>
          </cell>
          <cell r="F246">
            <v>0</v>
          </cell>
          <cell r="K246">
            <v>0</v>
          </cell>
          <cell r="L246">
            <v>0</v>
          </cell>
          <cell r="M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</row>
        <row r="247">
          <cell r="C247" t="str">
            <v/>
          </cell>
          <cell r="F247">
            <v>0</v>
          </cell>
          <cell r="K247">
            <v>0</v>
          </cell>
          <cell r="L247">
            <v>0</v>
          </cell>
          <cell r="M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</row>
        <row r="248">
          <cell r="C248" t="str">
            <v/>
          </cell>
          <cell r="F248">
            <v>0</v>
          </cell>
          <cell r="K248">
            <v>0</v>
          </cell>
          <cell r="L248">
            <v>0</v>
          </cell>
          <cell r="M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</row>
        <row r="249">
          <cell r="C249" t="str">
            <v/>
          </cell>
          <cell r="F249">
            <v>0</v>
          </cell>
          <cell r="K249">
            <v>0</v>
          </cell>
          <cell r="L249">
            <v>0</v>
          </cell>
          <cell r="M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</row>
        <row r="250">
          <cell r="C250" t="str">
            <v/>
          </cell>
          <cell r="F250">
            <v>0</v>
          </cell>
          <cell r="K250">
            <v>0</v>
          </cell>
          <cell r="L250">
            <v>0</v>
          </cell>
          <cell r="M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</row>
        <row r="251">
          <cell r="C251" t="str">
            <v/>
          </cell>
          <cell r="F251">
            <v>0</v>
          </cell>
          <cell r="K251">
            <v>0</v>
          </cell>
          <cell r="L251">
            <v>0</v>
          </cell>
          <cell r="M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</row>
        <row r="252">
          <cell r="C252" t="str">
            <v/>
          </cell>
          <cell r="F252">
            <v>0</v>
          </cell>
          <cell r="K252">
            <v>0</v>
          </cell>
          <cell r="L252">
            <v>0</v>
          </cell>
          <cell r="M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</row>
        <row r="253">
          <cell r="C253" t="str">
            <v/>
          </cell>
          <cell r="F253">
            <v>0</v>
          </cell>
          <cell r="K253">
            <v>0</v>
          </cell>
          <cell r="L253">
            <v>0</v>
          </cell>
          <cell r="M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</row>
        <row r="254">
          <cell r="C254" t="str">
            <v/>
          </cell>
          <cell r="F254">
            <v>0</v>
          </cell>
          <cell r="K254">
            <v>0</v>
          </cell>
          <cell r="L254">
            <v>0</v>
          </cell>
          <cell r="M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</row>
        <row r="255">
          <cell r="C255" t="str">
            <v/>
          </cell>
          <cell r="F255">
            <v>0</v>
          </cell>
          <cell r="K255">
            <v>0</v>
          </cell>
          <cell r="L255">
            <v>0</v>
          </cell>
          <cell r="M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M55"/>
  <sheetViews>
    <sheetView view="pageBreakPreview" zoomScaleSheetLayoutView="100" workbookViewId="0">
      <pane xSplit="1" ySplit="4" topLeftCell="B5" activePane="bottomRight" state="frozen"/>
      <selection activeCell="BB49" sqref="BB49"/>
      <selection pane="topRight" activeCell="BB49" sqref="BB49"/>
      <selection pane="bottomLeft" activeCell="BB49" sqref="BB49"/>
      <selection pane="bottomRight" activeCell="A2" sqref="A2"/>
    </sheetView>
  </sheetViews>
  <sheetFormatPr defaultColWidth="9.140625" defaultRowHeight="12" x14ac:dyDescent="0.2"/>
  <cols>
    <col min="1" max="1" width="38.42578125" style="29" customWidth="1"/>
    <col min="2" max="2" width="9.28515625" style="29" customWidth="1"/>
    <col min="3" max="3" width="6.5703125" style="29" customWidth="1"/>
    <col min="4" max="4" width="7" style="29" customWidth="1"/>
    <col min="5" max="5" width="6.85546875" style="29" customWidth="1"/>
    <col min="6" max="6" width="7.5703125" style="29" customWidth="1"/>
    <col min="7" max="7" width="6.85546875" style="29" customWidth="1"/>
    <col min="8" max="8" width="8.85546875" style="29" customWidth="1"/>
    <col min="9" max="9" width="8" style="29" customWidth="1"/>
    <col min="10" max="27" width="8.5703125" style="17" customWidth="1"/>
    <col min="28" max="16384" width="9.140625" style="29"/>
  </cols>
  <sheetData>
    <row r="2" spans="1:39" s="17" customFormat="1" ht="12.75" thickBot="1" x14ac:dyDescent="0.25">
      <c r="A2" s="18" t="s">
        <v>121</v>
      </c>
      <c r="B2" s="18"/>
    </row>
    <row r="3" spans="1:39" s="47" customFormat="1" ht="15" customHeight="1" x14ac:dyDescent="0.2">
      <c r="B3" s="149" t="s">
        <v>75</v>
      </c>
      <c r="C3" s="149"/>
      <c r="D3" s="149"/>
      <c r="E3" s="149"/>
      <c r="F3" s="149" t="s">
        <v>79</v>
      </c>
      <c r="G3" s="149"/>
      <c r="H3" s="149"/>
      <c r="I3" s="149"/>
      <c r="J3" s="150" t="s">
        <v>85</v>
      </c>
      <c r="K3" s="150"/>
      <c r="L3" s="150"/>
      <c r="M3" s="150"/>
      <c r="N3" s="150" t="s">
        <v>86</v>
      </c>
      <c r="O3" s="150"/>
      <c r="P3" s="150"/>
      <c r="Q3" s="150"/>
      <c r="R3" s="150" t="s">
        <v>89</v>
      </c>
      <c r="S3" s="150"/>
      <c r="T3" s="150"/>
      <c r="U3" s="150"/>
      <c r="V3" s="150" t="s">
        <v>90</v>
      </c>
      <c r="W3" s="150"/>
      <c r="X3" s="150"/>
      <c r="Y3" s="150"/>
      <c r="Z3" s="150" t="s">
        <v>91</v>
      </c>
      <c r="AA3" s="150"/>
      <c r="AB3" s="150"/>
      <c r="AC3" s="150"/>
      <c r="AD3" s="149" t="s">
        <v>92</v>
      </c>
      <c r="AE3" s="149"/>
      <c r="AF3" s="149"/>
      <c r="AG3" s="149"/>
      <c r="AH3" s="149" t="s">
        <v>118</v>
      </c>
      <c r="AI3" s="149"/>
      <c r="AJ3" s="149"/>
      <c r="AK3" s="149"/>
      <c r="AL3" s="47" t="s">
        <v>120</v>
      </c>
    </row>
    <row r="4" spans="1:39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</row>
    <row r="5" spans="1:39" s="19" customFormat="1" ht="12.95" customHeight="1" x14ac:dyDescent="0.2">
      <c r="A5" s="20" t="s">
        <v>78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39" s="20" customFormat="1" ht="12.95" customHeight="1" x14ac:dyDescent="0.2">
      <c r="A6" s="21" t="s">
        <v>0</v>
      </c>
      <c r="B6" s="22">
        <v>27781.609894407004</v>
      </c>
      <c r="C6" s="22">
        <v>26556.251950829908</v>
      </c>
      <c r="D6" s="22">
        <v>26726.927005653637</v>
      </c>
      <c r="E6" s="22">
        <v>27453.252070582588</v>
      </c>
      <c r="F6" s="22">
        <v>31469.715846024246</v>
      </c>
      <c r="G6" s="22">
        <v>28426.19069202468</v>
      </c>
      <c r="H6" s="22">
        <v>29432.327584072522</v>
      </c>
      <c r="I6" s="22">
        <v>31156.543333262245</v>
      </c>
      <c r="J6" s="63">
        <v>34170.142686819934</v>
      </c>
      <c r="K6" s="63">
        <v>32179.517868214341</v>
      </c>
      <c r="L6" s="63">
        <v>32231.229040047157</v>
      </c>
      <c r="M6" s="63">
        <v>33508.885194103626</v>
      </c>
      <c r="N6" s="63">
        <v>37947.73029736364</v>
      </c>
      <c r="O6" s="63">
        <v>36401.187485856724</v>
      </c>
      <c r="P6" s="63">
        <v>33706.780324514148</v>
      </c>
      <c r="Q6" s="63">
        <v>31633.347000483736</v>
      </c>
      <c r="R6" s="63">
        <v>38917.365363118159</v>
      </c>
      <c r="S6" s="63">
        <v>36898.259898812452</v>
      </c>
      <c r="T6" s="63">
        <v>35155.417421437116</v>
      </c>
      <c r="U6" s="63">
        <v>37339.20494699062</v>
      </c>
      <c r="V6" s="63">
        <v>41189.554199717189</v>
      </c>
      <c r="W6" s="63">
        <v>39860.901378101429</v>
      </c>
      <c r="X6" s="63">
        <v>39264.333143038755</v>
      </c>
      <c r="Y6" s="63">
        <v>42435.158552013207</v>
      </c>
      <c r="Z6" s="63">
        <v>48378.598556486882</v>
      </c>
      <c r="AA6" s="63">
        <v>44347.666130945923</v>
      </c>
      <c r="AB6" s="63">
        <v>42069.45458403571</v>
      </c>
      <c r="AC6" s="63">
        <v>48208.667041290239</v>
      </c>
      <c r="AD6" s="63">
        <v>53996.036920175793</v>
      </c>
      <c r="AE6" s="63">
        <v>49628.065348710043</v>
      </c>
      <c r="AF6" s="63">
        <v>47655.291434288541</v>
      </c>
      <c r="AG6" s="63">
        <v>52428.374525973246</v>
      </c>
      <c r="AH6" s="63">
        <v>59750.387058287808</v>
      </c>
      <c r="AI6" s="63">
        <v>55083.141021491982</v>
      </c>
      <c r="AJ6" s="63">
        <v>54730.589878053805</v>
      </c>
      <c r="AK6" s="63">
        <v>58310.478922437309</v>
      </c>
      <c r="AL6" s="63">
        <v>63156.416532644682</v>
      </c>
      <c r="AM6" s="63">
        <v>62001.482686014846</v>
      </c>
    </row>
    <row r="7" spans="1:39" s="19" customFormat="1" ht="12.95" customHeight="1" x14ac:dyDescent="0.2">
      <c r="A7" s="23" t="s">
        <v>73</v>
      </c>
      <c r="B7" s="16">
        <v>7991.3646462686875</v>
      </c>
      <c r="C7" s="16">
        <v>6125.1035386890453</v>
      </c>
      <c r="D7" s="16">
        <v>5423.5837949396264</v>
      </c>
      <c r="E7" s="16">
        <v>5917.0166002226588</v>
      </c>
      <c r="F7" s="16">
        <v>8972.0686393887136</v>
      </c>
      <c r="G7" s="16">
        <v>5833.1985204932989</v>
      </c>
      <c r="H7" s="16">
        <v>6099.1552507906208</v>
      </c>
      <c r="I7" s="16">
        <v>7108.6420214894633</v>
      </c>
      <c r="J7" s="64">
        <v>9059.0610363963679</v>
      </c>
      <c r="K7" s="64">
        <v>6874.6543508632649</v>
      </c>
      <c r="L7" s="64">
        <v>6663.3074300926019</v>
      </c>
      <c r="M7" s="64">
        <v>7711.6480899964254</v>
      </c>
      <c r="N7" s="64">
        <v>10389.433158700256</v>
      </c>
      <c r="O7" s="64">
        <v>8269.9230184400749</v>
      </c>
      <c r="P7" s="64">
        <v>6828.2031169108495</v>
      </c>
      <c r="Q7" s="64">
        <v>7938.6794137119714</v>
      </c>
      <c r="R7" s="64">
        <v>11306.293134806192</v>
      </c>
      <c r="S7" s="64">
        <v>8735.8673364138212</v>
      </c>
      <c r="T7" s="64">
        <v>6678.922727187598</v>
      </c>
      <c r="U7" s="64">
        <v>8638.7550972579338</v>
      </c>
      <c r="V7" s="64">
        <v>12412.529865538025</v>
      </c>
      <c r="W7" s="64">
        <v>9164.7556489810413</v>
      </c>
      <c r="X7" s="64">
        <v>7613.0946358648262</v>
      </c>
      <c r="Y7" s="64">
        <v>9888.6848300939582</v>
      </c>
      <c r="Z7" s="64">
        <v>14036.734926006679</v>
      </c>
      <c r="AA7" s="64">
        <v>10685.488899621902</v>
      </c>
      <c r="AB7" s="64">
        <v>8475.1155523116886</v>
      </c>
      <c r="AC7" s="64">
        <v>10887.638948388667</v>
      </c>
      <c r="AD7" s="64">
        <v>15361.005338819401</v>
      </c>
      <c r="AE7" s="64">
        <v>11599.200416786764</v>
      </c>
      <c r="AF7" s="64">
        <v>10012.467143152426</v>
      </c>
      <c r="AG7" s="64">
        <v>13178.041927133687</v>
      </c>
      <c r="AH7" s="64">
        <v>17959.859065187073</v>
      </c>
      <c r="AI7" s="64">
        <v>14042.265792459666</v>
      </c>
      <c r="AJ7" s="64">
        <v>12815.127097191446</v>
      </c>
      <c r="AK7" s="64">
        <v>14732.171932230298</v>
      </c>
      <c r="AL7" s="64">
        <v>18403.567232413021</v>
      </c>
      <c r="AM7" s="64">
        <v>15896.662447375058</v>
      </c>
    </row>
    <row r="8" spans="1:39" s="19" customFormat="1" ht="12.95" customHeight="1" x14ac:dyDescent="0.2">
      <c r="A8" s="23" t="s">
        <v>8</v>
      </c>
      <c r="B8" s="16">
        <v>6561.1346272721585</v>
      </c>
      <c r="C8" s="16">
        <v>6994.9487877034371</v>
      </c>
      <c r="D8" s="16">
        <v>7453.1435710448031</v>
      </c>
      <c r="E8" s="16">
        <v>7239.0986189742198</v>
      </c>
      <c r="F8" s="16">
        <v>7539.6546123911157</v>
      </c>
      <c r="G8" s="16">
        <v>7698.2710981872769</v>
      </c>
      <c r="H8" s="16">
        <v>8027.8719382761346</v>
      </c>
      <c r="I8" s="16">
        <v>8344.6025996332828</v>
      </c>
      <c r="J8" s="64">
        <v>8671.8437230827803</v>
      </c>
      <c r="K8" s="64">
        <v>8751.1539005252598</v>
      </c>
      <c r="L8" s="64">
        <v>8922.9406787596745</v>
      </c>
      <c r="M8" s="64">
        <v>8816.93657668993</v>
      </c>
      <c r="N8" s="64">
        <v>9321.8087764783249</v>
      </c>
      <c r="O8" s="64">
        <v>9805.8538907587154</v>
      </c>
      <c r="P8" s="64">
        <v>9512.1912655597316</v>
      </c>
      <c r="Q8" s="64">
        <v>8364.5069069389101</v>
      </c>
      <c r="R8" s="64">
        <v>9669.772299304941</v>
      </c>
      <c r="S8" s="64">
        <v>10119.775238707325</v>
      </c>
      <c r="T8" s="64">
        <v>10232.130617252133</v>
      </c>
      <c r="U8" s="64">
        <v>10243.726043693581</v>
      </c>
      <c r="V8" s="64">
        <v>9974.8939100686584</v>
      </c>
      <c r="W8" s="64">
        <v>10706.203394707018</v>
      </c>
      <c r="X8" s="64">
        <v>11254.459521204088</v>
      </c>
      <c r="Y8" s="64">
        <v>11626.335961868514</v>
      </c>
      <c r="Z8" s="64">
        <v>11809.44323762229</v>
      </c>
      <c r="AA8" s="64">
        <v>11320.87595456811</v>
      </c>
      <c r="AB8" s="64">
        <v>11389.284129736043</v>
      </c>
      <c r="AC8" s="64">
        <v>12609.903228709665</v>
      </c>
      <c r="AD8" s="64">
        <v>13316.214379423751</v>
      </c>
      <c r="AE8" s="64">
        <v>12450.961856293405</v>
      </c>
      <c r="AF8" s="64">
        <v>12312.100348608132</v>
      </c>
      <c r="AG8" s="64">
        <v>12574.315171792286</v>
      </c>
      <c r="AH8" s="64">
        <v>13811.43995305984</v>
      </c>
      <c r="AI8" s="64">
        <v>13524.984631826374</v>
      </c>
      <c r="AJ8" s="64">
        <v>13728.091210883995</v>
      </c>
      <c r="AK8" s="64">
        <v>14244.257530950594</v>
      </c>
      <c r="AL8" s="64">
        <v>14866.433848605004</v>
      </c>
      <c r="AM8" s="64">
        <v>15240.26246092466</v>
      </c>
    </row>
    <row r="9" spans="1:39" s="19" customFormat="1" ht="12.95" customHeight="1" x14ac:dyDescent="0.2">
      <c r="A9" s="23" t="s">
        <v>14</v>
      </c>
      <c r="B9" s="16">
        <v>11460.606260347036</v>
      </c>
      <c r="C9" s="16">
        <v>11605.991050682003</v>
      </c>
      <c r="D9" s="16">
        <v>11848.53888486281</v>
      </c>
      <c r="E9" s="16">
        <v>12266.879580525949</v>
      </c>
      <c r="F9" s="16">
        <v>12989.411466324653</v>
      </c>
      <c r="G9" s="16">
        <v>12761.328171010457</v>
      </c>
      <c r="H9" s="16">
        <v>13059.141089474608</v>
      </c>
      <c r="I9" s="16">
        <v>13406.88806172407</v>
      </c>
      <c r="J9" s="64">
        <v>14087.819688546297</v>
      </c>
      <c r="K9" s="64">
        <v>14006.09910674718</v>
      </c>
      <c r="L9" s="64">
        <v>14154.147191686052</v>
      </c>
      <c r="M9" s="64">
        <v>14548.04206217793</v>
      </c>
      <c r="N9" s="64">
        <v>15752.218398282777</v>
      </c>
      <c r="O9" s="64">
        <v>15659.814681847589</v>
      </c>
      <c r="P9" s="64">
        <v>14746.076458876121</v>
      </c>
      <c r="Q9" s="64">
        <v>13681.889317151174</v>
      </c>
      <c r="R9" s="64">
        <v>15432.187077745346</v>
      </c>
      <c r="S9" s="64">
        <v>15321.761744148365</v>
      </c>
      <c r="T9" s="64">
        <v>15613.136226456609</v>
      </c>
      <c r="U9" s="64">
        <v>15695.393400463889</v>
      </c>
      <c r="V9" s="64">
        <v>16108.287810317481</v>
      </c>
      <c r="W9" s="64">
        <v>16788.405261674168</v>
      </c>
      <c r="X9" s="64">
        <v>17167.222449885052</v>
      </c>
      <c r="Y9" s="64">
        <v>17724.921785535818</v>
      </c>
      <c r="Z9" s="64">
        <v>19303.199886978062</v>
      </c>
      <c r="AA9" s="64">
        <v>19146.940657700754</v>
      </c>
      <c r="AB9" s="64">
        <v>18632.010902221449</v>
      </c>
      <c r="AC9" s="64">
        <v>20717.644298074058</v>
      </c>
      <c r="AD9" s="64">
        <v>21697.836859584451</v>
      </c>
      <c r="AE9" s="64">
        <v>21910.740461809033</v>
      </c>
      <c r="AF9" s="64">
        <v>21558.343807224443</v>
      </c>
      <c r="AG9" s="64">
        <v>22715.376668158038</v>
      </c>
      <c r="AH9" s="64">
        <v>23890.857366550244</v>
      </c>
      <c r="AI9" s="64">
        <v>23368.388550354295</v>
      </c>
      <c r="AJ9" s="64">
        <v>24049.474863012074</v>
      </c>
      <c r="AK9" s="64">
        <v>24606.701926966023</v>
      </c>
      <c r="AL9" s="64">
        <v>25687.4421409022</v>
      </c>
      <c r="AM9" s="64">
        <v>26335.245551037759</v>
      </c>
    </row>
    <row r="10" spans="1:39" s="19" customFormat="1" ht="12.95" customHeight="1" x14ac:dyDescent="0.2">
      <c r="A10" s="21" t="s">
        <v>29</v>
      </c>
      <c r="B10" s="16"/>
      <c r="C10" s="16"/>
      <c r="D10" s="16"/>
      <c r="E10" s="16"/>
      <c r="F10" s="16"/>
      <c r="G10" s="16"/>
      <c r="H10" s="16"/>
      <c r="I10" s="16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</row>
    <row r="11" spans="1:39" s="19" customFormat="1" ht="12.95" customHeight="1" x14ac:dyDescent="0.2">
      <c r="A11" s="24" t="s">
        <v>30</v>
      </c>
      <c r="B11" s="16">
        <v>1768.5043605191229</v>
      </c>
      <c r="C11" s="16">
        <v>1830.2085737554207</v>
      </c>
      <c r="D11" s="16">
        <v>2001.6607548063973</v>
      </c>
      <c r="E11" s="16">
        <v>2030.25727085976</v>
      </c>
      <c r="F11" s="16">
        <v>1968.5811279197617</v>
      </c>
      <c r="G11" s="16">
        <v>2133.39290233365</v>
      </c>
      <c r="H11" s="16">
        <v>2246.1593055311573</v>
      </c>
      <c r="I11" s="16">
        <v>2296.4106504154297</v>
      </c>
      <c r="J11" s="64">
        <v>2351.4182387944902</v>
      </c>
      <c r="K11" s="64">
        <v>2547.6105100786376</v>
      </c>
      <c r="L11" s="64">
        <v>2490.8337395088283</v>
      </c>
      <c r="M11" s="64">
        <v>2432.2584652393448</v>
      </c>
      <c r="N11" s="64">
        <v>2484.2699639022831</v>
      </c>
      <c r="O11" s="64">
        <v>2665.5958948103412</v>
      </c>
      <c r="P11" s="64">
        <v>2620.3094831674484</v>
      </c>
      <c r="Q11" s="64">
        <v>1648.2713626816819</v>
      </c>
      <c r="R11" s="64">
        <v>2509.1128512616792</v>
      </c>
      <c r="S11" s="64">
        <v>2720.8555795429425</v>
      </c>
      <c r="T11" s="64">
        <v>2631.2278505407767</v>
      </c>
      <c r="U11" s="64">
        <v>2761.3304055752183</v>
      </c>
      <c r="V11" s="64">
        <v>2693.8426137930319</v>
      </c>
      <c r="W11" s="64">
        <v>3201.5370727392024</v>
      </c>
      <c r="X11" s="64">
        <v>3229.5565360847891</v>
      </c>
      <c r="Y11" s="64">
        <v>3195.2159745149102</v>
      </c>
      <c r="Z11" s="64">
        <v>3229.2205058798472</v>
      </c>
      <c r="AA11" s="64">
        <v>3194.3606190551614</v>
      </c>
      <c r="AB11" s="64">
        <v>3573.0439997665321</v>
      </c>
      <c r="AC11" s="64">
        <v>3993.4805661178489</v>
      </c>
      <c r="AD11" s="64">
        <v>3620.9803423481872</v>
      </c>
      <c r="AE11" s="64">
        <v>3667.1626138208439</v>
      </c>
      <c r="AF11" s="64">
        <v>3772.3801353035483</v>
      </c>
      <c r="AG11" s="64">
        <v>3960.6407588892357</v>
      </c>
      <c r="AH11" s="64">
        <v>4088.2306734906556</v>
      </c>
      <c r="AI11" s="64">
        <v>4147.5020468516541</v>
      </c>
      <c r="AJ11" s="64">
        <v>4137.8967069662904</v>
      </c>
      <c r="AK11" s="64">
        <v>4727.3475322903951</v>
      </c>
      <c r="AL11" s="64">
        <v>4198.9733107244538</v>
      </c>
      <c r="AM11" s="64">
        <v>4529.3122266773735</v>
      </c>
    </row>
    <row r="12" spans="1:39" s="19" customFormat="1" ht="12.95" customHeight="1" x14ac:dyDescent="0.2">
      <c r="B12" s="16"/>
      <c r="C12" s="16"/>
      <c r="D12" s="16"/>
      <c r="E12" s="16"/>
      <c r="F12" s="16"/>
      <c r="G12" s="16"/>
      <c r="H12" s="16"/>
      <c r="I12" s="16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</row>
    <row r="13" spans="1:39" s="19" customFormat="1" ht="12.95" customHeight="1" x14ac:dyDescent="0.2">
      <c r="A13" s="20" t="s">
        <v>76</v>
      </c>
      <c r="B13" s="16"/>
      <c r="C13" s="16"/>
      <c r="D13" s="16"/>
      <c r="E13" s="16"/>
      <c r="F13" s="16"/>
      <c r="G13" s="16"/>
      <c r="H13" s="16"/>
      <c r="I13" s="16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</row>
    <row r="14" spans="1:39" s="20" customFormat="1" ht="12.95" customHeight="1" x14ac:dyDescent="0.2">
      <c r="A14" s="21" t="s">
        <v>0</v>
      </c>
      <c r="B14" s="22">
        <v>25568.457116890557</v>
      </c>
      <c r="C14" s="22">
        <v>26833.37088564791</v>
      </c>
      <c r="D14" s="22">
        <v>28094.478207549168</v>
      </c>
      <c r="E14" s="22">
        <v>28192.260195551022</v>
      </c>
      <c r="F14" s="22">
        <v>28917.603761907576</v>
      </c>
      <c r="G14" s="22">
        <v>28731.175802418649</v>
      </c>
      <c r="H14" s="22">
        <v>31054.540786198282</v>
      </c>
      <c r="I14" s="22">
        <v>31939.559321383735</v>
      </c>
      <c r="J14" s="63">
        <v>31722.578030705696</v>
      </c>
      <c r="K14" s="63">
        <v>32499.765037547579</v>
      </c>
      <c r="L14" s="63">
        <v>34037.969753926576</v>
      </c>
      <c r="M14" s="63">
        <v>34255.648802363394</v>
      </c>
      <c r="N14" s="63">
        <v>35260.125279214742</v>
      </c>
      <c r="O14" s="63">
        <v>36784.860382880986</v>
      </c>
      <c r="P14" s="63">
        <v>35563.781292791631</v>
      </c>
      <c r="Q14" s="63">
        <v>32244.129091283557</v>
      </c>
      <c r="R14" s="63">
        <v>35914.777289719103</v>
      </c>
      <c r="S14" s="63">
        <v>37315.115441897964</v>
      </c>
      <c r="T14" s="63">
        <v>37068.039672361061</v>
      </c>
      <c r="U14" s="63">
        <v>37834.590826294756</v>
      </c>
      <c r="V14" s="63">
        <v>37992.965674228959</v>
      </c>
      <c r="W14" s="63">
        <v>40265.110580809756</v>
      </c>
      <c r="X14" s="63">
        <v>41514.135581865485</v>
      </c>
      <c r="Y14" s="63">
        <v>42861.307627241797</v>
      </c>
      <c r="Z14" s="63">
        <v>44515.554945696553</v>
      </c>
      <c r="AA14" s="63">
        <v>44970.554850751854</v>
      </c>
      <c r="AB14" s="63">
        <v>44550.354921191967</v>
      </c>
      <c r="AC14" s="63">
        <v>48470.534954687217</v>
      </c>
      <c r="AD14" s="63">
        <v>49863.047034666764</v>
      </c>
      <c r="AE14" s="63">
        <v>50336.208762246388</v>
      </c>
      <c r="AF14" s="63">
        <v>50318.890737210437</v>
      </c>
      <c r="AG14" s="63">
        <v>52660.400040026725</v>
      </c>
      <c r="AH14" s="63">
        <v>55237.02690111519</v>
      </c>
      <c r="AI14" s="63">
        <v>55889.908545078033</v>
      </c>
      <c r="AJ14" s="63">
        <v>57525.44661162253</v>
      </c>
      <c r="AK14" s="63">
        <v>58763.156217912387</v>
      </c>
      <c r="AL14" s="63">
        <v>59066.339768361475</v>
      </c>
      <c r="AM14" s="63">
        <v>62875.300951185251</v>
      </c>
    </row>
    <row r="15" spans="1:39" s="19" customFormat="1" ht="12.95" customHeight="1" x14ac:dyDescent="0.2">
      <c r="A15" s="23" t="s">
        <v>73</v>
      </c>
      <c r="B15" s="16">
        <v>6033.0437949739626</v>
      </c>
      <c r="C15" s="16">
        <v>6504.8091484649403</v>
      </c>
      <c r="D15" s="16">
        <v>6700.0618586726559</v>
      </c>
      <c r="E15" s="16">
        <v>6346.7491730112615</v>
      </c>
      <c r="F15" s="16">
        <v>6715.7775452240639</v>
      </c>
      <c r="G15" s="16">
        <v>6267.7863012918142</v>
      </c>
      <c r="H15" s="16">
        <v>7630.6221794827507</v>
      </c>
      <c r="I15" s="16">
        <v>7563.8056037944962</v>
      </c>
      <c r="J15" s="64">
        <v>6887.860944644347</v>
      </c>
      <c r="K15" s="64">
        <v>7357.7807991583577</v>
      </c>
      <c r="L15" s="64">
        <v>8355.5723133194897</v>
      </c>
      <c r="M15" s="64">
        <v>8148.4644242480017</v>
      </c>
      <c r="N15" s="64">
        <v>7981.7937399022921</v>
      </c>
      <c r="O15" s="64">
        <v>8797.3409406261544</v>
      </c>
      <c r="P15" s="64">
        <v>8498.4764125058318</v>
      </c>
      <c r="Q15" s="64">
        <v>8323.4201858133765</v>
      </c>
      <c r="R15" s="64">
        <v>8592.3623852021483</v>
      </c>
      <c r="S15" s="64">
        <v>9249.6817508793793</v>
      </c>
      <c r="T15" s="64">
        <v>8293.4899781583881</v>
      </c>
      <c r="U15" s="64">
        <v>9056.5722261871979</v>
      </c>
      <c r="V15" s="64">
        <v>9518.6636541857697</v>
      </c>
      <c r="W15" s="64">
        <v>9640.5158635264561</v>
      </c>
      <c r="X15" s="64">
        <v>9454.9491913362781</v>
      </c>
      <c r="Y15" s="64">
        <v>10381.714691192828</v>
      </c>
      <c r="Z15" s="64">
        <v>10522.490796861955</v>
      </c>
      <c r="AA15" s="64">
        <v>11297.063356812112</v>
      </c>
      <c r="AB15" s="64">
        <v>10463.541990188434</v>
      </c>
      <c r="AC15" s="64">
        <v>11380.069005506812</v>
      </c>
      <c r="AD15" s="64">
        <v>11713.250516170789</v>
      </c>
      <c r="AE15" s="64">
        <v>12161.211169369361</v>
      </c>
      <c r="AF15" s="64">
        <v>12112.241336424368</v>
      </c>
      <c r="AG15" s="64">
        <v>13819.782603177673</v>
      </c>
      <c r="AH15" s="64">
        <v>13868.621436486181</v>
      </c>
      <c r="AI15" s="64">
        <v>14629.5531383979</v>
      </c>
      <c r="AJ15" s="64">
        <v>14980.317981175325</v>
      </c>
      <c r="AK15" s="64">
        <v>15619.691601807895</v>
      </c>
      <c r="AL15" s="64">
        <v>14756.175250375427</v>
      </c>
      <c r="AM15" s="64">
        <v>16522.080365003018</v>
      </c>
    </row>
    <row r="16" spans="1:39" s="19" customFormat="1" ht="12.95" customHeight="1" x14ac:dyDescent="0.2">
      <c r="A16" s="23" t="s">
        <v>8</v>
      </c>
      <c r="B16" s="16">
        <v>6562.1350187706394</v>
      </c>
      <c r="C16" s="16">
        <v>6954.4684149677269</v>
      </c>
      <c r="D16" s="16">
        <v>7402.8161866360097</v>
      </c>
      <c r="E16" s="16">
        <v>7345.9435679692706</v>
      </c>
      <c r="F16" s="16">
        <v>7533.7448626115847</v>
      </c>
      <c r="G16" s="16">
        <v>7632.2136769576327</v>
      </c>
      <c r="H16" s="16">
        <v>7985.1727589669308</v>
      </c>
      <c r="I16" s="16">
        <v>8452.8156962942194</v>
      </c>
      <c r="J16" s="64">
        <v>8654.088374623354</v>
      </c>
      <c r="K16" s="64">
        <v>8700.5526677641592</v>
      </c>
      <c r="L16" s="64">
        <v>8889.1882644816233</v>
      </c>
      <c r="M16" s="64">
        <v>8901.2191773906998</v>
      </c>
      <c r="N16" s="64">
        <v>9301.3479035554046</v>
      </c>
      <c r="O16" s="64">
        <v>9795.3238023660961</v>
      </c>
      <c r="P16" s="64">
        <v>9510.017573249781</v>
      </c>
      <c r="Q16" s="64">
        <v>8414.2458254700432</v>
      </c>
      <c r="R16" s="64">
        <v>9623.4160063866657</v>
      </c>
      <c r="S16" s="64">
        <v>10144.221087178028</v>
      </c>
      <c r="T16" s="64">
        <v>10270.850048734335</v>
      </c>
      <c r="U16" s="64">
        <v>10244.686722676801</v>
      </c>
      <c r="V16" s="64">
        <v>9930.4812099043302</v>
      </c>
      <c r="W16" s="64">
        <v>10720.434042598397</v>
      </c>
      <c r="X16" s="64">
        <v>11328.556314845369</v>
      </c>
      <c r="Y16" s="64">
        <v>11593.438288067933</v>
      </c>
      <c r="Z16" s="64">
        <v>11725.688343104681</v>
      </c>
      <c r="AA16" s="64">
        <v>11342.044934637777</v>
      </c>
      <c r="AB16" s="64">
        <v>11484.639062969392</v>
      </c>
      <c r="AC16" s="64">
        <v>12583.130155995719</v>
      </c>
      <c r="AD16" s="64">
        <v>13104.08767241695</v>
      </c>
      <c r="AE16" s="64">
        <v>12517.021706119218</v>
      </c>
      <c r="AF16" s="64">
        <v>12421.031496201957</v>
      </c>
      <c r="AG16" s="64">
        <v>12526.703276013304</v>
      </c>
      <c r="AH16" s="64">
        <v>13636.213285422726</v>
      </c>
      <c r="AI16" s="64">
        <v>13598.622551319275</v>
      </c>
      <c r="AJ16" s="64">
        <v>13862.672237618379</v>
      </c>
      <c r="AK16" s="64">
        <v>14206.121404621341</v>
      </c>
      <c r="AL16" s="64">
        <v>14675.005874796738</v>
      </c>
      <c r="AM16" s="64">
        <v>15309.386892083223</v>
      </c>
    </row>
    <row r="17" spans="1:39" s="19" customFormat="1" ht="12.95" customHeight="1" x14ac:dyDescent="0.2">
      <c r="A17" s="23" t="s">
        <v>14</v>
      </c>
      <c r="B17" s="16">
        <v>11168.587604409737</v>
      </c>
      <c r="C17" s="16">
        <v>11552.57933969688</v>
      </c>
      <c r="D17" s="16">
        <v>12024.338299850093</v>
      </c>
      <c r="E17" s="16">
        <v>12463.367961984752</v>
      </c>
      <c r="F17" s="16">
        <v>12651.42183726596</v>
      </c>
      <c r="G17" s="16">
        <v>12725.166535276683</v>
      </c>
      <c r="H17" s="16">
        <v>13225.367116384657</v>
      </c>
      <c r="I17" s="16">
        <v>13617.398821300683</v>
      </c>
      <c r="J17" s="64">
        <v>13760.775209604815</v>
      </c>
      <c r="K17" s="64">
        <v>13946.365769614031</v>
      </c>
      <c r="L17" s="64">
        <v>14330.597083241453</v>
      </c>
      <c r="M17" s="64">
        <v>14762.974920789662</v>
      </c>
      <c r="N17" s="64">
        <v>15415.66032308974</v>
      </c>
      <c r="O17" s="64">
        <v>15592.789405658157</v>
      </c>
      <c r="P17" s="64">
        <v>14951.311450084915</v>
      </c>
      <c r="Q17" s="64">
        <v>13858.597495006454</v>
      </c>
      <c r="R17" s="64">
        <v>15109.128130122608</v>
      </c>
      <c r="S17" s="64">
        <v>15265.952975812745</v>
      </c>
      <c r="T17" s="64">
        <v>15878.380842071789</v>
      </c>
      <c r="U17" s="64">
        <v>15787.775630748632</v>
      </c>
      <c r="V17" s="64">
        <v>15772.846869735955</v>
      </c>
      <c r="W17" s="64">
        <v>16758.806020104006</v>
      </c>
      <c r="X17" s="64">
        <v>17493.951687047047</v>
      </c>
      <c r="Y17" s="64">
        <v>17740.775416218774</v>
      </c>
      <c r="Z17" s="64">
        <v>18950.651491562858</v>
      </c>
      <c r="AA17" s="64">
        <v>19167.925654056155</v>
      </c>
      <c r="AB17" s="64">
        <v>19014.318676256818</v>
      </c>
      <c r="AC17" s="64">
        <v>20602.093263427916</v>
      </c>
      <c r="AD17" s="64">
        <v>21341.427428961179</v>
      </c>
      <c r="AE17" s="64">
        <v>21996.364809115956</v>
      </c>
      <c r="AF17" s="64">
        <v>21989.070658560991</v>
      </c>
      <c r="AG17" s="64">
        <v>22466.58031180788</v>
      </c>
      <c r="AH17" s="64">
        <v>23556.384266636189</v>
      </c>
      <c r="AI17" s="64">
        <v>23497.801198239038</v>
      </c>
      <c r="AJ17" s="64">
        <v>24515.997222441791</v>
      </c>
      <c r="AK17" s="64">
        <v>24359.187149578072</v>
      </c>
      <c r="AL17" s="64">
        <v>25349.692733759366</v>
      </c>
      <c r="AM17" s="64">
        <v>26482.755191180571</v>
      </c>
    </row>
    <row r="18" spans="1:39" s="19" customFormat="1" ht="12.95" customHeight="1" x14ac:dyDescent="0.2">
      <c r="A18" s="21" t="s">
        <v>29</v>
      </c>
      <c r="B18" s="22"/>
      <c r="C18" s="22"/>
      <c r="D18" s="22"/>
      <c r="E18" s="22"/>
      <c r="F18" s="22"/>
      <c r="G18" s="22"/>
      <c r="H18" s="22"/>
      <c r="I18" s="22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</row>
    <row r="19" spans="1:39" s="19" customFormat="1" ht="12.95" customHeight="1" x14ac:dyDescent="0.2">
      <c r="A19" s="24" t="s">
        <v>30</v>
      </c>
      <c r="B19" s="22">
        <v>1804.6906987362199</v>
      </c>
      <c r="C19" s="22">
        <v>1821.5139825183601</v>
      </c>
      <c r="D19" s="22">
        <v>1967.26186239041</v>
      </c>
      <c r="E19" s="22">
        <v>2036.19949258574</v>
      </c>
      <c r="F19" s="22">
        <v>2016.65951680597</v>
      </c>
      <c r="G19" s="22">
        <v>2106.0092888925201</v>
      </c>
      <c r="H19" s="22">
        <v>2213.37873136394</v>
      </c>
      <c r="I19" s="22">
        <v>2305.5391999943399</v>
      </c>
      <c r="J19" s="63">
        <v>2419.85350183318</v>
      </c>
      <c r="K19" s="63">
        <v>2495.0658010110301</v>
      </c>
      <c r="L19" s="63">
        <v>2462.6120928840101</v>
      </c>
      <c r="M19" s="63">
        <v>2442.9902799350298</v>
      </c>
      <c r="N19" s="63">
        <v>2561.3233126673099</v>
      </c>
      <c r="O19" s="63">
        <v>2599.4062342305801</v>
      </c>
      <c r="P19" s="63">
        <v>2603.9758569511</v>
      </c>
      <c r="Q19" s="63">
        <v>1647.8655849936799</v>
      </c>
      <c r="R19" s="63">
        <v>2589.87076800768</v>
      </c>
      <c r="S19" s="63">
        <v>2655.2596280278099</v>
      </c>
      <c r="T19" s="63">
        <v>2625.3188033965498</v>
      </c>
      <c r="U19" s="63">
        <v>2745.5562466821202</v>
      </c>
      <c r="V19" s="63">
        <v>2770.9739404029001</v>
      </c>
      <c r="W19" s="63">
        <v>3145.3546545808999</v>
      </c>
      <c r="X19" s="63">
        <v>3236.6783886367898</v>
      </c>
      <c r="Y19" s="63">
        <v>3145.3792317622601</v>
      </c>
      <c r="Z19" s="63">
        <v>3316.7243141670601</v>
      </c>
      <c r="AA19" s="63">
        <v>3163.5209052458099</v>
      </c>
      <c r="AB19" s="63">
        <v>3587.8551917773202</v>
      </c>
      <c r="AC19" s="63">
        <v>3905.2425297567702</v>
      </c>
      <c r="AD19" s="63">
        <v>3704.2814171178502</v>
      </c>
      <c r="AE19" s="63">
        <v>3661.61107764185</v>
      </c>
      <c r="AF19" s="63">
        <v>3796.5472460231199</v>
      </c>
      <c r="AG19" s="63">
        <v>3847.3338490278702</v>
      </c>
      <c r="AH19" s="63">
        <v>4175.8079125700997</v>
      </c>
      <c r="AI19" s="63">
        <v>4163.9316571218196</v>
      </c>
      <c r="AJ19" s="63">
        <v>4166.4591703870301</v>
      </c>
      <c r="AK19" s="63">
        <v>4578.1560619050797</v>
      </c>
      <c r="AL19" s="63">
        <v>4285.4659094299404</v>
      </c>
      <c r="AM19" s="63">
        <v>4561.0785029184399</v>
      </c>
    </row>
    <row r="20" spans="1:39" s="19" customFormat="1" ht="12.95" customHeight="1" x14ac:dyDescent="0.2">
      <c r="B20" s="16"/>
      <c r="C20" s="16"/>
      <c r="D20" s="16"/>
      <c r="E20" s="16"/>
      <c r="F20" s="16"/>
      <c r="G20" s="16"/>
      <c r="H20" s="16"/>
      <c r="I20" s="16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</row>
    <row r="21" spans="1:39" s="19" customFormat="1" ht="12.95" customHeight="1" x14ac:dyDescent="0.2">
      <c r="A21" s="20" t="s">
        <v>77</v>
      </c>
      <c r="B21" s="16"/>
      <c r="C21" s="16"/>
      <c r="D21" s="16"/>
      <c r="E21" s="16"/>
      <c r="F21" s="16"/>
      <c r="G21" s="16"/>
      <c r="H21" s="16"/>
      <c r="I21" s="16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</row>
    <row r="22" spans="1:39" s="20" customFormat="1" ht="12.95" customHeight="1" x14ac:dyDescent="0.2">
      <c r="A22" s="21" t="s">
        <v>0</v>
      </c>
      <c r="B22" s="22">
        <v>25638.800930771155</v>
      </c>
      <c r="C22" s="22">
        <v>26803.850720266058</v>
      </c>
      <c r="D22" s="22">
        <v>27869.715755726516</v>
      </c>
      <c r="E22" s="22">
        <v>28386.818728441147</v>
      </c>
      <c r="F22" s="22">
        <v>28651.812396998801</v>
      </c>
      <c r="G22" s="22">
        <v>29115.38612931997</v>
      </c>
      <c r="H22" s="22">
        <v>30627.145573960315</v>
      </c>
      <c r="I22" s="22">
        <v>31598.57792732399</v>
      </c>
      <c r="J22" s="63">
        <v>32273.388180976388</v>
      </c>
      <c r="K22" s="63">
        <v>32779.01563862896</v>
      </c>
      <c r="L22" s="63">
        <v>33448.073972750288</v>
      </c>
      <c r="M22" s="63">
        <v>34384.576160865494</v>
      </c>
      <c r="N22" s="63">
        <v>35415.391359928755</v>
      </c>
      <c r="O22" s="63">
        <v>35991.178848549098</v>
      </c>
      <c r="P22" s="63">
        <v>35783.602465616721</v>
      </c>
      <c r="Q22" s="63">
        <v>35597.009634887509</v>
      </c>
      <c r="R22" s="63">
        <v>35984.305774960238</v>
      </c>
      <c r="S22" s="63">
        <v>36647.841001151799</v>
      </c>
      <c r="T22" s="63">
        <v>37260.709338654349</v>
      </c>
      <c r="U22" s="63">
        <v>37714.775618751009</v>
      </c>
      <c r="V22" s="63">
        <v>38564.484351386156</v>
      </c>
      <c r="W22" s="63">
        <v>40134.772233560965</v>
      </c>
      <c r="X22" s="63">
        <v>41735.714035563047</v>
      </c>
      <c r="Y22" s="63">
        <v>43033.594551630733</v>
      </c>
      <c r="Z22" s="63">
        <v>44195.482974001112</v>
      </c>
      <c r="AA22" s="63">
        <v>45130.769390662812</v>
      </c>
      <c r="AB22" s="63">
        <v>46607.848149707206</v>
      </c>
      <c r="AC22" s="63">
        <v>48158.598720847818</v>
      </c>
      <c r="AD22" s="63">
        <v>49418.961727966846</v>
      </c>
      <c r="AE22" s="63">
        <v>49910.46826788014</v>
      </c>
      <c r="AF22" s="63">
        <v>51243.516655914151</v>
      </c>
      <c r="AG22" s="63">
        <v>52792.024260099184</v>
      </c>
      <c r="AH22" s="63">
        <v>54316.578566407174</v>
      </c>
      <c r="AI22" s="63">
        <v>55857.403587330096</v>
      </c>
      <c r="AJ22" s="63">
        <v>57039.588172719494</v>
      </c>
      <c r="AK22" s="63">
        <v>57975.792485721489</v>
      </c>
      <c r="AL22" s="63">
        <v>59898.868833095097</v>
      </c>
      <c r="AM22" s="63">
        <v>62350.451527698206</v>
      </c>
    </row>
    <row r="23" spans="1:39" s="19" customFormat="1" ht="12.95" customHeight="1" x14ac:dyDescent="0.2">
      <c r="A23" s="23" t="s">
        <v>73</v>
      </c>
      <c r="B23" s="16">
        <v>6148.1656509296236</v>
      </c>
      <c r="C23" s="16">
        <v>6433.4739164240345</v>
      </c>
      <c r="D23" s="16">
        <v>6582.8791486899318</v>
      </c>
      <c r="E23" s="16">
        <v>6552.4805854497226</v>
      </c>
      <c r="F23" s="16">
        <v>6482.8120832826298</v>
      </c>
      <c r="G23" s="16">
        <v>6455.3162647721983</v>
      </c>
      <c r="H23" s="16">
        <v>7220.1671850827079</v>
      </c>
      <c r="I23" s="16">
        <v>7317.1268002395309</v>
      </c>
      <c r="J23" s="64">
        <v>7409.930435983636</v>
      </c>
      <c r="K23" s="64">
        <v>7571.9695320442743</v>
      </c>
      <c r="L23" s="64">
        <v>7865.5676159655559</v>
      </c>
      <c r="M23" s="64">
        <v>8096.9262241563238</v>
      </c>
      <c r="N23" s="64">
        <v>8172.9425454175889</v>
      </c>
      <c r="O23" s="64">
        <v>8272.4502339661576</v>
      </c>
      <c r="P23" s="64">
        <v>8409.3431607064504</v>
      </c>
      <c r="Q23" s="64">
        <v>8489.1962454197419</v>
      </c>
      <c r="R23" s="64">
        <v>8535.7190402687502</v>
      </c>
      <c r="S23" s="64">
        <v>8574.8864918569489</v>
      </c>
      <c r="T23" s="64">
        <v>8674.5792930997159</v>
      </c>
      <c r="U23" s="64">
        <v>8973.948726566392</v>
      </c>
      <c r="V23" s="64">
        <v>9385.5792538439873</v>
      </c>
      <c r="W23" s="64">
        <v>9663.1078149784498</v>
      </c>
      <c r="X23" s="64">
        <v>9870.5867254594359</v>
      </c>
      <c r="Y23" s="64">
        <v>10274.837341187927</v>
      </c>
      <c r="Z23" s="64">
        <v>10814.156147058633</v>
      </c>
      <c r="AA23" s="64">
        <v>11230.856488308204</v>
      </c>
      <c r="AB23" s="64">
        <v>11495.742015341348</v>
      </c>
      <c r="AC23" s="64">
        <v>11452.190068855374</v>
      </c>
      <c r="AD23" s="64">
        <v>11750.269316211141</v>
      </c>
      <c r="AE23" s="64">
        <v>12278.058591454706</v>
      </c>
      <c r="AF23" s="64">
        <v>12990.847574085536</v>
      </c>
      <c r="AG23" s="64">
        <v>13639.093054252315</v>
      </c>
      <c r="AH23" s="64">
        <v>14096.895856526768</v>
      </c>
      <c r="AI23" s="64">
        <v>14454.708812914963</v>
      </c>
      <c r="AJ23" s="64">
        <v>14702.617283433878</v>
      </c>
      <c r="AK23" s="64">
        <v>14875.58952597065</v>
      </c>
      <c r="AL23" s="64">
        <v>15516.801897287345</v>
      </c>
      <c r="AM23" s="64">
        <v>16373.122953599834</v>
      </c>
    </row>
    <row r="24" spans="1:39" s="19" customFormat="1" ht="12.95" customHeight="1" x14ac:dyDescent="0.2">
      <c r="A24" s="23" t="s">
        <v>8</v>
      </c>
      <c r="B24" s="16">
        <v>6569.2624793027471</v>
      </c>
      <c r="C24" s="16">
        <v>6975.3971194712376</v>
      </c>
      <c r="D24" s="16">
        <v>7316.7902706175773</v>
      </c>
      <c r="E24" s="16">
        <v>7420.8391066718705</v>
      </c>
      <c r="F24" s="16">
        <v>7482.8658069266157</v>
      </c>
      <c r="G24" s="16">
        <v>7669.5870839616391</v>
      </c>
      <c r="H24" s="16">
        <v>8009.8835366226094</v>
      </c>
      <c r="I24" s="16">
        <v>8417.145596365559</v>
      </c>
      <c r="J24" s="64">
        <v>8637.196069176789</v>
      </c>
      <c r="K24" s="64">
        <v>8747.7344565459334</v>
      </c>
      <c r="L24" s="64">
        <v>8827.9028620560275</v>
      </c>
      <c r="M24" s="64">
        <v>8970.0360552095117</v>
      </c>
      <c r="N24" s="64">
        <v>9339.8090704609531</v>
      </c>
      <c r="O24" s="64">
        <v>9656.4435082344135</v>
      </c>
      <c r="P24" s="64">
        <v>9680.0689887321714</v>
      </c>
      <c r="Q24" s="64">
        <v>9738.3497427954026</v>
      </c>
      <c r="R24" s="64">
        <v>9975.6995922713795</v>
      </c>
      <c r="S24" s="64">
        <v>10163.131133931793</v>
      </c>
      <c r="T24" s="64">
        <v>10257.480765966808</v>
      </c>
      <c r="U24" s="64">
        <v>10173.670065998471</v>
      </c>
      <c r="V24" s="64">
        <v>10208.074249853511</v>
      </c>
      <c r="W24" s="64">
        <v>10680.19765593687</v>
      </c>
      <c r="X24" s="64">
        <v>11296.882980409944</v>
      </c>
      <c r="Y24" s="64">
        <v>11614.885389335011</v>
      </c>
      <c r="Z24" s="64">
        <v>11587.529353456577</v>
      </c>
      <c r="AA24" s="64">
        <v>11428.853953893504</v>
      </c>
      <c r="AB24" s="64">
        <v>11783.290540791049</v>
      </c>
      <c r="AC24" s="64">
        <v>12490.375953556817</v>
      </c>
      <c r="AD24" s="64">
        <v>12753.23114833229</v>
      </c>
      <c r="AE24" s="64">
        <v>12555.440818301051</v>
      </c>
      <c r="AF24" s="64">
        <v>12428.135356719969</v>
      </c>
      <c r="AG24" s="64">
        <v>12498.003088106012</v>
      </c>
      <c r="AH24" s="64">
        <v>12890.39258051015</v>
      </c>
      <c r="AI24" s="64">
        <v>13490.876322508608</v>
      </c>
      <c r="AJ24" s="64">
        <v>13867.078532394637</v>
      </c>
      <c r="AK24" s="64">
        <v>14182.870001077486</v>
      </c>
      <c r="AL24" s="64">
        <v>14721.793793243101</v>
      </c>
      <c r="AM24" s="64">
        <v>15308.951972903793</v>
      </c>
    </row>
    <row r="25" spans="1:39" s="19" customFormat="1" ht="12.95" customHeight="1" x14ac:dyDescent="0.2">
      <c r="A25" s="23" t="s">
        <v>14</v>
      </c>
      <c r="B25" s="16">
        <v>11142.414001022524</v>
      </c>
      <c r="C25" s="16">
        <v>11543.139467250243</v>
      </c>
      <c r="D25" s="16">
        <v>12017.034184793749</v>
      </c>
      <c r="E25" s="16">
        <v>12392.648246226592</v>
      </c>
      <c r="F25" s="16">
        <v>12648.310703068277</v>
      </c>
      <c r="G25" s="16">
        <v>12888.705904624971</v>
      </c>
      <c r="H25" s="16">
        <v>13188.899409271422</v>
      </c>
      <c r="I25" s="16">
        <v>13551.525101699037</v>
      </c>
      <c r="J25" s="64">
        <v>13805.871560191646</v>
      </c>
      <c r="K25" s="64">
        <v>13978.128017033536</v>
      </c>
      <c r="L25" s="64">
        <v>14292.331003272766</v>
      </c>
      <c r="M25" s="64">
        <v>14849.414209765951</v>
      </c>
      <c r="N25" s="64">
        <v>15360.770197651109</v>
      </c>
      <c r="O25" s="64">
        <v>15460.843901448032</v>
      </c>
      <c r="P25" s="64">
        <v>15090.302994248001</v>
      </c>
      <c r="Q25" s="64">
        <v>14778.610939326873</v>
      </c>
      <c r="R25" s="64">
        <v>14866.220944004359</v>
      </c>
      <c r="S25" s="64">
        <v>15284.698773763692</v>
      </c>
      <c r="T25" s="64">
        <v>15671.028319344505</v>
      </c>
      <c r="U25" s="64">
        <v>15857.3193294554</v>
      </c>
      <c r="V25" s="64">
        <v>16092.567133077537</v>
      </c>
      <c r="W25" s="64">
        <v>16685.037638951835</v>
      </c>
      <c r="X25" s="64">
        <v>17360.599865442371</v>
      </c>
      <c r="Y25" s="64">
        <v>17934.453099623086</v>
      </c>
      <c r="Z25" s="64">
        <v>18539.343806868066</v>
      </c>
      <c r="AA25" s="64">
        <v>19101.361583172802</v>
      </c>
      <c r="AB25" s="64">
        <v>19713.929960939855</v>
      </c>
      <c r="AC25" s="64">
        <v>20402.451770984087</v>
      </c>
      <c r="AD25" s="64">
        <v>21162.914834869105</v>
      </c>
      <c r="AE25" s="64">
        <v>21394.719640739553</v>
      </c>
      <c r="AF25" s="64">
        <v>22073.774783568406</v>
      </c>
      <c r="AG25" s="64">
        <v>22735.645419362358</v>
      </c>
      <c r="AH25" s="64">
        <v>23224.910990268236</v>
      </c>
      <c r="AI25" s="64">
        <v>23729.769601383279</v>
      </c>
      <c r="AJ25" s="64">
        <v>24276.90267747566</v>
      </c>
      <c r="AK25" s="64">
        <v>24674.810606891064</v>
      </c>
      <c r="AL25" s="64">
        <v>25307.981705709441</v>
      </c>
      <c r="AM25" s="64">
        <v>26158.981670109977</v>
      </c>
    </row>
    <row r="26" spans="1:39" s="19" customFormat="1" ht="12.95" customHeight="1" x14ac:dyDescent="0.2">
      <c r="A26" s="21" t="s">
        <v>29</v>
      </c>
      <c r="B26" s="16"/>
      <c r="C26" s="16"/>
      <c r="D26" s="16"/>
      <c r="E26" s="16"/>
      <c r="F26" s="16"/>
      <c r="G26" s="16"/>
      <c r="H26" s="16"/>
      <c r="I26" s="16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</row>
    <row r="27" spans="1:39" s="27" customFormat="1" ht="12.95" customHeight="1" thickBot="1" x14ac:dyDescent="0.25">
      <c r="A27" s="25" t="s">
        <v>30</v>
      </c>
      <c r="B27" s="26">
        <v>1778.9587995162599</v>
      </c>
      <c r="C27" s="26">
        <v>1851.84021712054</v>
      </c>
      <c r="D27" s="26">
        <v>1953.01215162526</v>
      </c>
      <c r="E27" s="26">
        <v>2020.8507900929601</v>
      </c>
      <c r="F27" s="26">
        <v>2037.82380372128</v>
      </c>
      <c r="G27" s="26">
        <v>2101.7768759611599</v>
      </c>
      <c r="H27" s="26">
        <v>2208.1954429835801</v>
      </c>
      <c r="I27" s="26">
        <v>2312.7804290198601</v>
      </c>
      <c r="J27" s="65">
        <v>2420.3901156243201</v>
      </c>
      <c r="K27" s="65">
        <v>2481.1836330052201</v>
      </c>
      <c r="L27" s="65">
        <v>2462.2724914559399</v>
      </c>
      <c r="M27" s="65">
        <v>2468.1996717337101</v>
      </c>
      <c r="N27" s="65">
        <v>2541.8695463990998</v>
      </c>
      <c r="O27" s="65">
        <v>2601.4412049005</v>
      </c>
      <c r="P27" s="65">
        <v>2603.8873219300999</v>
      </c>
      <c r="Q27" s="65">
        <v>2590.8527073454902</v>
      </c>
      <c r="R27" s="65">
        <v>2606.6661984157499</v>
      </c>
      <c r="S27" s="65">
        <v>2625.1246015993702</v>
      </c>
      <c r="T27" s="65">
        <v>2657.62096024332</v>
      </c>
      <c r="U27" s="65">
        <v>2709.83749673075</v>
      </c>
      <c r="V27" s="65">
        <v>2878.2637146111201</v>
      </c>
      <c r="W27" s="65">
        <v>3106.4291236938102</v>
      </c>
      <c r="X27" s="65">
        <v>3207.6444642513002</v>
      </c>
      <c r="Y27" s="65">
        <v>3209.4187214847102</v>
      </c>
      <c r="Z27" s="65">
        <v>3254.4536666178401</v>
      </c>
      <c r="AA27" s="65">
        <v>3369.6973652882998</v>
      </c>
      <c r="AB27" s="65">
        <v>3614.8856326349501</v>
      </c>
      <c r="AC27" s="65">
        <v>3813.58092745154</v>
      </c>
      <c r="AD27" s="65">
        <v>3752.5464285543098</v>
      </c>
      <c r="AE27" s="65">
        <v>3682.24921738483</v>
      </c>
      <c r="AF27" s="65">
        <v>3750.7589415402399</v>
      </c>
      <c r="AG27" s="65">
        <v>3919.2826983784998</v>
      </c>
      <c r="AH27" s="65">
        <v>4104.3791391020204</v>
      </c>
      <c r="AI27" s="65">
        <v>4182.0488505232397</v>
      </c>
      <c r="AJ27" s="65">
        <v>4192.9896794153201</v>
      </c>
      <c r="AK27" s="65">
        <v>4242.5223517822897</v>
      </c>
      <c r="AL27" s="65">
        <v>4352.2914368552101</v>
      </c>
      <c r="AM27" s="65">
        <v>4509.3949310846001</v>
      </c>
    </row>
    <row r="28" spans="1:39" x14ac:dyDescent="0.2">
      <c r="A28" s="28" t="s">
        <v>63</v>
      </c>
    </row>
    <row r="29" spans="1:39" ht="12.75" thickBot="1" x14ac:dyDescent="0.25">
      <c r="A29" s="30" t="s">
        <v>122</v>
      </c>
      <c r="B29" s="30"/>
    </row>
    <row r="30" spans="1:39" s="47" customFormat="1" ht="15" customHeight="1" x14ac:dyDescent="0.2">
      <c r="B30" s="149" t="s">
        <v>75</v>
      </c>
      <c r="C30" s="149"/>
      <c r="D30" s="149"/>
      <c r="E30" s="149"/>
      <c r="F30" s="149" t="s">
        <v>79</v>
      </c>
      <c r="G30" s="149"/>
      <c r="H30" s="149"/>
      <c r="J30" s="150" t="s">
        <v>85</v>
      </c>
      <c r="K30" s="150"/>
      <c r="L30" s="150"/>
      <c r="M30" s="150"/>
      <c r="N30" s="150" t="s">
        <v>86</v>
      </c>
      <c r="O30" s="150"/>
      <c r="P30" s="150"/>
      <c r="Q30" s="150"/>
      <c r="R30" s="150" t="s">
        <v>89</v>
      </c>
      <c r="S30" s="150"/>
      <c r="T30" s="150"/>
      <c r="U30" s="150"/>
      <c r="V30" s="150" t="s">
        <v>90</v>
      </c>
      <c r="W30" s="150"/>
      <c r="X30" s="150"/>
      <c r="Y30" s="150"/>
      <c r="Z30" s="60" t="s">
        <v>91</v>
      </c>
      <c r="AA30" s="60"/>
      <c r="AD30" s="149" t="s">
        <v>92</v>
      </c>
      <c r="AE30" s="149"/>
      <c r="AF30" s="149"/>
      <c r="AG30" s="149"/>
      <c r="AH30" s="149" t="s">
        <v>118</v>
      </c>
      <c r="AI30" s="149"/>
      <c r="AJ30" s="149"/>
      <c r="AK30" s="149"/>
      <c r="AL30" s="47" t="s">
        <v>120</v>
      </c>
    </row>
    <row r="31" spans="1:39" s="51" customFormat="1" x14ac:dyDescent="0.2">
      <c r="A31" s="48"/>
      <c r="B31" s="49" t="s">
        <v>57</v>
      </c>
      <c r="C31" s="49" t="s">
        <v>58</v>
      </c>
      <c r="D31" s="49" t="s">
        <v>59</v>
      </c>
      <c r="E31" s="49" t="s">
        <v>60</v>
      </c>
      <c r="F31" s="50" t="s">
        <v>57</v>
      </c>
      <c r="G31" s="50" t="s">
        <v>58</v>
      </c>
      <c r="H31" s="50" t="s">
        <v>59</v>
      </c>
      <c r="I31" s="50" t="s">
        <v>60</v>
      </c>
      <c r="J31" s="62" t="s">
        <v>57</v>
      </c>
      <c r="K31" s="62" t="s">
        <v>58</v>
      </c>
      <c r="L31" s="62" t="s">
        <v>59</v>
      </c>
      <c r="M31" s="62" t="s">
        <v>60</v>
      </c>
      <c r="N31" s="61" t="s">
        <v>57</v>
      </c>
      <c r="O31" s="61" t="s">
        <v>58</v>
      </c>
      <c r="P31" s="61" t="s">
        <v>59</v>
      </c>
      <c r="Q31" s="61" t="s">
        <v>60</v>
      </c>
      <c r="R31" s="61" t="s">
        <v>57</v>
      </c>
      <c r="S31" s="61" t="s">
        <v>58</v>
      </c>
      <c r="T31" s="61" t="s">
        <v>59</v>
      </c>
      <c r="U31" s="61" t="s">
        <v>60</v>
      </c>
      <c r="V31" s="61" t="s">
        <v>57</v>
      </c>
      <c r="W31" s="61" t="s">
        <v>58</v>
      </c>
      <c r="X31" s="61" t="s">
        <v>59</v>
      </c>
      <c r="Y31" s="61" t="s">
        <v>60</v>
      </c>
      <c r="Z31" s="61" t="s">
        <v>57</v>
      </c>
      <c r="AA31" s="61" t="s">
        <v>58</v>
      </c>
      <c r="AB31" s="61" t="s">
        <v>59</v>
      </c>
      <c r="AC31" s="61" t="s">
        <v>60</v>
      </c>
      <c r="AD31" s="61" t="s">
        <v>57</v>
      </c>
      <c r="AE31" s="61" t="s">
        <v>58</v>
      </c>
      <c r="AF31" s="61" t="s">
        <v>59</v>
      </c>
      <c r="AG31" s="61" t="s">
        <v>60</v>
      </c>
      <c r="AH31" s="61" t="s">
        <v>57</v>
      </c>
      <c r="AI31" s="61" t="s">
        <v>58</v>
      </c>
      <c r="AJ31" s="61" t="s">
        <v>59</v>
      </c>
      <c r="AK31" s="61" t="s">
        <v>60</v>
      </c>
      <c r="AL31" s="61" t="s">
        <v>57</v>
      </c>
      <c r="AM31" s="61" t="s">
        <v>58</v>
      </c>
    </row>
    <row r="32" spans="1:39" s="19" customFormat="1" ht="12.95" customHeight="1" x14ac:dyDescent="0.2">
      <c r="A32" s="20" t="s">
        <v>78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9" s="20" customFormat="1" ht="12.95" customHeight="1" x14ac:dyDescent="0.2">
      <c r="A33" s="21" t="s">
        <v>0</v>
      </c>
      <c r="B33" s="31">
        <v>100</v>
      </c>
      <c r="C33" s="31">
        <v>99.999999999999986</v>
      </c>
      <c r="D33" s="31">
        <v>100</v>
      </c>
      <c r="E33" s="31">
        <v>100</v>
      </c>
      <c r="F33" s="31">
        <v>99.999999999999986</v>
      </c>
      <c r="G33" s="31">
        <v>100.00000000000001</v>
      </c>
      <c r="H33" s="31">
        <v>100</v>
      </c>
      <c r="I33" s="31">
        <v>100</v>
      </c>
      <c r="J33" s="44">
        <v>100</v>
      </c>
      <c r="K33" s="44">
        <v>100</v>
      </c>
      <c r="L33" s="44">
        <v>100</v>
      </c>
      <c r="M33" s="44">
        <v>100.00000000000001</v>
      </c>
      <c r="N33" s="44">
        <v>100</v>
      </c>
      <c r="O33" s="44">
        <v>99.999999999999986</v>
      </c>
      <c r="P33" s="44">
        <v>100</v>
      </c>
      <c r="Q33" s="44">
        <v>100.00000000000001</v>
      </c>
      <c r="R33" s="44">
        <v>100</v>
      </c>
      <c r="S33" s="44">
        <v>100</v>
      </c>
      <c r="T33" s="44">
        <v>100</v>
      </c>
      <c r="U33" s="44">
        <v>100.00000000000001</v>
      </c>
      <c r="V33" s="44">
        <v>100.00000000000001</v>
      </c>
      <c r="W33" s="44">
        <v>100</v>
      </c>
      <c r="X33" s="44">
        <v>100</v>
      </c>
      <c r="Y33" s="44">
        <v>99.999999999999986</v>
      </c>
      <c r="Z33" s="44">
        <v>99.999999999999986</v>
      </c>
      <c r="AA33" s="44">
        <v>100</v>
      </c>
      <c r="AB33" s="44">
        <v>100</v>
      </c>
      <c r="AC33" s="44">
        <v>99.999999999999986</v>
      </c>
      <c r="AD33" s="44">
        <v>99.999999999999986</v>
      </c>
      <c r="AE33" s="44">
        <v>100</v>
      </c>
      <c r="AF33" s="44">
        <v>100</v>
      </c>
      <c r="AG33" s="44">
        <v>100.00000000000001</v>
      </c>
      <c r="AH33" s="44">
        <v>100</v>
      </c>
      <c r="AI33" s="44">
        <v>100</v>
      </c>
      <c r="AJ33" s="44">
        <v>100</v>
      </c>
      <c r="AK33" s="44">
        <v>100</v>
      </c>
      <c r="AL33" s="44">
        <v>99.999999999999986</v>
      </c>
      <c r="AM33" s="44">
        <v>100</v>
      </c>
    </row>
    <row r="34" spans="1:39" s="19" customFormat="1" ht="12.95" customHeight="1" x14ac:dyDescent="0.2">
      <c r="A34" s="23" t="s">
        <v>73</v>
      </c>
      <c r="B34" s="32">
        <v>28.764944424180079</v>
      </c>
      <c r="C34" s="32">
        <v>23.064638601975719</v>
      </c>
      <c r="D34" s="32">
        <v>20.29258280906128</v>
      </c>
      <c r="E34" s="32">
        <v>21.553062584388723</v>
      </c>
      <c r="F34" s="32">
        <v>28.51016730906456</v>
      </c>
      <c r="G34" s="32">
        <v>20.52050724520706</v>
      </c>
      <c r="H34" s="32">
        <v>20.722639870627205</v>
      </c>
      <c r="I34" s="32">
        <v>22.815887967585887</v>
      </c>
      <c r="J34" s="66">
        <v>26.511627766455355</v>
      </c>
      <c r="K34" s="66">
        <v>21.363447330122298</v>
      </c>
      <c r="L34" s="66">
        <v>20.673451272408734</v>
      </c>
      <c r="M34" s="66">
        <v>23.013741117694366</v>
      </c>
      <c r="N34" s="66">
        <v>27.378272896131673</v>
      </c>
      <c r="O34" s="66">
        <v>22.718827570263365</v>
      </c>
      <c r="P34" s="66">
        <v>20.257654546568656</v>
      </c>
      <c r="Q34" s="66">
        <v>25.095919864535908</v>
      </c>
      <c r="R34" s="66">
        <v>29.052051775121253</v>
      </c>
      <c r="S34" s="66">
        <v>23.675553699200268</v>
      </c>
      <c r="T34" s="66">
        <v>18.998274567819283</v>
      </c>
      <c r="U34" s="66">
        <v>23.135883877340511</v>
      </c>
      <c r="V34" s="66">
        <v>30.135140102155439</v>
      </c>
      <c r="W34" s="66">
        <v>22.991842462488634</v>
      </c>
      <c r="X34" s="66">
        <v>19.389338940586505</v>
      </c>
      <c r="Y34" s="66">
        <v>23.303046736524614</v>
      </c>
      <c r="Z34" s="66">
        <v>29.014347965490106</v>
      </c>
      <c r="AA34" s="66">
        <v>24.094816778115721</v>
      </c>
      <c r="AB34" s="66">
        <v>20.145532277777093</v>
      </c>
      <c r="AC34" s="66">
        <v>22.584401553902151</v>
      </c>
      <c r="AD34" s="66">
        <v>28.448394021079928</v>
      </c>
      <c r="AE34" s="66">
        <v>23.372259900290988</v>
      </c>
      <c r="AF34" s="66">
        <v>21.010189722496037</v>
      </c>
      <c r="AG34" s="66">
        <v>25.135324232883143</v>
      </c>
      <c r="AH34" s="66">
        <v>30.058146816131647</v>
      </c>
      <c r="AI34" s="66">
        <v>25.492855948393984</v>
      </c>
      <c r="AJ34" s="66">
        <v>23.414925959586871</v>
      </c>
      <c r="AK34" s="66">
        <v>25.26505047544979</v>
      </c>
      <c r="AL34" s="66">
        <v>29.139663462223936</v>
      </c>
      <c r="AM34" s="66">
        <v>25.63916499848597</v>
      </c>
    </row>
    <row r="35" spans="1:39" s="19" customFormat="1" ht="12.95" customHeight="1" x14ac:dyDescent="0.2">
      <c r="A35" s="23" t="s">
        <v>8</v>
      </c>
      <c r="B35" s="33">
        <v>23.616826570561869</v>
      </c>
      <c r="C35" s="33">
        <v>26.340120588759657</v>
      </c>
      <c r="D35" s="33">
        <v>27.88627203369925</v>
      </c>
      <c r="E35" s="33">
        <v>26.368819986653762</v>
      </c>
      <c r="F35" s="33">
        <v>23.958445158136517</v>
      </c>
      <c r="G35" s="33">
        <v>27.081613507739966</v>
      </c>
      <c r="H35" s="33">
        <v>27.275695119065151</v>
      </c>
      <c r="I35" s="33">
        <v>26.782825393613912</v>
      </c>
      <c r="J35" s="67">
        <v>25.378424089600522</v>
      </c>
      <c r="K35" s="67">
        <v>27.194794951136618</v>
      </c>
      <c r="L35" s="67">
        <v>27.684146538976101</v>
      </c>
      <c r="M35" s="67">
        <v>26.312234876263201</v>
      </c>
      <c r="N35" s="67">
        <v>24.564865153808533</v>
      </c>
      <c r="O35" s="67">
        <v>26.938280226623569</v>
      </c>
      <c r="P35" s="67">
        <v>28.220408991842326</v>
      </c>
      <c r="Q35" s="67">
        <v>26.442054667218745</v>
      </c>
      <c r="R35" s="67">
        <v>24.846934547293245</v>
      </c>
      <c r="S35" s="67">
        <v>27.426158486766539</v>
      </c>
      <c r="T35" s="67">
        <v>29.105416370373604</v>
      </c>
      <c r="U35" s="67">
        <v>27.434237173063273</v>
      </c>
      <c r="V35" s="67">
        <v>24.217047510888445</v>
      </c>
      <c r="W35" s="67">
        <v>26.858909418914283</v>
      </c>
      <c r="X35" s="67">
        <v>28.663315075807954</v>
      </c>
      <c r="Y35" s="67">
        <v>27.397885052362874</v>
      </c>
      <c r="Z35" s="67">
        <v>24.410469897828019</v>
      </c>
      <c r="AA35" s="67">
        <v>25.527557461853377</v>
      </c>
      <c r="AB35" s="67">
        <v>27.072573776742015</v>
      </c>
      <c r="AC35" s="67">
        <v>26.156921571611612</v>
      </c>
      <c r="AD35" s="67">
        <v>24.661466172248105</v>
      </c>
      <c r="AE35" s="67">
        <v>25.088549732509442</v>
      </c>
      <c r="AF35" s="67">
        <v>25.835746625503646</v>
      </c>
      <c r="AG35" s="67">
        <v>23.983797486536449</v>
      </c>
      <c r="AH35" s="67">
        <v>23.115230934966963</v>
      </c>
      <c r="AI35" s="67">
        <v>24.553764329723467</v>
      </c>
      <c r="AJ35" s="67">
        <v>25.083031703973585</v>
      </c>
      <c r="AK35" s="67">
        <v>24.428297956355046</v>
      </c>
      <c r="AL35" s="67">
        <v>23.539071189893665</v>
      </c>
      <c r="AM35" s="67">
        <v>24.580480660605684</v>
      </c>
    </row>
    <row r="36" spans="1:39" s="19" customFormat="1" ht="12.95" customHeight="1" x14ac:dyDescent="0.2">
      <c r="A36" s="23" t="s">
        <v>14</v>
      </c>
      <c r="B36" s="33">
        <v>41.252491500337015</v>
      </c>
      <c r="C36" s="33">
        <v>43.703422727616143</v>
      </c>
      <c r="D36" s="33">
        <v>44.331841376138939</v>
      </c>
      <c r="E36" s="33">
        <v>44.682792220709146</v>
      </c>
      <c r="F36" s="33">
        <v>41.275909607444646</v>
      </c>
      <c r="G36" s="33">
        <v>44.892853598533009</v>
      </c>
      <c r="H36" s="33">
        <v>44.370058916242968</v>
      </c>
      <c r="I36" s="33">
        <v>43.030730072713439</v>
      </c>
      <c r="J36" s="67">
        <v>41.228448524975676</v>
      </c>
      <c r="K36" s="67">
        <v>43.524887986534608</v>
      </c>
      <c r="L36" s="67">
        <v>43.914388663552316</v>
      </c>
      <c r="M36" s="67">
        <v>43.415476157762086</v>
      </c>
      <c r="N36" s="67">
        <v>41.510304502657277</v>
      </c>
      <c r="O36" s="67">
        <v>43.020065452348319</v>
      </c>
      <c r="P36" s="67">
        <v>43.74810147070513</v>
      </c>
      <c r="Q36" s="67">
        <v>43.251475466513078</v>
      </c>
      <c r="R36" s="67">
        <v>39.653730240357874</v>
      </c>
      <c r="S36" s="67">
        <v>41.524347723079174</v>
      </c>
      <c r="T36" s="67">
        <v>44.411750369193484</v>
      </c>
      <c r="U36" s="67">
        <v>42.034621312227138</v>
      </c>
      <c r="V36" s="67">
        <v>39.107701268658261</v>
      </c>
      <c r="W36" s="67">
        <v>42.117475223220353</v>
      </c>
      <c r="X36" s="67">
        <v>43.72218009496148</v>
      </c>
      <c r="Y36" s="67">
        <v>41.769425142621301</v>
      </c>
      <c r="Z36" s="67">
        <v>39.900287447226553</v>
      </c>
      <c r="AA36" s="67">
        <v>43.174629756536312</v>
      </c>
      <c r="AB36" s="67">
        <v>44.288691371082869</v>
      </c>
      <c r="AC36" s="67">
        <v>42.974937017714268</v>
      </c>
      <c r="AD36" s="67">
        <v>40.184128497543462</v>
      </c>
      <c r="AE36" s="67">
        <v>44.149898465422545</v>
      </c>
      <c r="AF36" s="67">
        <v>45.238090374394311</v>
      </c>
      <c r="AG36" s="67">
        <v>43.326494238162475</v>
      </c>
      <c r="AH36" s="67">
        <v>39.984439503704287</v>
      </c>
      <c r="AI36" s="67">
        <v>42.423848961765941</v>
      </c>
      <c r="AJ36" s="67">
        <v>43.941559768672569</v>
      </c>
      <c r="AK36" s="67">
        <v>42.199450907781177</v>
      </c>
      <c r="AL36" s="67">
        <v>40.672735331056522</v>
      </c>
      <c r="AM36" s="67">
        <v>42.475186737716477</v>
      </c>
    </row>
    <row r="37" spans="1:39" s="19" customFormat="1" ht="12.95" customHeight="1" x14ac:dyDescent="0.2">
      <c r="A37" s="21" t="s">
        <v>29</v>
      </c>
      <c r="B37" s="33"/>
      <c r="C37" s="33"/>
      <c r="D37" s="33"/>
      <c r="E37" s="33"/>
      <c r="F37" s="33"/>
      <c r="G37" s="33"/>
      <c r="H37" s="33"/>
      <c r="I37" s="33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</row>
    <row r="38" spans="1:39" s="19" customFormat="1" ht="12.95" customHeight="1" x14ac:dyDescent="0.2">
      <c r="A38" s="24" t="s">
        <v>30</v>
      </c>
      <c r="B38" s="33">
        <v>6.3657375049210456</v>
      </c>
      <c r="C38" s="33">
        <v>6.8918180816484726</v>
      </c>
      <c r="D38" s="33">
        <v>7.4893037811005332</v>
      </c>
      <c r="E38" s="33">
        <v>7.3953252082483631</v>
      </c>
      <c r="F38" s="33">
        <v>6.2554779253542705</v>
      </c>
      <c r="G38" s="33">
        <v>7.5050256485199753</v>
      </c>
      <c r="H38" s="33">
        <v>7.6316060940646757</v>
      </c>
      <c r="I38" s="33">
        <v>7.3705565660867682</v>
      </c>
      <c r="J38" s="67">
        <v>6.8814996189684523</v>
      </c>
      <c r="K38" s="67">
        <v>7.9168697322064814</v>
      </c>
      <c r="L38" s="67">
        <v>7.7280135250628472</v>
      </c>
      <c r="M38" s="67">
        <v>7.2585478482803598</v>
      </c>
      <c r="N38" s="67">
        <v>6.5465574474025239</v>
      </c>
      <c r="O38" s="67">
        <v>7.322826750764734</v>
      </c>
      <c r="P38" s="67">
        <v>7.7738349908838931</v>
      </c>
      <c r="Q38" s="67">
        <v>5.2105500017322752</v>
      </c>
      <c r="R38" s="67">
        <v>6.4472834372276289</v>
      </c>
      <c r="S38" s="67">
        <v>7.3739400909540214</v>
      </c>
      <c r="T38" s="67">
        <v>7.4845586926136258</v>
      </c>
      <c r="U38" s="67">
        <v>7.3952576373690837</v>
      </c>
      <c r="V38" s="67">
        <v>6.5401111182978715</v>
      </c>
      <c r="W38" s="67">
        <v>8.0317728953767364</v>
      </c>
      <c r="X38" s="67">
        <v>8.2251658886440637</v>
      </c>
      <c r="Y38" s="67">
        <v>7.5296430684911932</v>
      </c>
      <c r="Z38" s="67">
        <v>6.6748946894553116</v>
      </c>
      <c r="AA38" s="67">
        <v>7.2029960034945955</v>
      </c>
      <c r="AB38" s="67">
        <v>8.4932025743980333</v>
      </c>
      <c r="AC38" s="67">
        <v>8.2837398567719642</v>
      </c>
      <c r="AD38" s="67">
        <v>6.7060113091284972</v>
      </c>
      <c r="AE38" s="67">
        <v>7.3892919017770318</v>
      </c>
      <c r="AF38" s="67">
        <v>7.915973277606013</v>
      </c>
      <c r="AG38" s="67">
        <v>7.5543840424179418</v>
      </c>
      <c r="AH38" s="67">
        <v>6.8421827451971104</v>
      </c>
      <c r="AI38" s="67">
        <v>7.5295307601166179</v>
      </c>
      <c r="AJ38" s="67">
        <v>7.5604825677669671</v>
      </c>
      <c r="AK38" s="67">
        <v>8.1072006604139855</v>
      </c>
      <c r="AL38" s="67">
        <v>6.6485300168258625</v>
      </c>
      <c r="AM38" s="67">
        <v>7.3051676031918715</v>
      </c>
    </row>
    <row r="39" spans="1:39" s="19" customFormat="1" ht="12.95" customHeight="1" x14ac:dyDescent="0.2">
      <c r="B39" s="35"/>
      <c r="C39" s="35"/>
      <c r="D39" s="35"/>
      <c r="E39" s="35"/>
      <c r="F39" s="35"/>
      <c r="G39" s="35"/>
      <c r="H39" s="35"/>
      <c r="I39" s="35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</row>
    <row r="40" spans="1:39" s="19" customFormat="1" ht="12.95" customHeight="1" x14ac:dyDescent="0.2">
      <c r="A40" s="20" t="s">
        <v>76</v>
      </c>
      <c r="B40" s="35"/>
      <c r="C40" s="35"/>
      <c r="D40" s="35"/>
      <c r="E40" s="35"/>
      <c r="F40" s="35"/>
      <c r="G40" s="35"/>
      <c r="H40" s="35"/>
      <c r="I40" s="35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</row>
    <row r="41" spans="1:39" s="20" customFormat="1" ht="12.95" customHeight="1" x14ac:dyDescent="0.2">
      <c r="A41" s="21" t="s">
        <v>0</v>
      </c>
      <c r="B41" s="31">
        <v>100</v>
      </c>
      <c r="C41" s="31">
        <v>99.999999999999986</v>
      </c>
      <c r="D41" s="31">
        <v>99.999999999999986</v>
      </c>
      <c r="E41" s="31">
        <v>100</v>
      </c>
      <c r="F41" s="31">
        <v>100.00000000000001</v>
      </c>
      <c r="G41" s="31">
        <v>100</v>
      </c>
      <c r="H41" s="31">
        <v>100</v>
      </c>
      <c r="I41" s="31">
        <v>100.00000000000001</v>
      </c>
      <c r="J41" s="44">
        <v>99.999999999999986</v>
      </c>
      <c r="K41" s="44">
        <v>99.999999999999986</v>
      </c>
      <c r="L41" s="44">
        <v>100</v>
      </c>
      <c r="M41" s="44">
        <v>100</v>
      </c>
      <c r="N41" s="44">
        <v>100.00000000000001</v>
      </c>
      <c r="O41" s="44">
        <v>100</v>
      </c>
      <c r="P41" s="44">
        <v>100</v>
      </c>
      <c r="Q41" s="44">
        <v>99.999999999999972</v>
      </c>
      <c r="R41" s="44">
        <v>100</v>
      </c>
      <c r="S41" s="44">
        <v>100</v>
      </c>
      <c r="T41" s="44">
        <v>100</v>
      </c>
      <c r="U41" s="44">
        <v>99.999999999999986</v>
      </c>
      <c r="V41" s="44">
        <v>99.999999999999986</v>
      </c>
      <c r="W41" s="44">
        <v>100</v>
      </c>
      <c r="X41" s="44">
        <v>100</v>
      </c>
      <c r="Y41" s="44">
        <v>100</v>
      </c>
      <c r="Z41" s="44">
        <v>100</v>
      </c>
      <c r="AA41" s="44">
        <v>100</v>
      </c>
      <c r="AB41" s="44">
        <v>100</v>
      </c>
      <c r="AC41" s="44">
        <v>100</v>
      </c>
      <c r="AD41" s="44">
        <v>100.00000000000001</v>
      </c>
      <c r="AE41" s="44">
        <v>99.999999999999986</v>
      </c>
      <c r="AF41" s="44">
        <v>99.999999999999986</v>
      </c>
      <c r="AG41" s="44">
        <v>100</v>
      </c>
      <c r="AH41" s="44">
        <v>100.00000000000001</v>
      </c>
      <c r="AI41" s="44">
        <v>100</v>
      </c>
      <c r="AJ41" s="44">
        <v>99.999999999999986</v>
      </c>
      <c r="AK41" s="44">
        <v>100</v>
      </c>
      <c r="AL41" s="44">
        <v>100</v>
      </c>
      <c r="AM41" s="44">
        <v>100</v>
      </c>
    </row>
    <row r="42" spans="1:39" s="19" customFormat="1" ht="12.95" customHeight="1" x14ac:dyDescent="0.2">
      <c r="A42" s="23" t="s">
        <v>73</v>
      </c>
      <c r="B42" s="32">
        <v>23.595650560348147</v>
      </c>
      <c r="C42" s="32">
        <v>24.241490851766599</v>
      </c>
      <c r="D42" s="32">
        <v>23.848322824064073</v>
      </c>
      <c r="E42" s="32">
        <v>22.512381515309769</v>
      </c>
      <c r="F42" s="32">
        <v>23.223838325326895</v>
      </c>
      <c r="G42" s="32">
        <v>21.815279487323242</v>
      </c>
      <c r="H42" s="32">
        <v>24.57167933030285</v>
      </c>
      <c r="I42" s="32">
        <v>23.681621677010682</v>
      </c>
      <c r="J42" s="66">
        <v>21.712803221658969</v>
      </c>
      <c r="K42" s="66">
        <v>22.639489210638221</v>
      </c>
      <c r="L42" s="66">
        <v>24.547798748647757</v>
      </c>
      <c r="M42" s="66">
        <v>23.787213814749922</v>
      </c>
      <c r="N42" s="66">
        <v>22.636884233101199</v>
      </c>
      <c r="O42" s="66">
        <v>23.915656737738438</v>
      </c>
      <c r="P42" s="66">
        <v>23.896436496836671</v>
      </c>
      <c r="Q42" s="66">
        <v>25.813754070546185</v>
      </c>
      <c r="R42" s="66">
        <v>23.924309249891358</v>
      </c>
      <c r="S42" s="66">
        <v>24.78802930485832</v>
      </c>
      <c r="T42" s="66">
        <v>22.37369456670308</v>
      </c>
      <c r="U42" s="66">
        <v>23.937280748634258</v>
      </c>
      <c r="V42" s="66">
        <v>25.053752675702235</v>
      </c>
      <c r="W42" s="66">
        <v>23.942603719362687</v>
      </c>
      <c r="X42" s="66">
        <v>22.775252474404066</v>
      </c>
      <c r="Y42" s="66">
        <v>24.221647135642723</v>
      </c>
      <c r="Z42" s="66">
        <v>23.637784162632787</v>
      </c>
      <c r="AA42" s="66">
        <v>25.121022843291069</v>
      </c>
      <c r="AB42" s="66">
        <v>23.48700029146362</v>
      </c>
      <c r="AC42" s="66">
        <v>23.478323513750144</v>
      </c>
      <c r="AD42" s="66">
        <v>23.490843846801567</v>
      </c>
      <c r="AE42" s="66">
        <v>24.15996649014739</v>
      </c>
      <c r="AF42" s="66">
        <v>24.070962533097848</v>
      </c>
      <c r="AG42" s="66">
        <v>26.243216140920637</v>
      </c>
      <c r="AH42" s="66">
        <v>25.107472676459679</v>
      </c>
      <c r="AI42" s="66">
        <v>26.175661258415602</v>
      </c>
      <c r="AJ42" s="66">
        <v>26.041202395721474</v>
      </c>
      <c r="AK42" s="66">
        <v>26.580756731114192</v>
      </c>
      <c r="AL42" s="66">
        <v>24.982376270891738</v>
      </c>
      <c r="AM42" s="66">
        <v>26.277536830925598</v>
      </c>
    </row>
    <row r="43" spans="1:39" s="19" customFormat="1" ht="12.95" customHeight="1" x14ac:dyDescent="0.2">
      <c r="A43" s="23" t="s">
        <v>8</v>
      </c>
      <c r="B43" s="32">
        <v>25.664962843752054</v>
      </c>
      <c r="C43" s="32">
        <v>25.917237325882869</v>
      </c>
      <c r="D43" s="32">
        <v>26.349719442900437</v>
      </c>
      <c r="E43" s="32">
        <v>26.056596800027133</v>
      </c>
      <c r="F43" s="32">
        <v>26.052452079503198</v>
      </c>
      <c r="G43" s="32">
        <v>26.564223230694019</v>
      </c>
      <c r="H43" s="32">
        <v>25.713382187624617</v>
      </c>
      <c r="I43" s="32">
        <v>26.465035447859194</v>
      </c>
      <c r="J43" s="66">
        <v>27.280533020508852</v>
      </c>
      <c r="K43" s="66">
        <v>26.771124830324926</v>
      </c>
      <c r="L43" s="66">
        <v>26.115506678996852</v>
      </c>
      <c r="M43" s="66">
        <v>25.984675487379995</v>
      </c>
      <c r="N43" s="66">
        <v>26.379225342793649</v>
      </c>
      <c r="O43" s="66">
        <v>26.628682834214761</v>
      </c>
      <c r="P43" s="66">
        <v>26.740737985522795</v>
      </c>
      <c r="Q43" s="66">
        <v>26.095435239231307</v>
      </c>
      <c r="R43" s="66">
        <v>26.795143204581272</v>
      </c>
      <c r="S43" s="66">
        <v>27.185286624593815</v>
      </c>
      <c r="T43" s="66">
        <v>27.708101479109402</v>
      </c>
      <c r="U43" s="66">
        <v>27.0775671123601</v>
      </c>
      <c r="V43" s="66">
        <v>26.137683736124561</v>
      </c>
      <c r="W43" s="66">
        <v>26.624623372343915</v>
      </c>
      <c r="X43" s="66">
        <v>27.288431171848831</v>
      </c>
      <c r="Y43" s="66">
        <v>27.048727465093421</v>
      </c>
      <c r="Z43" s="66">
        <v>26.340654086888421</v>
      </c>
      <c r="AA43" s="66">
        <v>25.221047354829672</v>
      </c>
      <c r="AB43" s="66">
        <v>25.779006886219697</v>
      </c>
      <c r="AC43" s="66">
        <v>25.960369877821826</v>
      </c>
      <c r="AD43" s="66">
        <v>26.280158256888054</v>
      </c>
      <c r="AE43" s="66">
        <v>24.866834459545842</v>
      </c>
      <c r="AF43" s="66">
        <v>24.684629001602172</v>
      </c>
      <c r="AG43" s="66">
        <v>23.787710056307706</v>
      </c>
      <c r="AH43" s="66">
        <v>24.686725644800088</v>
      </c>
      <c r="AI43" s="66">
        <v>24.331087499188335</v>
      </c>
      <c r="AJ43" s="66">
        <v>24.098330485308292</v>
      </c>
      <c r="AK43" s="66">
        <v>24.175218485441022</v>
      </c>
      <c r="AL43" s="66">
        <v>24.844955574269925</v>
      </c>
      <c r="AM43" s="66">
        <v>24.348808928913172</v>
      </c>
    </row>
    <row r="44" spans="1:39" s="19" customFormat="1" ht="12.95" customHeight="1" x14ac:dyDescent="0.2">
      <c r="A44" s="23" t="s">
        <v>14</v>
      </c>
      <c r="B44" s="32">
        <v>43.681116750027726</v>
      </c>
      <c r="C44" s="32">
        <v>43.053030455729626</v>
      </c>
      <c r="D44" s="32">
        <v>42.799649849410891</v>
      </c>
      <c r="E44" s="32">
        <v>44.208473799314525</v>
      </c>
      <c r="F44" s="32">
        <v>43.749896918953418</v>
      </c>
      <c r="G44" s="32">
        <v>44.2904481974088</v>
      </c>
      <c r="H44" s="32">
        <v>42.587546882233951</v>
      </c>
      <c r="I44" s="32">
        <v>42.634898885983532</v>
      </c>
      <c r="J44" s="66">
        <v>43.378489592759919</v>
      </c>
      <c r="K44" s="66">
        <v>42.912204914409493</v>
      </c>
      <c r="L44" s="66">
        <v>42.101797453969162</v>
      </c>
      <c r="M44" s="66">
        <v>43.096468573589306</v>
      </c>
      <c r="N44" s="66">
        <v>43.71981154637875</v>
      </c>
      <c r="O44" s="66">
        <v>42.389149349374073</v>
      </c>
      <c r="P44" s="66">
        <v>42.040837353578524</v>
      </c>
      <c r="Q44" s="66">
        <v>42.980219610747064</v>
      </c>
      <c r="R44" s="66">
        <v>42.069391126219571</v>
      </c>
      <c r="S44" s="66">
        <v>40.910909145069688</v>
      </c>
      <c r="T44" s="66">
        <v>42.835771684767948</v>
      </c>
      <c r="U44" s="66">
        <v>41.72841647272751</v>
      </c>
      <c r="V44" s="66">
        <v>41.515176796095304</v>
      </c>
      <c r="W44" s="66">
        <v>41.621159804019534</v>
      </c>
      <c r="X44" s="66">
        <v>42.139746960524178</v>
      </c>
      <c r="Y44" s="66">
        <v>41.391120332836252</v>
      </c>
      <c r="Z44" s="66">
        <v>42.570853075245942</v>
      </c>
      <c r="AA44" s="66">
        <v>42.623280316799764</v>
      </c>
      <c r="AB44" s="66">
        <v>42.680509975492875</v>
      </c>
      <c r="AC44" s="66">
        <v>42.50436534832518</v>
      </c>
      <c r="AD44" s="66">
        <v>42.800086834091331</v>
      </c>
      <c r="AE44" s="66">
        <v>43.698890619696144</v>
      </c>
      <c r="AF44" s="66">
        <v>43.699434419964753</v>
      </c>
      <c r="AG44" s="66">
        <v>42.66314022440244</v>
      </c>
      <c r="AH44" s="66">
        <v>42.646003212313737</v>
      </c>
      <c r="AI44" s="66">
        <v>42.043012432712921</v>
      </c>
      <c r="AJ44" s="66">
        <v>42.617656474636632</v>
      </c>
      <c r="AK44" s="66">
        <v>41.453163372039612</v>
      </c>
      <c r="AL44" s="66">
        <v>42.917324542493105</v>
      </c>
      <c r="AM44" s="66">
        <v>42.119488559969028</v>
      </c>
    </row>
    <row r="45" spans="1:39" s="19" customFormat="1" ht="12.95" customHeight="1" x14ac:dyDescent="0.2">
      <c r="A45" s="21" t="s">
        <v>29</v>
      </c>
      <c r="B45" s="32"/>
      <c r="C45" s="32"/>
      <c r="D45" s="32"/>
      <c r="E45" s="32"/>
      <c r="F45" s="32"/>
      <c r="G45" s="32"/>
      <c r="H45" s="32"/>
      <c r="I45" s="32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</row>
    <row r="46" spans="1:39" s="19" customFormat="1" ht="12.95" customHeight="1" x14ac:dyDescent="0.2">
      <c r="A46" s="24" t="s">
        <v>30</v>
      </c>
      <c r="B46" s="32">
        <v>7.0582698458720801</v>
      </c>
      <c r="C46" s="32">
        <v>6.7882413666208992</v>
      </c>
      <c r="D46" s="32">
        <v>7.0023078836245976</v>
      </c>
      <c r="E46" s="32">
        <v>7.2225478853485807</v>
      </c>
      <c r="F46" s="32">
        <v>6.9738126762164994</v>
      </c>
      <c r="G46" s="32">
        <v>7.3300490845739485</v>
      </c>
      <c r="H46" s="32">
        <v>7.1273915998385728</v>
      </c>
      <c r="I46" s="32">
        <v>7.2184439891466097</v>
      </c>
      <c r="J46" s="66">
        <v>7.6281741650722585</v>
      </c>
      <c r="K46" s="66">
        <v>7.6771810446273516</v>
      </c>
      <c r="L46" s="66">
        <v>7.2348971183862281</v>
      </c>
      <c r="M46" s="66">
        <v>7.1316421242807726</v>
      </c>
      <c r="N46" s="66">
        <v>7.2640788777264138</v>
      </c>
      <c r="O46" s="66">
        <v>7.0665110786727281</v>
      </c>
      <c r="P46" s="66">
        <v>7.3219881640620033</v>
      </c>
      <c r="Q46" s="66">
        <v>5.1105910794754319</v>
      </c>
      <c r="R46" s="66">
        <v>7.2111564193078026</v>
      </c>
      <c r="S46" s="66">
        <v>7.1157749254781759</v>
      </c>
      <c r="T46" s="66">
        <v>7.0824322694195754</v>
      </c>
      <c r="U46" s="66">
        <v>7.2567356662781179</v>
      </c>
      <c r="V46" s="66">
        <v>7.2933867920778868</v>
      </c>
      <c r="W46" s="66">
        <v>7.8116131042738708</v>
      </c>
      <c r="X46" s="66">
        <v>7.796569393222919</v>
      </c>
      <c r="Y46" s="66">
        <v>7.3385050664276026</v>
      </c>
      <c r="Z46" s="66">
        <v>7.4507086752328515</v>
      </c>
      <c r="AA46" s="66">
        <v>7.0346494850795009</v>
      </c>
      <c r="AB46" s="66">
        <v>8.0534828468238064</v>
      </c>
      <c r="AC46" s="66">
        <v>8.0569412601028532</v>
      </c>
      <c r="AD46" s="66">
        <v>7.4289110622190551</v>
      </c>
      <c r="AE46" s="66">
        <v>7.2743084306106178</v>
      </c>
      <c r="AF46" s="66">
        <v>7.5449740453352288</v>
      </c>
      <c r="AG46" s="66">
        <v>7.3059335783692196</v>
      </c>
      <c r="AH46" s="66">
        <v>7.5597984664265008</v>
      </c>
      <c r="AI46" s="66">
        <v>7.4502388096831451</v>
      </c>
      <c r="AJ46" s="66">
        <v>7.2428106443335842</v>
      </c>
      <c r="AK46" s="66">
        <v>7.7908614114051797</v>
      </c>
      <c r="AL46" s="66">
        <v>7.2553436123452233</v>
      </c>
      <c r="AM46" s="66">
        <v>7.2541656801921999</v>
      </c>
    </row>
    <row r="47" spans="1:39" s="19" customFormat="1" ht="12.95" customHeight="1" x14ac:dyDescent="0.2">
      <c r="B47" s="35"/>
      <c r="C47" s="35"/>
      <c r="D47" s="35"/>
      <c r="E47" s="35"/>
      <c r="F47" s="35"/>
      <c r="G47" s="35"/>
      <c r="H47" s="35"/>
      <c r="I47" s="35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</row>
    <row r="48" spans="1:39" s="19" customFormat="1" ht="12.95" customHeight="1" x14ac:dyDescent="0.2">
      <c r="A48" s="20" t="s">
        <v>77</v>
      </c>
      <c r="B48" s="35"/>
      <c r="C48" s="35"/>
      <c r="D48" s="35"/>
      <c r="E48" s="35"/>
      <c r="F48" s="35"/>
      <c r="G48" s="35"/>
      <c r="H48" s="35"/>
      <c r="I48" s="35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</row>
    <row r="49" spans="1:39" s="20" customFormat="1" ht="12.95" customHeight="1" x14ac:dyDescent="0.2">
      <c r="A49" s="21" t="s">
        <v>0</v>
      </c>
      <c r="B49" s="31">
        <v>100</v>
      </c>
      <c r="C49" s="31">
        <v>99.999999999999986</v>
      </c>
      <c r="D49" s="31">
        <v>100.00000000000001</v>
      </c>
      <c r="E49" s="31">
        <v>100</v>
      </c>
      <c r="F49" s="31">
        <v>100</v>
      </c>
      <c r="G49" s="31">
        <v>100</v>
      </c>
      <c r="H49" s="31">
        <v>100.00000000000001</v>
      </c>
      <c r="I49" s="31">
        <v>99.999999999999986</v>
      </c>
      <c r="J49" s="44">
        <v>100</v>
      </c>
      <c r="K49" s="44">
        <v>100.00000000000001</v>
      </c>
      <c r="L49" s="44">
        <v>100</v>
      </c>
      <c r="M49" s="44">
        <v>100.00000000000001</v>
      </c>
      <c r="N49" s="44">
        <v>99.999999999999972</v>
      </c>
      <c r="O49" s="44">
        <v>100.00000000000001</v>
      </c>
      <c r="P49" s="44">
        <v>100.00000000000001</v>
      </c>
      <c r="Q49" s="44">
        <v>100</v>
      </c>
      <c r="R49" s="44">
        <v>100</v>
      </c>
      <c r="S49" s="44">
        <v>100</v>
      </c>
      <c r="T49" s="44">
        <v>100</v>
      </c>
      <c r="U49" s="44">
        <v>100.00000000000001</v>
      </c>
      <c r="V49" s="44">
        <v>100</v>
      </c>
      <c r="W49" s="44">
        <v>100</v>
      </c>
      <c r="X49" s="44">
        <v>100</v>
      </c>
      <c r="Y49" s="44">
        <v>100.00000000000001</v>
      </c>
      <c r="Z49" s="44">
        <v>100</v>
      </c>
      <c r="AA49" s="44">
        <v>99.999999999999986</v>
      </c>
      <c r="AB49" s="44">
        <v>99.999999999999986</v>
      </c>
      <c r="AC49" s="44">
        <v>100</v>
      </c>
      <c r="AD49" s="44">
        <v>100</v>
      </c>
      <c r="AE49" s="44">
        <v>100</v>
      </c>
      <c r="AF49" s="44">
        <v>100</v>
      </c>
      <c r="AG49" s="44">
        <v>99.999999999999986</v>
      </c>
      <c r="AH49" s="44">
        <v>99.999999999999986</v>
      </c>
      <c r="AI49" s="44">
        <v>99.999999999999986</v>
      </c>
      <c r="AJ49" s="44">
        <v>99.999999999999986</v>
      </c>
      <c r="AK49" s="44">
        <v>99.999999999999986</v>
      </c>
      <c r="AL49" s="44">
        <v>100</v>
      </c>
      <c r="AM49" s="44">
        <v>100</v>
      </c>
    </row>
    <row r="50" spans="1:39" s="19" customFormat="1" ht="12.95" customHeight="1" x14ac:dyDescent="0.2">
      <c r="A50" s="23" t="s">
        <v>73</v>
      </c>
      <c r="B50" s="32">
        <v>23.979926625783516</v>
      </c>
      <c r="C50" s="32">
        <v>24.00205098724776</v>
      </c>
      <c r="D50" s="32">
        <v>23.620187612919295</v>
      </c>
      <c r="E50" s="32">
        <v>23.082828153916036</v>
      </c>
      <c r="F50" s="32">
        <v>22.626185015652574</v>
      </c>
      <c r="G50" s="32">
        <v>22.171494604605375</v>
      </c>
      <c r="H50" s="32">
        <v>23.574404502198888</v>
      </c>
      <c r="I50" s="32">
        <v>23.156506653776496</v>
      </c>
      <c r="J50" s="66">
        <v>22.959877637983588</v>
      </c>
      <c r="K50" s="66">
        <v>23.100051616928255</v>
      </c>
      <c r="L50" s="66">
        <v>23.515756459919132</v>
      </c>
      <c r="M50" s="66">
        <v>23.548134449223689</v>
      </c>
      <c r="N50" s="66">
        <v>23.077374643006149</v>
      </c>
      <c r="O50" s="66">
        <v>22.984660404641463</v>
      </c>
      <c r="P50" s="66">
        <v>23.500549361363799</v>
      </c>
      <c r="Q50" s="66">
        <v>23.848060082832767</v>
      </c>
      <c r="R50" s="66">
        <v>23.72067171074438</v>
      </c>
      <c r="S50" s="66">
        <v>23.398067273833266</v>
      </c>
      <c r="T50" s="66">
        <v>23.280767991447458</v>
      </c>
      <c r="U50" s="66">
        <v>23.794251932668875</v>
      </c>
      <c r="V50" s="66">
        <v>24.337364836324159</v>
      </c>
      <c r="W50" s="66">
        <v>24.07664794693439</v>
      </c>
      <c r="X50" s="66">
        <v>23.650216495753966</v>
      </c>
      <c r="Y50" s="66">
        <v>23.876316743330399</v>
      </c>
      <c r="Z50" s="66">
        <v>24.468917227175183</v>
      </c>
      <c r="AA50" s="66">
        <v>24.885142974388945</v>
      </c>
      <c r="AB50" s="66">
        <v>24.664820350461866</v>
      </c>
      <c r="AC50" s="66">
        <v>23.780156343913159</v>
      </c>
      <c r="AD50" s="66">
        <v>23.776843756637462</v>
      </c>
      <c r="AE50" s="66">
        <v>24.600167094317257</v>
      </c>
      <c r="AF50" s="66">
        <v>25.351202301972041</v>
      </c>
      <c r="AG50" s="66">
        <v>25.83551823482718</v>
      </c>
      <c r="AH50" s="66">
        <v>25.953210287890233</v>
      </c>
      <c r="AI50" s="66">
        <v>25.877874524396375</v>
      </c>
      <c r="AJ50" s="66">
        <v>25.77616310782858</v>
      </c>
      <c r="AK50" s="66">
        <v>25.658277167378557</v>
      </c>
      <c r="AL50" s="66">
        <v>25.904999876582075</v>
      </c>
      <c r="AM50" s="66">
        <v>26.259830606561579</v>
      </c>
    </row>
    <row r="51" spans="1:39" s="19" customFormat="1" ht="12.95" customHeight="1" x14ac:dyDescent="0.2">
      <c r="A51" s="23" t="s">
        <v>8</v>
      </c>
      <c r="B51" s="32">
        <v>25.622346758886277</v>
      </c>
      <c r="C51" s="32">
        <v>26.023861990087966</v>
      </c>
      <c r="D51" s="32">
        <v>26.253551829333471</v>
      </c>
      <c r="E51" s="32">
        <v>26.14184836160182</v>
      </c>
      <c r="F51" s="32">
        <v>26.116553128452097</v>
      </c>
      <c r="G51" s="32">
        <v>26.342041454975451</v>
      </c>
      <c r="H51" s="32">
        <v>26.152889492361769</v>
      </c>
      <c r="I51" s="32">
        <v>26.637735456718342</v>
      </c>
      <c r="J51" s="66">
        <v>26.762594682475889</v>
      </c>
      <c r="K51" s="66">
        <v>26.686995585788807</v>
      </c>
      <c r="L51" s="66">
        <v>26.392858582075622</v>
      </c>
      <c r="M51" s="66">
        <v>26.087382939501463</v>
      </c>
      <c r="N51" s="66">
        <v>26.372175237426887</v>
      </c>
      <c r="O51" s="66">
        <v>26.830028404650857</v>
      </c>
      <c r="P51" s="66">
        <v>27.051689382122525</v>
      </c>
      <c r="Q51" s="66">
        <v>27.357212986933465</v>
      </c>
      <c r="R51" s="66">
        <v>27.72236222829396</v>
      </c>
      <c r="S51" s="66">
        <v>27.7318686620922</v>
      </c>
      <c r="T51" s="66">
        <v>27.528946571410739</v>
      </c>
      <c r="U51" s="66">
        <v>26.975289920431962</v>
      </c>
      <c r="V51" s="66">
        <v>26.470143245897166</v>
      </c>
      <c r="W51" s="66">
        <v>26.61083410112396</v>
      </c>
      <c r="X51" s="66">
        <v>27.06766432888595</v>
      </c>
      <c r="Y51" s="66">
        <v>26.990274715257019</v>
      </c>
      <c r="Z51" s="66">
        <v>26.218809194308783</v>
      </c>
      <c r="AA51" s="66">
        <v>25.323862429560172</v>
      </c>
      <c r="AB51" s="66">
        <v>25.281773367743586</v>
      </c>
      <c r="AC51" s="66">
        <v>25.935920656573717</v>
      </c>
      <c r="AD51" s="66">
        <v>25.806351858491329</v>
      </c>
      <c r="AE51" s="66">
        <v>25.155926710431402</v>
      </c>
      <c r="AF51" s="66">
        <v>24.25308832758574</v>
      </c>
      <c r="AG51" s="66">
        <v>23.674036491819365</v>
      </c>
      <c r="AH51" s="66">
        <v>23.731967146550701</v>
      </c>
      <c r="AI51" s="66">
        <v>24.152351266052559</v>
      </c>
      <c r="AJ51" s="66">
        <v>24.31132302429015</v>
      </c>
      <c r="AK51" s="66">
        <v>24.463434466325754</v>
      </c>
      <c r="AL51" s="66">
        <v>24.57774926311976</v>
      </c>
      <c r="AM51" s="66">
        <v>24.553073149924234</v>
      </c>
    </row>
    <row r="52" spans="1:39" s="19" customFormat="1" ht="12.95" customHeight="1" x14ac:dyDescent="0.2">
      <c r="A52" s="23" t="s">
        <v>14</v>
      </c>
      <c r="B52" s="32">
        <v>43.45918528369878</v>
      </c>
      <c r="C52" s="32">
        <v>43.065228155903057</v>
      </c>
      <c r="D52" s="32">
        <v>43.11861050224222</v>
      </c>
      <c r="E52" s="32">
        <v>43.656347563209778</v>
      </c>
      <c r="F52" s="32">
        <v>44.144888734484219</v>
      </c>
      <c r="G52" s="32">
        <v>44.267679801250168</v>
      </c>
      <c r="H52" s="32">
        <v>43.062777030337536</v>
      </c>
      <c r="I52" s="32">
        <v>42.886503097915465</v>
      </c>
      <c r="J52" s="66">
        <v>42.777880905388002</v>
      </c>
      <c r="K52" s="66">
        <v>42.643525879894895</v>
      </c>
      <c r="L52" s="66">
        <v>42.729907303232295</v>
      </c>
      <c r="M52" s="66">
        <v>43.186265086689311</v>
      </c>
      <c r="N52" s="66">
        <v>43.373148249411322</v>
      </c>
      <c r="O52" s="66">
        <v>42.957314531172408</v>
      </c>
      <c r="P52" s="66">
        <v>42.170999995732053</v>
      </c>
      <c r="Q52" s="66">
        <v>41.516439416986366</v>
      </c>
      <c r="R52" s="66">
        <v>41.313068638798235</v>
      </c>
      <c r="S52" s="66">
        <v>41.706955597420624</v>
      </c>
      <c r="T52" s="66">
        <v>42.057783111196287</v>
      </c>
      <c r="U52" s="66">
        <v>42.045376299604627</v>
      </c>
      <c r="V52" s="66">
        <v>41.728983036432346</v>
      </c>
      <c r="W52" s="66">
        <v>41.572523551036113</v>
      </c>
      <c r="X52" s="66">
        <v>41.596508569733309</v>
      </c>
      <c r="Y52" s="66">
        <v>41.675470725797112</v>
      </c>
      <c r="Z52" s="66">
        <v>41.948503691597196</v>
      </c>
      <c r="AA52" s="66">
        <v>42.324475831171441</v>
      </c>
      <c r="AB52" s="66">
        <v>42.297447197342237</v>
      </c>
      <c r="AC52" s="66">
        <v>42.365127542948798</v>
      </c>
      <c r="AD52" s="66">
        <v>42.823471183719207</v>
      </c>
      <c r="AE52" s="66">
        <v>42.866196978777126</v>
      </c>
      <c r="AF52" s="66">
        <v>43.076229392661745</v>
      </c>
      <c r="AG52" s="66">
        <v>43.066439936735328</v>
      </c>
      <c r="AH52" s="66">
        <v>42.758420363082287</v>
      </c>
      <c r="AI52" s="66">
        <v>42.482765179521884</v>
      </c>
      <c r="AJ52" s="66">
        <v>42.561497120146903</v>
      </c>
      <c r="AK52" s="66">
        <v>42.56054044102644</v>
      </c>
      <c r="AL52" s="66">
        <v>42.251184703051301</v>
      </c>
      <c r="AM52" s="66">
        <v>41.954758993989422</v>
      </c>
    </row>
    <row r="53" spans="1:39" s="19" customFormat="1" ht="12.95" customHeight="1" x14ac:dyDescent="0.2">
      <c r="A53" s="21" t="s">
        <v>29</v>
      </c>
      <c r="B53" s="32"/>
      <c r="C53" s="32"/>
      <c r="D53" s="32"/>
      <c r="E53" s="32"/>
      <c r="F53" s="32"/>
      <c r="G53" s="32"/>
      <c r="H53" s="32"/>
      <c r="I53" s="32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</row>
    <row r="54" spans="1:39" s="27" customFormat="1" ht="12.95" customHeight="1" thickBot="1" x14ac:dyDescent="0.25">
      <c r="A54" s="25" t="s">
        <v>30</v>
      </c>
      <c r="B54" s="34">
        <v>6.9385413316314288</v>
      </c>
      <c r="C54" s="34">
        <v>6.9088588667612099</v>
      </c>
      <c r="D54" s="34">
        <v>7.0076500555050183</v>
      </c>
      <c r="E54" s="34">
        <v>7.1189759212723676</v>
      </c>
      <c r="F54" s="34">
        <v>7.1123731214111139</v>
      </c>
      <c r="G54" s="34">
        <v>7.2187841391689958</v>
      </c>
      <c r="H54" s="34">
        <v>7.2099289751018221</v>
      </c>
      <c r="I54" s="34">
        <v>7.31925479158968</v>
      </c>
      <c r="J54" s="68">
        <v>7.4996467741525308</v>
      </c>
      <c r="K54" s="68">
        <v>7.5694269173880544</v>
      </c>
      <c r="L54" s="68">
        <v>7.3614776547729521</v>
      </c>
      <c r="M54" s="68">
        <v>7.178217524585544</v>
      </c>
      <c r="N54" s="68">
        <v>7.1773018701556239</v>
      </c>
      <c r="O54" s="68">
        <v>7.2279966595352878</v>
      </c>
      <c r="P54" s="68">
        <v>7.2767612607816359</v>
      </c>
      <c r="Q54" s="68">
        <v>7.2782875132473963</v>
      </c>
      <c r="R54" s="68">
        <v>7.2438974221634274</v>
      </c>
      <c r="S54" s="68">
        <v>7.1631084666539167</v>
      </c>
      <c r="T54" s="68">
        <v>7.1325023259455165</v>
      </c>
      <c r="U54" s="68">
        <v>7.1850818472945512</v>
      </c>
      <c r="V54" s="68">
        <v>7.4635088813463275</v>
      </c>
      <c r="W54" s="68">
        <v>7.739994400905541</v>
      </c>
      <c r="X54" s="68">
        <v>7.6856106056267848</v>
      </c>
      <c r="Y54" s="68">
        <v>7.4579378156154768</v>
      </c>
      <c r="Z54" s="68">
        <v>7.3637698869188473</v>
      </c>
      <c r="AA54" s="68">
        <v>7.466518764879428</v>
      </c>
      <c r="AB54" s="68">
        <v>7.7559590844523019</v>
      </c>
      <c r="AC54" s="68">
        <v>7.9187954565643199</v>
      </c>
      <c r="AD54" s="68">
        <v>7.5933332011520065</v>
      </c>
      <c r="AE54" s="68">
        <v>7.3777092164742113</v>
      </c>
      <c r="AF54" s="68">
        <v>7.3194799777804773</v>
      </c>
      <c r="AG54" s="68">
        <v>7.4240053366181264</v>
      </c>
      <c r="AH54" s="68">
        <v>7.556402202476777</v>
      </c>
      <c r="AI54" s="68">
        <v>7.4870090300291663</v>
      </c>
      <c r="AJ54" s="68">
        <v>7.3510167477343655</v>
      </c>
      <c r="AK54" s="68">
        <v>7.3177479252692494</v>
      </c>
      <c r="AL54" s="68">
        <v>7.2660661572468603</v>
      </c>
      <c r="AM54" s="68">
        <v>7.2323372495247646</v>
      </c>
    </row>
    <row r="55" spans="1:39" s="19" customFormat="1" x14ac:dyDescent="0.2">
      <c r="A55" s="15" t="s">
        <v>63</v>
      </c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</sheetData>
  <mergeCells count="17">
    <mergeCell ref="AD30:AG30"/>
    <mergeCell ref="B30:E30"/>
    <mergeCell ref="B3:E3"/>
    <mergeCell ref="AH3:AK3"/>
    <mergeCell ref="AH30:AK30"/>
    <mergeCell ref="AD3:AG3"/>
    <mergeCell ref="Z3:AC3"/>
    <mergeCell ref="F30:H30"/>
    <mergeCell ref="F3:I3"/>
    <mergeCell ref="N30:Q30"/>
    <mergeCell ref="J3:M3"/>
    <mergeCell ref="R3:U3"/>
    <mergeCell ref="R30:U30"/>
    <mergeCell ref="N3:Q3"/>
    <mergeCell ref="V3:Y3"/>
    <mergeCell ref="V30:Y30"/>
    <mergeCell ref="J30:M30"/>
  </mergeCells>
  <phoneticPr fontId="17" type="noConversion"/>
  <pageMargins left="0.23622047244094491" right="0.19685039370078741" top="0.47244094488188981" bottom="0.35433070866141736" header="0.31496062992125984" footer="0.31496062992125984"/>
  <pageSetup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O37"/>
  <sheetViews>
    <sheetView view="pageBreakPreview" zoomScaleSheetLayoutView="100" workbookViewId="0">
      <pane xSplit="1" ySplit="4" topLeftCell="B5" activePane="bottomRight" state="frozen"/>
      <selection activeCell="BJ23" sqref="BJ23"/>
      <selection pane="topRight" activeCell="BJ23" sqref="BJ23"/>
      <selection pane="bottomLeft" activeCell="BJ23" sqref="BJ23"/>
      <selection pane="bottomRight"/>
    </sheetView>
  </sheetViews>
  <sheetFormatPr defaultColWidth="9.140625" defaultRowHeight="12" x14ac:dyDescent="0.2"/>
  <cols>
    <col min="1" max="1" width="31" style="29" customWidth="1"/>
    <col min="2" max="2" width="6.85546875" style="29" customWidth="1"/>
    <col min="3" max="4" width="7.5703125" style="29" customWidth="1"/>
    <col min="5" max="9" width="6.85546875" style="29" customWidth="1"/>
    <col min="10" max="27" width="8.5703125" style="17" customWidth="1"/>
    <col min="28" max="28" width="9.28515625" style="29" bestFit="1" customWidth="1"/>
    <col min="29" max="29" width="9.85546875" style="29" bestFit="1" customWidth="1"/>
    <col min="30" max="16384" width="9.140625" style="29"/>
  </cols>
  <sheetData>
    <row r="1" spans="1:41" ht="15" customHeight="1" x14ac:dyDescent="0.2">
      <c r="A1" s="18" t="s">
        <v>123</v>
      </c>
      <c r="C1" s="18"/>
    </row>
    <row r="2" spans="1:41" ht="0.75" customHeight="1" thickBot="1" x14ac:dyDescent="0.25"/>
    <row r="3" spans="1:41" s="47" customFormat="1" ht="15" customHeight="1" x14ac:dyDescent="0.2">
      <c r="B3" s="149" t="s">
        <v>75</v>
      </c>
      <c r="C3" s="149"/>
      <c r="D3" s="149"/>
      <c r="E3" s="149"/>
      <c r="F3" s="149" t="s">
        <v>79</v>
      </c>
      <c r="G3" s="149"/>
      <c r="H3" s="149"/>
      <c r="I3" s="149"/>
      <c r="J3" s="150" t="s">
        <v>85</v>
      </c>
      <c r="K3" s="150"/>
      <c r="L3" s="150"/>
      <c r="M3" s="150"/>
      <c r="N3" s="150" t="s">
        <v>86</v>
      </c>
      <c r="O3" s="150"/>
      <c r="P3" s="150"/>
      <c r="Q3" s="60"/>
      <c r="R3" s="150" t="s">
        <v>89</v>
      </c>
      <c r="S3" s="150"/>
      <c r="T3" s="150"/>
      <c r="U3" s="150"/>
      <c r="V3" s="150" t="s">
        <v>90</v>
      </c>
      <c r="W3" s="150"/>
      <c r="X3" s="150"/>
      <c r="Y3" s="150"/>
      <c r="Z3" s="150" t="s">
        <v>91</v>
      </c>
      <c r="AA3" s="150"/>
      <c r="AB3" s="150"/>
      <c r="AC3" s="150"/>
      <c r="AD3" s="149" t="s">
        <v>92</v>
      </c>
      <c r="AE3" s="149"/>
      <c r="AF3" s="149"/>
      <c r="AG3" s="149"/>
      <c r="AH3" s="149" t="s">
        <v>118</v>
      </c>
      <c r="AI3" s="149"/>
      <c r="AJ3" s="149"/>
      <c r="AK3" s="149"/>
      <c r="AL3" s="149" t="s">
        <v>120</v>
      </c>
      <c r="AM3" s="149"/>
    </row>
    <row r="4" spans="1:41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</row>
    <row r="5" spans="1:41" s="20" customFormat="1" ht="18.95" customHeight="1" x14ac:dyDescent="0.2">
      <c r="A5" s="21" t="s">
        <v>80</v>
      </c>
      <c r="B5" s="41">
        <v>27781.609894407004</v>
      </c>
      <c r="C5" s="41">
        <v>26556.251950829908</v>
      </c>
      <c r="D5" s="41">
        <v>26726.927005653637</v>
      </c>
      <c r="E5" s="41">
        <v>27453.252070582588</v>
      </c>
      <c r="F5" s="41">
        <v>31469.715846024246</v>
      </c>
      <c r="G5" s="41">
        <v>28426.19069202468</v>
      </c>
      <c r="H5" s="41">
        <v>29432.327584072522</v>
      </c>
      <c r="I5" s="41">
        <v>31156.543333262245</v>
      </c>
      <c r="J5" s="73">
        <v>34170.142686819934</v>
      </c>
      <c r="K5" s="73">
        <v>32179.517868214341</v>
      </c>
      <c r="L5" s="73">
        <v>32231.229040047157</v>
      </c>
      <c r="M5" s="73">
        <v>33508.885194103626</v>
      </c>
      <c r="N5" s="73">
        <v>37947.73029736364</v>
      </c>
      <c r="O5" s="73">
        <v>36401.187485856724</v>
      </c>
      <c r="P5" s="73">
        <v>33706.780324514148</v>
      </c>
      <c r="Q5" s="73">
        <v>31633.347000483736</v>
      </c>
      <c r="R5" s="73">
        <v>38917.365363118159</v>
      </c>
      <c r="S5" s="73">
        <v>36898.259898812452</v>
      </c>
      <c r="T5" s="73">
        <v>35155.417421437116</v>
      </c>
      <c r="U5" s="73">
        <v>37339.20494699062</v>
      </c>
      <c r="V5" s="73">
        <v>41189.554199717189</v>
      </c>
      <c r="W5" s="73">
        <v>39860.901378101429</v>
      </c>
      <c r="X5" s="73">
        <v>39264.333143038755</v>
      </c>
      <c r="Y5" s="73">
        <v>42435.158552013207</v>
      </c>
      <c r="Z5" s="73">
        <v>48378.598556486882</v>
      </c>
      <c r="AA5" s="73">
        <v>44347.666130945923</v>
      </c>
      <c r="AB5" s="73">
        <v>42069.45458403571</v>
      </c>
      <c r="AC5" s="73">
        <v>48208.667041290239</v>
      </c>
      <c r="AD5" s="73">
        <v>53996.036920175793</v>
      </c>
      <c r="AE5" s="73">
        <v>49628.065348710043</v>
      </c>
      <c r="AF5" s="73">
        <v>47655.291434288541</v>
      </c>
      <c r="AG5" s="73">
        <v>52428.374525973246</v>
      </c>
      <c r="AH5" s="73">
        <v>59750.387058287808</v>
      </c>
      <c r="AI5" s="73">
        <v>55083.141021491982</v>
      </c>
      <c r="AJ5" s="73">
        <v>54730.589878053805</v>
      </c>
      <c r="AK5" s="73">
        <v>58310.478922437309</v>
      </c>
      <c r="AL5" s="73">
        <v>63156.416532644682</v>
      </c>
      <c r="AM5" s="73">
        <v>62001.482686014846</v>
      </c>
      <c r="AN5" s="41"/>
      <c r="AO5" s="41"/>
    </row>
    <row r="6" spans="1:41" s="54" customFormat="1" ht="18.95" customHeight="1" x14ac:dyDescent="0.2">
      <c r="A6" s="52" t="s">
        <v>81</v>
      </c>
      <c r="B6" s="53">
        <v>7991.3646462686875</v>
      </c>
      <c r="C6" s="53">
        <v>6125.1035386890453</v>
      </c>
      <c r="D6" s="53">
        <v>5423.5837949396264</v>
      </c>
      <c r="E6" s="53">
        <v>5917.0166002226588</v>
      </c>
      <c r="F6" s="53">
        <v>8972.0686393887136</v>
      </c>
      <c r="G6" s="53">
        <v>5833.1985204932989</v>
      </c>
      <c r="H6" s="53">
        <v>6099.1552507906208</v>
      </c>
      <c r="I6" s="53">
        <v>7108.6420214894633</v>
      </c>
      <c r="J6" s="74">
        <v>9059.0610363963679</v>
      </c>
      <c r="K6" s="74">
        <v>6874.6543508632649</v>
      </c>
      <c r="L6" s="74">
        <v>6663.3074300926019</v>
      </c>
      <c r="M6" s="74">
        <v>7711.6480899964254</v>
      </c>
      <c r="N6" s="74">
        <v>10389.433158700256</v>
      </c>
      <c r="O6" s="74">
        <v>8269.9230184400749</v>
      </c>
      <c r="P6" s="74">
        <v>6828.2031169108495</v>
      </c>
      <c r="Q6" s="74">
        <v>7938.6794137119714</v>
      </c>
      <c r="R6" s="74">
        <v>11306.293134806192</v>
      </c>
      <c r="S6" s="74">
        <v>8735.8673364138212</v>
      </c>
      <c r="T6" s="74">
        <v>6678.922727187598</v>
      </c>
      <c r="U6" s="74">
        <v>8638.7550972579338</v>
      </c>
      <c r="V6" s="74">
        <v>12412.529865538025</v>
      </c>
      <c r="W6" s="74">
        <v>9164.7556489810413</v>
      </c>
      <c r="X6" s="74">
        <v>7613.0946358648262</v>
      </c>
      <c r="Y6" s="74">
        <v>9888.6848300939582</v>
      </c>
      <c r="Z6" s="74">
        <v>14036.734926006679</v>
      </c>
      <c r="AA6" s="74">
        <v>10685.488899621902</v>
      </c>
      <c r="AB6" s="74">
        <v>8475.1155523116886</v>
      </c>
      <c r="AC6" s="74">
        <v>10887.638948388667</v>
      </c>
      <c r="AD6" s="74">
        <v>15361.005338819401</v>
      </c>
      <c r="AE6" s="74">
        <v>11599.200416786764</v>
      </c>
      <c r="AF6" s="74">
        <v>10012.467143152426</v>
      </c>
      <c r="AG6" s="74">
        <v>13178.041927133687</v>
      </c>
      <c r="AH6" s="74">
        <v>17959.859065187073</v>
      </c>
      <c r="AI6" s="74">
        <v>14042.265792459666</v>
      </c>
      <c r="AJ6" s="74">
        <v>12815.127097191446</v>
      </c>
      <c r="AK6" s="74">
        <v>14732.171932230298</v>
      </c>
      <c r="AL6" s="74">
        <v>18403.567232413021</v>
      </c>
      <c r="AM6" s="74">
        <v>15896.662447375058</v>
      </c>
      <c r="AN6" s="41"/>
      <c r="AO6" s="41"/>
    </row>
    <row r="7" spans="1:41" s="19" customFormat="1" ht="18.95" customHeight="1" x14ac:dyDescent="0.2">
      <c r="A7" s="37" t="s">
        <v>2</v>
      </c>
      <c r="B7" s="16">
        <v>502.65666827028997</v>
      </c>
      <c r="C7" s="16">
        <v>751.07717958625528</v>
      </c>
      <c r="D7" s="16">
        <v>754.28278685988801</v>
      </c>
      <c r="E7" s="16">
        <v>543.93306521739203</v>
      </c>
      <c r="F7" s="16">
        <v>752.87566321120744</v>
      </c>
      <c r="G7" s="16">
        <v>713.45308922046684</v>
      </c>
      <c r="H7" s="16">
        <v>741.96056467996402</v>
      </c>
      <c r="I7" s="16">
        <v>496.4553084256687</v>
      </c>
      <c r="J7" s="64">
        <v>704.08434533793297</v>
      </c>
      <c r="K7" s="64">
        <v>708.41611989396063</v>
      </c>
      <c r="L7" s="64">
        <v>716.98631750236461</v>
      </c>
      <c r="M7" s="64">
        <v>479.866836652735</v>
      </c>
      <c r="N7" s="64">
        <v>635.44034398479755</v>
      </c>
      <c r="O7" s="64">
        <v>762.5783998883503</v>
      </c>
      <c r="P7" s="64">
        <v>883.53659491726921</v>
      </c>
      <c r="Q7" s="64">
        <v>466.18732611564775</v>
      </c>
      <c r="R7" s="64">
        <v>653.31136304798201</v>
      </c>
      <c r="S7" s="64">
        <v>770.17128921289077</v>
      </c>
      <c r="T7" s="64">
        <v>944.07899888826557</v>
      </c>
      <c r="U7" s="64">
        <v>683.12579144242397</v>
      </c>
      <c r="V7" s="64">
        <v>963.67652300846532</v>
      </c>
      <c r="W7" s="64">
        <v>1267.2595975639542</v>
      </c>
      <c r="X7" s="64">
        <v>1335.4330333664273</v>
      </c>
      <c r="Y7" s="64">
        <v>895.35780266383847</v>
      </c>
      <c r="Z7" s="64">
        <v>1178.6385250653582</v>
      </c>
      <c r="AA7" s="64">
        <v>1165.7330934266224</v>
      </c>
      <c r="AB7" s="64">
        <v>1312.0474698006522</v>
      </c>
      <c r="AC7" s="64">
        <v>993.63589331434389</v>
      </c>
      <c r="AD7" s="64">
        <v>1491.8944480826033</v>
      </c>
      <c r="AE7" s="64">
        <v>1726.6013561222103</v>
      </c>
      <c r="AF7" s="64">
        <v>2307.1111865777793</v>
      </c>
      <c r="AG7" s="64">
        <v>1703.4065267107669</v>
      </c>
      <c r="AH7" s="64">
        <v>2195.0814333145436</v>
      </c>
      <c r="AI7" s="64">
        <v>2686.4743492559764</v>
      </c>
      <c r="AJ7" s="64">
        <v>3408.6854067924924</v>
      </c>
      <c r="AK7" s="64">
        <v>3083.8748197067571</v>
      </c>
      <c r="AL7" s="64">
        <v>2673.8421318202209</v>
      </c>
      <c r="AM7" s="64">
        <v>3128.8851143593806</v>
      </c>
      <c r="AN7" s="41"/>
      <c r="AO7" s="41"/>
    </row>
    <row r="8" spans="1:41" s="19" customFormat="1" ht="18.95" customHeight="1" x14ac:dyDescent="0.2">
      <c r="A8" s="37" t="s">
        <v>3</v>
      </c>
      <c r="B8" s="16">
        <v>5300.4842468291254</v>
      </c>
      <c r="C8" s="16">
        <v>2966.9461228406185</v>
      </c>
      <c r="D8" s="16">
        <v>2176.7853271495646</v>
      </c>
      <c r="E8" s="16">
        <v>2950.7293185263079</v>
      </c>
      <c r="F8" s="16">
        <v>6000.2896257883949</v>
      </c>
      <c r="G8" s="16">
        <v>3051.1624763247682</v>
      </c>
      <c r="H8" s="16">
        <v>2504.8736854320455</v>
      </c>
      <c r="I8" s="16">
        <v>3412.2630593253648</v>
      </c>
      <c r="J8" s="64">
        <v>5708.201291946627</v>
      </c>
      <c r="K8" s="64">
        <v>3153.4908444714461</v>
      </c>
      <c r="L8" s="64">
        <v>2581.0563807550884</v>
      </c>
      <c r="M8" s="64">
        <v>3748.3098471528997</v>
      </c>
      <c r="N8" s="64">
        <v>6313.6337814540229</v>
      </c>
      <c r="O8" s="64">
        <v>3564.9344690084399</v>
      </c>
      <c r="P8" s="64">
        <v>2335.0962141693531</v>
      </c>
      <c r="Q8" s="64">
        <v>3963.5343072857627</v>
      </c>
      <c r="R8" s="64">
        <v>7098.6106767931242</v>
      </c>
      <c r="S8" s="64">
        <v>3709.1473077697356</v>
      </c>
      <c r="T8" s="64">
        <v>2043.6216204914899</v>
      </c>
      <c r="U8" s="64">
        <v>4149.9777805625818</v>
      </c>
      <c r="V8" s="64">
        <v>7579.6053802387341</v>
      </c>
      <c r="W8" s="64">
        <v>3988.5494592806376</v>
      </c>
      <c r="X8" s="64">
        <v>2164.6293293861108</v>
      </c>
      <c r="Y8" s="64">
        <v>4810.3333714183555</v>
      </c>
      <c r="Z8" s="64">
        <v>9061.180474492161</v>
      </c>
      <c r="AA8" s="64">
        <v>5177.6250841208139</v>
      </c>
      <c r="AB8" s="64">
        <v>2233.2775489151168</v>
      </c>
      <c r="AC8" s="64">
        <v>5195.8009184111588</v>
      </c>
      <c r="AD8" s="64">
        <v>9529.2305343158005</v>
      </c>
      <c r="AE8" s="64">
        <v>5233.7618576555242</v>
      </c>
      <c r="AF8" s="64">
        <v>2437.5468971220917</v>
      </c>
      <c r="AG8" s="64">
        <v>5804.2440529296236</v>
      </c>
      <c r="AH8" s="64">
        <v>10829.919451285887</v>
      </c>
      <c r="AI8" s="64">
        <v>6027.9999453487262</v>
      </c>
      <c r="AJ8" s="64">
        <v>2753.1022074972802</v>
      </c>
      <c r="AK8" s="64">
        <v>5362.6645462447786</v>
      </c>
      <c r="AL8" s="64">
        <v>9976.2507114858217</v>
      </c>
      <c r="AM8" s="64">
        <v>6691.1199945173557</v>
      </c>
      <c r="AN8" s="41"/>
      <c r="AO8" s="41"/>
    </row>
    <row r="9" spans="1:41" s="19" customFormat="1" ht="18.95" customHeight="1" x14ac:dyDescent="0.2">
      <c r="A9" s="37" t="s">
        <v>4</v>
      </c>
      <c r="B9" s="16">
        <v>791.93028245145138</v>
      </c>
      <c r="C9" s="16">
        <v>810.3997767440992</v>
      </c>
      <c r="D9" s="16">
        <v>844.63287381764519</v>
      </c>
      <c r="E9" s="16">
        <v>862.12731655761002</v>
      </c>
      <c r="F9" s="16">
        <v>937.18916385244472</v>
      </c>
      <c r="G9" s="16">
        <v>948.23582756842768</v>
      </c>
      <c r="H9" s="16">
        <v>989.46548971612594</v>
      </c>
      <c r="I9" s="16">
        <v>1000.6767127017608</v>
      </c>
      <c r="J9" s="64">
        <v>1060.1873543712907</v>
      </c>
      <c r="K9" s="64">
        <v>1098.1021187427452</v>
      </c>
      <c r="L9" s="64">
        <v>1155.521164871509</v>
      </c>
      <c r="M9" s="64">
        <v>1176.584093298778</v>
      </c>
      <c r="N9" s="64">
        <v>1232.4239024791839</v>
      </c>
      <c r="O9" s="64">
        <v>1287.2703150270545</v>
      </c>
      <c r="P9" s="64">
        <v>1357.4808724651004</v>
      </c>
      <c r="Q9" s="64">
        <v>1390.7075774446821</v>
      </c>
      <c r="R9" s="64">
        <v>1416.1365878863458</v>
      </c>
      <c r="S9" s="64">
        <v>1444.0069267269712</v>
      </c>
      <c r="T9" s="64">
        <v>1446.6104171248776</v>
      </c>
      <c r="U9" s="64">
        <v>1528.6445164772326</v>
      </c>
      <c r="V9" s="64">
        <v>1580.7986224276603</v>
      </c>
      <c r="W9" s="64">
        <v>1620.9030218850296</v>
      </c>
      <c r="X9" s="64">
        <v>1608.505883469491</v>
      </c>
      <c r="Y9" s="64">
        <v>1645.7177096959881</v>
      </c>
      <c r="Z9" s="64">
        <v>1734.7577165988432</v>
      </c>
      <c r="AA9" s="64">
        <v>1796.0093749742052</v>
      </c>
      <c r="AB9" s="64">
        <v>1925.6789195650349</v>
      </c>
      <c r="AC9" s="64">
        <v>1973.1763208531684</v>
      </c>
      <c r="AD9" s="64">
        <v>2019.4244959677467</v>
      </c>
      <c r="AE9" s="64">
        <v>2079.7605485307404</v>
      </c>
      <c r="AF9" s="64">
        <v>2173.7322579593406</v>
      </c>
      <c r="AG9" s="64">
        <v>2249.4310849674853</v>
      </c>
      <c r="AH9" s="64">
        <v>2359.8512586976503</v>
      </c>
      <c r="AI9" s="64">
        <v>2447.5508112483831</v>
      </c>
      <c r="AJ9" s="64">
        <v>2584.3719612851264</v>
      </c>
      <c r="AK9" s="64">
        <v>2680.9484440942015</v>
      </c>
      <c r="AL9" s="64">
        <v>2751.6213786938192</v>
      </c>
      <c r="AM9" s="64">
        <v>2831.8724176148926</v>
      </c>
      <c r="AN9" s="41"/>
      <c r="AO9" s="41"/>
    </row>
    <row r="10" spans="1:41" s="19" customFormat="1" ht="18.95" customHeight="1" x14ac:dyDescent="0.2">
      <c r="A10" s="37" t="s">
        <v>5</v>
      </c>
      <c r="B10" s="16">
        <v>5.5573175795983989</v>
      </c>
      <c r="C10" s="16">
        <v>3.5699940288971312</v>
      </c>
      <c r="D10" s="16">
        <v>2.8036593782953032</v>
      </c>
      <c r="E10" s="16">
        <v>4.5414687877562496</v>
      </c>
      <c r="F10" s="16">
        <v>4.8728898020449103</v>
      </c>
      <c r="G10" s="16">
        <v>2.9757838849012908</v>
      </c>
      <c r="H10" s="16">
        <v>2.3847567090937773</v>
      </c>
      <c r="I10" s="16">
        <v>4.235900612089802</v>
      </c>
      <c r="J10" s="64">
        <v>5.6741825942261128</v>
      </c>
      <c r="K10" s="64">
        <v>3.8831840105822466</v>
      </c>
      <c r="L10" s="64">
        <v>3.1568801347685569</v>
      </c>
      <c r="M10" s="64">
        <v>5.5620721607463093</v>
      </c>
      <c r="N10" s="64">
        <v>6.7806291860010681</v>
      </c>
      <c r="O10" s="64">
        <v>4.4773858086601921</v>
      </c>
      <c r="P10" s="64">
        <v>3.3189420516925119</v>
      </c>
      <c r="Q10" s="64">
        <v>4.9018182294226476</v>
      </c>
      <c r="R10" s="64">
        <v>6.1901510338824206</v>
      </c>
      <c r="S10" s="64">
        <v>4.3321712924439435</v>
      </c>
      <c r="T10" s="64">
        <v>3.9535118194829413</v>
      </c>
      <c r="U10" s="64">
        <v>5.6552449164358993</v>
      </c>
      <c r="V10" s="64">
        <v>6.9131004155004385</v>
      </c>
      <c r="W10" s="64">
        <v>4.6966076312278959</v>
      </c>
      <c r="X10" s="64">
        <v>4.0230610083362262</v>
      </c>
      <c r="Y10" s="64">
        <v>5.7194254050485878</v>
      </c>
      <c r="Z10" s="64">
        <v>7.0353665507856613</v>
      </c>
      <c r="AA10" s="64">
        <v>4.8088384442864012</v>
      </c>
      <c r="AB10" s="64">
        <v>4.3811022735529246</v>
      </c>
      <c r="AC10" s="64">
        <v>6.0744905511471439</v>
      </c>
      <c r="AD10" s="64">
        <v>7.4361782949579958</v>
      </c>
      <c r="AE10" s="64">
        <v>5.0820609328215145</v>
      </c>
      <c r="AF10" s="64">
        <v>4.6891452937212623</v>
      </c>
      <c r="AG10" s="64">
        <v>6.4557273335047682</v>
      </c>
      <c r="AH10" s="64">
        <v>7.9175862143683329</v>
      </c>
      <c r="AI10" s="64">
        <v>5.1927542012273742</v>
      </c>
      <c r="AJ10" s="64">
        <v>4.5396427909219144</v>
      </c>
      <c r="AK10" s="64">
        <v>6.8605698460533695</v>
      </c>
      <c r="AL10" s="64">
        <v>7.1206399709814088</v>
      </c>
      <c r="AM10" s="64">
        <v>5.3742608779499088</v>
      </c>
      <c r="AN10" s="41"/>
      <c r="AO10" s="41"/>
    </row>
    <row r="11" spans="1:41" s="19" customFormat="1" ht="18.95" customHeight="1" x14ac:dyDescent="0.2">
      <c r="A11" s="37" t="s">
        <v>6</v>
      </c>
      <c r="B11" s="16">
        <v>844.98571298969625</v>
      </c>
      <c r="C11" s="16">
        <v>1030.3662031192441</v>
      </c>
      <c r="D11" s="16">
        <v>1089.0502178781123</v>
      </c>
      <c r="E11" s="16">
        <v>1038.1723390367249</v>
      </c>
      <c r="F11" s="16">
        <v>814.17001054726313</v>
      </c>
      <c r="G11" s="16">
        <v>636.38664119028454</v>
      </c>
      <c r="H11" s="16">
        <v>1430.2944568161772</v>
      </c>
      <c r="I11" s="16">
        <v>1680.7869129431906</v>
      </c>
      <c r="J11" s="64">
        <v>978.40176459346537</v>
      </c>
      <c r="K11" s="64">
        <v>1210.1623723642206</v>
      </c>
      <c r="L11" s="64">
        <v>1371.7678162075072</v>
      </c>
      <c r="M11" s="64">
        <v>1485.6489752369694</v>
      </c>
      <c r="N11" s="64">
        <v>1379.4535922460161</v>
      </c>
      <c r="O11" s="64">
        <v>1712.9925266605755</v>
      </c>
      <c r="P11" s="64">
        <v>1347.1357092508786</v>
      </c>
      <c r="Q11" s="64">
        <v>1311.8984462107489</v>
      </c>
      <c r="R11" s="64">
        <v>1255.8631985222657</v>
      </c>
      <c r="S11" s="64">
        <v>1934.1619018707897</v>
      </c>
      <c r="T11" s="64">
        <v>1442.5750807371885</v>
      </c>
      <c r="U11" s="64">
        <v>1469.0786259302995</v>
      </c>
      <c r="V11" s="64">
        <v>1453.4756527275604</v>
      </c>
      <c r="W11" s="64">
        <v>1508.4172414652458</v>
      </c>
      <c r="X11" s="64">
        <v>1678.2053095224944</v>
      </c>
      <c r="Y11" s="64">
        <v>1658.8692834936205</v>
      </c>
      <c r="Z11" s="64">
        <v>1573.3056716174881</v>
      </c>
      <c r="AA11" s="64">
        <v>1663.3362705377863</v>
      </c>
      <c r="AB11" s="64">
        <v>1752.361917958166</v>
      </c>
      <c r="AC11" s="64">
        <v>1754.9648339651376</v>
      </c>
      <c r="AD11" s="64">
        <v>1767.7760197485936</v>
      </c>
      <c r="AE11" s="64">
        <v>1783.2600705206992</v>
      </c>
      <c r="AF11" s="64">
        <v>1864.0281659978152</v>
      </c>
      <c r="AG11" s="64">
        <v>2203.5933727484103</v>
      </c>
      <c r="AH11" s="64">
        <v>2003.6504225461126</v>
      </c>
      <c r="AI11" s="64">
        <v>2019.0431791575152</v>
      </c>
      <c r="AJ11" s="64">
        <v>2218.3487726952403</v>
      </c>
      <c r="AK11" s="64">
        <v>2229.0716050728797</v>
      </c>
      <c r="AL11" s="64">
        <v>2269.7363255102059</v>
      </c>
      <c r="AM11" s="64">
        <v>2224.7439533823517</v>
      </c>
      <c r="AN11" s="41"/>
      <c r="AO11" s="41"/>
    </row>
    <row r="12" spans="1:41" s="19" customFormat="1" ht="18.95" customHeight="1" x14ac:dyDescent="0.2">
      <c r="A12" s="37" t="s">
        <v>7</v>
      </c>
      <c r="B12" s="16">
        <v>545.75041814852659</v>
      </c>
      <c r="C12" s="16">
        <v>562.74426236993122</v>
      </c>
      <c r="D12" s="16">
        <v>556.02892985612107</v>
      </c>
      <c r="E12" s="16">
        <v>517.51309209686713</v>
      </c>
      <c r="F12" s="16">
        <v>462.67128618735899</v>
      </c>
      <c r="G12" s="16">
        <v>480.98470230445139</v>
      </c>
      <c r="H12" s="16">
        <v>430.17629743721443</v>
      </c>
      <c r="I12" s="16">
        <v>514.22412748138856</v>
      </c>
      <c r="J12" s="64">
        <v>602.51209755282594</v>
      </c>
      <c r="K12" s="64">
        <v>700.59971138031074</v>
      </c>
      <c r="L12" s="64">
        <v>834.81887062136377</v>
      </c>
      <c r="M12" s="64">
        <v>815.67626549429656</v>
      </c>
      <c r="N12" s="64">
        <v>821.70090935023381</v>
      </c>
      <c r="O12" s="64">
        <v>937.66992204699375</v>
      </c>
      <c r="P12" s="64">
        <v>901.63478405655496</v>
      </c>
      <c r="Q12" s="64">
        <v>801.44993842570659</v>
      </c>
      <c r="R12" s="64">
        <v>876.18115752259189</v>
      </c>
      <c r="S12" s="64">
        <v>874.04773954099039</v>
      </c>
      <c r="T12" s="64">
        <v>798.08309812629375</v>
      </c>
      <c r="U12" s="64">
        <v>802.27313792896166</v>
      </c>
      <c r="V12" s="64">
        <v>828.0605867201034</v>
      </c>
      <c r="W12" s="64">
        <v>774.92972115494501</v>
      </c>
      <c r="X12" s="64">
        <v>822.29801911196557</v>
      </c>
      <c r="Y12" s="64">
        <v>872.68723741710778</v>
      </c>
      <c r="Z12" s="64">
        <v>481.81717168204028</v>
      </c>
      <c r="AA12" s="64">
        <v>877.97623811818846</v>
      </c>
      <c r="AB12" s="64">
        <v>1247.3685937991645</v>
      </c>
      <c r="AC12" s="64">
        <v>963.98649129371256</v>
      </c>
      <c r="AD12" s="64">
        <v>545.24366240969869</v>
      </c>
      <c r="AE12" s="64">
        <v>770.73452302476767</v>
      </c>
      <c r="AF12" s="64">
        <v>1225.3594902016773</v>
      </c>
      <c r="AG12" s="64">
        <v>1210.911162443896</v>
      </c>
      <c r="AH12" s="64">
        <v>563.43891312851031</v>
      </c>
      <c r="AI12" s="64">
        <v>856.00475324783849</v>
      </c>
      <c r="AJ12" s="64">
        <v>1846.0791061303819</v>
      </c>
      <c r="AK12" s="64">
        <v>1368.7519472656256</v>
      </c>
      <c r="AL12" s="64">
        <v>724.99604493197478</v>
      </c>
      <c r="AM12" s="64">
        <v>1014.6667066231265</v>
      </c>
      <c r="AN12" s="41"/>
      <c r="AO12" s="41"/>
    </row>
    <row r="13" spans="1:41" s="54" customFormat="1" ht="18.95" customHeight="1" x14ac:dyDescent="0.2">
      <c r="A13" s="52" t="s">
        <v>82</v>
      </c>
      <c r="B13" s="53">
        <v>6561.1346272721585</v>
      </c>
      <c r="C13" s="53">
        <v>6994.9487877034371</v>
      </c>
      <c r="D13" s="53">
        <v>7453.1435710448031</v>
      </c>
      <c r="E13" s="53">
        <v>7239.0986189742198</v>
      </c>
      <c r="F13" s="53">
        <v>7539.6546123911157</v>
      </c>
      <c r="G13" s="53">
        <v>7698.2710981872769</v>
      </c>
      <c r="H13" s="53">
        <v>8027.8719382761346</v>
      </c>
      <c r="I13" s="53">
        <v>8344.6025996332828</v>
      </c>
      <c r="J13" s="74">
        <v>8671.8437230827803</v>
      </c>
      <c r="K13" s="74">
        <v>8751.1539005252598</v>
      </c>
      <c r="L13" s="74">
        <v>8922.9406787596745</v>
      </c>
      <c r="M13" s="74">
        <v>8816.93657668993</v>
      </c>
      <c r="N13" s="74">
        <v>9321.8087764783249</v>
      </c>
      <c r="O13" s="74">
        <v>9805.8538907587154</v>
      </c>
      <c r="P13" s="74">
        <v>9512.1912655597316</v>
      </c>
      <c r="Q13" s="74">
        <v>8364.5069069389101</v>
      </c>
      <c r="R13" s="74">
        <v>9669.772299304941</v>
      </c>
      <c r="S13" s="74">
        <v>10119.775238707325</v>
      </c>
      <c r="T13" s="74">
        <v>10232.130617252133</v>
      </c>
      <c r="U13" s="74">
        <v>10243.726043693581</v>
      </c>
      <c r="V13" s="74">
        <v>9974.8939100686584</v>
      </c>
      <c r="W13" s="74">
        <v>10706.203394707018</v>
      </c>
      <c r="X13" s="74">
        <v>11254.459521204088</v>
      </c>
      <c r="Y13" s="74">
        <v>11626.335961868514</v>
      </c>
      <c r="Z13" s="74">
        <v>11809.44323762229</v>
      </c>
      <c r="AA13" s="74">
        <v>11320.87595456811</v>
      </c>
      <c r="AB13" s="74">
        <v>11389.284129736043</v>
      </c>
      <c r="AC13" s="74">
        <v>12609.903228709665</v>
      </c>
      <c r="AD13" s="74">
        <v>13316.214379423751</v>
      </c>
      <c r="AE13" s="74">
        <v>12450.961856293405</v>
      </c>
      <c r="AF13" s="74">
        <v>12312.100348608132</v>
      </c>
      <c r="AG13" s="74">
        <v>12574.315171792286</v>
      </c>
      <c r="AH13" s="74">
        <v>13811.43995305984</v>
      </c>
      <c r="AI13" s="74">
        <v>13524.984631826374</v>
      </c>
      <c r="AJ13" s="74">
        <v>13728.091210883995</v>
      </c>
      <c r="AK13" s="74">
        <v>14244.257530950594</v>
      </c>
      <c r="AL13" s="74">
        <v>14866.433848605004</v>
      </c>
      <c r="AM13" s="74">
        <v>15240.26246092466</v>
      </c>
      <c r="AN13" s="41"/>
      <c r="AO13" s="41"/>
    </row>
    <row r="14" spans="1:41" s="19" customFormat="1" ht="18.95" customHeight="1" x14ac:dyDescent="0.2">
      <c r="A14" s="37" t="s">
        <v>9</v>
      </c>
      <c r="B14" s="16">
        <v>301.2704454052909</v>
      </c>
      <c r="C14" s="16">
        <v>291.75029279621123</v>
      </c>
      <c r="D14" s="16">
        <v>392.30159743939168</v>
      </c>
      <c r="E14" s="16">
        <v>351.79500461637281</v>
      </c>
      <c r="F14" s="16">
        <v>335.63768158267419</v>
      </c>
      <c r="G14" s="16">
        <v>268.53881050231047</v>
      </c>
      <c r="H14" s="16">
        <v>395.10215847445676</v>
      </c>
      <c r="I14" s="16">
        <v>537.17782078066068</v>
      </c>
      <c r="J14" s="64">
        <v>637.03800438115434</v>
      </c>
      <c r="K14" s="64">
        <v>438.71573867746497</v>
      </c>
      <c r="L14" s="64">
        <v>652.21491336758641</v>
      </c>
      <c r="M14" s="64">
        <v>539.32647735942362</v>
      </c>
      <c r="N14" s="64">
        <v>565.50100003111572</v>
      </c>
      <c r="O14" s="64">
        <v>603.74467534025621</v>
      </c>
      <c r="P14" s="64">
        <v>628.12913818727372</v>
      </c>
      <c r="Q14" s="64">
        <v>468.93375386574581</v>
      </c>
      <c r="R14" s="64">
        <v>864.61045079720088</v>
      </c>
      <c r="S14" s="64">
        <v>696.87361304916737</v>
      </c>
      <c r="T14" s="64">
        <v>663.69113609150304</v>
      </c>
      <c r="U14" s="64">
        <v>570.99640758860426</v>
      </c>
      <c r="V14" s="64">
        <v>383.39045171316019</v>
      </c>
      <c r="W14" s="64">
        <v>458.87634504561714</v>
      </c>
      <c r="X14" s="64">
        <v>751.1282311103264</v>
      </c>
      <c r="Y14" s="64">
        <v>733.69422658308838</v>
      </c>
      <c r="Z14" s="64">
        <v>564.877347055413</v>
      </c>
      <c r="AA14" s="64">
        <v>320.49496792919274</v>
      </c>
      <c r="AB14" s="64">
        <v>446.15520444149189</v>
      </c>
      <c r="AC14" s="64">
        <v>1354.2368919535775</v>
      </c>
      <c r="AD14" s="64">
        <v>1288.3211549812067</v>
      </c>
      <c r="AE14" s="64">
        <v>623.75528998753543</v>
      </c>
      <c r="AF14" s="64">
        <v>423.85763892738538</v>
      </c>
      <c r="AG14" s="64">
        <v>264.33641445123533</v>
      </c>
      <c r="AH14" s="64">
        <v>778.11805339757211</v>
      </c>
      <c r="AI14" s="64">
        <v>922.60717461908689</v>
      </c>
      <c r="AJ14" s="64">
        <v>527.29785132643701</v>
      </c>
      <c r="AK14" s="64">
        <v>393.91160458207861</v>
      </c>
      <c r="AL14" s="64">
        <v>774.22083476668979</v>
      </c>
      <c r="AM14" s="64">
        <v>938.70200468526366</v>
      </c>
      <c r="AN14" s="20"/>
      <c r="AO14" s="20"/>
    </row>
    <row r="15" spans="1:41" s="19" customFormat="1" ht="18.95" customHeight="1" x14ac:dyDescent="0.2">
      <c r="A15" s="24" t="s">
        <v>10</v>
      </c>
      <c r="B15" s="16">
        <v>3861.4137638788129</v>
      </c>
      <c r="C15" s="16">
        <v>4164.1313068362315</v>
      </c>
      <c r="D15" s="16">
        <v>4528.7288330335823</v>
      </c>
      <c r="E15" s="16">
        <v>4290.9773429695988</v>
      </c>
      <c r="F15" s="16">
        <v>4590.8366029516465</v>
      </c>
      <c r="G15" s="16">
        <v>4710.8602208961693</v>
      </c>
      <c r="H15" s="16">
        <v>4845.1857971503623</v>
      </c>
      <c r="I15" s="16">
        <v>4864.8388804598153</v>
      </c>
      <c r="J15" s="64">
        <v>5004.0470033161064</v>
      </c>
      <c r="K15" s="64">
        <v>5179.6301803675378</v>
      </c>
      <c r="L15" s="64">
        <v>5171.4207011618037</v>
      </c>
      <c r="M15" s="64">
        <v>5074.312836750425</v>
      </c>
      <c r="N15" s="64">
        <v>5636.1116405828861</v>
      </c>
      <c r="O15" s="64">
        <v>5973.3991035165436</v>
      </c>
      <c r="P15" s="64">
        <v>5618.4382159255701</v>
      </c>
      <c r="Q15" s="64">
        <v>4836.2943278643816</v>
      </c>
      <c r="R15" s="64">
        <v>5943.6952293869872</v>
      </c>
      <c r="S15" s="64">
        <v>6129.0523718058103</v>
      </c>
      <c r="T15" s="64">
        <v>6166.7243414000004</v>
      </c>
      <c r="U15" s="64">
        <v>6133.4621717656937</v>
      </c>
      <c r="V15" s="64">
        <v>5940.7007128873693</v>
      </c>
      <c r="W15" s="64">
        <v>6600.2001390985952</v>
      </c>
      <c r="X15" s="64">
        <v>6936.98029685456</v>
      </c>
      <c r="Y15" s="64">
        <v>7167.328164719127</v>
      </c>
      <c r="Z15" s="64">
        <v>7346.4138746858835</v>
      </c>
      <c r="AA15" s="64">
        <v>7213.0526586347414</v>
      </c>
      <c r="AB15" s="64">
        <v>7062.8799296246398</v>
      </c>
      <c r="AC15" s="64">
        <v>7016.6480514392251</v>
      </c>
      <c r="AD15" s="64">
        <v>7783.1105598675222</v>
      </c>
      <c r="AE15" s="64">
        <v>7496.233987317255</v>
      </c>
      <c r="AF15" s="64">
        <v>7637.2330434501846</v>
      </c>
      <c r="AG15" s="64">
        <v>7862.0185348431687</v>
      </c>
      <c r="AH15" s="64">
        <v>8510.1527013635605</v>
      </c>
      <c r="AI15" s="64">
        <v>7779.2831884015422</v>
      </c>
      <c r="AJ15" s="64">
        <v>8206.7500051739953</v>
      </c>
      <c r="AK15" s="64">
        <v>8485.4942949955803</v>
      </c>
      <c r="AL15" s="64">
        <v>8937.1591334563</v>
      </c>
      <c r="AM15" s="64">
        <v>8871.1458398545383</v>
      </c>
      <c r="AN15" s="20"/>
      <c r="AO15" s="20"/>
    </row>
    <row r="16" spans="1:41" s="19" customFormat="1" ht="18.95" customHeight="1" x14ac:dyDescent="0.2">
      <c r="A16" s="24" t="s">
        <v>11</v>
      </c>
      <c r="B16" s="16">
        <v>310.99941013169092</v>
      </c>
      <c r="C16" s="16">
        <v>318.75217513063706</v>
      </c>
      <c r="D16" s="16">
        <v>382.45301823949364</v>
      </c>
      <c r="E16" s="16">
        <v>367.27175540421837</v>
      </c>
      <c r="F16" s="16">
        <v>381.62613249338483</v>
      </c>
      <c r="G16" s="16">
        <v>378.96575824237391</v>
      </c>
      <c r="H16" s="16">
        <v>399.47413823590961</v>
      </c>
      <c r="I16" s="16">
        <v>386.3106946883201</v>
      </c>
      <c r="J16" s="64">
        <v>429.82338726626335</v>
      </c>
      <c r="K16" s="64">
        <v>425.35892603618066</v>
      </c>
      <c r="L16" s="64">
        <v>438.45843444075854</v>
      </c>
      <c r="M16" s="64">
        <v>448.96849141931102</v>
      </c>
      <c r="N16" s="64">
        <v>479.23869340143125</v>
      </c>
      <c r="O16" s="64">
        <v>492.02006049982657</v>
      </c>
      <c r="P16" s="64">
        <v>513.41511310958322</v>
      </c>
      <c r="Q16" s="64">
        <v>447.15501963437077</v>
      </c>
      <c r="R16" s="64">
        <v>520.94565898383246</v>
      </c>
      <c r="S16" s="64">
        <v>531.21854893960256</v>
      </c>
      <c r="T16" s="64">
        <v>543.2640346253504</v>
      </c>
      <c r="U16" s="64">
        <v>538.82997799952943</v>
      </c>
      <c r="V16" s="64">
        <v>535.8361577522611</v>
      </c>
      <c r="W16" s="64">
        <v>540.68732779746551</v>
      </c>
      <c r="X16" s="64">
        <v>551.38207075763648</v>
      </c>
      <c r="Y16" s="64">
        <v>552.35776520625245</v>
      </c>
      <c r="Z16" s="64">
        <v>580.95981044657287</v>
      </c>
      <c r="AA16" s="64">
        <v>533.40420406564931</v>
      </c>
      <c r="AB16" s="64">
        <v>537.67266542310608</v>
      </c>
      <c r="AC16" s="64">
        <v>535.80442856643322</v>
      </c>
      <c r="AD16" s="64">
        <v>553.46383205199072</v>
      </c>
      <c r="AE16" s="64">
        <v>542.66136453666809</v>
      </c>
      <c r="AF16" s="64">
        <v>549.45216033139445</v>
      </c>
      <c r="AG16" s="64">
        <v>557.23549728168973</v>
      </c>
      <c r="AH16" s="64">
        <v>576.0462367886181</v>
      </c>
      <c r="AI16" s="64">
        <v>591.73519858382986</v>
      </c>
      <c r="AJ16" s="64">
        <v>611.26420174598059</v>
      </c>
      <c r="AK16" s="64">
        <v>611.45335685307305</v>
      </c>
      <c r="AL16" s="64">
        <v>690.76711968679535</v>
      </c>
      <c r="AM16" s="64">
        <v>623.63970282438493</v>
      </c>
      <c r="AN16" s="20"/>
      <c r="AO16" s="20"/>
    </row>
    <row r="17" spans="1:41" s="19" customFormat="1" ht="18.95" customHeight="1" x14ac:dyDescent="0.2">
      <c r="A17" s="24" t="s">
        <v>12</v>
      </c>
      <c r="B17" s="16">
        <v>618.27762417253109</v>
      </c>
      <c r="C17" s="16">
        <v>629.0185950378268</v>
      </c>
      <c r="D17" s="16">
        <v>649.90425265227816</v>
      </c>
      <c r="E17" s="16">
        <v>680.76627039234825</v>
      </c>
      <c r="F17" s="16">
        <v>701.03647053009195</v>
      </c>
      <c r="G17" s="16">
        <v>716.88128451939724</v>
      </c>
      <c r="H17" s="16">
        <v>720.56487208580597</v>
      </c>
      <c r="I17" s="16">
        <v>747.20414581579439</v>
      </c>
      <c r="J17" s="64">
        <v>753.79373910727622</v>
      </c>
      <c r="K17" s="64">
        <v>751.1490620653484</v>
      </c>
      <c r="L17" s="64">
        <v>740.39942042261953</v>
      </c>
      <c r="M17" s="64">
        <v>739.22490855066633</v>
      </c>
      <c r="N17" s="64">
        <v>758.75228023344494</v>
      </c>
      <c r="O17" s="64">
        <v>781.25384535194723</v>
      </c>
      <c r="P17" s="64">
        <v>786.56900523857803</v>
      </c>
      <c r="Q17" s="64">
        <v>792.60642314368386</v>
      </c>
      <c r="R17" s="64">
        <v>803.48359534536917</v>
      </c>
      <c r="S17" s="64">
        <v>808.62409708052508</v>
      </c>
      <c r="T17" s="64">
        <v>818.35911120553305</v>
      </c>
      <c r="U17" s="64">
        <v>827.10525392183433</v>
      </c>
      <c r="V17" s="64">
        <v>852.0520682189856</v>
      </c>
      <c r="W17" s="64">
        <v>866.66786055512443</v>
      </c>
      <c r="X17" s="64">
        <v>878.31189794753095</v>
      </c>
      <c r="Y17" s="64">
        <v>889.56696294000494</v>
      </c>
      <c r="Z17" s="64">
        <v>949.18251919659326</v>
      </c>
      <c r="AA17" s="64">
        <v>965.30279770431855</v>
      </c>
      <c r="AB17" s="64">
        <v>985.06873037357036</v>
      </c>
      <c r="AC17" s="64">
        <v>983.02918599847249</v>
      </c>
      <c r="AD17" s="64">
        <v>1055.4397831818005</v>
      </c>
      <c r="AE17" s="64">
        <v>1065.4745583925758</v>
      </c>
      <c r="AF17" s="64">
        <v>1076.4814012935501</v>
      </c>
      <c r="AG17" s="64">
        <v>1108.6377972818466</v>
      </c>
      <c r="AH17" s="64">
        <v>1147.404900463793</v>
      </c>
      <c r="AI17" s="64">
        <v>1210.6036419735669</v>
      </c>
      <c r="AJ17" s="64">
        <v>1235.4366205669658</v>
      </c>
      <c r="AK17" s="64">
        <v>1253.5204689150551</v>
      </c>
      <c r="AL17" s="64">
        <v>1274.6199950581897</v>
      </c>
      <c r="AM17" s="64">
        <v>1283.1649790370193</v>
      </c>
      <c r="AN17" s="20"/>
      <c r="AO17" s="20"/>
    </row>
    <row r="18" spans="1:41" s="19" customFormat="1" ht="18.95" customHeight="1" x14ac:dyDescent="0.2">
      <c r="A18" s="37" t="s">
        <v>119</v>
      </c>
      <c r="B18" s="16">
        <v>1469.173383683833</v>
      </c>
      <c r="C18" s="16">
        <v>1591.2964179025316</v>
      </c>
      <c r="D18" s="16">
        <v>1499.755869680057</v>
      </c>
      <c r="E18" s="16">
        <v>1548.2882455916827</v>
      </c>
      <c r="F18" s="16">
        <v>1530.517724833318</v>
      </c>
      <c r="G18" s="16">
        <v>1623.0250240270261</v>
      </c>
      <c r="H18" s="16">
        <v>1667.5449723295997</v>
      </c>
      <c r="I18" s="16">
        <v>1809.0710578886919</v>
      </c>
      <c r="J18" s="64">
        <v>1847.1415890119788</v>
      </c>
      <c r="K18" s="64">
        <v>1956.2999933787269</v>
      </c>
      <c r="L18" s="64">
        <v>1920.4472093669071</v>
      </c>
      <c r="M18" s="64">
        <v>2015.1038626101042</v>
      </c>
      <c r="N18" s="64">
        <v>1882.2051622294471</v>
      </c>
      <c r="O18" s="64">
        <v>1955.4362060501419</v>
      </c>
      <c r="P18" s="64">
        <v>1965.6397930987273</v>
      </c>
      <c r="Q18" s="64">
        <v>1819.5173824307276</v>
      </c>
      <c r="R18" s="64">
        <v>1537.0373647915499</v>
      </c>
      <c r="S18" s="64">
        <v>1954.0066078322211</v>
      </c>
      <c r="T18" s="64">
        <v>2040.0919939297448</v>
      </c>
      <c r="U18" s="64">
        <v>2173.3322324179194</v>
      </c>
      <c r="V18" s="64">
        <v>2262.9145194968833</v>
      </c>
      <c r="W18" s="64">
        <v>2239.7717222102142</v>
      </c>
      <c r="X18" s="64">
        <v>2136.6570245340345</v>
      </c>
      <c r="Y18" s="64">
        <v>2283.3888424200391</v>
      </c>
      <c r="Z18" s="64">
        <v>2368.0096862378296</v>
      </c>
      <c r="AA18" s="64">
        <v>2288.6213262342067</v>
      </c>
      <c r="AB18" s="64">
        <v>2357.5075998732364</v>
      </c>
      <c r="AC18" s="64">
        <v>2720.1846707519585</v>
      </c>
      <c r="AD18" s="64">
        <v>2635.8790493412307</v>
      </c>
      <c r="AE18" s="64">
        <v>2722.836656059369</v>
      </c>
      <c r="AF18" s="64">
        <v>2625.0761046056173</v>
      </c>
      <c r="AG18" s="64">
        <v>2782.0869279343465</v>
      </c>
      <c r="AH18" s="64">
        <v>2799.7180610462988</v>
      </c>
      <c r="AI18" s="64">
        <v>3020.7554282483461</v>
      </c>
      <c r="AJ18" s="64">
        <v>3147.3425320706156</v>
      </c>
      <c r="AK18" s="64">
        <v>3499.877805604805</v>
      </c>
      <c r="AL18" s="64">
        <v>3189.6667656370282</v>
      </c>
      <c r="AM18" s="64">
        <v>3523.6099345234534</v>
      </c>
      <c r="AN18" s="20"/>
      <c r="AO18" s="20"/>
    </row>
    <row r="19" spans="1:41" s="54" customFormat="1" ht="18.95" customHeight="1" x14ac:dyDescent="0.2">
      <c r="A19" s="52" t="s">
        <v>83</v>
      </c>
      <c r="B19" s="53">
        <v>11460.606260347036</v>
      </c>
      <c r="C19" s="53">
        <v>11605.991050682003</v>
      </c>
      <c r="D19" s="53">
        <v>11848.53888486281</v>
      </c>
      <c r="E19" s="53">
        <v>12266.879580525949</v>
      </c>
      <c r="F19" s="53">
        <v>12989.411466324653</v>
      </c>
      <c r="G19" s="53">
        <v>12761.328171010457</v>
      </c>
      <c r="H19" s="53">
        <v>13059.141089474608</v>
      </c>
      <c r="I19" s="53">
        <v>13406.88806172407</v>
      </c>
      <c r="J19" s="74">
        <v>14087.819688546297</v>
      </c>
      <c r="K19" s="74">
        <v>14006.09910674718</v>
      </c>
      <c r="L19" s="74">
        <v>14154.147191686052</v>
      </c>
      <c r="M19" s="74">
        <v>14548.04206217793</v>
      </c>
      <c r="N19" s="74">
        <v>15752.218398282777</v>
      </c>
      <c r="O19" s="74">
        <v>15659.814681847589</v>
      </c>
      <c r="P19" s="74">
        <v>14746.076458876121</v>
      </c>
      <c r="Q19" s="74">
        <v>13681.889317151174</v>
      </c>
      <c r="R19" s="74">
        <v>15432.187077745346</v>
      </c>
      <c r="S19" s="74">
        <v>15321.761744148365</v>
      </c>
      <c r="T19" s="74">
        <v>15613.136226456609</v>
      </c>
      <c r="U19" s="74">
        <v>15695.393400463889</v>
      </c>
      <c r="V19" s="74">
        <v>16108.287810317481</v>
      </c>
      <c r="W19" s="74">
        <v>16788.405261674168</v>
      </c>
      <c r="X19" s="74">
        <v>17167.222449885052</v>
      </c>
      <c r="Y19" s="74">
        <v>17724.921785535818</v>
      </c>
      <c r="Z19" s="74">
        <v>19303.199886978062</v>
      </c>
      <c r="AA19" s="74">
        <v>19146.940657700754</v>
      </c>
      <c r="AB19" s="74">
        <v>18632.010902221449</v>
      </c>
      <c r="AC19" s="74">
        <v>20717.644298074058</v>
      </c>
      <c r="AD19" s="74">
        <v>21697.836859584451</v>
      </c>
      <c r="AE19" s="74">
        <v>21910.740461809033</v>
      </c>
      <c r="AF19" s="74">
        <v>21558.343807224443</v>
      </c>
      <c r="AG19" s="74">
        <v>22715.376668158038</v>
      </c>
      <c r="AH19" s="74">
        <v>23890.857366550244</v>
      </c>
      <c r="AI19" s="74">
        <v>23368.388550354295</v>
      </c>
      <c r="AJ19" s="74">
        <v>24049.474863012074</v>
      </c>
      <c r="AK19" s="74">
        <v>24606.701926966023</v>
      </c>
      <c r="AL19" s="74">
        <v>25687.4421409022</v>
      </c>
      <c r="AM19" s="74">
        <v>26335.245551037759</v>
      </c>
      <c r="AN19" s="41"/>
      <c r="AO19" s="41"/>
    </row>
    <row r="20" spans="1:41" s="19" customFormat="1" ht="18.95" customHeight="1" x14ac:dyDescent="0.2">
      <c r="A20" s="38" t="s">
        <v>64</v>
      </c>
      <c r="B20" s="16">
        <v>2327.1744867982679</v>
      </c>
      <c r="C20" s="16">
        <v>2387.342348467484</v>
      </c>
      <c r="D20" s="16">
        <v>2508.5507502312744</v>
      </c>
      <c r="E20" s="16">
        <v>2608.9355385383856</v>
      </c>
      <c r="F20" s="16">
        <v>2770.2467334686471</v>
      </c>
      <c r="G20" s="16">
        <v>2457.985055743567</v>
      </c>
      <c r="H20" s="16">
        <v>2778.51395762637</v>
      </c>
      <c r="I20" s="16">
        <v>2918.2321815551118</v>
      </c>
      <c r="J20" s="64">
        <v>2893.7286749821415</v>
      </c>
      <c r="K20" s="64">
        <v>2885.728252618067</v>
      </c>
      <c r="L20" s="64">
        <v>2846.568627434533</v>
      </c>
      <c r="M20" s="64">
        <v>2792.2933778217198</v>
      </c>
      <c r="N20" s="64">
        <v>3091.6142695659655</v>
      </c>
      <c r="O20" s="64">
        <v>3104.8931378968773</v>
      </c>
      <c r="P20" s="64">
        <v>2876.5522510790483</v>
      </c>
      <c r="Q20" s="64">
        <v>2685.1103288347704</v>
      </c>
      <c r="R20" s="64">
        <v>3049.8001263691103</v>
      </c>
      <c r="S20" s="64">
        <v>2944.9533914991284</v>
      </c>
      <c r="T20" s="64">
        <v>2858.3003156975383</v>
      </c>
      <c r="U20" s="64">
        <v>2886.1323809619107</v>
      </c>
      <c r="V20" s="64">
        <v>3017.0903608868134</v>
      </c>
      <c r="W20" s="64">
        <v>3162.0378773150806</v>
      </c>
      <c r="X20" s="64">
        <v>3541.8848399706144</v>
      </c>
      <c r="Y20" s="64">
        <v>3925.0979902151234</v>
      </c>
      <c r="Z20" s="64">
        <v>4175.1158107637093</v>
      </c>
      <c r="AA20" s="64">
        <v>3833.0566905529645</v>
      </c>
      <c r="AB20" s="64">
        <v>3975.9868282684065</v>
      </c>
      <c r="AC20" s="64">
        <v>4746.9281328677744</v>
      </c>
      <c r="AD20" s="64">
        <v>5512.3135923572718</v>
      </c>
      <c r="AE20" s="64">
        <v>4615.7403425577513</v>
      </c>
      <c r="AF20" s="64">
        <v>4481.8735623227221</v>
      </c>
      <c r="AG20" s="64">
        <v>4619.5327677075766</v>
      </c>
      <c r="AH20" s="64">
        <v>6102.0067137741453</v>
      </c>
      <c r="AI20" s="64">
        <v>5260.3475107779259</v>
      </c>
      <c r="AJ20" s="64">
        <v>5150.387841166732</v>
      </c>
      <c r="AK20" s="64">
        <v>5329.0959732837609</v>
      </c>
      <c r="AL20" s="64">
        <v>6391.3281549998401</v>
      </c>
      <c r="AM20" s="64">
        <v>6429.4954157811244</v>
      </c>
      <c r="AN20" s="20"/>
      <c r="AO20" s="20"/>
    </row>
    <row r="21" spans="1:41" s="19" customFormat="1" ht="18.95" customHeight="1" x14ac:dyDescent="0.2">
      <c r="A21" s="38" t="s">
        <v>65</v>
      </c>
      <c r="B21" s="16">
        <v>871.01232516015773</v>
      </c>
      <c r="C21" s="16">
        <v>895.53267687770938</v>
      </c>
      <c r="D21" s="16">
        <v>913.04523622606678</v>
      </c>
      <c r="E21" s="16">
        <v>941.08005327299247</v>
      </c>
      <c r="F21" s="16">
        <v>1021.416199899511</v>
      </c>
      <c r="G21" s="16">
        <v>1003.6358713573256</v>
      </c>
      <c r="H21" s="16">
        <v>1036.0742987687468</v>
      </c>
      <c r="I21" s="16">
        <v>1050.1958644983354</v>
      </c>
      <c r="J21" s="64">
        <v>1120.3575803748156</v>
      </c>
      <c r="K21" s="64">
        <v>1095.3245415507311</v>
      </c>
      <c r="L21" s="64">
        <v>1119.6953883130473</v>
      </c>
      <c r="M21" s="64">
        <v>1182.058659414764</v>
      </c>
      <c r="N21" s="64">
        <v>1325.6253308623047</v>
      </c>
      <c r="O21" s="64">
        <v>1254.1235972790525</v>
      </c>
      <c r="P21" s="64">
        <v>1158.9319252920595</v>
      </c>
      <c r="Q21" s="64">
        <v>1053.420463958623</v>
      </c>
      <c r="R21" s="64">
        <v>1342.0775558334985</v>
      </c>
      <c r="S21" s="64">
        <v>1209.8254817851314</v>
      </c>
      <c r="T21" s="64">
        <v>1111.6213990274266</v>
      </c>
      <c r="U21" s="64">
        <v>1140.9091793350156</v>
      </c>
      <c r="V21" s="64">
        <v>1192.1224674657938</v>
      </c>
      <c r="W21" s="64">
        <v>1344.5459324356166</v>
      </c>
      <c r="X21" s="64">
        <v>1319.5000685156836</v>
      </c>
      <c r="Y21" s="64">
        <v>1327.1092477767031</v>
      </c>
      <c r="Z21" s="64">
        <v>1409.5068067238979</v>
      </c>
      <c r="AA21" s="64">
        <v>1673.5829238111457</v>
      </c>
      <c r="AB21" s="64">
        <v>1725.6384171492448</v>
      </c>
      <c r="AC21" s="64">
        <v>1670.9258284088592</v>
      </c>
      <c r="AD21" s="64">
        <v>1661.4780381700452</v>
      </c>
      <c r="AE21" s="64">
        <v>1885.1757058881867</v>
      </c>
      <c r="AF21" s="64">
        <v>2007.7133089786166</v>
      </c>
      <c r="AG21" s="64">
        <v>2016.9462251862637</v>
      </c>
      <c r="AH21" s="64">
        <v>1999.7236863379953</v>
      </c>
      <c r="AI21" s="64">
        <v>2152.8664821748775</v>
      </c>
      <c r="AJ21" s="64">
        <v>2305.963348459456</v>
      </c>
      <c r="AK21" s="64">
        <v>2202.7114019834112</v>
      </c>
      <c r="AL21" s="64">
        <v>2077.1440230087769</v>
      </c>
      <c r="AM21" s="64">
        <v>2313.6836178587296</v>
      </c>
      <c r="AN21" s="20"/>
      <c r="AO21" s="20"/>
    </row>
    <row r="22" spans="1:41" s="19" customFormat="1" ht="18.95" customHeight="1" x14ac:dyDescent="0.2">
      <c r="A22" s="38" t="s">
        <v>66</v>
      </c>
      <c r="B22" s="16">
        <v>766.04413828583597</v>
      </c>
      <c r="C22" s="16">
        <v>765.4741406563254</v>
      </c>
      <c r="D22" s="16">
        <v>809.01706794209099</v>
      </c>
      <c r="E22" s="16">
        <v>870.99066357382253</v>
      </c>
      <c r="F22" s="16">
        <v>984.59982638410361</v>
      </c>
      <c r="G22" s="16">
        <v>895.80855544782173</v>
      </c>
      <c r="H22" s="16">
        <v>884.57297251098453</v>
      </c>
      <c r="I22" s="16">
        <v>904.32958694394472</v>
      </c>
      <c r="J22" s="64">
        <v>1001.874155535865</v>
      </c>
      <c r="K22" s="64">
        <v>916.50380408536216</v>
      </c>
      <c r="L22" s="64">
        <v>917.03559623673198</v>
      </c>
      <c r="M22" s="64">
        <v>991.70836667608114</v>
      </c>
      <c r="N22" s="64">
        <v>1119.2391246038928</v>
      </c>
      <c r="O22" s="64">
        <v>1066.9898861326665</v>
      </c>
      <c r="P22" s="64">
        <v>937.27696046621816</v>
      </c>
      <c r="Q22" s="64">
        <v>521.36386275394557</v>
      </c>
      <c r="R22" s="64">
        <v>817.50658435387072</v>
      </c>
      <c r="S22" s="64">
        <v>828.99076974731349</v>
      </c>
      <c r="T22" s="64">
        <v>932.4436582998967</v>
      </c>
      <c r="U22" s="64">
        <v>969.82185034834174</v>
      </c>
      <c r="V22" s="64">
        <v>846.43559328575611</v>
      </c>
      <c r="W22" s="64">
        <v>1007.1058654439146</v>
      </c>
      <c r="X22" s="64">
        <v>784.0532876607889</v>
      </c>
      <c r="Y22" s="64">
        <v>956.52212258090867</v>
      </c>
      <c r="Z22" s="64">
        <v>870.42917854496693</v>
      </c>
      <c r="AA22" s="64">
        <v>992.79083018368851</v>
      </c>
      <c r="AB22" s="64">
        <v>880.41662009524885</v>
      </c>
      <c r="AC22" s="64">
        <v>1284.1446524561568</v>
      </c>
      <c r="AD22" s="64">
        <v>1079.1953554190395</v>
      </c>
      <c r="AE22" s="64">
        <v>991.17664029979733</v>
      </c>
      <c r="AF22" s="64">
        <v>1052.4972121013323</v>
      </c>
      <c r="AG22" s="64">
        <v>1631.1088027372923</v>
      </c>
      <c r="AH22" s="64">
        <v>1305.3750993392621</v>
      </c>
      <c r="AI22" s="64">
        <v>1263.1817613032779</v>
      </c>
      <c r="AJ22" s="64">
        <v>1297.5761494778772</v>
      </c>
      <c r="AK22" s="64">
        <v>1412.273464963883</v>
      </c>
      <c r="AL22" s="64">
        <v>1620.8842172062311</v>
      </c>
      <c r="AM22" s="64">
        <v>1540.320736017675</v>
      </c>
      <c r="AN22" s="20"/>
      <c r="AO22" s="20"/>
    </row>
    <row r="23" spans="1:41" s="19" customFormat="1" ht="18.95" customHeight="1" x14ac:dyDescent="0.2">
      <c r="A23" s="38" t="s">
        <v>67</v>
      </c>
      <c r="B23" s="16">
        <v>561.85310254611784</v>
      </c>
      <c r="C23" s="16">
        <v>562.12507942555362</v>
      </c>
      <c r="D23" s="16">
        <v>528.67032446242342</v>
      </c>
      <c r="E23" s="16">
        <v>477.20916705315153</v>
      </c>
      <c r="F23" s="16">
        <v>461.31412146531403</v>
      </c>
      <c r="G23" s="16">
        <v>479.75544369236928</v>
      </c>
      <c r="H23" s="16">
        <v>496.2982810882587</v>
      </c>
      <c r="I23" s="16">
        <v>527.6847484772743</v>
      </c>
      <c r="J23" s="64">
        <v>566.59690208790721</v>
      </c>
      <c r="K23" s="64">
        <v>605.7850624846875</v>
      </c>
      <c r="L23" s="64">
        <v>605.32924968668397</v>
      </c>
      <c r="M23" s="64">
        <v>620.85616974334698</v>
      </c>
      <c r="N23" s="64">
        <v>677.48117096214241</v>
      </c>
      <c r="O23" s="64">
        <v>696.76655538543412</v>
      </c>
      <c r="P23" s="64">
        <v>611.31898979892651</v>
      </c>
      <c r="Q23" s="64">
        <v>569.66668522987004</v>
      </c>
      <c r="R23" s="64">
        <v>615.84601542653138</v>
      </c>
      <c r="S23" s="64">
        <v>654.70924921127778</v>
      </c>
      <c r="T23" s="64">
        <v>691.43637387196065</v>
      </c>
      <c r="U23" s="64">
        <v>716.15405063821856</v>
      </c>
      <c r="V23" s="64">
        <v>680.12467129416018</v>
      </c>
      <c r="W23" s="64">
        <v>700.26688964933226</v>
      </c>
      <c r="X23" s="64">
        <v>693.6666859224639</v>
      </c>
      <c r="Y23" s="64">
        <v>670.88920633136104</v>
      </c>
      <c r="Z23" s="64">
        <v>628.49629233491669</v>
      </c>
      <c r="AA23" s="64">
        <v>639.68239598925868</v>
      </c>
      <c r="AB23" s="64">
        <v>705.09503226809693</v>
      </c>
      <c r="AC23" s="64">
        <v>850.88999779456742</v>
      </c>
      <c r="AD23" s="64">
        <v>1108.5895623821443</v>
      </c>
      <c r="AE23" s="64">
        <v>1190.9018823773347</v>
      </c>
      <c r="AF23" s="64">
        <v>1137.0548052971719</v>
      </c>
      <c r="AG23" s="64">
        <v>983.92612486638279</v>
      </c>
      <c r="AH23" s="64">
        <v>1225.9921653714744</v>
      </c>
      <c r="AI23" s="64">
        <v>1090.1324425984055</v>
      </c>
      <c r="AJ23" s="64">
        <v>1177.0447401521089</v>
      </c>
      <c r="AK23" s="64">
        <v>997.9718120641221</v>
      </c>
      <c r="AL23" s="64">
        <v>1111.0133936558373</v>
      </c>
      <c r="AM23" s="64">
        <v>1137.3092925318592</v>
      </c>
      <c r="AN23" s="20"/>
      <c r="AO23" s="20"/>
    </row>
    <row r="24" spans="1:41" s="19" customFormat="1" ht="18.95" customHeight="1" x14ac:dyDescent="0.2">
      <c r="A24" s="38" t="s">
        <v>68</v>
      </c>
      <c r="B24" s="16">
        <v>703.40664224292868</v>
      </c>
      <c r="C24" s="16">
        <v>664.24035977357812</v>
      </c>
      <c r="D24" s="16">
        <v>748.88498728708839</v>
      </c>
      <c r="E24" s="16">
        <v>754.91986565234993</v>
      </c>
      <c r="F24" s="16">
        <v>775.4609060464627</v>
      </c>
      <c r="G24" s="16">
        <v>776.94544785346648</v>
      </c>
      <c r="H24" s="16">
        <v>741.87222584504036</v>
      </c>
      <c r="I24" s="16">
        <v>771.79693782306333</v>
      </c>
      <c r="J24" s="64">
        <v>781.02208447785119</v>
      </c>
      <c r="K24" s="64">
        <v>806.25791426448586</v>
      </c>
      <c r="L24" s="64">
        <v>886.63421767766522</v>
      </c>
      <c r="M24" s="64">
        <v>982.66039171975478</v>
      </c>
      <c r="N24" s="64">
        <v>1092.2248260638405</v>
      </c>
      <c r="O24" s="64">
        <v>1065.4548432758734</v>
      </c>
      <c r="P24" s="64">
        <v>965.33734293925306</v>
      </c>
      <c r="Q24" s="64">
        <v>693.25599475905074</v>
      </c>
      <c r="R24" s="64">
        <v>1125.1598469523774</v>
      </c>
      <c r="S24" s="64">
        <v>965.35063911203099</v>
      </c>
      <c r="T24" s="64">
        <v>1053.8163056941075</v>
      </c>
      <c r="U24" s="64">
        <v>958.65598792753633</v>
      </c>
      <c r="V24" s="64">
        <v>1147.8798264286372</v>
      </c>
      <c r="W24" s="64">
        <v>1089.723162009951</v>
      </c>
      <c r="X24" s="64">
        <v>1243.2884939373128</v>
      </c>
      <c r="Y24" s="64">
        <v>1176.3971886620184</v>
      </c>
      <c r="Z24" s="64">
        <v>1350.9697072534941</v>
      </c>
      <c r="AA24" s="64">
        <v>1506.2108424992743</v>
      </c>
      <c r="AB24" s="64">
        <v>919.27224140417536</v>
      </c>
      <c r="AC24" s="64">
        <v>1349.1542374685582</v>
      </c>
      <c r="AD24" s="64">
        <v>1408.9859082604955</v>
      </c>
      <c r="AE24" s="64">
        <v>1443.0981011453177</v>
      </c>
      <c r="AF24" s="64">
        <v>1345.5179867769957</v>
      </c>
      <c r="AG24" s="64">
        <v>1361.1376123765331</v>
      </c>
      <c r="AH24" s="64">
        <v>1580.6834561012142</v>
      </c>
      <c r="AI24" s="64">
        <v>1494.9652601819089</v>
      </c>
      <c r="AJ24" s="64">
        <v>1465.0511763992818</v>
      </c>
      <c r="AK24" s="64">
        <v>1465.5709336816096</v>
      </c>
      <c r="AL24" s="64">
        <v>1750.4485101832611</v>
      </c>
      <c r="AM24" s="64">
        <v>1676.6692109838707</v>
      </c>
      <c r="AN24" s="20"/>
      <c r="AO24" s="20"/>
    </row>
    <row r="25" spans="1:41" s="19" customFormat="1" ht="18.95" customHeight="1" x14ac:dyDescent="0.2">
      <c r="A25" s="38" t="s">
        <v>20</v>
      </c>
      <c r="B25" s="16">
        <v>1573.4443129212329</v>
      </c>
      <c r="C25" s="16">
        <v>1600.0700472907006</v>
      </c>
      <c r="D25" s="16">
        <v>1642.1176565174042</v>
      </c>
      <c r="E25" s="16">
        <v>1699.5648603372097</v>
      </c>
      <c r="F25" s="16">
        <v>1770.2425437110542</v>
      </c>
      <c r="G25" s="16">
        <v>1845.1212826128217</v>
      </c>
      <c r="H25" s="16">
        <v>1879.6802171074748</v>
      </c>
      <c r="I25" s="16">
        <v>1928.6969881806433</v>
      </c>
      <c r="J25" s="64">
        <v>2036.3807263694746</v>
      </c>
      <c r="K25" s="64">
        <v>2064.9673290103174</v>
      </c>
      <c r="L25" s="64">
        <v>2103.6247506897562</v>
      </c>
      <c r="M25" s="64">
        <v>2087.566026619395</v>
      </c>
      <c r="N25" s="64">
        <v>2184.5325956182969</v>
      </c>
      <c r="O25" s="64">
        <v>2157.2038766621417</v>
      </c>
      <c r="P25" s="64">
        <v>2277.2326999785887</v>
      </c>
      <c r="Q25" s="64">
        <v>2287.9153500258894</v>
      </c>
      <c r="R25" s="64">
        <v>2281.7697253287211</v>
      </c>
      <c r="S25" s="64">
        <v>2289.9367968874803</v>
      </c>
      <c r="T25" s="64">
        <v>2317.6156170196932</v>
      </c>
      <c r="U25" s="64">
        <v>2384.0511176155405</v>
      </c>
      <c r="V25" s="64">
        <v>2451.9766645256041</v>
      </c>
      <c r="W25" s="64">
        <v>2532.3531740248191</v>
      </c>
      <c r="X25" s="64">
        <v>2578.299020561446</v>
      </c>
      <c r="Y25" s="64">
        <v>2651.5946972363613</v>
      </c>
      <c r="Z25" s="64">
        <v>2722.959359511382</v>
      </c>
      <c r="AA25" s="64">
        <v>2777.4819701979841</v>
      </c>
      <c r="AB25" s="64">
        <v>2806.3893069792598</v>
      </c>
      <c r="AC25" s="64">
        <v>2901.2715096838833</v>
      </c>
      <c r="AD25" s="64">
        <v>2951.7138942486431</v>
      </c>
      <c r="AE25" s="64">
        <v>3031.3157583201778</v>
      </c>
      <c r="AF25" s="64">
        <v>3071.4261682167407</v>
      </c>
      <c r="AG25" s="64">
        <v>3105.1315925949857</v>
      </c>
      <c r="AH25" s="64">
        <v>3117.4849748648153</v>
      </c>
      <c r="AI25" s="64">
        <v>3187.151176881232</v>
      </c>
      <c r="AJ25" s="64">
        <v>3322.8636292017281</v>
      </c>
      <c r="AK25" s="64">
        <v>3342.9467292948129</v>
      </c>
      <c r="AL25" s="64">
        <v>3381.9033656888018</v>
      </c>
      <c r="AM25" s="64">
        <v>3387.7115935621414</v>
      </c>
      <c r="AN25" s="20"/>
      <c r="AO25" s="20"/>
    </row>
    <row r="26" spans="1:41" s="19" customFormat="1" ht="18.95" customHeight="1" x14ac:dyDescent="0.2">
      <c r="A26" s="38" t="s">
        <v>70</v>
      </c>
      <c r="B26" s="16">
        <v>672.48420241176518</v>
      </c>
      <c r="C26" s="16">
        <v>621.69012936528827</v>
      </c>
      <c r="D26" s="16">
        <v>495.01042390801592</v>
      </c>
      <c r="E26" s="16">
        <v>541.19009430192443</v>
      </c>
      <c r="F26" s="16">
        <v>682.74754396553908</v>
      </c>
      <c r="G26" s="16">
        <v>673.78113218127419</v>
      </c>
      <c r="H26" s="16">
        <v>586.71729500699223</v>
      </c>
      <c r="I26" s="16">
        <v>652.5817573041237</v>
      </c>
      <c r="J26" s="64">
        <v>696.61649113181659</v>
      </c>
      <c r="K26" s="64">
        <v>636.91392680159731</v>
      </c>
      <c r="L26" s="64">
        <v>640.29846307054447</v>
      </c>
      <c r="M26" s="64">
        <v>773.47548625597983</v>
      </c>
      <c r="N26" s="64">
        <v>926.61110234780347</v>
      </c>
      <c r="O26" s="64">
        <v>837.19773200184977</v>
      </c>
      <c r="P26" s="64">
        <v>492.1462891989878</v>
      </c>
      <c r="Q26" s="64">
        <v>645.60681966188633</v>
      </c>
      <c r="R26" s="64">
        <v>654.02280014672635</v>
      </c>
      <c r="S26" s="64">
        <v>775.03913154068573</v>
      </c>
      <c r="T26" s="64">
        <v>774.81133538182337</v>
      </c>
      <c r="U26" s="64">
        <v>759.78790457612354</v>
      </c>
      <c r="V26" s="64">
        <v>837.1138220960861</v>
      </c>
      <c r="W26" s="64">
        <v>833.88999784718817</v>
      </c>
      <c r="X26" s="64">
        <v>718.87982739089807</v>
      </c>
      <c r="Y26" s="64">
        <v>743.44433632240793</v>
      </c>
      <c r="Z26" s="64">
        <v>1323.5281711290265</v>
      </c>
      <c r="AA26" s="64">
        <v>1056.8088201181415</v>
      </c>
      <c r="AB26" s="64">
        <v>992.70365664684834</v>
      </c>
      <c r="AC26" s="64">
        <v>908.60431249245835</v>
      </c>
      <c r="AD26" s="64">
        <v>774.7456426097657</v>
      </c>
      <c r="AE26" s="64">
        <v>1564.7145352281682</v>
      </c>
      <c r="AF26" s="64">
        <v>1140.6573512174398</v>
      </c>
      <c r="AG26" s="64">
        <v>1084.4768150013024</v>
      </c>
      <c r="AH26" s="64">
        <v>844.39357361508428</v>
      </c>
      <c r="AI26" s="64">
        <v>1195.3863686206805</v>
      </c>
      <c r="AJ26" s="64">
        <v>1343.6769444020249</v>
      </c>
      <c r="AK26" s="64">
        <v>1345.8962880976649</v>
      </c>
      <c r="AL26" s="64">
        <v>938.0998452196169</v>
      </c>
      <c r="AM26" s="64">
        <v>982.70180716555683</v>
      </c>
      <c r="AN26" s="20"/>
      <c r="AO26" s="20"/>
    </row>
    <row r="27" spans="1:41" s="19" customFormat="1" ht="18.95" customHeight="1" x14ac:dyDescent="0.2">
      <c r="A27" s="38" t="s">
        <v>74</v>
      </c>
      <c r="B27" s="16">
        <v>442.57362426511224</v>
      </c>
      <c r="C27" s="16">
        <v>476.22753556221193</v>
      </c>
      <c r="D27" s="16">
        <v>485.14436501136407</v>
      </c>
      <c r="E27" s="16">
        <v>497.09844790550176</v>
      </c>
      <c r="F27" s="16">
        <v>495.90250423062525</v>
      </c>
      <c r="G27" s="16">
        <v>489.99102985559972</v>
      </c>
      <c r="H27" s="16">
        <v>497.92154778575701</v>
      </c>
      <c r="I27" s="16">
        <v>527.7210156331663</v>
      </c>
      <c r="J27" s="64">
        <v>567.58617240549927</v>
      </c>
      <c r="K27" s="64">
        <v>582.98459207727308</v>
      </c>
      <c r="L27" s="64">
        <v>600.86635001846446</v>
      </c>
      <c r="M27" s="64">
        <v>630.75437582248799</v>
      </c>
      <c r="N27" s="64">
        <v>662.49694539282984</v>
      </c>
      <c r="O27" s="64">
        <v>671.03434115828657</v>
      </c>
      <c r="P27" s="64">
        <v>617.66344324981344</v>
      </c>
      <c r="Q27" s="64">
        <v>626.27444167518979</v>
      </c>
      <c r="R27" s="64">
        <v>686.58588274346107</v>
      </c>
      <c r="S27" s="64">
        <v>704.83302801708999</v>
      </c>
      <c r="T27" s="64">
        <v>713.68261336853993</v>
      </c>
      <c r="U27" s="64">
        <v>734.62307906276897</v>
      </c>
      <c r="V27" s="64">
        <v>765.28799035051577</v>
      </c>
      <c r="W27" s="64">
        <v>788.65409562783589</v>
      </c>
      <c r="X27" s="64">
        <v>787.61975302393682</v>
      </c>
      <c r="Y27" s="64">
        <v>818.88806825393442</v>
      </c>
      <c r="Z27" s="64">
        <v>918.61734641924397</v>
      </c>
      <c r="AA27" s="64">
        <v>915.62974761659223</v>
      </c>
      <c r="AB27" s="64">
        <v>955.76974439508831</v>
      </c>
      <c r="AC27" s="64">
        <v>997.56821933231458</v>
      </c>
      <c r="AD27" s="64">
        <v>991.28105482005287</v>
      </c>
      <c r="AE27" s="64">
        <v>1005.4739482236168</v>
      </c>
      <c r="AF27" s="64">
        <v>1047.425804801356</v>
      </c>
      <c r="AG27" s="64">
        <v>1070.1902001866829</v>
      </c>
      <c r="AH27" s="64">
        <v>1021.5470544731328</v>
      </c>
      <c r="AI27" s="64">
        <v>1007.6856803847149</v>
      </c>
      <c r="AJ27" s="64">
        <v>1092.7605743391828</v>
      </c>
      <c r="AK27" s="64">
        <v>1166.694136150835</v>
      </c>
      <c r="AL27" s="64">
        <v>1078.0014917242252</v>
      </c>
      <c r="AM27" s="64">
        <v>1353.151084292924</v>
      </c>
      <c r="AN27" s="20"/>
      <c r="AO27" s="20"/>
    </row>
    <row r="28" spans="1:41" s="19" customFormat="1" ht="18.95" customHeight="1" x14ac:dyDescent="0.2">
      <c r="A28" s="38" t="s">
        <v>23</v>
      </c>
      <c r="B28" s="16">
        <v>607.40376416104561</v>
      </c>
      <c r="C28" s="16">
        <v>657.17587277747816</v>
      </c>
      <c r="D28" s="16">
        <v>674.10460372801185</v>
      </c>
      <c r="E28" s="16">
        <v>738.95538592558637</v>
      </c>
      <c r="F28" s="16">
        <v>769.0015985317292</v>
      </c>
      <c r="G28" s="16">
        <v>788.50298827756887</v>
      </c>
      <c r="H28" s="16">
        <v>759.23913546377207</v>
      </c>
      <c r="I28" s="16">
        <v>731.81351960727284</v>
      </c>
      <c r="J28" s="64">
        <v>801.72220651785176</v>
      </c>
      <c r="K28" s="64">
        <v>790.20236001428555</v>
      </c>
      <c r="L28" s="64">
        <v>817.07236236479923</v>
      </c>
      <c r="M28" s="64">
        <v>844.99742569162754</v>
      </c>
      <c r="N28" s="64">
        <v>935.42991083835091</v>
      </c>
      <c r="O28" s="64">
        <v>980.88780342148777</v>
      </c>
      <c r="P28" s="64">
        <v>973.77686115630695</v>
      </c>
      <c r="Q28" s="64">
        <v>974.40691192716099</v>
      </c>
      <c r="R28" s="64">
        <v>1079.7147372093254</v>
      </c>
      <c r="S28" s="64">
        <v>1122.4978259194311</v>
      </c>
      <c r="T28" s="64">
        <v>1210.4123391730782</v>
      </c>
      <c r="U28" s="64">
        <v>1042.3545440847297</v>
      </c>
      <c r="V28" s="64">
        <v>1160.5292858778</v>
      </c>
      <c r="W28" s="64">
        <v>1198.6357581275352</v>
      </c>
      <c r="X28" s="64">
        <v>1209.1750191717483</v>
      </c>
      <c r="Y28" s="64">
        <v>1209.9800157218333</v>
      </c>
      <c r="Z28" s="64">
        <v>1363.6578760062966</v>
      </c>
      <c r="AA28" s="64">
        <v>1388.5487196055963</v>
      </c>
      <c r="AB28" s="64">
        <v>1195.0835164978657</v>
      </c>
      <c r="AC28" s="64">
        <v>1311.5825236486344</v>
      </c>
      <c r="AD28" s="64">
        <v>1196.753265297232</v>
      </c>
      <c r="AE28" s="64">
        <v>1497.6967198087527</v>
      </c>
      <c r="AF28" s="64">
        <v>1382.8614752770527</v>
      </c>
      <c r="AG28" s="64">
        <v>1714.449174917188</v>
      </c>
      <c r="AH28" s="64">
        <v>1237.6134639823745</v>
      </c>
      <c r="AI28" s="64">
        <v>1643.2862549288673</v>
      </c>
      <c r="AJ28" s="64">
        <v>1540.8414337246313</v>
      </c>
      <c r="AK28" s="64">
        <v>1807.96328577285</v>
      </c>
      <c r="AL28" s="64">
        <v>1231.5337189725251</v>
      </c>
      <c r="AM28" s="64">
        <v>1851.8036941831958</v>
      </c>
      <c r="AN28" s="20"/>
      <c r="AO28" s="20"/>
    </row>
    <row r="29" spans="1:41" s="19" customFormat="1" ht="18.95" customHeight="1" x14ac:dyDescent="0.2">
      <c r="A29" s="38" t="s">
        <v>24</v>
      </c>
      <c r="B29" s="16">
        <v>1171.4154908271009</v>
      </c>
      <c r="C29" s="16">
        <v>1180.2771519424809</v>
      </c>
      <c r="D29" s="16">
        <v>1184.4988340452749</v>
      </c>
      <c r="E29" s="16">
        <v>1240.3120625765173</v>
      </c>
      <c r="F29" s="16">
        <v>1274.4869509238672</v>
      </c>
      <c r="G29" s="16">
        <v>1307.6410302229506</v>
      </c>
      <c r="H29" s="16">
        <v>1349.9367078639734</v>
      </c>
      <c r="I29" s="16">
        <v>1358.0815380063145</v>
      </c>
      <c r="J29" s="64">
        <v>1436.0438784481851</v>
      </c>
      <c r="K29" s="64">
        <v>1471.9780319737545</v>
      </c>
      <c r="L29" s="64">
        <v>1461.642183811312</v>
      </c>
      <c r="M29" s="64">
        <v>1436.0384373782706</v>
      </c>
      <c r="N29" s="64">
        <v>1406.5399823801458</v>
      </c>
      <c r="O29" s="64">
        <v>1458.9637320199729</v>
      </c>
      <c r="P29" s="64">
        <v>1499.0108186171326</v>
      </c>
      <c r="Q29" s="64">
        <v>1402.3607237296676</v>
      </c>
      <c r="R29" s="64">
        <v>1251.6232029167386</v>
      </c>
      <c r="S29" s="64">
        <v>1289.1492661990965</v>
      </c>
      <c r="T29" s="64">
        <v>1460.7549888415631</v>
      </c>
      <c r="U29" s="64">
        <v>1563.4578379335273</v>
      </c>
      <c r="V29" s="64">
        <v>1424.9563057367156</v>
      </c>
      <c r="W29" s="64">
        <v>1315.849909380287</v>
      </c>
      <c r="X29" s="64">
        <v>1559.5623079926884</v>
      </c>
      <c r="Y29" s="64">
        <v>1547.3687462787675</v>
      </c>
      <c r="Z29" s="64">
        <v>1759.349056067223</v>
      </c>
      <c r="AA29" s="64">
        <v>1411.7609596189614</v>
      </c>
      <c r="AB29" s="64">
        <v>1630.8357334850009</v>
      </c>
      <c r="AC29" s="64">
        <v>1895.6909687820785</v>
      </c>
      <c r="AD29" s="64">
        <v>2141.6874488118497</v>
      </c>
      <c r="AE29" s="64">
        <v>1451.8502514330848</v>
      </c>
      <c r="AF29" s="64">
        <v>1828.2183308967271</v>
      </c>
      <c r="AG29" s="64">
        <v>1946.0064458737281</v>
      </c>
      <c r="AH29" s="64">
        <v>2201.5631571343511</v>
      </c>
      <c r="AI29" s="64">
        <v>1674.637599541448</v>
      </c>
      <c r="AJ29" s="64">
        <v>2001.9421043210843</v>
      </c>
      <c r="AK29" s="64">
        <v>2252.3129072176444</v>
      </c>
      <c r="AL29" s="64">
        <v>2665.7897377576551</v>
      </c>
      <c r="AM29" s="64">
        <v>2124.5968213691085</v>
      </c>
      <c r="AN29" s="20"/>
      <c r="AO29" s="20"/>
    </row>
    <row r="30" spans="1:41" s="19" customFormat="1" ht="18.95" customHeight="1" x14ac:dyDescent="0.2">
      <c r="A30" s="38" t="s">
        <v>71</v>
      </c>
      <c r="B30" s="16">
        <v>783.62411611180141</v>
      </c>
      <c r="C30" s="16">
        <v>798.42432376299337</v>
      </c>
      <c r="D30" s="16">
        <v>833.22685751207553</v>
      </c>
      <c r="E30" s="16">
        <v>894.48889903655345</v>
      </c>
      <c r="F30" s="16">
        <v>962.26606580028545</v>
      </c>
      <c r="G30" s="16">
        <v>1000.462875322061</v>
      </c>
      <c r="H30" s="16">
        <v>1020.5581471650333</v>
      </c>
      <c r="I30" s="16">
        <v>1001.9738696207945</v>
      </c>
      <c r="J30" s="64">
        <v>1113.3796191051108</v>
      </c>
      <c r="K30" s="64">
        <v>1072.6582800419371</v>
      </c>
      <c r="L30" s="64">
        <v>1066.0295155519407</v>
      </c>
      <c r="M30" s="64">
        <v>1073.1811828723187</v>
      </c>
      <c r="N30" s="64">
        <v>1145.7703683849218</v>
      </c>
      <c r="O30" s="64">
        <v>1166.6499872842053</v>
      </c>
      <c r="P30" s="64">
        <v>1139.0302023149388</v>
      </c>
      <c r="Q30" s="64">
        <v>1044.9928814290929</v>
      </c>
      <c r="R30" s="64">
        <v>1295.3648885980103</v>
      </c>
      <c r="S30" s="64">
        <v>1289.7114810047988</v>
      </c>
      <c r="T30" s="64">
        <v>1225.8099057347788</v>
      </c>
      <c r="U30" s="64">
        <v>1266.7077734073823</v>
      </c>
      <c r="V30" s="64">
        <v>1315.9037728250341</v>
      </c>
      <c r="W30" s="64">
        <v>1597.1962223019912</v>
      </c>
      <c r="X30" s="64">
        <v>1465.1944225171674</v>
      </c>
      <c r="Y30" s="64">
        <v>1412.7817136866352</v>
      </c>
      <c r="Z30" s="64">
        <v>1497.348101994359</v>
      </c>
      <c r="AA30" s="64">
        <v>1655.0289062951019</v>
      </c>
      <c r="AB30" s="64">
        <v>1544.482980921031</v>
      </c>
      <c r="AC30" s="64">
        <v>1477.200196060372</v>
      </c>
      <c r="AD30" s="64">
        <v>1422.2870435392131</v>
      </c>
      <c r="AE30" s="64">
        <v>1664.6557076579679</v>
      </c>
      <c r="AF30" s="64">
        <v>1583.4439525906087</v>
      </c>
      <c r="AG30" s="64">
        <v>1800.1724165989569</v>
      </c>
      <c r="AH30" s="64">
        <v>1612.5250950930733</v>
      </c>
      <c r="AI30" s="64">
        <v>1785.4373533500848</v>
      </c>
      <c r="AJ30" s="64">
        <v>1725.7109107959056</v>
      </c>
      <c r="AK30" s="64">
        <v>1652.4396782791416</v>
      </c>
      <c r="AL30" s="64">
        <v>1692.2345475065022</v>
      </c>
      <c r="AM30" s="64">
        <v>1941.6417220638173</v>
      </c>
      <c r="AN30" s="20"/>
      <c r="AO30" s="20"/>
    </row>
    <row r="31" spans="1:41" s="19" customFormat="1" ht="18.95" customHeight="1" x14ac:dyDescent="0.2">
      <c r="A31" s="38" t="s">
        <v>72</v>
      </c>
      <c r="B31" s="16">
        <v>25.228420230343538</v>
      </c>
      <c r="C31" s="16">
        <v>26.119569063314227</v>
      </c>
      <c r="D31" s="16">
        <v>33.762629410592616</v>
      </c>
      <c r="E31" s="16">
        <v>45.98560346529964</v>
      </c>
      <c r="F31" s="16">
        <v>42.011468428545193</v>
      </c>
      <c r="G31" s="16">
        <v>53.653354691596661</v>
      </c>
      <c r="H31" s="16">
        <v>60.26671570925474</v>
      </c>
      <c r="I31" s="16">
        <v>57.614838483005506</v>
      </c>
      <c r="J31" s="64">
        <v>65.583151652106253</v>
      </c>
      <c r="K31" s="64">
        <v>59.904789635484839</v>
      </c>
      <c r="L31" s="64">
        <v>65.324591414543406</v>
      </c>
      <c r="M31" s="64">
        <v>58.487514041113315</v>
      </c>
      <c r="N31" s="64">
        <v>71.366950981213705</v>
      </c>
      <c r="O31" s="64">
        <v>67.444262353012292</v>
      </c>
      <c r="P31" s="64">
        <v>66.731027569090699</v>
      </c>
      <c r="Q31" s="64">
        <v>45.933351705784524</v>
      </c>
      <c r="R31" s="64">
        <v>54.685137156068585</v>
      </c>
      <c r="S31" s="64">
        <v>55.387017781436874</v>
      </c>
      <c r="T31" s="64">
        <v>56.375822003541138</v>
      </c>
      <c r="U31" s="64">
        <v>62.324923037709091</v>
      </c>
      <c r="V31" s="64">
        <v>73.607497085494074</v>
      </c>
      <c r="W31" s="64">
        <v>55.195290681866737</v>
      </c>
      <c r="X31" s="64">
        <v>50.643295742530199</v>
      </c>
      <c r="Y31" s="64">
        <v>54.253606217154314</v>
      </c>
      <c r="Z31" s="64">
        <v>53.023315059125167</v>
      </c>
      <c r="AA31" s="64">
        <v>58.885479382977465</v>
      </c>
      <c r="AB31" s="64">
        <v>73.120077540687561</v>
      </c>
      <c r="AC31" s="64">
        <v>77.855045072103763</v>
      </c>
      <c r="AD31" s="64">
        <v>91.028138870342445</v>
      </c>
      <c r="AE31" s="64">
        <v>58.045294706276458</v>
      </c>
      <c r="AF31" s="64">
        <v>89.50173242053738</v>
      </c>
      <c r="AG31" s="64">
        <v>75.359160520702076</v>
      </c>
      <c r="AH31" s="64">
        <v>106.86645855403022</v>
      </c>
      <c r="AI31" s="64">
        <v>71.504475782736037</v>
      </c>
      <c r="AJ31" s="64">
        <v>102.91630544136025</v>
      </c>
      <c r="AK31" s="64">
        <v>71.788143121278509</v>
      </c>
      <c r="AL31" s="64">
        <v>106.38492453196152</v>
      </c>
      <c r="AM31" s="64">
        <v>71.34286884174152</v>
      </c>
      <c r="AN31" s="20"/>
      <c r="AO31" s="20"/>
    </row>
    <row r="32" spans="1:41" s="19" customFormat="1" ht="18.95" customHeight="1" x14ac:dyDescent="0.2">
      <c r="A32" s="38" t="s">
        <v>27</v>
      </c>
      <c r="B32" s="16">
        <v>740.81901887481035</v>
      </c>
      <c r="C32" s="16">
        <v>751.14041954294601</v>
      </c>
      <c r="D32" s="16">
        <v>766.71395411723199</v>
      </c>
      <c r="E32" s="16">
        <v>724.86386464373527</v>
      </c>
      <c r="F32" s="16">
        <v>746.68859043977659</v>
      </c>
      <c r="G32" s="16">
        <v>751.23393992589092</v>
      </c>
      <c r="H32" s="16">
        <v>728.25710148735868</v>
      </c>
      <c r="I32" s="16">
        <v>732.78417228536523</v>
      </c>
      <c r="J32" s="64">
        <v>760.14421719279392</v>
      </c>
      <c r="K32" s="64">
        <v>767.48619361217891</v>
      </c>
      <c r="L32" s="64">
        <v>772.64727697752869</v>
      </c>
      <c r="M32" s="64">
        <v>818.72185085645242</v>
      </c>
      <c r="N32" s="64">
        <v>855.53270128577753</v>
      </c>
      <c r="O32" s="64">
        <v>870.95955495017756</v>
      </c>
      <c r="P32" s="64">
        <v>866.6597712955645</v>
      </c>
      <c r="Q32" s="64">
        <v>862.21156761036912</v>
      </c>
      <c r="R32" s="64">
        <v>905.83978035785947</v>
      </c>
      <c r="S32" s="64">
        <v>916.2407340904756</v>
      </c>
      <c r="T32" s="64">
        <v>928.42315459568465</v>
      </c>
      <c r="U32" s="64">
        <v>928.22009958433534</v>
      </c>
      <c r="V32" s="64">
        <v>909.72372923567514</v>
      </c>
      <c r="W32" s="64">
        <v>873.01411457577933</v>
      </c>
      <c r="X32" s="64">
        <v>920.54934226451087</v>
      </c>
      <c r="Y32" s="64">
        <v>922.83842358663514</v>
      </c>
      <c r="Z32" s="64">
        <v>910.0870008851449</v>
      </c>
      <c r="AA32" s="64">
        <v>907.90802065123535</v>
      </c>
      <c r="AB32" s="64">
        <v>894.96976005298973</v>
      </c>
      <c r="AC32" s="64">
        <v>909.25045373836178</v>
      </c>
      <c r="AD32" s="64">
        <v>1017.891310354128</v>
      </c>
      <c r="AE32" s="64">
        <v>1163.8168905691043</v>
      </c>
      <c r="AF32" s="64">
        <v>1038.2343728363628</v>
      </c>
      <c r="AG32" s="64">
        <v>949.03882323368327</v>
      </c>
      <c r="AH32" s="64">
        <v>1173.8620740358454</v>
      </c>
      <c r="AI32" s="64">
        <v>1174.490155327856</v>
      </c>
      <c r="AJ32" s="64">
        <v>1148.4217049876984</v>
      </c>
      <c r="AK32" s="64">
        <v>1177.5407878919996</v>
      </c>
      <c r="AL32" s="64">
        <v>1257.2654200588188</v>
      </c>
      <c r="AM32" s="64">
        <v>1137.6690405026995</v>
      </c>
      <c r="AN32" s="20"/>
      <c r="AO32" s="20"/>
    </row>
    <row r="33" spans="1:41" s="19" customFormat="1" ht="18.95" customHeight="1" x14ac:dyDescent="0.2">
      <c r="A33" s="38" t="s">
        <v>69</v>
      </c>
      <c r="B33" s="16">
        <v>214.12261551051591</v>
      </c>
      <c r="C33" s="16">
        <v>220.15139617393936</v>
      </c>
      <c r="D33" s="16">
        <v>225.79119446389421</v>
      </c>
      <c r="E33" s="16">
        <v>231.28507424291772</v>
      </c>
      <c r="F33" s="16">
        <v>233.02641302919054</v>
      </c>
      <c r="G33" s="16">
        <v>236.81016382614408</v>
      </c>
      <c r="H33" s="16">
        <v>239.23248604558964</v>
      </c>
      <c r="I33" s="16">
        <v>243.38104330565662</v>
      </c>
      <c r="J33" s="64">
        <v>246.7838282648751</v>
      </c>
      <c r="K33" s="64">
        <v>249.40402857701673</v>
      </c>
      <c r="L33" s="64">
        <v>251.37861843850234</v>
      </c>
      <c r="M33" s="64">
        <v>255.24279726461839</v>
      </c>
      <c r="N33" s="64">
        <v>257.75311899529163</v>
      </c>
      <c r="O33" s="64">
        <v>261.24537202654892</v>
      </c>
      <c r="P33" s="64">
        <v>264.407875920187</v>
      </c>
      <c r="Q33" s="64">
        <v>269.36993384987125</v>
      </c>
      <c r="R33" s="64">
        <v>272.19079435305025</v>
      </c>
      <c r="S33" s="64">
        <v>275.1369313529878</v>
      </c>
      <c r="T33" s="64">
        <v>277.63239774697496</v>
      </c>
      <c r="U33" s="64">
        <v>282.19267195074644</v>
      </c>
      <c r="V33" s="64">
        <v>285.53582322339798</v>
      </c>
      <c r="W33" s="64">
        <v>289.93697225297092</v>
      </c>
      <c r="X33" s="64">
        <v>294.906085213263</v>
      </c>
      <c r="Y33" s="64">
        <v>307.75642266597293</v>
      </c>
      <c r="Z33" s="64">
        <v>320.11186428527867</v>
      </c>
      <c r="AA33" s="64">
        <v>329.56435117782667</v>
      </c>
      <c r="AB33" s="64">
        <v>332.24698651750879</v>
      </c>
      <c r="AC33" s="64">
        <v>336.57822026793747</v>
      </c>
      <c r="AD33" s="64">
        <v>339.88660444422516</v>
      </c>
      <c r="AE33" s="64">
        <v>347.07868359349567</v>
      </c>
      <c r="AF33" s="64">
        <v>351.91774349077679</v>
      </c>
      <c r="AG33" s="64">
        <v>357.90050635675726</v>
      </c>
      <c r="AH33" s="64">
        <v>361.22039387344228</v>
      </c>
      <c r="AI33" s="64">
        <v>367.3160285002777</v>
      </c>
      <c r="AJ33" s="64">
        <v>374.31800014300092</v>
      </c>
      <c r="AK33" s="64">
        <v>381.4963851630099</v>
      </c>
      <c r="AL33" s="64">
        <v>385.41079038814587</v>
      </c>
      <c r="AM33" s="64">
        <v>387.14864588331449</v>
      </c>
      <c r="AN33" s="20"/>
      <c r="AO33" s="20"/>
    </row>
    <row r="34" spans="1:41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20"/>
      <c r="AO34" s="20"/>
    </row>
    <row r="35" spans="1:41" s="51" customFormat="1" ht="17.100000000000001" customHeight="1" x14ac:dyDescent="0.2">
      <c r="A35" s="52" t="s">
        <v>84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54"/>
      <c r="AO35" s="54"/>
    </row>
    <row r="36" spans="1:41" s="27" customFormat="1" ht="17.100000000000001" customHeight="1" thickBot="1" x14ac:dyDescent="0.25">
      <c r="A36" s="25" t="s">
        <v>30</v>
      </c>
      <c r="B36" s="26">
        <v>1768.5043605191229</v>
      </c>
      <c r="C36" s="26">
        <v>1830.2085737554207</v>
      </c>
      <c r="D36" s="26">
        <v>2001.6607548063973</v>
      </c>
      <c r="E36" s="26">
        <v>2030.25727085976</v>
      </c>
      <c r="F36" s="26">
        <v>1968.5811279197617</v>
      </c>
      <c r="G36" s="26">
        <v>2133.39290233365</v>
      </c>
      <c r="H36" s="26">
        <v>2246.1593055311573</v>
      </c>
      <c r="I36" s="26">
        <v>2296.4106504154297</v>
      </c>
      <c r="J36" s="65">
        <v>2351.4182387944902</v>
      </c>
      <c r="K36" s="65">
        <v>2547.6105100786376</v>
      </c>
      <c r="L36" s="65">
        <v>2490.8337395088283</v>
      </c>
      <c r="M36" s="65">
        <v>2432.2584652393448</v>
      </c>
      <c r="N36" s="65">
        <v>2484.2699639022831</v>
      </c>
      <c r="O36" s="65">
        <v>2665.5958948103412</v>
      </c>
      <c r="P36" s="65">
        <v>2620.3094831674484</v>
      </c>
      <c r="Q36" s="65">
        <v>1648.2713626816819</v>
      </c>
      <c r="R36" s="65">
        <v>2509.1128512616792</v>
      </c>
      <c r="S36" s="65">
        <v>2720.8555795429425</v>
      </c>
      <c r="T36" s="65">
        <v>2631.2278505407767</v>
      </c>
      <c r="U36" s="65">
        <v>2761.3304055752183</v>
      </c>
      <c r="V36" s="65">
        <v>2693.8426137930319</v>
      </c>
      <c r="W36" s="65">
        <v>3201.5370727392024</v>
      </c>
      <c r="X36" s="65">
        <v>3229.5565360847891</v>
      </c>
      <c r="Y36" s="65">
        <v>3195.2159745149102</v>
      </c>
      <c r="Z36" s="65">
        <v>3229.2205058798472</v>
      </c>
      <c r="AA36" s="65">
        <v>3194.3606190551614</v>
      </c>
      <c r="AB36" s="65">
        <v>3573.0439997665321</v>
      </c>
      <c r="AC36" s="65">
        <v>3993.4805661178489</v>
      </c>
      <c r="AD36" s="65">
        <v>3620.9803423481872</v>
      </c>
      <c r="AE36" s="65">
        <v>3667.1626138208439</v>
      </c>
      <c r="AF36" s="65">
        <v>3772.3801353035483</v>
      </c>
      <c r="AG36" s="65">
        <v>3960.6407588892357</v>
      </c>
      <c r="AH36" s="65">
        <v>4088.2306734906556</v>
      </c>
      <c r="AI36" s="65">
        <v>4147.5020468516541</v>
      </c>
      <c r="AJ36" s="65">
        <v>4137.8967069662904</v>
      </c>
      <c r="AK36" s="65">
        <v>4727.3475322903951</v>
      </c>
      <c r="AL36" s="65">
        <v>4198.9733107244538</v>
      </c>
      <c r="AM36" s="65">
        <v>4529.3122266773735</v>
      </c>
      <c r="AN36" s="41"/>
      <c r="AO36" s="41"/>
    </row>
    <row r="37" spans="1:41" x14ac:dyDescent="0.2">
      <c r="A37" s="14" t="s">
        <v>63</v>
      </c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</row>
  </sheetData>
  <mergeCells count="10">
    <mergeCell ref="R3:U3"/>
    <mergeCell ref="B3:E3"/>
    <mergeCell ref="F3:I3"/>
    <mergeCell ref="J3:M3"/>
    <mergeCell ref="N3:P3"/>
    <mergeCell ref="AL3:AM3"/>
    <mergeCell ref="AH3:AK3"/>
    <mergeCell ref="AD3:AG3"/>
    <mergeCell ref="Z3:AC3"/>
    <mergeCell ref="V3:Y3"/>
  </mergeCells>
  <phoneticPr fontId="17" type="noConversion"/>
  <pageMargins left="0.31496062992125984" right="0.27559055118110237" top="0.51181102362204722" bottom="0" header="0.31496062992125984" footer="0"/>
  <pageSetup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AM37"/>
  <sheetViews>
    <sheetView view="pageBreakPreview" zoomScale="120" zoomScaleSheetLayoutView="120" workbookViewId="0">
      <pane xSplit="1" ySplit="4" topLeftCell="B5" activePane="bottomRight" state="frozen"/>
      <selection activeCell="BJ23" sqref="BJ23"/>
      <selection pane="topRight" activeCell="BJ23" sqref="BJ23"/>
      <selection pane="bottomLeft" activeCell="BJ23" sqref="BJ23"/>
      <selection pane="bottomRight"/>
    </sheetView>
  </sheetViews>
  <sheetFormatPr defaultColWidth="9.140625" defaultRowHeight="12" x14ac:dyDescent="0.2"/>
  <cols>
    <col min="1" max="1" width="27" style="29" customWidth="1"/>
    <col min="2" max="2" width="6.85546875" style="29" customWidth="1"/>
    <col min="3" max="4" width="7.28515625" style="29" customWidth="1"/>
    <col min="5" max="9" width="6.28515625" style="29" bestFit="1" customWidth="1"/>
    <col min="10" max="11" width="8.5703125" style="17" customWidth="1"/>
    <col min="12" max="12" width="8.5703125" style="66" customWidth="1"/>
    <col min="13" max="27" width="8.5703125" style="17" customWidth="1"/>
    <col min="28" max="16384" width="9.140625" style="29"/>
  </cols>
  <sheetData>
    <row r="1" spans="1:39" ht="16.5" customHeight="1" x14ac:dyDescent="0.2">
      <c r="A1" s="44" t="s">
        <v>124</v>
      </c>
      <c r="C1" s="44"/>
    </row>
    <row r="2" spans="1:39" ht="3.75" customHeight="1" thickBot="1" x14ac:dyDescent="0.25"/>
    <row r="3" spans="1:39" s="47" customFormat="1" ht="15" customHeight="1" x14ac:dyDescent="0.2">
      <c r="B3" s="149" t="s">
        <v>75</v>
      </c>
      <c r="C3" s="149"/>
      <c r="D3" s="149"/>
      <c r="E3" s="149"/>
      <c r="F3" s="149" t="s">
        <v>79</v>
      </c>
      <c r="G3" s="149"/>
      <c r="H3" s="149"/>
      <c r="I3" s="149"/>
      <c r="J3" s="150" t="s">
        <v>85</v>
      </c>
      <c r="K3" s="150"/>
      <c r="L3" s="150"/>
      <c r="M3" s="150"/>
      <c r="N3" s="150" t="s">
        <v>86</v>
      </c>
      <c r="O3" s="150"/>
      <c r="P3" s="150"/>
      <c r="Q3" s="60"/>
      <c r="R3" s="150" t="s">
        <v>89</v>
      </c>
      <c r="S3" s="150"/>
      <c r="T3" s="150"/>
      <c r="U3" s="150"/>
      <c r="V3" s="150" t="s">
        <v>90</v>
      </c>
      <c r="W3" s="150"/>
      <c r="X3" s="150"/>
      <c r="Y3" s="150"/>
      <c r="Z3" s="150" t="s">
        <v>91</v>
      </c>
      <c r="AA3" s="150"/>
      <c r="AB3" s="150"/>
      <c r="AC3" s="150"/>
      <c r="AD3" s="149" t="s">
        <v>92</v>
      </c>
      <c r="AE3" s="149"/>
      <c r="AF3" s="149"/>
      <c r="AG3" s="149"/>
      <c r="AH3" s="149" t="s">
        <v>118</v>
      </c>
      <c r="AI3" s="149"/>
      <c r="AJ3" s="149"/>
      <c r="AK3" s="149"/>
      <c r="AL3" s="149" t="s">
        <v>120</v>
      </c>
      <c r="AM3" s="149"/>
    </row>
    <row r="4" spans="1:39" s="51" customFormat="1" ht="13.5" customHeigh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</row>
    <row r="5" spans="1:39" s="20" customFormat="1" ht="17.100000000000001" customHeight="1" x14ac:dyDescent="0.2">
      <c r="A5" s="21" t="s">
        <v>80</v>
      </c>
      <c r="B5" s="45">
        <v>100</v>
      </c>
      <c r="C5" s="45">
        <v>100</v>
      </c>
      <c r="D5" s="45">
        <v>99.999999999999986</v>
      </c>
      <c r="E5" s="45">
        <v>100.00000000000001</v>
      </c>
      <c r="F5" s="45">
        <v>99.999999999999986</v>
      </c>
      <c r="G5" s="45">
        <v>100.00000000000001</v>
      </c>
      <c r="H5" s="45">
        <v>99.999999999999986</v>
      </c>
      <c r="I5" s="45">
        <v>100</v>
      </c>
      <c r="J5" s="78">
        <v>100</v>
      </c>
      <c r="K5" s="78">
        <v>99.999999999999986</v>
      </c>
      <c r="L5" s="78">
        <v>100.00000000000001</v>
      </c>
      <c r="M5" s="78">
        <v>100.00000000000001</v>
      </c>
      <c r="N5" s="78">
        <v>100.00000000000001</v>
      </c>
      <c r="O5" s="78">
        <v>99.999999999999986</v>
      </c>
      <c r="P5" s="78">
        <v>100</v>
      </c>
      <c r="Q5" s="78">
        <v>99.999999999999986</v>
      </c>
      <c r="R5" s="78">
        <v>100</v>
      </c>
      <c r="S5" s="78">
        <v>100.00000000000001</v>
      </c>
      <c r="T5" s="78">
        <v>100</v>
      </c>
      <c r="U5" s="78">
        <v>100.00000000000001</v>
      </c>
      <c r="V5" s="78">
        <v>100.00000000000001</v>
      </c>
      <c r="W5" s="78">
        <v>99.999999999999986</v>
      </c>
      <c r="X5" s="78">
        <v>100</v>
      </c>
      <c r="Y5" s="78">
        <v>99.999999999999972</v>
      </c>
      <c r="Z5" s="78">
        <v>100.00000000000001</v>
      </c>
      <c r="AA5" s="78">
        <v>99.999999999999986</v>
      </c>
      <c r="AB5" s="78">
        <v>100.00000000000003</v>
      </c>
      <c r="AC5" s="78">
        <v>100.00000000000001</v>
      </c>
      <c r="AD5" s="78">
        <v>99.999999999999986</v>
      </c>
      <c r="AE5" s="78">
        <v>100</v>
      </c>
      <c r="AF5" s="78">
        <v>100.00000000000003</v>
      </c>
      <c r="AG5" s="78">
        <v>100</v>
      </c>
      <c r="AH5" s="78">
        <v>100</v>
      </c>
      <c r="AI5" s="78">
        <v>100.00000000000001</v>
      </c>
      <c r="AJ5" s="78">
        <v>100</v>
      </c>
      <c r="AK5" s="78">
        <v>100</v>
      </c>
      <c r="AL5" s="78">
        <v>100</v>
      </c>
      <c r="AM5" s="78">
        <v>100</v>
      </c>
    </row>
    <row r="6" spans="1:39" s="54" customFormat="1" ht="17.100000000000001" customHeight="1" x14ac:dyDescent="0.2">
      <c r="A6" s="52" t="s">
        <v>81</v>
      </c>
      <c r="B6" s="56">
        <v>28.764944424180079</v>
      </c>
      <c r="C6" s="56">
        <v>23.064638601975719</v>
      </c>
      <c r="D6" s="56">
        <v>20.292582809061283</v>
      </c>
      <c r="E6" s="56">
        <v>21.553062584388726</v>
      </c>
      <c r="F6" s="56">
        <v>28.510167309064563</v>
      </c>
      <c r="G6" s="56">
        <v>20.52050724520706</v>
      </c>
      <c r="H6" s="56">
        <v>20.722639870627205</v>
      </c>
      <c r="I6" s="56">
        <v>22.815887967585887</v>
      </c>
      <c r="J6" s="71">
        <v>26.511627766455359</v>
      </c>
      <c r="K6" s="71">
        <v>21.363447330122298</v>
      </c>
      <c r="L6" s="71">
        <v>20.67345127240873</v>
      </c>
      <c r="M6" s="71">
        <v>23.013741117694362</v>
      </c>
      <c r="N6" s="71">
        <v>27.378272896131676</v>
      </c>
      <c r="O6" s="71">
        <v>22.718827570263358</v>
      </c>
      <c r="P6" s="71">
        <v>20.257654546568652</v>
      </c>
      <c r="Q6" s="71">
        <v>25.095919864535905</v>
      </c>
      <c r="R6" s="71">
        <v>29.052051775121249</v>
      </c>
      <c r="S6" s="71">
        <v>23.675553699200272</v>
      </c>
      <c r="T6" s="71">
        <v>18.998274567819287</v>
      </c>
      <c r="U6" s="71">
        <v>23.135883877340518</v>
      </c>
      <c r="V6" s="71">
        <v>30.135140102155439</v>
      </c>
      <c r="W6" s="71">
        <v>22.991842462488631</v>
      </c>
      <c r="X6" s="71">
        <v>19.389338940586502</v>
      </c>
      <c r="Y6" s="71">
        <v>23.303046736524614</v>
      </c>
      <c r="Z6" s="71">
        <v>29.014347965490103</v>
      </c>
      <c r="AA6" s="71">
        <v>24.094816778115728</v>
      </c>
      <c r="AB6" s="71">
        <v>20.145532277777086</v>
      </c>
      <c r="AC6" s="71">
        <v>22.584401553902158</v>
      </c>
      <c r="AD6" s="71">
        <v>28.448394021079928</v>
      </c>
      <c r="AE6" s="71">
        <v>23.372259900290985</v>
      </c>
      <c r="AF6" s="71">
        <v>21.01018972249604</v>
      </c>
      <c r="AG6" s="71">
        <v>25.135324232883143</v>
      </c>
      <c r="AH6" s="71">
        <v>30.058146816131647</v>
      </c>
      <c r="AI6" s="71">
        <v>25.492855948393984</v>
      </c>
      <c r="AJ6" s="71">
        <v>23.414925959586867</v>
      </c>
      <c r="AK6" s="71">
        <v>25.26505047544979</v>
      </c>
      <c r="AL6" s="71">
        <v>29.139663462223947</v>
      </c>
      <c r="AM6" s="71">
        <v>25.639164998485974</v>
      </c>
    </row>
    <row r="7" spans="1:39" s="19" customFormat="1" ht="17.100000000000001" customHeight="1" x14ac:dyDescent="0.2">
      <c r="A7" s="37" t="s">
        <v>2</v>
      </c>
      <c r="B7" s="33">
        <v>1.8093143996363037</v>
      </c>
      <c r="C7" s="33">
        <v>2.8282499389481179</v>
      </c>
      <c r="D7" s="33">
        <v>2.8221829868444361</v>
      </c>
      <c r="E7" s="33">
        <v>1.9813064908264222</v>
      </c>
      <c r="F7" s="33">
        <v>2.392381510195055</v>
      </c>
      <c r="G7" s="33">
        <v>2.5098441678315866</v>
      </c>
      <c r="H7" s="33">
        <v>2.52090346086485</v>
      </c>
      <c r="I7" s="33">
        <v>1.593422296932602</v>
      </c>
      <c r="J7" s="67">
        <v>2.0605250372849966</v>
      </c>
      <c r="K7" s="67">
        <v>2.2014503846675284</v>
      </c>
      <c r="L7" s="67">
        <v>2.2245081520518886</v>
      </c>
      <c r="M7" s="67">
        <v>1.4320584939578191</v>
      </c>
      <c r="N7" s="67">
        <v>1.6745147575504504</v>
      </c>
      <c r="O7" s="67">
        <v>2.094927260778626</v>
      </c>
      <c r="P7" s="67">
        <v>2.6212429262331352</v>
      </c>
      <c r="Q7" s="67">
        <v>1.4737211528976648</v>
      </c>
      <c r="R7" s="67">
        <v>1.6787142627777232</v>
      </c>
      <c r="S7" s="67">
        <v>2.0872834960915818</v>
      </c>
      <c r="T7" s="67">
        <v>2.6854438608161253</v>
      </c>
      <c r="U7" s="67">
        <v>1.82951348967456</v>
      </c>
      <c r="V7" s="67">
        <v>2.3396138699046225</v>
      </c>
      <c r="W7" s="67">
        <v>3.1792045682643661</v>
      </c>
      <c r="X7" s="67">
        <v>3.4011351434429966</v>
      </c>
      <c r="Y7" s="67">
        <v>2.1099433423027962</v>
      </c>
      <c r="Z7" s="67">
        <v>2.4362808353970382</v>
      </c>
      <c r="AA7" s="67">
        <v>2.6286233191720783</v>
      </c>
      <c r="AB7" s="67">
        <v>3.1187651058793162</v>
      </c>
      <c r="AC7" s="67">
        <v>2.0611146382937839</v>
      </c>
      <c r="AD7" s="67">
        <v>2.7629702718518443</v>
      </c>
      <c r="AE7" s="67">
        <v>3.4790825392654336</v>
      </c>
      <c r="AF7" s="67">
        <v>4.8412487200063286</v>
      </c>
      <c r="AG7" s="67">
        <v>3.2490164765014637</v>
      </c>
      <c r="AH7" s="67">
        <v>3.6737526589964911</v>
      </c>
      <c r="AI7" s="67">
        <v>4.8771262848060628</v>
      </c>
      <c r="AJ7" s="67">
        <v>6.2281174282744702</v>
      </c>
      <c r="AK7" s="67">
        <v>5.2887146130437834</v>
      </c>
      <c r="AL7" s="67">
        <v>4.233682464295847</v>
      </c>
      <c r="AM7" s="67">
        <v>5.0464682114209136</v>
      </c>
    </row>
    <row r="8" spans="1:39" s="19" customFormat="1" ht="17.100000000000001" customHeight="1" x14ac:dyDescent="0.2">
      <c r="A8" s="37" t="s">
        <v>3</v>
      </c>
      <c r="B8" s="33">
        <v>19.079111206929081</v>
      </c>
      <c r="C8" s="33">
        <v>11.172307478984807</v>
      </c>
      <c r="D8" s="33">
        <v>8.1445402484509426</v>
      </c>
      <c r="E8" s="33">
        <v>10.748195918428728</v>
      </c>
      <c r="F8" s="33">
        <v>19.066869415493777</v>
      </c>
      <c r="G8" s="33">
        <v>10.733631211377222</v>
      </c>
      <c r="H8" s="33">
        <v>8.5106204335248457</v>
      </c>
      <c r="I8" s="33">
        <v>10.951994972056111</v>
      </c>
      <c r="J8" s="67">
        <v>16.705231067555324</v>
      </c>
      <c r="K8" s="67">
        <v>9.7996833183953314</v>
      </c>
      <c r="L8" s="67">
        <v>8.0079365808487708</v>
      </c>
      <c r="M8" s="67">
        <v>11.186017754516254</v>
      </c>
      <c r="N8" s="67">
        <v>16.637711220090161</v>
      </c>
      <c r="O8" s="67">
        <v>9.7934565194983136</v>
      </c>
      <c r="P8" s="67">
        <v>6.9276750602937076</v>
      </c>
      <c r="Q8" s="67">
        <v>12.529607781387003</v>
      </c>
      <c r="R8" s="67">
        <v>18.240213875116147</v>
      </c>
      <c r="S8" s="67">
        <v>10.052363764419992</v>
      </c>
      <c r="T8" s="67">
        <v>5.8131058322900975</v>
      </c>
      <c r="U8" s="67">
        <v>11.114263912298572</v>
      </c>
      <c r="V8" s="67">
        <v>18.401765999911639</v>
      </c>
      <c r="W8" s="67">
        <v>10.006169758799901</v>
      </c>
      <c r="X8" s="67">
        <v>5.5129659823851656</v>
      </c>
      <c r="Y8" s="67">
        <v>11.335726165656435</v>
      </c>
      <c r="Z8" s="67">
        <v>18.729729146478522</v>
      </c>
      <c r="AA8" s="67">
        <v>11.675079064663231</v>
      </c>
      <c r="AB8" s="67">
        <v>5.3085488533112315</v>
      </c>
      <c r="AC8" s="67">
        <v>10.777731966662774</v>
      </c>
      <c r="AD8" s="67">
        <v>17.648018406245612</v>
      </c>
      <c r="AE8" s="67">
        <v>10.545971963405506</v>
      </c>
      <c r="AF8" s="67">
        <v>5.1149553884970018</v>
      </c>
      <c r="AG8" s="67">
        <v>11.070806801485283</v>
      </c>
      <c r="AH8" s="67">
        <v>18.125270788155838</v>
      </c>
      <c r="AI8" s="67">
        <v>10.943457169584358</v>
      </c>
      <c r="AJ8" s="67">
        <v>5.0302805316579189</v>
      </c>
      <c r="AK8" s="67">
        <v>9.1967424129340802</v>
      </c>
      <c r="AL8" s="67">
        <v>15.796099999323483</v>
      </c>
      <c r="AM8" s="67">
        <v>10.79187094347764</v>
      </c>
    </row>
    <row r="9" spans="1:39" s="19" customFormat="1" ht="17.100000000000001" customHeight="1" x14ac:dyDescent="0.2">
      <c r="A9" s="37" t="s">
        <v>4</v>
      </c>
      <c r="B9" s="33">
        <v>2.850555764987841</v>
      </c>
      <c r="C9" s="33">
        <v>3.0516346141187043</v>
      </c>
      <c r="D9" s="33">
        <v>3.1602319026013617</v>
      </c>
      <c r="E9" s="33">
        <v>3.1403467769176201</v>
      </c>
      <c r="F9" s="33">
        <v>2.9780668133069441</v>
      </c>
      <c r="G9" s="33">
        <v>3.3357822644680528</v>
      </c>
      <c r="H9" s="33">
        <v>3.3618322808134997</v>
      </c>
      <c r="I9" s="33">
        <v>3.2117706447667893</v>
      </c>
      <c r="J9" s="67">
        <v>3.1026717215910979</v>
      </c>
      <c r="K9" s="67">
        <v>3.4124256405575522</v>
      </c>
      <c r="L9" s="67">
        <v>3.5850980533065591</v>
      </c>
      <c r="M9" s="67">
        <v>3.511260032923492</v>
      </c>
      <c r="N9" s="67">
        <v>3.2476880509631023</v>
      </c>
      <c r="O9" s="67">
        <v>3.5363415425038234</v>
      </c>
      <c r="P9" s="67">
        <v>4.0273228691553093</v>
      </c>
      <c r="Q9" s="67">
        <v>4.3963339618264721</v>
      </c>
      <c r="R9" s="67">
        <v>3.6388295422187369</v>
      </c>
      <c r="S9" s="67">
        <v>3.9134824533377133</v>
      </c>
      <c r="T9" s="67">
        <v>4.1149004143036052</v>
      </c>
      <c r="U9" s="67">
        <v>4.0939396504221355</v>
      </c>
      <c r="V9" s="67">
        <v>3.8378629075779465</v>
      </c>
      <c r="W9" s="67">
        <v>4.0663983147543989</v>
      </c>
      <c r="X9" s="67">
        <v>4.0966081802784053</v>
      </c>
      <c r="Y9" s="67">
        <v>3.8781938511642773</v>
      </c>
      <c r="Z9" s="67">
        <v>3.5857957203397262</v>
      </c>
      <c r="AA9" s="67">
        <v>4.0498396683854914</v>
      </c>
      <c r="AB9" s="67">
        <v>4.5773802836411885</v>
      </c>
      <c r="AC9" s="67">
        <v>4.0929908291452293</v>
      </c>
      <c r="AD9" s="67">
        <v>3.7399494687973704</v>
      </c>
      <c r="AE9" s="67">
        <v>4.1906943861651031</v>
      </c>
      <c r="AF9" s="67">
        <v>4.5613659942814131</v>
      </c>
      <c r="AG9" s="67">
        <v>4.2904841229687696</v>
      </c>
      <c r="AH9" s="67">
        <v>3.9495162707407467</v>
      </c>
      <c r="AI9" s="67">
        <v>4.44337553352924</v>
      </c>
      <c r="AJ9" s="67">
        <v>4.721988136878136</v>
      </c>
      <c r="AK9" s="67">
        <v>4.5977129559513843</v>
      </c>
      <c r="AL9" s="67">
        <v>4.3568358209043474</v>
      </c>
      <c r="AM9" s="67">
        <v>4.5674269306686339</v>
      </c>
    </row>
    <row r="10" spans="1:39" s="19" customFormat="1" ht="17.100000000000001" customHeight="1" x14ac:dyDescent="0.2">
      <c r="A10" s="37" t="s">
        <v>5</v>
      </c>
      <c r="B10" s="33">
        <v>2.0003583668191952E-2</v>
      </c>
      <c r="C10" s="33">
        <v>1.3443139624925743E-2</v>
      </c>
      <c r="D10" s="33">
        <v>1.0490017717720544E-2</v>
      </c>
      <c r="E10" s="33">
        <v>1.6542553050108919E-2</v>
      </c>
      <c r="F10" s="33">
        <v>1.5484378142742368E-2</v>
      </c>
      <c r="G10" s="33">
        <v>1.0468458180491217E-2</v>
      </c>
      <c r="H10" s="33">
        <v>8.1025080407989974E-3</v>
      </c>
      <c r="I10" s="33">
        <v>1.3595540964801507E-2</v>
      </c>
      <c r="J10" s="67">
        <v>1.6605674276024465E-2</v>
      </c>
      <c r="K10" s="67">
        <v>1.2067253544584341E-2</v>
      </c>
      <c r="L10" s="67">
        <v>9.7944764403682764E-3</v>
      </c>
      <c r="M10" s="67">
        <v>1.6598797986048894E-2</v>
      </c>
      <c r="N10" s="67">
        <v>1.7868339246819569E-2</v>
      </c>
      <c r="O10" s="67">
        <v>1.2300109193964702E-2</v>
      </c>
      <c r="P10" s="67">
        <v>9.8465116505913296E-3</v>
      </c>
      <c r="Q10" s="67">
        <v>1.5495730595145966E-2</v>
      </c>
      <c r="R10" s="67">
        <v>1.590588411143783E-2</v>
      </c>
      <c r="S10" s="67">
        <v>1.1740855271560845E-2</v>
      </c>
      <c r="T10" s="67">
        <v>1.1245811056910289E-2</v>
      </c>
      <c r="U10" s="67">
        <v>1.5145595425677878E-2</v>
      </c>
      <c r="V10" s="67">
        <v>1.6783625241440229E-2</v>
      </c>
      <c r="W10" s="67">
        <v>1.1782492289068237E-2</v>
      </c>
      <c r="X10" s="67">
        <v>1.0246095339707767E-2</v>
      </c>
      <c r="Y10" s="67">
        <v>1.3478034724527375E-2</v>
      </c>
      <c r="Z10" s="67">
        <v>1.4542311602042715E-2</v>
      </c>
      <c r="AA10" s="67">
        <v>1.0843498348001634E-2</v>
      </c>
      <c r="AB10" s="67">
        <v>1.0413974502097401E-2</v>
      </c>
      <c r="AC10" s="67">
        <v>1.2600411759869661E-2</v>
      </c>
      <c r="AD10" s="67">
        <v>1.3771711257163475E-2</v>
      </c>
      <c r="AE10" s="67">
        <v>1.0240296286209372E-2</v>
      </c>
      <c r="AF10" s="67">
        <v>9.8397159110590743E-3</v>
      </c>
      <c r="AG10" s="67">
        <v>1.231342263015721E-2</v>
      </c>
      <c r="AH10" s="67">
        <v>1.3251104476770257E-2</v>
      </c>
      <c r="AI10" s="67">
        <v>9.4271207213860574E-3</v>
      </c>
      <c r="AJ10" s="67">
        <v>8.2945256044869471E-3</v>
      </c>
      <c r="AK10" s="67">
        <v>1.1765586516926186E-2</v>
      </c>
      <c r="AL10" s="67">
        <v>1.1274610501849559E-2</v>
      </c>
      <c r="AM10" s="67">
        <v>8.6679554183663673E-3</v>
      </c>
    </row>
    <row r="11" spans="1:39" s="19" customFormat="1" ht="17.100000000000001" customHeight="1" x14ac:dyDescent="0.2">
      <c r="A11" s="37" t="s">
        <v>6</v>
      </c>
      <c r="B11" s="33">
        <v>3.0415289689882545</v>
      </c>
      <c r="C11" s="33">
        <v>3.8799383475763576</v>
      </c>
      <c r="D11" s="33">
        <v>4.0747303932387808</v>
      </c>
      <c r="E11" s="33">
        <v>3.7816005782031703</v>
      </c>
      <c r="F11" s="33">
        <v>2.5871539944334199</v>
      </c>
      <c r="G11" s="33">
        <v>2.238733455653735</v>
      </c>
      <c r="H11" s="33">
        <v>4.8596036203069088</v>
      </c>
      <c r="I11" s="33">
        <v>5.3946514379494994</v>
      </c>
      <c r="J11" s="67">
        <v>2.8633236143051088</v>
      </c>
      <c r="K11" s="67">
        <v>3.7606603595499215</v>
      </c>
      <c r="L11" s="67">
        <v>4.256020812929882</v>
      </c>
      <c r="M11" s="67">
        <v>4.4335971388818116</v>
      </c>
      <c r="N11" s="67">
        <v>3.6351412362120943</v>
      </c>
      <c r="O11" s="67">
        <v>4.7058699041786474</v>
      </c>
      <c r="P11" s="67">
        <v>3.9966312305157734</v>
      </c>
      <c r="Q11" s="67">
        <v>4.1472008832662803</v>
      </c>
      <c r="R11" s="67">
        <v>3.2269995329962455</v>
      </c>
      <c r="S11" s="67">
        <v>5.241878362759973</v>
      </c>
      <c r="T11" s="67">
        <v>4.1034218522961785</v>
      </c>
      <c r="U11" s="67">
        <v>3.934413247459092</v>
      </c>
      <c r="V11" s="67">
        <v>3.5287482007696505</v>
      </c>
      <c r="W11" s="67">
        <v>3.7842025376122876</v>
      </c>
      <c r="X11" s="67">
        <v>4.2741215122865936</v>
      </c>
      <c r="Y11" s="67">
        <v>3.9091860148473998</v>
      </c>
      <c r="Z11" s="67">
        <v>3.2520695484398856</v>
      </c>
      <c r="AA11" s="67">
        <v>3.7506737460014961</v>
      </c>
      <c r="AB11" s="67">
        <v>4.1654020364294029</v>
      </c>
      <c r="AC11" s="67">
        <v>3.6403512929781439</v>
      </c>
      <c r="AD11" s="67">
        <v>3.2738995685219603</v>
      </c>
      <c r="AE11" s="67">
        <v>3.5932492189463323</v>
      </c>
      <c r="AF11" s="67">
        <v>3.9114820409148212</v>
      </c>
      <c r="AG11" s="67">
        <v>4.2030549157245769</v>
      </c>
      <c r="AH11" s="67">
        <v>3.3533681055346265</v>
      </c>
      <c r="AI11" s="67">
        <v>3.6654467078588313</v>
      </c>
      <c r="AJ11" s="67">
        <v>4.0532155374864081</v>
      </c>
      <c r="AK11" s="67">
        <v>3.8227633287627731</v>
      </c>
      <c r="AL11" s="67">
        <v>3.5938332953659753</v>
      </c>
      <c r="AM11" s="67">
        <v>3.5882108894859841</v>
      </c>
    </row>
    <row r="12" spans="1:39" s="19" customFormat="1" ht="17.100000000000001" customHeight="1" x14ac:dyDescent="0.2">
      <c r="A12" s="37" t="s">
        <v>7</v>
      </c>
      <c r="B12" s="33">
        <v>1.9644304999704036</v>
      </c>
      <c r="C12" s="33">
        <v>2.1190650827228081</v>
      </c>
      <c r="D12" s="33">
        <v>2.0804072602080383</v>
      </c>
      <c r="E12" s="33">
        <v>1.8850702669626744</v>
      </c>
      <c r="F12" s="33">
        <v>1.4702111974926235</v>
      </c>
      <c r="G12" s="33">
        <v>1.6920476876959727</v>
      </c>
      <c r="H12" s="33">
        <v>1.4615775670763018</v>
      </c>
      <c r="I12" s="33">
        <v>1.6504530749160831</v>
      </c>
      <c r="J12" s="67">
        <v>1.7632706514428054</v>
      </c>
      <c r="K12" s="67">
        <v>2.1771603734073826</v>
      </c>
      <c r="L12" s="67">
        <v>2.5900931968312628</v>
      </c>
      <c r="M12" s="67">
        <v>2.4342088994289388</v>
      </c>
      <c r="N12" s="67">
        <v>2.1653492920690445</v>
      </c>
      <c r="O12" s="67">
        <v>2.575932234109986</v>
      </c>
      <c r="P12" s="67">
        <v>2.6749359487201372</v>
      </c>
      <c r="Q12" s="67">
        <v>2.5335603545633374</v>
      </c>
      <c r="R12" s="67">
        <v>2.2513886779009598</v>
      </c>
      <c r="S12" s="67">
        <v>2.3688047673194506</v>
      </c>
      <c r="T12" s="67">
        <v>2.2701567970563694</v>
      </c>
      <c r="U12" s="67">
        <v>2.1486079820604789</v>
      </c>
      <c r="V12" s="67">
        <v>2.0103654987501391</v>
      </c>
      <c r="W12" s="67">
        <v>1.9440847907686096</v>
      </c>
      <c r="X12" s="67">
        <v>2.0942620268536314</v>
      </c>
      <c r="Y12" s="67">
        <v>2.0565193278291778</v>
      </c>
      <c r="Z12" s="67">
        <v>0.99593040323288862</v>
      </c>
      <c r="AA12" s="67">
        <v>1.9797574815454251</v>
      </c>
      <c r="AB12" s="67">
        <v>2.9650220240138534</v>
      </c>
      <c r="AC12" s="67">
        <v>1.9996124150623535</v>
      </c>
      <c r="AD12" s="67">
        <v>1.0097845944059769</v>
      </c>
      <c r="AE12" s="67">
        <v>1.5530214962224012</v>
      </c>
      <c r="AF12" s="67">
        <v>2.5712978628854146</v>
      </c>
      <c r="AG12" s="67">
        <v>2.3096484935728943</v>
      </c>
      <c r="AH12" s="67">
        <v>0.94298788822717305</v>
      </c>
      <c r="AI12" s="67">
        <v>1.5540231318941091</v>
      </c>
      <c r="AJ12" s="67">
        <v>3.3730297996854475</v>
      </c>
      <c r="AK12" s="67">
        <v>2.3473515782408421</v>
      </c>
      <c r="AL12" s="67">
        <v>1.1479372718324421</v>
      </c>
      <c r="AM12" s="67">
        <v>1.6365200680144323</v>
      </c>
    </row>
    <row r="13" spans="1:39" s="54" customFormat="1" ht="17.100000000000001" customHeight="1" x14ac:dyDescent="0.2">
      <c r="A13" s="52" t="s">
        <v>82</v>
      </c>
      <c r="B13" s="56">
        <v>23.616826570561869</v>
      </c>
      <c r="C13" s="56">
        <v>26.340120588759664</v>
      </c>
      <c r="D13" s="56">
        <v>27.88627203369925</v>
      </c>
      <c r="E13" s="56">
        <v>26.368819986653769</v>
      </c>
      <c r="F13" s="56">
        <v>23.958445158136513</v>
      </c>
      <c r="G13" s="56">
        <v>27.08161350773997</v>
      </c>
      <c r="H13" s="56">
        <v>27.275695119065141</v>
      </c>
      <c r="I13" s="56">
        <v>26.782825393613908</v>
      </c>
      <c r="J13" s="71">
        <v>25.378424089600518</v>
      </c>
      <c r="K13" s="71">
        <v>27.194794951136615</v>
      </c>
      <c r="L13" s="71">
        <v>27.684146538976101</v>
      </c>
      <c r="M13" s="71">
        <v>26.312234876263204</v>
      </c>
      <c r="N13" s="71">
        <v>24.56486515380854</v>
      </c>
      <c r="O13" s="71">
        <v>26.938280226623576</v>
      </c>
      <c r="P13" s="71">
        <v>28.22040899184233</v>
      </c>
      <c r="Q13" s="71">
        <v>26.442054667218741</v>
      </c>
      <c r="R13" s="71">
        <v>24.846934547293245</v>
      </c>
      <c r="S13" s="71">
        <v>27.426158486766539</v>
      </c>
      <c r="T13" s="71">
        <v>29.105416370373607</v>
      </c>
      <c r="U13" s="71">
        <v>27.434237173063273</v>
      </c>
      <c r="V13" s="71">
        <v>24.217047510888445</v>
      </c>
      <c r="W13" s="71">
        <v>26.858909418914276</v>
      </c>
      <c r="X13" s="71">
        <v>28.663315075807958</v>
      </c>
      <c r="Y13" s="71">
        <v>27.39788505236287</v>
      </c>
      <c r="Z13" s="71">
        <v>24.410469897828023</v>
      </c>
      <c r="AA13" s="71">
        <v>25.527557461853377</v>
      </c>
      <c r="AB13" s="71">
        <v>27.072573776742018</v>
      </c>
      <c r="AC13" s="71">
        <v>26.156921571611619</v>
      </c>
      <c r="AD13" s="71">
        <v>24.661466172248105</v>
      </c>
      <c r="AE13" s="71">
        <v>25.088549732509438</v>
      </c>
      <c r="AF13" s="71">
        <v>25.835746625503653</v>
      </c>
      <c r="AG13" s="71">
        <v>23.983797486536449</v>
      </c>
      <c r="AH13" s="71">
        <v>23.11523093496697</v>
      </c>
      <c r="AI13" s="71">
        <v>24.553764329723467</v>
      </c>
      <c r="AJ13" s="71">
        <v>25.083031703973589</v>
      </c>
      <c r="AK13" s="71">
        <v>24.428297956355046</v>
      </c>
      <c r="AL13" s="71">
        <v>23.539071189893665</v>
      </c>
      <c r="AM13" s="71">
        <v>24.58048066060568</v>
      </c>
    </row>
    <row r="14" spans="1:39" s="19" customFormat="1" ht="17.100000000000001" customHeight="1" x14ac:dyDescent="0.2">
      <c r="A14" s="37" t="s">
        <v>9</v>
      </c>
      <c r="B14" s="33">
        <v>1.0844240004462185</v>
      </c>
      <c r="C14" s="33">
        <v>1.0986124598320575</v>
      </c>
      <c r="D14" s="33">
        <v>1.4678140788741139</v>
      </c>
      <c r="E14" s="33">
        <v>1.2814329016901322</v>
      </c>
      <c r="F14" s="33">
        <v>1.0665418246065201</v>
      </c>
      <c r="G14" s="33">
        <v>0.94468799358913869</v>
      </c>
      <c r="H14" s="33">
        <v>1.3424088099925493</v>
      </c>
      <c r="I14" s="33">
        <v>1.724125218368425</v>
      </c>
      <c r="J14" s="67">
        <v>1.8643118064206148</v>
      </c>
      <c r="K14" s="67">
        <v>1.3633384455110531</v>
      </c>
      <c r="L14" s="67">
        <v>2.0235496218813509</v>
      </c>
      <c r="M14" s="67">
        <v>1.6095028952330708</v>
      </c>
      <c r="N14" s="67">
        <v>1.4902103382725975</v>
      </c>
      <c r="O14" s="67">
        <v>1.6585851095512596</v>
      </c>
      <c r="P14" s="67">
        <v>1.8635097512723582</v>
      </c>
      <c r="Q14" s="67">
        <v>1.482403217903483</v>
      </c>
      <c r="R14" s="67">
        <v>2.2216572029734287</v>
      </c>
      <c r="S14" s="67">
        <v>1.8886354396121425</v>
      </c>
      <c r="T14" s="67">
        <v>1.8878772740351439</v>
      </c>
      <c r="U14" s="67">
        <v>1.5292141554680427</v>
      </c>
      <c r="V14" s="67">
        <v>0.93079534159122446</v>
      </c>
      <c r="W14" s="67">
        <v>1.1511941004367559</v>
      </c>
      <c r="X14" s="67">
        <v>1.9130039172548514</v>
      </c>
      <c r="Y14" s="67">
        <v>1.7289772245902932</v>
      </c>
      <c r="Z14" s="67">
        <v>1.167618252512755</v>
      </c>
      <c r="AA14" s="67">
        <v>0.7226873382307496</v>
      </c>
      <c r="AB14" s="67">
        <v>1.0605205340855464</v>
      </c>
      <c r="AC14" s="67">
        <v>2.8091149892065825</v>
      </c>
      <c r="AD14" s="67">
        <v>2.3859550227469035</v>
      </c>
      <c r="AE14" s="67">
        <v>1.256859975509298</v>
      </c>
      <c r="AF14" s="67">
        <v>0.88942408318253374</v>
      </c>
      <c r="AG14" s="67">
        <v>0.50418579031146948</v>
      </c>
      <c r="AH14" s="67">
        <v>1.3022811929879232</v>
      </c>
      <c r="AI14" s="67">
        <v>1.6749356654499967</v>
      </c>
      <c r="AJ14" s="67">
        <v>0.9634426606790073</v>
      </c>
      <c r="AK14" s="67">
        <v>0.6755417068449171</v>
      </c>
      <c r="AL14" s="67">
        <v>1.225878346607119</v>
      </c>
      <c r="AM14" s="67">
        <v>1.5139992852090274</v>
      </c>
    </row>
    <row r="15" spans="1:39" s="19" customFormat="1" ht="17.100000000000001" customHeight="1" x14ac:dyDescent="0.2">
      <c r="A15" s="24" t="s">
        <v>10</v>
      </c>
      <c r="B15" s="33">
        <v>13.899172073020122</v>
      </c>
      <c r="C15" s="33">
        <v>15.680417984233269</v>
      </c>
      <c r="D15" s="33">
        <v>16.944442704077446</v>
      </c>
      <c r="E15" s="33">
        <v>15.63012400839599</v>
      </c>
      <c r="F15" s="33">
        <v>14.588109487272774</v>
      </c>
      <c r="G15" s="33">
        <v>16.572252933692798</v>
      </c>
      <c r="H15" s="33">
        <v>16.462122417298598</v>
      </c>
      <c r="I15" s="33">
        <v>15.614180393581043</v>
      </c>
      <c r="J15" s="67">
        <v>14.64450133901917</v>
      </c>
      <c r="K15" s="67">
        <v>16.096046564711809</v>
      </c>
      <c r="L15" s="67">
        <v>16.044751798748774</v>
      </c>
      <c r="M15" s="67">
        <v>15.14318607544522</v>
      </c>
      <c r="N15" s="67">
        <v>14.852302354890634</v>
      </c>
      <c r="O15" s="67">
        <v>16.409901753445382</v>
      </c>
      <c r="P15" s="67">
        <v>16.668569830264719</v>
      </c>
      <c r="Q15" s="67">
        <v>15.288595063274288</v>
      </c>
      <c r="R15" s="67">
        <v>15.27260433467011</v>
      </c>
      <c r="S15" s="67">
        <v>16.610681340024573</v>
      </c>
      <c r="T15" s="67">
        <v>17.54132021097735</v>
      </c>
      <c r="U15" s="67">
        <v>16.426333073971957</v>
      </c>
      <c r="V15" s="67">
        <v>14.422833236025065</v>
      </c>
      <c r="W15" s="67">
        <v>16.558080502225113</v>
      </c>
      <c r="X15" s="67">
        <v>17.667383453536203</v>
      </c>
      <c r="Y15" s="67">
        <v>16.890070425762779</v>
      </c>
      <c r="Z15" s="67">
        <v>15.185255658260141</v>
      </c>
      <c r="AA15" s="67">
        <v>16.264785247856491</v>
      </c>
      <c r="AB15" s="67">
        <v>16.788617773772668</v>
      </c>
      <c r="AC15" s="67">
        <v>14.554743953881854</v>
      </c>
      <c r="AD15" s="67">
        <v>14.414225568764543</v>
      </c>
      <c r="AE15" s="67">
        <v>15.104828154483158</v>
      </c>
      <c r="AF15" s="67">
        <v>16.025991686528869</v>
      </c>
      <c r="AG15" s="67">
        <v>14.995731998039135</v>
      </c>
      <c r="AH15" s="67">
        <v>14.242841126805958</v>
      </c>
      <c r="AI15" s="67">
        <v>14.122802447606015</v>
      </c>
      <c r="AJ15" s="67">
        <v>14.994813729323218</v>
      </c>
      <c r="AK15" s="67">
        <v>14.552263078275704</v>
      </c>
      <c r="AL15" s="67">
        <v>14.150833160137902</v>
      </c>
      <c r="AM15" s="67">
        <v>14.307957577046022</v>
      </c>
    </row>
    <row r="16" spans="1:39" s="19" customFormat="1" ht="17.100000000000001" customHeight="1" x14ac:dyDescent="0.2">
      <c r="A16" s="24" t="s">
        <v>11</v>
      </c>
      <c r="B16" s="33">
        <v>1.11944344231218</v>
      </c>
      <c r="C16" s="33">
        <v>1.2002905218734217</v>
      </c>
      <c r="D16" s="33">
        <v>1.4309651766497213</v>
      </c>
      <c r="E16" s="33">
        <v>1.337807828595166</v>
      </c>
      <c r="F16" s="33">
        <v>1.2126774018571187</v>
      </c>
      <c r="G16" s="33">
        <v>1.3331570253227685</v>
      </c>
      <c r="H16" s="33">
        <v>1.3572631559458701</v>
      </c>
      <c r="I16" s="33">
        <v>1.2399022913299267</v>
      </c>
      <c r="J16" s="67">
        <v>1.2578916956997499</v>
      </c>
      <c r="K16" s="67">
        <v>1.3218312585606928</v>
      </c>
      <c r="L16" s="67">
        <v>1.3603528239521239</v>
      </c>
      <c r="M16" s="67">
        <v>1.3398490842611306</v>
      </c>
      <c r="N16" s="67">
        <v>1.262891587048951</v>
      </c>
      <c r="O16" s="67">
        <v>1.351659367406614</v>
      </c>
      <c r="P16" s="67">
        <v>1.5231805238193827</v>
      </c>
      <c r="Q16" s="67">
        <v>1.4135558264749315</v>
      </c>
      <c r="R16" s="67">
        <v>1.3385943630128949</v>
      </c>
      <c r="S16" s="67">
        <v>1.4396845553052748</v>
      </c>
      <c r="T16" s="67">
        <v>1.5453209618102222</v>
      </c>
      <c r="U16" s="67">
        <v>1.4430676249386956</v>
      </c>
      <c r="V16" s="67">
        <v>1.3009030278748204</v>
      </c>
      <c r="W16" s="67">
        <v>1.3564352764348311</v>
      </c>
      <c r="X16" s="67">
        <v>1.4042822750840276</v>
      </c>
      <c r="Y16" s="67">
        <v>1.301651234622399</v>
      </c>
      <c r="Z16" s="67">
        <v>1.200861181971288</v>
      </c>
      <c r="AA16" s="67">
        <v>1.2027785238814144</v>
      </c>
      <c r="AB16" s="67">
        <v>1.2780595107290487</v>
      </c>
      <c r="AC16" s="67">
        <v>1.1114275947673935</v>
      </c>
      <c r="AD16" s="67">
        <v>1.0250082480501215</v>
      </c>
      <c r="AE16" s="67">
        <v>1.0934566171856086</v>
      </c>
      <c r="AF16" s="67">
        <v>1.1529719865191239</v>
      </c>
      <c r="AG16" s="67">
        <v>1.0628509892207947</v>
      </c>
      <c r="AH16" s="67">
        <v>0.96408787482275615</v>
      </c>
      <c r="AI16" s="67">
        <v>1.0742582714245552</v>
      </c>
      <c r="AJ16" s="67">
        <v>1.1168602478210981</v>
      </c>
      <c r="AK16" s="67">
        <v>1.0486165919961115</v>
      </c>
      <c r="AL16" s="67">
        <v>1.0937402050506575</v>
      </c>
      <c r="AM16" s="67">
        <v>1.0058464343225362</v>
      </c>
    </row>
    <row r="17" spans="1:39" s="19" customFormat="1" ht="17.100000000000001" customHeight="1" x14ac:dyDescent="0.2">
      <c r="A17" s="24" t="s">
        <v>12</v>
      </c>
      <c r="B17" s="33">
        <v>2.2254924265458165</v>
      </c>
      <c r="C17" s="33">
        <v>2.3686271549256386</v>
      </c>
      <c r="D17" s="33">
        <v>2.431646004476316</v>
      </c>
      <c r="E17" s="33">
        <v>2.4797290632165954</v>
      </c>
      <c r="F17" s="33">
        <v>2.2276542754950168</v>
      </c>
      <c r="G17" s="33">
        <v>2.5219041562277535</v>
      </c>
      <c r="H17" s="33">
        <v>2.4482089295436626</v>
      </c>
      <c r="I17" s="33">
        <v>2.3982254315679836</v>
      </c>
      <c r="J17" s="67">
        <v>2.2060011455498798</v>
      </c>
      <c r="K17" s="67">
        <v>2.3342458552099807</v>
      </c>
      <c r="L17" s="67">
        <v>2.2971492011759049</v>
      </c>
      <c r="M17" s="67">
        <v>2.2060564064385635</v>
      </c>
      <c r="N17" s="67">
        <v>1.9994668305265102</v>
      </c>
      <c r="O17" s="67">
        <v>2.1462317559159154</v>
      </c>
      <c r="P17" s="67">
        <v>2.3335631515850386</v>
      </c>
      <c r="Q17" s="67">
        <v>2.5056040485743205</v>
      </c>
      <c r="R17" s="67">
        <v>2.0645888740115681</v>
      </c>
      <c r="S17" s="67">
        <v>2.1914965618922051</v>
      </c>
      <c r="T17" s="67">
        <v>2.3278321556964729</v>
      </c>
      <c r="U17" s="67">
        <v>2.2151121190074923</v>
      </c>
      <c r="V17" s="67">
        <v>2.068612017715977</v>
      </c>
      <c r="W17" s="67">
        <v>2.1742304629148448</v>
      </c>
      <c r="X17" s="67">
        <v>2.2369204508016671</v>
      </c>
      <c r="Y17" s="67">
        <v>2.0962970171294488</v>
      </c>
      <c r="Z17" s="67">
        <v>1.9619884567105166</v>
      </c>
      <c r="AA17" s="67">
        <v>2.1766710222225822</v>
      </c>
      <c r="AB17" s="67">
        <v>2.3415295969807484</v>
      </c>
      <c r="AC17" s="67">
        <v>2.0391129776654431</v>
      </c>
      <c r="AD17" s="67">
        <v>1.9546615703335664</v>
      </c>
      <c r="AE17" s="67">
        <v>2.1469193910865805</v>
      </c>
      <c r="AF17" s="67">
        <v>2.2588916548289308</v>
      </c>
      <c r="AG17" s="67">
        <v>2.1145759472909513</v>
      </c>
      <c r="AH17" s="67">
        <v>1.9203304898167011</v>
      </c>
      <c r="AI17" s="67">
        <v>2.1977752530510588</v>
      </c>
      <c r="AJ17" s="67">
        <v>2.257305509258468</v>
      </c>
      <c r="AK17" s="67">
        <v>2.1497344766837654</v>
      </c>
      <c r="AL17" s="67">
        <v>2.0181955611736715</v>
      </c>
      <c r="AM17" s="67">
        <v>2.069571441597883</v>
      </c>
    </row>
    <row r="18" spans="1:39" s="19" customFormat="1" ht="17.100000000000001" customHeight="1" x14ac:dyDescent="0.2">
      <c r="A18" s="37" t="s">
        <v>13</v>
      </c>
      <c r="B18" s="33">
        <v>5.2882946282375345</v>
      </c>
      <c r="C18" s="33">
        <v>5.9921724678952755</v>
      </c>
      <c r="D18" s="33">
        <v>5.6114040696216536</v>
      </c>
      <c r="E18" s="33">
        <v>5.6397261847558822</v>
      </c>
      <c r="F18" s="33">
        <v>4.8634621689050848</v>
      </c>
      <c r="G18" s="33">
        <v>5.7096113989075077</v>
      </c>
      <c r="H18" s="33">
        <v>5.6656918062844657</v>
      </c>
      <c r="I18" s="33">
        <v>5.806392058766531</v>
      </c>
      <c r="J18" s="67">
        <v>5.4057181029111012</v>
      </c>
      <c r="K18" s="67">
        <v>6.0793328271430784</v>
      </c>
      <c r="L18" s="67">
        <v>5.9583430932179473</v>
      </c>
      <c r="M18" s="67">
        <v>6.0136404148852165</v>
      </c>
      <c r="N18" s="67">
        <v>4.9599940430698446</v>
      </c>
      <c r="O18" s="67">
        <v>5.371902240304399</v>
      </c>
      <c r="P18" s="67">
        <v>5.8315857349008313</v>
      </c>
      <c r="Q18" s="67">
        <v>5.7518965109917195</v>
      </c>
      <c r="R18" s="67">
        <v>3.9494897726252414</v>
      </c>
      <c r="S18" s="67">
        <v>5.2956605899323446</v>
      </c>
      <c r="T18" s="67">
        <v>5.8030657678544157</v>
      </c>
      <c r="U18" s="67">
        <v>5.8205101996770843</v>
      </c>
      <c r="V18" s="67">
        <v>5.4939038876813591</v>
      </c>
      <c r="W18" s="67">
        <v>5.6189690769027321</v>
      </c>
      <c r="X18" s="67">
        <v>5.4417249791312097</v>
      </c>
      <c r="Y18" s="67">
        <v>5.3808891502579543</v>
      </c>
      <c r="Z18" s="67">
        <v>4.89474634837332</v>
      </c>
      <c r="AA18" s="67">
        <v>5.1606353296621412</v>
      </c>
      <c r="AB18" s="67">
        <v>5.6038463611740061</v>
      </c>
      <c r="AC18" s="67">
        <v>5.6425220560903453</v>
      </c>
      <c r="AD18" s="67">
        <v>4.8816157623529701</v>
      </c>
      <c r="AE18" s="67">
        <v>5.4864855942447939</v>
      </c>
      <c r="AF18" s="67">
        <v>5.5084672144441953</v>
      </c>
      <c r="AG18" s="67">
        <v>5.3064527616740982</v>
      </c>
      <c r="AH18" s="67">
        <v>4.6856902505336286</v>
      </c>
      <c r="AI18" s="67">
        <v>5.4839926921918405</v>
      </c>
      <c r="AJ18" s="67">
        <v>5.7506095568917956</v>
      </c>
      <c r="AK18" s="67">
        <v>6.0021421025545472</v>
      </c>
      <c r="AL18" s="67">
        <v>5.0504239169243137</v>
      </c>
      <c r="AM18" s="67">
        <v>5.6831059224302134</v>
      </c>
    </row>
    <row r="19" spans="1:39" s="54" customFormat="1" ht="17.100000000000001" customHeight="1" x14ac:dyDescent="0.2">
      <c r="A19" s="52" t="s">
        <v>83</v>
      </c>
      <c r="B19" s="56">
        <v>41.252491500337015</v>
      </c>
      <c r="C19" s="56">
        <v>43.703422727616143</v>
      </c>
      <c r="D19" s="56">
        <v>44.331841376138932</v>
      </c>
      <c r="E19" s="56">
        <v>44.682792220709153</v>
      </c>
      <c r="F19" s="56">
        <v>41.275909607444646</v>
      </c>
      <c r="G19" s="56">
        <v>44.892853598533009</v>
      </c>
      <c r="H19" s="56">
        <v>44.370058916242961</v>
      </c>
      <c r="I19" s="56">
        <v>43.030730072713439</v>
      </c>
      <c r="J19" s="71">
        <v>41.228448524975676</v>
      </c>
      <c r="K19" s="71">
        <v>43.524887986534594</v>
      </c>
      <c r="L19" s="71">
        <v>43.914388663552323</v>
      </c>
      <c r="M19" s="71">
        <v>43.415476157762086</v>
      </c>
      <c r="N19" s="71">
        <v>41.510304502657277</v>
      </c>
      <c r="O19" s="71">
        <v>43.020065452348319</v>
      </c>
      <c r="P19" s="71">
        <v>43.748101470705123</v>
      </c>
      <c r="Q19" s="71">
        <v>43.251475466513064</v>
      </c>
      <c r="R19" s="71">
        <v>39.653730240357881</v>
      </c>
      <c r="S19" s="71">
        <v>41.524347723079181</v>
      </c>
      <c r="T19" s="71">
        <v>44.411750369193477</v>
      </c>
      <c r="U19" s="71">
        <v>42.034621312227138</v>
      </c>
      <c r="V19" s="71">
        <v>39.107701268658268</v>
      </c>
      <c r="W19" s="71">
        <v>42.117475223220353</v>
      </c>
      <c r="X19" s="71">
        <v>43.722180094961473</v>
      </c>
      <c r="Y19" s="71">
        <v>41.769425142621294</v>
      </c>
      <c r="Z19" s="71">
        <v>39.900287447226567</v>
      </c>
      <c r="AA19" s="71">
        <v>43.174629756536298</v>
      </c>
      <c r="AB19" s="71">
        <v>44.288691371082891</v>
      </c>
      <c r="AC19" s="71">
        <v>42.974937017714275</v>
      </c>
      <c r="AD19" s="71">
        <v>40.184128497543455</v>
      </c>
      <c r="AE19" s="71">
        <v>44.149898465422545</v>
      </c>
      <c r="AF19" s="71">
        <v>45.238090374394318</v>
      </c>
      <c r="AG19" s="71">
        <v>43.326494238162468</v>
      </c>
      <c r="AH19" s="71">
        <v>39.984439503704273</v>
      </c>
      <c r="AI19" s="71">
        <v>42.423848961765948</v>
      </c>
      <c r="AJ19" s="71">
        <v>43.941559768672576</v>
      </c>
      <c r="AK19" s="71">
        <v>42.199450907781177</v>
      </c>
      <c r="AL19" s="71">
        <v>40.672735331056529</v>
      </c>
      <c r="AM19" s="71">
        <v>42.475186737716477</v>
      </c>
    </row>
    <row r="20" spans="1:39" s="19" customFormat="1" ht="17.100000000000001" customHeight="1" x14ac:dyDescent="0.2">
      <c r="A20" s="38" t="s">
        <v>64</v>
      </c>
      <c r="B20" s="33">
        <v>8.3766725385729899</v>
      </c>
      <c r="C20" s="33">
        <v>8.9897563590214293</v>
      </c>
      <c r="D20" s="33">
        <v>9.3858555070720708</v>
      </c>
      <c r="E20" s="33">
        <v>9.5031930345839761</v>
      </c>
      <c r="F20" s="33">
        <v>8.8028971949507717</v>
      </c>
      <c r="G20" s="33">
        <v>8.6469027186016341</v>
      </c>
      <c r="H20" s="33">
        <v>9.4403473516990193</v>
      </c>
      <c r="I20" s="33">
        <v>9.3663541245271968</v>
      </c>
      <c r="J20" s="67">
        <v>8.4685882101929497</v>
      </c>
      <c r="K20" s="67">
        <v>8.9675931890467364</v>
      </c>
      <c r="L20" s="67">
        <v>8.8317098423323674</v>
      </c>
      <c r="M20" s="67">
        <v>8.3329939556242358</v>
      </c>
      <c r="N20" s="67">
        <v>8.1470334202853518</v>
      </c>
      <c r="O20" s="67">
        <v>8.5296479382801706</v>
      </c>
      <c r="P20" s="67">
        <v>8.534046335440113</v>
      </c>
      <c r="Q20" s="67">
        <v>8.4882270876796859</v>
      </c>
      <c r="R20" s="67">
        <v>7.8366048110219566</v>
      </c>
      <c r="S20" s="67">
        <v>7.9812798749187355</v>
      </c>
      <c r="T20" s="67">
        <v>8.130469001214589</v>
      </c>
      <c r="U20" s="67">
        <v>7.7294960753965398</v>
      </c>
      <c r="V20" s="67">
        <v>7.3248920011557903</v>
      </c>
      <c r="W20" s="67">
        <v>7.932680315784892</v>
      </c>
      <c r="X20" s="67">
        <v>9.0206163111637157</v>
      </c>
      <c r="Y20" s="67">
        <v>9.2496366789912923</v>
      </c>
      <c r="Z20" s="67">
        <v>8.6300883765552694</v>
      </c>
      <c r="AA20" s="67">
        <v>8.6431982220553571</v>
      </c>
      <c r="AB20" s="67">
        <v>9.4510063597952918</v>
      </c>
      <c r="AC20" s="67">
        <v>9.8466280530056522</v>
      </c>
      <c r="AD20" s="67">
        <v>10.208737356977355</v>
      </c>
      <c r="AE20" s="67">
        <v>9.3006654805610438</v>
      </c>
      <c r="AF20" s="67">
        <v>9.4047763163986478</v>
      </c>
      <c r="AG20" s="67">
        <v>8.8111310134534886</v>
      </c>
      <c r="AH20" s="67">
        <v>10.212497381517386</v>
      </c>
      <c r="AI20" s="67">
        <v>9.5498321505040487</v>
      </c>
      <c r="AJ20" s="67">
        <v>9.4104372941026266</v>
      </c>
      <c r="AK20" s="67">
        <v>9.1391737330306455</v>
      </c>
      <c r="AL20" s="67">
        <v>10.119839765918719</v>
      </c>
      <c r="AM20" s="67">
        <v>10.369905907478195</v>
      </c>
    </row>
    <row r="21" spans="1:39" s="19" customFormat="1" ht="17.100000000000001" customHeight="1" x14ac:dyDescent="0.2">
      <c r="A21" s="38" t="s">
        <v>65</v>
      </c>
      <c r="B21" s="33">
        <v>3.1352118486679563</v>
      </c>
      <c r="C21" s="33">
        <v>3.372210350074357</v>
      </c>
      <c r="D21" s="33">
        <v>3.41619983484419</v>
      </c>
      <c r="E21" s="33">
        <v>3.4279365186079458</v>
      </c>
      <c r="F21" s="33">
        <v>3.2457115434315322</v>
      </c>
      <c r="G21" s="33">
        <v>3.5306731113954992</v>
      </c>
      <c r="H21" s="33">
        <v>3.520191516655395</v>
      </c>
      <c r="I21" s="33">
        <v>3.370707248442296</v>
      </c>
      <c r="J21" s="67">
        <v>3.2787617852323412</v>
      </c>
      <c r="K21" s="67">
        <v>3.4037941340092277</v>
      </c>
      <c r="L21" s="67">
        <v>3.4739456783414333</v>
      </c>
      <c r="M21" s="67">
        <v>3.5275976880984516</v>
      </c>
      <c r="N21" s="67">
        <v>3.4932928016366778</v>
      </c>
      <c r="O21" s="67">
        <v>3.4452821017620052</v>
      </c>
      <c r="P21" s="67">
        <v>3.438275368143648</v>
      </c>
      <c r="Q21" s="67">
        <v>3.3300948645823474</v>
      </c>
      <c r="R21" s="67">
        <v>3.4485313774744384</v>
      </c>
      <c r="S21" s="67">
        <v>3.2788144619905744</v>
      </c>
      <c r="T21" s="67">
        <v>3.1620201964934731</v>
      </c>
      <c r="U21" s="67">
        <v>3.0555261713652739</v>
      </c>
      <c r="V21" s="67">
        <v>2.8942349355992278</v>
      </c>
      <c r="W21" s="67">
        <v>3.3730946515280662</v>
      </c>
      <c r="X21" s="67">
        <v>3.3605564207821521</v>
      </c>
      <c r="Y21" s="67">
        <v>3.1273813815260092</v>
      </c>
      <c r="Z21" s="67">
        <v>2.9134924300838456</v>
      </c>
      <c r="AA21" s="67">
        <v>3.7737790278963859</v>
      </c>
      <c r="AB21" s="67">
        <v>4.1018796992059903</v>
      </c>
      <c r="AC21" s="67">
        <v>3.4660278554844255</v>
      </c>
      <c r="AD21" s="67">
        <v>3.0770370066719259</v>
      </c>
      <c r="AE21" s="67">
        <v>3.7986080912928175</v>
      </c>
      <c r="AF21" s="67">
        <v>4.2129913563681267</v>
      </c>
      <c r="AG21" s="67">
        <v>3.8470508449333285</v>
      </c>
      <c r="AH21" s="67">
        <v>3.3467962046626094</v>
      </c>
      <c r="AI21" s="67">
        <v>3.9083945509477864</v>
      </c>
      <c r="AJ21" s="67">
        <v>4.2132989130893961</v>
      </c>
      <c r="AK21" s="67">
        <v>3.7775566976793074</v>
      </c>
      <c r="AL21" s="67">
        <v>3.2888883458660603</v>
      </c>
      <c r="AM21" s="67">
        <v>3.7316585307735033</v>
      </c>
    </row>
    <row r="22" spans="1:39" s="19" customFormat="1" ht="17.100000000000001" customHeight="1" x14ac:dyDescent="0.2">
      <c r="A22" s="38" t="s">
        <v>66</v>
      </c>
      <c r="B22" s="33">
        <v>2.7573785003728526</v>
      </c>
      <c r="C22" s="33">
        <v>2.8824630150129433</v>
      </c>
      <c r="D22" s="33">
        <v>3.0269737623444581</v>
      </c>
      <c r="E22" s="33">
        <v>3.1726320121728997</v>
      </c>
      <c r="F22" s="33">
        <v>3.1287216929494259</v>
      </c>
      <c r="G22" s="33">
        <v>3.1513492790968711</v>
      </c>
      <c r="H22" s="33">
        <v>3.0054468848385487</v>
      </c>
      <c r="I22" s="33">
        <v>2.9025350382129731</v>
      </c>
      <c r="J22" s="67">
        <v>2.9320163065116689</v>
      </c>
      <c r="K22" s="67">
        <v>2.8480967547082128</v>
      </c>
      <c r="L22" s="67">
        <v>2.8451772506016426</v>
      </c>
      <c r="M22" s="67">
        <v>2.9595385251747692</v>
      </c>
      <c r="N22" s="67">
        <v>2.9494231033934861</v>
      </c>
      <c r="O22" s="67">
        <v>2.9311952708884386</v>
      </c>
      <c r="P22" s="67">
        <v>2.7806778085670758</v>
      </c>
      <c r="Q22" s="67">
        <v>1.6481463777638607</v>
      </c>
      <c r="R22" s="67">
        <v>2.1006216035595737</v>
      </c>
      <c r="S22" s="67">
        <v>2.2466933996906286</v>
      </c>
      <c r="T22" s="67">
        <v>2.6523469971126272</v>
      </c>
      <c r="U22" s="67">
        <v>2.5973286033410985</v>
      </c>
      <c r="V22" s="67">
        <v>2.0549763398302763</v>
      </c>
      <c r="W22" s="67">
        <v>2.5265506564715894</v>
      </c>
      <c r="X22" s="67">
        <v>1.9968587898959265</v>
      </c>
      <c r="Y22" s="67">
        <v>2.2540792946690416</v>
      </c>
      <c r="Z22" s="67">
        <v>1.7992029627080934</v>
      </c>
      <c r="AA22" s="67">
        <v>2.2386540641220267</v>
      </c>
      <c r="AB22" s="67">
        <v>2.0927692759519267</v>
      </c>
      <c r="AC22" s="67">
        <v>2.6637215489826755</v>
      </c>
      <c r="AD22" s="67">
        <v>1.9986565995842458</v>
      </c>
      <c r="AE22" s="67">
        <v>1.9972099120433688</v>
      </c>
      <c r="AF22" s="67">
        <v>2.2085631635525962</v>
      </c>
      <c r="AG22" s="67">
        <v>3.1111183924445984</v>
      </c>
      <c r="AH22" s="67">
        <v>2.1847140472342716</v>
      </c>
      <c r="AI22" s="67">
        <v>2.2932275427256732</v>
      </c>
      <c r="AJ22" s="67">
        <v>2.3708426172073596</v>
      </c>
      <c r="AK22" s="67">
        <v>2.4219891365365784</v>
      </c>
      <c r="AL22" s="67">
        <v>2.5664600783174873</v>
      </c>
      <c r="AM22" s="67">
        <v>2.4843288729369566</v>
      </c>
    </row>
    <row r="23" spans="1:39" s="19" customFormat="1" ht="17.100000000000001" customHeight="1" x14ac:dyDescent="0.2">
      <c r="A23" s="38" t="s">
        <v>67</v>
      </c>
      <c r="B23" s="33">
        <v>2.0223921676303944</v>
      </c>
      <c r="C23" s="33">
        <v>2.1167334926116586</v>
      </c>
      <c r="D23" s="33">
        <v>1.9780438070960871</v>
      </c>
      <c r="E23" s="33">
        <v>1.7382609747881306</v>
      </c>
      <c r="F23" s="33">
        <v>1.4658985919111645</v>
      </c>
      <c r="G23" s="33">
        <v>1.6877233002836733</v>
      </c>
      <c r="H23" s="33">
        <v>1.6862352448021594</v>
      </c>
      <c r="I23" s="33">
        <v>1.6936562661427406</v>
      </c>
      <c r="J23" s="67">
        <v>1.6581636994640188</v>
      </c>
      <c r="K23" s="67">
        <v>1.8825175223742492</v>
      </c>
      <c r="L23" s="67">
        <v>1.8780830508652497</v>
      </c>
      <c r="M23" s="67">
        <v>1.8528105788866878</v>
      </c>
      <c r="N23" s="67">
        <v>1.7853009011429846</v>
      </c>
      <c r="O23" s="67">
        <v>1.9141313883129636</v>
      </c>
      <c r="P23" s="67">
        <v>1.8136380393304092</v>
      </c>
      <c r="Q23" s="67">
        <v>1.8008422732541034</v>
      </c>
      <c r="R23" s="67">
        <v>1.5824452906315349</v>
      </c>
      <c r="S23" s="67">
        <v>1.7743634821986529</v>
      </c>
      <c r="T23" s="67">
        <v>1.9667989305407469</v>
      </c>
      <c r="U23" s="67">
        <v>1.9179681293560524</v>
      </c>
      <c r="V23" s="67">
        <v>1.6512066821515392</v>
      </c>
      <c r="W23" s="67">
        <v>1.7567763533667635</v>
      </c>
      <c r="X23" s="67">
        <v>1.7666585177837035</v>
      </c>
      <c r="Y23" s="67">
        <v>1.5809749020002959</v>
      </c>
      <c r="Z23" s="67">
        <v>1.2991205018084266</v>
      </c>
      <c r="AA23" s="67">
        <v>1.442426291612416</v>
      </c>
      <c r="AB23" s="67">
        <v>1.6760260841025085</v>
      </c>
      <c r="AC23" s="67">
        <v>1.7650145710641381</v>
      </c>
      <c r="AD23" s="67">
        <v>2.0530943113862423</v>
      </c>
      <c r="AE23" s="67">
        <v>2.399654054635215</v>
      </c>
      <c r="AF23" s="67">
        <v>2.3859990592336353</v>
      </c>
      <c r="AG23" s="67">
        <v>1.8767053790289483</v>
      </c>
      <c r="AH23" s="67">
        <v>2.0518564409892313</v>
      </c>
      <c r="AI23" s="67">
        <v>1.9790673196596844</v>
      </c>
      <c r="AJ23" s="67">
        <v>2.1506158489698413</v>
      </c>
      <c r="AK23" s="67">
        <v>1.7114793610108938</v>
      </c>
      <c r="AL23" s="67">
        <v>1.7591457125841992</v>
      </c>
      <c r="AM23" s="67">
        <v>1.8343259600602946</v>
      </c>
    </row>
    <row r="24" spans="1:39" s="19" customFormat="1" ht="17.100000000000001" customHeight="1" x14ac:dyDescent="0.2">
      <c r="A24" s="38" t="s">
        <v>68</v>
      </c>
      <c r="B24" s="33">
        <v>2.5319146187584276</v>
      </c>
      <c r="C24" s="33">
        <v>2.5012579373152843</v>
      </c>
      <c r="D24" s="33">
        <v>2.8019868768627019</v>
      </c>
      <c r="E24" s="33">
        <v>2.7498376648108698</v>
      </c>
      <c r="F24" s="33">
        <v>2.4641496918518606</v>
      </c>
      <c r="G24" s="33">
        <v>2.7332028278817115</v>
      </c>
      <c r="H24" s="33">
        <v>2.520603318666883</v>
      </c>
      <c r="I24" s="33">
        <v>2.4771584240511841</v>
      </c>
      <c r="J24" s="67">
        <v>2.2856857568204014</v>
      </c>
      <c r="K24" s="67">
        <v>2.5055002923486174</v>
      </c>
      <c r="L24" s="67">
        <v>2.7508545100034074</v>
      </c>
      <c r="M24" s="67">
        <v>2.9325368063652206</v>
      </c>
      <c r="N24" s="67">
        <v>2.8782349234197051</v>
      </c>
      <c r="O24" s="67">
        <v>2.9269782577555854</v>
      </c>
      <c r="P24" s="67">
        <v>2.8639262891483765</v>
      </c>
      <c r="Q24" s="67">
        <v>2.1915353906383968</v>
      </c>
      <c r="R24" s="67">
        <v>2.8911511261209042</v>
      </c>
      <c r="S24" s="67">
        <v>2.6162497683070964</v>
      </c>
      <c r="T24" s="67">
        <v>2.9975929258957112</v>
      </c>
      <c r="U24" s="67">
        <v>2.5674247464254054</v>
      </c>
      <c r="V24" s="67">
        <v>2.7868226513520233</v>
      </c>
      <c r="W24" s="67">
        <v>2.7338146512878843</v>
      </c>
      <c r="X24" s="67">
        <v>3.1664576841482348</v>
      </c>
      <c r="Y24" s="67">
        <v>2.7722229132715421</v>
      </c>
      <c r="Z24" s="67">
        <v>2.792494507000034</v>
      </c>
      <c r="AA24" s="67">
        <v>3.3963700323075994</v>
      </c>
      <c r="AB24" s="67">
        <v>2.1851299250098095</v>
      </c>
      <c r="AC24" s="67">
        <v>2.7985719586750264</v>
      </c>
      <c r="AD24" s="67">
        <v>2.609424670079858</v>
      </c>
      <c r="AE24" s="67">
        <v>2.9078266319781645</v>
      </c>
      <c r="AF24" s="67">
        <v>2.8234387961561804</v>
      </c>
      <c r="AG24" s="67">
        <v>2.5961850327864342</v>
      </c>
      <c r="AH24" s="67">
        <v>2.6454781867090214</v>
      </c>
      <c r="AI24" s="67">
        <v>2.7140159991940425</v>
      </c>
      <c r="AJ24" s="67">
        <v>2.6768415609325391</v>
      </c>
      <c r="AK24" s="67">
        <v>2.5133920365001017</v>
      </c>
      <c r="AL24" s="67">
        <v>2.7716083436723777</v>
      </c>
      <c r="AM24" s="67">
        <v>2.7042405090129611</v>
      </c>
    </row>
    <row r="25" spans="1:39" s="19" customFormat="1" ht="17.100000000000001" customHeight="1" x14ac:dyDescent="0.2">
      <c r="A25" s="38" t="s">
        <v>20</v>
      </c>
      <c r="B25" s="33">
        <v>5.663618195279601</v>
      </c>
      <c r="C25" s="33">
        <v>6.0252103732608875</v>
      </c>
      <c r="D25" s="33">
        <v>6.1440571008034013</v>
      </c>
      <c r="E25" s="33">
        <v>6.1907596811030299</v>
      </c>
      <c r="F25" s="33">
        <v>5.6252257007102884</v>
      </c>
      <c r="G25" s="33">
        <v>6.4909199498562904</v>
      </c>
      <c r="H25" s="33">
        <v>6.3864477307757168</v>
      </c>
      <c r="I25" s="33">
        <v>6.1903432853592459</v>
      </c>
      <c r="J25" s="67">
        <v>5.9595324053327552</v>
      </c>
      <c r="K25" s="67">
        <v>6.4170238269791193</v>
      </c>
      <c r="L25" s="67">
        <v>6.5266662592233518</v>
      </c>
      <c r="M25" s="67">
        <v>6.2298880267933603</v>
      </c>
      <c r="N25" s="67">
        <v>5.7566884198343322</v>
      </c>
      <c r="O25" s="67">
        <v>5.9261909450077672</v>
      </c>
      <c r="P25" s="67">
        <v>6.7560077766383735</v>
      </c>
      <c r="Q25" s="67">
        <v>7.2326059900993167</v>
      </c>
      <c r="R25" s="67">
        <v>5.8631145866085417</v>
      </c>
      <c r="S25" s="67">
        <v>6.2060834390761626</v>
      </c>
      <c r="T25" s="67">
        <v>6.5924849909660148</v>
      </c>
      <c r="U25" s="67">
        <v>6.3848470287466181</v>
      </c>
      <c r="V25" s="67">
        <v>5.9529089648230267</v>
      </c>
      <c r="W25" s="67">
        <v>6.3529751874001272</v>
      </c>
      <c r="X25" s="67">
        <v>6.566516770242302</v>
      </c>
      <c r="Y25" s="67">
        <v>6.2485796865499506</v>
      </c>
      <c r="Z25" s="67">
        <v>5.6284378645901718</v>
      </c>
      <c r="AA25" s="67">
        <v>6.2629721302511783</v>
      </c>
      <c r="AB25" s="67">
        <v>6.6708478508400084</v>
      </c>
      <c r="AC25" s="67">
        <v>6.0181533482329508</v>
      </c>
      <c r="AD25" s="67">
        <v>5.4665380324342392</v>
      </c>
      <c r="AE25" s="67">
        <v>6.1080675561715587</v>
      </c>
      <c r="AF25" s="67">
        <v>6.4450894659870102</v>
      </c>
      <c r="AG25" s="67">
        <v>5.9226165614894084</v>
      </c>
      <c r="AH25" s="67">
        <v>5.2175142762232491</v>
      </c>
      <c r="AI25" s="67">
        <v>5.7860737746195152</v>
      </c>
      <c r="AJ25" s="67">
        <v>6.0713097311859041</v>
      </c>
      <c r="AK25" s="67">
        <v>5.7330119578360712</v>
      </c>
      <c r="AL25" s="67">
        <v>5.3548056576970966</v>
      </c>
      <c r="AM25" s="67">
        <v>5.4639202915808314</v>
      </c>
    </row>
    <row r="26" spans="1:39" s="19" customFormat="1" ht="17.100000000000001" customHeight="1" x14ac:dyDescent="0.2">
      <c r="A26" s="38" t="s">
        <v>70</v>
      </c>
      <c r="B26" s="33">
        <v>2.4206091906399916</v>
      </c>
      <c r="C26" s="33">
        <v>2.341031145947762</v>
      </c>
      <c r="D26" s="33">
        <v>1.8521037746064284</v>
      </c>
      <c r="E26" s="33">
        <v>1.9713150664646917</v>
      </c>
      <c r="F26" s="33">
        <v>2.1695383183823527</v>
      </c>
      <c r="G26" s="33">
        <v>2.3702828827160149</v>
      </c>
      <c r="H26" s="33">
        <v>1.9934451100785442</v>
      </c>
      <c r="I26" s="33">
        <v>2.0945255393830466</v>
      </c>
      <c r="J26" s="67">
        <v>2.0386701264800822</v>
      </c>
      <c r="K26" s="67">
        <v>1.9792525463245545</v>
      </c>
      <c r="L26" s="67">
        <v>1.9865778691683662</v>
      </c>
      <c r="M26" s="67">
        <v>2.3082698268699313</v>
      </c>
      <c r="N26" s="67">
        <v>2.4418090227972828</v>
      </c>
      <c r="O26" s="67">
        <v>2.2999187384398754</v>
      </c>
      <c r="P26" s="67">
        <v>1.460080982107512</v>
      </c>
      <c r="Q26" s="67">
        <v>2.0409058189511646</v>
      </c>
      <c r="R26" s="67">
        <v>1.6805423338511534</v>
      </c>
      <c r="S26" s="67">
        <v>2.1004761028463292</v>
      </c>
      <c r="T26" s="67">
        <v>2.203959993117186</v>
      </c>
      <c r="U26" s="67">
        <v>2.0348261449454328</v>
      </c>
      <c r="V26" s="67">
        <v>2.0323449436649494</v>
      </c>
      <c r="W26" s="67">
        <v>2.0919998520287009</v>
      </c>
      <c r="X26" s="67">
        <v>1.8308723715542068</v>
      </c>
      <c r="Y26" s="67">
        <v>1.7519537140674533</v>
      </c>
      <c r="Z26" s="67">
        <v>2.735772036851531</v>
      </c>
      <c r="AA26" s="67">
        <v>2.3830088758170236</v>
      </c>
      <c r="AB26" s="67">
        <v>2.3596779812390394</v>
      </c>
      <c r="AC26" s="67">
        <v>1.8847322862385885</v>
      </c>
      <c r="AD26" s="67">
        <v>1.434819454907587</v>
      </c>
      <c r="AE26" s="67">
        <v>3.1528823947372331</v>
      </c>
      <c r="AF26" s="67">
        <v>2.3935586519081142</v>
      </c>
      <c r="AG26" s="67">
        <v>2.068492156788206</v>
      </c>
      <c r="AH26" s="67">
        <v>1.4132018471970063</v>
      </c>
      <c r="AI26" s="67">
        <v>2.170149244311018</v>
      </c>
      <c r="AJ26" s="67">
        <v>2.4550748446086463</v>
      </c>
      <c r="AK26" s="67">
        <v>2.3081550914509417</v>
      </c>
      <c r="AL26" s="67">
        <v>1.4853595196217726</v>
      </c>
      <c r="AM26" s="67">
        <v>1.584965011469341</v>
      </c>
    </row>
    <row r="27" spans="1:39" s="19" customFormat="1" ht="17.100000000000001" customHeight="1" x14ac:dyDescent="0.2">
      <c r="A27" s="38" t="s">
        <v>74</v>
      </c>
      <c r="B27" s="33">
        <v>1.5930452768837244</v>
      </c>
      <c r="C27" s="33">
        <v>1.7932784206294194</v>
      </c>
      <c r="D27" s="33">
        <v>1.8151894713101129</v>
      </c>
      <c r="E27" s="33">
        <v>1.8107087882610653</v>
      </c>
      <c r="F27" s="33">
        <v>1.5758086493598751</v>
      </c>
      <c r="G27" s="33">
        <v>1.7237308901648676</v>
      </c>
      <c r="H27" s="33">
        <v>1.6917504956529847</v>
      </c>
      <c r="I27" s="33">
        <v>1.6937726691580046</v>
      </c>
      <c r="J27" s="67">
        <v>1.6610588302413729</v>
      </c>
      <c r="K27" s="67">
        <v>1.8116635384805508</v>
      </c>
      <c r="L27" s="67">
        <v>1.8642365429872088</v>
      </c>
      <c r="M27" s="67">
        <v>1.8823496280726115</v>
      </c>
      <c r="N27" s="67">
        <v>1.7458144141992487</v>
      </c>
      <c r="O27" s="67">
        <v>1.8434407982404681</v>
      </c>
      <c r="P27" s="67">
        <v>1.832460523678678</v>
      </c>
      <c r="Q27" s="67">
        <v>1.9797919001919486</v>
      </c>
      <c r="R27" s="67">
        <v>1.764214705536403</v>
      </c>
      <c r="S27" s="67">
        <v>1.910206687117445</v>
      </c>
      <c r="T27" s="67">
        <v>2.030078621491064</v>
      </c>
      <c r="U27" s="67">
        <v>1.9674309619224402</v>
      </c>
      <c r="V27" s="67">
        <v>1.8579661888056325</v>
      </c>
      <c r="W27" s="67">
        <v>1.9785154584113407</v>
      </c>
      <c r="X27" s="67">
        <v>2.0059420088828768</v>
      </c>
      <c r="Y27" s="67">
        <v>1.9297396220405656</v>
      </c>
      <c r="Z27" s="67">
        <v>1.8988093368324133</v>
      </c>
      <c r="AA27" s="67">
        <v>2.0646627601844942</v>
      </c>
      <c r="AB27" s="67">
        <v>2.2718852760163397</v>
      </c>
      <c r="AC27" s="67">
        <v>2.0692715243047632</v>
      </c>
      <c r="AD27" s="67">
        <v>1.8358403900743638</v>
      </c>
      <c r="AE27" s="67">
        <v>2.0260188285775111</v>
      </c>
      <c r="AF27" s="67">
        <v>2.1979213079530573</v>
      </c>
      <c r="AG27" s="67">
        <v>2.0412423804146473</v>
      </c>
      <c r="AH27" s="67">
        <v>1.7096911079029351</v>
      </c>
      <c r="AI27" s="67">
        <v>1.8293903755262297</v>
      </c>
      <c r="AJ27" s="67">
        <v>1.9966175712229337</v>
      </c>
      <c r="AK27" s="67">
        <v>2.0008309959222483</v>
      </c>
      <c r="AL27" s="67">
        <v>1.7068756444834405</v>
      </c>
      <c r="AM27" s="67">
        <v>2.1824495571267089</v>
      </c>
    </row>
    <row r="28" spans="1:39" s="19" customFormat="1" ht="17.100000000000001" customHeight="1" x14ac:dyDescent="0.2">
      <c r="A28" s="38" t="s">
        <v>23</v>
      </c>
      <c r="B28" s="33">
        <v>2.186351930178561</v>
      </c>
      <c r="C28" s="33">
        <v>2.4746559642312054</v>
      </c>
      <c r="D28" s="33">
        <v>2.5221927069483754</v>
      </c>
      <c r="E28" s="33">
        <v>2.6916861580760072</v>
      </c>
      <c r="F28" s="33">
        <v>2.4436242204865084</v>
      </c>
      <c r="G28" s="33">
        <v>2.7738608975798966</v>
      </c>
      <c r="H28" s="33">
        <v>2.5796095578748548</v>
      </c>
      <c r="I28" s="33">
        <v>2.3488276981804979</v>
      </c>
      <c r="J28" s="67">
        <v>2.3462653166710101</v>
      </c>
      <c r="K28" s="67">
        <v>2.4556065856872773</v>
      </c>
      <c r="L28" s="67">
        <v>2.535033216851863</v>
      </c>
      <c r="M28" s="67">
        <v>2.5217115424667038</v>
      </c>
      <c r="N28" s="67">
        <v>2.4650483797270439</v>
      </c>
      <c r="O28" s="67">
        <v>2.6946588042013762</v>
      </c>
      <c r="P28" s="67">
        <v>2.8889643323426593</v>
      </c>
      <c r="Q28" s="67">
        <v>3.0803155667095878</v>
      </c>
      <c r="R28" s="67">
        <v>2.7743777800348401</v>
      </c>
      <c r="S28" s="67">
        <v>3.0421429872240613</v>
      </c>
      <c r="T28" s="67">
        <v>3.4430321923442482</v>
      </c>
      <c r="U28" s="67">
        <v>2.7915820531383302</v>
      </c>
      <c r="V28" s="67">
        <v>2.8175330090991086</v>
      </c>
      <c r="W28" s="67">
        <v>3.0070462952100607</v>
      </c>
      <c r="X28" s="67">
        <v>3.0795760996799841</v>
      </c>
      <c r="Y28" s="67">
        <v>2.8513620710023937</v>
      </c>
      <c r="Z28" s="67">
        <v>2.8187213286347865</v>
      </c>
      <c r="AA28" s="67">
        <v>3.1310525237238207</v>
      </c>
      <c r="AB28" s="67">
        <v>2.8407392687029738</v>
      </c>
      <c r="AC28" s="67">
        <v>2.7206363588631834</v>
      </c>
      <c r="AD28" s="67">
        <v>2.2163724109353318</v>
      </c>
      <c r="AE28" s="67">
        <v>3.0178422416534549</v>
      </c>
      <c r="AF28" s="67">
        <v>2.9018004793525778</v>
      </c>
      <c r="AG28" s="67">
        <v>3.2700788273873385</v>
      </c>
      <c r="AH28" s="67">
        <v>2.0713061871466296</v>
      </c>
      <c r="AI28" s="67">
        <v>2.9832834955575618</v>
      </c>
      <c r="AJ28" s="67">
        <v>2.8153203485615763</v>
      </c>
      <c r="AK28" s="67">
        <v>3.1005804088451128</v>
      </c>
      <c r="AL28" s="67">
        <v>1.9499740273198722</v>
      </c>
      <c r="AM28" s="67">
        <v>2.9867087268880614</v>
      </c>
    </row>
    <row r="29" spans="1:39" s="19" customFormat="1" ht="17.100000000000001" customHeight="1" x14ac:dyDescent="0.2">
      <c r="A29" s="38" t="s">
        <v>24</v>
      </c>
      <c r="B29" s="33">
        <v>4.2165140727245269</v>
      </c>
      <c r="C29" s="33">
        <v>4.4444417613141232</v>
      </c>
      <c r="D29" s="33">
        <v>4.4318556854467923</v>
      </c>
      <c r="E29" s="33">
        <v>4.5179057817546076</v>
      </c>
      <c r="F29" s="33">
        <v>4.0498838857004822</v>
      </c>
      <c r="G29" s="33">
        <v>4.600127552756569</v>
      </c>
      <c r="H29" s="33">
        <v>4.5865781563076231</v>
      </c>
      <c r="I29" s="33">
        <v>4.3588966962084257</v>
      </c>
      <c r="J29" s="67">
        <v>4.2026276905249631</v>
      </c>
      <c r="K29" s="67">
        <v>4.5742699999483714</v>
      </c>
      <c r="L29" s="67">
        <v>4.5348633215172409</v>
      </c>
      <c r="M29" s="67">
        <v>4.2855452488492878</v>
      </c>
      <c r="N29" s="67">
        <v>3.7065193922226833</v>
      </c>
      <c r="O29" s="67">
        <v>4.0080113666259845</v>
      </c>
      <c r="P29" s="67">
        <v>4.4472085562172108</v>
      </c>
      <c r="Q29" s="67">
        <v>4.4331721322698563</v>
      </c>
      <c r="R29" s="67">
        <v>3.2161046649445009</v>
      </c>
      <c r="S29" s="67">
        <v>3.4937942052941824</v>
      </c>
      <c r="T29" s="67">
        <v>4.1551348155827101</v>
      </c>
      <c r="U29" s="67">
        <v>4.1871749549920061</v>
      </c>
      <c r="V29" s="67">
        <v>3.4595089299279174</v>
      </c>
      <c r="W29" s="67">
        <v>3.3011042497478034</v>
      </c>
      <c r="X29" s="67">
        <v>3.9719566923784262</v>
      </c>
      <c r="Y29" s="67">
        <v>3.6464309291601724</v>
      </c>
      <c r="Z29" s="67">
        <v>3.6366267493528284</v>
      </c>
      <c r="AA29" s="67">
        <v>3.1833940380322083</v>
      </c>
      <c r="AB29" s="67">
        <v>3.8765316774604957</v>
      </c>
      <c r="AC29" s="67">
        <v>3.9322617386588146</v>
      </c>
      <c r="AD29" s="67">
        <v>3.966378962178243</v>
      </c>
      <c r="AE29" s="67">
        <v>2.9254621175169828</v>
      </c>
      <c r="AF29" s="67">
        <v>3.8363385804022232</v>
      </c>
      <c r="AG29" s="67">
        <v>3.7117428557882679</v>
      </c>
      <c r="AH29" s="67">
        <v>3.6846006620621186</v>
      </c>
      <c r="AI29" s="67">
        <v>3.0401999023404436</v>
      </c>
      <c r="AJ29" s="67">
        <v>3.6578120367086249</v>
      </c>
      <c r="AK29" s="67">
        <v>3.8626211769133252</v>
      </c>
      <c r="AL29" s="67">
        <v>4.2209325419527959</v>
      </c>
      <c r="AM29" s="67">
        <v>3.4266871199329176</v>
      </c>
    </row>
    <row r="30" spans="1:39" s="19" customFormat="1" ht="17.100000000000001" customHeight="1" x14ac:dyDescent="0.2">
      <c r="A30" s="38" t="s">
        <v>71</v>
      </c>
      <c r="B30" s="33">
        <v>2.8206576907897651</v>
      </c>
      <c r="C30" s="33">
        <v>3.0065399486392574</v>
      </c>
      <c r="D30" s="33">
        <v>3.1175557793674531</v>
      </c>
      <c r="E30" s="33">
        <v>3.2582256438574686</v>
      </c>
      <c r="F30" s="33">
        <v>3.0577526359261809</v>
      </c>
      <c r="G30" s="33">
        <v>3.5195108840339739</v>
      </c>
      <c r="H30" s="33">
        <v>3.4674734583931257</v>
      </c>
      <c r="I30" s="33">
        <v>3.2159339978870589</v>
      </c>
      <c r="J30" s="67">
        <v>3.2583405615527679</v>
      </c>
      <c r="K30" s="67">
        <v>3.3333572132274449</v>
      </c>
      <c r="L30" s="67">
        <v>3.3074429592101615</v>
      </c>
      <c r="M30" s="67">
        <v>3.2026764741823177</v>
      </c>
      <c r="N30" s="67">
        <v>3.0193383356699002</v>
      </c>
      <c r="O30" s="67">
        <v>3.204977825895087</v>
      </c>
      <c r="P30" s="67">
        <v>3.3792316897337984</v>
      </c>
      <c r="Q30" s="67">
        <v>3.3034534139340774</v>
      </c>
      <c r="R30" s="67">
        <v>3.3285009828173591</v>
      </c>
      <c r="S30" s="67">
        <v>3.4953178945067469</v>
      </c>
      <c r="T30" s="67">
        <v>3.4868307522564161</v>
      </c>
      <c r="U30" s="67">
        <v>3.3924337039465366</v>
      </c>
      <c r="V30" s="67">
        <v>3.1947511896937919</v>
      </c>
      <c r="W30" s="67">
        <v>4.0069244976468354</v>
      </c>
      <c r="X30" s="67">
        <v>3.7316167249791539</v>
      </c>
      <c r="Y30" s="67">
        <v>3.329271674465347</v>
      </c>
      <c r="Z30" s="67">
        <v>3.0950629961842622</v>
      </c>
      <c r="AA30" s="67">
        <v>3.7319413865168842</v>
      </c>
      <c r="AB30" s="67">
        <v>3.6712693240076448</v>
      </c>
      <c r="AC30" s="67">
        <v>3.0641797143969254</v>
      </c>
      <c r="AD30" s="67">
        <v>2.6340582099420167</v>
      </c>
      <c r="AE30" s="67">
        <v>3.3542627462128873</v>
      </c>
      <c r="AF30" s="67">
        <v>3.3227033240873269</v>
      </c>
      <c r="AG30" s="67">
        <v>3.4335842621005606</v>
      </c>
      <c r="AH30" s="67">
        <v>2.6987692875027234</v>
      </c>
      <c r="AI30" s="67">
        <v>3.2413499307409763</v>
      </c>
      <c r="AJ30" s="67">
        <v>3.153101244918048</v>
      </c>
      <c r="AK30" s="67">
        <v>2.8338640134943205</v>
      </c>
      <c r="AL30" s="67">
        <v>2.6794340787714095</v>
      </c>
      <c r="AM30" s="67">
        <v>3.1316053067578933</v>
      </c>
    </row>
    <row r="31" spans="1:39" s="19" customFormat="1" ht="17.100000000000001" customHeight="1" x14ac:dyDescent="0.2">
      <c r="A31" s="38" t="s">
        <v>72</v>
      </c>
      <c r="B31" s="33">
        <v>9.0809785056489928E-2</v>
      </c>
      <c r="C31" s="33">
        <v>9.8355630574961342E-2</v>
      </c>
      <c r="D31" s="33">
        <v>0.12632439712747631</v>
      </c>
      <c r="E31" s="33">
        <v>0.16750512233330386</v>
      </c>
      <c r="F31" s="33">
        <v>0.13349808633195126</v>
      </c>
      <c r="G31" s="33">
        <v>0.18874619984396915</v>
      </c>
      <c r="H31" s="33">
        <v>0.20476367537397358</v>
      </c>
      <c r="I31" s="33">
        <v>0.18492050888551811</v>
      </c>
      <c r="J31" s="67">
        <v>0.19193116122808263</v>
      </c>
      <c r="K31" s="67">
        <v>0.18615813288693311</v>
      </c>
      <c r="L31" s="67">
        <v>0.202674838534323</v>
      </c>
      <c r="M31" s="67">
        <v>0.17454330008986702</v>
      </c>
      <c r="N31" s="67">
        <v>0.18806645462580357</v>
      </c>
      <c r="O31" s="67">
        <v>0.18528039058950208</v>
      </c>
      <c r="P31" s="67">
        <v>0.19797508669363709</v>
      </c>
      <c r="Q31" s="67">
        <v>0.14520547479557605</v>
      </c>
      <c r="R31" s="67">
        <v>0.14051603094358869</v>
      </c>
      <c r="S31" s="67">
        <v>0.15010739783753183</v>
      </c>
      <c r="T31" s="67">
        <v>0.16036169142217102</v>
      </c>
      <c r="U31" s="67">
        <v>0.16691550643938446</v>
      </c>
      <c r="V31" s="67">
        <v>0.17870428198516281</v>
      </c>
      <c r="W31" s="67">
        <v>0.13846975049136653</v>
      </c>
      <c r="X31" s="67">
        <v>0.12898040457745261</v>
      </c>
      <c r="Y31" s="67">
        <v>0.12785060329315162</v>
      </c>
      <c r="Z31" s="67">
        <v>0.10960076695321198</v>
      </c>
      <c r="AA31" s="67">
        <v>0.13278146184537773</v>
      </c>
      <c r="AB31" s="67">
        <v>0.17380799980334133</v>
      </c>
      <c r="AC31" s="67">
        <v>0.16149595052155602</v>
      </c>
      <c r="AD31" s="67">
        <v>0.16858299990592365</v>
      </c>
      <c r="AE31" s="67">
        <v>0.11696062358752657</v>
      </c>
      <c r="AF31" s="67">
        <v>0.18781069158699937</v>
      </c>
      <c r="AG31" s="67">
        <v>0.14373735825696604</v>
      </c>
      <c r="AH31" s="67">
        <v>0.17885483896494203</v>
      </c>
      <c r="AI31" s="67">
        <v>0.1298119069768314</v>
      </c>
      <c r="AJ31" s="67">
        <v>0.18804165215589652</v>
      </c>
      <c r="AK31" s="67">
        <v>0.12311362288203592</v>
      </c>
      <c r="AL31" s="67">
        <v>0.16844673965466772</v>
      </c>
      <c r="AM31" s="67">
        <v>0.11506639156200975</v>
      </c>
    </row>
    <row r="32" spans="1:39" s="19" customFormat="1" ht="17.100000000000001" customHeight="1" x14ac:dyDescent="0.2">
      <c r="A32" s="38" t="s">
        <v>27</v>
      </c>
      <c r="B32" s="33">
        <v>2.6665805966268068</v>
      </c>
      <c r="C32" s="33">
        <v>2.8284880747995471</v>
      </c>
      <c r="D32" s="33">
        <v>2.8686947584922367</v>
      </c>
      <c r="E32" s="33">
        <v>2.6403570068132658</v>
      </c>
      <c r="F32" s="33">
        <v>2.3727211077888084</v>
      </c>
      <c r="G32" s="33">
        <v>2.6427527629886018</v>
      </c>
      <c r="H32" s="33">
        <v>2.4743442373258286</v>
      </c>
      <c r="I32" s="33">
        <v>2.3519431037237566</v>
      </c>
      <c r="J32" s="67">
        <v>2.2245860199056056</v>
      </c>
      <c r="K32" s="67">
        <v>2.3850145821179987</v>
      </c>
      <c r="L32" s="67">
        <v>2.3972007893881981</v>
      </c>
      <c r="M32" s="67">
        <v>2.4432977883744051</v>
      </c>
      <c r="N32" s="67">
        <v>2.254502955991585</v>
      </c>
      <c r="O32" s="67">
        <v>2.3926679735065766</v>
      </c>
      <c r="P32" s="67">
        <v>2.5711734047326473</v>
      </c>
      <c r="Q32" s="67">
        <v>2.7256412911260517</v>
      </c>
      <c r="R32" s="67">
        <v>2.327597903675978</v>
      </c>
      <c r="S32" s="67">
        <v>2.4831543183963651</v>
      </c>
      <c r="T32" s="67">
        <v>2.6409106268485081</v>
      </c>
      <c r="U32" s="67">
        <v>2.485912865317037</v>
      </c>
      <c r="V32" s="67">
        <v>2.2086272767718409</v>
      </c>
      <c r="W32" s="67">
        <v>2.1901514626946978</v>
      </c>
      <c r="X32" s="67">
        <v>2.3444924912158269</v>
      </c>
      <c r="Y32" s="67">
        <v>2.1747024285428385</v>
      </c>
      <c r="Z32" s="67">
        <v>1.8811768592728595</v>
      </c>
      <c r="AA32" s="67">
        <v>2.0472509601078976</v>
      </c>
      <c r="AB32" s="67">
        <v>2.127362403202175</v>
      </c>
      <c r="AC32" s="67">
        <v>1.8860725872374731</v>
      </c>
      <c r="AD32" s="67">
        <v>1.885122257877762</v>
      </c>
      <c r="AE32" s="67">
        <v>2.3450780972249907</v>
      </c>
      <c r="AF32" s="67">
        <v>2.1786339807993307</v>
      </c>
      <c r="AG32" s="67">
        <v>1.810162591944416</v>
      </c>
      <c r="AH32" s="67">
        <v>1.9646099913808379</v>
      </c>
      <c r="AI32" s="67">
        <v>2.1322134750260537</v>
      </c>
      <c r="AJ32" s="67">
        <v>2.0983177918354565</v>
      </c>
      <c r="AK32" s="67">
        <v>2.01943254394862</v>
      </c>
      <c r="AL32" s="67">
        <v>1.990716840954641</v>
      </c>
      <c r="AM32" s="67">
        <v>1.8349061848472763</v>
      </c>
    </row>
    <row r="33" spans="1:39" s="19" customFormat="1" ht="17.100000000000001" customHeight="1" x14ac:dyDescent="0.2">
      <c r="A33" s="38" t="s">
        <v>69</v>
      </c>
      <c r="B33" s="33">
        <v>0.77073508815492764</v>
      </c>
      <c r="C33" s="33">
        <v>0.82900025418330692</v>
      </c>
      <c r="D33" s="33">
        <v>0.84480791381714715</v>
      </c>
      <c r="E33" s="33">
        <v>0.84246876708187968</v>
      </c>
      <c r="F33" s="33">
        <v>0.74047828766343982</v>
      </c>
      <c r="G33" s="33">
        <v>0.83307034133343827</v>
      </c>
      <c r="H33" s="33">
        <v>0.81282217779830546</v>
      </c>
      <c r="I33" s="33">
        <v>0.78115547255149698</v>
      </c>
      <c r="J33" s="67">
        <v>0.72222065481764652</v>
      </c>
      <c r="K33" s="67">
        <v>0.77503966839530614</v>
      </c>
      <c r="L33" s="67">
        <v>0.77992253452750915</v>
      </c>
      <c r="M33" s="67">
        <v>0.76171676791423681</v>
      </c>
      <c r="N33" s="67">
        <v>0.67923197771119037</v>
      </c>
      <c r="O33" s="67">
        <v>0.71768365284251479</v>
      </c>
      <c r="P33" s="67">
        <v>0.78443527793097878</v>
      </c>
      <c r="Q33" s="67">
        <v>0.85153788451709533</v>
      </c>
      <c r="R33" s="67">
        <v>0.69940704313710933</v>
      </c>
      <c r="S33" s="67">
        <v>0.74566370367466273</v>
      </c>
      <c r="T33" s="67">
        <v>0.78972863390801307</v>
      </c>
      <c r="U33" s="67">
        <v>0.75575436689497588</v>
      </c>
      <c r="V33" s="67">
        <v>0.69322387379797978</v>
      </c>
      <c r="W33" s="67">
        <v>0.7273718411502228</v>
      </c>
      <c r="X33" s="67">
        <v>0.75107880767751545</v>
      </c>
      <c r="Y33" s="67">
        <v>0.72523924304124543</v>
      </c>
      <c r="Z33" s="67">
        <v>0.6616807303988268</v>
      </c>
      <c r="AA33" s="67">
        <v>0.74313798206362836</v>
      </c>
      <c r="AB33" s="67">
        <v>0.78975824574533016</v>
      </c>
      <c r="AC33" s="67">
        <v>0.69816952204810312</v>
      </c>
      <c r="AD33" s="67">
        <v>0.62946583458836303</v>
      </c>
      <c r="AE33" s="67">
        <v>0.69935968922978997</v>
      </c>
      <c r="AF33" s="67">
        <v>0.73846520060848442</v>
      </c>
      <c r="AG33" s="67">
        <v>0.68264658134585454</v>
      </c>
      <c r="AH33" s="67">
        <v>0.6045490442113185</v>
      </c>
      <c r="AI33" s="67">
        <v>0.66683929363607042</v>
      </c>
      <c r="AJ33" s="67">
        <v>0.68392831317372149</v>
      </c>
      <c r="AK33" s="67">
        <v>0.65425013173097735</v>
      </c>
      <c r="AL33" s="67">
        <v>0.6102480342419877</v>
      </c>
      <c r="AM33" s="67">
        <v>0.62441836728952993</v>
      </c>
    </row>
    <row r="34" spans="1:39" s="19" customFormat="1" ht="17.100000000000001" customHeight="1" x14ac:dyDescent="0.2">
      <c r="A34" s="39"/>
      <c r="B34" s="33"/>
      <c r="C34" s="33"/>
      <c r="D34" s="33"/>
      <c r="E34" s="33"/>
      <c r="F34" s="33"/>
      <c r="G34" s="33"/>
      <c r="H34" s="33"/>
      <c r="I34" s="33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</row>
    <row r="35" spans="1:39" s="51" customFormat="1" ht="17.100000000000001" customHeight="1" x14ac:dyDescent="0.2">
      <c r="A35" s="52" t="s">
        <v>84</v>
      </c>
      <c r="B35" s="57"/>
      <c r="C35" s="57"/>
      <c r="D35" s="57"/>
      <c r="E35" s="57"/>
      <c r="F35" s="57"/>
      <c r="G35" s="57"/>
      <c r="H35" s="57"/>
      <c r="I35" s="57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39" s="27" customFormat="1" ht="17.100000000000001" customHeight="1" thickBot="1" x14ac:dyDescent="0.25">
      <c r="A36" s="25" t="s">
        <v>30</v>
      </c>
      <c r="B36" s="34">
        <v>6.3657375049210456</v>
      </c>
      <c r="C36" s="34">
        <v>6.8918180816484726</v>
      </c>
      <c r="D36" s="34">
        <v>7.4893037811005332</v>
      </c>
      <c r="E36" s="34">
        <v>7.3953252082483631</v>
      </c>
      <c r="F36" s="34">
        <v>6.2554779253542705</v>
      </c>
      <c r="G36" s="34">
        <v>7.5050256485199753</v>
      </c>
      <c r="H36" s="34">
        <v>7.6316060940646757</v>
      </c>
      <c r="I36" s="34">
        <v>7.3705565660867682</v>
      </c>
      <c r="J36" s="68">
        <v>6.8814996189684523</v>
      </c>
      <c r="K36" s="68">
        <v>7.9168697322064814</v>
      </c>
      <c r="L36" s="68">
        <v>7.7280135250628472</v>
      </c>
      <c r="M36" s="68">
        <v>7.2585478482803598</v>
      </c>
      <c r="N36" s="68">
        <v>6.5465574474025239</v>
      </c>
      <c r="O36" s="68">
        <v>7.322826750764734</v>
      </c>
      <c r="P36" s="68">
        <v>7.7738349908838931</v>
      </c>
      <c r="Q36" s="68">
        <v>5.2105500017322752</v>
      </c>
      <c r="R36" s="68">
        <v>6.4472834372276289</v>
      </c>
      <c r="S36" s="68">
        <v>7.3739400909540214</v>
      </c>
      <c r="T36" s="68">
        <v>7.4845586926136258</v>
      </c>
      <c r="U36" s="68">
        <v>7.3952576373690837</v>
      </c>
      <c r="V36" s="68">
        <v>6.5401111182978715</v>
      </c>
      <c r="W36" s="68">
        <v>8.0317728953767364</v>
      </c>
      <c r="X36" s="68">
        <v>8.2251658886440637</v>
      </c>
      <c r="Y36" s="68">
        <v>7.5296430684911932</v>
      </c>
      <c r="Z36" s="68">
        <v>6.6748946894553116</v>
      </c>
      <c r="AA36" s="68">
        <v>7.2029960034945955</v>
      </c>
      <c r="AB36" s="68">
        <v>8.4932025743980333</v>
      </c>
      <c r="AC36" s="68">
        <v>8.2837398567719642</v>
      </c>
      <c r="AD36" s="68">
        <v>6.7060113091284972</v>
      </c>
      <c r="AE36" s="68">
        <v>7.3892919017770318</v>
      </c>
      <c r="AF36" s="68">
        <v>7.915973277606013</v>
      </c>
      <c r="AG36" s="68">
        <v>7.5543840424179418</v>
      </c>
      <c r="AH36" s="68">
        <v>6.8421827451971104</v>
      </c>
      <c r="AI36" s="68">
        <v>7.5295307601166179</v>
      </c>
      <c r="AJ36" s="68">
        <v>7.5604825677669671</v>
      </c>
      <c r="AK36" s="68">
        <v>8.1072006604139855</v>
      </c>
      <c r="AL36" s="68">
        <v>6.6485300168258625</v>
      </c>
      <c r="AM36" s="68">
        <v>7.3051676031918715</v>
      </c>
    </row>
    <row r="37" spans="1:39" x14ac:dyDescent="0.2">
      <c r="A37" s="14" t="s">
        <v>63</v>
      </c>
    </row>
  </sheetData>
  <mergeCells count="10">
    <mergeCell ref="R3:U3"/>
    <mergeCell ref="B3:E3"/>
    <mergeCell ref="F3:I3"/>
    <mergeCell ref="J3:M3"/>
    <mergeCell ref="N3:P3"/>
    <mergeCell ref="AL3:AM3"/>
    <mergeCell ref="AH3:AK3"/>
    <mergeCell ref="AD3:AG3"/>
    <mergeCell ref="Z3:AC3"/>
    <mergeCell ref="V3:Y3"/>
  </mergeCells>
  <phoneticPr fontId="17" type="noConversion"/>
  <pageMargins left="0" right="0" top="0.47244094488188981" bottom="0" header="0.31496062992125984" footer="0.31496062992125984"/>
  <pageSetup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M37"/>
  <sheetViews>
    <sheetView view="pageBreakPreview" zoomScaleNormal="100" zoomScaleSheetLayoutView="100" workbookViewId="0">
      <selection sqref="A1:XFD1048576"/>
    </sheetView>
  </sheetViews>
  <sheetFormatPr defaultColWidth="9.140625" defaultRowHeight="12" x14ac:dyDescent="0.2"/>
  <cols>
    <col min="1" max="1" width="27.5703125" style="29" bestFit="1" customWidth="1"/>
    <col min="2" max="4" width="7.42578125" style="29" customWidth="1"/>
    <col min="5" max="9" width="6.85546875" style="29" customWidth="1"/>
    <col min="10" max="27" width="8.5703125" style="17" customWidth="1"/>
    <col min="28" max="29" width="9.140625" style="29"/>
    <col min="30" max="30" width="7.5703125" style="29" bestFit="1" customWidth="1"/>
    <col min="31" max="16384" width="9.140625" style="29"/>
  </cols>
  <sheetData>
    <row r="1" spans="1:39" ht="26.25" customHeight="1" x14ac:dyDescent="0.2">
      <c r="A1" s="18" t="s">
        <v>125</v>
      </c>
      <c r="B1" s="18"/>
    </row>
    <row r="2" spans="1:39" ht="1.5" customHeight="1" thickBot="1" x14ac:dyDescent="0.25"/>
    <row r="3" spans="1:39" s="47" customFormat="1" ht="15" customHeight="1" x14ac:dyDescent="0.2">
      <c r="B3" s="149" t="s">
        <v>75</v>
      </c>
      <c r="C3" s="149"/>
      <c r="D3" s="149"/>
      <c r="E3" s="149"/>
      <c r="F3" s="149" t="s">
        <v>79</v>
      </c>
      <c r="G3" s="149"/>
      <c r="H3" s="149"/>
      <c r="I3" s="149"/>
      <c r="J3" s="150" t="s">
        <v>85</v>
      </c>
      <c r="K3" s="150"/>
      <c r="L3" s="150"/>
      <c r="M3" s="150"/>
      <c r="N3" s="150" t="s">
        <v>86</v>
      </c>
      <c r="O3" s="150"/>
      <c r="P3" s="150"/>
      <c r="Q3" s="60"/>
      <c r="R3" s="150" t="s">
        <v>89</v>
      </c>
      <c r="S3" s="150"/>
      <c r="T3" s="150"/>
      <c r="U3" s="150"/>
      <c r="V3" s="150" t="s">
        <v>90</v>
      </c>
      <c r="W3" s="150"/>
      <c r="X3" s="150"/>
      <c r="Y3" s="150"/>
      <c r="Z3" s="150" t="s">
        <v>91</v>
      </c>
      <c r="AA3" s="150"/>
      <c r="AB3" s="150"/>
      <c r="AC3" s="150"/>
      <c r="AD3" s="149" t="s">
        <v>92</v>
      </c>
      <c r="AE3" s="149"/>
      <c r="AF3" s="149"/>
      <c r="AG3" s="149"/>
      <c r="AH3" s="149" t="s">
        <v>118</v>
      </c>
      <c r="AI3" s="149"/>
      <c r="AJ3" s="149"/>
      <c r="AK3" s="149"/>
      <c r="AL3" s="149" t="s">
        <v>120</v>
      </c>
      <c r="AM3" s="149"/>
    </row>
    <row r="4" spans="1:39" s="51" customFormat="1" ht="12" customHeigh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</row>
    <row r="5" spans="1:39" s="20" customFormat="1" ht="17.100000000000001" customHeight="1" x14ac:dyDescent="0.2">
      <c r="A5" s="21" t="s">
        <v>80</v>
      </c>
      <c r="B5" s="41">
        <v>25568.457116890557</v>
      </c>
      <c r="C5" s="41">
        <v>26833.37088564791</v>
      </c>
      <c r="D5" s="41">
        <v>28094.478207549168</v>
      </c>
      <c r="E5" s="41">
        <v>28192.260195551022</v>
      </c>
      <c r="F5" s="41">
        <v>28917.603761907576</v>
      </c>
      <c r="G5" s="41">
        <v>28731.175802418649</v>
      </c>
      <c r="H5" s="41">
        <v>31054.540786198282</v>
      </c>
      <c r="I5" s="41">
        <v>31939.559321383735</v>
      </c>
      <c r="J5" s="73">
        <v>31722.578030705696</v>
      </c>
      <c r="K5" s="73">
        <v>32499.765037547579</v>
      </c>
      <c r="L5" s="73">
        <v>34037.969753926576</v>
      </c>
      <c r="M5" s="73">
        <v>34255.648802363394</v>
      </c>
      <c r="N5" s="73">
        <v>35260.125279214742</v>
      </c>
      <c r="O5" s="73">
        <v>36784.860382880986</v>
      </c>
      <c r="P5" s="73">
        <v>35563.781292791631</v>
      </c>
      <c r="Q5" s="73">
        <v>32244.129091283557</v>
      </c>
      <c r="R5" s="73">
        <v>35914.777289719103</v>
      </c>
      <c r="S5" s="73">
        <v>37315.115441897964</v>
      </c>
      <c r="T5" s="73">
        <v>37068.039672361061</v>
      </c>
      <c r="U5" s="73">
        <v>37834.590826294756</v>
      </c>
      <c r="V5" s="73">
        <v>37992.965674228959</v>
      </c>
      <c r="W5" s="73">
        <v>40265.110580809756</v>
      </c>
      <c r="X5" s="73">
        <v>41514.135581865485</v>
      </c>
      <c r="Y5" s="73">
        <v>42861.307627241797</v>
      </c>
      <c r="Z5" s="73">
        <v>44515.554945696553</v>
      </c>
      <c r="AA5" s="73">
        <v>44970.554850751854</v>
      </c>
      <c r="AB5" s="73">
        <v>44550.354921191967</v>
      </c>
      <c r="AC5" s="73">
        <v>48470.534954687217</v>
      </c>
      <c r="AD5" s="73">
        <v>49863.047034666764</v>
      </c>
      <c r="AE5" s="73">
        <v>50336.208762246388</v>
      </c>
      <c r="AF5" s="73">
        <v>50318.890737210437</v>
      </c>
      <c r="AG5" s="73">
        <v>52660.400040026725</v>
      </c>
      <c r="AH5" s="73">
        <v>55237.02690111519</v>
      </c>
      <c r="AI5" s="73">
        <v>55889.908545078033</v>
      </c>
      <c r="AJ5" s="73">
        <v>57525.44661162253</v>
      </c>
      <c r="AK5" s="73">
        <v>58763.156217912387</v>
      </c>
      <c r="AL5" s="73">
        <v>59066.339768361475</v>
      </c>
      <c r="AM5" s="73">
        <v>62875.300951185251</v>
      </c>
    </row>
    <row r="6" spans="1:39" s="54" customFormat="1" ht="17.100000000000001" customHeight="1" x14ac:dyDescent="0.2">
      <c r="A6" s="52" t="s">
        <v>81</v>
      </c>
      <c r="B6" s="53">
        <v>6033.0437949739626</v>
      </c>
      <c r="C6" s="53">
        <v>6504.8091484649403</v>
      </c>
      <c r="D6" s="53">
        <v>6700.0618586726559</v>
      </c>
      <c r="E6" s="53">
        <v>6346.7491730112615</v>
      </c>
      <c r="F6" s="53">
        <v>6715.7775452240639</v>
      </c>
      <c r="G6" s="53">
        <v>6267.7863012918142</v>
      </c>
      <c r="H6" s="53">
        <v>7630.6221794827507</v>
      </c>
      <c r="I6" s="53">
        <v>7563.8056037944962</v>
      </c>
      <c r="J6" s="74">
        <v>6887.860944644347</v>
      </c>
      <c r="K6" s="74">
        <v>7357.7807991583577</v>
      </c>
      <c r="L6" s="74">
        <v>8355.5723133194897</v>
      </c>
      <c r="M6" s="74">
        <v>8148.4644242480017</v>
      </c>
      <c r="N6" s="74">
        <v>7981.7937399022921</v>
      </c>
      <c r="O6" s="74">
        <v>8797.3409406261544</v>
      </c>
      <c r="P6" s="74">
        <v>8498.4764125058318</v>
      </c>
      <c r="Q6" s="74">
        <v>8323.4201858133765</v>
      </c>
      <c r="R6" s="74">
        <v>8592.3623852021483</v>
      </c>
      <c r="S6" s="74">
        <v>9249.6817508793793</v>
      </c>
      <c r="T6" s="74">
        <v>8293.4899781583881</v>
      </c>
      <c r="U6" s="74">
        <v>9056.5722261871979</v>
      </c>
      <c r="V6" s="74">
        <v>9518.6636541857697</v>
      </c>
      <c r="W6" s="74">
        <v>9640.5158635264561</v>
      </c>
      <c r="X6" s="74">
        <v>9454.9491913362781</v>
      </c>
      <c r="Y6" s="74">
        <v>10381.714691192828</v>
      </c>
      <c r="Z6" s="74">
        <v>10522.490796861955</v>
      </c>
      <c r="AA6" s="74">
        <v>11297.063356812112</v>
      </c>
      <c r="AB6" s="74">
        <v>10463.541990188434</v>
      </c>
      <c r="AC6" s="74">
        <v>11380.069005506812</v>
      </c>
      <c r="AD6" s="74">
        <v>11713.250516170789</v>
      </c>
      <c r="AE6" s="74">
        <v>12161.211169369361</v>
      </c>
      <c r="AF6" s="74">
        <v>12112.241336424368</v>
      </c>
      <c r="AG6" s="74">
        <v>13819.782603177673</v>
      </c>
      <c r="AH6" s="74">
        <v>13868.621436486181</v>
      </c>
      <c r="AI6" s="74">
        <v>14629.5531383979</v>
      </c>
      <c r="AJ6" s="74">
        <v>14980.317981175325</v>
      </c>
      <c r="AK6" s="74">
        <v>15619.691601807895</v>
      </c>
      <c r="AL6" s="74">
        <v>14756.175250375427</v>
      </c>
      <c r="AM6" s="74">
        <v>16522.080365003018</v>
      </c>
    </row>
    <row r="7" spans="1:39" s="19" customFormat="1" ht="17.100000000000001" customHeight="1" x14ac:dyDescent="0.2">
      <c r="A7" s="37" t="s">
        <v>2</v>
      </c>
      <c r="B7" s="16">
        <v>488.41329417140003</v>
      </c>
      <c r="C7" s="16">
        <v>704.15213540261504</v>
      </c>
      <c r="D7" s="16">
        <v>666.93094150158197</v>
      </c>
      <c r="E7" s="16">
        <v>708.43909095230401</v>
      </c>
      <c r="F7" s="16">
        <v>729.00583462493103</v>
      </c>
      <c r="G7" s="16">
        <v>668.11119693365799</v>
      </c>
      <c r="H7" s="16">
        <v>651.448321539468</v>
      </c>
      <c r="I7" s="16">
        <v>650.99571990303696</v>
      </c>
      <c r="J7" s="64">
        <v>690.71038481390303</v>
      </c>
      <c r="K7" s="64">
        <v>657.42504104836701</v>
      </c>
      <c r="L7" s="64">
        <v>624.78729620216495</v>
      </c>
      <c r="M7" s="64">
        <v>628.67247482565301</v>
      </c>
      <c r="N7" s="64">
        <v>637.50279912958501</v>
      </c>
      <c r="O7" s="64">
        <v>700.39950012267695</v>
      </c>
      <c r="P7" s="64">
        <v>763.43723305627395</v>
      </c>
      <c r="Q7" s="64">
        <v>610.45366630979004</v>
      </c>
      <c r="R7" s="64">
        <v>664.31208551423197</v>
      </c>
      <c r="S7" s="64">
        <v>706.23904347696896</v>
      </c>
      <c r="T7" s="64">
        <v>811.95222894054803</v>
      </c>
      <c r="U7" s="64">
        <v>890.25088197615196</v>
      </c>
      <c r="V7" s="64">
        <v>981.06224724557899</v>
      </c>
      <c r="W7" s="64">
        <v>1172.2722449533301</v>
      </c>
      <c r="X7" s="64">
        <v>1146.2431599230799</v>
      </c>
      <c r="Y7" s="64">
        <v>1156.2557571222301</v>
      </c>
      <c r="Z7" s="64">
        <v>1188.4777884525199</v>
      </c>
      <c r="AA7" s="64">
        <v>1103.03108362284</v>
      </c>
      <c r="AB7" s="64">
        <v>1121.04492547207</v>
      </c>
      <c r="AC7" s="64">
        <v>1260.4501654713499</v>
      </c>
      <c r="AD7" s="64">
        <v>1502.0616175095299</v>
      </c>
      <c r="AE7" s="64">
        <v>1666.6216867128901</v>
      </c>
      <c r="AF7" s="64">
        <v>1959.48996676468</v>
      </c>
      <c r="AG7" s="64">
        <v>2122.9587146290801</v>
      </c>
      <c r="AH7" s="64">
        <v>2222.3913719348602</v>
      </c>
      <c r="AI7" s="64">
        <v>2623.6235748743402</v>
      </c>
      <c r="AJ7" s="64">
        <v>2880.6300739633002</v>
      </c>
      <c r="AK7" s="64">
        <v>3801.9514832436398</v>
      </c>
      <c r="AL7" s="64">
        <v>2724.7441650487599</v>
      </c>
      <c r="AM7" s="64">
        <v>3063.4819380377999</v>
      </c>
    </row>
    <row r="8" spans="1:39" s="19" customFormat="1" ht="17.100000000000001" customHeight="1" x14ac:dyDescent="0.2">
      <c r="A8" s="37" t="s">
        <v>3</v>
      </c>
      <c r="B8" s="16">
        <v>3301.4534871739702</v>
      </c>
      <c r="C8" s="16">
        <v>3320.1080007471801</v>
      </c>
      <c r="D8" s="16">
        <v>3593.25989204194</v>
      </c>
      <c r="E8" s="16">
        <v>3289.31584259292</v>
      </c>
      <c r="F8" s="16">
        <v>3723.7451825356202</v>
      </c>
      <c r="G8" s="16">
        <v>3445.4200385511999</v>
      </c>
      <c r="H8" s="16">
        <v>4182.2707446839704</v>
      </c>
      <c r="I8" s="16">
        <v>3779.0884148138598</v>
      </c>
      <c r="J8" s="64">
        <v>3507.57072337298</v>
      </c>
      <c r="K8" s="64">
        <v>3604.4739860752902</v>
      </c>
      <c r="L8" s="64">
        <v>4437.3213331444003</v>
      </c>
      <c r="M8" s="64">
        <v>4091.3906941548698</v>
      </c>
      <c r="N8" s="64">
        <v>3852.96686932273</v>
      </c>
      <c r="O8" s="64">
        <v>4081.63300330631</v>
      </c>
      <c r="P8" s="64">
        <v>4196.3737121371896</v>
      </c>
      <c r="Q8" s="64">
        <v>4264.3002435850103</v>
      </c>
      <c r="R8" s="64">
        <v>4312.4066260383797</v>
      </c>
      <c r="S8" s="64">
        <v>4202.2320087635399</v>
      </c>
      <c r="T8" s="64">
        <v>3870.60909782207</v>
      </c>
      <c r="U8" s="64">
        <v>4444.7905930041297</v>
      </c>
      <c r="V8" s="64">
        <v>4571.6184954113496</v>
      </c>
      <c r="W8" s="64">
        <v>4449.7521066590298</v>
      </c>
      <c r="X8" s="64">
        <v>4311.1011792774298</v>
      </c>
      <c r="Y8" s="64">
        <v>5164.4074096100403</v>
      </c>
      <c r="Z8" s="64">
        <v>5429.0298951479299</v>
      </c>
      <c r="AA8" s="64">
        <v>5686.8368632313995</v>
      </c>
      <c r="AB8" s="64">
        <v>4623.43732581937</v>
      </c>
      <c r="AC8" s="64">
        <v>5586.4354886137198</v>
      </c>
      <c r="AD8" s="64">
        <v>5704.13223731169</v>
      </c>
      <c r="AE8" s="64">
        <v>5662.3081522743396</v>
      </c>
      <c r="AF8" s="64">
        <v>5145.4395239307396</v>
      </c>
      <c r="AG8" s="64">
        <v>6251.89142454988</v>
      </c>
      <c r="AH8" s="64">
        <v>6500.8897356924399</v>
      </c>
      <c r="AI8" s="64">
        <v>6442.80691746311</v>
      </c>
      <c r="AJ8" s="64">
        <v>5844.4766890708697</v>
      </c>
      <c r="AK8" s="64">
        <v>5794.7030096707604</v>
      </c>
      <c r="AL8" s="64">
        <v>5991.9787521855696</v>
      </c>
      <c r="AM8" s="64">
        <v>7107.4416660323404</v>
      </c>
    </row>
    <row r="9" spans="1:39" s="19" customFormat="1" ht="17.100000000000001" customHeight="1" x14ac:dyDescent="0.2">
      <c r="A9" s="37" t="s">
        <v>4</v>
      </c>
      <c r="B9" s="16">
        <v>786.71555574010495</v>
      </c>
      <c r="C9" s="16">
        <v>813.86004981008296</v>
      </c>
      <c r="D9" s="16">
        <v>840.81134900295899</v>
      </c>
      <c r="E9" s="16">
        <v>868.14164458623395</v>
      </c>
      <c r="F9" s="16">
        <v>932.11404512204194</v>
      </c>
      <c r="G9" s="16">
        <v>951.142950614862</v>
      </c>
      <c r="H9" s="16">
        <v>984.84370033714504</v>
      </c>
      <c r="I9" s="16">
        <v>1007.4806618082901</v>
      </c>
      <c r="J9" s="64">
        <v>1056.0684729782699</v>
      </c>
      <c r="K9" s="64">
        <v>1099.4257003089699</v>
      </c>
      <c r="L9" s="64">
        <v>1151.2885638237301</v>
      </c>
      <c r="M9" s="64">
        <v>1183.6070445600201</v>
      </c>
      <c r="N9" s="64">
        <v>1228.7401539068101</v>
      </c>
      <c r="O9" s="64">
        <v>1288.00750412868</v>
      </c>
      <c r="P9" s="64">
        <v>1353.6830256532</v>
      </c>
      <c r="Q9" s="64">
        <v>1396.71611008931</v>
      </c>
      <c r="R9" s="64">
        <v>1413.4798089067101</v>
      </c>
      <c r="S9" s="64">
        <v>1444.6794235074501</v>
      </c>
      <c r="T9" s="64">
        <v>1443.1298944503999</v>
      </c>
      <c r="U9" s="64">
        <v>1533.0231549063201</v>
      </c>
      <c r="V9" s="64">
        <v>1578.84303911955</v>
      </c>
      <c r="W9" s="64">
        <v>1623.3485990818999</v>
      </c>
      <c r="X9" s="64">
        <v>1604.09407002948</v>
      </c>
      <c r="Y9" s="64">
        <v>1648.1066751958101</v>
      </c>
      <c r="Z9" s="64">
        <v>1733.80605632027</v>
      </c>
      <c r="AA9" s="64">
        <v>1800.66491549184</v>
      </c>
      <c r="AB9" s="64">
        <v>1919.7280179424699</v>
      </c>
      <c r="AC9" s="64">
        <v>1974.2114820986801</v>
      </c>
      <c r="AD9" s="64">
        <v>2018.64721963029</v>
      </c>
      <c r="AE9" s="64">
        <v>2087.8692905340199</v>
      </c>
      <c r="AF9" s="64">
        <v>2165.2526892023002</v>
      </c>
      <c r="AG9" s="64">
        <v>2249.13144864783</v>
      </c>
      <c r="AH9" s="64">
        <v>2360.0223297685702</v>
      </c>
      <c r="AI9" s="64">
        <v>2457.99817881437</v>
      </c>
      <c r="AJ9" s="64">
        <v>2573.7226005114499</v>
      </c>
      <c r="AK9" s="64">
        <v>2680.1690232446199</v>
      </c>
      <c r="AL9" s="64">
        <v>2752.4019800839801</v>
      </c>
      <c r="AM9" s="64">
        <v>2843.5036913579602</v>
      </c>
    </row>
    <row r="10" spans="1:39" s="19" customFormat="1" ht="17.100000000000001" customHeight="1" x14ac:dyDescent="0.2">
      <c r="A10" s="37" t="s">
        <v>5</v>
      </c>
      <c r="B10" s="16">
        <v>4.1962783859636597</v>
      </c>
      <c r="C10" s="16">
        <v>4.1281101577080301</v>
      </c>
      <c r="D10" s="16">
        <v>4.0707935832599</v>
      </c>
      <c r="E10" s="16">
        <v>4.1101029104405198</v>
      </c>
      <c r="F10" s="16">
        <v>3.4459040958931899</v>
      </c>
      <c r="G10" s="16">
        <v>3.5466669435228</v>
      </c>
      <c r="H10" s="16">
        <v>3.6907357031892301</v>
      </c>
      <c r="I10" s="16">
        <v>3.8074582482350698</v>
      </c>
      <c r="J10" s="64">
        <v>4.2097355257692302</v>
      </c>
      <c r="K10" s="64">
        <v>4.4559265213873198</v>
      </c>
      <c r="L10" s="64">
        <v>4.47768942409055</v>
      </c>
      <c r="M10" s="64">
        <v>5.1617808380427501</v>
      </c>
      <c r="N10" s="64">
        <v>5.2683943520497296</v>
      </c>
      <c r="O10" s="64">
        <v>5.0645396668512301</v>
      </c>
      <c r="P10" s="64">
        <v>4.6453917498520996</v>
      </c>
      <c r="Q10" s="64">
        <v>4.5195406241759404</v>
      </c>
      <c r="R10" s="64">
        <v>4.6364976390423598</v>
      </c>
      <c r="S10" s="64">
        <v>4.94644155511671</v>
      </c>
      <c r="T10" s="64">
        <v>5.2758463648357301</v>
      </c>
      <c r="U10" s="64">
        <v>5.2904100802476899</v>
      </c>
      <c r="V10" s="64">
        <v>5.3106784543343899</v>
      </c>
      <c r="W10" s="64">
        <v>5.3556826299228097</v>
      </c>
      <c r="X10" s="64">
        <v>5.3368464752623801</v>
      </c>
      <c r="Y10" s="64">
        <v>5.35718389765879</v>
      </c>
      <c r="Z10" s="64">
        <v>5.3950032729323398</v>
      </c>
      <c r="AA10" s="64">
        <v>5.5126230515637502</v>
      </c>
      <c r="AB10" s="64">
        <v>5.6873249190649098</v>
      </c>
      <c r="AC10" s="64">
        <v>5.7116338817879004</v>
      </c>
      <c r="AD10" s="64">
        <v>5.7609974051369699</v>
      </c>
      <c r="AE10" s="64">
        <v>5.8262373378388901</v>
      </c>
      <c r="AF10" s="64">
        <v>5.9931843977381698</v>
      </c>
      <c r="AG10" s="64">
        <v>6.0853291507240002</v>
      </c>
      <c r="AH10" s="64">
        <v>6.2203804115136396</v>
      </c>
      <c r="AI10" s="64">
        <v>5.9627515130384801</v>
      </c>
      <c r="AJ10" s="64">
        <v>5.8436812729669896</v>
      </c>
      <c r="AK10" s="64">
        <v>6.4859655342644604</v>
      </c>
      <c r="AL10" s="64">
        <v>5.4126200089080303</v>
      </c>
      <c r="AM10" s="64">
        <v>6.1594222051082301</v>
      </c>
    </row>
    <row r="11" spans="1:39" s="19" customFormat="1" ht="17.100000000000001" customHeight="1" x14ac:dyDescent="0.2">
      <c r="A11" s="37" t="s">
        <v>6</v>
      </c>
      <c r="B11" s="16">
        <v>892.86970694720799</v>
      </c>
      <c r="C11" s="16">
        <v>1104.07608464338</v>
      </c>
      <c r="D11" s="16">
        <v>1058.9377930426101</v>
      </c>
      <c r="E11" s="16">
        <v>950.23171641983095</v>
      </c>
      <c r="F11" s="16">
        <v>849.13447887001405</v>
      </c>
      <c r="G11" s="16">
        <v>723.60688606763404</v>
      </c>
      <c r="H11" s="16">
        <v>1396.5693912245299</v>
      </c>
      <c r="I11" s="16">
        <v>1595.0794219081699</v>
      </c>
      <c r="J11" s="64">
        <v>1007.0802228175</v>
      </c>
      <c r="K11" s="64">
        <v>1301.8829038392901</v>
      </c>
      <c r="L11" s="64">
        <v>1333.7451428489701</v>
      </c>
      <c r="M11" s="64">
        <v>1406.2164046357</v>
      </c>
      <c r="N11" s="64">
        <v>1410.0483405505199</v>
      </c>
      <c r="O11" s="64">
        <v>1796.74673367592</v>
      </c>
      <c r="P11" s="64">
        <v>1303.8847421654</v>
      </c>
      <c r="Q11" s="64">
        <v>1246.3789797023401</v>
      </c>
      <c r="R11" s="64">
        <v>1288.05208954824</v>
      </c>
      <c r="S11" s="64">
        <v>2007.92399247299</v>
      </c>
      <c r="T11" s="64">
        <v>1392.1911123175</v>
      </c>
      <c r="U11" s="64">
        <v>1417.0121999897899</v>
      </c>
      <c r="V11" s="64">
        <v>1491.7101859700599</v>
      </c>
      <c r="W11" s="64">
        <v>1569.67637501691</v>
      </c>
      <c r="X11" s="64">
        <v>1622.00699483627</v>
      </c>
      <c r="Y11" s="64">
        <v>1619.41842245199</v>
      </c>
      <c r="Z11" s="64">
        <v>1611.6517439923</v>
      </c>
      <c r="AA11" s="64">
        <v>1720.4956669187</v>
      </c>
      <c r="AB11" s="64">
        <v>1691.84658521701</v>
      </c>
      <c r="AC11" s="64">
        <v>1721.78216048166</v>
      </c>
      <c r="AD11" s="64">
        <v>1804.33252542637</v>
      </c>
      <c r="AE11" s="64">
        <v>1841.6209107519901</v>
      </c>
      <c r="AF11" s="64">
        <v>1800.97079084038</v>
      </c>
      <c r="AG11" s="64">
        <v>2173.6008056179899</v>
      </c>
      <c r="AH11" s="64">
        <v>2034.6894536064999</v>
      </c>
      <c r="AI11" s="64">
        <v>2083.0984872665299</v>
      </c>
      <c r="AJ11" s="64">
        <v>2153.6776778947301</v>
      </c>
      <c r="AK11" s="64">
        <v>2199.27827040476</v>
      </c>
      <c r="AL11" s="64">
        <v>2298.5220129486202</v>
      </c>
      <c r="AM11" s="64">
        <v>2292.0602263137098</v>
      </c>
    </row>
    <row r="12" spans="1:39" s="19" customFormat="1" ht="17.100000000000001" customHeight="1" x14ac:dyDescent="0.2">
      <c r="A12" s="37" t="s">
        <v>7</v>
      </c>
      <c r="B12" s="16">
        <v>559.39547255531602</v>
      </c>
      <c r="C12" s="16">
        <v>558.48476770397497</v>
      </c>
      <c r="D12" s="16">
        <v>536.05108950030501</v>
      </c>
      <c r="E12" s="16">
        <v>526.51077554953201</v>
      </c>
      <c r="F12" s="16">
        <v>478.33209997556298</v>
      </c>
      <c r="G12" s="16">
        <v>475.95856218093797</v>
      </c>
      <c r="H12" s="16">
        <v>411.79928599444702</v>
      </c>
      <c r="I12" s="16">
        <v>527.35392711290399</v>
      </c>
      <c r="J12" s="64">
        <v>622.22140513592501</v>
      </c>
      <c r="K12" s="64">
        <v>690.11724136505302</v>
      </c>
      <c r="L12" s="64">
        <v>803.95228787613303</v>
      </c>
      <c r="M12" s="64">
        <v>833.41602523371603</v>
      </c>
      <c r="N12" s="64">
        <v>847.26718264059696</v>
      </c>
      <c r="O12" s="64">
        <v>925.489659725715</v>
      </c>
      <c r="P12" s="64">
        <v>876.452307743917</v>
      </c>
      <c r="Q12" s="64">
        <v>801.05164550275094</v>
      </c>
      <c r="R12" s="64">
        <v>909.47527755554404</v>
      </c>
      <c r="S12" s="64">
        <v>883.66084110331406</v>
      </c>
      <c r="T12" s="64">
        <v>770.33179826303399</v>
      </c>
      <c r="U12" s="64">
        <v>766.20498623055801</v>
      </c>
      <c r="V12" s="64">
        <v>890.11900798489705</v>
      </c>
      <c r="W12" s="64">
        <v>820.11085518536402</v>
      </c>
      <c r="X12" s="64">
        <v>766.16694079475599</v>
      </c>
      <c r="Y12" s="64">
        <v>788.16924291509895</v>
      </c>
      <c r="Z12" s="64">
        <v>554.13030967600196</v>
      </c>
      <c r="AA12" s="64">
        <v>980.52220449576998</v>
      </c>
      <c r="AB12" s="64">
        <v>1101.79781081845</v>
      </c>
      <c r="AC12" s="64">
        <v>831.47807495961194</v>
      </c>
      <c r="AD12" s="64">
        <v>678.315918887772</v>
      </c>
      <c r="AE12" s="64">
        <v>896.96489175828401</v>
      </c>
      <c r="AF12" s="64">
        <v>1035.0951812885301</v>
      </c>
      <c r="AG12" s="64">
        <v>1016.11488058217</v>
      </c>
      <c r="AH12" s="64">
        <v>744.40816507229897</v>
      </c>
      <c r="AI12" s="64">
        <v>1016.0632284665101</v>
      </c>
      <c r="AJ12" s="64">
        <v>1521.96725846201</v>
      </c>
      <c r="AK12" s="64">
        <v>1137.10384970985</v>
      </c>
      <c r="AL12" s="64">
        <v>983.115720099589</v>
      </c>
      <c r="AM12" s="64">
        <v>1209.4334210561001</v>
      </c>
    </row>
    <row r="13" spans="1:39" s="54" customFormat="1" ht="17.100000000000001" customHeight="1" x14ac:dyDescent="0.2">
      <c r="A13" s="52" t="s">
        <v>82</v>
      </c>
      <c r="B13" s="53">
        <v>6562.1350187706394</v>
      </c>
      <c r="C13" s="53">
        <v>6954.4684149677269</v>
      </c>
      <c r="D13" s="53">
        <v>7402.8161866360097</v>
      </c>
      <c r="E13" s="53">
        <v>7345.9435679692706</v>
      </c>
      <c r="F13" s="53">
        <v>7533.7448626115847</v>
      </c>
      <c r="G13" s="53">
        <v>7632.2136769576327</v>
      </c>
      <c r="H13" s="53">
        <v>7985.1727589669308</v>
      </c>
      <c r="I13" s="53">
        <v>8452.8156962942194</v>
      </c>
      <c r="J13" s="74">
        <v>8654.088374623354</v>
      </c>
      <c r="K13" s="74">
        <v>8700.5526677641592</v>
      </c>
      <c r="L13" s="74">
        <v>8889.1882644816233</v>
      </c>
      <c r="M13" s="74">
        <v>8901.2191773906998</v>
      </c>
      <c r="N13" s="74">
        <v>9301.3479035554046</v>
      </c>
      <c r="O13" s="74">
        <v>9795.3238023660961</v>
      </c>
      <c r="P13" s="74">
        <v>9510.017573249781</v>
      </c>
      <c r="Q13" s="74">
        <v>8414.2458254700432</v>
      </c>
      <c r="R13" s="74">
        <v>9623.4160063866657</v>
      </c>
      <c r="S13" s="74">
        <v>10144.221087178028</v>
      </c>
      <c r="T13" s="74">
        <v>10270.850048734335</v>
      </c>
      <c r="U13" s="74">
        <v>10244.686722676801</v>
      </c>
      <c r="V13" s="74">
        <v>9930.4812099043302</v>
      </c>
      <c r="W13" s="74">
        <v>10720.434042598397</v>
      </c>
      <c r="X13" s="74">
        <v>11328.556314845369</v>
      </c>
      <c r="Y13" s="74">
        <v>11593.438288067933</v>
      </c>
      <c r="Z13" s="74">
        <v>11725.688343104681</v>
      </c>
      <c r="AA13" s="74">
        <v>11342.044934637777</v>
      </c>
      <c r="AB13" s="74">
        <v>11484.639062969392</v>
      </c>
      <c r="AC13" s="74">
        <v>12583.130155995719</v>
      </c>
      <c r="AD13" s="74">
        <v>13104.08767241695</v>
      </c>
      <c r="AE13" s="74">
        <v>12517.021706119218</v>
      </c>
      <c r="AF13" s="74">
        <v>12421.031496201957</v>
      </c>
      <c r="AG13" s="74">
        <v>12526.703276013304</v>
      </c>
      <c r="AH13" s="74">
        <v>13636.213285422726</v>
      </c>
      <c r="AI13" s="74">
        <v>13598.622551319275</v>
      </c>
      <c r="AJ13" s="74">
        <v>13862.672237618379</v>
      </c>
      <c r="AK13" s="74">
        <v>14206.121404621341</v>
      </c>
      <c r="AL13" s="74">
        <v>14675.005874796738</v>
      </c>
      <c r="AM13" s="74">
        <v>15309.386892083223</v>
      </c>
    </row>
    <row r="14" spans="1:39" s="19" customFormat="1" ht="17.100000000000001" customHeight="1" x14ac:dyDescent="0.2">
      <c r="A14" s="37" t="s">
        <v>9</v>
      </c>
      <c r="B14" s="16">
        <v>295.18715781722</v>
      </c>
      <c r="C14" s="16">
        <v>357.21888810616002</v>
      </c>
      <c r="D14" s="16">
        <v>356.01003434777402</v>
      </c>
      <c r="E14" s="16">
        <v>338.35583950965997</v>
      </c>
      <c r="F14" s="16">
        <v>323.76511045153001</v>
      </c>
      <c r="G14" s="16">
        <v>319.58164926955999</v>
      </c>
      <c r="H14" s="16">
        <v>364.453602525772</v>
      </c>
      <c r="I14" s="16">
        <v>521.14947767033095</v>
      </c>
      <c r="J14" s="64">
        <v>612.71621889605103</v>
      </c>
      <c r="K14" s="64">
        <v>511.67347946662102</v>
      </c>
      <c r="L14" s="64">
        <v>612.86346926935096</v>
      </c>
      <c r="M14" s="64">
        <v>519.31919705553196</v>
      </c>
      <c r="N14" s="64">
        <v>541.04538139960198</v>
      </c>
      <c r="O14" s="64">
        <v>705.96133950590104</v>
      </c>
      <c r="P14" s="64">
        <v>600.54765131999795</v>
      </c>
      <c r="Q14" s="64">
        <v>443.273878813061</v>
      </c>
      <c r="R14" s="64">
        <v>824.83030778573197</v>
      </c>
      <c r="S14" s="64">
        <v>813.99082937606295</v>
      </c>
      <c r="T14" s="64">
        <v>647.30330976810797</v>
      </c>
      <c r="U14" s="64">
        <v>542.11825699393705</v>
      </c>
      <c r="V14" s="64">
        <v>356.63386856402002</v>
      </c>
      <c r="W14" s="64">
        <v>526.74890305909196</v>
      </c>
      <c r="X14" s="64">
        <v>758.18032990648305</v>
      </c>
      <c r="Y14" s="64">
        <v>710.59319929941796</v>
      </c>
      <c r="Z14" s="64">
        <v>511.076250938013</v>
      </c>
      <c r="AA14" s="64">
        <v>353.61440026260902</v>
      </c>
      <c r="AB14" s="64">
        <v>466.65536330169402</v>
      </c>
      <c r="AC14" s="64">
        <v>1372.4729177828499</v>
      </c>
      <c r="AD14" s="64">
        <v>1118.58722805243</v>
      </c>
      <c r="AE14" s="64">
        <v>661.77808156832305</v>
      </c>
      <c r="AF14" s="64">
        <v>460.32052481590802</v>
      </c>
      <c r="AG14" s="64">
        <v>279.421407512982</v>
      </c>
      <c r="AH14" s="64">
        <v>657.14683661412903</v>
      </c>
      <c r="AI14" s="64">
        <v>944.891601820549</v>
      </c>
      <c r="AJ14" s="64">
        <v>587.44054313956804</v>
      </c>
      <c r="AK14" s="64">
        <v>429.54776344129198</v>
      </c>
      <c r="AL14" s="64">
        <v>640.87062152891099</v>
      </c>
      <c r="AM14" s="64">
        <v>943.82647494412299</v>
      </c>
    </row>
    <row r="15" spans="1:39" s="19" customFormat="1" ht="17.100000000000001" customHeight="1" x14ac:dyDescent="0.2">
      <c r="A15" s="24" t="s">
        <v>10</v>
      </c>
      <c r="B15" s="16">
        <v>3848.7204394692499</v>
      </c>
      <c r="C15" s="16">
        <v>4099.1533993358598</v>
      </c>
      <c r="D15" s="16">
        <v>4478.6471261679499</v>
      </c>
      <c r="E15" s="16">
        <v>4427.0809474673597</v>
      </c>
      <c r="F15" s="16">
        <v>4578.5466103458502</v>
      </c>
      <c r="G15" s="16">
        <v>4627.4930793482799</v>
      </c>
      <c r="H15" s="16">
        <v>4802.7663652543197</v>
      </c>
      <c r="I15" s="16">
        <v>5003.0012818454998</v>
      </c>
      <c r="J15" s="64">
        <v>4999.1016908444199</v>
      </c>
      <c r="K15" s="64">
        <v>5080.7276187300304</v>
      </c>
      <c r="L15" s="64">
        <v>5147.70927819397</v>
      </c>
      <c r="M15" s="64">
        <v>5191.2622478021403</v>
      </c>
      <c r="N15" s="64">
        <v>5642.7517276960998</v>
      </c>
      <c r="O15" s="64">
        <v>5873.27309915352</v>
      </c>
      <c r="P15" s="64">
        <v>5606.6908758930604</v>
      </c>
      <c r="Q15" s="64">
        <v>4934.0039986429301</v>
      </c>
      <c r="R15" s="64">
        <v>5948.7043730825799</v>
      </c>
      <c r="S15" s="64">
        <v>6040.2156290268804</v>
      </c>
      <c r="T15" s="64">
        <v>6173.7478937732503</v>
      </c>
      <c r="U15" s="64">
        <v>6197.2125764112898</v>
      </c>
      <c r="V15" s="64">
        <v>5941.3555767326698</v>
      </c>
      <c r="W15" s="64">
        <v>6542.9092768505898</v>
      </c>
      <c r="X15" s="64">
        <v>6944.6800118814499</v>
      </c>
      <c r="Y15" s="64">
        <v>7207.7319977584102</v>
      </c>
      <c r="Z15" s="64">
        <v>7331.74208769489</v>
      </c>
      <c r="AA15" s="64">
        <v>7196.4267314886702</v>
      </c>
      <c r="AB15" s="64">
        <v>7068.9775494689602</v>
      </c>
      <c r="AC15" s="64">
        <v>7035.2324101027698</v>
      </c>
      <c r="AD15" s="64">
        <v>7751.0614398170401</v>
      </c>
      <c r="AE15" s="64">
        <v>7519.4731626803004</v>
      </c>
      <c r="AF15" s="64">
        <v>7634.2303556699499</v>
      </c>
      <c r="AG15" s="64">
        <v>7877.1683457709096</v>
      </c>
      <c r="AH15" s="64">
        <v>8454.4957580682003</v>
      </c>
      <c r="AI15" s="64">
        <v>7830.5080255891999</v>
      </c>
      <c r="AJ15" s="64">
        <v>8202.2878921472002</v>
      </c>
      <c r="AK15" s="64">
        <v>8496.9311606628507</v>
      </c>
      <c r="AL15" s="64">
        <v>8870.3180097631594</v>
      </c>
      <c r="AM15" s="64">
        <v>8938.3857331001509</v>
      </c>
    </row>
    <row r="16" spans="1:39" s="19" customFormat="1" ht="17.100000000000001" customHeight="1" x14ac:dyDescent="0.2">
      <c r="A16" s="24" t="s">
        <v>11</v>
      </c>
      <c r="B16" s="16">
        <v>309.93546984975001</v>
      </c>
      <c r="C16" s="16">
        <v>321.17904858725001</v>
      </c>
      <c r="D16" s="16">
        <v>377.11095540681401</v>
      </c>
      <c r="E16" s="16">
        <v>371.27047107467303</v>
      </c>
      <c r="F16" s="16">
        <v>380.83788934991702</v>
      </c>
      <c r="G16" s="16">
        <v>381.16840743070298</v>
      </c>
      <c r="H16" s="16">
        <v>393.78752670850702</v>
      </c>
      <c r="I16" s="16">
        <v>390.64147582601902</v>
      </c>
      <c r="J16" s="64">
        <v>428.99820168710602</v>
      </c>
      <c r="K16" s="64">
        <v>427.46017698086803</v>
      </c>
      <c r="L16" s="64">
        <v>433.201985753369</v>
      </c>
      <c r="M16" s="64">
        <v>452.70290628459099</v>
      </c>
      <c r="N16" s="64">
        <v>478.53464467214502</v>
      </c>
      <c r="O16" s="64">
        <v>494.10680428508198</v>
      </c>
      <c r="P16" s="64">
        <v>508.96176324404001</v>
      </c>
      <c r="Q16" s="64">
        <v>449.85778061634102</v>
      </c>
      <c r="R16" s="64">
        <v>520.36466035625199</v>
      </c>
      <c r="S16" s="64">
        <v>533.47766217695005</v>
      </c>
      <c r="T16" s="64">
        <v>539.62919280666301</v>
      </c>
      <c r="U16" s="64">
        <v>540.31207242681796</v>
      </c>
      <c r="V16" s="64">
        <v>535.58897154131</v>
      </c>
      <c r="W16" s="64">
        <v>543.02538335386203</v>
      </c>
      <c r="X16" s="64">
        <v>548.25445113082299</v>
      </c>
      <c r="Y16" s="64">
        <v>553.24444512186005</v>
      </c>
      <c r="Z16" s="64">
        <v>580.69297286639198</v>
      </c>
      <c r="AA16" s="64">
        <v>535.82132362714003</v>
      </c>
      <c r="AB16" s="64">
        <v>534.91384034679595</v>
      </c>
      <c r="AC16" s="64">
        <v>536.45772255059399</v>
      </c>
      <c r="AD16" s="64">
        <v>553.02832401578098</v>
      </c>
      <c r="AE16" s="64">
        <v>545.01919024512404</v>
      </c>
      <c r="AF16" s="64">
        <v>546.96551318312697</v>
      </c>
      <c r="AG16" s="64">
        <v>558.04973553312198</v>
      </c>
      <c r="AH16" s="64">
        <v>575.28264115837499</v>
      </c>
      <c r="AI16" s="64">
        <v>593.990725465217</v>
      </c>
      <c r="AJ16" s="64">
        <v>608.96274776728103</v>
      </c>
      <c r="AK16" s="64">
        <v>612.44709154064799</v>
      </c>
      <c r="AL16" s="64">
        <v>689.78826798748696</v>
      </c>
      <c r="AM16" s="64">
        <v>625.81488639137899</v>
      </c>
    </row>
    <row r="17" spans="1:39" s="19" customFormat="1" ht="17.100000000000001" customHeight="1" x14ac:dyDescent="0.2">
      <c r="A17" s="24" t="s">
        <v>12</v>
      </c>
      <c r="B17" s="16">
        <v>614.83520878574905</v>
      </c>
      <c r="C17" s="16">
        <v>626.00569227658696</v>
      </c>
      <c r="D17" s="16">
        <v>651.03658134339105</v>
      </c>
      <c r="E17" s="16">
        <v>685.79800629189799</v>
      </c>
      <c r="F17" s="16">
        <v>697.93939123902805</v>
      </c>
      <c r="G17" s="16">
        <v>713.65703309420996</v>
      </c>
      <c r="H17" s="16">
        <v>722.33045866434202</v>
      </c>
      <c r="I17" s="16">
        <v>751.46837470615003</v>
      </c>
      <c r="J17" s="64">
        <v>750.93357168596697</v>
      </c>
      <c r="K17" s="64">
        <v>747.82973602246</v>
      </c>
      <c r="L17" s="64">
        <v>742.71406482519205</v>
      </c>
      <c r="M17" s="64">
        <v>743.10846653697604</v>
      </c>
      <c r="N17" s="64">
        <v>755.52296195328802</v>
      </c>
      <c r="O17" s="64">
        <v>778.18438762770199</v>
      </c>
      <c r="P17" s="64">
        <v>789.32795778161301</v>
      </c>
      <c r="Q17" s="64">
        <v>796.28646175604194</v>
      </c>
      <c r="R17" s="64">
        <v>799.73079059910299</v>
      </c>
      <c r="S17" s="64">
        <v>805.86120090868599</v>
      </c>
      <c r="T17" s="64">
        <v>821.56312147261394</v>
      </c>
      <c r="U17" s="64">
        <v>830.63713767766501</v>
      </c>
      <c r="V17" s="64">
        <v>847.34085067024</v>
      </c>
      <c r="W17" s="64">
        <v>864.75340190709505</v>
      </c>
      <c r="X17" s="64">
        <v>881.95507701348504</v>
      </c>
      <c r="Y17" s="64">
        <v>892.65047657932405</v>
      </c>
      <c r="Z17" s="64">
        <v>943.58339768328801</v>
      </c>
      <c r="AA17" s="64">
        <v>964.357560244198</v>
      </c>
      <c r="AB17" s="64">
        <v>989.03803420736403</v>
      </c>
      <c r="AC17" s="64">
        <v>985.66390880630399</v>
      </c>
      <c r="AD17" s="64">
        <v>1049.0979684669701</v>
      </c>
      <c r="AE17" s="64">
        <v>1065.3547108380201</v>
      </c>
      <c r="AF17" s="64">
        <v>1080.6937771630101</v>
      </c>
      <c r="AG17" s="64">
        <v>1110.9363732552699</v>
      </c>
      <c r="AH17" s="64">
        <v>1140.6119444929</v>
      </c>
      <c r="AI17" s="64">
        <v>1210.8956830521699</v>
      </c>
      <c r="AJ17" s="64">
        <v>1239.8862852218399</v>
      </c>
      <c r="AK17" s="64">
        <v>1255.60703993994</v>
      </c>
      <c r="AL17" s="64">
        <v>1267.6107387947</v>
      </c>
      <c r="AM17" s="64">
        <v>1283.7343226892899</v>
      </c>
    </row>
    <row r="18" spans="1:39" s="19" customFormat="1" ht="17.100000000000001" customHeight="1" x14ac:dyDescent="0.2">
      <c r="A18" s="37" t="s">
        <v>87</v>
      </c>
      <c r="B18" s="16">
        <v>1493.45674284867</v>
      </c>
      <c r="C18" s="16">
        <v>1550.91138666187</v>
      </c>
      <c r="D18" s="16">
        <v>1540.01148937008</v>
      </c>
      <c r="E18" s="16">
        <v>1523.43830362568</v>
      </c>
      <c r="F18" s="16">
        <v>1552.65586122526</v>
      </c>
      <c r="G18" s="16">
        <v>1590.31350781488</v>
      </c>
      <c r="H18" s="16">
        <v>1701.83480581399</v>
      </c>
      <c r="I18" s="16">
        <v>1786.5550862462201</v>
      </c>
      <c r="J18" s="64">
        <v>1862.3386915098099</v>
      </c>
      <c r="K18" s="64">
        <v>1932.8616565641801</v>
      </c>
      <c r="L18" s="64">
        <v>1952.69946643974</v>
      </c>
      <c r="M18" s="64">
        <v>1994.8263597114601</v>
      </c>
      <c r="N18" s="64">
        <v>1883.49318783427</v>
      </c>
      <c r="O18" s="64">
        <v>1943.7981717938901</v>
      </c>
      <c r="P18" s="64">
        <v>2004.4893250110699</v>
      </c>
      <c r="Q18" s="64">
        <v>1790.8237056416699</v>
      </c>
      <c r="R18" s="64">
        <v>1529.7858745630001</v>
      </c>
      <c r="S18" s="64">
        <v>1950.6757656894499</v>
      </c>
      <c r="T18" s="64">
        <v>2088.6065309137002</v>
      </c>
      <c r="U18" s="64">
        <v>2134.4066791670898</v>
      </c>
      <c r="V18" s="64">
        <v>2249.5619423960902</v>
      </c>
      <c r="W18" s="64">
        <v>2242.9970774277599</v>
      </c>
      <c r="X18" s="64">
        <v>2195.4864449131301</v>
      </c>
      <c r="Y18" s="64">
        <v>2229.2181693089201</v>
      </c>
      <c r="Z18" s="64">
        <v>2358.5936339220998</v>
      </c>
      <c r="AA18" s="64">
        <v>2291.82491901516</v>
      </c>
      <c r="AB18" s="64">
        <v>2425.0542756445798</v>
      </c>
      <c r="AC18" s="64">
        <v>2653.3031967532002</v>
      </c>
      <c r="AD18" s="64">
        <v>2632.31271206473</v>
      </c>
      <c r="AE18" s="64">
        <v>2725.3965607874502</v>
      </c>
      <c r="AF18" s="64">
        <v>2698.8213253699601</v>
      </c>
      <c r="AG18" s="64">
        <v>2701.1274139410202</v>
      </c>
      <c r="AH18" s="64">
        <v>2808.67610508912</v>
      </c>
      <c r="AI18" s="64">
        <v>3018.33651539214</v>
      </c>
      <c r="AJ18" s="64">
        <v>3224.0947693424901</v>
      </c>
      <c r="AK18" s="64">
        <v>3411.58834903661</v>
      </c>
      <c r="AL18" s="64">
        <v>3206.4182367224798</v>
      </c>
      <c r="AM18" s="64">
        <v>3517.6254749582799</v>
      </c>
    </row>
    <row r="19" spans="1:39" s="54" customFormat="1" ht="17.100000000000001" customHeight="1" x14ac:dyDescent="0.2">
      <c r="A19" s="52" t="s">
        <v>83</v>
      </c>
      <c r="B19" s="53">
        <v>11168.587604409737</v>
      </c>
      <c r="C19" s="53">
        <v>11552.57933969688</v>
      </c>
      <c r="D19" s="53">
        <v>12024.338299850093</v>
      </c>
      <c r="E19" s="53">
        <v>12463.367961984752</v>
      </c>
      <c r="F19" s="53">
        <v>12651.42183726596</v>
      </c>
      <c r="G19" s="53">
        <v>12725.166535276683</v>
      </c>
      <c r="H19" s="53">
        <v>13225.367116384657</v>
      </c>
      <c r="I19" s="53">
        <v>13617.398821300683</v>
      </c>
      <c r="J19" s="74">
        <v>13760.775209604815</v>
      </c>
      <c r="K19" s="74">
        <v>13946.365769614031</v>
      </c>
      <c r="L19" s="74">
        <v>14330.597083241453</v>
      </c>
      <c r="M19" s="74">
        <v>14762.974920789662</v>
      </c>
      <c r="N19" s="74">
        <v>15415.66032308974</v>
      </c>
      <c r="O19" s="74">
        <v>15592.789405658157</v>
      </c>
      <c r="P19" s="74">
        <v>14951.311450084915</v>
      </c>
      <c r="Q19" s="74">
        <v>13858.597495006454</v>
      </c>
      <c r="R19" s="74">
        <v>15109.128130122608</v>
      </c>
      <c r="S19" s="74">
        <v>15265.952975812745</v>
      </c>
      <c r="T19" s="74">
        <v>15878.380842071789</v>
      </c>
      <c r="U19" s="74">
        <v>15787.775630748632</v>
      </c>
      <c r="V19" s="74">
        <v>15772.846869735955</v>
      </c>
      <c r="W19" s="74">
        <v>16758.806020104006</v>
      </c>
      <c r="X19" s="74">
        <v>17493.951687047047</v>
      </c>
      <c r="Y19" s="74">
        <v>17740.775416218774</v>
      </c>
      <c r="Z19" s="74">
        <v>18950.651491562858</v>
      </c>
      <c r="AA19" s="74">
        <v>19167.925654056155</v>
      </c>
      <c r="AB19" s="74">
        <v>19014.318676256818</v>
      </c>
      <c r="AC19" s="74">
        <v>20602.093263427916</v>
      </c>
      <c r="AD19" s="74">
        <v>21341.427428961179</v>
      </c>
      <c r="AE19" s="74">
        <v>21996.364809115956</v>
      </c>
      <c r="AF19" s="74">
        <v>21989.070658560991</v>
      </c>
      <c r="AG19" s="74">
        <v>22466.58031180788</v>
      </c>
      <c r="AH19" s="74">
        <v>23556.384266636189</v>
      </c>
      <c r="AI19" s="74">
        <v>23497.801198239038</v>
      </c>
      <c r="AJ19" s="74">
        <v>24515.997222441791</v>
      </c>
      <c r="AK19" s="74">
        <v>24359.187149578072</v>
      </c>
      <c r="AL19" s="74">
        <v>25349.692733759366</v>
      </c>
      <c r="AM19" s="74">
        <v>26482.755191180571</v>
      </c>
    </row>
    <row r="20" spans="1:39" s="19" customFormat="1" ht="17.100000000000001" customHeight="1" x14ac:dyDescent="0.2">
      <c r="A20" s="38" t="s">
        <v>64</v>
      </c>
      <c r="B20" s="16">
        <v>2176.76023868734</v>
      </c>
      <c r="C20" s="16">
        <v>2394.0085648314198</v>
      </c>
      <c r="D20" s="16">
        <v>2566.3289921270598</v>
      </c>
      <c r="E20" s="16">
        <v>2683.1193504652401</v>
      </c>
      <c r="F20" s="16">
        <v>2625.5481330092998</v>
      </c>
      <c r="G20" s="16">
        <v>2490.27148806483</v>
      </c>
      <c r="H20" s="16">
        <v>2811.0969169248901</v>
      </c>
      <c r="I20" s="16">
        <v>2983.4988383629502</v>
      </c>
      <c r="J20" s="64">
        <v>2776.2221525580599</v>
      </c>
      <c r="K20" s="64">
        <v>2903.0897795128499</v>
      </c>
      <c r="L20" s="64">
        <v>2884.22091913746</v>
      </c>
      <c r="M20" s="64">
        <v>2856.4476872017699</v>
      </c>
      <c r="N20" s="64">
        <v>2962.70929479395</v>
      </c>
      <c r="O20" s="64">
        <v>3124.47025746177</v>
      </c>
      <c r="P20" s="64">
        <v>2945.64203138319</v>
      </c>
      <c r="Q20" s="64">
        <v>2733.2375323544202</v>
      </c>
      <c r="R20" s="64">
        <v>2881.01356963015</v>
      </c>
      <c r="S20" s="64">
        <v>2985.7521028493602</v>
      </c>
      <c r="T20" s="64">
        <v>2971.6279711061502</v>
      </c>
      <c r="U20" s="64">
        <v>2924.1766711067498</v>
      </c>
      <c r="V20" s="64">
        <v>2779.7708235597702</v>
      </c>
      <c r="W20" s="64">
        <v>3228.7778726465599</v>
      </c>
      <c r="X20" s="64">
        <v>3711.96305980953</v>
      </c>
      <c r="Y20" s="64">
        <v>3957.1144053017701</v>
      </c>
      <c r="Z20" s="64">
        <v>3856.8423028300599</v>
      </c>
      <c r="AA20" s="64">
        <v>3934.0336434614101</v>
      </c>
      <c r="AB20" s="64">
        <v>4192.7605905235596</v>
      </c>
      <c r="AC20" s="64">
        <v>4775.7841436653798</v>
      </c>
      <c r="AD20" s="64">
        <v>5128.2789231946799</v>
      </c>
      <c r="AE20" s="64">
        <v>4736.8232743112703</v>
      </c>
      <c r="AF20" s="64">
        <v>4736.0973617238396</v>
      </c>
      <c r="AG20" s="64">
        <v>4655.97504615244</v>
      </c>
      <c r="AH20" s="64">
        <v>5666.4862638897403</v>
      </c>
      <c r="AI20" s="64">
        <v>5389.8451445026203</v>
      </c>
      <c r="AJ20" s="64">
        <v>5430.8121885705596</v>
      </c>
      <c r="AK20" s="64">
        <v>5373.6468156070296</v>
      </c>
      <c r="AL20" s="64">
        <v>5925.2924464183398</v>
      </c>
      <c r="AM20" s="64">
        <v>6564.9097193003299</v>
      </c>
    </row>
    <row r="21" spans="1:39" s="19" customFormat="1" ht="17.100000000000001" customHeight="1" x14ac:dyDescent="0.2">
      <c r="A21" s="38" t="s">
        <v>65</v>
      </c>
      <c r="B21" s="16">
        <v>849.34559943663305</v>
      </c>
      <c r="C21" s="16">
        <v>895.67038843057003</v>
      </c>
      <c r="D21" s="16">
        <v>922.99030886202104</v>
      </c>
      <c r="E21" s="16">
        <v>957.81365812166996</v>
      </c>
      <c r="F21" s="16">
        <v>995.741187501642</v>
      </c>
      <c r="G21" s="16">
        <v>997.73183964268401</v>
      </c>
      <c r="H21" s="16">
        <v>1048.1742826454599</v>
      </c>
      <c r="I21" s="16">
        <v>1074.75323346252</v>
      </c>
      <c r="J21" s="64">
        <v>1094.41131261897</v>
      </c>
      <c r="K21" s="64">
        <v>1080.2541273325</v>
      </c>
      <c r="L21" s="64">
        <v>1131.52757005649</v>
      </c>
      <c r="M21" s="64">
        <v>1215.5528922697199</v>
      </c>
      <c r="N21" s="64">
        <v>1304.49981319483</v>
      </c>
      <c r="O21" s="64">
        <v>1225.30050242525</v>
      </c>
      <c r="P21" s="64">
        <v>1167.01553120479</v>
      </c>
      <c r="Q21" s="64">
        <v>1085.49628137439</v>
      </c>
      <c r="R21" s="64">
        <v>1337.95574619271</v>
      </c>
      <c r="S21" s="64">
        <v>1171.8339437833899</v>
      </c>
      <c r="T21" s="64">
        <v>1111.68829277133</v>
      </c>
      <c r="U21" s="64">
        <v>1174.94504295091</v>
      </c>
      <c r="V21" s="64">
        <v>1208.2196085452999</v>
      </c>
      <c r="W21" s="64">
        <v>1294.9628044306601</v>
      </c>
      <c r="X21" s="64">
        <v>1307.9772881644401</v>
      </c>
      <c r="Y21" s="64">
        <v>1361.0914513735499</v>
      </c>
      <c r="Z21" s="64">
        <v>1452.6767564014101</v>
      </c>
      <c r="AA21" s="64">
        <v>1609.87076906217</v>
      </c>
      <c r="AB21" s="64">
        <v>1693.8198064241101</v>
      </c>
      <c r="AC21" s="64">
        <v>1705.88409386832</v>
      </c>
      <c r="AD21" s="64">
        <v>1734.7690744949</v>
      </c>
      <c r="AE21" s="64">
        <v>1816.91205772592</v>
      </c>
      <c r="AF21" s="64">
        <v>1954.8128116458199</v>
      </c>
      <c r="AG21" s="64">
        <v>2050.6287955396801</v>
      </c>
      <c r="AH21" s="64">
        <v>2104.2931060174501</v>
      </c>
      <c r="AI21" s="64">
        <v>2080.9528273545302</v>
      </c>
      <c r="AJ21" s="64">
        <v>2233.2106928688399</v>
      </c>
      <c r="AK21" s="64">
        <v>2236.43338554091</v>
      </c>
      <c r="AL21" s="64">
        <v>2191.4506865564099</v>
      </c>
      <c r="AM21" s="64">
        <v>2240.6939358454401</v>
      </c>
    </row>
    <row r="22" spans="1:39" s="19" customFormat="1" ht="17.100000000000001" customHeight="1" x14ac:dyDescent="0.2">
      <c r="A22" s="38" t="s">
        <v>66</v>
      </c>
      <c r="B22" s="16">
        <v>718.50783854724</v>
      </c>
      <c r="C22" s="16">
        <v>784.51418514397903</v>
      </c>
      <c r="D22" s="16">
        <v>824.99667193549203</v>
      </c>
      <c r="E22" s="16">
        <v>892.41662835626801</v>
      </c>
      <c r="F22" s="16">
        <v>921.35238742813101</v>
      </c>
      <c r="G22" s="16">
        <v>913.63987539372704</v>
      </c>
      <c r="H22" s="16">
        <v>914.23784956561406</v>
      </c>
      <c r="I22" s="16">
        <v>914.32770076480494</v>
      </c>
      <c r="J22" s="64">
        <v>944.61146036499701</v>
      </c>
      <c r="K22" s="64">
        <v>931.85427833189999</v>
      </c>
      <c r="L22" s="64">
        <v>956.50306656147404</v>
      </c>
      <c r="M22" s="64">
        <v>979.31855328625295</v>
      </c>
      <c r="N22" s="64">
        <v>1078.6758485810001</v>
      </c>
      <c r="O22" s="64">
        <v>1077.0225669808001</v>
      </c>
      <c r="P22" s="64">
        <v>989.59769233813302</v>
      </c>
      <c r="Q22" s="64">
        <v>497.39448449816598</v>
      </c>
      <c r="R22" s="64">
        <v>813.003639562844</v>
      </c>
      <c r="S22" s="64">
        <v>829.647046057137</v>
      </c>
      <c r="T22" s="64">
        <v>1004.2794980101</v>
      </c>
      <c r="U22" s="64">
        <v>890.25479966007401</v>
      </c>
      <c r="V22" s="64">
        <v>860.16727012489798</v>
      </c>
      <c r="W22" s="64">
        <v>1009.11125482942</v>
      </c>
      <c r="X22" s="64">
        <v>868.40164768012301</v>
      </c>
      <c r="Y22" s="64">
        <v>842.39833327781298</v>
      </c>
      <c r="Z22" s="64">
        <v>892.69729456389496</v>
      </c>
      <c r="AA22" s="64">
        <v>1012.1127703194099</v>
      </c>
      <c r="AB22" s="64">
        <v>991.80344250802898</v>
      </c>
      <c r="AC22" s="64">
        <v>1100.8761855974601</v>
      </c>
      <c r="AD22" s="64">
        <v>1095.45425194943</v>
      </c>
      <c r="AE22" s="64">
        <v>1044.3141216663901</v>
      </c>
      <c r="AF22" s="64">
        <v>1185.72671263695</v>
      </c>
      <c r="AG22" s="64">
        <v>1378.8950041437399</v>
      </c>
      <c r="AH22" s="64">
        <v>1312.74924489355</v>
      </c>
      <c r="AI22" s="64">
        <v>1365.7067795630001</v>
      </c>
      <c r="AJ22" s="64">
        <v>1447.64830328945</v>
      </c>
      <c r="AK22" s="64">
        <v>1193.9475971596601</v>
      </c>
      <c r="AL22" s="64">
        <v>1617.0283066862801</v>
      </c>
      <c r="AM22" s="64">
        <v>1690.7924205182601</v>
      </c>
    </row>
    <row r="23" spans="1:39" s="19" customFormat="1" ht="17.100000000000001" customHeight="1" x14ac:dyDescent="0.2">
      <c r="A23" s="38" t="s">
        <v>67</v>
      </c>
      <c r="B23" s="16">
        <v>556.48413572315599</v>
      </c>
      <c r="C23" s="16">
        <v>542.28492763706697</v>
      </c>
      <c r="D23" s="16">
        <v>534.36145476541606</v>
      </c>
      <c r="E23" s="16">
        <v>495.85688707111098</v>
      </c>
      <c r="F23" s="16">
        <v>456.321089472621</v>
      </c>
      <c r="G23" s="16">
        <v>461.10747287048298</v>
      </c>
      <c r="H23" s="16">
        <v>502.27817055460002</v>
      </c>
      <c r="I23" s="16">
        <v>544.38937332873195</v>
      </c>
      <c r="J23" s="64">
        <v>562.10724367896796</v>
      </c>
      <c r="K23" s="64">
        <v>587.57924458399498</v>
      </c>
      <c r="L23" s="64">
        <v>612.486132408814</v>
      </c>
      <c r="M23" s="64">
        <v>636.03069641676097</v>
      </c>
      <c r="N23" s="64">
        <v>672.71972853299803</v>
      </c>
      <c r="O23" s="64">
        <v>678.91605470676996</v>
      </c>
      <c r="P23" s="64">
        <v>619.494524128335</v>
      </c>
      <c r="Q23" s="64">
        <v>584.37802194665596</v>
      </c>
      <c r="R23" s="64">
        <v>610.90425281755302</v>
      </c>
      <c r="S23" s="64">
        <v>635.64156729553702</v>
      </c>
      <c r="T23" s="64">
        <v>701.33983589921297</v>
      </c>
      <c r="U23" s="64">
        <v>730.59806370296201</v>
      </c>
      <c r="V23" s="64">
        <v>675.05065009645102</v>
      </c>
      <c r="W23" s="64">
        <v>680.05594237678099</v>
      </c>
      <c r="X23" s="64">
        <v>704.77104669466996</v>
      </c>
      <c r="Y23" s="64">
        <v>685.48446487854198</v>
      </c>
      <c r="Z23" s="64">
        <v>623.40652048552101</v>
      </c>
      <c r="AA23" s="64">
        <v>617.96182542112797</v>
      </c>
      <c r="AB23" s="64">
        <v>717.75980366233705</v>
      </c>
      <c r="AC23" s="64">
        <v>865.41812777908899</v>
      </c>
      <c r="AD23" s="64">
        <v>1102.95043686842</v>
      </c>
      <c r="AE23" s="64">
        <v>1168.70230808018</v>
      </c>
      <c r="AF23" s="64">
        <v>1150.9375824966201</v>
      </c>
      <c r="AG23" s="64">
        <v>998.05685636943394</v>
      </c>
      <c r="AH23" s="64">
        <v>1220.1560953124199</v>
      </c>
      <c r="AI23" s="64">
        <v>1067.03452111314</v>
      </c>
      <c r="AJ23" s="64">
        <v>1192.2535088913301</v>
      </c>
      <c r="AK23" s="64">
        <v>1012.43770902427</v>
      </c>
      <c r="AL23" s="64">
        <v>1104.71504361334</v>
      </c>
      <c r="AM23" s="64">
        <v>1112.63556871878</v>
      </c>
    </row>
    <row r="24" spans="1:39" s="19" customFormat="1" ht="17.100000000000001" customHeight="1" x14ac:dyDescent="0.2">
      <c r="A24" s="38" t="s">
        <v>68</v>
      </c>
      <c r="B24" s="16">
        <v>682.602064490717</v>
      </c>
      <c r="C24" s="16">
        <v>671.10823207857197</v>
      </c>
      <c r="D24" s="16">
        <v>757.93672485052105</v>
      </c>
      <c r="E24" s="16">
        <v>761.16037696771798</v>
      </c>
      <c r="F24" s="16">
        <v>751.75206503106597</v>
      </c>
      <c r="G24" s="16">
        <v>784.78349617524805</v>
      </c>
      <c r="H24" s="16">
        <v>752.23596120680497</v>
      </c>
      <c r="I24" s="16">
        <v>780.69274326700895</v>
      </c>
      <c r="J24" s="64">
        <v>753.38874385381405</v>
      </c>
      <c r="K24" s="64">
        <v>814.232604381138</v>
      </c>
      <c r="L24" s="64">
        <v>898.27402476529005</v>
      </c>
      <c r="M24" s="64">
        <v>1002.05351116472</v>
      </c>
      <c r="N24" s="64">
        <v>1048.5375385387799</v>
      </c>
      <c r="O24" s="64">
        <v>1073.3533996111601</v>
      </c>
      <c r="P24" s="64">
        <v>974.35408322099704</v>
      </c>
      <c r="Q24" s="64">
        <v>715.96517337639204</v>
      </c>
      <c r="R24" s="64">
        <v>1076.8466540306399</v>
      </c>
      <c r="S24" s="64">
        <v>964.602987046522</v>
      </c>
      <c r="T24" s="64">
        <v>1063.0537507509</v>
      </c>
      <c r="U24" s="64">
        <v>1001.76517704025</v>
      </c>
      <c r="V24" s="64">
        <v>1096.1150816039899</v>
      </c>
      <c r="W24" s="64">
        <v>1080.4793286945301</v>
      </c>
      <c r="X24" s="64">
        <v>1253.2635994913501</v>
      </c>
      <c r="Y24" s="64">
        <v>1242.34784835298</v>
      </c>
      <c r="Z24" s="64">
        <v>1287.6925518272601</v>
      </c>
      <c r="AA24" s="64">
        <v>1482.20771385835</v>
      </c>
      <c r="AB24" s="64">
        <v>928.51789120682304</v>
      </c>
      <c r="AC24" s="64">
        <v>1432.3612747617799</v>
      </c>
      <c r="AD24" s="64">
        <v>1344.0918114317101</v>
      </c>
      <c r="AE24" s="64">
        <v>1408.8840237116599</v>
      </c>
      <c r="AF24" s="64">
        <v>1365.33082610982</v>
      </c>
      <c r="AG24" s="64">
        <v>1446.9910001800499</v>
      </c>
      <c r="AH24" s="64">
        <v>1509.1531505764699</v>
      </c>
      <c r="AI24" s="64">
        <v>1450.3050535258001</v>
      </c>
      <c r="AJ24" s="64">
        <v>1496.56491485168</v>
      </c>
      <c r="AK24" s="64">
        <v>1554.4365595061499</v>
      </c>
      <c r="AL24" s="64">
        <v>1672.25464192597</v>
      </c>
      <c r="AM24" s="64">
        <v>1623.10710126344</v>
      </c>
    </row>
    <row r="25" spans="1:39" s="19" customFormat="1" ht="17.100000000000001" customHeight="1" x14ac:dyDescent="0.2">
      <c r="A25" s="38" t="s">
        <v>20</v>
      </c>
      <c r="B25" s="16">
        <v>1567.05001724761</v>
      </c>
      <c r="C25" s="16">
        <v>1600.0236309619199</v>
      </c>
      <c r="D25" s="16">
        <v>1642.1408623023101</v>
      </c>
      <c r="E25" s="16">
        <v>1706.70775509696</v>
      </c>
      <c r="F25" s="16">
        <v>1763.8875794923099</v>
      </c>
      <c r="G25" s="16">
        <v>1844.6505585267601</v>
      </c>
      <c r="H25" s="16">
        <v>1878.0143967831</v>
      </c>
      <c r="I25" s="16">
        <v>1937.0417247308801</v>
      </c>
      <c r="J25" s="64">
        <v>2031.2641238291801</v>
      </c>
      <c r="K25" s="64">
        <v>2063.53437690384</v>
      </c>
      <c r="L25" s="64">
        <v>2101.3765916217199</v>
      </c>
      <c r="M25" s="64">
        <v>2095.85113969435</v>
      </c>
      <c r="N25" s="64">
        <v>2180.3813980589598</v>
      </c>
      <c r="O25" s="64">
        <v>2155.0841043954701</v>
      </c>
      <c r="P25" s="64">
        <v>2276.2642701353102</v>
      </c>
      <c r="Q25" s="64">
        <v>2293.8291877911302</v>
      </c>
      <c r="R25" s="64">
        <v>2279.31334423512</v>
      </c>
      <c r="S25" s="64">
        <v>2287.2655226708398</v>
      </c>
      <c r="T25" s="64">
        <v>2318.6197342359601</v>
      </c>
      <c r="U25" s="64">
        <v>2385.8284579153701</v>
      </c>
      <c r="V25" s="64">
        <v>2452.4300442374201</v>
      </c>
      <c r="W25" s="64">
        <v>2529.0933881310998</v>
      </c>
      <c r="X25" s="64">
        <v>2581.2180675004602</v>
      </c>
      <c r="Y25" s="64">
        <v>2649.07734303799</v>
      </c>
      <c r="Z25" s="64">
        <v>2726.3161982901502</v>
      </c>
      <c r="AA25" s="64">
        <v>2773.8989890316798</v>
      </c>
      <c r="AB25" s="64">
        <v>2810.2478991012699</v>
      </c>
      <c r="AC25" s="64">
        <v>2896.2736955954001</v>
      </c>
      <c r="AD25" s="64">
        <v>2956.25819455395</v>
      </c>
      <c r="AE25" s="64">
        <v>3028.5813695598299</v>
      </c>
      <c r="AF25" s="64">
        <v>3075.0339936650598</v>
      </c>
      <c r="AG25" s="64">
        <v>3098.9467702850702</v>
      </c>
      <c r="AH25" s="64">
        <v>3122.2476513175402</v>
      </c>
      <c r="AI25" s="64">
        <v>3185.8687037199502</v>
      </c>
      <c r="AJ25" s="64">
        <v>3325.7661017700302</v>
      </c>
      <c r="AK25" s="64">
        <v>3335.8926962576902</v>
      </c>
      <c r="AL25" s="64">
        <v>3387.3184931260098</v>
      </c>
      <c r="AM25" s="64">
        <v>3387.1077842070299</v>
      </c>
    </row>
    <row r="26" spans="1:39" s="19" customFormat="1" ht="17.100000000000001" customHeight="1" x14ac:dyDescent="0.2">
      <c r="A26" s="38" t="s">
        <v>70</v>
      </c>
      <c r="B26" s="16">
        <v>636.41124540837995</v>
      </c>
      <c r="C26" s="16">
        <v>578.18701373545696</v>
      </c>
      <c r="D26" s="16">
        <v>550.45422549772104</v>
      </c>
      <c r="E26" s="16">
        <v>570.73287448428903</v>
      </c>
      <c r="F26" s="16">
        <v>635.25722235389003</v>
      </c>
      <c r="G26" s="16">
        <v>634.59551025111296</v>
      </c>
      <c r="H26" s="16">
        <v>644.95647463446699</v>
      </c>
      <c r="I26" s="16">
        <v>684.48976099224797</v>
      </c>
      <c r="J26" s="64">
        <v>644.65903077693895</v>
      </c>
      <c r="K26" s="64">
        <v>598.85236887426902</v>
      </c>
      <c r="L26" s="64">
        <v>695.25346283047099</v>
      </c>
      <c r="M26" s="64">
        <v>806.72451111696</v>
      </c>
      <c r="N26" s="64">
        <v>882.23121625614601</v>
      </c>
      <c r="O26" s="64">
        <v>798.12436776029801</v>
      </c>
      <c r="P26" s="64">
        <v>533.62081867561994</v>
      </c>
      <c r="Q26" s="64">
        <v>679.41471019959897</v>
      </c>
      <c r="R26" s="64">
        <v>631.15391935738899</v>
      </c>
      <c r="S26" s="64">
        <v>730.56146262864297</v>
      </c>
      <c r="T26" s="64">
        <v>796.92879123808098</v>
      </c>
      <c r="U26" s="64">
        <v>789.46396496919999</v>
      </c>
      <c r="V26" s="64">
        <v>846.71914055547302</v>
      </c>
      <c r="W26" s="64">
        <v>786.44476397827702</v>
      </c>
      <c r="X26" s="64">
        <v>715.76727295157798</v>
      </c>
      <c r="Y26" s="64">
        <v>763.30756606860996</v>
      </c>
      <c r="Z26" s="64">
        <v>1369.41749117775</v>
      </c>
      <c r="AA26" s="64">
        <v>1009.93021321206</v>
      </c>
      <c r="AB26" s="64">
        <v>965.956698065414</v>
      </c>
      <c r="AC26" s="64">
        <v>915.14061299887101</v>
      </c>
      <c r="AD26" s="64">
        <v>852.99803043852296</v>
      </c>
      <c r="AE26" s="64">
        <v>1521.38481889583</v>
      </c>
      <c r="AF26" s="64">
        <v>1095.4076617226001</v>
      </c>
      <c r="AG26" s="64">
        <v>1077.3193993740899</v>
      </c>
      <c r="AH26" s="64">
        <v>946.213326499201</v>
      </c>
      <c r="AI26" s="64">
        <v>1155.2148553294001</v>
      </c>
      <c r="AJ26" s="64">
        <v>1288.14102584852</v>
      </c>
      <c r="AK26" s="64">
        <v>1330.4427881348299</v>
      </c>
      <c r="AL26" s="64">
        <v>1052.24468335858</v>
      </c>
      <c r="AM26" s="64">
        <v>943.39321066433899</v>
      </c>
    </row>
    <row r="27" spans="1:39" s="19" customFormat="1" ht="17.100000000000001" customHeight="1" x14ac:dyDescent="0.2">
      <c r="A27" s="38" t="s">
        <v>74</v>
      </c>
      <c r="B27" s="16">
        <v>438.13811806320001</v>
      </c>
      <c r="C27" s="16">
        <v>472.81800302043501</v>
      </c>
      <c r="D27" s="16">
        <v>492.166049193893</v>
      </c>
      <c r="E27" s="16">
        <v>499.37472464405801</v>
      </c>
      <c r="F27" s="16">
        <v>488.35932172741201</v>
      </c>
      <c r="G27" s="16">
        <v>486.89036155245998</v>
      </c>
      <c r="H27" s="16">
        <v>506.94150677940303</v>
      </c>
      <c r="I27" s="16">
        <v>531.96269186819904</v>
      </c>
      <c r="J27" s="64">
        <v>556.24286981000296</v>
      </c>
      <c r="K27" s="64">
        <v>579.65777750995903</v>
      </c>
      <c r="L27" s="64">
        <v>611.23893927480594</v>
      </c>
      <c r="M27" s="64">
        <v>636.84303118718105</v>
      </c>
      <c r="N27" s="64">
        <v>649.18058756722803</v>
      </c>
      <c r="O27" s="64">
        <v>666.52936282815699</v>
      </c>
      <c r="P27" s="64">
        <v>629.60932239797501</v>
      </c>
      <c r="Q27" s="64">
        <v>632.32122974275205</v>
      </c>
      <c r="R27" s="64">
        <v>672.96106021502601</v>
      </c>
      <c r="S27" s="64">
        <v>701.75438642852896</v>
      </c>
      <c r="T27" s="64">
        <v>725.32459291383998</v>
      </c>
      <c r="U27" s="64">
        <v>735.56762851538895</v>
      </c>
      <c r="V27" s="64">
        <v>755.77151725871499</v>
      </c>
      <c r="W27" s="64">
        <v>789.84224953367902</v>
      </c>
      <c r="X27" s="64">
        <v>796.92295325150303</v>
      </c>
      <c r="Y27" s="64">
        <v>810.78547378720896</v>
      </c>
      <c r="Z27" s="64">
        <v>914.71166341413903</v>
      </c>
      <c r="AA27" s="64">
        <v>926.58484730489397</v>
      </c>
      <c r="AB27" s="64">
        <v>958.78134832785202</v>
      </c>
      <c r="AC27" s="64">
        <v>978.87013068760405</v>
      </c>
      <c r="AD27" s="64">
        <v>993.90087572621303</v>
      </c>
      <c r="AE27" s="64">
        <v>1026.5888234864799</v>
      </c>
      <c r="AF27" s="64">
        <v>1044.09389033091</v>
      </c>
      <c r="AG27" s="64">
        <v>1043.5159629884799</v>
      </c>
      <c r="AH27" s="64">
        <v>1027.79077735088</v>
      </c>
      <c r="AI27" s="64">
        <v>1037.4214370331999</v>
      </c>
      <c r="AJ27" s="64">
        <v>1084.4912053017899</v>
      </c>
      <c r="AK27" s="64">
        <v>1135.79154882851</v>
      </c>
      <c r="AL27" s="64">
        <v>1086.3163486723099</v>
      </c>
      <c r="AM27" s="64">
        <v>1386.7476587828501</v>
      </c>
    </row>
    <row r="28" spans="1:39" s="19" customFormat="1" ht="17.100000000000001" customHeight="1" x14ac:dyDescent="0.2">
      <c r="A28" s="38" t="s">
        <v>23</v>
      </c>
      <c r="B28" s="16">
        <v>608.39831327147101</v>
      </c>
      <c r="C28" s="16">
        <v>642.99540846359798</v>
      </c>
      <c r="D28" s="16">
        <v>682.60558405456595</v>
      </c>
      <c r="E28" s="16">
        <v>749.09209361802596</v>
      </c>
      <c r="F28" s="16">
        <v>763.12118951529499</v>
      </c>
      <c r="G28" s="16">
        <v>773.93050256501795</v>
      </c>
      <c r="H28" s="16">
        <v>766.92113324742297</v>
      </c>
      <c r="I28" s="16">
        <v>748.82783970980597</v>
      </c>
      <c r="J28" s="64">
        <v>788.76726060653505</v>
      </c>
      <c r="K28" s="64">
        <v>778.19717090097004</v>
      </c>
      <c r="L28" s="64">
        <v>821.68126675055998</v>
      </c>
      <c r="M28" s="64">
        <v>869.97136694192795</v>
      </c>
      <c r="N28" s="64">
        <v>918.96469210160399</v>
      </c>
      <c r="O28" s="64">
        <v>965.73605189766704</v>
      </c>
      <c r="P28" s="64">
        <v>974.81376836292498</v>
      </c>
      <c r="Q28" s="64">
        <v>1008.78505654156</v>
      </c>
      <c r="R28" s="64">
        <v>1060.8485937000701</v>
      </c>
      <c r="S28" s="64">
        <v>1102.6038333464701</v>
      </c>
      <c r="T28" s="64">
        <v>1214.66879364547</v>
      </c>
      <c r="U28" s="64">
        <v>1069.59629600006</v>
      </c>
      <c r="V28" s="64">
        <v>1156.84706239723</v>
      </c>
      <c r="W28" s="64">
        <v>1164.0421431684699</v>
      </c>
      <c r="X28" s="64">
        <v>1227.90950109802</v>
      </c>
      <c r="Y28" s="64">
        <v>1212.02752102664</v>
      </c>
      <c r="Z28" s="64">
        <v>1399.6662765671001</v>
      </c>
      <c r="AA28" s="64">
        <v>1326.23345284114</v>
      </c>
      <c r="AB28" s="64">
        <v>1236.41557647683</v>
      </c>
      <c r="AC28" s="64">
        <v>1260.3243194669999</v>
      </c>
      <c r="AD28" s="64">
        <v>1293.26073542479</v>
      </c>
      <c r="AE28" s="64">
        <v>1399.17232131337</v>
      </c>
      <c r="AF28" s="64">
        <v>1450.5277188187199</v>
      </c>
      <c r="AG28" s="64">
        <v>1593.0560394003601</v>
      </c>
      <c r="AH28" s="64">
        <v>1401.0068845584699</v>
      </c>
      <c r="AI28" s="64">
        <v>1510.8816895293401</v>
      </c>
      <c r="AJ28" s="64">
        <v>1624.65028782012</v>
      </c>
      <c r="AK28" s="64">
        <v>1650.3459892327901</v>
      </c>
      <c r="AL28" s="64">
        <v>1432.5001354891399</v>
      </c>
      <c r="AM28" s="64">
        <v>1684.2943162152701</v>
      </c>
    </row>
    <row r="29" spans="1:39" s="19" customFormat="1" ht="17.100000000000001" customHeight="1" x14ac:dyDescent="0.2">
      <c r="A29" s="38" t="s">
        <v>24</v>
      </c>
      <c r="B29" s="16">
        <v>1167.1803070252499</v>
      </c>
      <c r="C29" s="16">
        <v>1182.4353098891399</v>
      </c>
      <c r="D29" s="16">
        <v>1194.26233966421</v>
      </c>
      <c r="E29" s="16">
        <v>1232.24918796511</v>
      </c>
      <c r="F29" s="16">
        <v>1275.6756046739399</v>
      </c>
      <c r="G29" s="16">
        <v>1310.1587149263701</v>
      </c>
      <c r="H29" s="16">
        <v>1347.7556368636899</v>
      </c>
      <c r="I29" s="16">
        <v>1352.30255565011</v>
      </c>
      <c r="J29" s="64">
        <v>1440.28984003296</v>
      </c>
      <c r="K29" s="64">
        <v>1486.0998025654401</v>
      </c>
      <c r="L29" s="64">
        <v>1452.3944151241899</v>
      </c>
      <c r="M29" s="64">
        <v>1417.6604603815099</v>
      </c>
      <c r="N29" s="64">
        <v>1405.9513692390899</v>
      </c>
      <c r="O29" s="64">
        <v>1502.88633576391</v>
      </c>
      <c r="P29" s="64">
        <v>1488.9863665867699</v>
      </c>
      <c r="Q29" s="64">
        <v>1361.90061405195</v>
      </c>
      <c r="R29" s="64">
        <v>1226.0684519326001</v>
      </c>
      <c r="S29" s="64">
        <v>1380.55807990275</v>
      </c>
      <c r="T29" s="64">
        <v>1463.21041641696</v>
      </c>
      <c r="U29" s="64">
        <v>1494.71699574593</v>
      </c>
      <c r="V29" s="64">
        <v>1353.6363368790001</v>
      </c>
      <c r="W29" s="64">
        <v>1468.3201857599799</v>
      </c>
      <c r="X29" s="64">
        <v>1573.0672183763199</v>
      </c>
      <c r="Y29" s="64">
        <v>1465.62394224783</v>
      </c>
      <c r="Z29" s="64">
        <v>1625.52192853886</v>
      </c>
      <c r="AA29" s="64">
        <v>1623.2297343668399</v>
      </c>
      <c r="AB29" s="64">
        <v>1654.12077519166</v>
      </c>
      <c r="AC29" s="64">
        <v>1814.33185597074</v>
      </c>
      <c r="AD29" s="64">
        <v>1947.24667742784</v>
      </c>
      <c r="AE29" s="64">
        <v>1712.43208177259</v>
      </c>
      <c r="AF29" s="64">
        <v>1850.4168267341699</v>
      </c>
      <c r="AG29" s="64">
        <v>1874.8947106104299</v>
      </c>
      <c r="AH29" s="64">
        <v>1966.3209954858701</v>
      </c>
      <c r="AI29" s="64">
        <v>1961.91004886971</v>
      </c>
      <c r="AJ29" s="64">
        <v>2023.6694468138701</v>
      </c>
      <c r="AK29" s="64">
        <v>2186.8314965392101</v>
      </c>
      <c r="AL29" s="64">
        <v>2414.0253161126602</v>
      </c>
      <c r="AM29" s="64">
        <v>2424.01834082708</v>
      </c>
    </row>
    <row r="30" spans="1:39" s="19" customFormat="1" ht="17.100000000000001" customHeight="1" x14ac:dyDescent="0.2">
      <c r="A30" s="38" t="s">
        <v>71</v>
      </c>
      <c r="B30" s="16">
        <v>789.430468751322</v>
      </c>
      <c r="C30" s="16">
        <v>797.15223792885797</v>
      </c>
      <c r="D30" s="16">
        <v>832.57658543608204</v>
      </c>
      <c r="E30" s="16">
        <v>899.96619567234995</v>
      </c>
      <c r="F30" s="16">
        <v>958.69052037813594</v>
      </c>
      <c r="G30" s="16">
        <v>991.58360961988501</v>
      </c>
      <c r="H30" s="16">
        <v>1024.16192366204</v>
      </c>
      <c r="I30" s="16">
        <v>1019.22565491504</v>
      </c>
      <c r="J30" s="64">
        <v>1105.1493524530099</v>
      </c>
      <c r="K30" s="64">
        <v>1051.5172706892199</v>
      </c>
      <c r="L30" s="64">
        <v>1072.50007397322</v>
      </c>
      <c r="M30" s="64">
        <v>1102.5673853206399</v>
      </c>
      <c r="N30" s="64">
        <v>1139.2515740383401</v>
      </c>
      <c r="O30" s="64">
        <v>1129.5771786323501</v>
      </c>
      <c r="P30" s="64">
        <v>1147.93242688329</v>
      </c>
      <c r="Q30" s="64">
        <v>1078.0932476381099</v>
      </c>
      <c r="R30" s="64">
        <v>1301.3483927355501</v>
      </c>
      <c r="S30" s="64">
        <v>1230.9207420416301</v>
      </c>
      <c r="T30" s="64">
        <v>1236.9832812321599</v>
      </c>
      <c r="U30" s="64">
        <v>1307.4497065601099</v>
      </c>
      <c r="V30" s="64">
        <v>1338.47454034917</v>
      </c>
      <c r="W30" s="64">
        <v>1508.51308876241</v>
      </c>
      <c r="X30" s="64">
        <v>1477.42669347434</v>
      </c>
      <c r="Y30" s="64">
        <v>1454.07034470915</v>
      </c>
      <c r="Z30" s="64">
        <v>1543.98941908445</v>
      </c>
      <c r="AA30" s="64">
        <v>1551.3656770154601</v>
      </c>
      <c r="AB30" s="64">
        <v>1553.74738596152</v>
      </c>
      <c r="AC30" s="64">
        <v>1518.3837577484901</v>
      </c>
      <c r="AD30" s="64">
        <v>1477.3094338057001</v>
      </c>
      <c r="AE30" s="64">
        <v>1558.3908910473299</v>
      </c>
      <c r="AF30" s="64">
        <v>1587.2152625470401</v>
      </c>
      <c r="AG30" s="64">
        <v>1848.1159302441799</v>
      </c>
      <c r="AH30" s="64">
        <v>1682.0128442719599</v>
      </c>
      <c r="AI30" s="64">
        <v>1671.8126959588301</v>
      </c>
      <c r="AJ30" s="64">
        <v>1726.4573440469201</v>
      </c>
      <c r="AK30" s="64">
        <v>1694.68264795048</v>
      </c>
      <c r="AL30" s="64">
        <v>1767.7411147140899</v>
      </c>
      <c r="AM30" s="64">
        <v>1819.68237144829</v>
      </c>
    </row>
    <row r="31" spans="1:39" s="19" customFormat="1" ht="17.100000000000001" customHeight="1" x14ac:dyDescent="0.2">
      <c r="A31" s="38" t="s">
        <v>72</v>
      </c>
      <c r="B31" s="16">
        <v>24.825868563497099</v>
      </c>
      <c r="C31" s="16">
        <v>26.140812317351799</v>
      </c>
      <c r="D31" s="16">
        <v>31.7201697913187</v>
      </c>
      <c r="E31" s="16">
        <v>49.248849356608197</v>
      </c>
      <c r="F31" s="16">
        <v>40.411091300264303</v>
      </c>
      <c r="G31" s="16">
        <v>53.830112341216797</v>
      </c>
      <c r="H31" s="16">
        <v>58.284910110542</v>
      </c>
      <c r="I31" s="16">
        <v>61.791621349371603</v>
      </c>
      <c r="J31" s="64">
        <v>62.728666026935201</v>
      </c>
      <c r="K31" s="64">
        <v>60.295266152805198</v>
      </c>
      <c r="L31" s="64">
        <v>63.8121232650198</v>
      </c>
      <c r="M31" s="64">
        <v>63.010542752918198</v>
      </c>
      <c r="N31" s="64">
        <v>67.278239120694096</v>
      </c>
      <c r="O31" s="64">
        <v>68.335037912148906</v>
      </c>
      <c r="P31" s="64">
        <v>66.095275200831594</v>
      </c>
      <c r="Q31" s="64">
        <v>50.026650091912401</v>
      </c>
      <c r="R31" s="64">
        <v>49.158826514557603</v>
      </c>
      <c r="S31" s="64">
        <v>57.923269486770103</v>
      </c>
      <c r="T31" s="64">
        <v>55.750162737007798</v>
      </c>
      <c r="U31" s="64">
        <v>66.242947688858493</v>
      </c>
      <c r="V31" s="64">
        <v>66.193707204394599</v>
      </c>
      <c r="W31" s="64">
        <v>60.344719801504802</v>
      </c>
      <c r="X31" s="64">
        <v>49.158010856214197</v>
      </c>
      <c r="Y31" s="64">
        <v>58.542711068271501</v>
      </c>
      <c r="Z31" s="64">
        <v>43.010328581856903</v>
      </c>
      <c r="AA31" s="64">
        <v>67.610621440146005</v>
      </c>
      <c r="AB31" s="64">
        <v>69.953552528706098</v>
      </c>
      <c r="AC31" s="64">
        <v>82.871380971927493</v>
      </c>
      <c r="AD31" s="64">
        <v>78.673117589564399</v>
      </c>
      <c r="AE31" s="64">
        <v>69.952371636375403</v>
      </c>
      <c r="AF31" s="64">
        <v>84.617632875198296</v>
      </c>
      <c r="AG31" s="64">
        <v>81.262155312038402</v>
      </c>
      <c r="AH31" s="64">
        <v>92.440716649956201</v>
      </c>
      <c r="AI31" s="64">
        <v>85.990080129597899</v>
      </c>
      <c r="AJ31" s="64">
        <v>96.791434265818097</v>
      </c>
      <c r="AK31" s="64">
        <v>78.176207360718806</v>
      </c>
      <c r="AL31" s="64">
        <v>90.993398756315798</v>
      </c>
      <c r="AM31" s="64">
        <v>87.234757551852596</v>
      </c>
    </row>
    <row r="32" spans="1:39" s="19" customFormat="1" ht="17.100000000000001" customHeight="1" x14ac:dyDescent="0.2">
      <c r="A32" s="38" t="s">
        <v>27</v>
      </c>
      <c r="B32" s="16">
        <v>739.25987195480297</v>
      </c>
      <c r="C32" s="16">
        <v>745.14143507030997</v>
      </c>
      <c r="D32" s="16">
        <v>765.61221013101897</v>
      </c>
      <c r="E32" s="16">
        <v>734.75455127328996</v>
      </c>
      <c r="F32" s="16">
        <v>742.21995674157495</v>
      </c>
      <c r="G32" s="16">
        <v>745.25286094485705</v>
      </c>
      <c r="H32" s="16">
        <v>730.60352596981897</v>
      </c>
      <c r="I32" s="16">
        <v>741.15757842612004</v>
      </c>
      <c r="J32" s="64">
        <v>754.151119416131</v>
      </c>
      <c r="K32" s="64">
        <v>761.88855381643702</v>
      </c>
      <c r="L32" s="64">
        <v>777.35592293673801</v>
      </c>
      <c r="M32" s="64">
        <v>826.11305034381996</v>
      </c>
      <c r="N32" s="64">
        <v>847.66918029669796</v>
      </c>
      <c r="O32" s="64">
        <v>866.33682069612303</v>
      </c>
      <c r="P32" s="64">
        <v>872.75158429687394</v>
      </c>
      <c r="Q32" s="64">
        <v>868.77993509430598</v>
      </c>
      <c r="R32" s="64">
        <v>896.54870306688804</v>
      </c>
      <c r="S32" s="64">
        <v>911.97754921482601</v>
      </c>
      <c r="T32" s="64">
        <v>936.47167011086799</v>
      </c>
      <c r="U32" s="64">
        <v>935.34208038732902</v>
      </c>
      <c r="V32" s="64">
        <v>898.06064704882397</v>
      </c>
      <c r="W32" s="64">
        <v>869.18127946934806</v>
      </c>
      <c r="X32" s="64">
        <v>930.437213933458</v>
      </c>
      <c r="Y32" s="64">
        <v>931.52107278522999</v>
      </c>
      <c r="Z32" s="64">
        <v>894.60664334937997</v>
      </c>
      <c r="AA32" s="64">
        <v>903.64718509029797</v>
      </c>
      <c r="AB32" s="64">
        <v>907.52651829166098</v>
      </c>
      <c r="AC32" s="64">
        <v>919.37612158356899</v>
      </c>
      <c r="AD32" s="64">
        <v>996.25164577276303</v>
      </c>
      <c r="AE32" s="64">
        <v>1157.4466324371399</v>
      </c>
      <c r="AF32" s="64">
        <v>1056.4028220180001</v>
      </c>
      <c r="AG32" s="64">
        <v>961.435493415461</v>
      </c>
      <c r="AH32" s="64">
        <v>1144.0825373518701</v>
      </c>
      <c r="AI32" s="64">
        <v>1167.80346973018</v>
      </c>
      <c r="AJ32" s="64">
        <v>1170.77727214935</v>
      </c>
      <c r="AK32" s="64">
        <v>1195.0791946908701</v>
      </c>
      <c r="AL32" s="64">
        <v>1222.1059039939</v>
      </c>
      <c r="AM32" s="64">
        <v>1131.24201352523</v>
      </c>
    </row>
    <row r="33" spans="1:39" s="19" customFormat="1" ht="17.100000000000001" customHeight="1" x14ac:dyDescent="0.2">
      <c r="A33" s="38" t="s">
        <v>69</v>
      </c>
      <c r="B33" s="16">
        <v>214.19351723912001</v>
      </c>
      <c r="C33" s="16">
        <v>220.09919018820199</v>
      </c>
      <c r="D33" s="16">
        <v>226.18612123846199</v>
      </c>
      <c r="E33" s="16">
        <v>230.87482889205299</v>
      </c>
      <c r="F33" s="16">
        <v>233.084488640377</v>
      </c>
      <c r="G33" s="16">
        <v>236.740132402033</v>
      </c>
      <c r="H33" s="16">
        <v>239.704427436803</v>
      </c>
      <c r="I33" s="16">
        <v>242.93750447289099</v>
      </c>
      <c r="J33" s="64">
        <v>246.78203357831401</v>
      </c>
      <c r="K33" s="64">
        <v>249.31314805870599</v>
      </c>
      <c r="L33" s="64">
        <v>251.97257453519799</v>
      </c>
      <c r="M33" s="64">
        <v>254.83009271113201</v>
      </c>
      <c r="N33" s="64">
        <v>257.60984276941701</v>
      </c>
      <c r="O33" s="64">
        <v>261.117364586284</v>
      </c>
      <c r="P33" s="64">
        <v>265.133755269875</v>
      </c>
      <c r="Q33" s="64">
        <v>268.97537030511199</v>
      </c>
      <c r="R33" s="64">
        <v>272.00297613151002</v>
      </c>
      <c r="S33" s="64">
        <v>274.91048306034298</v>
      </c>
      <c r="T33" s="64">
        <v>278.43405100375099</v>
      </c>
      <c r="U33" s="64">
        <v>281.82779850543898</v>
      </c>
      <c r="V33" s="64">
        <v>285.39043987531602</v>
      </c>
      <c r="W33" s="64">
        <v>289.636998521289</v>
      </c>
      <c r="X33" s="64">
        <v>295.66811376504302</v>
      </c>
      <c r="Y33" s="64">
        <v>307.38293830318702</v>
      </c>
      <c r="Z33" s="64">
        <v>320.09611645102399</v>
      </c>
      <c r="AA33" s="64">
        <v>329.23821163117498</v>
      </c>
      <c r="AB33" s="64">
        <v>332.90738798704399</v>
      </c>
      <c r="AC33" s="64">
        <v>336.19756273228199</v>
      </c>
      <c r="AD33" s="64">
        <v>339.98422028269601</v>
      </c>
      <c r="AE33" s="64">
        <v>346.779713471592</v>
      </c>
      <c r="AF33" s="64">
        <v>352.44955523624202</v>
      </c>
      <c r="AG33" s="64">
        <v>357.48714779242601</v>
      </c>
      <c r="AH33" s="64">
        <v>361.43067246081199</v>
      </c>
      <c r="AI33" s="64">
        <v>367.053891879736</v>
      </c>
      <c r="AJ33" s="64">
        <v>374.76349595351002</v>
      </c>
      <c r="AK33" s="64">
        <v>381.04251374495402</v>
      </c>
      <c r="AL33" s="64">
        <v>385.70621433602298</v>
      </c>
      <c r="AM33" s="64">
        <v>386.895992312381</v>
      </c>
    </row>
    <row r="34" spans="1:39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</row>
    <row r="35" spans="1:39" s="51" customFormat="1" ht="17.100000000000001" customHeight="1" x14ac:dyDescent="0.2">
      <c r="A35" s="52" t="s">
        <v>84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</row>
    <row r="36" spans="1:39" s="27" customFormat="1" ht="17.100000000000001" customHeight="1" thickBot="1" x14ac:dyDescent="0.25">
      <c r="A36" s="25" t="s">
        <v>30</v>
      </c>
      <c r="B36" s="26">
        <v>1804.6906987362199</v>
      </c>
      <c r="C36" s="26">
        <v>1821.5139825183601</v>
      </c>
      <c r="D36" s="26">
        <v>1967.26186239041</v>
      </c>
      <c r="E36" s="26">
        <v>2036.19949258574</v>
      </c>
      <c r="F36" s="26">
        <v>2016.65951680597</v>
      </c>
      <c r="G36" s="26">
        <v>2106.0092888925201</v>
      </c>
      <c r="H36" s="26">
        <v>2213.37873136394</v>
      </c>
      <c r="I36" s="26">
        <v>2305.5391999943399</v>
      </c>
      <c r="J36" s="65">
        <v>2419.85350183318</v>
      </c>
      <c r="K36" s="65">
        <v>2495.0658010110301</v>
      </c>
      <c r="L36" s="65">
        <v>2462.6120928840101</v>
      </c>
      <c r="M36" s="65">
        <v>2442.9902799350298</v>
      </c>
      <c r="N36" s="65">
        <v>2561.3233126673099</v>
      </c>
      <c r="O36" s="65">
        <v>2599.4062342305801</v>
      </c>
      <c r="P36" s="65">
        <v>2603.9758569511</v>
      </c>
      <c r="Q36" s="65">
        <v>1647.8655849936799</v>
      </c>
      <c r="R36" s="65">
        <v>2589.87076800768</v>
      </c>
      <c r="S36" s="65">
        <v>2655.2596280278099</v>
      </c>
      <c r="T36" s="65">
        <v>2625.3188033965498</v>
      </c>
      <c r="U36" s="65">
        <v>2745.5562466821202</v>
      </c>
      <c r="V36" s="65">
        <v>2770.9739404029001</v>
      </c>
      <c r="W36" s="65">
        <v>3145.3546545808999</v>
      </c>
      <c r="X36" s="65">
        <v>3236.6783886367898</v>
      </c>
      <c r="Y36" s="65">
        <v>3145.3792317622601</v>
      </c>
      <c r="Z36" s="65">
        <v>3316.7243141670601</v>
      </c>
      <c r="AA36" s="65">
        <v>3163.5209052458099</v>
      </c>
      <c r="AB36" s="65">
        <v>3587.8551917773202</v>
      </c>
      <c r="AC36" s="65">
        <v>3905.2425297567702</v>
      </c>
      <c r="AD36" s="65">
        <v>3704.2814171178502</v>
      </c>
      <c r="AE36" s="65">
        <v>3661.61107764185</v>
      </c>
      <c r="AF36" s="65">
        <v>3796.5472460231199</v>
      </c>
      <c r="AG36" s="65">
        <v>3847.3338490278702</v>
      </c>
      <c r="AH36" s="65">
        <v>4175.8079125700997</v>
      </c>
      <c r="AI36" s="65">
        <v>4163.9316571218196</v>
      </c>
      <c r="AJ36" s="65">
        <v>4166.4591703870301</v>
      </c>
      <c r="AK36" s="65">
        <v>4578.1560619050797</v>
      </c>
      <c r="AL36" s="65">
        <v>4285.4659094299404</v>
      </c>
      <c r="AM36" s="65">
        <v>4561.0785029184399</v>
      </c>
    </row>
    <row r="37" spans="1:39" x14ac:dyDescent="0.2">
      <c r="A37" s="14" t="s">
        <v>63</v>
      </c>
      <c r="H37" s="40"/>
    </row>
  </sheetData>
  <mergeCells count="10">
    <mergeCell ref="B3:E3"/>
    <mergeCell ref="Z3:AC3"/>
    <mergeCell ref="R3:U3"/>
    <mergeCell ref="N3:P3"/>
    <mergeCell ref="J3:M3"/>
    <mergeCell ref="AL3:AM3"/>
    <mergeCell ref="AH3:AK3"/>
    <mergeCell ref="AD3:AG3"/>
    <mergeCell ref="F3:I3"/>
    <mergeCell ref="V3:Y3"/>
  </mergeCells>
  <phoneticPr fontId="17" type="noConversion"/>
  <pageMargins left="3.937007874015748E-2" right="0" top="0.51181102362204722" bottom="0.15748031496062992" header="0.31496062992125984" footer="0.31496062992125984"/>
  <pageSetup scale="45" orientation="landscape" r:id="rId1"/>
  <colBreaks count="1" manualBreakCount="1">
    <brk id="5" max="36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M37"/>
  <sheetViews>
    <sheetView view="pageBreakPreview" zoomScale="120" zoomScaleSheetLayoutView="120" workbookViewId="0"/>
  </sheetViews>
  <sheetFormatPr defaultColWidth="9.140625" defaultRowHeight="12" x14ac:dyDescent="0.2"/>
  <cols>
    <col min="1" max="1" width="26.85546875" style="29" customWidth="1"/>
    <col min="2" max="4" width="7.28515625" style="29" customWidth="1"/>
    <col min="5" max="9" width="6.28515625" style="29" bestFit="1" customWidth="1"/>
    <col min="10" max="27" width="8.5703125" style="17" customWidth="1"/>
    <col min="28" max="38" width="9.140625" style="29"/>
    <col min="39" max="39" width="6.5703125" style="29" bestFit="1" customWidth="1"/>
    <col min="40" max="16384" width="9.140625" style="29"/>
  </cols>
  <sheetData>
    <row r="1" spans="1:39" ht="18" customHeight="1" thickBot="1" x14ac:dyDescent="0.25">
      <c r="A1" s="18" t="s">
        <v>126</v>
      </c>
      <c r="B1" s="18"/>
    </row>
    <row r="2" spans="1:39" ht="9" hidden="1" customHeight="1" thickBot="1" x14ac:dyDescent="0.25"/>
    <row r="3" spans="1:39" s="47" customFormat="1" ht="15" customHeight="1" x14ac:dyDescent="0.2">
      <c r="B3" s="149" t="s">
        <v>75</v>
      </c>
      <c r="C3" s="149"/>
      <c r="D3" s="149"/>
      <c r="E3" s="149"/>
      <c r="F3" s="149" t="s">
        <v>79</v>
      </c>
      <c r="G3" s="149"/>
      <c r="H3" s="149"/>
      <c r="I3" s="149"/>
      <c r="J3" s="150" t="s">
        <v>85</v>
      </c>
      <c r="K3" s="150"/>
      <c r="L3" s="150"/>
      <c r="M3" s="150"/>
      <c r="N3" s="150" t="s">
        <v>86</v>
      </c>
      <c r="O3" s="150"/>
      <c r="P3" s="150"/>
      <c r="Q3" s="60"/>
      <c r="R3" s="150" t="s">
        <v>89</v>
      </c>
      <c r="S3" s="150"/>
      <c r="T3" s="150"/>
      <c r="U3" s="150"/>
      <c r="V3" s="150" t="s">
        <v>90</v>
      </c>
      <c r="W3" s="150"/>
      <c r="X3" s="150"/>
      <c r="Y3" s="150"/>
      <c r="Z3" s="150" t="s">
        <v>91</v>
      </c>
      <c r="AA3" s="150"/>
      <c r="AB3" s="150"/>
      <c r="AC3" s="150"/>
      <c r="AD3" s="149" t="s">
        <v>92</v>
      </c>
      <c r="AE3" s="149"/>
      <c r="AF3" s="149"/>
      <c r="AG3" s="149"/>
      <c r="AH3" s="149" t="s">
        <v>118</v>
      </c>
      <c r="AI3" s="149"/>
      <c r="AJ3" s="149"/>
      <c r="AK3" s="149"/>
      <c r="AL3" s="149" t="s">
        <v>120</v>
      </c>
      <c r="AM3" s="149"/>
    </row>
    <row r="4" spans="1:39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2" t="s">
        <v>57</v>
      </c>
      <c r="K4" s="62" t="s">
        <v>58</v>
      </c>
      <c r="L4" s="62" t="s">
        <v>59</v>
      </c>
      <c r="M4" s="62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</row>
    <row r="5" spans="1:39" s="20" customFormat="1" ht="17.100000000000001" customHeight="1" x14ac:dyDescent="0.2">
      <c r="A5" s="21" t="s">
        <v>80</v>
      </c>
      <c r="B5" s="36">
        <v>100.00000000000001</v>
      </c>
      <c r="C5" s="36">
        <v>99.999999999999972</v>
      </c>
      <c r="D5" s="36">
        <v>100</v>
      </c>
      <c r="E5" s="36">
        <v>100</v>
      </c>
      <c r="F5" s="36">
        <v>100</v>
      </c>
      <c r="G5" s="36">
        <v>100</v>
      </c>
      <c r="H5" s="36">
        <v>100</v>
      </c>
      <c r="I5" s="36">
        <v>100</v>
      </c>
      <c r="J5" s="70">
        <v>99.999999999999986</v>
      </c>
      <c r="K5" s="70">
        <v>99.999999999999986</v>
      </c>
      <c r="L5" s="70">
        <v>99.999999999999986</v>
      </c>
      <c r="M5" s="70">
        <v>100</v>
      </c>
      <c r="N5" s="70">
        <v>100.00000000000001</v>
      </c>
      <c r="O5" s="70">
        <v>100</v>
      </c>
      <c r="P5" s="70">
        <v>100</v>
      </c>
      <c r="Q5" s="70">
        <v>100</v>
      </c>
      <c r="R5" s="70">
        <v>100</v>
      </c>
      <c r="S5" s="70">
        <v>100</v>
      </c>
      <c r="T5" s="70">
        <v>100</v>
      </c>
      <c r="U5" s="70">
        <v>99.999999999999986</v>
      </c>
      <c r="V5" s="70">
        <v>99.999999999999972</v>
      </c>
      <c r="W5" s="70">
        <v>100.00000000000003</v>
      </c>
      <c r="X5" s="70">
        <v>100.00000000000001</v>
      </c>
      <c r="Y5" s="70">
        <v>99.999999999999986</v>
      </c>
      <c r="Z5" s="70">
        <v>100</v>
      </c>
      <c r="AA5" s="70">
        <v>100.00000000000001</v>
      </c>
      <c r="AB5" s="70">
        <v>100</v>
      </c>
      <c r="AC5" s="70">
        <v>99.999999999999972</v>
      </c>
      <c r="AD5" s="70">
        <v>100.00000000000001</v>
      </c>
      <c r="AE5" s="70">
        <v>100</v>
      </c>
      <c r="AF5" s="70">
        <v>99.999999999999986</v>
      </c>
      <c r="AG5" s="70">
        <v>100</v>
      </c>
      <c r="AH5" s="70">
        <v>100.00000000000001</v>
      </c>
      <c r="AI5" s="70">
        <v>99.999999999999986</v>
      </c>
      <c r="AJ5" s="70">
        <v>100</v>
      </c>
      <c r="AK5" s="70">
        <v>99.999999999999986</v>
      </c>
      <c r="AL5" s="70">
        <v>100</v>
      </c>
      <c r="AM5" s="70">
        <v>100.00000000000001</v>
      </c>
    </row>
    <row r="6" spans="1:39" s="54" customFormat="1" ht="17.100000000000001" customHeight="1" x14ac:dyDescent="0.2">
      <c r="A6" s="52" t="s">
        <v>81</v>
      </c>
      <c r="B6" s="56">
        <v>23.595650560348147</v>
      </c>
      <c r="C6" s="56">
        <v>24.241490851766599</v>
      </c>
      <c r="D6" s="56">
        <v>23.848322824064081</v>
      </c>
      <c r="E6" s="56">
        <v>22.512381515309766</v>
      </c>
      <c r="F6" s="56">
        <v>23.223838325326895</v>
      </c>
      <c r="G6" s="56">
        <v>21.815279487323245</v>
      </c>
      <c r="H6" s="56">
        <v>24.57167933030285</v>
      </c>
      <c r="I6" s="56">
        <v>23.681621677010686</v>
      </c>
      <c r="J6" s="71">
        <v>21.712803221658969</v>
      </c>
      <c r="K6" s="71">
        <v>22.639489210638224</v>
      </c>
      <c r="L6" s="71">
        <v>24.547798748647754</v>
      </c>
      <c r="M6" s="71">
        <v>23.787213814749919</v>
      </c>
      <c r="N6" s="71">
        <v>22.636884233101199</v>
      </c>
      <c r="O6" s="71">
        <v>23.915656737738434</v>
      </c>
      <c r="P6" s="71">
        <v>23.896436496836674</v>
      </c>
      <c r="Q6" s="71">
        <v>25.813754070546189</v>
      </c>
      <c r="R6" s="71">
        <v>23.924309249891355</v>
      </c>
      <c r="S6" s="71">
        <v>24.78802930485832</v>
      </c>
      <c r="T6" s="71">
        <v>22.373694566703076</v>
      </c>
      <c r="U6" s="71">
        <v>23.937280748634258</v>
      </c>
      <c r="V6" s="71">
        <v>25.053752675702235</v>
      </c>
      <c r="W6" s="71">
        <v>23.942603719362694</v>
      </c>
      <c r="X6" s="71">
        <v>22.775252474404066</v>
      </c>
      <c r="Y6" s="71">
        <v>24.221647135642719</v>
      </c>
      <c r="Z6" s="71">
        <v>23.637784162632784</v>
      </c>
      <c r="AA6" s="71">
        <v>25.121022843291065</v>
      </c>
      <c r="AB6" s="71">
        <v>23.48700029146362</v>
      </c>
      <c r="AC6" s="71">
        <v>23.478323513750141</v>
      </c>
      <c r="AD6" s="71">
        <v>23.490843846801564</v>
      </c>
      <c r="AE6" s="71">
        <v>24.159966490147394</v>
      </c>
      <c r="AF6" s="71">
        <v>24.070962533097848</v>
      </c>
      <c r="AG6" s="71">
        <v>26.243216140920641</v>
      </c>
      <c r="AH6" s="71">
        <v>25.107472676459686</v>
      </c>
      <c r="AI6" s="71">
        <v>26.175661258415595</v>
      </c>
      <c r="AJ6" s="71">
        <v>26.041202395721481</v>
      </c>
      <c r="AK6" s="71">
        <v>26.580756731114192</v>
      </c>
      <c r="AL6" s="71">
        <v>24.982376270891738</v>
      </c>
      <c r="AM6" s="71">
        <v>26.277536830925605</v>
      </c>
    </row>
    <row r="7" spans="1:39" s="19" customFormat="1" ht="17.100000000000001" customHeight="1" x14ac:dyDescent="0.2">
      <c r="A7" s="37" t="s">
        <v>2</v>
      </c>
      <c r="B7" s="42">
        <v>1.9102180938745561</v>
      </c>
      <c r="C7" s="42">
        <v>2.6241657762768735</v>
      </c>
      <c r="D7" s="42">
        <v>2.3738862013189954</v>
      </c>
      <c r="E7" s="42">
        <v>2.5128850473084867</v>
      </c>
      <c r="F7" s="42">
        <v>2.5209759447123758</v>
      </c>
      <c r="G7" s="42">
        <v>2.3253875912638948</v>
      </c>
      <c r="H7" s="42">
        <v>2.0977554491129178</v>
      </c>
      <c r="I7" s="42">
        <v>2.0382113395884938</v>
      </c>
      <c r="J7" s="75">
        <v>2.1773463182763195</v>
      </c>
      <c r="K7" s="75">
        <v>2.0228609046521773</v>
      </c>
      <c r="L7" s="75">
        <v>1.8355598195749918</v>
      </c>
      <c r="M7" s="75">
        <v>1.835237389467512</v>
      </c>
      <c r="N7" s="75">
        <v>1.8079992458375702</v>
      </c>
      <c r="O7" s="75">
        <v>1.9040428394520434</v>
      </c>
      <c r="P7" s="75">
        <v>2.1466705881779053</v>
      </c>
      <c r="Q7" s="75">
        <v>1.893224234965651</v>
      </c>
      <c r="R7" s="75">
        <v>1.8496901154511591</v>
      </c>
      <c r="S7" s="75">
        <v>1.8926352903198935</v>
      </c>
      <c r="T7" s="75">
        <v>2.1904374661224981</v>
      </c>
      <c r="U7" s="75">
        <v>2.3530078230882685</v>
      </c>
      <c r="V7" s="75">
        <v>2.5822207607000371</v>
      </c>
      <c r="W7" s="75">
        <v>2.911384640557853</v>
      </c>
      <c r="X7" s="75">
        <v>2.7610912376163999</v>
      </c>
      <c r="Y7" s="75">
        <v>2.6976679460599025</v>
      </c>
      <c r="Z7" s="75">
        <v>2.6698033752523478</v>
      </c>
      <c r="AA7" s="75">
        <v>2.4527851330355528</v>
      </c>
      <c r="AB7" s="75">
        <v>2.5163546451092467</v>
      </c>
      <c r="AC7" s="75">
        <v>2.6004461610536884</v>
      </c>
      <c r="AD7" s="75">
        <v>3.0123743068995306</v>
      </c>
      <c r="AE7" s="75">
        <v>3.3109797652518176</v>
      </c>
      <c r="AF7" s="75">
        <v>3.894143805748985</v>
      </c>
      <c r="AG7" s="75">
        <v>4.0314139524489692</v>
      </c>
      <c r="AH7" s="75">
        <v>4.0233725394260711</v>
      </c>
      <c r="AI7" s="75">
        <v>4.6942706530969813</v>
      </c>
      <c r="AJ7" s="75">
        <v>5.0075753316816369</v>
      </c>
      <c r="AK7" s="75">
        <v>6.4699579259235156</v>
      </c>
      <c r="AL7" s="75">
        <v>4.6130235523892278</v>
      </c>
      <c r="AM7" s="75">
        <v>4.8723137570605157</v>
      </c>
    </row>
    <row r="8" spans="1:39" s="19" customFormat="1" ht="17.100000000000001" customHeight="1" x14ac:dyDescent="0.2">
      <c r="A8" s="37" t="s">
        <v>3</v>
      </c>
      <c r="B8" s="42">
        <v>12.912212387633767</v>
      </c>
      <c r="C8" s="42">
        <v>12.373055979049475</v>
      </c>
      <c r="D8" s="42">
        <v>12.789915034180661</v>
      </c>
      <c r="E8" s="42">
        <v>11.667442836356916</v>
      </c>
      <c r="F8" s="42">
        <v>12.877087649429706</v>
      </c>
      <c r="G8" s="42">
        <v>11.991921466232361</v>
      </c>
      <c r="H8" s="42">
        <v>13.467501495120215</v>
      </c>
      <c r="I8" s="42">
        <v>11.831999235768217</v>
      </c>
      <c r="J8" s="75">
        <v>11.057016614405821</v>
      </c>
      <c r="K8" s="75">
        <v>11.090769369904597</v>
      </c>
      <c r="L8" s="75">
        <v>13.036386615369491</v>
      </c>
      <c r="M8" s="75">
        <v>11.943696403941978</v>
      </c>
      <c r="N8" s="75">
        <v>10.927263697483202</v>
      </c>
      <c r="O8" s="75">
        <v>11.095958937513947</v>
      </c>
      <c r="P8" s="75">
        <v>11.799571248031903</v>
      </c>
      <c r="Q8" s="75">
        <v>13.225043949900833</v>
      </c>
      <c r="R8" s="75">
        <v>12.007332222196018</v>
      </c>
      <c r="S8" s="75">
        <v>11.261473960349086</v>
      </c>
      <c r="T8" s="75">
        <v>10.441903947534893</v>
      </c>
      <c r="U8" s="75">
        <v>11.747954704759312</v>
      </c>
      <c r="V8" s="75">
        <v>12.032802426140501</v>
      </c>
      <c r="W8" s="75">
        <v>11.051135939956341</v>
      </c>
      <c r="X8" s="75">
        <v>10.384658427431251</v>
      </c>
      <c r="Y8" s="75">
        <v>12.049113047422859</v>
      </c>
      <c r="Z8" s="75">
        <v>12.195804144799883</v>
      </c>
      <c r="AA8" s="75">
        <v>12.645689789918885</v>
      </c>
      <c r="AB8" s="75">
        <v>10.378003349239462</v>
      </c>
      <c r="AC8" s="75">
        <v>11.525425691786177</v>
      </c>
      <c r="AD8" s="75">
        <v>11.439598212572029</v>
      </c>
      <c r="AE8" s="75">
        <v>11.248976217138615</v>
      </c>
      <c r="AF8" s="75">
        <v>10.225661672079998</v>
      </c>
      <c r="AG8" s="75">
        <v>11.872092539741191</v>
      </c>
      <c r="AH8" s="75">
        <v>11.769079728585451</v>
      </c>
      <c r="AI8" s="75">
        <v>11.527674825709655</v>
      </c>
      <c r="AJ8" s="75">
        <v>10.159811063318267</v>
      </c>
      <c r="AK8" s="75">
        <v>9.8611160166111009</v>
      </c>
      <c r="AL8" s="75">
        <v>10.144489696981591</v>
      </c>
      <c r="AM8" s="75">
        <v>11.304028065886115</v>
      </c>
    </row>
    <row r="9" spans="1:39" s="19" customFormat="1" ht="17.100000000000001" customHeight="1" x14ac:dyDescent="0.2">
      <c r="A9" s="37" t="s">
        <v>4</v>
      </c>
      <c r="B9" s="42">
        <v>3.0768988216359743</v>
      </c>
      <c r="C9" s="42">
        <v>3.0330145745698465</v>
      </c>
      <c r="D9" s="42">
        <v>2.9927993066517518</v>
      </c>
      <c r="E9" s="42">
        <v>3.079361635301713</v>
      </c>
      <c r="F9" s="42">
        <v>3.2233446892646485</v>
      </c>
      <c r="G9" s="42">
        <v>3.3104908659352281</v>
      </c>
      <c r="H9" s="42">
        <v>3.1713355773557077</v>
      </c>
      <c r="I9" s="42">
        <v>3.1543348850582777</v>
      </c>
      <c r="J9" s="75">
        <v>3.3290751841040604</v>
      </c>
      <c r="K9" s="75">
        <v>3.3828727655070217</v>
      </c>
      <c r="L9" s="75">
        <v>3.3823655527836496</v>
      </c>
      <c r="M9" s="75">
        <v>3.45521712751317</v>
      </c>
      <c r="N9" s="75">
        <v>3.4847866936852094</v>
      </c>
      <c r="O9" s="75">
        <v>3.5014609019097858</v>
      </c>
      <c r="P9" s="75">
        <v>3.8063529142430532</v>
      </c>
      <c r="Q9" s="75">
        <v>4.3316912239595249</v>
      </c>
      <c r="R9" s="75">
        <v>3.9356496561412069</v>
      </c>
      <c r="S9" s="75">
        <v>3.8715662711988896</v>
      </c>
      <c r="T9" s="75">
        <v>3.893191836433791</v>
      </c>
      <c r="U9" s="75">
        <v>4.051908905119916</v>
      </c>
      <c r="V9" s="75">
        <v>4.1556193655882367</v>
      </c>
      <c r="W9" s="75">
        <v>4.031650666459571</v>
      </c>
      <c r="X9" s="75">
        <v>3.8639707837977779</v>
      </c>
      <c r="Y9" s="75">
        <v>3.8452085725641889</v>
      </c>
      <c r="Z9" s="75">
        <v>3.8948319490463454</v>
      </c>
      <c r="AA9" s="75">
        <v>4.0040976178032084</v>
      </c>
      <c r="AB9" s="75">
        <v>4.309119470177964</v>
      </c>
      <c r="AC9" s="75">
        <v>4.0730136028914803</v>
      </c>
      <c r="AD9" s="75">
        <v>4.0483832009440706</v>
      </c>
      <c r="AE9" s="75">
        <v>4.1478477260686795</v>
      </c>
      <c r="AF9" s="75">
        <v>4.3030612509132924</v>
      </c>
      <c r="AG9" s="75">
        <v>4.2710109435900296</v>
      </c>
      <c r="AH9" s="75">
        <v>4.2725368510391775</v>
      </c>
      <c r="AI9" s="75">
        <v>4.3979284325217147</v>
      </c>
      <c r="AJ9" s="75">
        <v>4.4740593113299729</v>
      </c>
      <c r="AK9" s="75">
        <v>4.5609684634802541</v>
      </c>
      <c r="AL9" s="75">
        <v>4.6598485548249382</v>
      </c>
      <c r="AM9" s="75">
        <v>4.5224494329905198</v>
      </c>
    </row>
    <row r="10" spans="1:39" s="19" customFormat="1" ht="17.100000000000001" customHeight="1" x14ac:dyDescent="0.2">
      <c r="A10" s="37" t="s">
        <v>5</v>
      </c>
      <c r="B10" s="42">
        <v>1.6411934309448779E-2</v>
      </c>
      <c r="C10" s="42">
        <v>1.5384239927589532E-2</v>
      </c>
      <c r="D10" s="42">
        <v>1.4489657195932728E-2</v>
      </c>
      <c r="E10" s="42">
        <v>1.4578834339394785E-2</v>
      </c>
      <c r="F10" s="42">
        <v>1.1916285056898082E-2</v>
      </c>
      <c r="G10" s="42">
        <v>1.2344315345507839E-2</v>
      </c>
      <c r="H10" s="42">
        <v>1.1884689355411499E-2</v>
      </c>
      <c r="I10" s="42">
        <v>1.1920822732472558E-2</v>
      </c>
      <c r="J10" s="75">
        <v>1.3270471024437043E-2</v>
      </c>
      <c r="K10" s="75">
        <v>1.3710642265380397E-2</v>
      </c>
      <c r="L10" s="75">
        <v>1.3154983850275059E-2</v>
      </c>
      <c r="M10" s="75">
        <v>1.5068407747357055E-2</v>
      </c>
      <c r="N10" s="75">
        <v>1.4941507752257933E-2</v>
      </c>
      <c r="O10" s="75">
        <v>1.3768000242861261E-2</v>
      </c>
      <c r="P10" s="75">
        <v>1.3062142384712245E-2</v>
      </c>
      <c r="Q10" s="75">
        <v>1.4016631093930499E-2</v>
      </c>
      <c r="R10" s="75">
        <v>1.2909721259414839E-2</v>
      </c>
      <c r="S10" s="75">
        <v>1.3255865609791931E-2</v>
      </c>
      <c r="T10" s="75">
        <v>1.4232871259090469E-2</v>
      </c>
      <c r="U10" s="75">
        <v>1.3982998004489836E-2</v>
      </c>
      <c r="V10" s="75">
        <v>1.3978057148449142E-2</v>
      </c>
      <c r="W10" s="75">
        <v>1.3301050345246819E-2</v>
      </c>
      <c r="X10" s="75">
        <v>1.2855492232852036E-2</v>
      </c>
      <c r="Y10" s="75">
        <v>1.2498881145319676E-2</v>
      </c>
      <c r="Z10" s="75">
        <v>1.2119366543927338E-2</v>
      </c>
      <c r="AA10" s="75">
        <v>1.2258294499276309E-2</v>
      </c>
      <c r="AB10" s="75">
        <v>1.2766059729772277E-2</v>
      </c>
      <c r="AC10" s="75">
        <v>1.1783723631537043E-2</v>
      </c>
      <c r="AD10" s="75">
        <v>1.155364091795613E-2</v>
      </c>
      <c r="AE10" s="75">
        <v>1.1574644736074634E-2</v>
      </c>
      <c r="AF10" s="75">
        <v>1.191040642973923E-2</v>
      </c>
      <c r="AG10" s="75">
        <v>1.1555797422918537E-2</v>
      </c>
      <c r="AH10" s="75">
        <v>1.1261251302770706E-2</v>
      </c>
      <c r="AI10" s="75">
        <v>1.0668744444677736E-2</v>
      </c>
      <c r="AJ10" s="75">
        <v>1.01584283428863E-2</v>
      </c>
      <c r="AK10" s="75">
        <v>1.1037469652263822E-2</v>
      </c>
      <c r="AL10" s="75">
        <v>9.1636286083317912E-3</v>
      </c>
      <c r="AM10" s="75">
        <v>9.7962508519684778E-3</v>
      </c>
    </row>
    <row r="11" spans="1:39" s="19" customFormat="1" ht="17.100000000000001" customHeight="1" x14ac:dyDescent="0.2">
      <c r="A11" s="37" t="s">
        <v>6</v>
      </c>
      <c r="B11" s="42">
        <v>3.4920750316114191</v>
      </c>
      <c r="C11" s="42">
        <v>4.1145635013523618</v>
      </c>
      <c r="D11" s="42">
        <v>3.7692025643603757</v>
      </c>
      <c r="E11" s="42">
        <v>3.3705410982613788</v>
      </c>
      <c r="F11" s="42">
        <v>2.9363929524083088</v>
      </c>
      <c r="G11" s="42">
        <v>2.5185425443212086</v>
      </c>
      <c r="H11" s="42">
        <v>4.497150355046351</v>
      </c>
      <c r="I11" s="42">
        <v>4.9940558223051452</v>
      </c>
      <c r="J11" s="75">
        <v>3.1746481066031338</v>
      </c>
      <c r="K11" s="75">
        <v>4.0058225108249266</v>
      </c>
      <c r="L11" s="75">
        <v>3.9184039250611029</v>
      </c>
      <c r="M11" s="75">
        <v>4.10506428516012</v>
      </c>
      <c r="N11" s="75">
        <v>3.9989884590163949</v>
      </c>
      <c r="O11" s="75">
        <v>4.8844734354682871</v>
      </c>
      <c r="P11" s="75">
        <v>3.6663276366219315</v>
      </c>
      <c r="Q11" s="75">
        <v>3.8654447021156146</v>
      </c>
      <c r="R11" s="75">
        <v>3.5864125765216852</v>
      </c>
      <c r="S11" s="75">
        <v>5.3809936501454931</v>
      </c>
      <c r="T11" s="75">
        <v>3.7557721547264764</v>
      </c>
      <c r="U11" s="75">
        <v>3.7452822114438651</v>
      </c>
      <c r="V11" s="75">
        <v>3.926279929713155</v>
      </c>
      <c r="W11" s="75">
        <v>3.8983535680764119</v>
      </c>
      <c r="X11" s="75">
        <v>3.9071197607804877</v>
      </c>
      <c r="Y11" s="75">
        <v>3.77827582055084</v>
      </c>
      <c r="Z11" s="75">
        <v>3.6204237955885641</v>
      </c>
      <c r="AA11" s="75">
        <v>3.8258270831406813</v>
      </c>
      <c r="AB11" s="75">
        <v>3.7976051778034718</v>
      </c>
      <c r="AC11" s="75">
        <v>3.5522243814541588</v>
      </c>
      <c r="AD11" s="75">
        <v>3.6185765466196376</v>
      </c>
      <c r="AE11" s="75">
        <v>3.6586404817465294</v>
      </c>
      <c r="AF11" s="75">
        <v>3.5791146514853036</v>
      </c>
      <c r="AG11" s="75">
        <v>4.1275812640349372</v>
      </c>
      <c r="AH11" s="75">
        <v>3.6835607702945019</v>
      </c>
      <c r="AI11" s="75">
        <v>3.7271459937824125</v>
      </c>
      <c r="AJ11" s="75">
        <v>3.7438695477413257</v>
      </c>
      <c r="AK11" s="75">
        <v>3.7426142704948315</v>
      </c>
      <c r="AL11" s="75">
        <v>3.8914244931422171</v>
      </c>
      <c r="AM11" s="75">
        <v>3.6454063704493529</v>
      </c>
    </row>
    <row r="12" spans="1:39" s="19" customFormat="1" ht="17.100000000000001" customHeight="1" x14ac:dyDescent="0.2">
      <c r="A12" s="37" t="s">
        <v>7</v>
      </c>
      <c r="B12" s="42">
        <v>2.1878342912829836</v>
      </c>
      <c r="C12" s="42">
        <v>2.081306780590455</v>
      </c>
      <c r="D12" s="42">
        <v>1.9080300603563607</v>
      </c>
      <c r="E12" s="42">
        <v>1.8675720637418773</v>
      </c>
      <c r="F12" s="42">
        <v>1.6541208044549589</v>
      </c>
      <c r="G12" s="42">
        <v>1.6565927042250419</v>
      </c>
      <c r="H12" s="42">
        <v>1.3260517643122418</v>
      </c>
      <c r="I12" s="42">
        <v>1.6510995715580747</v>
      </c>
      <c r="J12" s="75">
        <v>1.9614465272451982</v>
      </c>
      <c r="K12" s="75">
        <v>2.12345301748412</v>
      </c>
      <c r="L12" s="75">
        <v>2.3619278520082418</v>
      </c>
      <c r="M12" s="75">
        <v>2.4329302009197864</v>
      </c>
      <c r="N12" s="75">
        <v>2.4029046293265637</v>
      </c>
      <c r="O12" s="75">
        <v>2.5159526231515108</v>
      </c>
      <c r="P12" s="75">
        <v>2.464451967377169</v>
      </c>
      <c r="Q12" s="75">
        <v>2.4843333285106355</v>
      </c>
      <c r="R12" s="75">
        <v>2.5323149583218738</v>
      </c>
      <c r="S12" s="75">
        <v>2.3681042672351662</v>
      </c>
      <c r="T12" s="75">
        <v>2.0781562906263273</v>
      </c>
      <c r="U12" s="75">
        <v>2.0251441062184061</v>
      </c>
      <c r="V12" s="75">
        <v>2.342852136411858</v>
      </c>
      <c r="W12" s="75">
        <v>2.0367778539672674</v>
      </c>
      <c r="X12" s="75">
        <v>1.8455567725452986</v>
      </c>
      <c r="Y12" s="75">
        <v>1.8388828678996116</v>
      </c>
      <c r="Z12" s="75">
        <v>1.2448015314017136</v>
      </c>
      <c r="AA12" s="75">
        <v>2.1803649248934645</v>
      </c>
      <c r="AB12" s="75">
        <v>2.4731515894037033</v>
      </c>
      <c r="AC12" s="75">
        <v>1.7154299529330983</v>
      </c>
      <c r="AD12" s="75">
        <v>1.3603579388483418</v>
      </c>
      <c r="AE12" s="75">
        <v>1.781947655205677</v>
      </c>
      <c r="AF12" s="75">
        <v>2.0570707464405311</v>
      </c>
      <c r="AG12" s="75">
        <v>1.929561643682596</v>
      </c>
      <c r="AH12" s="75">
        <v>1.3476615358117146</v>
      </c>
      <c r="AI12" s="75">
        <v>1.8179726088601553</v>
      </c>
      <c r="AJ12" s="75">
        <v>2.6457287133073897</v>
      </c>
      <c r="AK12" s="75">
        <v>1.9350625849522258</v>
      </c>
      <c r="AL12" s="75">
        <v>1.664426344945432</v>
      </c>
      <c r="AM12" s="75">
        <v>1.9235429536871285</v>
      </c>
    </row>
    <row r="13" spans="1:39" s="54" customFormat="1" ht="17.100000000000001" customHeight="1" x14ac:dyDescent="0.2">
      <c r="A13" s="52" t="s">
        <v>82</v>
      </c>
      <c r="B13" s="56">
        <v>25.664962843752058</v>
      </c>
      <c r="C13" s="56">
        <v>25.917237325882869</v>
      </c>
      <c r="D13" s="56">
        <v>26.349719442900433</v>
      </c>
      <c r="E13" s="56">
        <v>26.056596800027137</v>
      </c>
      <c r="F13" s="56">
        <v>26.052452079503198</v>
      </c>
      <c r="G13" s="56">
        <v>26.564223230694015</v>
      </c>
      <c r="H13" s="56">
        <v>25.713382187624617</v>
      </c>
      <c r="I13" s="56">
        <v>26.46503544785919</v>
      </c>
      <c r="J13" s="71">
        <v>27.280533020508848</v>
      </c>
      <c r="K13" s="71">
        <v>26.771124830324929</v>
      </c>
      <c r="L13" s="71">
        <v>26.115506678996852</v>
      </c>
      <c r="M13" s="71">
        <v>25.984675487379995</v>
      </c>
      <c r="N13" s="71">
        <v>26.379225342793646</v>
      </c>
      <c r="O13" s="71">
        <v>26.628682834214757</v>
      </c>
      <c r="P13" s="71">
        <v>26.740737985522795</v>
      </c>
      <c r="Q13" s="71">
        <v>26.095435239231314</v>
      </c>
      <c r="R13" s="71">
        <v>26.795143204581272</v>
      </c>
      <c r="S13" s="71">
        <v>27.185286624593815</v>
      </c>
      <c r="T13" s="71">
        <v>27.708101479109406</v>
      </c>
      <c r="U13" s="71">
        <v>27.0775671123601</v>
      </c>
      <c r="V13" s="71">
        <v>26.137683736124561</v>
      </c>
      <c r="W13" s="71">
        <v>26.624623372343923</v>
      </c>
      <c r="X13" s="71">
        <v>27.288431171848838</v>
      </c>
      <c r="Y13" s="71">
        <v>27.048727465093418</v>
      </c>
      <c r="Z13" s="71">
        <v>26.340654086888428</v>
      </c>
      <c r="AA13" s="71">
        <v>25.221047354829672</v>
      </c>
      <c r="AB13" s="71">
        <v>25.779006886219701</v>
      </c>
      <c r="AC13" s="71">
        <v>25.960369877821822</v>
      </c>
      <c r="AD13" s="71">
        <v>26.280158256888054</v>
      </c>
      <c r="AE13" s="71">
        <v>24.866834459545839</v>
      </c>
      <c r="AF13" s="71">
        <v>24.684629001602168</v>
      </c>
      <c r="AG13" s="71">
        <v>23.787710056307699</v>
      </c>
      <c r="AH13" s="71">
        <v>24.686725644800081</v>
      </c>
      <c r="AI13" s="71">
        <v>24.331087499188335</v>
      </c>
      <c r="AJ13" s="71">
        <v>24.098330485308296</v>
      </c>
      <c r="AK13" s="71">
        <v>24.175218485441022</v>
      </c>
      <c r="AL13" s="71">
        <v>24.844955574269925</v>
      </c>
      <c r="AM13" s="71">
        <v>24.348808928913172</v>
      </c>
    </row>
    <row r="14" spans="1:39" s="19" customFormat="1" ht="17.100000000000001" customHeight="1" x14ac:dyDescent="0.2">
      <c r="A14" s="37" t="s">
        <v>9</v>
      </c>
      <c r="B14" s="42">
        <v>1.1544973420481401</v>
      </c>
      <c r="C14" s="42">
        <v>1.3312486516452617</v>
      </c>
      <c r="D14" s="42">
        <v>1.2671886330037332</v>
      </c>
      <c r="E14" s="42">
        <v>1.2001728033251318</v>
      </c>
      <c r="F14" s="42">
        <v>1.1196125139456317</v>
      </c>
      <c r="G14" s="42">
        <v>1.1123166398315554</v>
      </c>
      <c r="H14" s="42">
        <v>1.1735919878349896</v>
      </c>
      <c r="I14" s="42">
        <v>1.6316739765455002</v>
      </c>
      <c r="J14" s="75">
        <v>1.9314830538141501</v>
      </c>
      <c r="K14" s="75">
        <v>1.5743913190617693</v>
      </c>
      <c r="L14" s="75">
        <v>1.8005288614449511</v>
      </c>
      <c r="M14" s="75">
        <v>1.5160103959838083</v>
      </c>
      <c r="N14" s="75">
        <v>1.5344397591194585</v>
      </c>
      <c r="O14" s="75">
        <v>1.919162753800862</v>
      </c>
      <c r="P14" s="75">
        <v>1.6886496021774884</v>
      </c>
      <c r="Q14" s="75">
        <v>1.3747429107424385</v>
      </c>
      <c r="R14" s="75">
        <v>2.2966321108772303</v>
      </c>
      <c r="S14" s="75">
        <v>2.1813970551518165</v>
      </c>
      <c r="T14" s="75">
        <v>1.7462571948490573</v>
      </c>
      <c r="U14" s="75">
        <v>1.4328640673898048</v>
      </c>
      <c r="V14" s="75">
        <v>0.93868394381733844</v>
      </c>
      <c r="W14" s="75">
        <v>1.3082018041448993</v>
      </c>
      <c r="X14" s="75">
        <v>1.8263184799099539</v>
      </c>
      <c r="Y14" s="75">
        <v>1.6578896880126426</v>
      </c>
      <c r="Z14" s="75">
        <v>1.1480846449324569</v>
      </c>
      <c r="AA14" s="75">
        <v>0.78632429916905278</v>
      </c>
      <c r="AB14" s="75">
        <v>1.047478441254152</v>
      </c>
      <c r="AC14" s="75">
        <v>2.8315613167172784</v>
      </c>
      <c r="AD14" s="75">
        <v>2.243319039999188</v>
      </c>
      <c r="AE14" s="75">
        <v>1.3147157838090415</v>
      </c>
      <c r="AF14" s="75">
        <v>0.91480658272044235</v>
      </c>
      <c r="AG14" s="75">
        <v>0.53061011177392525</v>
      </c>
      <c r="AH14" s="75">
        <v>1.1896853858382841</v>
      </c>
      <c r="AI14" s="75">
        <v>1.6906300733314783</v>
      </c>
      <c r="AJ14" s="75">
        <v>1.0211838025450126</v>
      </c>
      <c r="AK14" s="75">
        <v>0.73098143647763392</v>
      </c>
      <c r="AL14" s="75">
        <v>1.0850014137361352</v>
      </c>
      <c r="AM14" s="75">
        <v>1.5011084808594164</v>
      </c>
    </row>
    <row r="15" spans="1:39" s="19" customFormat="1" ht="17.100000000000001" customHeight="1" x14ac:dyDescent="0.2">
      <c r="A15" s="24" t="s">
        <v>10</v>
      </c>
      <c r="B15" s="42">
        <v>15.052611199315505</v>
      </c>
      <c r="C15" s="42">
        <v>15.276326693372438</v>
      </c>
      <c r="D15" s="42">
        <v>15.941378562298794</v>
      </c>
      <c r="E15" s="42">
        <v>15.703178520486238</v>
      </c>
      <c r="F15" s="42">
        <v>15.833077484715567</v>
      </c>
      <c r="G15" s="42">
        <v>16.106173694982324</v>
      </c>
      <c r="H15" s="42">
        <v>15.465584882803471</v>
      </c>
      <c r="I15" s="42">
        <v>15.663964651184022</v>
      </c>
      <c r="J15" s="75">
        <v>15.758812811510989</v>
      </c>
      <c r="K15" s="75">
        <v>15.633121079060638</v>
      </c>
      <c r="L15" s="75">
        <v>15.123432200594564</v>
      </c>
      <c r="M15" s="75">
        <v>15.154470661913081</v>
      </c>
      <c r="N15" s="75">
        <v>16.003209526377969</v>
      </c>
      <c r="O15" s="75">
        <v>15.966549928477738</v>
      </c>
      <c r="P15" s="75">
        <v>15.765170834152755</v>
      </c>
      <c r="Q15" s="75">
        <v>15.30202284166119</v>
      </c>
      <c r="R15" s="75">
        <v>16.563389284291745</v>
      </c>
      <c r="S15" s="75">
        <v>16.187047949595346</v>
      </c>
      <c r="T15" s="75">
        <v>16.655177744337436</v>
      </c>
      <c r="U15" s="75">
        <v>16.379753133485124</v>
      </c>
      <c r="V15" s="75">
        <v>15.638041072331333</v>
      </c>
      <c r="W15" s="75">
        <v>16.249574836555702</v>
      </c>
      <c r="X15" s="75">
        <v>16.72847071134748</v>
      </c>
      <c r="Y15" s="75">
        <v>16.816407143811261</v>
      </c>
      <c r="Z15" s="75">
        <v>16.470067814809237</v>
      </c>
      <c r="AA15" s="75">
        <v>16.002530445470708</v>
      </c>
      <c r="AB15" s="75">
        <v>15.86738772782784</v>
      </c>
      <c r="AC15" s="75">
        <v>14.514451752347423</v>
      </c>
      <c r="AD15" s="75">
        <v>15.544700736856685</v>
      </c>
      <c r="AE15" s="75">
        <v>14.938497251942668</v>
      </c>
      <c r="AF15" s="75">
        <v>15.17169842940217</v>
      </c>
      <c r="AG15" s="75">
        <v>14.958428610081844</v>
      </c>
      <c r="AH15" s="75">
        <v>15.305848689509229</v>
      </c>
      <c r="AI15" s="75">
        <v>14.010593735850364</v>
      </c>
      <c r="AJ15" s="75">
        <v>14.25853839523255</v>
      </c>
      <c r="AK15" s="75">
        <v>14.45962352524691</v>
      </c>
      <c r="AL15" s="75">
        <v>15.017551526892634</v>
      </c>
      <c r="AM15" s="75">
        <v>14.21605240512436</v>
      </c>
    </row>
    <row r="16" spans="1:39" s="19" customFormat="1" ht="17.100000000000001" customHeight="1" x14ac:dyDescent="0.2">
      <c r="A16" s="24" t="s">
        <v>11</v>
      </c>
      <c r="B16" s="42">
        <v>1.2121790080364536</v>
      </c>
      <c r="C16" s="42">
        <v>1.1969388786670696</v>
      </c>
      <c r="D16" s="42">
        <v>1.3422956376726081</v>
      </c>
      <c r="E16" s="42">
        <v>1.3169233984768012</v>
      </c>
      <c r="F16" s="42">
        <v>1.3169759586082477</v>
      </c>
      <c r="G16" s="42">
        <v>1.3266718008756726</v>
      </c>
      <c r="H16" s="42">
        <v>1.2680513597661049</v>
      </c>
      <c r="I16" s="42">
        <v>1.2230647013482183</v>
      </c>
      <c r="J16" s="75">
        <v>1.3523434358703745</v>
      </c>
      <c r="K16" s="75">
        <v>1.3152715919238658</v>
      </c>
      <c r="L16" s="75">
        <v>1.2727021878365568</v>
      </c>
      <c r="M16" s="75">
        <v>1.3215423502746728</v>
      </c>
      <c r="N16" s="75">
        <v>1.3571552593269804</v>
      </c>
      <c r="O16" s="75">
        <v>1.3432341434549264</v>
      </c>
      <c r="P16" s="75">
        <v>1.4311238702482987</v>
      </c>
      <c r="Q16" s="75">
        <v>1.3951618272671831</v>
      </c>
      <c r="R16" s="75">
        <v>1.4488873372610627</v>
      </c>
      <c r="S16" s="75">
        <v>1.4296556659662734</v>
      </c>
      <c r="T16" s="75">
        <v>1.4557802289421451</v>
      </c>
      <c r="U16" s="75">
        <v>1.4280901699386295</v>
      </c>
      <c r="V16" s="75">
        <v>1.409705617965501</v>
      </c>
      <c r="W16" s="75">
        <v>1.3486250888695348</v>
      </c>
      <c r="X16" s="75">
        <v>1.3206452295018172</v>
      </c>
      <c r="Y16" s="75">
        <v>1.290778270073657</v>
      </c>
      <c r="Z16" s="75">
        <v>1.3044720515666159</v>
      </c>
      <c r="AA16" s="75">
        <v>1.1914936904946409</v>
      </c>
      <c r="AB16" s="75">
        <v>1.2006949019666397</v>
      </c>
      <c r="AC16" s="75">
        <v>1.1067707898254118</v>
      </c>
      <c r="AD16" s="75">
        <v>1.1090945237086971</v>
      </c>
      <c r="AE16" s="75">
        <v>1.0827577277808498</v>
      </c>
      <c r="AF16" s="75">
        <v>1.0869983522483539</v>
      </c>
      <c r="AG16" s="75">
        <v>1.0597141972126172</v>
      </c>
      <c r="AH16" s="75">
        <v>1.0414800966537185</v>
      </c>
      <c r="AI16" s="75">
        <v>1.0627870771807284</v>
      </c>
      <c r="AJ16" s="75">
        <v>1.0585971663612348</v>
      </c>
      <c r="AK16" s="75">
        <v>1.0422297421695668</v>
      </c>
      <c r="AL16" s="75">
        <v>1.1678195579624655</v>
      </c>
      <c r="AM16" s="75">
        <v>0.99532706312967856</v>
      </c>
    </row>
    <row r="17" spans="1:39" s="19" customFormat="1" ht="17.100000000000001" customHeight="1" x14ac:dyDescent="0.2">
      <c r="A17" s="24" t="s">
        <v>12</v>
      </c>
      <c r="B17" s="42">
        <v>2.4046629250053111</v>
      </c>
      <c r="C17" s="42">
        <v>2.3329372032472153</v>
      </c>
      <c r="D17" s="42">
        <v>2.3173115248264455</v>
      </c>
      <c r="E17" s="42">
        <v>2.4325754711930569</v>
      </c>
      <c r="F17" s="42">
        <v>2.4135450398501064</v>
      </c>
      <c r="G17" s="42">
        <v>2.4839116853481955</v>
      </c>
      <c r="H17" s="42">
        <v>2.3260059249865668</v>
      </c>
      <c r="I17" s="42">
        <v>2.3527825388719039</v>
      </c>
      <c r="J17" s="75">
        <v>2.3671896116359297</v>
      </c>
      <c r="K17" s="75">
        <v>2.3010312079440527</v>
      </c>
      <c r="L17" s="75">
        <v>2.1820163487850608</v>
      </c>
      <c r="M17" s="75">
        <v>2.1693019765128692</v>
      </c>
      <c r="N17" s="75">
        <v>2.1427120748168647</v>
      </c>
      <c r="O17" s="75">
        <v>2.1155018111468897</v>
      </c>
      <c r="P17" s="75">
        <v>2.2194714090810157</v>
      </c>
      <c r="Q17" s="75">
        <v>2.4695548746308029</v>
      </c>
      <c r="R17" s="75">
        <v>2.2267457880854864</v>
      </c>
      <c r="S17" s="75">
        <v>2.1596106332927301</v>
      </c>
      <c r="T17" s="75">
        <v>2.2163651726238811</v>
      </c>
      <c r="U17" s="75">
        <v>2.195443691967665</v>
      </c>
      <c r="V17" s="75">
        <v>2.2302571953339259</v>
      </c>
      <c r="W17" s="75">
        <v>2.1476493903365417</v>
      </c>
      <c r="X17" s="75">
        <v>2.1244693274999742</v>
      </c>
      <c r="Y17" s="75">
        <v>2.0826487244452925</v>
      </c>
      <c r="Z17" s="75">
        <v>2.1196711999532356</v>
      </c>
      <c r="AA17" s="75">
        <v>2.144419973123981</v>
      </c>
      <c r="AB17" s="75">
        <v>2.2200452408447431</v>
      </c>
      <c r="AC17" s="75">
        <v>2.0335321442764229</v>
      </c>
      <c r="AD17" s="75">
        <v>2.1039588048792841</v>
      </c>
      <c r="AE17" s="75">
        <v>2.116477853685848</v>
      </c>
      <c r="AF17" s="75">
        <v>2.1476899854706955</v>
      </c>
      <c r="AG17" s="75">
        <v>2.1096238775452836</v>
      </c>
      <c r="AH17" s="75">
        <v>2.0649408711566117</v>
      </c>
      <c r="AI17" s="75">
        <v>2.1665730264624097</v>
      </c>
      <c r="AJ17" s="75">
        <v>2.1553701157555749</v>
      </c>
      <c r="AK17" s="75">
        <v>2.1367249833956361</v>
      </c>
      <c r="AL17" s="75">
        <v>2.1460797194575583</v>
      </c>
      <c r="AM17" s="75">
        <v>2.0417147962217275</v>
      </c>
    </row>
    <row r="18" spans="1:39" s="19" customFormat="1" ht="17.100000000000001" customHeight="1" x14ac:dyDescent="0.2">
      <c r="A18" s="37" t="s">
        <v>13</v>
      </c>
      <c r="B18" s="42">
        <v>5.8410123693466449</v>
      </c>
      <c r="C18" s="42">
        <v>5.7797858989508839</v>
      </c>
      <c r="D18" s="42">
        <v>5.4815450850988539</v>
      </c>
      <c r="E18" s="42">
        <v>5.4037466065459041</v>
      </c>
      <c r="F18" s="42">
        <v>5.3692410823836445</v>
      </c>
      <c r="G18" s="42">
        <v>5.5351494096562668</v>
      </c>
      <c r="H18" s="42">
        <v>5.480148032233485</v>
      </c>
      <c r="I18" s="42">
        <v>5.5935495799095456</v>
      </c>
      <c r="J18" s="75">
        <v>5.8707041076774065</v>
      </c>
      <c r="K18" s="75">
        <v>5.9473096323346004</v>
      </c>
      <c r="L18" s="75">
        <v>5.7368270803357158</v>
      </c>
      <c r="M18" s="75">
        <v>5.8233501026955636</v>
      </c>
      <c r="N18" s="75">
        <v>5.3417087231523759</v>
      </c>
      <c r="O18" s="75">
        <v>5.2842341973343432</v>
      </c>
      <c r="P18" s="75">
        <v>5.6363222698632347</v>
      </c>
      <c r="Q18" s="75">
        <v>5.5539527849296979</v>
      </c>
      <c r="R18" s="75">
        <v>4.2594886840657473</v>
      </c>
      <c r="S18" s="75">
        <v>5.2275753205876523</v>
      </c>
      <c r="T18" s="75">
        <v>5.6345211383568845</v>
      </c>
      <c r="U18" s="75">
        <v>5.6414160495788765</v>
      </c>
      <c r="V18" s="75">
        <v>5.9209959066764632</v>
      </c>
      <c r="W18" s="75">
        <v>5.5705722524372412</v>
      </c>
      <c r="X18" s="75">
        <v>5.2885274235896143</v>
      </c>
      <c r="Y18" s="75">
        <v>5.2010036387505671</v>
      </c>
      <c r="Z18" s="75">
        <v>5.2983583756268811</v>
      </c>
      <c r="AA18" s="75">
        <v>5.0962789465712888</v>
      </c>
      <c r="AB18" s="75">
        <v>5.4434005743263247</v>
      </c>
      <c r="AC18" s="75">
        <v>5.4740538746552856</v>
      </c>
      <c r="AD18" s="75">
        <v>5.2790851514441988</v>
      </c>
      <c r="AE18" s="75">
        <v>5.4143858423274347</v>
      </c>
      <c r="AF18" s="75">
        <v>5.3634356517605069</v>
      </c>
      <c r="AG18" s="75">
        <v>5.1293332596940324</v>
      </c>
      <c r="AH18" s="75">
        <v>5.084770601642238</v>
      </c>
      <c r="AI18" s="75">
        <v>5.4005035863633584</v>
      </c>
      <c r="AJ18" s="75">
        <v>5.6046410054139226</v>
      </c>
      <c r="AK18" s="75">
        <v>5.8056587981512777</v>
      </c>
      <c r="AL18" s="75">
        <v>5.4285033562211327</v>
      </c>
      <c r="AM18" s="75">
        <v>5.594606183577989</v>
      </c>
    </row>
    <row r="19" spans="1:39" s="54" customFormat="1" ht="17.100000000000001" customHeight="1" x14ac:dyDescent="0.2">
      <c r="A19" s="52" t="s">
        <v>83</v>
      </c>
      <c r="B19" s="56">
        <v>43.681116750027734</v>
      </c>
      <c r="C19" s="56">
        <v>43.053030455729619</v>
      </c>
      <c r="D19" s="56">
        <v>42.799649849410891</v>
      </c>
      <c r="E19" s="56">
        <v>44.208473799314525</v>
      </c>
      <c r="F19" s="56">
        <v>43.749896918953411</v>
      </c>
      <c r="G19" s="56">
        <v>44.2904481974088</v>
      </c>
      <c r="H19" s="56">
        <v>42.587546882233951</v>
      </c>
      <c r="I19" s="56">
        <v>42.634898885983525</v>
      </c>
      <c r="J19" s="71">
        <v>43.378489592759927</v>
      </c>
      <c r="K19" s="71">
        <v>42.912204914409493</v>
      </c>
      <c r="L19" s="71">
        <v>42.101797453969155</v>
      </c>
      <c r="M19" s="71">
        <v>43.096468573589306</v>
      </c>
      <c r="N19" s="71">
        <v>43.719811546378743</v>
      </c>
      <c r="O19" s="71">
        <v>42.389149349374073</v>
      </c>
      <c r="P19" s="71">
        <v>42.040837353578524</v>
      </c>
      <c r="Q19" s="71">
        <v>42.980219610747071</v>
      </c>
      <c r="R19" s="71">
        <v>42.069391126219564</v>
      </c>
      <c r="S19" s="71">
        <v>40.910909145069688</v>
      </c>
      <c r="T19" s="71">
        <v>42.835771684767955</v>
      </c>
      <c r="U19" s="71">
        <v>41.72841647272751</v>
      </c>
      <c r="V19" s="71">
        <v>41.515176796095297</v>
      </c>
      <c r="W19" s="71">
        <v>41.621159804019541</v>
      </c>
      <c r="X19" s="71">
        <v>42.139746960524192</v>
      </c>
      <c r="Y19" s="71">
        <v>41.391120332836252</v>
      </c>
      <c r="Z19" s="71">
        <v>42.570853075245935</v>
      </c>
      <c r="AA19" s="71">
        <v>42.623280316799779</v>
      </c>
      <c r="AB19" s="71">
        <v>42.680509975492861</v>
      </c>
      <c r="AC19" s="71">
        <v>42.504365348325166</v>
      </c>
      <c r="AD19" s="71">
        <v>42.800086834091331</v>
      </c>
      <c r="AE19" s="71">
        <v>43.698890619696151</v>
      </c>
      <c r="AF19" s="71">
        <v>43.699434419964746</v>
      </c>
      <c r="AG19" s="71">
        <v>42.66314022440244</v>
      </c>
      <c r="AH19" s="71">
        <v>42.646003212313744</v>
      </c>
      <c r="AI19" s="71">
        <v>42.043012432712921</v>
      </c>
      <c r="AJ19" s="71">
        <v>42.617656474636632</v>
      </c>
      <c r="AK19" s="71">
        <v>41.453163372039604</v>
      </c>
      <c r="AL19" s="71">
        <v>42.917324542493105</v>
      </c>
      <c r="AM19" s="71">
        <v>42.119488559969028</v>
      </c>
    </row>
    <row r="20" spans="1:39" s="19" customFormat="1" ht="17.100000000000001" customHeight="1" x14ac:dyDescent="0.2">
      <c r="A20" s="38" t="s">
        <v>64</v>
      </c>
      <c r="B20" s="42">
        <v>8.5134594893071167</v>
      </c>
      <c r="C20" s="42">
        <v>8.9217585633710996</v>
      </c>
      <c r="D20" s="42">
        <v>9.1346383911037385</v>
      </c>
      <c r="E20" s="42">
        <v>9.5172197328423476</v>
      </c>
      <c r="F20" s="42">
        <v>9.0794111248867306</v>
      </c>
      <c r="G20" s="42">
        <v>8.6674889506443176</v>
      </c>
      <c r="H20" s="42">
        <v>9.0521284351892248</v>
      </c>
      <c r="I20" s="42">
        <v>9.3410770272133306</v>
      </c>
      <c r="J20" s="75">
        <v>8.75156536732554</v>
      </c>
      <c r="K20" s="75">
        <v>8.9326485165626792</v>
      </c>
      <c r="L20" s="75">
        <v>8.4735398144736287</v>
      </c>
      <c r="M20" s="75">
        <v>8.3386179712488619</v>
      </c>
      <c r="N20" s="75">
        <v>8.4024355311647696</v>
      </c>
      <c r="O20" s="75">
        <v>8.4939027223162782</v>
      </c>
      <c r="P20" s="75">
        <v>8.2827020195972185</v>
      </c>
      <c r="Q20" s="75">
        <v>8.4766982684400887</v>
      </c>
      <c r="R20" s="75">
        <v>8.0218054712951368</v>
      </c>
      <c r="S20" s="75">
        <v>8.0014548192899682</v>
      </c>
      <c r="T20" s="75">
        <v>8.0166849862359371</v>
      </c>
      <c r="U20" s="75">
        <v>7.7288444443132942</v>
      </c>
      <c r="V20" s="75">
        <v>7.3165407707177721</v>
      </c>
      <c r="W20" s="75">
        <v>8.0187979768901627</v>
      </c>
      <c r="X20" s="75">
        <v>8.9414436981099445</v>
      </c>
      <c r="Y20" s="75">
        <v>9.2323697627617562</v>
      </c>
      <c r="Z20" s="75">
        <v>8.6640328476976833</v>
      </c>
      <c r="AA20" s="75">
        <v>8.7480211363139055</v>
      </c>
      <c r="AB20" s="75">
        <v>9.4112843723476676</v>
      </c>
      <c r="AC20" s="75">
        <v>9.8529635543119785</v>
      </c>
      <c r="AD20" s="75">
        <v>10.284728327230578</v>
      </c>
      <c r="AE20" s="75">
        <v>9.4103695744841733</v>
      </c>
      <c r="AF20" s="75">
        <v>9.4121656744343358</v>
      </c>
      <c r="AG20" s="75">
        <v>8.8415109695586676</v>
      </c>
      <c r="AH20" s="75">
        <v>10.258492503649466</v>
      </c>
      <c r="AI20" s="75">
        <v>9.6436821687683345</v>
      </c>
      <c r="AJ20" s="75">
        <v>9.4407127774881285</v>
      </c>
      <c r="AK20" s="75">
        <v>9.1445850792626704</v>
      </c>
      <c r="AL20" s="75">
        <v>10.031589005947152</v>
      </c>
      <c r="AM20" s="75">
        <v>10.441158324470138</v>
      </c>
    </row>
    <row r="21" spans="1:39" s="19" customFormat="1" ht="17.100000000000001" customHeight="1" x14ac:dyDescent="0.2">
      <c r="A21" s="38" t="s">
        <v>65</v>
      </c>
      <c r="B21" s="42">
        <v>3.3218492439872493</v>
      </c>
      <c r="C21" s="42">
        <v>3.3378973974143071</v>
      </c>
      <c r="D21" s="42">
        <v>3.285308600655938</v>
      </c>
      <c r="E21" s="42">
        <v>3.3974347976286809</v>
      </c>
      <c r="F21" s="42">
        <v>3.4433737860856453</v>
      </c>
      <c r="G21" s="42">
        <v>3.4726453470055789</v>
      </c>
      <c r="H21" s="42">
        <v>3.3752689819561108</v>
      </c>
      <c r="I21" s="42">
        <v>3.364959493172988</v>
      </c>
      <c r="J21" s="75">
        <v>3.4499444262053371</v>
      </c>
      <c r="K21" s="75">
        <v>3.3238828837207364</v>
      </c>
      <c r="L21" s="75">
        <v>3.3243098170564611</v>
      </c>
      <c r="M21" s="75">
        <v>3.5484742948026007</v>
      </c>
      <c r="N21" s="75">
        <v>3.6996459963340258</v>
      </c>
      <c r="O21" s="75">
        <v>3.330991309118799</v>
      </c>
      <c r="P21" s="75">
        <v>3.2814720167040581</v>
      </c>
      <c r="Q21" s="75">
        <v>3.3664927909863396</v>
      </c>
      <c r="R21" s="75">
        <v>3.7253627814523878</v>
      </c>
      <c r="S21" s="75">
        <v>3.1403733578367481</v>
      </c>
      <c r="T21" s="75">
        <v>2.9990479739349016</v>
      </c>
      <c r="U21" s="75">
        <v>3.1054783923666278</v>
      </c>
      <c r="V21" s="75">
        <v>3.1801139687414515</v>
      </c>
      <c r="W21" s="75">
        <v>3.2160915138473154</v>
      </c>
      <c r="X21" s="75">
        <v>3.1506793284545727</v>
      </c>
      <c r="Y21" s="75">
        <v>3.1755714576203622</v>
      </c>
      <c r="Z21" s="75">
        <v>3.2633014643386908</v>
      </c>
      <c r="AA21" s="75">
        <v>3.5798330138576326</v>
      </c>
      <c r="AB21" s="75">
        <v>3.8020343708157176</v>
      </c>
      <c r="AC21" s="75">
        <v>3.5194249361247389</v>
      </c>
      <c r="AD21" s="75">
        <v>3.4790675212624285</v>
      </c>
      <c r="AE21" s="75">
        <v>3.6095528495357332</v>
      </c>
      <c r="AF21" s="75">
        <v>3.884848777479609</v>
      </c>
      <c r="AG21" s="75">
        <v>3.8940623200374751</v>
      </c>
      <c r="AH21" s="75">
        <v>3.8095698195062817</v>
      </c>
      <c r="AI21" s="75">
        <v>3.7233069108999111</v>
      </c>
      <c r="AJ21" s="75">
        <v>3.8821266490048223</v>
      </c>
      <c r="AK21" s="75">
        <v>3.8058428605289802</v>
      </c>
      <c r="AL21" s="75">
        <v>3.7101514926276966</v>
      </c>
      <c r="AM21" s="75">
        <v>3.5637108720720985</v>
      </c>
    </row>
    <row r="22" spans="1:39" s="19" customFormat="1" ht="17.100000000000001" customHeight="1" x14ac:dyDescent="0.2">
      <c r="A22" s="38" t="s">
        <v>66</v>
      </c>
      <c r="B22" s="42">
        <v>2.8101337333827341</v>
      </c>
      <c r="C22" s="42">
        <v>2.9236512568146407</v>
      </c>
      <c r="D22" s="42">
        <v>2.9365082556109199</v>
      </c>
      <c r="E22" s="42">
        <v>3.1654667705468285</v>
      </c>
      <c r="F22" s="42">
        <v>3.1861297879798918</v>
      </c>
      <c r="G22" s="42">
        <v>3.1799599211558025</v>
      </c>
      <c r="H22" s="42">
        <v>2.9439747824960052</v>
      </c>
      <c r="I22" s="42">
        <v>2.86268101436408</v>
      </c>
      <c r="J22" s="75">
        <v>2.9777260204093925</v>
      </c>
      <c r="K22" s="75">
        <v>2.8672646625454417</v>
      </c>
      <c r="L22" s="75">
        <v>2.8101061064346622</v>
      </c>
      <c r="M22" s="75">
        <v>2.8588527367745753</v>
      </c>
      <c r="N22" s="75">
        <v>3.0591946002439805</v>
      </c>
      <c r="O22" s="75">
        <v>2.9278963023658156</v>
      </c>
      <c r="P22" s="75">
        <v>2.7825997584197073</v>
      </c>
      <c r="Q22" s="75">
        <v>1.5425892976983053</v>
      </c>
      <c r="R22" s="75">
        <v>2.263702300043422</v>
      </c>
      <c r="S22" s="75">
        <v>2.2233538238651596</v>
      </c>
      <c r="T22" s="75">
        <v>2.7092867788174892</v>
      </c>
      <c r="U22" s="75">
        <v>2.3530181778557884</v>
      </c>
      <c r="V22" s="75">
        <v>2.2640171801812219</v>
      </c>
      <c r="W22" s="75">
        <v>2.5061678467371693</v>
      </c>
      <c r="X22" s="75">
        <v>2.0918215819949886</v>
      </c>
      <c r="Y22" s="75">
        <v>1.9654051169040894</v>
      </c>
      <c r="Z22" s="75">
        <v>2.005360363704046</v>
      </c>
      <c r="AA22" s="75">
        <v>2.2506121476117134</v>
      </c>
      <c r="AB22" s="75">
        <v>2.2262526174314323</v>
      </c>
      <c r="AC22" s="75">
        <v>2.271227636803713</v>
      </c>
      <c r="AD22" s="75">
        <v>2.1969260145450535</v>
      </c>
      <c r="AE22" s="75">
        <v>2.0746777465879709</v>
      </c>
      <c r="AF22" s="75">
        <v>2.3564245858069244</v>
      </c>
      <c r="AG22" s="75">
        <v>2.6184666335532079</v>
      </c>
      <c r="AH22" s="75">
        <v>2.3765747697529438</v>
      </c>
      <c r="AI22" s="75">
        <v>2.443565958712365</v>
      </c>
      <c r="AJ22" s="75">
        <v>2.5165355308983641</v>
      </c>
      <c r="AK22" s="75">
        <v>2.0317962376495307</v>
      </c>
      <c r="AL22" s="75">
        <v>2.737647724622394</v>
      </c>
      <c r="AM22" s="75">
        <v>2.6891202029091636</v>
      </c>
    </row>
    <row r="23" spans="1:39" s="19" customFormat="1" ht="17.100000000000001" customHeight="1" x14ac:dyDescent="0.2">
      <c r="A23" s="38" t="s">
        <v>67</v>
      </c>
      <c r="B23" s="42">
        <v>2.1764478520510404</v>
      </c>
      <c r="C23" s="42">
        <v>2.0209347902954429</v>
      </c>
      <c r="D23" s="42">
        <v>1.9020159435523158</v>
      </c>
      <c r="E23" s="42">
        <v>1.7588404889557645</v>
      </c>
      <c r="F23" s="42">
        <v>1.578004502827171</v>
      </c>
      <c r="G23" s="42">
        <v>1.6049028972620953</v>
      </c>
      <c r="H23" s="42">
        <v>1.6174065300551148</v>
      </c>
      <c r="I23" s="42">
        <v>1.7044360814466839</v>
      </c>
      <c r="J23" s="75">
        <v>1.771946917854152</v>
      </c>
      <c r="K23" s="75">
        <v>1.8079492079562849</v>
      </c>
      <c r="L23" s="75">
        <v>1.7994202851600996</v>
      </c>
      <c r="M23" s="75">
        <v>1.8567177054106165</v>
      </c>
      <c r="N23" s="75">
        <v>1.907876739534885</v>
      </c>
      <c r="O23" s="75">
        <v>1.8456398845616535</v>
      </c>
      <c r="P23" s="75">
        <v>1.7419253566658823</v>
      </c>
      <c r="Q23" s="75">
        <v>1.8123548019928652</v>
      </c>
      <c r="R23" s="75">
        <v>1.7009829906210483</v>
      </c>
      <c r="S23" s="75">
        <v>1.7034425855797546</v>
      </c>
      <c r="T23" s="75">
        <v>1.8920337900203315</v>
      </c>
      <c r="U23" s="75">
        <v>1.9310320205582925</v>
      </c>
      <c r="V23" s="75">
        <v>1.776777985389925</v>
      </c>
      <c r="W23" s="75">
        <v>1.6889459200961285</v>
      </c>
      <c r="X23" s="75">
        <v>1.6976652333392999</v>
      </c>
      <c r="Y23" s="75">
        <v>1.5993083338476162</v>
      </c>
      <c r="Z23" s="75">
        <v>1.4004240118897755</v>
      </c>
      <c r="AA23" s="75">
        <v>1.3741476561096875</v>
      </c>
      <c r="AB23" s="75">
        <v>1.6111202816050045</v>
      </c>
      <c r="AC23" s="75">
        <v>1.785451983536239</v>
      </c>
      <c r="AD23" s="75">
        <v>2.2119595621615447</v>
      </c>
      <c r="AE23" s="75">
        <v>2.3217924766649101</v>
      </c>
      <c r="AF23" s="75">
        <v>2.2872872705151077</v>
      </c>
      <c r="AG23" s="75">
        <v>1.8952701757123367</v>
      </c>
      <c r="AH23" s="75">
        <v>2.2089459983006181</v>
      </c>
      <c r="AI23" s="75">
        <v>1.909172065029455</v>
      </c>
      <c r="AJ23" s="75">
        <v>2.0725671491795867</v>
      </c>
      <c r="AK23" s="75">
        <v>1.7229124066614638</v>
      </c>
      <c r="AL23" s="75">
        <v>1.8702954135056695</v>
      </c>
      <c r="AM23" s="75">
        <v>1.769590843919143</v>
      </c>
    </row>
    <row r="24" spans="1:39" s="19" customFormat="1" ht="17.100000000000001" customHeight="1" x14ac:dyDescent="0.2">
      <c r="A24" s="38" t="s">
        <v>68</v>
      </c>
      <c r="B24" s="42">
        <v>2.6697037735600762</v>
      </c>
      <c r="C24" s="42">
        <v>2.501020967281903</v>
      </c>
      <c r="D24" s="42">
        <v>2.6978138524276227</v>
      </c>
      <c r="E24" s="42">
        <v>2.6998912882048232</v>
      </c>
      <c r="F24" s="42">
        <v>2.5996347111627895</v>
      </c>
      <c r="G24" s="42">
        <v>2.7314701687537042</v>
      </c>
      <c r="H24" s="42">
        <v>2.4223058598281537</v>
      </c>
      <c r="I24" s="42">
        <v>2.4442815112490619</v>
      </c>
      <c r="J24" s="75">
        <v>2.3749291218531341</v>
      </c>
      <c r="K24" s="75">
        <v>2.5053492031109763</v>
      </c>
      <c r="L24" s="75">
        <v>2.6390352634403711</v>
      </c>
      <c r="M24" s="75">
        <v>2.925221229777395</v>
      </c>
      <c r="N24" s="75">
        <v>2.9737204001282302</v>
      </c>
      <c r="O24" s="75">
        <v>2.9179216352569859</v>
      </c>
      <c r="P24" s="75">
        <v>2.7397370240224919</v>
      </c>
      <c r="Q24" s="75">
        <v>2.2204512683517832</v>
      </c>
      <c r="R24" s="75">
        <v>2.9983386652905573</v>
      </c>
      <c r="S24" s="75">
        <v>2.5850194368243908</v>
      </c>
      <c r="T24" s="75">
        <v>2.8678445370919947</v>
      </c>
      <c r="U24" s="75">
        <v>2.6477494672521495</v>
      </c>
      <c r="V24" s="75">
        <v>2.8850474348400148</v>
      </c>
      <c r="W24" s="75">
        <v>2.6834132903374752</v>
      </c>
      <c r="X24" s="75">
        <v>3.0188840064366174</v>
      </c>
      <c r="Y24" s="75">
        <v>2.8985299729011729</v>
      </c>
      <c r="Z24" s="75">
        <v>2.8926799933148875</v>
      </c>
      <c r="AA24" s="75">
        <v>3.2959515816015537</v>
      </c>
      <c r="AB24" s="75">
        <v>2.084198639605316</v>
      </c>
      <c r="AC24" s="75">
        <v>2.9551175288261744</v>
      </c>
      <c r="AD24" s="75">
        <v>2.6955669405787503</v>
      </c>
      <c r="AE24" s="75">
        <v>2.7989474343732534</v>
      </c>
      <c r="AF24" s="75">
        <v>2.7133563679697099</v>
      </c>
      <c r="AG24" s="75">
        <v>2.7477782149019077</v>
      </c>
      <c r="AH24" s="75">
        <v>2.7321404413712234</v>
      </c>
      <c r="AI24" s="75">
        <v>2.5949318781870181</v>
      </c>
      <c r="AJ24" s="75">
        <v>2.6015702667301182</v>
      </c>
      <c r="AK24" s="75">
        <v>2.6452570956907202</v>
      </c>
      <c r="AL24" s="75">
        <v>2.8311465523071111</v>
      </c>
      <c r="AM24" s="75">
        <v>2.5814701110116007</v>
      </c>
    </row>
    <row r="25" spans="1:39" s="19" customFormat="1" ht="17.100000000000001" customHeight="1" x14ac:dyDescent="0.2">
      <c r="A25" s="38" t="s">
        <v>20</v>
      </c>
      <c r="B25" s="42">
        <v>6.1288407434346697</v>
      </c>
      <c r="C25" s="42">
        <v>5.9628126402028307</v>
      </c>
      <c r="D25" s="42">
        <v>5.8450662445870094</v>
      </c>
      <c r="E25" s="42">
        <v>6.0538166974150336</v>
      </c>
      <c r="F25" s="42">
        <v>6.0997017388274548</v>
      </c>
      <c r="G25" s="42">
        <v>6.420379629473687</v>
      </c>
      <c r="H25" s="42">
        <v>6.047471156352616</v>
      </c>
      <c r="I25" s="42">
        <v>6.064710239862384</v>
      </c>
      <c r="J25" s="75">
        <v>6.403212632538974</v>
      </c>
      <c r="K25" s="75">
        <v>6.3493824479032401</v>
      </c>
      <c r="L25" s="75">
        <v>6.1736249453576999</v>
      </c>
      <c r="M25" s="75">
        <v>6.1182643241886314</v>
      </c>
      <c r="N25" s="75">
        <v>6.1837029244597108</v>
      </c>
      <c r="O25" s="75">
        <v>5.8586170559407851</v>
      </c>
      <c r="P25" s="75">
        <v>6.4005125084848125</v>
      </c>
      <c r="Q25" s="75">
        <v>7.1139436928107731</v>
      </c>
      <c r="R25" s="75">
        <v>6.3464498912195451</v>
      </c>
      <c r="S25" s="75">
        <v>6.129595193755355</v>
      </c>
      <c r="T25" s="75">
        <v>6.2550373710881342</v>
      </c>
      <c r="U25" s="75">
        <v>6.3059449192119645</v>
      </c>
      <c r="V25" s="75">
        <v>6.4549581763787653</v>
      </c>
      <c r="W25" s="75">
        <v>6.2811037934575031</v>
      </c>
      <c r="X25" s="75">
        <v>6.2176847267127178</v>
      </c>
      <c r="Y25" s="75">
        <v>6.180579850891645</v>
      </c>
      <c r="Z25" s="75">
        <v>6.124412470238588</v>
      </c>
      <c r="AA25" s="75">
        <v>6.1682560916530553</v>
      </c>
      <c r="AB25" s="75">
        <v>6.3080258374428242</v>
      </c>
      <c r="AC25" s="75">
        <v>5.975328513091485</v>
      </c>
      <c r="AD25" s="75">
        <v>5.9287556023173682</v>
      </c>
      <c r="AE25" s="75">
        <v>6.016705357896071</v>
      </c>
      <c r="AF25" s="75">
        <v>6.1110925710273971</v>
      </c>
      <c r="AG25" s="75">
        <v>5.8847763555339254</v>
      </c>
      <c r="AH25" s="75">
        <v>5.6524542077671169</v>
      </c>
      <c r="AI25" s="75">
        <v>5.7002575002433336</v>
      </c>
      <c r="AJ25" s="75">
        <v>5.7813824970775407</v>
      </c>
      <c r="AK25" s="75">
        <v>5.6768439800734054</v>
      </c>
      <c r="AL25" s="75">
        <v>5.7347695936635743</v>
      </c>
      <c r="AM25" s="75">
        <v>5.3870243688164487</v>
      </c>
    </row>
    <row r="26" spans="1:39" s="19" customFormat="1" ht="17.100000000000001" customHeight="1" x14ac:dyDescent="0.2">
      <c r="A26" s="38" t="s">
        <v>70</v>
      </c>
      <c r="B26" s="42">
        <v>2.4890482929764497</v>
      </c>
      <c r="C26" s="42">
        <v>2.1547311972075258</v>
      </c>
      <c r="D26" s="42">
        <v>1.9592968462742635</v>
      </c>
      <c r="E26" s="42">
        <v>2.0244310691143363</v>
      </c>
      <c r="F26" s="42">
        <v>2.1967837569954471</v>
      </c>
      <c r="G26" s="42">
        <v>2.2087349108688108</v>
      </c>
      <c r="H26" s="42">
        <v>2.07685078673296</v>
      </c>
      <c r="I26" s="42">
        <v>2.1430782876643439</v>
      </c>
      <c r="J26" s="75">
        <v>2.0321773033482486</v>
      </c>
      <c r="K26" s="75">
        <v>1.8426359950061293</v>
      </c>
      <c r="L26" s="75">
        <v>2.0425820572047115</v>
      </c>
      <c r="M26" s="75">
        <v>2.3550116238385237</v>
      </c>
      <c r="N26" s="75">
        <v>2.5020648941829102</v>
      </c>
      <c r="O26" s="75">
        <v>2.1697088406830836</v>
      </c>
      <c r="P26" s="75">
        <v>1.5004614224859683</v>
      </c>
      <c r="Q26" s="75">
        <v>2.1070958631761054</v>
      </c>
      <c r="R26" s="75">
        <v>1.7573655386081484</v>
      </c>
      <c r="S26" s="75">
        <v>1.9578164343781119</v>
      </c>
      <c r="T26" s="75">
        <v>2.1499081102804922</v>
      </c>
      <c r="U26" s="75">
        <v>2.08661953975865</v>
      </c>
      <c r="V26" s="75">
        <v>2.2286208131675593</v>
      </c>
      <c r="W26" s="75">
        <v>1.9531667804560666</v>
      </c>
      <c r="X26" s="75">
        <v>1.7241531418619849</v>
      </c>
      <c r="Y26" s="75">
        <v>1.7808779253936406</v>
      </c>
      <c r="Z26" s="75">
        <v>3.0762673695706346</v>
      </c>
      <c r="AA26" s="75">
        <v>2.2457588450127277</v>
      </c>
      <c r="AB26" s="75">
        <v>2.1682356959313966</v>
      </c>
      <c r="AC26" s="75">
        <v>1.8880348934757831</v>
      </c>
      <c r="AD26" s="75">
        <v>1.710681719561753</v>
      </c>
      <c r="AE26" s="75">
        <v>3.0224461800089175</v>
      </c>
      <c r="AF26" s="75">
        <v>2.1769312591633789</v>
      </c>
      <c r="AG26" s="75">
        <v>2.0457865845212502</v>
      </c>
      <c r="AH26" s="75">
        <v>1.713005531947082</v>
      </c>
      <c r="AI26" s="75">
        <v>2.0669471205122134</v>
      </c>
      <c r="AJ26" s="75">
        <v>2.2392542808842131</v>
      </c>
      <c r="AK26" s="75">
        <v>2.2640764617903213</v>
      </c>
      <c r="AL26" s="75">
        <v>1.7814624835145252</v>
      </c>
      <c r="AM26" s="75">
        <v>1.5004193958399736</v>
      </c>
    </row>
    <row r="27" spans="1:39" s="19" customFormat="1" ht="17.100000000000001" customHeight="1" x14ac:dyDescent="0.2">
      <c r="A27" s="38" t="s">
        <v>74</v>
      </c>
      <c r="B27" s="42">
        <v>1.7135884111433748</v>
      </c>
      <c r="C27" s="42">
        <v>1.7620522037107396</v>
      </c>
      <c r="D27" s="42">
        <v>1.7518248445762015</v>
      </c>
      <c r="E27" s="42">
        <v>1.7713185150116613</v>
      </c>
      <c r="F27" s="42">
        <v>1.6887959519340097</v>
      </c>
      <c r="G27" s="42">
        <v>1.6946412666879875</v>
      </c>
      <c r="H27" s="42">
        <v>1.6324231302261132</v>
      </c>
      <c r="I27" s="42">
        <v>1.6655292157147787</v>
      </c>
      <c r="J27" s="75">
        <v>1.7534604825357847</v>
      </c>
      <c r="K27" s="75">
        <v>1.783575286899058</v>
      </c>
      <c r="L27" s="75">
        <v>1.7957561619969833</v>
      </c>
      <c r="M27" s="75">
        <v>1.8590890946524516</v>
      </c>
      <c r="N27" s="75">
        <v>1.8411182105184103</v>
      </c>
      <c r="O27" s="75">
        <v>1.8119665424592664</v>
      </c>
      <c r="P27" s="75">
        <v>1.7703666469391699</v>
      </c>
      <c r="Q27" s="75">
        <v>1.9610429791812403</v>
      </c>
      <c r="R27" s="75">
        <v>1.8737720542893819</v>
      </c>
      <c r="S27" s="75">
        <v>1.8806169513831617</v>
      </c>
      <c r="T27" s="75">
        <v>1.9567384715374139</v>
      </c>
      <c r="U27" s="75">
        <v>1.9441669975830027</v>
      </c>
      <c r="V27" s="75">
        <v>1.9892406498062958</v>
      </c>
      <c r="W27" s="75">
        <v>1.9616045706580418</v>
      </c>
      <c r="X27" s="75">
        <v>1.9196424111492785</v>
      </c>
      <c r="Y27" s="75">
        <v>1.89164894556761</v>
      </c>
      <c r="Z27" s="75">
        <v>2.0548135691669431</v>
      </c>
      <c r="AA27" s="75">
        <v>2.0604256504729395</v>
      </c>
      <c r="AB27" s="75">
        <v>2.1521295397621478</v>
      </c>
      <c r="AC27" s="75">
        <v>2.0195158390612007</v>
      </c>
      <c r="AD27" s="75">
        <v>1.9932614126754302</v>
      </c>
      <c r="AE27" s="75">
        <v>2.0394639340745329</v>
      </c>
      <c r="AF27" s="75">
        <v>2.0749541077597931</v>
      </c>
      <c r="AG27" s="75">
        <v>1.9815952066359395</v>
      </c>
      <c r="AH27" s="75">
        <v>1.8606917044808033</v>
      </c>
      <c r="AI27" s="75">
        <v>1.8561873941813074</v>
      </c>
      <c r="AJ27" s="75">
        <v>1.8852373500437589</v>
      </c>
      <c r="AK27" s="75">
        <v>1.9328293814182402</v>
      </c>
      <c r="AL27" s="75">
        <v>1.8391462090464401</v>
      </c>
      <c r="AM27" s="75">
        <v>2.2055523199157085</v>
      </c>
    </row>
    <row r="28" spans="1:39" s="19" customFormat="1" ht="17.100000000000001" customHeight="1" x14ac:dyDescent="0.2">
      <c r="A28" s="38" t="s">
        <v>23</v>
      </c>
      <c r="B28" s="42">
        <v>2.3794877825051177</v>
      </c>
      <c r="C28" s="42">
        <v>2.3962528271373849</v>
      </c>
      <c r="D28" s="42">
        <v>2.429678810945652</v>
      </c>
      <c r="E28" s="42">
        <v>2.6570842082971375</v>
      </c>
      <c r="F28" s="42">
        <v>2.6389502940784295</v>
      </c>
      <c r="G28" s="42">
        <v>2.6936958928769874</v>
      </c>
      <c r="H28" s="42">
        <v>2.4695941843978884</v>
      </c>
      <c r="I28" s="42">
        <v>2.3445152519949173</v>
      </c>
      <c r="J28" s="75">
        <v>2.4864538431997931</v>
      </c>
      <c r="K28" s="75">
        <v>2.3944701446361365</v>
      </c>
      <c r="L28" s="75">
        <v>2.414013740216606</v>
      </c>
      <c r="M28" s="75">
        <v>2.5396435255428766</v>
      </c>
      <c r="N28" s="75">
        <v>2.6062434118557101</v>
      </c>
      <c r="O28" s="75">
        <v>2.6253628309191659</v>
      </c>
      <c r="P28" s="75">
        <v>2.7410295894506258</v>
      </c>
      <c r="Q28" s="75">
        <v>3.1285852183685168</v>
      </c>
      <c r="R28" s="75">
        <v>2.9537941587173551</v>
      </c>
      <c r="S28" s="75">
        <v>2.9548450280511531</v>
      </c>
      <c r="T28" s="75">
        <v>3.2768627755385729</v>
      </c>
      <c r="U28" s="75">
        <v>2.8270328095016652</v>
      </c>
      <c r="V28" s="75">
        <v>3.0448980274838928</v>
      </c>
      <c r="W28" s="75">
        <v>2.890944856173447</v>
      </c>
      <c r="X28" s="75">
        <v>2.9578105960476857</v>
      </c>
      <c r="Y28" s="75">
        <v>2.8277894168966031</v>
      </c>
      <c r="Z28" s="75">
        <v>3.1442184159548705</v>
      </c>
      <c r="AA28" s="75">
        <v>2.9491151648954292</v>
      </c>
      <c r="AB28" s="75">
        <v>2.7753214955616095</v>
      </c>
      <c r="AC28" s="75">
        <v>2.6001865270214508</v>
      </c>
      <c r="AD28" s="75">
        <v>2.593625565091648</v>
      </c>
      <c r="AE28" s="75">
        <v>2.7796537636000704</v>
      </c>
      <c r="AF28" s="75">
        <v>2.8826703004922676</v>
      </c>
      <c r="AG28" s="75">
        <v>3.0251499004745344</v>
      </c>
      <c r="AH28" s="75">
        <v>2.5363546214508239</v>
      </c>
      <c r="AI28" s="75">
        <v>2.7033175198537633</v>
      </c>
      <c r="AJ28" s="75">
        <v>2.8242288995838463</v>
      </c>
      <c r="AK28" s="75">
        <v>2.8084706395156598</v>
      </c>
      <c r="AL28" s="75">
        <v>2.4252393852521226</v>
      </c>
      <c r="AM28" s="75">
        <v>2.6787852952352664</v>
      </c>
    </row>
    <row r="29" spans="1:39" s="19" customFormat="1" ht="17.100000000000001" customHeight="1" x14ac:dyDescent="0.2">
      <c r="A29" s="38" t="s">
        <v>24</v>
      </c>
      <c r="B29" s="42">
        <v>4.5649227158654364</v>
      </c>
      <c r="C29" s="42">
        <v>4.4065850501159991</v>
      </c>
      <c r="D29" s="42">
        <v>4.2508792327145057</v>
      </c>
      <c r="E29" s="42">
        <v>4.3708776076051166</v>
      </c>
      <c r="F29" s="42">
        <v>4.4114153274150425</v>
      </c>
      <c r="G29" s="42">
        <v>4.5600595114387144</v>
      </c>
      <c r="H29" s="42">
        <v>4.3399631832993624</v>
      </c>
      <c r="I29" s="42">
        <v>4.233942434968835</v>
      </c>
      <c r="J29" s="75">
        <v>4.5402673094186712</v>
      </c>
      <c r="K29" s="75">
        <v>4.5726478356028775</v>
      </c>
      <c r="L29" s="75">
        <v>4.2669830945385439</v>
      </c>
      <c r="M29" s="75">
        <v>4.1384720767095828</v>
      </c>
      <c r="N29" s="75">
        <v>3.9873691829106312</v>
      </c>
      <c r="O29" s="75">
        <v>4.0856110914133748</v>
      </c>
      <c r="P29" s="75">
        <v>4.1868055433367832</v>
      </c>
      <c r="Q29" s="75">
        <v>4.2237165413784048</v>
      </c>
      <c r="R29" s="75">
        <v>3.4138272445408484</v>
      </c>
      <c r="S29" s="75">
        <v>3.6997288191493545</v>
      </c>
      <c r="T29" s="75">
        <v>3.9473638998718608</v>
      </c>
      <c r="U29" s="75">
        <v>3.9506625104218465</v>
      </c>
      <c r="V29" s="75">
        <v>3.5628604212836859</v>
      </c>
      <c r="W29" s="75">
        <v>3.6466314498581744</v>
      </c>
      <c r="X29" s="75">
        <v>3.7892327428430885</v>
      </c>
      <c r="Y29" s="75">
        <v>3.4194569027014667</v>
      </c>
      <c r="Z29" s="75">
        <v>3.6515818583454589</v>
      </c>
      <c r="AA29" s="75">
        <v>3.6095390411659585</v>
      </c>
      <c r="AB29" s="75">
        <v>3.7129238995239033</v>
      </c>
      <c r="AC29" s="75">
        <v>3.743164497084408</v>
      </c>
      <c r="AD29" s="75">
        <v>3.9051899015999503</v>
      </c>
      <c r="AE29" s="75">
        <v>3.4019885960441338</v>
      </c>
      <c r="AF29" s="75">
        <v>3.6773800050520604</v>
      </c>
      <c r="AG29" s="75">
        <v>3.5603502996280665</v>
      </c>
      <c r="AH29" s="75">
        <v>3.5597878919261161</v>
      </c>
      <c r="AI29" s="75">
        <v>3.5103117896271567</v>
      </c>
      <c r="AJ29" s="75">
        <v>3.5178682930990144</v>
      </c>
      <c r="AK29" s="75">
        <v>3.7214330156633295</v>
      </c>
      <c r="AL29" s="75">
        <v>4.0869729283711571</v>
      </c>
      <c r="AM29" s="75">
        <v>3.8552791066702405</v>
      </c>
    </row>
    <row r="30" spans="1:39" s="19" customFormat="1" ht="17.100000000000001" customHeight="1" x14ac:dyDescent="0.2">
      <c r="A30" s="38" t="s">
        <v>71</v>
      </c>
      <c r="B30" s="42">
        <v>3.0875170337510243</v>
      </c>
      <c r="C30" s="42">
        <v>2.9707495242620547</v>
      </c>
      <c r="D30" s="42">
        <v>2.9634883384748658</v>
      </c>
      <c r="E30" s="42">
        <v>3.1922456356102034</v>
      </c>
      <c r="F30" s="42">
        <v>3.3152488299912131</v>
      </c>
      <c r="G30" s="42">
        <v>3.4512461879002232</v>
      </c>
      <c r="H30" s="42">
        <v>3.2979458003037454</v>
      </c>
      <c r="I30" s="42">
        <v>3.1911074434663913</v>
      </c>
      <c r="J30" s="75">
        <v>3.4837942596698377</v>
      </c>
      <c r="K30" s="75">
        <v>3.2354611471017791</v>
      </c>
      <c r="L30" s="75">
        <v>3.1508931987622377</v>
      </c>
      <c r="M30" s="75">
        <v>3.2186440014079394</v>
      </c>
      <c r="N30" s="75">
        <v>3.2309912826937968</v>
      </c>
      <c r="O30" s="75">
        <v>3.0707665242574498</v>
      </c>
      <c r="P30" s="75">
        <v>3.227813199705968</v>
      </c>
      <c r="Q30" s="75">
        <v>3.3435334680183595</v>
      </c>
      <c r="R30" s="75">
        <v>3.6234343936975257</v>
      </c>
      <c r="S30" s="75">
        <v>3.2987188367626867</v>
      </c>
      <c r="T30" s="75">
        <v>3.3370615014057199</v>
      </c>
      <c r="U30" s="75">
        <v>3.4556993428654774</v>
      </c>
      <c r="V30" s="75">
        <v>3.5229535694210674</v>
      </c>
      <c r="W30" s="75">
        <v>3.746452119471797</v>
      </c>
      <c r="X30" s="75">
        <v>3.5588521181197876</v>
      </c>
      <c r="Y30" s="75">
        <v>3.3925011279519897</v>
      </c>
      <c r="Z30" s="75">
        <v>3.4684267577208132</v>
      </c>
      <c r="AA30" s="75">
        <v>3.4497365713279007</v>
      </c>
      <c r="AB30" s="75">
        <v>3.4876206681406807</v>
      </c>
      <c r="AC30" s="75">
        <v>3.1325912931803916</v>
      </c>
      <c r="AD30" s="75">
        <v>2.9627339716696737</v>
      </c>
      <c r="AE30" s="75">
        <v>3.0959639777562433</v>
      </c>
      <c r="AF30" s="75">
        <v>3.1543129017613789</v>
      </c>
      <c r="AG30" s="75">
        <v>3.5094984634363633</v>
      </c>
      <c r="AH30" s="75">
        <v>3.045082146226088</v>
      </c>
      <c r="AI30" s="75">
        <v>2.9912603893606815</v>
      </c>
      <c r="AJ30" s="75">
        <v>3.0012063282236281</v>
      </c>
      <c r="AK30" s="75">
        <v>2.8839203967636799</v>
      </c>
      <c r="AL30" s="75">
        <v>2.9928062609712778</v>
      </c>
      <c r="AM30" s="75">
        <v>2.8941131794518871</v>
      </c>
    </row>
    <row r="31" spans="1:39" s="19" customFormat="1" ht="17.100000000000001" customHeight="1" x14ac:dyDescent="0.2">
      <c r="A31" s="38" t="s">
        <v>72</v>
      </c>
      <c r="B31" s="42">
        <v>9.7095684929291645E-2</v>
      </c>
      <c r="C31" s="42">
        <v>9.7419040003406607E-2</v>
      </c>
      <c r="D31" s="42">
        <v>0.11290535299137638</v>
      </c>
      <c r="E31" s="42">
        <v>0.17468925518919581</v>
      </c>
      <c r="F31" s="42">
        <v>0.13974564294119282</v>
      </c>
      <c r="G31" s="42">
        <v>0.18735784679123807</v>
      </c>
      <c r="H31" s="42">
        <v>0.18768562868733787</v>
      </c>
      <c r="I31" s="42">
        <v>0.19346422637710511</v>
      </c>
      <c r="J31" s="75">
        <v>0.19774138774666211</v>
      </c>
      <c r="K31" s="75">
        <v>0.18552523713062222</v>
      </c>
      <c r="L31" s="75">
        <v>0.18747335321801475</v>
      </c>
      <c r="M31" s="75">
        <v>0.18394205030666627</v>
      </c>
      <c r="N31" s="75">
        <v>0.19080544549384656</v>
      </c>
      <c r="O31" s="75">
        <v>0.18576946385244622</v>
      </c>
      <c r="P31" s="75">
        <v>0.18584996532477366</v>
      </c>
      <c r="Q31" s="75">
        <v>0.15514963964536393</v>
      </c>
      <c r="R31" s="75">
        <v>0.13687632285173523</v>
      </c>
      <c r="S31" s="75">
        <v>0.15522736242625421</v>
      </c>
      <c r="T31" s="75">
        <v>0.15039954426987581</v>
      </c>
      <c r="U31" s="75">
        <v>0.17508567224366584</v>
      </c>
      <c r="V31" s="75">
        <v>0.17422621801091592</v>
      </c>
      <c r="W31" s="75">
        <v>0.14986850633477444</v>
      </c>
      <c r="X31" s="75">
        <v>0.11841270489487868</v>
      </c>
      <c r="Y31" s="75">
        <v>0.13658638597172176</v>
      </c>
      <c r="Z31" s="75">
        <v>9.6618650793692584E-2</v>
      </c>
      <c r="AA31" s="75">
        <v>0.15034420114346361</v>
      </c>
      <c r="AB31" s="75">
        <v>0.15702131364037727</v>
      </c>
      <c r="AC31" s="75">
        <v>0.17097269722605699</v>
      </c>
      <c r="AD31" s="75">
        <v>0.15777839957286954</v>
      </c>
      <c r="AE31" s="75">
        <v>0.13897028273778478</v>
      </c>
      <c r="AF31" s="75">
        <v>0.16816275485306795</v>
      </c>
      <c r="AG31" s="75">
        <v>0.1543135928520705</v>
      </c>
      <c r="AH31" s="75">
        <v>0.16735280994656485</v>
      </c>
      <c r="AI31" s="75">
        <v>0.15385618328618761</v>
      </c>
      <c r="AJ31" s="75">
        <v>0.16825846641277917</v>
      </c>
      <c r="AK31" s="75">
        <v>0.13303609334872463</v>
      </c>
      <c r="AL31" s="75">
        <v>0.15405288208675469</v>
      </c>
      <c r="AM31" s="75">
        <v>0.1387424890730613</v>
      </c>
    </row>
    <row r="32" spans="1:39" s="19" customFormat="1" ht="17.100000000000001" customHeight="1" x14ac:dyDescent="0.2">
      <c r="A32" s="38" t="s">
        <v>27</v>
      </c>
      <c r="B32" s="42">
        <v>2.8912963679237689</v>
      </c>
      <c r="C32" s="42">
        <v>2.776920716542759</v>
      </c>
      <c r="D32" s="42">
        <v>2.7251341152344093</v>
      </c>
      <c r="E32" s="42">
        <v>2.6062279014764504</v>
      </c>
      <c r="F32" s="42">
        <v>2.5666717161374293</v>
      </c>
      <c r="G32" s="42">
        <v>2.5938822207273544</v>
      </c>
      <c r="H32" s="42">
        <v>2.3526463682068828</v>
      </c>
      <c r="I32" s="42">
        <v>2.3205003267841282</v>
      </c>
      <c r="J32" s="75">
        <v>2.3773323803826867</v>
      </c>
      <c r="K32" s="75">
        <v>2.3442894215887811</v>
      </c>
      <c r="L32" s="75">
        <v>2.2837905097058946</v>
      </c>
      <c r="M32" s="75">
        <v>2.4116111626145118</v>
      </c>
      <c r="N32" s="75">
        <v>2.4040447207270268</v>
      </c>
      <c r="O32" s="75">
        <v>2.3551450560875327</v>
      </c>
      <c r="P32" s="75">
        <v>2.4540460900702104</v>
      </c>
      <c r="Q32" s="75">
        <v>2.6943817667854466</v>
      </c>
      <c r="R32" s="75">
        <v>2.4963226023499034</v>
      </c>
      <c r="S32" s="75">
        <v>2.4439896230117086</v>
      </c>
      <c r="T32" s="75">
        <v>2.5263587672512573</v>
      </c>
      <c r="U32" s="75">
        <v>2.472187646171855</v>
      </c>
      <c r="V32" s="75">
        <v>2.3637550559997171</v>
      </c>
      <c r="W32" s="75">
        <v>2.1586461999774005</v>
      </c>
      <c r="X32" s="75">
        <v>2.2412539750433789</v>
      </c>
      <c r="Y32" s="75">
        <v>2.1733379692624535</v>
      </c>
      <c r="Z32" s="75">
        <v>2.0096495358548019</v>
      </c>
      <c r="AA32" s="75">
        <v>2.0094196927063042</v>
      </c>
      <c r="AB32" s="75">
        <v>2.0370803327987934</v>
      </c>
      <c r="AC32" s="75">
        <v>1.8967732096273535</v>
      </c>
      <c r="AD32" s="75">
        <v>1.9979758659356084</v>
      </c>
      <c r="AE32" s="75">
        <v>2.2994314846080708</v>
      </c>
      <c r="AF32" s="75">
        <v>2.0994159579849367</v>
      </c>
      <c r="AG32" s="75">
        <v>1.8257276676301015</v>
      </c>
      <c r="AH32" s="75">
        <v>2.0712239625061573</v>
      </c>
      <c r="AI32" s="75">
        <v>2.0894710693403402</v>
      </c>
      <c r="AJ32" s="75">
        <v>2.0352336941488502</v>
      </c>
      <c r="AK32" s="75">
        <v>2.0337219298758189</v>
      </c>
      <c r="AL32" s="75">
        <v>2.069039505049056</v>
      </c>
      <c r="AM32" s="75">
        <v>1.7991834574334633</v>
      </c>
    </row>
    <row r="33" spans="1:39" s="19" customFormat="1" ht="17.100000000000001" customHeight="1" x14ac:dyDescent="0.2">
      <c r="A33" s="38" t="s">
        <v>69</v>
      </c>
      <c r="B33" s="42">
        <v>0.83772562521038274</v>
      </c>
      <c r="C33" s="42">
        <v>0.82024428136952476</v>
      </c>
      <c r="D33" s="42">
        <v>0.80509102026206825</v>
      </c>
      <c r="E33" s="42">
        <v>0.81892983141694675</v>
      </c>
      <c r="F33" s="42">
        <v>0.80602974769096625</v>
      </c>
      <c r="G33" s="42">
        <v>0.82398344582230343</v>
      </c>
      <c r="H33" s="42">
        <v>0.77188205450243208</v>
      </c>
      <c r="I33" s="42">
        <v>0.76061633170449783</v>
      </c>
      <c r="J33" s="75">
        <v>0.77793814027171027</v>
      </c>
      <c r="K33" s="75">
        <v>0.76712292464474718</v>
      </c>
      <c r="L33" s="75">
        <v>0.74026910640324184</v>
      </c>
      <c r="M33" s="75">
        <v>0.74390677631407331</v>
      </c>
      <c r="N33" s="75">
        <v>0.73059820613080395</v>
      </c>
      <c r="O33" s="75">
        <v>0.70985009014144129</v>
      </c>
      <c r="P33" s="75">
        <v>0.74551621237085541</v>
      </c>
      <c r="Q33" s="75">
        <v>0.83418401391347607</v>
      </c>
      <c r="R33" s="75">
        <v>0.75735671124257009</v>
      </c>
      <c r="S33" s="75">
        <v>0.73672687275588433</v>
      </c>
      <c r="T33" s="75">
        <v>0.75114317742397096</v>
      </c>
      <c r="U33" s="75">
        <v>0.74489453262322791</v>
      </c>
      <c r="V33" s="75">
        <v>0.75116652467301193</v>
      </c>
      <c r="W33" s="75">
        <v>0.71932497972408205</v>
      </c>
      <c r="X33" s="75">
        <v>0.7122106955159605</v>
      </c>
      <c r="Y33" s="75">
        <v>0.71715716416412023</v>
      </c>
      <c r="Z33" s="75">
        <v>0.7190657666550524</v>
      </c>
      <c r="AA33" s="75">
        <v>0.73211952292750171</v>
      </c>
      <c r="AB33" s="75">
        <v>0.74726091088599766</v>
      </c>
      <c r="AC33" s="75">
        <v>0.69361223895419566</v>
      </c>
      <c r="AD33" s="75">
        <v>0.68183602988867786</v>
      </c>
      <c r="AE33" s="75">
        <v>0.68892696132428388</v>
      </c>
      <c r="AF33" s="75">
        <v>0.70043188566477732</v>
      </c>
      <c r="AG33" s="75">
        <v>0.67885383992659198</v>
      </c>
      <c r="AH33" s="75">
        <v>0.6543268034824572</v>
      </c>
      <c r="AI33" s="75">
        <v>0.65674448471084634</v>
      </c>
      <c r="AJ33" s="75">
        <v>0.65147429186198136</v>
      </c>
      <c r="AK33" s="75">
        <v>0.64843779379706523</v>
      </c>
      <c r="AL33" s="75">
        <v>0.65300510552818136</v>
      </c>
      <c r="AM33" s="75">
        <v>0.6153385931508415</v>
      </c>
    </row>
    <row r="34" spans="1:39" s="19" customFormat="1" ht="17.100000000000001" customHeight="1" x14ac:dyDescent="0.2">
      <c r="A34" s="39"/>
      <c r="B34" s="42"/>
      <c r="C34" s="42"/>
      <c r="D34" s="42"/>
      <c r="E34" s="42"/>
      <c r="F34" s="42"/>
      <c r="G34" s="42"/>
      <c r="H34" s="42"/>
      <c r="I34" s="42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</row>
    <row r="35" spans="1:39" s="51" customFormat="1" ht="17.100000000000001" customHeight="1" x14ac:dyDescent="0.2">
      <c r="A35" s="52" t="s">
        <v>84</v>
      </c>
      <c r="B35" s="58"/>
      <c r="C35" s="58"/>
      <c r="D35" s="58"/>
      <c r="E35" s="58"/>
      <c r="F35" s="58"/>
      <c r="G35" s="58"/>
      <c r="H35" s="58"/>
      <c r="I35" s="58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</row>
    <row r="36" spans="1:39" s="27" customFormat="1" ht="17.100000000000001" customHeight="1" thickBot="1" x14ac:dyDescent="0.25">
      <c r="A36" s="25" t="s">
        <v>30</v>
      </c>
      <c r="B36" s="43">
        <v>7.0582698458720801</v>
      </c>
      <c r="C36" s="43">
        <v>6.7882413666208992</v>
      </c>
      <c r="D36" s="43">
        <v>7.0023078836245976</v>
      </c>
      <c r="E36" s="43">
        <v>7.2225478853485807</v>
      </c>
      <c r="F36" s="43">
        <v>6.9738126762164994</v>
      </c>
      <c r="G36" s="43">
        <v>7.3300490845739485</v>
      </c>
      <c r="H36" s="43">
        <v>7.1273915998385728</v>
      </c>
      <c r="I36" s="43">
        <v>7.2184439891466097</v>
      </c>
      <c r="J36" s="77">
        <v>7.6281741650722585</v>
      </c>
      <c r="K36" s="77">
        <v>7.6771810446273516</v>
      </c>
      <c r="L36" s="77">
        <v>7.2348971183862281</v>
      </c>
      <c r="M36" s="77">
        <v>7.1316421242807726</v>
      </c>
      <c r="N36" s="77">
        <v>7.2640788777264138</v>
      </c>
      <c r="O36" s="77">
        <v>7.0665110786727281</v>
      </c>
      <c r="P36" s="77">
        <v>7.3219881640620033</v>
      </c>
      <c r="Q36" s="77">
        <v>5.1105910794754319</v>
      </c>
      <c r="R36" s="77">
        <v>7.2111564193078026</v>
      </c>
      <c r="S36" s="77">
        <v>7.1157749254781759</v>
      </c>
      <c r="T36" s="77">
        <v>7.0824322694195754</v>
      </c>
      <c r="U36" s="77">
        <v>7.2567356662781179</v>
      </c>
      <c r="V36" s="77">
        <v>7.2933867920778868</v>
      </c>
      <c r="W36" s="77">
        <v>7.8116131042738708</v>
      </c>
      <c r="X36" s="77">
        <v>7.796569393222919</v>
      </c>
      <c r="Y36" s="77">
        <v>7.3385050664276026</v>
      </c>
      <c r="Z36" s="77">
        <v>7.4507086752328515</v>
      </c>
      <c r="AA36" s="77">
        <v>7.0346494850795009</v>
      </c>
      <c r="AB36" s="77">
        <v>8.0534828468238064</v>
      </c>
      <c r="AC36" s="77">
        <v>8.0569412601028532</v>
      </c>
      <c r="AD36" s="77">
        <v>7.4289110622190551</v>
      </c>
      <c r="AE36" s="77">
        <v>7.2743084306106178</v>
      </c>
      <c r="AF36" s="77">
        <v>7.5449740453352288</v>
      </c>
      <c r="AG36" s="77">
        <v>7.3059335783692196</v>
      </c>
      <c r="AH36" s="77">
        <v>7.5597984664265008</v>
      </c>
      <c r="AI36" s="77">
        <v>7.4502388096831451</v>
      </c>
      <c r="AJ36" s="77">
        <v>7.2428106443335842</v>
      </c>
      <c r="AK36" s="77">
        <v>7.7908614114051797</v>
      </c>
      <c r="AL36" s="77">
        <v>7.2553436123452233</v>
      </c>
      <c r="AM36" s="77">
        <v>7.2541656801921999</v>
      </c>
    </row>
    <row r="37" spans="1:39" x14ac:dyDescent="0.2">
      <c r="A37" s="14" t="s">
        <v>63</v>
      </c>
    </row>
  </sheetData>
  <mergeCells count="10">
    <mergeCell ref="R3:U3"/>
    <mergeCell ref="B3:E3"/>
    <mergeCell ref="F3:I3"/>
    <mergeCell ref="J3:M3"/>
    <mergeCell ref="N3:P3"/>
    <mergeCell ref="AL3:AM3"/>
    <mergeCell ref="AH3:AK3"/>
    <mergeCell ref="AD3:AG3"/>
    <mergeCell ref="Z3:AC3"/>
    <mergeCell ref="V3:Y3"/>
  </mergeCells>
  <phoneticPr fontId="17" type="noConversion"/>
  <pageMargins left="0.11811023622047245" right="0" top="0.47244094488188981" bottom="0" header="0.31496062992125984" footer="0.31496062992125984"/>
  <pageSetup scale="4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M37"/>
  <sheetViews>
    <sheetView view="pageBreakPreview" zoomScaleSheetLayoutView="100" workbookViewId="0"/>
  </sheetViews>
  <sheetFormatPr defaultColWidth="9.140625" defaultRowHeight="12" x14ac:dyDescent="0.2"/>
  <cols>
    <col min="1" max="1" width="25" style="29" customWidth="1"/>
    <col min="2" max="2" width="7.28515625" style="29" customWidth="1"/>
    <col min="3" max="3" width="6.85546875" style="29" customWidth="1"/>
    <col min="4" max="4" width="7" style="29" customWidth="1"/>
    <col min="5" max="5" width="7.140625" style="29" customWidth="1"/>
    <col min="6" max="6" width="7.28515625" style="29" customWidth="1"/>
    <col min="7" max="9" width="7.5703125" style="29" customWidth="1"/>
    <col min="10" max="27" width="8.5703125" style="17" customWidth="1"/>
    <col min="28" max="32" width="9.140625" style="29"/>
    <col min="33" max="33" width="8.5703125" style="29" customWidth="1"/>
    <col min="34" max="16384" width="9.140625" style="29"/>
  </cols>
  <sheetData>
    <row r="1" spans="1:39" ht="16.5" customHeight="1" x14ac:dyDescent="0.2">
      <c r="A1" s="18" t="s">
        <v>127</v>
      </c>
      <c r="B1" s="18"/>
    </row>
    <row r="2" spans="1:39" ht="3" customHeight="1" thickBot="1" x14ac:dyDescent="0.25"/>
    <row r="3" spans="1:39" s="47" customFormat="1" ht="15" customHeight="1" x14ac:dyDescent="0.2">
      <c r="B3" s="149" t="s">
        <v>75</v>
      </c>
      <c r="C3" s="149"/>
      <c r="D3" s="149"/>
      <c r="E3" s="149"/>
      <c r="F3" s="149" t="s">
        <v>79</v>
      </c>
      <c r="G3" s="149"/>
      <c r="H3" s="149"/>
      <c r="I3" s="149"/>
      <c r="J3" s="150" t="s">
        <v>85</v>
      </c>
      <c r="K3" s="150"/>
      <c r="L3" s="150"/>
      <c r="M3" s="150"/>
      <c r="N3" s="150" t="s">
        <v>86</v>
      </c>
      <c r="O3" s="150"/>
      <c r="P3" s="150"/>
      <c r="Q3" s="150"/>
      <c r="R3" s="150" t="s">
        <v>89</v>
      </c>
      <c r="S3" s="150"/>
      <c r="T3" s="150"/>
      <c r="U3" s="150"/>
      <c r="V3" s="150" t="s">
        <v>90</v>
      </c>
      <c r="W3" s="150"/>
      <c r="X3" s="150"/>
      <c r="Y3" s="150"/>
      <c r="Z3" s="150" t="s">
        <v>91</v>
      </c>
      <c r="AA3" s="150"/>
      <c r="AB3" s="150"/>
      <c r="AC3" s="150"/>
      <c r="AD3" s="149" t="s">
        <v>92</v>
      </c>
      <c r="AE3" s="149"/>
      <c r="AF3" s="149"/>
      <c r="AG3" s="149"/>
      <c r="AH3" s="149" t="s">
        <v>118</v>
      </c>
      <c r="AI3" s="149"/>
      <c r="AJ3" s="149"/>
      <c r="AK3" s="149"/>
      <c r="AL3" s="149" t="s">
        <v>120</v>
      </c>
      <c r="AM3" s="149"/>
    </row>
    <row r="4" spans="1:39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0" t="s">
        <v>57</v>
      </c>
      <c r="G4" s="49" t="s">
        <v>58</v>
      </c>
      <c r="H4" s="50" t="s">
        <v>59</v>
      </c>
      <c r="I4" s="50" t="s">
        <v>60</v>
      </c>
      <c r="J4" s="61" t="s">
        <v>57</v>
      </c>
      <c r="K4" s="61" t="s">
        <v>58</v>
      </c>
      <c r="L4" s="61" t="s">
        <v>59</v>
      </c>
      <c r="M4" s="61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</row>
    <row r="5" spans="1:39" s="20" customFormat="1" ht="17.100000000000001" customHeight="1" x14ac:dyDescent="0.2">
      <c r="A5" s="21" t="s">
        <v>80</v>
      </c>
      <c r="B5" s="41">
        <v>25638.800930771155</v>
      </c>
      <c r="C5" s="41">
        <v>26803.850720266058</v>
      </c>
      <c r="D5" s="41">
        <v>27869.715755726516</v>
      </c>
      <c r="E5" s="41">
        <v>28386.818728441147</v>
      </c>
      <c r="F5" s="41">
        <v>28651.812396998801</v>
      </c>
      <c r="G5" s="41">
        <v>29115.38612931997</v>
      </c>
      <c r="H5" s="41">
        <v>30627.145573960315</v>
      </c>
      <c r="I5" s="41">
        <v>31598.57792732399</v>
      </c>
      <c r="J5" s="73">
        <v>32273.388180976388</v>
      </c>
      <c r="K5" s="73">
        <v>32779.01563862896</v>
      </c>
      <c r="L5" s="73">
        <v>33448.073972750288</v>
      </c>
      <c r="M5" s="73">
        <v>34384.576160865494</v>
      </c>
      <c r="N5" s="73">
        <v>35415.391359928755</v>
      </c>
      <c r="O5" s="73">
        <v>35991.178848549098</v>
      </c>
      <c r="P5" s="73">
        <v>35783.602465616721</v>
      </c>
      <c r="Q5" s="73">
        <v>35597.009634887509</v>
      </c>
      <c r="R5" s="73">
        <v>35984.305774960238</v>
      </c>
      <c r="S5" s="73">
        <v>36647.841001151799</v>
      </c>
      <c r="T5" s="73">
        <v>37260.709338654349</v>
      </c>
      <c r="U5" s="73">
        <v>37714.775618751009</v>
      </c>
      <c r="V5" s="73">
        <v>38564.484351386156</v>
      </c>
      <c r="W5" s="73">
        <v>40134.772233560965</v>
      </c>
      <c r="X5" s="73">
        <v>41735.714035563047</v>
      </c>
      <c r="Y5" s="73">
        <v>43033.594551630733</v>
      </c>
      <c r="Z5" s="73">
        <v>44195.482974001112</v>
      </c>
      <c r="AA5" s="73">
        <v>45130.769390662812</v>
      </c>
      <c r="AB5" s="73">
        <v>46607.848149707206</v>
      </c>
      <c r="AC5" s="73">
        <v>48158.598720847818</v>
      </c>
      <c r="AD5" s="73">
        <v>49418.961727966846</v>
      </c>
      <c r="AE5" s="73">
        <v>49910.46826788014</v>
      </c>
      <c r="AF5" s="73">
        <v>51243.516655914151</v>
      </c>
      <c r="AG5" s="73">
        <v>52792.024260099184</v>
      </c>
      <c r="AH5" s="73">
        <v>54316.578566407174</v>
      </c>
      <c r="AI5" s="73">
        <v>55857.403587330096</v>
      </c>
      <c r="AJ5" s="73">
        <v>57039.588172719494</v>
      </c>
      <c r="AK5" s="73">
        <v>57975.792485721489</v>
      </c>
      <c r="AL5" s="73">
        <v>59898.868833095097</v>
      </c>
      <c r="AM5" s="73">
        <v>62350.451527698206</v>
      </c>
    </row>
    <row r="6" spans="1:39" s="54" customFormat="1" ht="17.100000000000001" customHeight="1" x14ac:dyDescent="0.2">
      <c r="A6" s="52" t="s">
        <v>81</v>
      </c>
      <c r="B6" s="53">
        <v>6148.1656509296236</v>
      </c>
      <c r="C6" s="53">
        <v>6433.4739164240345</v>
      </c>
      <c r="D6" s="53">
        <v>6582.8791486899318</v>
      </c>
      <c r="E6" s="53">
        <v>6552.4805854497226</v>
      </c>
      <c r="F6" s="53">
        <v>6482.8120832826298</v>
      </c>
      <c r="G6" s="53">
        <v>6455.3162647721983</v>
      </c>
      <c r="H6" s="53">
        <v>7220.1671850827079</v>
      </c>
      <c r="I6" s="53">
        <v>7317.1268002395309</v>
      </c>
      <c r="J6" s="74">
        <v>7409.930435983636</v>
      </c>
      <c r="K6" s="74">
        <v>7571.9695320442743</v>
      </c>
      <c r="L6" s="74">
        <v>7865.5676159655559</v>
      </c>
      <c r="M6" s="74">
        <v>8096.9262241563238</v>
      </c>
      <c r="N6" s="74">
        <v>8172.9425454175889</v>
      </c>
      <c r="O6" s="74">
        <v>8272.4502339661576</v>
      </c>
      <c r="P6" s="74">
        <v>8409.3431607064504</v>
      </c>
      <c r="Q6" s="74">
        <v>8489.1962454197419</v>
      </c>
      <c r="R6" s="74">
        <v>8535.7190402687502</v>
      </c>
      <c r="S6" s="74">
        <v>8574.8864918569489</v>
      </c>
      <c r="T6" s="74">
        <v>8674.5792930997159</v>
      </c>
      <c r="U6" s="74">
        <v>8973.948726566392</v>
      </c>
      <c r="V6" s="74">
        <v>9385.5792538439873</v>
      </c>
      <c r="W6" s="74">
        <v>9663.1078149784498</v>
      </c>
      <c r="X6" s="74">
        <v>9870.5867254594359</v>
      </c>
      <c r="Y6" s="74">
        <v>10274.837341187927</v>
      </c>
      <c r="Z6" s="74">
        <v>10814.156147058633</v>
      </c>
      <c r="AA6" s="74">
        <v>11230.856488308204</v>
      </c>
      <c r="AB6" s="74">
        <v>11495.742015341348</v>
      </c>
      <c r="AC6" s="74">
        <v>11452.190068855374</v>
      </c>
      <c r="AD6" s="74">
        <v>11750.269316211141</v>
      </c>
      <c r="AE6" s="74">
        <v>12278.058591454706</v>
      </c>
      <c r="AF6" s="74">
        <v>12990.847574085536</v>
      </c>
      <c r="AG6" s="74">
        <v>13639.093054252315</v>
      </c>
      <c r="AH6" s="74">
        <v>14096.895856526768</v>
      </c>
      <c r="AI6" s="74">
        <v>14454.708812914963</v>
      </c>
      <c r="AJ6" s="74">
        <v>14702.617283433878</v>
      </c>
      <c r="AK6" s="74">
        <v>14875.58952597065</v>
      </c>
      <c r="AL6" s="74">
        <v>15516.801897287345</v>
      </c>
      <c r="AM6" s="74">
        <v>16373.122953599834</v>
      </c>
    </row>
    <row r="7" spans="1:39" s="19" customFormat="1" ht="17.100000000000001" customHeight="1" x14ac:dyDescent="0.2">
      <c r="A7" s="37" t="s">
        <v>2</v>
      </c>
      <c r="B7" s="16">
        <v>563.24374313747796</v>
      </c>
      <c r="C7" s="16">
        <v>618.97967617031304</v>
      </c>
      <c r="D7" s="16">
        <v>671.79455833568898</v>
      </c>
      <c r="E7" s="16">
        <v>709.42569008838302</v>
      </c>
      <c r="F7" s="16">
        <v>712.03909830130704</v>
      </c>
      <c r="G7" s="16">
        <v>677.66871951026701</v>
      </c>
      <c r="H7" s="16">
        <v>648.06402380141901</v>
      </c>
      <c r="I7" s="16">
        <v>661.06428503687596</v>
      </c>
      <c r="J7" s="64">
        <v>676.99320810338497</v>
      </c>
      <c r="K7" s="64">
        <v>660.19853036288896</v>
      </c>
      <c r="L7" s="64">
        <v>629.74014637395499</v>
      </c>
      <c r="M7" s="64">
        <v>622.74702313069804</v>
      </c>
      <c r="N7" s="64">
        <v>649.53365327531196</v>
      </c>
      <c r="O7" s="64">
        <v>689.84060264479206</v>
      </c>
      <c r="P7" s="64">
        <v>700.95421408117102</v>
      </c>
      <c r="Q7" s="64">
        <v>674.85869105794598</v>
      </c>
      <c r="R7" s="64">
        <v>665.60676675798095</v>
      </c>
      <c r="S7" s="64">
        <v>713.88187843572496</v>
      </c>
      <c r="T7" s="64">
        <v>802.32394888319595</v>
      </c>
      <c r="U7" s="64">
        <v>887.449556082752</v>
      </c>
      <c r="V7" s="64">
        <v>1007.95799696397</v>
      </c>
      <c r="W7" s="64">
        <v>1124.86506435312</v>
      </c>
      <c r="X7" s="64">
        <v>1162.9758919190299</v>
      </c>
      <c r="Y7" s="64">
        <v>1166.23099260102</v>
      </c>
      <c r="Z7" s="64">
        <v>1161.97024818773</v>
      </c>
      <c r="AA7" s="64">
        <v>1117.9512481638301</v>
      </c>
      <c r="AB7" s="64">
        <v>1123.77022893091</v>
      </c>
      <c r="AC7" s="64">
        <v>1272.20373394692</v>
      </c>
      <c r="AD7" s="64">
        <v>1473.8204952728299</v>
      </c>
      <c r="AE7" s="64">
        <v>1700.6231345139399</v>
      </c>
      <c r="AF7" s="64">
        <v>1935.7679567018899</v>
      </c>
      <c r="AG7" s="64">
        <v>2100.8960709723201</v>
      </c>
      <c r="AH7" s="64">
        <v>2282.0035348691499</v>
      </c>
      <c r="AI7" s="64">
        <v>2579.5397921688</v>
      </c>
      <c r="AJ7" s="64">
        <v>2909.3205530220398</v>
      </c>
      <c r="AK7" s="64">
        <v>3125.9867476220302</v>
      </c>
      <c r="AL7" s="64">
        <v>3160.3753142724599</v>
      </c>
      <c r="AM7" s="64">
        <v>3093.9617402100798</v>
      </c>
    </row>
    <row r="8" spans="1:39" s="19" customFormat="1" ht="17.100000000000001" customHeight="1" x14ac:dyDescent="0.2">
      <c r="A8" s="37" t="s">
        <v>3</v>
      </c>
      <c r="B8" s="16">
        <v>3172.6573571234298</v>
      </c>
      <c r="C8" s="16">
        <v>3360.8017058866299</v>
      </c>
      <c r="D8" s="16">
        <v>3467.8544540263401</v>
      </c>
      <c r="E8" s="16">
        <v>3490.5590873389301</v>
      </c>
      <c r="F8" s="16">
        <v>3527.5673466693202</v>
      </c>
      <c r="G8" s="16">
        <v>3608.8484021107702</v>
      </c>
      <c r="H8" s="16">
        <v>3680.6674770069599</v>
      </c>
      <c r="I8" s="16">
        <v>3633.7033593768301</v>
      </c>
      <c r="J8" s="64">
        <v>3638.7698437880199</v>
      </c>
      <c r="K8" s="64">
        <v>3767.2819042780902</v>
      </c>
      <c r="L8" s="64">
        <v>3963.0669256941601</v>
      </c>
      <c r="M8" s="64">
        <v>4051.6868772829598</v>
      </c>
      <c r="N8" s="64">
        <v>4021.04025134732</v>
      </c>
      <c r="O8" s="64">
        <v>4039.0724484491702</v>
      </c>
      <c r="P8" s="64">
        <v>4175.0905737206103</v>
      </c>
      <c r="Q8" s="64">
        <v>4283.05201074861</v>
      </c>
      <c r="R8" s="64">
        <v>4247.2693842291001</v>
      </c>
      <c r="S8" s="64">
        <v>4175.4263809732201</v>
      </c>
      <c r="T8" s="64">
        <v>4205.2056139009401</v>
      </c>
      <c r="U8" s="64">
        <v>4342.1397699201598</v>
      </c>
      <c r="V8" s="64">
        <v>4451.9382638393699</v>
      </c>
      <c r="W8" s="64">
        <v>4527.8075644938699</v>
      </c>
      <c r="X8" s="64">
        <v>4697.4960865419698</v>
      </c>
      <c r="Y8" s="64">
        <v>5058.7410783013802</v>
      </c>
      <c r="Z8" s="64">
        <v>5438.1573061014196</v>
      </c>
      <c r="AA8" s="64">
        <v>5633.4395792249097</v>
      </c>
      <c r="AB8" s="64">
        <v>5666.5551463086504</v>
      </c>
      <c r="AC8" s="64">
        <v>5644.53697522535</v>
      </c>
      <c r="AD8" s="64">
        <v>5636.2339279773896</v>
      </c>
      <c r="AE8" s="64">
        <v>5729.5144908313196</v>
      </c>
      <c r="AF8" s="64">
        <v>5950.0235269045797</v>
      </c>
      <c r="AG8" s="64">
        <v>6258.74380424436</v>
      </c>
      <c r="AH8" s="64">
        <v>6428.46073489023</v>
      </c>
      <c r="AI8" s="64">
        <v>6292.3386000589499</v>
      </c>
      <c r="AJ8" s="64">
        <v>5954.69397854608</v>
      </c>
      <c r="AK8" s="64">
        <v>5723.2850292288704</v>
      </c>
      <c r="AL8" s="64">
        <v>6185.1667806858304</v>
      </c>
      <c r="AM8" s="64">
        <v>6938.8932270139603</v>
      </c>
    </row>
    <row r="9" spans="1:39" s="19" customFormat="1" ht="17.100000000000001" customHeight="1" x14ac:dyDescent="0.2">
      <c r="A9" s="37" t="s">
        <v>4</v>
      </c>
      <c r="B9" s="16">
        <v>789.98533169643895</v>
      </c>
      <c r="C9" s="16">
        <v>812.83225836631198</v>
      </c>
      <c r="D9" s="16">
        <v>838.88919273174395</v>
      </c>
      <c r="E9" s="16">
        <v>874.32454147939495</v>
      </c>
      <c r="F9" s="16">
        <v>916.896683304465</v>
      </c>
      <c r="G9" s="16">
        <v>954.82152857681604</v>
      </c>
      <c r="H9" s="16">
        <v>980.87984968062597</v>
      </c>
      <c r="I9" s="16">
        <v>1012.48806565882</v>
      </c>
      <c r="J9" s="64">
        <v>1052.77032359089</v>
      </c>
      <c r="K9" s="64">
        <v>1102.4939206540901</v>
      </c>
      <c r="L9" s="64">
        <v>1146.852935721</v>
      </c>
      <c r="M9" s="64">
        <v>1185.8861612789401</v>
      </c>
      <c r="N9" s="64">
        <v>1229.40434732841</v>
      </c>
      <c r="O9" s="64">
        <v>1289.57329194403</v>
      </c>
      <c r="P9" s="64">
        <v>1351.8162534256601</v>
      </c>
      <c r="Q9" s="64">
        <v>1393.4609448844899</v>
      </c>
      <c r="R9" s="64">
        <v>1418.0123350901199</v>
      </c>
      <c r="S9" s="64">
        <v>1439.7796455779401</v>
      </c>
      <c r="T9" s="64">
        <v>1476.83527005928</v>
      </c>
      <c r="U9" s="64">
        <v>1528.0224805246401</v>
      </c>
      <c r="V9" s="64">
        <v>1583.0067296257901</v>
      </c>
      <c r="W9" s="64">
        <v>1606.41667682707</v>
      </c>
      <c r="X9" s="64">
        <v>1613.51828646341</v>
      </c>
      <c r="Y9" s="64">
        <v>1650.7377175076799</v>
      </c>
      <c r="Z9" s="64">
        <v>1727.0063826739599</v>
      </c>
      <c r="AA9" s="64">
        <v>1819.5959676575701</v>
      </c>
      <c r="AB9" s="64">
        <v>1909.5253530359601</v>
      </c>
      <c r="AC9" s="64">
        <v>1974.71948725534</v>
      </c>
      <c r="AD9" s="64">
        <v>2022.48397847314</v>
      </c>
      <c r="AE9" s="64">
        <v>2086.77089958638</v>
      </c>
      <c r="AF9" s="64">
        <v>2163.6238875044301</v>
      </c>
      <c r="AG9" s="64">
        <v>2253.5696381849302</v>
      </c>
      <c r="AH9" s="64">
        <v>2354.8390922580702</v>
      </c>
      <c r="AI9" s="64">
        <v>2462.2341707834898</v>
      </c>
      <c r="AJ9" s="64">
        <v>2573.56905785973</v>
      </c>
      <c r="AK9" s="64">
        <v>2674.4404518025799</v>
      </c>
      <c r="AL9" s="64">
        <v>2757.8144753576698</v>
      </c>
      <c r="AM9" s="64">
        <v>2840.0400096263502</v>
      </c>
    </row>
    <row r="10" spans="1:39" s="19" customFormat="1" ht="17.100000000000001" customHeight="1" x14ac:dyDescent="0.2">
      <c r="A10" s="37" t="s">
        <v>5</v>
      </c>
      <c r="B10" s="16">
        <v>4.1443563346421799</v>
      </c>
      <c r="C10" s="16">
        <v>4.1614440846363001</v>
      </c>
      <c r="D10" s="16">
        <v>4.0784384866624102</v>
      </c>
      <c r="E10" s="16">
        <v>3.83418556673303</v>
      </c>
      <c r="F10" s="16">
        <v>3.5493132039118098</v>
      </c>
      <c r="G10" s="16">
        <v>3.5132170548594002</v>
      </c>
      <c r="H10" s="16">
        <v>3.6625727152553398</v>
      </c>
      <c r="I10" s="16">
        <v>3.8628616789755599</v>
      </c>
      <c r="J10" s="64">
        <v>4.16498637933487</v>
      </c>
      <c r="K10" s="64">
        <v>4.4551531777384499</v>
      </c>
      <c r="L10" s="64">
        <v>4.7659428218871502</v>
      </c>
      <c r="M10" s="64">
        <v>5.1204967544211604</v>
      </c>
      <c r="N10" s="64">
        <v>5.2636725226487604</v>
      </c>
      <c r="O10" s="64">
        <v>5.0341840159068498</v>
      </c>
      <c r="P10" s="64">
        <v>4.6864429811527399</v>
      </c>
      <c r="Q10" s="64">
        <v>4.5194916184404104</v>
      </c>
      <c r="R10" s="64">
        <v>4.6473650666180903</v>
      </c>
      <c r="S10" s="64">
        <v>4.9511099431332202</v>
      </c>
      <c r="T10" s="64">
        <v>5.21416915565006</v>
      </c>
      <c r="U10" s="64">
        <v>5.3054124235966897</v>
      </c>
      <c r="V10" s="64">
        <v>5.3203638981105703</v>
      </c>
      <c r="W10" s="64">
        <v>5.3416148298522499</v>
      </c>
      <c r="X10" s="64">
        <v>5.3460031751266897</v>
      </c>
      <c r="Y10" s="64">
        <v>5.3510153257431599</v>
      </c>
      <c r="Z10" s="64">
        <v>5.4012472311992799</v>
      </c>
      <c r="AA10" s="64">
        <v>5.5261891014321298</v>
      </c>
      <c r="AB10" s="64">
        <v>5.6592082350086299</v>
      </c>
      <c r="AC10" s="64">
        <v>5.7251903081873001</v>
      </c>
      <c r="AD10" s="64">
        <v>5.7540212294325199</v>
      </c>
      <c r="AE10" s="64">
        <v>5.84550007626917</v>
      </c>
      <c r="AF10" s="64">
        <v>5.9715809598871497</v>
      </c>
      <c r="AG10" s="64">
        <v>6.1259557420439403</v>
      </c>
      <c r="AH10" s="64">
        <v>6.1466287727081097</v>
      </c>
      <c r="AI10" s="64">
        <v>6.0056818672243599</v>
      </c>
      <c r="AJ10" s="64">
        <v>5.9026835494281604</v>
      </c>
      <c r="AK10" s="64">
        <v>5.9230536989894702</v>
      </c>
      <c r="AL10" s="64">
        <v>5.9086554870132799</v>
      </c>
      <c r="AM10" s="64">
        <v>5.8655063984708598</v>
      </c>
    </row>
    <row r="11" spans="1:39" s="19" customFormat="1" ht="17.100000000000001" customHeight="1" x14ac:dyDescent="0.2">
      <c r="A11" s="37" t="s">
        <v>6</v>
      </c>
      <c r="B11" s="16">
        <v>1057.4421316253099</v>
      </c>
      <c r="C11" s="16">
        <v>1082.3922330427099</v>
      </c>
      <c r="D11" s="16">
        <v>1057.90054381511</v>
      </c>
      <c r="E11" s="16">
        <v>957.81050028986704</v>
      </c>
      <c r="F11" s="16">
        <v>836.83665538572802</v>
      </c>
      <c r="G11" s="16">
        <v>734.10019796464803</v>
      </c>
      <c r="H11" s="16">
        <v>1413.05022580984</v>
      </c>
      <c r="I11" s="16">
        <v>1466.8694593386799</v>
      </c>
      <c r="J11" s="64">
        <v>1427.3352504923801</v>
      </c>
      <c r="K11" s="64">
        <v>1332.50093324929</v>
      </c>
      <c r="L11" s="64">
        <v>1331.8063502805301</v>
      </c>
      <c r="M11" s="64">
        <v>1398.89386627611</v>
      </c>
      <c r="N11" s="64">
        <v>1400.4896760101001</v>
      </c>
      <c r="O11" s="64">
        <v>1349.5833984825399</v>
      </c>
      <c r="P11" s="64">
        <v>1289.7120505457899</v>
      </c>
      <c r="Q11" s="64">
        <v>1257.93028013397</v>
      </c>
      <c r="R11" s="64">
        <v>1298.83669658702</v>
      </c>
      <c r="S11" s="64">
        <v>1372.86418242748</v>
      </c>
      <c r="T11" s="64">
        <v>1401.0675333194799</v>
      </c>
      <c r="U11" s="64">
        <v>1421.9625080169201</v>
      </c>
      <c r="V11" s="64">
        <v>1490.41017414526</v>
      </c>
      <c r="W11" s="64">
        <v>1569.7042661509099</v>
      </c>
      <c r="X11" s="64">
        <v>1615.7250648291699</v>
      </c>
      <c r="Y11" s="64">
        <v>1617.45680668666</v>
      </c>
      <c r="Z11" s="64">
        <v>1637.2612105943999</v>
      </c>
      <c r="AA11" s="64">
        <v>1678.6081325350899</v>
      </c>
      <c r="AB11" s="64">
        <v>1700.5591121840901</v>
      </c>
      <c r="AC11" s="64">
        <v>1729.9414979573201</v>
      </c>
      <c r="AD11" s="64">
        <v>1790.97196878215</v>
      </c>
      <c r="AE11" s="64">
        <v>1848.77480460024</v>
      </c>
      <c r="AF11" s="64">
        <v>1924.94795861745</v>
      </c>
      <c r="AG11" s="64">
        <v>2002.3539761706299</v>
      </c>
      <c r="AH11" s="64">
        <v>2044.24090248926</v>
      </c>
      <c r="AI11" s="64">
        <v>2085.7632594319098</v>
      </c>
      <c r="AJ11" s="64">
        <v>2144.5901016653702</v>
      </c>
      <c r="AK11" s="64">
        <v>2216.16234001671</v>
      </c>
      <c r="AL11" s="64">
        <v>2272.2190294503398</v>
      </c>
      <c r="AM11" s="64">
        <v>2310.7276023171398</v>
      </c>
    </row>
    <row r="12" spans="1:39" s="19" customFormat="1" ht="17.100000000000001" customHeight="1" x14ac:dyDescent="0.2">
      <c r="A12" s="37" t="s">
        <v>7</v>
      </c>
      <c r="B12" s="16">
        <v>560.692731012325</v>
      </c>
      <c r="C12" s="16">
        <v>554.30659887343404</v>
      </c>
      <c r="D12" s="16">
        <v>542.36196129438804</v>
      </c>
      <c r="E12" s="16">
        <v>516.52658068641495</v>
      </c>
      <c r="F12" s="16">
        <v>485.92298641789802</v>
      </c>
      <c r="G12" s="16">
        <v>476.36419955483802</v>
      </c>
      <c r="H12" s="16">
        <v>493.84303606860902</v>
      </c>
      <c r="I12" s="16">
        <v>539.13876914934895</v>
      </c>
      <c r="J12" s="64">
        <v>609.89682362962697</v>
      </c>
      <c r="K12" s="64">
        <v>705.03909032217598</v>
      </c>
      <c r="L12" s="64">
        <v>789.33531507402404</v>
      </c>
      <c r="M12" s="64">
        <v>832.59179943319396</v>
      </c>
      <c r="N12" s="64">
        <v>867.21094493379906</v>
      </c>
      <c r="O12" s="64">
        <v>899.34630842971899</v>
      </c>
      <c r="P12" s="64">
        <v>887.08362595206597</v>
      </c>
      <c r="Q12" s="64">
        <v>875.37482697628604</v>
      </c>
      <c r="R12" s="64">
        <v>901.34649253791099</v>
      </c>
      <c r="S12" s="64">
        <v>867.98329449945197</v>
      </c>
      <c r="T12" s="64">
        <v>783.93275778117004</v>
      </c>
      <c r="U12" s="64">
        <v>789.06899959832299</v>
      </c>
      <c r="V12" s="64">
        <v>846.94572537148599</v>
      </c>
      <c r="W12" s="64">
        <v>828.97262832362799</v>
      </c>
      <c r="X12" s="64">
        <v>775.52539253072996</v>
      </c>
      <c r="Y12" s="64">
        <v>776.319730765445</v>
      </c>
      <c r="Z12" s="64">
        <v>844.35975226992502</v>
      </c>
      <c r="AA12" s="64">
        <v>975.73537162537104</v>
      </c>
      <c r="AB12" s="64">
        <v>1089.6729666467299</v>
      </c>
      <c r="AC12" s="64">
        <v>825.06318416225804</v>
      </c>
      <c r="AD12" s="64">
        <v>821.00492447619695</v>
      </c>
      <c r="AE12" s="64">
        <v>906.52976184655699</v>
      </c>
      <c r="AF12" s="64">
        <v>1010.5126633973</v>
      </c>
      <c r="AG12" s="64">
        <v>1017.4036089380299</v>
      </c>
      <c r="AH12" s="64">
        <v>981.20496324734802</v>
      </c>
      <c r="AI12" s="64">
        <v>1028.8273086045899</v>
      </c>
      <c r="AJ12" s="64">
        <v>1114.5409087912301</v>
      </c>
      <c r="AK12" s="64">
        <v>1129.79190360147</v>
      </c>
      <c r="AL12" s="64">
        <v>1135.3176420340301</v>
      </c>
      <c r="AM12" s="64">
        <v>1183.6348680338299</v>
      </c>
    </row>
    <row r="13" spans="1:39" s="54" customFormat="1" ht="17.100000000000001" customHeight="1" x14ac:dyDescent="0.2">
      <c r="A13" s="52" t="s">
        <v>8</v>
      </c>
      <c r="B13" s="53">
        <v>6569.2624793027471</v>
      </c>
      <c r="C13" s="53">
        <v>6975.3971194712376</v>
      </c>
      <c r="D13" s="53">
        <v>7316.7902706175773</v>
      </c>
      <c r="E13" s="53">
        <v>7420.8391066718705</v>
      </c>
      <c r="F13" s="53">
        <v>7482.8658069266157</v>
      </c>
      <c r="G13" s="53">
        <v>7669.5870839616391</v>
      </c>
      <c r="H13" s="53">
        <v>8009.8835366226094</v>
      </c>
      <c r="I13" s="53">
        <v>8417.145596365559</v>
      </c>
      <c r="J13" s="74">
        <v>8637.196069176789</v>
      </c>
      <c r="K13" s="74">
        <v>8747.7344565459334</v>
      </c>
      <c r="L13" s="74">
        <v>8827.9028620560275</v>
      </c>
      <c r="M13" s="74">
        <v>8970.0360552095117</v>
      </c>
      <c r="N13" s="74">
        <v>9339.8090704609531</v>
      </c>
      <c r="O13" s="74">
        <v>9656.4435082344135</v>
      </c>
      <c r="P13" s="74">
        <v>9680.0689887321714</v>
      </c>
      <c r="Q13" s="74">
        <v>9738.3497427954026</v>
      </c>
      <c r="R13" s="74">
        <v>9975.6995922713795</v>
      </c>
      <c r="S13" s="74">
        <v>10163.131133931793</v>
      </c>
      <c r="T13" s="74">
        <v>10257.480765966808</v>
      </c>
      <c r="U13" s="74">
        <v>10173.670065998471</v>
      </c>
      <c r="V13" s="74">
        <v>10208.074249853511</v>
      </c>
      <c r="W13" s="74">
        <v>10680.19765593687</v>
      </c>
      <c r="X13" s="74">
        <v>11296.882980409944</v>
      </c>
      <c r="Y13" s="74">
        <v>11614.885389335011</v>
      </c>
      <c r="Z13" s="74">
        <v>11587.529353456577</v>
      </c>
      <c r="AA13" s="74">
        <v>11428.853953893504</v>
      </c>
      <c r="AB13" s="74">
        <v>11783.290540791049</v>
      </c>
      <c r="AC13" s="74">
        <v>12490.375953556817</v>
      </c>
      <c r="AD13" s="74">
        <v>12753.23114833229</v>
      </c>
      <c r="AE13" s="74">
        <v>12555.440818301051</v>
      </c>
      <c r="AF13" s="74">
        <v>12428.135356719969</v>
      </c>
      <c r="AG13" s="74">
        <v>12498.003088106012</v>
      </c>
      <c r="AH13" s="74">
        <v>12890.39258051015</v>
      </c>
      <c r="AI13" s="74">
        <v>13490.876322508608</v>
      </c>
      <c r="AJ13" s="74">
        <v>13867.078532394637</v>
      </c>
      <c r="AK13" s="74">
        <v>14182.870001077486</v>
      </c>
      <c r="AL13" s="74">
        <v>14721.793793243101</v>
      </c>
      <c r="AM13" s="74">
        <v>15308.951972903793</v>
      </c>
    </row>
    <row r="14" spans="1:39" s="19" customFormat="1" ht="17.100000000000001" customHeight="1" x14ac:dyDescent="0.2">
      <c r="A14" s="37" t="s">
        <v>9</v>
      </c>
      <c r="B14" s="16">
        <v>300.07133088979998</v>
      </c>
      <c r="C14" s="16">
        <v>347.44952439944097</v>
      </c>
      <c r="D14" s="16">
        <v>358.01358385219902</v>
      </c>
      <c r="E14" s="16">
        <v>339.24907412516501</v>
      </c>
      <c r="F14" s="16">
        <v>321.46653970403798</v>
      </c>
      <c r="G14" s="16">
        <v>317.81057381973199</v>
      </c>
      <c r="H14" s="16">
        <v>382.24026208373499</v>
      </c>
      <c r="I14" s="16">
        <v>515.89950271018404</v>
      </c>
      <c r="J14" s="64">
        <v>576.47025099805899</v>
      </c>
      <c r="K14" s="64">
        <v>575.76741593912095</v>
      </c>
      <c r="L14" s="64">
        <v>564.65151405456697</v>
      </c>
      <c r="M14" s="64">
        <v>540.75456933884197</v>
      </c>
      <c r="N14" s="64">
        <v>567.05365551054899</v>
      </c>
      <c r="O14" s="64">
        <v>633.83145015016203</v>
      </c>
      <c r="P14" s="64">
        <v>620.91165992589094</v>
      </c>
      <c r="Q14" s="64">
        <v>659.67179376272895</v>
      </c>
      <c r="R14" s="64">
        <v>793.18462692014305</v>
      </c>
      <c r="S14" s="64">
        <v>801.87543543931395</v>
      </c>
      <c r="T14" s="64">
        <v>673.67463326794598</v>
      </c>
      <c r="U14" s="64">
        <v>499.699684327939</v>
      </c>
      <c r="V14" s="64">
        <v>410.24861532003899</v>
      </c>
      <c r="W14" s="64">
        <v>530.13033768817002</v>
      </c>
      <c r="X14" s="64">
        <v>723.85901004758603</v>
      </c>
      <c r="Y14" s="64">
        <v>705.68124233947105</v>
      </c>
      <c r="Z14" s="64">
        <v>493.294767320576</v>
      </c>
      <c r="AA14" s="64">
        <v>395.62546388182699</v>
      </c>
      <c r="AB14" s="64">
        <v>754.23927728516799</v>
      </c>
      <c r="AC14" s="64">
        <v>1200.1897628214999</v>
      </c>
      <c r="AD14" s="64">
        <v>1129.6128788596</v>
      </c>
      <c r="AE14" s="64">
        <v>712.32401504246297</v>
      </c>
      <c r="AF14" s="64">
        <v>415.27372117753998</v>
      </c>
      <c r="AG14" s="64">
        <v>388.84338443018498</v>
      </c>
      <c r="AH14" s="64">
        <v>661.99112858955095</v>
      </c>
      <c r="AI14" s="64">
        <v>839.17125510562505</v>
      </c>
      <c r="AJ14" s="64">
        <v>637.01058378783796</v>
      </c>
      <c r="AK14" s="64">
        <v>462.38706423321997</v>
      </c>
      <c r="AL14" s="64">
        <v>647.50039623121199</v>
      </c>
      <c r="AM14" s="64">
        <v>927.00569572235599</v>
      </c>
    </row>
    <row r="15" spans="1:39" s="19" customFormat="1" ht="17.100000000000001" customHeight="1" x14ac:dyDescent="0.2">
      <c r="A15" s="24" t="s">
        <v>10</v>
      </c>
      <c r="B15" s="16">
        <v>3852.28275418977</v>
      </c>
      <c r="C15" s="16">
        <v>4136.5699572110998</v>
      </c>
      <c r="D15" s="16">
        <v>4390.9602002525398</v>
      </c>
      <c r="E15" s="16">
        <v>4496.0756972362497</v>
      </c>
      <c r="F15" s="16">
        <v>4539.3076663915399</v>
      </c>
      <c r="G15" s="16">
        <v>4651.7393560509399</v>
      </c>
      <c r="H15" s="16">
        <v>4812.1452113845198</v>
      </c>
      <c r="I15" s="16">
        <v>4964.9107942235296</v>
      </c>
      <c r="J15" s="64">
        <v>5027.7255582903399</v>
      </c>
      <c r="K15" s="64">
        <v>5073.9716508091897</v>
      </c>
      <c r="L15" s="64">
        <v>5115.5740142601298</v>
      </c>
      <c r="M15" s="64">
        <v>5269.4635886012402</v>
      </c>
      <c r="N15" s="64">
        <v>5606.6213934683401</v>
      </c>
      <c r="O15" s="64">
        <v>5815.0057767756398</v>
      </c>
      <c r="P15" s="64">
        <v>5830.6116059180404</v>
      </c>
      <c r="Q15" s="64">
        <v>5876.5456297349001</v>
      </c>
      <c r="R15" s="64">
        <v>5967.3696092877099</v>
      </c>
      <c r="S15" s="64">
        <v>6049.3465188448599</v>
      </c>
      <c r="T15" s="64">
        <v>6164.5316203660404</v>
      </c>
      <c r="U15" s="64">
        <v>6143.2251758172897</v>
      </c>
      <c r="V15" s="64">
        <v>6182.2703567993303</v>
      </c>
      <c r="W15" s="64">
        <v>6502.70614419925</v>
      </c>
      <c r="X15" s="64">
        <v>6938.71079764158</v>
      </c>
      <c r="Y15" s="64">
        <v>7216.5402791280903</v>
      </c>
      <c r="Z15" s="64">
        <v>7303.2911136348903</v>
      </c>
      <c r="AA15" s="64">
        <v>7207.4859082695702</v>
      </c>
      <c r="AB15" s="64">
        <v>7060.3272849242803</v>
      </c>
      <c r="AC15" s="64">
        <v>7128.4823463309203</v>
      </c>
      <c r="AD15" s="64">
        <v>7356.2812459509296</v>
      </c>
      <c r="AE15" s="64">
        <v>7534.8067918538</v>
      </c>
      <c r="AF15" s="64">
        <v>7675.8665629144698</v>
      </c>
      <c r="AG15" s="64">
        <v>7733.0322660771799</v>
      </c>
      <c r="AH15" s="64">
        <v>7696.7623663573004</v>
      </c>
      <c r="AI15" s="64">
        <v>7826.8769445845501</v>
      </c>
      <c r="AJ15" s="64">
        <v>8173.81718624116</v>
      </c>
      <c r="AK15" s="64">
        <v>8536.5773165526207</v>
      </c>
      <c r="AL15" s="64">
        <v>8800.1714699372897</v>
      </c>
      <c r="AM15" s="64">
        <v>8994.4320442933004</v>
      </c>
    </row>
    <row r="16" spans="1:39" s="19" customFormat="1" ht="17.100000000000001" customHeight="1" x14ac:dyDescent="0.2">
      <c r="A16" s="24" t="s">
        <v>11</v>
      </c>
      <c r="B16" s="16">
        <v>312.88382807463103</v>
      </c>
      <c r="C16" s="16">
        <v>320.625699693515</v>
      </c>
      <c r="D16" s="16">
        <v>374.49844790773898</v>
      </c>
      <c r="E16" s="16">
        <v>375.24760920013199</v>
      </c>
      <c r="F16" s="16">
        <v>377.50811871817803</v>
      </c>
      <c r="G16" s="16">
        <v>383.82671963339902</v>
      </c>
      <c r="H16" s="16">
        <v>392.26289100599303</v>
      </c>
      <c r="I16" s="16">
        <v>404.702663625453</v>
      </c>
      <c r="J16" s="64">
        <v>416.78110886296798</v>
      </c>
      <c r="K16" s="64">
        <v>425.99283238100799</v>
      </c>
      <c r="L16" s="64">
        <v>435.09527779800101</v>
      </c>
      <c r="M16" s="64">
        <v>453.37564809333099</v>
      </c>
      <c r="N16" s="64">
        <v>476.61580456800698</v>
      </c>
      <c r="O16" s="64">
        <v>495.30325615381503</v>
      </c>
      <c r="P16" s="64">
        <v>508.13734529364098</v>
      </c>
      <c r="Q16" s="64">
        <v>515.84331731939403</v>
      </c>
      <c r="R16" s="64">
        <v>522.66842810447804</v>
      </c>
      <c r="S16" s="64">
        <v>532.29904213208101</v>
      </c>
      <c r="T16" s="64">
        <v>539.59897566293</v>
      </c>
      <c r="U16" s="64">
        <v>539.45779652926797</v>
      </c>
      <c r="V16" s="64">
        <v>538.75440962360403</v>
      </c>
      <c r="W16" s="64">
        <v>542.25684735157995</v>
      </c>
      <c r="X16" s="64">
        <v>549.16816569689104</v>
      </c>
      <c r="Y16" s="64">
        <v>551.69623714246495</v>
      </c>
      <c r="Z16" s="64">
        <v>545.81611417348995</v>
      </c>
      <c r="AA16" s="64">
        <v>537.08031216578502</v>
      </c>
      <c r="AB16" s="64">
        <v>534.72674483216497</v>
      </c>
      <c r="AC16" s="64">
        <v>538.949413339697</v>
      </c>
      <c r="AD16" s="64">
        <v>543.41941936166097</v>
      </c>
      <c r="AE16" s="64">
        <v>544.95281635875801</v>
      </c>
      <c r="AF16" s="64">
        <v>547.75216605404898</v>
      </c>
      <c r="AG16" s="64">
        <v>558.17340706317702</v>
      </c>
      <c r="AH16" s="64">
        <v>575.32212527706997</v>
      </c>
      <c r="AI16" s="64">
        <v>594.17725655818401</v>
      </c>
      <c r="AJ16" s="64">
        <v>607.45953805900899</v>
      </c>
      <c r="AK16" s="64">
        <v>613.18286467897701</v>
      </c>
      <c r="AL16" s="64">
        <v>617.98554630291301</v>
      </c>
      <c r="AM16" s="64">
        <v>625.09289510901795</v>
      </c>
    </row>
    <row r="17" spans="1:39" s="19" customFormat="1" ht="17.100000000000001" customHeight="1" x14ac:dyDescent="0.2">
      <c r="A17" s="24" t="s">
        <v>12</v>
      </c>
      <c r="B17" s="16">
        <v>613.17758389523601</v>
      </c>
      <c r="C17" s="16">
        <v>627.62940807975201</v>
      </c>
      <c r="D17" s="16">
        <v>652.48290714420898</v>
      </c>
      <c r="E17" s="16">
        <v>680.30706441065502</v>
      </c>
      <c r="F17" s="16">
        <v>699.47397946187004</v>
      </c>
      <c r="G17" s="16">
        <v>713.70163692480901</v>
      </c>
      <c r="H17" s="16">
        <v>730.10354549125202</v>
      </c>
      <c r="I17" s="16">
        <v>744.03575076222296</v>
      </c>
      <c r="J17" s="64">
        <v>750.27517438096299</v>
      </c>
      <c r="K17" s="64">
        <v>747.83451562319499</v>
      </c>
      <c r="L17" s="64">
        <v>742.78836426782902</v>
      </c>
      <c r="M17" s="64">
        <v>743.71667237292002</v>
      </c>
      <c r="N17" s="64">
        <v>756.99087827837798</v>
      </c>
      <c r="O17" s="64">
        <v>776.04785239164596</v>
      </c>
      <c r="P17" s="64">
        <v>789.81711814577795</v>
      </c>
      <c r="Q17" s="64">
        <v>795.88045939049903</v>
      </c>
      <c r="R17" s="64">
        <v>799.98018414628802</v>
      </c>
      <c r="S17" s="64">
        <v>806.35742828451805</v>
      </c>
      <c r="T17" s="64">
        <v>817.043312743451</v>
      </c>
      <c r="U17" s="64">
        <v>830.993385829933</v>
      </c>
      <c r="V17" s="64">
        <v>847.19991061060796</v>
      </c>
      <c r="W17" s="64">
        <v>865.14812003906104</v>
      </c>
      <c r="X17" s="64">
        <v>880.81019153273803</v>
      </c>
      <c r="Y17" s="64">
        <v>893.00286813193395</v>
      </c>
      <c r="Z17" s="64">
        <v>944.16196161949199</v>
      </c>
      <c r="AA17" s="64">
        <v>963.77760847825095</v>
      </c>
      <c r="AB17" s="64">
        <v>990.43945408817603</v>
      </c>
      <c r="AC17" s="64">
        <v>1021.40587381911</v>
      </c>
      <c r="AD17" s="64">
        <v>1047.76576520043</v>
      </c>
      <c r="AE17" s="64">
        <v>1066.0296913889399</v>
      </c>
      <c r="AF17" s="64">
        <v>1085.1217150488901</v>
      </c>
      <c r="AG17" s="64">
        <v>1110.98977952374</v>
      </c>
      <c r="AH17" s="64">
        <v>1140.0865096243999</v>
      </c>
      <c r="AI17" s="64">
        <v>1212.1072163972799</v>
      </c>
      <c r="AJ17" s="64">
        <v>1238.1482040455001</v>
      </c>
      <c r="AK17" s="64">
        <v>1255.7330289762599</v>
      </c>
      <c r="AL17" s="64">
        <v>1268.65473167041</v>
      </c>
      <c r="AM17" s="64">
        <v>1282.9780480582299</v>
      </c>
    </row>
    <row r="18" spans="1:39" s="19" customFormat="1" ht="17.100000000000001" customHeight="1" x14ac:dyDescent="0.2">
      <c r="A18" s="37" t="s">
        <v>88</v>
      </c>
      <c r="B18" s="16">
        <v>1490.84698225331</v>
      </c>
      <c r="C18" s="16">
        <v>1543.1225300874301</v>
      </c>
      <c r="D18" s="16">
        <v>1540.8351314608899</v>
      </c>
      <c r="E18" s="16">
        <v>1529.9596616996701</v>
      </c>
      <c r="F18" s="16">
        <v>1545.10950265099</v>
      </c>
      <c r="G18" s="16">
        <v>1602.5087975327599</v>
      </c>
      <c r="H18" s="16">
        <v>1693.13162665711</v>
      </c>
      <c r="I18" s="16">
        <v>1787.59688504417</v>
      </c>
      <c r="J18" s="64">
        <v>1865.94397664446</v>
      </c>
      <c r="K18" s="64">
        <v>1924.1680417934199</v>
      </c>
      <c r="L18" s="64">
        <v>1969.7936916755</v>
      </c>
      <c r="M18" s="64">
        <v>1962.72557680318</v>
      </c>
      <c r="N18" s="64">
        <v>1932.5273386356801</v>
      </c>
      <c r="O18" s="64">
        <v>1936.2551727631501</v>
      </c>
      <c r="P18" s="64">
        <v>1930.59125944882</v>
      </c>
      <c r="Q18" s="64">
        <v>1890.40854258788</v>
      </c>
      <c r="R18" s="64">
        <v>1892.4967438127601</v>
      </c>
      <c r="S18" s="64">
        <v>1973.2527092310199</v>
      </c>
      <c r="T18" s="64">
        <v>2062.63222392644</v>
      </c>
      <c r="U18" s="64">
        <v>2160.2940234940402</v>
      </c>
      <c r="V18" s="64">
        <v>2229.6009574999298</v>
      </c>
      <c r="W18" s="64">
        <v>2239.9562066588101</v>
      </c>
      <c r="X18" s="64">
        <v>2204.33481549115</v>
      </c>
      <c r="Y18" s="64">
        <v>2247.9647625930502</v>
      </c>
      <c r="Z18" s="64">
        <v>2300.9653967081299</v>
      </c>
      <c r="AA18" s="64">
        <v>2324.88466109807</v>
      </c>
      <c r="AB18" s="64">
        <v>2443.5577796612602</v>
      </c>
      <c r="AC18" s="64">
        <v>2601.3485572455902</v>
      </c>
      <c r="AD18" s="64">
        <v>2676.1518389596699</v>
      </c>
      <c r="AE18" s="64">
        <v>2697.3275036570899</v>
      </c>
      <c r="AF18" s="64">
        <v>2704.1211915250201</v>
      </c>
      <c r="AG18" s="64">
        <v>2706.9642510117301</v>
      </c>
      <c r="AH18" s="64">
        <v>2816.2304506618302</v>
      </c>
      <c r="AI18" s="64">
        <v>3018.5436498629701</v>
      </c>
      <c r="AJ18" s="64">
        <v>3210.64302026113</v>
      </c>
      <c r="AK18" s="64">
        <v>3314.9897266364101</v>
      </c>
      <c r="AL18" s="64">
        <v>3387.4816491012798</v>
      </c>
      <c r="AM18" s="64">
        <v>3479.4432897208899</v>
      </c>
    </row>
    <row r="19" spans="1:39" s="54" customFormat="1" ht="17.100000000000001" customHeight="1" x14ac:dyDescent="0.2">
      <c r="A19" s="52" t="s">
        <v>14</v>
      </c>
      <c r="B19" s="53">
        <v>11142.414001022524</v>
      </c>
      <c r="C19" s="53">
        <v>11543.139467250243</v>
      </c>
      <c r="D19" s="53">
        <v>12017.034184793749</v>
      </c>
      <c r="E19" s="53">
        <v>12392.648246226592</v>
      </c>
      <c r="F19" s="53">
        <v>12648.310703068277</v>
      </c>
      <c r="G19" s="53">
        <v>12888.705904624971</v>
      </c>
      <c r="H19" s="53">
        <v>13188.899409271422</v>
      </c>
      <c r="I19" s="53">
        <v>13551.525101699037</v>
      </c>
      <c r="J19" s="74">
        <v>13805.871560191646</v>
      </c>
      <c r="K19" s="74">
        <v>13978.128017033536</v>
      </c>
      <c r="L19" s="74">
        <v>14292.331003272766</v>
      </c>
      <c r="M19" s="74">
        <v>14849.414209765951</v>
      </c>
      <c r="N19" s="74">
        <v>15360.770197651109</v>
      </c>
      <c r="O19" s="74">
        <v>15460.843901448032</v>
      </c>
      <c r="P19" s="74">
        <v>15090.302994248001</v>
      </c>
      <c r="Q19" s="74">
        <v>14778.610939326873</v>
      </c>
      <c r="R19" s="74">
        <v>14866.220944004359</v>
      </c>
      <c r="S19" s="74">
        <v>15284.698773763692</v>
      </c>
      <c r="T19" s="74">
        <v>15671.028319344505</v>
      </c>
      <c r="U19" s="74">
        <v>15857.3193294554</v>
      </c>
      <c r="V19" s="74">
        <v>16092.567133077537</v>
      </c>
      <c r="W19" s="74">
        <v>16685.037638951835</v>
      </c>
      <c r="X19" s="74">
        <v>17360.599865442371</v>
      </c>
      <c r="Y19" s="74">
        <v>17934.453099623086</v>
      </c>
      <c r="Z19" s="74">
        <v>18539.343806868066</v>
      </c>
      <c r="AA19" s="74">
        <v>19101.361583172802</v>
      </c>
      <c r="AB19" s="74">
        <v>19713.929960939855</v>
      </c>
      <c r="AC19" s="74">
        <v>20402.451770984087</v>
      </c>
      <c r="AD19" s="74">
        <v>21162.914834869105</v>
      </c>
      <c r="AE19" s="74">
        <v>21394.719640739553</v>
      </c>
      <c r="AF19" s="74">
        <v>22073.774783568406</v>
      </c>
      <c r="AG19" s="74">
        <v>22735.645419362358</v>
      </c>
      <c r="AH19" s="74">
        <v>23224.910990268236</v>
      </c>
      <c r="AI19" s="74">
        <v>23729.769601383279</v>
      </c>
      <c r="AJ19" s="74">
        <v>24276.90267747566</v>
      </c>
      <c r="AK19" s="74">
        <v>24674.810606891064</v>
      </c>
      <c r="AL19" s="74">
        <v>25307.981705709441</v>
      </c>
      <c r="AM19" s="74">
        <v>26158.981670109977</v>
      </c>
    </row>
    <row r="20" spans="1:39" s="19" customFormat="1" ht="17.100000000000001" customHeight="1" x14ac:dyDescent="0.2">
      <c r="A20" s="38" t="s">
        <v>64</v>
      </c>
      <c r="B20" s="16">
        <v>2154.0159219101602</v>
      </c>
      <c r="C20" s="16">
        <v>2377.3191493941999</v>
      </c>
      <c r="D20" s="16">
        <v>2574.2907561598699</v>
      </c>
      <c r="E20" s="16">
        <v>2628.14158906692</v>
      </c>
      <c r="F20" s="16">
        <v>2614.3086737486301</v>
      </c>
      <c r="G20" s="16">
        <v>2657.2435527563698</v>
      </c>
      <c r="H20" s="16">
        <v>2770.5600625062698</v>
      </c>
      <c r="I20" s="16">
        <v>2878.9761462719898</v>
      </c>
      <c r="J20" s="64">
        <v>2908.6931312891402</v>
      </c>
      <c r="K20" s="64">
        <v>2875.68288530171</v>
      </c>
      <c r="L20" s="64">
        <v>2862.2302459848102</v>
      </c>
      <c r="M20" s="64">
        <v>2911.4691895358801</v>
      </c>
      <c r="N20" s="64">
        <v>2990.2424041950098</v>
      </c>
      <c r="O20" s="64">
        <v>3014.2610116211399</v>
      </c>
      <c r="P20" s="64">
        <v>2936.5495735398099</v>
      </c>
      <c r="Q20" s="64">
        <v>2850.3112634959498</v>
      </c>
      <c r="R20" s="64">
        <v>2861.3355753513501</v>
      </c>
      <c r="S20" s="64">
        <v>2941.5090323991099</v>
      </c>
      <c r="T20" s="64">
        <v>2949.48291451555</v>
      </c>
      <c r="U20" s="64">
        <v>2900.8398714216601</v>
      </c>
      <c r="V20" s="64">
        <v>2977.27780205921</v>
      </c>
      <c r="W20" s="64">
        <v>3269.2887612837999</v>
      </c>
      <c r="X20" s="64">
        <v>3634.5080834190599</v>
      </c>
      <c r="Y20" s="64">
        <v>3861.3646985569399</v>
      </c>
      <c r="Z20" s="64">
        <v>3903.0998016839499</v>
      </c>
      <c r="AA20" s="64">
        <v>3987.08221139938</v>
      </c>
      <c r="AB20" s="64">
        <v>4299.0771265673202</v>
      </c>
      <c r="AC20" s="64">
        <v>4682.4738183547397</v>
      </c>
      <c r="AD20" s="64">
        <v>4873.6067550835896</v>
      </c>
      <c r="AE20" s="64">
        <v>4837.4377853064198</v>
      </c>
      <c r="AF20" s="64">
        <v>4784.6247736408204</v>
      </c>
      <c r="AG20" s="64">
        <v>4915.6778580567398</v>
      </c>
      <c r="AH20" s="64">
        <v>5167.2283736940099</v>
      </c>
      <c r="AI20" s="64">
        <v>5322.3624315246998</v>
      </c>
      <c r="AJ20" s="64">
        <v>5382.63143427862</v>
      </c>
      <c r="AK20" s="64">
        <v>5463.7986982389202</v>
      </c>
      <c r="AL20" s="64">
        <v>5922.3193735914301</v>
      </c>
      <c r="AM20" s="64">
        <v>6548.7609928366501</v>
      </c>
    </row>
    <row r="21" spans="1:39" s="19" customFormat="1" ht="17.100000000000001" customHeight="1" x14ac:dyDescent="0.2">
      <c r="A21" s="38" t="s">
        <v>65</v>
      </c>
      <c r="B21" s="16">
        <v>859.55447720494396</v>
      </c>
      <c r="C21" s="16">
        <v>888.61533362544799</v>
      </c>
      <c r="D21" s="16">
        <v>925.249497176815</v>
      </c>
      <c r="E21" s="16">
        <v>960.35728742824006</v>
      </c>
      <c r="F21" s="16">
        <v>986.67816570213802</v>
      </c>
      <c r="G21" s="16">
        <v>1009.23807381789</v>
      </c>
      <c r="H21" s="16">
        <v>1041.6203806348899</v>
      </c>
      <c r="I21" s="16">
        <v>1077.9720351389401</v>
      </c>
      <c r="J21" s="64">
        <v>1085.1492637030599</v>
      </c>
      <c r="K21" s="64">
        <v>1089.9409016698</v>
      </c>
      <c r="L21" s="64">
        <v>1132.79474226302</v>
      </c>
      <c r="M21" s="64">
        <v>1219.7244735545301</v>
      </c>
      <c r="N21" s="64">
        <v>1265.5428906310301</v>
      </c>
      <c r="O21" s="64">
        <v>1235.35077607676</v>
      </c>
      <c r="P21" s="64">
        <v>1156.5627700954899</v>
      </c>
      <c r="Q21" s="64">
        <v>1112.19505475133</v>
      </c>
      <c r="R21" s="64">
        <v>1126.3746580510001</v>
      </c>
      <c r="S21" s="64">
        <v>1144.0415839494999</v>
      </c>
      <c r="T21" s="64">
        <v>1142.65974389345</v>
      </c>
      <c r="U21" s="64">
        <v>1162.6458214791901</v>
      </c>
      <c r="V21" s="64">
        <v>1222.68246672039</v>
      </c>
      <c r="W21" s="64">
        <v>1277.2651106703199</v>
      </c>
      <c r="X21" s="64">
        <v>1316.45489486008</v>
      </c>
      <c r="Y21" s="64">
        <v>1358.97925496486</v>
      </c>
      <c r="Z21" s="64">
        <v>1464.86492501562</v>
      </c>
      <c r="AA21" s="64">
        <v>1599.57534222801</v>
      </c>
      <c r="AB21" s="64">
        <v>1687.40634638181</v>
      </c>
      <c r="AC21" s="64">
        <v>1709.7219638237</v>
      </c>
      <c r="AD21" s="64">
        <v>1737.26099186585</v>
      </c>
      <c r="AE21" s="64">
        <v>1824.2798496307701</v>
      </c>
      <c r="AF21" s="64">
        <v>1947.63348163245</v>
      </c>
      <c r="AG21" s="64">
        <v>2049.4851226452502</v>
      </c>
      <c r="AH21" s="64">
        <v>2097.9777850294799</v>
      </c>
      <c r="AI21" s="64">
        <v>2151.5116970335398</v>
      </c>
      <c r="AJ21" s="64">
        <v>2216.7619577815199</v>
      </c>
      <c r="AK21" s="64">
        <v>2229.6808350497599</v>
      </c>
      <c r="AL21" s="64">
        <v>2213.97653038523</v>
      </c>
      <c r="AM21" s="64">
        <v>2223.3972142643302</v>
      </c>
    </row>
    <row r="22" spans="1:39" s="19" customFormat="1" ht="17.100000000000001" customHeight="1" x14ac:dyDescent="0.2">
      <c r="A22" s="38" t="s">
        <v>66</v>
      </c>
      <c r="B22" s="16">
        <v>721.11708295555604</v>
      </c>
      <c r="C22" s="16">
        <v>777.60437024317503</v>
      </c>
      <c r="D22" s="16">
        <v>833.65241642732997</v>
      </c>
      <c r="E22" s="16">
        <v>887.47813374914404</v>
      </c>
      <c r="F22" s="16">
        <v>918.18602570621397</v>
      </c>
      <c r="G22" s="16">
        <v>917.58856314310594</v>
      </c>
      <c r="H22" s="16">
        <v>911.33598435020599</v>
      </c>
      <c r="I22" s="16">
        <v>921.95942981923702</v>
      </c>
      <c r="J22" s="64">
        <v>933.32713518829996</v>
      </c>
      <c r="K22" s="64">
        <v>940.64242468480995</v>
      </c>
      <c r="L22" s="64">
        <v>947.867045517115</v>
      </c>
      <c r="M22" s="64">
        <v>998.11043232937504</v>
      </c>
      <c r="N22" s="64">
        <v>1064.5198389458001</v>
      </c>
      <c r="O22" s="64">
        <v>1071.65809439297</v>
      </c>
      <c r="P22" s="64">
        <v>996.76570386155402</v>
      </c>
      <c r="Q22" s="64">
        <v>895.560575478033</v>
      </c>
      <c r="R22" s="64">
        <v>824.49993180754598</v>
      </c>
      <c r="S22" s="64">
        <v>839.33686724390202</v>
      </c>
      <c r="T22" s="64">
        <v>893.17021237264305</v>
      </c>
      <c r="U22" s="64">
        <v>892.17082731341804</v>
      </c>
      <c r="V22" s="64">
        <v>875.08486987832498</v>
      </c>
      <c r="W22" s="64">
        <v>881.83194004227596</v>
      </c>
      <c r="X22" s="64">
        <v>867.74561216251004</v>
      </c>
      <c r="Y22" s="64">
        <v>848.39775163651495</v>
      </c>
      <c r="Z22" s="64">
        <v>907.50417111342199</v>
      </c>
      <c r="AA22" s="64">
        <v>977.01867226841398</v>
      </c>
      <c r="AB22" s="64">
        <v>1029.47007210323</v>
      </c>
      <c r="AC22" s="64">
        <v>1077.9191304137</v>
      </c>
      <c r="AD22" s="64">
        <v>1083.0088561679299</v>
      </c>
      <c r="AE22" s="64">
        <v>1072.1477814940999</v>
      </c>
      <c r="AF22" s="64">
        <v>1198.2292557911201</v>
      </c>
      <c r="AG22" s="64">
        <v>1328.2683292648401</v>
      </c>
      <c r="AH22" s="64">
        <v>1347.2952453792</v>
      </c>
      <c r="AI22" s="64">
        <v>1372.3879790697499</v>
      </c>
      <c r="AJ22" s="64">
        <v>1397.0592866280799</v>
      </c>
      <c r="AK22" s="64">
        <v>1441.3664728660001</v>
      </c>
      <c r="AL22" s="64">
        <v>1566.91781100047</v>
      </c>
      <c r="AM22" s="64">
        <v>1722.6575404447501</v>
      </c>
    </row>
    <row r="23" spans="1:39" s="19" customFormat="1" ht="17.100000000000001" customHeight="1" x14ac:dyDescent="0.2">
      <c r="A23" s="38" t="s">
        <v>67</v>
      </c>
      <c r="B23" s="16">
        <v>550.62081434130198</v>
      </c>
      <c r="C23" s="16">
        <v>547.70652789151404</v>
      </c>
      <c r="D23" s="16">
        <v>529.48543870224501</v>
      </c>
      <c r="E23" s="16">
        <v>494.69648684165799</v>
      </c>
      <c r="F23" s="16">
        <v>460.23408538109402</v>
      </c>
      <c r="G23" s="16">
        <v>463.12713997610899</v>
      </c>
      <c r="H23" s="16">
        <v>501.535829976527</v>
      </c>
      <c r="I23" s="16">
        <v>540.16871839745704</v>
      </c>
      <c r="J23" s="64">
        <v>565.07857528346904</v>
      </c>
      <c r="K23" s="64">
        <v>587.02692748306799</v>
      </c>
      <c r="L23" s="64">
        <v>611.36241193364503</v>
      </c>
      <c r="M23" s="64">
        <v>640.36545255594501</v>
      </c>
      <c r="N23" s="64">
        <v>671.83294402492095</v>
      </c>
      <c r="O23" s="64">
        <v>669.23558532486095</v>
      </c>
      <c r="P23" s="64">
        <v>623.09389793640105</v>
      </c>
      <c r="Q23" s="64">
        <v>591.84261427686397</v>
      </c>
      <c r="R23" s="64">
        <v>603.10770764536403</v>
      </c>
      <c r="S23" s="64">
        <v>645.15056829045102</v>
      </c>
      <c r="T23" s="64">
        <v>695.63286286836205</v>
      </c>
      <c r="U23" s="64">
        <v>714.45357366405699</v>
      </c>
      <c r="V23" s="64">
        <v>692.28489660678099</v>
      </c>
      <c r="W23" s="64">
        <v>685.73409993736504</v>
      </c>
      <c r="X23" s="64">
        <v>699.17599487075995</v>
      </c>
      <c r="Y23" s="64">
        <v>678.27292622359005</v>
      </c>
      <c r="Z23" s="64">
        <v>627.13770561314197</v>
      </c>
      <c r="AA23" s="64">
        <v>625.74443653842798</v>
      </c>
      <c r="AB23" s="64">
        <v>719.37562626497902</v>
      </c>
      <c r="AC23" s="64">
        <v>860.97304951551303</v>
      </c>
      <c r="AD23" s="64">
        <v>1103.9995212799299</v>
      </c>
      <c r="AE23" s="64">
        <v>1157.86351260622</v>
      </c>
      <c r="AF23" s="64">
        <v>1159.00712378955</v>
      </c>
      <c r="AG23" s="64">
        <v>1170.6087148277099</v>
      </c>
      <c r="AH23" s="64">
        <v>1204.79839928969</v>
      </c>
      <c r="AI23" s="64">
        <v>1216.4178271646699</v>
      </c>
      <c r="AJ23" s="64">
        <v>1186.77314294644</v>
      </c>
      <c r="AK23" s="64">
        <v>1139.1417618595301</v>
      </c>
      <c r="AL23" s="64">
        <v>1112.3208773659301</v>
      </c>
      <c r="AM23" s="64">
        <v>1105.50979767337</v>
      </c>
    </row>
    <row r="24" spans="1:39" s="19" customFormat="1" ht="17.100000000000001" customHeight="1" x14ac:dyDescent="0.2">
      <c r="A24" s="38" t="s">
        <v>68</v>
      </c>
      <c r="B24" s="16">
        <v>676.83111398087397</v>
      </c>
      <c r="C24" s="16">
        <v>684.99490215542505</v>
      </c>
      <c r="D24" s="16">
        <v>726.72973453933196</v>
      </c>
      <c r="E24" s="16">
        <v>755.69330679801101</v>
      </c>
      <c r="F24" s="16">
        <v>765.38589510002703</v>
      </c>
      <c r="G24" s="16">
        <v>767.55747575906105</v>
      </c>
      <c r="H24" s="16">
        <v>770.10419901977605</v>
      </c>
      <c r="I24" s="16">
        <v>761.55236376268999</v>
      </c>
      <c r="J24" s="64">
        <v>768.72454025748505</v>
      </c>
      <c r="K24" s="64">
        <v>809.71754518154</v>
      </c>
      <c r="L24" s="64">
        <v>903.67631376941802</v>
      </c>
      <c r="M24" s="64">
        <v>993.78121335684898</v>
      </c>
      <c r="N24" s="64">
        <v>1058.65383357926</v>
      </c>
      <c r="O24" s="64">
        <v>1045.0913446596701</v>
      </c>
      <c r="P24" s="64">
        <v>1008.06307088345</v>
      </c>
      <c r="Q24" s="64">
        <v>1029.6547544703999</v>
      </c>
      <c r="R24" s="64">
        <v>1047.0492827237299</v>
      </c>
      <c r="S24" s="64">
        <v>1032.2176046744</v>
      </c>
      <c r="T24" s="64">
        <v>1019.82554488379</v>
      </c>
      <c r="U24" s="64">
        <v>1042.64401230166</v>
      </c>
      <c r="V24" s="64">
        <v>1054.70030483662</v>
      </c>
      <c r="W24" s="64">
        <v>1129.71373520935</v>
      </c>
      <c r="X24" s="64">
        <v>1208.3206240858401</v>
      </c>
      <c r="Y24" s="64">
        <v>1253.1452606770299</v>
      </c>
      <c r="Z24" s="64">
        <v>1326.825095743</v>
      </c>
      <c r="AA24" s="64">
        <v>1418.0502348622499</v>
      </c>
      <c r="AB24" s="64">
        <v>1438.0880451442199</v>
      </c>
      <c r="AC24" s="64">
        <v>1390.84069866562</v>
      </c>
      <c r="AD24" s="64">
        <v>1384.42092659525</v>
      </c>
      <c r="AE24" s="64">
        <v>1372.5403761313901</v>
      </c>
      <c r="AF24" s="64">
        <v>1393.10590902903</v>
      </c>
      <c r="AG24" s="64">
        <v>1443.8190330366101</v>
      </c>
      <c r="AH24" s="64">
        <v>1485.0963707808901</v>
      </c>
      <c r="AI24" s="64">
        <v>1473.7732423310599</v>
      </c>
      <c r="AJ24" s="64">
        <v>1486.1507630363701</v>
      </c>
      <c r="AK24" s="64">
        <v>1574.64698265641</v>
      </c>
      <c r="AL24" s="64">
        <v>1633.2746718543001</v>
      </c>
      <c r="AM24" s="64">
        <v>1653.75638027066</v>
      </c>
    </row>
    <row r="25" spans="1:39" s="19" customFormat="1" ht="17.100000000000001" customHeight="1" x14ac:dyDescent="0.2">
      <c r="A25" s="38" t="s">
        <v>20</v>
      </c>
      <c r="B25" s="16">
        <v>1573.78367689527</v>
      </c>
      <c r="C25" s="16">
        <v>1596.9178774771401</v>
      </c>
      <c r="D25" s="16">
        <v>1645.30868834188</v>
      </c>
      <c r="E25" s="16">
        <v>1702.24290890559</v>
      </c>
      <c r="F25" s="16">
        <v>1771.3736035747199</v>
      </c>
      <c r="G25" s="16">
        <v>1834.07383319941</v>
      </c>
      <c r="H25" s="16">
        <v>1882.67926401814</v>
      </c>
      <c r="I25" s="16">
        <v>1944.87478337178</v>
      </c>
      <c r="J25" s="64">
        <v>2019.1728727044899</v>
      </c>
      <c r="K25" s="64">
        <v>2071.8253557268699</v>
      </c>
      <c r="L25" s="64">
        <v>2091.5036368025599</v>
      </c>
      <c r="M25" s="64">
        <v>2109.1898818211898</v>
      </c>
      <c r="N25" s="64">
        <v>2141.9473134909799</v>
      </c>
      <c r="O25" s="64">
        <v>2206.6358164748299</v>
      </c>
      <c r="P25" s="64">
        <v>2268.0014946369201</v>
      </c>
      <c r="Q25" s="64">
        <v>2291.8568676896498</v>
      </c>
      <c r="R25" s="64">
        <v>2283.2500932329599</v>
      </c>
      <c r="S25" s="64">
        <v>2286.4197610456999</v>
      </c>
      <c r="T25" s="64">
        <v>2322.2113310806699</v>
      </c>
      <c r="U25" s="64">
        <v>2382.3678235363</v>
      </c>
      <c r="V25" s="64">
        <v>2455.7540150679201</v>
      </c>
      <c r="W25" s="64">
        <v>2523.5956701641098</v>
      </c>
      <c r="X25" s="64">
        <v>2584.6418221160802</v>
      </c>
      <c r="Y25" s="64">
        <v>2651.4769695527002</v>
      </c>
      <c r="Z25" s="64">
        <v>2722.07771519582</v>
      </c>
      <c r="AA25" s="64">
        <v>2770.8574046055801</v>
      </c>
      <c r="AB25" s="64">
        <v>2820.4290598601501</v>
      </c>
      <c r="AC25" s="64">
        <v>2887.97406550499</v>
      </c>
      <c r="AD25" s="64">
        <v>2961.86232544735</v>
      </c>
      <c r="AE25" s="64">
        <v>3025.53123481287</v>
      </c>
      <c r="AF25" s="64">
        <v>3073.6684614338501</v>
      </c>
      <c r="AG25" s="64">
        <v>3096.9395385606099</v>
      </c>
      <c r="AH25" s="64">
        <v>3128.2992507338799</v>
      </c>
      <c r="AI25" s="64">
        <v>3195.0494790900202</v>
      </c>
      <c r="AJ25" s="64">
        <v>3277.0232329148098</v>
      </c>
      <c r="AK25" s="64">
        <v>3343.9537271333602</v>
      </c>
      <c r="AL25" s="64">
        <v>3377.2251341984502</v>
      </c>
      <c r="AM25" s="64">
        <v>3395.85033779577</v>
      </c>
    </row>
    <row r="26" spans="1:39" s="19" customFormat="1" ht="17.100000000000001" customHeight="1" x14ac:dyDescent="0.2">
      <c r="A26" s="38" t="s">
        <v>70</v>
      </c>
      <c r="B26" s="16">
        <v>627.46424941594796</v>
      </c>
      <c r="C26" s="16">
        <v>582.35336162429599</v>
      </c>
      <c r="D26" s="16">
        <v>552.01716387093097</v>
      </c>
      <c r="E26" s="16">
        <v>578.49156829826404</v>
      </c>
      <c r="F26" s="16">
        <v>621.626276893777</v>
      </c>
      <c r="G26" s="16">
        <v>638.85859035731698</v>
      </c>
      <c r="H26" s="16">
        <v>654.25859234338998</v>
      </c>
      <c r="I26" s="16">
        <v>671.13167395693995</v>
      </c>
      <c r="J26" s="64">
        <v>639.16704596620298</v>
      </c>
      <c r="K26" s="64">
        <v>619.06828240773496</v>
      </c>
      <c r="L26" s="64">
        <v>689.66544330225099</v>
      </c>
      <c r="M26" s="64">
        <v>812.05637535896403</v>
      </c>
      <c r="N26" s="64">
        <v>865.06781273642798</v>
      </c>
      <c r="O26" s="64">
        <v>797.02268907626399</v>
      </c>
      <c r="P26" s="64">
        <v>673.16711351913102</v>
      </c>
      <c r="Q26" s="64">
        <v>607.58276686472595</v>
      </c>
      <c r="R26" s="64">
        <v>638.48078007971401</v>
      </c>
      <c r="S26" s="64">
        <v>725.64366499962603</v>
      </c>
      <c r="T26" s="64">
        <v>783.76016873476101</v>
      </c>
      <c r="U26" s="64">
        <v>813.01933533910903</v>
      </c>
      <c r="V26" s="64">
        <v>825.47125305063196</v>
      </c>
      <c r="W26" s="64">
        <v>784.86649936826097</v>
      </c>
      <c r="X26" s="64">
        <v>726.21562853936098</v>
      </c>
      <c r="Y26" s="64">
        <v>774.20467729716199</v>
      </c>
      <c r="Z26" s="64">
        <v>909.43409933326802</v>
      </c>
      <c r="AA26" s="64">
        <v>994.31655846182503</v>
      </c>
      <c r="AB26" s="64">
        <v>975.95410758988305</v>
      </c>
      <c r="AC26" s="64">
        <v>900.88956368760603</v>
      </c>
      <c r="AD26" s="64">
        <v>879.84995316092204</v>
      </c>
      <c r="AE26" s="64">
        <v>965.79125428206203</v>
      </c>
      <c r="AF26" s="64">
        <v>1067.4483952012999</v>
      </c>
      <c r="AG26" s="64">
        <v>1083.43696837231</v>
      </c>
      <c r="AH26" s="64">
        <v>1085.72672970089</v>
      </c>
      <c r="AI26" s="64">
        <v>1167.2588098656599</v>
      </c>
      <c r="AJ26" s="64">
        <v>1282.14116959285</v>
      </c>
      <c r="AK26" s="64">
        <v>1275.6232114301199</v>
      </c>
      <c r="AL26" s="64">
        <v>1117.9561505932099</v>
      </c>
      <c r="AM26" s="64">
        <v>935.18672808354199</v>
      </c>
    </row>
    <row r="27" spans="1:39" s="19" customFormat="1" ht="17.100000000000001" customHeight="1" x14ac:dyDescent="0.2">
      <c r="A27" s="38" t="s">
        <v>74</v>
      </c>
      <c r="B27" s="16">
        <v>437.15836799606001</v>
      </c>
      <c r="C27" s="16">
        <v>471.38429732863199</v>
      </c>
      <c r="D27" s="16">
        <v>492.84724041691402</v>
      </c>
      <c r="E27" s="16">
        <v>496.88885120422401</v>
      </c>
      <c r="F27" s="16">
        <v>489.51923091417598</v>
      </c>
      <c r="G27" s="16">
        <v>488.98476117555401</v>
      </c>
      <c r="H27" s="16">
        <v>506.14563478935003</v>
      </c>
      <c r="I27" s="16">
        <v>531.55247346891997</v>
      </c>
      <c r="J27" s="64">
        <v>555.57059171408196</v>
      </c>
      <c r="K27" s="64">
        <v>581.35942720473497</v>
      </c>
      <c r="L27" s="64">
        <v>610.73568394967401</v>
      </c>
      <c r="M27" s="64">
        <v>636.47162920475</v>
      </c>
      <c r="N27" s="64">
        <v>648.85174473076802</v>
      </c>
      <c r="O27" s="64">
        <v>643.80821119121697</v>
      </c>
      <c r="P27" s="64">
        <v>630.60560886814005</v>
      </c>
      <c r="Q27" s="64">
        <v>637.35678608014405</v>
      </c>
      <c r="R27" s="64">
        <v>668.81996213721504</v>
      </c>
      <c r="S27" s="64">
        <v>702.83577156632305</v>
      </c>
      <c r="T27" s="64">
        <v>723.01958040054205</v>
      </c>
      <c r="U27" s="64">
        <v>737.14090135778702</v>
      </c>
      <c r="V27" s="64">
        <v>758.45783476131999</v>
      </c>
      <c r="W27" s="64">
        <v>781.47178750396699</v>
      </c>
      <c r="X27" s="64">
        <v>801.753179968317</v>
      </c>
      <c r="Y27" s="64">
        <v>835.42086985334402</v>
      </c>
      <c r="Z27" s="64">
        <v>884.24286279725902</v>
      </c>
      <c r="AA27" s="64">
        <v>927.15817449062297</v>
      </c>
      <c r="AB27" s="64">
        <v>957.96051327815496</v>
      </c>
      <c r="AC27" s="64">
        <v>977.71986239139596</v>
      </c>
      <c r="AD27" s="64">
        <v>997.98011277965998</v>
      </c>
      <c r="AE27" s="64">
        <v>1024.39043405398</v>
      </c>
      <c r="AF27" s="64">
        <v>1043.66538392386</v>
      </c>
      <c r="AG27" s="64">
        <v>1040.7575199038999</v>
      </c>
      <c r="AH27" s="64">
        <v>1029.8775488450201</v>
      </c>
      <c r="AI27" s="64">
        <v>1042.99444359022</v>
      </c>
      <c r="AJ27" s="64">
        <v>1080.7735154786601</v>
      </c>
      <c r="AK27" s="64">
        <v>1102.5588769588201</v>
      </c>
      <c r="AL27" s="64">
        <v>1084.02629482219</v>
      </c>
      <c r="AM27" s="64">
        <v>1053.57749756928</v>
      </c>
    </row>
    <row r="28" spans="1:39" s="19" customFormat="1" ht="17.100000000000001" customHeight="1" x14ac:dyDescent="0.2">
      <c r="A28" s="38" t="s">
        <v>23</v>
      </c>
      <c r="B28" s="16">
        <v>609.97357223347603</v>
      </c>
      <c r="C28" s="16">
        <v>641.23358564769001</v>
      </c>
      <c r="D28" s="16">
        <v>690.03613309463299</v>
      </c>
      <c r="E28" s="16">
        <v>739.65153785717303</v>
      </c>
      <c r="F28" s="16">
        <v>767.80848719748599</v>
      </c>
      <c r="G28" s="16">
        <v>772.36404518386996</v>
      </c>
      <c r="H28" s="16">
        <v>763.23220135622898</v>
      </c>
      <c r="I28" s="16">
        <v>758.30649795611305</v>
      </c>
      <c r="J28" s="64">
        <v>766.32681664894506</v>
      </c>
      <c r="K28" s="64">
        <v>785.92482665523596</v>
      </c>
      <c r="L28" s="64">
        <v>819.25795042583502</v>
      </c>
      <c r="M28" s="64">
        <v>869.88490061370203</v>
      </c>
      <c r="N28" s="64">
        <v>921.35446916573198</v>
      </c>
      <c r="O28" s="64">
        <v>958.53592338983901</v>
      </c>
      <c r="P28" s="64">
        <v>979.90873092701997</v>
      </c>
      <c r="Q28" s="64">
        <v>1010.3710135308201</v>
      </c>
      <c r="R28" s="64">
        <v>1056.0797757521</v>
      </c>
      <c r="S28" s="64">
        <v>1112.43259828756</v>
      </c>
      <c r="T28" s="64">
        <v>1158.7900795844</v>
      </c>
      <c r="U28" s="64">
        <v>1170.3086395155899</v>
      </c>
      <c r="V28" s="64">
        <v>1155.8663120609499</v>
      </c>
      <c r="W28" s="64">
        <v>1176.90868329661</v>
      </c>
      <c r="X28" s="64">
        <v>1197.0929784958801</v>
      </c>
      <c r="Y28" s="64">
        <v>1266.9404936081501</v>
      </c>
      <c r="Z28" s="64">
        <v>1347.58636163132</v>
      </c>
      <c r="AA28" s="64">
        <v>1334.6462918178599</v>
      </c>
      <c r="AB28" s="64">
        <v>1253.65691558863</v>
      </c>
      <c r="AC28" s="64">
        <v>1247.9411890112301</v>
      </c>
      <c r="AD28" s="64">
        <v>1307.3203716514399</v>
      </c>
      <c r="AE28" s="64">
        <v>1384.2329640933699</v>
      </c>
      <c r="AF28" s="64">
        <v>1471.9886101049201</v>
      </c>
      <c r="AG28" s="64">
        <v>1476.0092111071001</v>
      </c>
      <c r="AH28" s="64">
        <v>1449.1254469186799</v>
      </c>
      <c r="AI28" s="64">
        <v>1508.8832664735901</v>
      </c>
      <c r="AJ28" s="64">
        <v>1591.25372134145</v>
      </c>
      <c r="AK28" s="64">
        <v>1549.68607460095</v>
      </c>
      <c r="AL28" s="64">
        <v>1555.8062215472601</v>
      </c>
      <c r="AM28" s="64">
        <v>1648.2600909233699</v>
      </c>
    </row>
    <row r="29" spans="1:39" s="19" customFormat="1" ht="17.100000000000001" customHeight="1" x14ac:dyDescent="0.2">
      <c r="A29" s="38" t="s">
        <v>24</v>
      </c>
      <c r="B29" s="16">
        <v>1168.4519601726799</v>
      </c>
      <c r="C29" s="16">
        <v>1178.7877522777201</v>
      </c>
      <c r="D29" s="16">
        <v>1197.9562867844299</v>
      </c>
      <c r="E29" s="16">
        <v>1231.7838562157201</v>
      </c>
      <c r="F29" s="16">
        <v>1273.7342065861101</v>
      </c>
      <c r="G29" s="16">
        <v>1312.61835560189</v>
      </c>
      <c r="H29" s="16">
        <v>1340.8709920456499</v>
      </c>
      <c r="I29" s="16">
        <v>1378.31634690437</v>
      </c>
      <c r="J29" s="64">
        <v>1438.1319959472801</v>
      </c>
      <c r="K29" s="64">
        <v>1476.51412639051</v>
      </c>
      <c r="L29" s="64">
        <v>1456.3912696248301</v>
      </c>
      <c r="M29" s="64">
        <v>1413.1398973518901</v>
      </c>
      <c r="N29" s="64">
        <v>1428.35368370119</v>
      </c>
      <c r="O29" s="64">
        <v>1486.94336002971</v>
      </c>
      <c r="P29" s="64">
        <v>1474.2680966575499</v>
      </c>
      <c r="Q29" s="64">
        <v>1375.1178058529299</v>
      </c>
      <c r="R29" s="64">
        <v>1327.01652369047</v>
      </c>
      <c r="S29" s="64">
        <v>1379.95479062604</v>
      </c>
      <c r="T29" s="64">
        <v>1460.8652627498</v>
      </c>
      <c r="U29" s="64">
        <v>1477.96541922082</v>
      </c>
      <c r="V29" s="64">
        <v>1449.5846683883699</v>
      </c>
      <c r="W29" s="64">
        <v>1472.3717758784301</v>
      </c>
      <c r="X29" s="64">
        <v>1576.7316502599999</v>
      </c>
      <c r="Y29" s="64">
        <v>1645.9543472102</v>
      </c>
      <c r="Z29" s="64">
        <v>1639.2673430494899</v>
      </c>
      <c r="AA29" s="64">
        <v>1615.6088293904199</v>
      </c>
      <c r="AB29" s="64">
        <v>1672.6795695584599</v>
      </c>
      <c r="AC29" s="64">
        <v>1807.4896143384001</v>
      </c>
      <c r="AD29" s="64">
        <v>1928.89319903982</v>
      </c>
      <c r="AE29" s="64">
        <v>1741.4965179303599</v>
      </c>
      <c r="AF29" s="64">
        <v>1821.7981008464999</v>
      </c>
      <c r="AG29" s="64">
        <v>1900.0977133589599</v>
      </c>
      <c r="AH29" s="64">
        <v>1942.47254311036</v>
      </c>
      <c r="AI29" s="64">
        <v>1971.2187224552099</v>
      </c>
      <c r="AJ29" s="64">
        <v>2035.95403203514</v>
      </c>
      <c r="AK29" s="64">
        <v>2176.9230970079102</v>
      </c>
      <c r="AL29" s="64">
        <v>2314.3266927838299</v>
      </c>
      <c r="AM29" s="64">
        <v>2429.12118989993</v>
      </c>
    </row>
    <row r="30" spans="1:39" s="19" customFormat="1" ht="17.100000000000001" customHeight="1" x14ac:dyDescent="0.2">
      <c r="A30" s="38" t="s">
        <v>71</v>
      </c>
      <c r="B30" s="16">
        <v>787.68244087304595</v>
      </c>
      <c r="C30" s="16">
        <v>798.64436299827503</v>
      </c>
      <c r="D30" s="16">
        <v>835.87294168026494</v>
      </c>
      <c r="E30" s="16">
        <v>898.24327062044301</v>
      </c>
      <c r="F30" s="16">
        <v>955.55649725170997</v>
      </c>
      <c r="G30" s="16">
        <v>996.18865026650701</v>
      </c>
      <c r="H30" s="16">
        <v>1012.93993682699</v>
      </c>
      <c r="I30" s="16">
        <v>1041.8281135424099</v>
      </c>
      <c r="J30" s="64">
        <v>1065.37673713501</v>
      </c>
      <c r="K30" s="64">
        <v>1068.31247644993</v>
      </c>
      <c r="L30" s="64">
        <v>1068.8051634242599</v>
      </c>
      <c r="M30" s="64">
        <v>1106.27600226755</v>
      </c>
      <c r="N30" s="64">
        <v>1129.8996947559399</v>
      </c>
      <c r="O30" s="64">
        <v>1136.5353237981301</v>
      </c>
      <c r="P30" s="64">
        <v>1145.20065973326</v>
      </c>
      <c r="Q30" s="64">
        <v>1180.2070453154299</v>
      </c>
      <c r="R30" s="64">
        <v>1216.20613586737</v>
      </c>
      <c r="S30" s="64">
        <v>1229.36109508037</v>
      </c>
      <c r="T30" s="64">
        <v>1249.3682864407899</v>
      </c>
      <c r="U30" s="64">
        <v>1288.2877770617599</v>
      </c>
      <c r="V30" s="64">
        <v>1370.2873192228401</v>
      </c>
      <c r="W30" s="64">
        <v>1456.2675111956501</v>
      </c>
      <c r="X30" s="64">
        <v>1478.74656546507</v>
      </c>
      <c r="Y30" s="64">
        <v>1477.76489213694</v>
      </c>
      <c r="Z30" s="64">
        <v>1523.9170531826101</v>
      </c>
      <c r="AA30" s="64">
        <v>1559.4645587228099</v>
      </c>
      <c r="AB30" s="64">
        <v>1548.9904138577699</v>
      </c>
      <c r="AC30" s="64">
        <v>1511.34715444366</v>
      </c>
      <c r="AD30" s="64">
        <v>1499.50477024154</v>
      </c>
      <c r="AE30" s="64">
        <v>1534.46434445612</v>
      </c>
      <c r="AF30" s="64">
        <v>1617.4564040279899</v>
      </c>
      <c r="AG30" s="64">
        <v>1682.5773393280699</v>
      </c>
      <c r="AH30" s="64">
        <v>1692.4692983976099</v>
      </c>
      <c r="AI30" s="64">
        <v>1685.99103472449</v>
      </c>
      <c r="AJ30" s="64">
        <v>1701.3075202698701</v>
      </c>
      <c r="AK30" s="64">
        <v>1717.97376850508</v>
      </c>
      <c r="AL30" s="64">
        <v>1759.24065264767</v>
      </c>
      <c r="AM30" s="64">
        <v>1823.5587733694799</v>
      </c>
    </row>
    <row r="31" spans="1:39" s="19" customFormat="1" ht="17.100000000000001" customHeight="1" x14ac:dyDescent="0.2">
      <c r="A31" s="38" t="s">
        <v>72</v>
      </c>
      <c r="B31" s="16">
        <v>24.398103905586598</v>
      </c>
      <c r="C31" s="16">
        <v>26.407510630199901</v>
      </c>
      <c r="D31" s="16">
        <v>32.108318025675501</v>
      </c>
      <c r="E31" s="16">
        <v>40.193824065500401</v>
      </c>
      <c r="F31" s="16">
        <v>47.696766567768201</v>
      </c>
      <c r="G31" s="16">
        <v>53.616252449520303</v>
      </c>
      <c r="H31" s="16">
        <v>58.480625832860603</v>
      </c>
      <c r="I31" s="16">
        <v>61.731352668087702</v>
      </c>
      <c r="J31" s="64">
        <v>61.985480467152698</v>
      </c>
      <c r="K31" s="64">
        <v>61.733648387499898</v>
      </c>
      <c r="L31" s="64">
        <v>62.368820497845199</v>
      </c>
      <c r="M31" s="64">
        <v>64.307835298960995</v>
      </c>
      <c r="N31" s="64">
        <v>66.676544291586794</v>
      </c>
      <c r="O31" s="64">
        <v>69.102098668568303</v>
      </c>
      <c r="P31" s="64">
        <v>63.190375685782897</v>
      </c>
      <c r="Q31" s="64">
        <v>52.5670772846901</v>
      </c>
      <c r="R31" s="64">
        <v>50.2603191966571</v>
      </c>
      <c r="S31" s="64">
        <v>54.679778537127703</v>
      </c>
      <c r="T31" s="64">
        <v>59.187360393622598</v>
      </c>
      <c r="U31" s="64">
        <v>64.190660595249597</v>
      </c>
      <c r="V31" s="64">
        <v>66.507991525999998</v>
      </c>
      <c r="W31" s="64">
        <v>58.687301639311698</v>
      </c>
      <c r="X31" s="64">
        <v>53.021296450510803</v>
      </c>
      <c r="Y31" s="64">
        <v>50.957650566998197</v>
      </c>
      <c r="Z31" s="64">
        <v>55.598882969248599</v>
      </c>
      <c r="AA31" s="64">
        <v>62.969429456275002</v>
      </c>
      <c r="AB31" s="64">
        <v>73.862672425010501</v>
      </c>
      <c r="AC31" s="64">
        <v>79.913420946979599</v>
      </c>
      <c r="AD31" s="64">
        <v>77.548598391418693</v>
      </c>
      <c r="AE31" s="64">
        <v>75.041951884254701</v>
      </c>
      <c r="AF31" s="64">
        <v>79.186891624715201</v>
      </c>
      <c r="AG31" s="64">
        <v>86.014177352984902</v>
      </c>
      <c r="AH31" s="64">
        <v>87.847836407951604</v>
      </c>
      <c r="AI31" s="64">
        <v>90.535895023434307</v>
      </c>
      <c r="AJ31" s="64">
        <v>86.871813408477806</v>
      </c>
      <c r="AK31" s="64">
        <v>85.780846836464505</v>
      </c>
      <c r="AL31" s="64">
        <v>86.842096155210697</v>
      </c>
      <c r="AM31" s="64">
        <v>89.971883819149696</v>
      </c>
    </row>
    <row r="32" spans="1:39" s="19" customFormat="1" ht="17.100000000000001" customHeight="1" x14ac:dyDescent="0.2">
      <c r="A32" s="38" t="s">
        <v>27</v>
      </c>
      <c r="B32" s="16">
        <v>737.08929761631498</v>
      </c>
      <c r="C32" s="16">
        <v>751.07912298479596</v>
      </c>
      <c r="D32" s="16">
        <v>755.36806857006695</v>
      </c>
      <c r="E32" s="16">
        <v>748.12633692390796</v>
      </c>
      <c r="F32" s="16">
        <v>742.38359496074804</v>
      </c>
      <c r="G32" s="16">
        <v>740.58189242087201</v>
      </c>
      <c r="H32" s="16">
        <v>735.42394567489998</v>
      </c>
      <c r="I32" s="16">
        <v>740.05116451262904</v>
      </c>
      <c r="J32" s="64">
        <v>752.63253771999302</v>
      </c>
      <c r="K32" s="64">
        <v>760.96530407028695</v>
      </c>
      <c r="L32" s="64">
        <v>783.67432211667904</v>
      </c>
      <c r="M32" s="64">
        <v>819.88623727921697</v>
      </c>
      <c r="N32" s="64">
        <v>850.14195931091194</v>
      </c>
      <c r="O32" s="64">
        <v>865.51217777286399</v>
      </c>
      <c r="P32" s="64">
        <v>869.79540357783401</v>
      </c>
      <c r="Q32" s="64">
        <v>875.10983211718599</v>
      </c>
      <c r="R32" s="64">
        <v>891.74032458079205</v>
      </c>
      <c r="S32" s="64">
        <v>916.09635278387896</v>
      </c>
      <c r="T32" s="64">
        <v>934.697621510104</v>
      </c>
      <c r="U32" s="64">
        <v>929.47275097922704</v>
      </c>
      <c r="V32" s="64">
        <v>903.32563411236595</v>
      </c>
      <c r="W32" s="64">
        <v>897.340548210463</v>
      </c>
      <c r="X32" s="64">
        <v>919.39270656136</v>
      </c>
      <c r="Y32" s="64">
        <v>923.89635430319299</v>
      </c>
      <c r="Z32" s="64">
        <v>908.11252117542995</v>
      </c>
      <c r="AA32" s="64">
        <v>900.44833002237897</v>
      </c>
      <c r="AB32" s="64">
        <v>903.92165925434597</v>
      </c>
      <c r="AC32" s="64">
        <v>931.13104179663605</v>
      </c>
      <c r="AD32" s="64">
        <v>987.18617820403199</v>
      </c>
      <c r="AE32" s="64">
        <v>1033.06173063797</v>
      </c>
      <c r="AF32" s="64">
        <v>1063.4422986888601</v>
      </c>
      <c r="AG32" s="64">
        <v>1104.70432340405</v>
      </c>
      <c r="AH32" s="64">
        <v>1145.08767002684</v>
      </c>
      <c r="AI32" s="64">
        <v>1164.0588339983699</v>
      </c>
      <c r="AJ32" s="64">
        <v>1177.7128454659201</v>
      </c>
      <c r="AK32" s="64">
        <v>1192.64897878743</v>
      </c>
      <c r="AL32" s="64">
        <v>1178.3806331431899</v>
      </c>
      <c r="AM32" s="64">
        <v>1140.48201080799</v>
      </c>
    </row>
    <row r="33" spans="1:39" s="19" customFormat="1" ht="17.100000000000001" customHeight="1" x14ac:dyDescent="0.2">
      <c r="A33" s="39" t="s">
        <v>69</v>
      </c>
      <c r="B33" s="16">
        <v>214.272921521304</v>
      </c>
      <c r="C33" s="16">
        <v>220.09131297173201</v>
      </c>
      <c r="D33" s="16">
        <v>226.11150100336101</v>
      </c>
      <c r="E33" s="16">
        <v>230.65928825179799</v>
      </c>
      <c r="F33" s="16">
        <v>233.81919348367899</v>
      </c>
      <c r="G33" s="16">
        <v>236.66471851749299</v>
      </c>
      <c r="H33" s="16">
        <v>239.71175989624101</v>
      </c>
      <c r="I33" s="16">
        <v>243.10400192747201</v>
      </c>
      <c r="J33" s="64">
        <v>246.53483616703599</v>
      </c>
      <c r="K33" s="64">
        <v>249.413885419802</v>
      </c>
      <c r="L33" s="64">
        <v>251.99795366082401</v>
      </c>
      <c r="M33" s="64">
        <v>254.75068923714699</v>
      </c>
      <c r="N33" s="64">
        <v>257.68506409154998</v>
      </c>
      <c r="O33" s="64">
        <v>261.15148897120599</v>
      </c>
      <c r="P33" s="64">
        <v>265.13049432565703</v>
      </c>
      <c r="Q33" s="64">
        <v>268.877482118724</v>
      </c>
      <c r="R33" s="64">
        <v>271.99987388809001</v>
      </c>
      <c r="S33" s="64">
        <v>275.01930427970399</v>
      </c>
      <c r="T33" s="64">
        <v>278.357349916023</v>
      </c>
      <c r="U33" s="64">
        <v>281.81191566957199</v>
      </c>
      <c r="V33" s="64">
        <v>285.28176478581298</v>
      </c>
      <c r="W33" s="64">
        <v>289.69421455192202</v>
      </c>
      <c r="X33" s="64">
        <v>296.79882818754299</v>
      </c>
      <c r="Y33" s="64">
        <v>307.676953035466</v>
      </c>
      <c r="Z33" s="64">
        <v>319.675268364489</v>
      </c>
      <c r="AA33" s="64">
        <v>328.42110890854201</v>
      </c>
      <c r="AB33" s="64">
        <v>333.05783306589399</v>
      </c>
      <c r="AC33" s="64">
        <v>336.117198089917</v>
      </c>
      <c r="AD33" s="64">
        <v>340.47227496037698</v>
      </c>
      <c r="AE33" s="64">
        <v>346.43990341967401</v>
      </c>
      <c r="AF33" s="64">
        <v>352.51969383343601</v>
      </c>
      <c r="AG33" s="64">
        <v>357.24957014322598</v>
      </c>
      <c r="AH33" s="64">
        <v>361.60849195373498</v>
      </c>
      <c r="AI33" s="64">
        <v>367.32593903856298</v>
      </c>
      <c r="AJ33" s="64">
        <v>374.48824229744798</v>
      </c>
      <c r="AK33" s="64">
        <v>381.02727496030502</v>
      </c>
      <c r="AL33" s="64">
        <v>385.36856562106999</v>
      </c>
      <c r="AM33" s="64">
        <v>388.89123235169501</v>
      </c>
    </row>
    <row r="34" spans="1:39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</row>
    <row r="35" spans="1:39" s="51" customFormat="1" ht="17.100000000000001" customHeight="1" x14ac:dyDescent="0.2">
      <c r="A35" s="52" t="s">
        <v>29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</row>
    <row r="36" spans="1:39" s="27" customFormat="1" ht="17.100000000000001" customHeight="1" thickBot="1" x14ac:dyDescent="0.25">
      <c r="A36" s="25" t="s">
        <v>30</v>
      </c>
      <c r="B36" s="26">
        <v>1778.9587995162599</v>
      </c>
      <c r="C36" s="26">
        <v>1851.84021712054</v>
      </c>
      <c r="D36" s="26">
        <v>1953.01215162526</v>
      </c>
      <c r="E36" s="26">
        <v>2020.8507900929601</v>
      </c>
      <c r="F36" s="26">
        <v>2037.82380372128</v>
      </c>
      <c r="G36" s="26">
        <v>2101.7768759611599</v>
      </c>
      <c r="H36" s="26">
        <v>2208.1954429835801</v>
      </c>
      <c r="I36" s="26">
        <v>2312.7804290198601</v>
      </c>
      <c r="J36" s="65">
        <v>2420.3901156243201</v>
      </c>
      <c r="K36" s="65">
        <v>2481.1836330052201</v>
      </c>
      <c r="L36" s="65">
        <v>2462.2724914559399</v>
      </c>
      <c r="M36" s="65">
        <v>2468.1996717337101</v>
      </c>
      <c r="N36" s="65">
        <v>2541.8695463990998</v>
      </c>
      <c r="O36" s="65">
        <v>2601.4412049005</v>
      </c>
      <c r="P36" s="65">
        <v>2603.8873219300999</v>
      </c>
      <c r="Q36" s="65">
        <v>2590.8527073454902</v>
      </c>
      <c r="R36" s="65">
        <v>2606.6661984157499</v>
      </c>
      <c r="S36" s="65">
        <v>2625.1246015993702</v>
      </c>
      <c r="T36" s="65">
        <v>2657.62096024332</v>
      </c>
      <c r="U36" s="65">
        <v>2709.83749673075</v>
      </c>
      <c r="V36" s="65">
        <v>2878.2637146111201</v>
      </c>
      <c r="W36" s="65">
        <v>3106.4291236938102</v>
      </c>
      <c r="X36" s="65">
        <v>3207.6444642513002</v>
      </c>
      <c r="Y36" s="65">
        <v>3209.4187214847102</v>
      </c>
      <c r="Z36" s="65">
        <v>3254.4536666178401</v>
      </c>
      <c r="AA36" s="65">
        <v>3369.6973652882998</v>
      </c>
      <c r="AB36" s="65">
        <v>3614.8856326349501</v>
      </c>
      <c r="AC36" s="65">
        <v>3813.58092745154</v>
      </c>
      <c r="AD36" s="65">
        <v>3752.5464285543098</v>
      </c>
      <c r="AE36" s="65">
        <v>3682.24921738483</v>
      </c>
      <c r="AF36" s="65">
        <v>3750.7589415402399</v>
      </c>
      <c r="AG36" s="65">
        <v>3919.2826983784998</v>
      </c>
      <c r="AH36" s="65">
        <v>4104.3791391020204</v>
      </c>
      <c r="AI36" s="65">
        <v>4182.0488505232397</v>
      </c>
      <c r="AJ36" s="65">
        <v>4192.9896794153201</v>
      </c>
      <c r="AK36" s="65">
        <v>4242.5223517822897</v>
      </c>
      <c r="AL36" s="65">
        <v>4352.2914368552101</v>
      </c>
      <c r="AM36" s="65">
        <v>4509.3949310846001</v>
      </c>
    </row>
    <row r="37" spans="1:39" x14ac:dyDescent="0.2">
      <c r="A37" s="14" t="s">
        <v>63</v>
      </c>
    </row>
  </sheetData>
  <mergeCells count="10">
    <mergeCell ref="R3:U3"/>
    <mergeCell ref="B3:E3"/>
    <mergeCell ref="F3:I3"/>
    <mergeCell ref="J3:M3"/>
    <mergeCell ref="N3:Q3"/>
    <mergeCell ref="AL3:AM3"/>
    <mergeCell ref="AH3:AK3"/>
    <mergeCell ref="AD3:AG3"/>
    <mergeCell ref="Z3:AC3"/>
    <mergeCell ref="V3:Y3"/>
  </mergeCells>
  <phoneticPr fontId="17" type="noConversion"/>
  <pageMargins left="0.31496062992125984" right="0.27559055118110237" top="0.51181102362204722" bottom="0.47244094488188981" header="0.31496062992125984" footer="0.31496062992125984"/>
  <pageSetup scale="6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M37"/>
  <sheetViews>
    <sheetView view="pageBreakPreview" zoomScaleSheetLayoutView="100" workbookViewId="0"/>
  </sheetViews>
  <sheetFormatPr defaultColWidth="9.140625" defaultRowHeight="12" x14ac:dyDescent="0.2"/>
  <cols>
    <col min="1" max="1" width="25.28515625" style="29" customWidth="1"/>
    <col min="2" max="7" width="7.28515625" style="29" customWidth="1"/>
    <col min="8" max="9" width="7.5703125" style="29" customWidth="1"/>
    <col min="10" max="27" width="8.5703125" style="17" customWidth="1"/>
    <col min="28" max="16384" width="9.140625" style="29"/>
  </cols>
  <sheetData>
    <row r="1" spans="1:39" ht="15.75" customHeight="1" x14ac:dyDescent="0.2">
      <c r="A1" s="18" t="s">
        <v>128</v>
      </c>
      <c r="B1" s="18"/>
    </row>
    <row r="2" spans="1:39" ht="3" customHeight="1" thickBot="1" x14ac:dyDescent="0.25"/>
    <row r="3" spans="1:39" s="47" customFormat="1" ht="15" customHeight="1" x14ac:dyDescent="0.2">
      <c r="B3" s="149" t="s">
        <v>75</v>
      </c>
      <c r="C3" s="149"/>
      <c r="D3" s="149"/>
      <c r="E3" s="149"/>
      <c r="F3" s="149" t="s">
        <v>79</v>
      </c>
      <c r="G3" s="149"/>
      <c r="H3" s="149"/>
      <c r="I3" s="149"/>
      <c r="J3" s="150" t="s">
        <v>85</v>
      </c>
      <c r="K3" s="150"/>
      <c r="L3" s="150"/>
      <c r="M3" s="150"/>
      <c r="N3" s="150" t="s">
        <v>86</v>
      </c>
      <c r="O3" s="150"/>
      <c r="P3" s="150"/>
      <c r="Q3" s="150"/>
      <c r="R3" s="150" t="s">
        <v>89</v>
      </c>
      <c r="S3" s="150"/>
      <c r="T3" s="150"/>
      <c r="U3" s="150"/>
      <c r="V3" s="150" t="s">
        <v>90</v>
      </c>
      <c r="W3" s="150"/>
      <c r="X3" s="150"/>
      <c r="Y3" s="150"/>
      <c r="Z3" s="150" t="s">
        <v>91</v>
      </c>
      <c r="AA3" s="150"/>
      <c r="AB3" s="150"/>
      <c r="AC3" s="150"/>
      <c r="AD3" s="149" t="s">
        <v>92</v>
      </c>
      <c r="AE3" s="149"/>
      <c r="AF3" s="149"/>
      <c r="AG3" s="149"/>
      <c r="AH3" s="149" t="s">
        <v>118</v>
      </c>
      <c r="AI3" s="149"/>
      <c r="AJ3" s="149"/>
      <c r="AK3" s="149"/>
      <c r="AL3" s="149" t="s">
        <v>120</v>
      </c>
      <c r="AM3" s="149"/>
    </row>
    <row r="4" spans="1:39" s="51" customFormat="1" x14ac:dyDescent="0.2">
      <c r="A4" s="48"/>
      <c r="B4" s="49" t="s">
        <v>57</v>
      </c>
      <c r="C4" s="49" t="s">
        <v>58</v>
      </c>
      <c r="D4" s="49" t="s">
        <v>59</v>
      </c>
      <c r="E4" s="49" t="s">
        <v>60</v>
      </c>
      <c r="F4" s="59" t="s">
        <v>57</v>
      </c>
      <c r="G4" s="49" t="s">
        <v>58</v>
      </c>
      <c r="H4" s="59" t="s">
        <v>59</v>
      </c>
      <c r="I4" s="59" t="s">
        <v>60</v>
      </c>
      <c r="J4" s="61" t="s">
        <v>57</v>
      </c>
      <c r="K4" s="61" t="s">
        <v>58</v>
      </c>
      <c r="L4" s="61" t="s">
        <v>59</v>
      </c>
      <c r="M4" s="61" t="s">
        <v>60</v>
      </c>
      <c r="N4" s="61" t="s">
        <v>57</v>
      </c>
      <c r="O4" s="61" t="s">
        <v>58</v>
      </c>
      <c r="P4" s="61" t="s">
        <v>59</v>
      </c>
      <c r="Q4" s="61" t="s">
        <v>60</v>
      </c>
      <c r="R4" s="61" t="s">
        <v>57</v>
      </c>
      <c r="S4" s="61" t="s">
        <v>58</v>
      </c>
      <c r="T4" s="61" t="s">
        <v>59</v>
      </c>
      <c r="U4" s="61" t="s">
        <v>60</v>
      </c>
      <c r="V4" s="61" t="s">
        <v>57</v>
      </c>
      <c r="W4" s="61" t="s">
        <v>58</v>
      </c>
      <c r="X4" s="61" t="s">
        <v>59</v>
      </c>
      <c r="Y4" s="61" t="s">
        <v>60</v>
      </c>
      <c r="Z4" s="61" t="s">
        <v>57</v>
      </c>
      <c r="AA4" s="61" t="s">
        <v>58</v>
      </c>
      <c r="AB4" s="61" t="s">
        <v>59</v>
      </c>
      <c r="AC4" s="61" t="s">
        <v>60</v>
      </c>
      <c r="AD4" s="61" t="s">
        <v>57</v>
      </c>
      <c r="AE4" s="61" t="s">
        <v>58</v>
      </c>
      <c r="AF4" s="61" t="s">
        <v>59</v>
      </c>
      <c r="AG4" s="61" t="s">
        <v>60</v>
      </c>
      <c r="AH4" s="61" t="s">
        <v>57</v>
      </c>
      <c r="AI4" s="61" t="s">
        <v>58</v>
      </c>
      <c r="AJ4" s="61" t="s">
        <v>59</v>
      </c>
      <c r="AK4" s="61" t="s">
        <v>60</v>
      </c>
      <c r="AL4" s="61" t="s">
        <v>57</v>
      </c>
      <c r="AM4" s="61" t="s">
        <v>58</v>
      </c>
    </row>
    <row r="5" spans="1:39" s="20" customFormat="1" ht="17.100000000000001" customHeight="1" x14ac:dyDescent="0.2">
      <c r="A5" s="21" t="s">
        <v>80</v>
      </c>
      <c r="B5" s="36">
        <v>100</v>
      </c>
      <c r="C5" s="36">
        <v>99.999999999999986</v>
      </c>
      <c r="D5" s="36">
        <v>100.00000000000003</v>
      </c>
      <c r="E5" s="36">
        <v>100</v>
      </c>
      <c r="F5" s="36">
        <v>100</v>
      </c>
      <c r="G5" s="36">
        <v>100</v>
      </c>
      <c r="H5" s="36">
        <v>100</v>
      </c>
      <c r="I5" s="36">
        <v>100</v>
      </c>
      <c r="J5" s="70">
        <v>100</v>
      </c>
      <c r="K5" s="70">
        <v>100</v>
      </c>
      <c r="L5" s="70">
        <v>100</v>
      </c>
      <c r="M5" s="70">
        <v>100.00000000000001</v>
      </c>
      <c r="N5" s="70">
        <v>100</v>
      </c>
      <c r="O5" s="70">
        <v>100.00000000000001</v>
      </c>
      <c r="P5" s="70">
        <v>100.00000000000001</v>
      </c>
      <c r="Q5" s="70">
        <v>100.00000000000001</v>
      </c>
      <c r="R5" s="70">
        <v>100</v>
      </c>
      <c r="S5" s="70">
        <v>100.00000000000003</v>
      </c>
      <c r="T5" s="70">
        <v>100</v>
      </c>
      <c r="U5" s="70">
        <v>100.00000000000001</v>
      </c>
      <c r="V5" s="70">
        <v>99.999999999999986</v>
      </c>
      <c r="W5" s="70">
        <v>100.00000000000003</v>
      </c>
      <c r="X5" s="70">
        <v>100.00000000000003</v>
      </c>
      <c r="Y5" s="70">
        <v>100.00000000000003</v>
      </c>
      <c r="Z5" s="70">
        <v>100.00000000000001</v>
      </c>
      <c r="AA5" s="70">
        <v>99.999999999999986</v>
      </c>
      <c r="AB5" s="70">
        <v>100.00000000000001</v>
      </c>
      <c r="AC5" s="70">
        <v>100.00000000000001</v>
      </c>
      <c r="AD5" s="70">
        <v>100</v>
      </c>
      <c r="AE5" s="70">
        <v>100.00000000000003</v>
      </c>
      <c r="AF5" s="70">
        <v>99.999999999999972</v>
      </c>
      <c r="AG5" s="70">
        <v>100.00000000000001</v>
      </c>
      <c r="AH5" s="70">
        <v>99.999999999999986</v>
      </c>
      <c r="AI5" s="70">
        <v>99.999999999999986</v>
      </c>
      <c r="AJ5" s="70">
        <v>99.999999999999986</v>
      </c>
      <c r="AK5" s="70">
        <v>99.999999999999986</v>
      </c>
      <c r="AL5" s="70">
        <v>99.999999999999986</v>
      </c>
      <c r="AM5" s="70">
        <v>99.999999999999972</v>
      </c>
    </row>
    <row r="6" spans="1:39" s="54" customFormat="1" ht="17.100000000000001" customHeight="1" x14ac:dyDescent="0.2">
      <c r="A6" s="52" t="s">
        <v>81</v>
      </c>
      <c r="B6" s="56">
        <v>23.979926625783513</v>
      </c>
      <c r="C6" s="56">
        <v>24.00205098724776</v>
      </c>
      <c r="D6" s="56">
        <v>23.620187612919302</v>
      </c>
      <c r="E6" s="56">
        <v>23.082828153916036</v>
      </c>
      <c r="F6" s="56">
        <v>22.626185015652577</v>
      </c>
      <c r="G6" s="56">
        <v>22.171494604605375</v>
      </c>
      <c r="H6" s="56">
        <v>23.574404502198892</v>
      </c>
      <c r="I6" s="56">
        <v>23.156506653776496</v>
      </c>
      <c r="J6" s="71">
        <v>22.959877637983588</v>
      </c>
      <c r="K6" s="71">
        <v>23.100051616928248</v>
      </c>
      <c r="L6" s="71">
        <v>23.515756459919135</v>
      </c>
      <c r="M6" s="71">
        <v>23.548134449223689</v>
      </c>
      <c r="N6" s="71">
        <v>23.077374643006152</v>
      </c>
      <c r="O6" s="71">
        <v>22.984660404641463</v>
      </c>
      <c r="P6" s="71">
        <v>23.500549361363799</v>
      </c>
      <c r="Q6" s="71">
        <v>23.84806008283277</v>
      </c>
      <c r="R6" s="71">
        <v>23.720671710744384</v>
      </c>
      <c r="S6" s="71">
        <v>23.39806727383327</v>
      </c>
      <c r="T6" s="71">
        <v>23.280767991447462</v>
      </c>
      <c r="U6" s="71">
        <v>23.794251932668875</v>
      </c>
      <c r="V6" s="71">
        <v>24.337364836324156</v>
      </c>
      <c r="W6" s="71">
        <v>24.076647946934393</v>
      </c>
      <c r="X6" s="71">
        <v>23.65021649575397</v>
      </c>
      <c r="Y6" s="71">
        <v>23.876316743330403</v>
      </c>
      <c r="Z6" s="71">
        <v>24.468917227175186</v>
      </c>
      <c r="AA6" s="71">
        <v>24.885142974388941</v>
      </c>
      <c r="AB6" s="71">
        <v>24.664820350461873</v>
      </c>
      <c r="AC6" s="71">
        <v>23.780156343913163</v>
      </c>
      <c r="AD6" s="71">
        <v>23.776843756637458</v>
      </c>
      <c r="AE6" s="71">
        <v>24.600167094317257</v>
      </c>
      <c r="AF6" s="71">
        <v>25.351202301972041</v>
      </c>
      <c r="AG6" s="71">
        <v>25.835518234827184</v>
      </c>
      <c r="AH6" s="71">
        <v>25.953210287890229</v>
      </c>
      <c r="AI6" s="71">
        <v>25.877874524396375</v>
      </c>
      <c r="AJ6" s="71">
        <v>25.776163107828584</v>
      </c>
      <c r="AK6" s="71">
        <v>25.658277167378561</v>
      </c>
      <c r="AL6" s="71">
        <v>25.904999876582075</v>
      </c>
      <c r="AM6" s="71">
        <v>26.259830606561572</v>
      </c>
    </row>
    <row r="7" spans="1:39" s="19" customFormat="1" ht="17.100000000000001" customHeight="1" x14ac:dyDescent="0.2">
      <c r="A7" s="37" t="s">
        <v>2</v>
      </c>
      <c r="B7" s="33">
        <v>2.1968412043071974</v>
      </c>
      <c r="C7" s="33">
        <v>2.309293849716564</v>
      </c>
      <c r="D7" s="33">
        <v>2.41048227482425</v>
      </c>
      <c r="E7" s="33">
        <v>2.4991377049855874</v>
      </c>
      <c r="F7" s="33">
        <v>2.4851450527293388</v>
      </c>
      <c r="G7" s="33">
        <v>2.3275278455875825</v>
      </c>
      <c r="H7" s="33">
        <v>2.1159791800918377</v>
      </c>
      <c r="I7" s="33">
        <v>2.0920697335092382</v>
      </c>
      <c r="J7" s="67">
        <v>2.0976824754409886</v>
      </c>
      <c r="K7" s="67">
        <v>2.0140889453216753</v>
      </c>
      <c r="L7" s="67">
        <v>1.8827396366289915</v>
      </c>
      <c r="M7" s="67">
        <v>1.8111231623656661</v>
      </c>
      <c r="N7" s="67">
        <v>1.834043415401124</v>
      </c>
      <c r="O7" s="67">
        <v>1.9166935474596198</v>
      </c>
      <c r="P7" s="67">
        <v>1.9588698895106906</v>
      </c>
      <c r="Q7" s="67">
        <v>1.8958297283391417</v>
      </c>
      <c r="R7" s="67">
        <v>1.8497140695740335</v>
      </c>
      <c r="S7" s="67">
        <v>1.9479507085104646</v>
      </c>
      <c r="T7" s="67">
        <v>2.1532707324250082</v>
      </c>
      <c r="U7" s="67">
        <v>2.3530553782256374</v>
      </c>
      <c r="V7" s="67">
        <v>2.6136949940256109</v>
      </c>
      <c r="W7" s="67">
        <v>2.8027194419020534</v>
      </c>
      <c r="X7" s="67">
        <v>2.7865244881830864</v>
      </c>
      <c r="Y7" s="67">
        <v>2.7100478236876135</v>
      </c>
      <c r="Z7" s="67">
        <v>2.6291606517147521</v>
      </c>
      <c r="AA7" s="67">
        <v>2.4771375787693195</v>
      </c>
      <c r="AB7" s="67">
        <v>2.4111180274216748</v>
      </c>
      <c r="AC7" s="67">
        <v>2.6416959125436184</v>
      </c>
      <c r="AD7" s="67">
        <v>2.9822975710935977</v>
      </c>
      <c r="AE7" s="67">
        <v>3.4073475836498517</v>
      </c>
      <c r="AF7" s="67">
        <v>3.7775860889876647</v>
      </c>
      <c r="AG7" s="67">
        <v>3.9795709681854379</v>
      </c>
      <c r="AH7" s="67">
        <v>4.2013020611730614</v>
      </c>
      <c r="AI7" s="67">
        <v>4.618080373420554</v>
      </c>
      <c r="AJ7" s="67">
        <v>5.1005286788053805</v>
      </c>
      <c r="AK7" s="67">
        <v>5.3918827386308017</v>
      </c>
      <c r="AL7" s="67">
        <v>5.2761853033964163</v>
      </c>
      <c r="AM7" s="67">
        <v>4.9622122445025694</v>
      </c>
    </row>
    <row r="8" spans="1:39" s="19" customFormat="1" ht="17.100000000000001" customHeight="1" x14ac:dyDescent="0.2">
      <c r="A8" s="37" t="s">
        <v>3</v>
      </c>
      <c r="B8" s="33">
        <v>12.374437344749897</v>
      </c>
      <c r="C8" s="33">
        <v>12.538503295519288</v>
      </c>
      <c r="D8" s="33">
        <v>12.443092295671457</v>
      </c>
      <c r="E8" s="33">
        <v>12.29640813481396</v>
      </c>
      <c r="F8" s="33">
        <v>12.311847145274562</v>
      </c>
      <c r="G8" s="33">
        <v>12.394987262341555</v>
      </c>
      <c r="H8" s="33">
        <v>12.017664095136315</v>
      </c>
      <c r="I8" s="33">
        <v>11.499578771343018</v>
      </c>
      <c r="J8" s="67">
        <v>11.274830592261459</v>
      </c>
      <c r="K8" s="67">
        <v>11.492968385049599</v>
      </c>
      <c r="L8" s="67">
        <v>11.848415932477366</v>
      </c>
      <c r="M8" s="67">
        <v>11.783442838810828</v>
      </c>
      <c r="N8" s="67">
        <v>11.353934255536656</v>
      </c>
      <c r="O8" s="67">
        <v>11.222395535988387</v>
      </c>
      <c r="P8" s="67">
        <v>11.667608306716231</v>
      </c>
      <c r="Q8" s="67">
        <v>12.032055654896713</v>
      </c>
      <c r="R8" s="67">
        <v>11.803116088415889</v>
      </c>
      <c r="S8" s="67">
        <v>11.393376163256088</v>
      </c>
      <c r="T8" s="67">
        <v>11.285897903018313</v>
      </c>
      <c r="U8" s="67">
        <v>11.513099836026432</v>
      </c>
      <c r="V8" s="67">
        <v>11.544140518708506</v>
      </c>
      <c r="W8" s="67">
        <v>11.281508060254263</v>
      </c>
      <c r="X8" s="67">
        <v>11.255338970693609</v>
      </c>
      <c r="Y8" s="67">
        <v>11.755330064821838</v>
      </c>
      <c r="Z8" s="67">
        <v>12.304780805994419</v>
      </c>
      <c r="AA8" s="67">
        <v>12.48248070060694</v>
      </c>
      <c r="AB8" s="67">
        <v>12.15794200175759</v>
      </c>
      <c r="AC8" s="67">
        <v>11.720725114831538</v>
      </c>
      <c r="AD8" s="67">
        <v>11.405002717383619</v>
      </c>
      <c r="AE8" s="67">
        <v>11.479584723749319</v>
      </c>
      <c r="AF8" s="67">
        <v>11.611270879118853</v>
      </c>
      <c r="AG8" s="67">
        <v>11.855472283859344</v>
      </c>
      <c r="AH8" s="67">
        <v>11.835172436405998</v>
      </c>
      <c r="AI8" s="67">
        <v>11.265003734413131</v>
      </c>
      <c r="AJ8" s="67">
        <v>10.439580945982444</v>
      </c>
      <c r="AK8" s="67">
        <v>9.8718530335543484</v>
      </c>
      <c r="AL8" s="67">
        <v>10.326016001938964</v>
      </c>
      <c r="AM8" s="67">
        <v>11.128858022674409</v>
      </c>
    </row>
    <row r="9" spans="1:39" s="19" customFormat="1" ht="17.100000000000001" customHeight="1" x14ac:dyDescent="0.2">
      <c r="A9" s="37" t="s">
        <v>4</v>
      </c>
      <c r="B9" s="33">
        <v>3.0812101308073072</v>
      </c>
      <c r="C9" s="33">
        <v>3.032520464500795</v>
      </c>
      <c r="D9" s="33">
        <v>3.0100385668963043</v>
      </c>
      <c r="E9" s="33">
        <v>3.0800370758115174</v>
      </c>
      <c r="F9" s="33">
        <v>3.2001350232228498</v>
      </c>
      <c r="G9" s="33">
        <v>3.279439689845931</v>
      </c>
      <c r="H9" s="33">
        <v>3.2026486024038285</v>
      </c>
      <c r="I9" s="33">
        <v>3.2042203544334167</v>
      </c>
      <c r="J9" s="67">
        <v>3.2620384252417831</v>
      </c>
      <c r="K9" s="67">
        <v>3.3634137547280041</v>
      </c>
      <c r="L9" s="67">
        <v>3.4287562765357618</v>
      </c>
      <c r="M9" s="67">
        <v>3.4488898619278201</v>
      </c>
      <c r="N9" s="67">
        <v>3.4713843335342527</v>
      </c>
      <c r="O9" s="67">
        <v>3.5830259891473828</v>
      </c>
      <c r="P9" s="67">
        <v>3.7777533850164349</v>
      </c>
      <c r="Q9" s="67">
        <v>3.9145449552560247</v>
      </c>
      <c r="R9" s="67">
        <v>3.9406410782470811</v>
      </c>
      <c r="S9" s="67">
        <v>3.9286888565487099</v>
      </c>
      <c r="T9" s="67">
        <v>3.9635189352855602</v>
      </c>
      <c r="U9" s="67">
        <v>4.0515221301354867</v>
      </c>
      <c r="V9" s="67">
        <v>4.1048305357903496</v>
      </c>
      <c r="W9" s="67">
        <v>4.0025558572468336</v>
      </c>
      <c r="X9" s="67">
        <v>3.8660373345680137</v>
      </c>
      <c r="Y9" s="67">
        <v>3.8359280341482096</v>
      </c>
      <c r="Z9" s="67">
        <v>3.9076536027220397</v>
      </c>
      <c r="AA9" s="67">
        <v>4.031830150970193</v>
      </c>
      <c r="AB9" s="67">
        <v>4.0970038927831425</v>
      </c>
      <c r="AC9" s="67">
        <v>4.1004504692959127</v>
      </c>
      <c r="AD9" s="67">
        <v>4.0925262444932944</v>
      </c>
      <c r="AE9" s="67">
        <v>4.1810284936343107</v>
      </c>
      <c r="AF9" s="67">
        <v>4.2222392776681543</v>
      </c>
      <c r="AG9" s="67">
        <v>4.2687691365686158</v>
      </c>
      <c r="AH9" s="67">
        <v>4.33539658500223</v>
      </c>
      <c r="AI9" s="67">
        <v>4.4080712898405974</v>
      </c>
      <c r="AJ9" s="67">
        <v>4.5118997880328298</v>
      </c>
      <c r="AK9" s="67">
        <v>4.6130295717152148</v>
      </c>
      <c r="AL9" s="67">
        <v>4.6041177890056124</v>
      </c>
      <c r="AM9" s="67">
        <v>4.5549630195776647</v>
      </c>
    </row>
    <row r="10" spans="1:39" s="19" customFormat="1" ht="17.100000000000001" customHeight="1" x14ac:dyDescent="0.2">
      <c r="A10" s="37" t="s">
        <v>5</v>
      </c>
      <c r="B10" s="33">
        <v>1.6164392187577734E-2</v>
      </c>
      <c r="C10" s="33">
        <v>1.5525545669040321E-2</v>
      </c>
      <c r="D10" s="33">
        <v>1.4633943605342996E-2</v>
      </c>
      <c r="E10" s="33">
        <v>1.3506922362143759E-2</v>
      </c>
      <c r="F10" s="33">
        <v>1.2387744114517483E-2</v>
      </c>
      <c r="G10" s="33">
        <v>1.2066530868781771E-2</v>
      </c>
      <c r="H10" s="33">
        <v>1.1958583297979023E-2</v>
      </c>
      <c r="I10" s="33">
        <v>1.2224795963476753E-2</v>
      </c>
      <c r="J10" s="67">
        <v>1.2905327311713522E-2</v>
      </c>
      <c r="K10" s="67">
        <v>1.3591479460073238E-2</v>
      </c>
      <c r="L10" s="67">
        <v>1.4248781038244241E-2</v>
      </c>
      <c r="M10" s="67">
        <v>1.4891842000510129E-2</v>
      </c>
      <c r="N10" s="67">
        <v>1.4862669366416819E-2</v>
      </c>
      <c r="O10" s="67">
        <v>1.3987271817604808E-2</v>
      </c>
      <c r="P10" s="67">
        <v>1.3096621520026632E-2</v>
      </c>
      <c r="Q10" s="67">
        <v>1.2696267649434798E-2</v>
      </c>
      <c r="R10" s="67">
        <v>1.291497770078413E-2</v>
      </c>
      <c r="S10" s="67">
        <v>1.3509963500926597E-2</v>
      </c>
      <c r="T10" s="67">
        <v>1.3993746356945674E-2</v>
      </c>
      <c r="U10" s="67">
        <v>1.4067198694823861E-2</v>
      </c>
      <c r="V10" s="67">
        <v>1.3796019803177625E-2</v>
      </c>
      <c r="W10" s="67">
        <v>1.3309194328467014E-2</v>
      </c>
      <c r="X10" s="67">
        <v>1.2809181054315626E-2</v>
      </c>
      <c r="Y10" s="67">
        <v>1.2434506997371862E-2</v>
      </c>
      <c r="Z10" s="67">
        <v>1.2221265314323349E-2</v>
      </c>
      <c r="AA10" s="67">
        <v>1.2244836895192516E-2</v>
      </c>
      <c r="AB10" s="67">
        <v>1.2142178752451546E-2</v>
      </c>
      <c r="AC10" s="67">
        <v>1.1888199532908896E-2</v>
      </c>
      <c r="AD10" s="67">
        <v>1.1643347064040488E-2</v>
      </c>
      <c r="AE10" s="67">
        <v>1.1711972015359829E-2</v>
      </c>
      <c r="AF10" s="67">
        <v>1.1653339484845746E-2</v>
      </c>
      <c r="AG10" s="67">
        <v>1.1603941746696779E-2</v>
      </c>
      <c r="AH10" s="67">
        <v>1.1316303299909203E-2</v>
      </c>
      <c r="AI10" s="67">
        <v>1.0751809933010571E-2</v>
      </c>
      <c r="AJ10" s="67">
        <v>1.0348397908404352E-2</v>
      </c>
      <c r="AK10" s="67">
        <v>1.0216425589090868E-2</v>
      </c>
      <c r="AL10" s="67">
        <v>9.8643857590657077E-3</v>
      </c>
      <c r="AM10" s="67">
        <v>9.4073198425278469E-3</v>
      </c>
    </row>
    <row r="11" spans="1:39" s="19" customFormat="1" ht="17.100000000000001" customHeight="1" x14ac:dyDescent="0.2">
      <c r="A11" s="37" t="s">
        <v>6</v>
      </c>
      <c r="B11" s="33">
        <v>4.1243821599948145</v>
      </c>
      <c r="C11" s="33">
        <v>4.0381967663486753</v>
      </c>
      <c r="D11" s="33">
        <v>3.7958784836107937</v>
      </c>
      <c r="E11" s="33">
        <v>3.3741382204629482</v>
      </c>
      <c r="F11" s="33">
        <v>2.9207110663386318</v>
      </c>
      <c r="G11" s="33">
        <v>2.5213479728691959</v>
      </c>
      <c r="H11" s="33">
        <v>4.6137183185991635</v>
      </c>
      <c r="I11" s="33">
        <v>4.6422008696481418</v>
      </c>
      <c r="J11" s="67">
        <v>4.4226383746523572</v>
      </c>
      <c r="K11" s="67">
        <v>4.0651035648519684</v>
      </c>
      <c r="L11" s="67">
        <v>3.9817131215553263</v>
      </c>
      <c r="M11" s="67">
        <v>4.0683760641151911</v>
      </c>
      <c r="N11" s="67">
        <v>3.9544661861190211</v>
      </c>
      <c r="O11" s="67">
        <v>3.7497615850861337</v>
      </c>
      <c r="P11" s="67">
        <v>3.6041984643246345</v>
      </c>
      <c r="Q11" s="67">
        <v>3.53380885932933</v>
      </c>
      <c r="R11" s="67">
        <v>3.6094532563994011</v>
      </c>
      <c r="S11" s="67">
        <v>3.7460983919471067</v>
      </c>
      <c r="T11" s="67">
        <v>3.7601740766271701</v>
      </c>
      <c r="U11" s="67">
        <v>3.7703061590268345</v>
      </c>
      <c r="V11" s="67">
        <v>3.8647221639609168</v>
      </c>
      <c r="W11" s="67">
        <v>3.9110830304857505</v>
      </c>
      <c r="X11" s="67">
        <v>3.8713248405248537</v>
      </c>
      <c r="Y11" s="67">
        <v>3.7585909881315445</v>
      </c>
      <c r="Z11" s="67">
        <v>3.7045894748057218</v>
      </c>
      <c r="AA11" s="67">
        <v>3.7194316764348812</v>
      </c>
      <c r="AB11" s="67">
        <v>3.6486539921813002</v>
      </c>
      <c r="AC11" s="67">
        <v>3.5921757358119097</v>
      </c>
      <c r="AD11" s="67">
        <v>3.6240582686475489</v>
      </c>
      <c r="AE11" s="67">
        <v>3.7041824466111413</v>
      </c>
      <c r="AF11" s="67">
        <v>3.756471226483022</v>
      </c>
      <c r="AG11" s="67">
        <v>3.7929100166822582</v>
      </c>
      <c r="AH11" s="67">
        <v>3.7635671399846764</v>
      </c>
      <c r="AI11" s="67">
        <v>3.7340855920217084</v>
      </c>
      <c r="AJ11" s="67">
        <v>3.7598274643418099</v>
      </c>
      <c r="AK11" s="67">
        <v>3.8225649792756435</v>
      </c>
      <c r="AL11" s="67">
        <v>3.7934256083896232</v>
      </c>
      <c r="AM11" s="67">
        <v>3.7060318661696225</v>
      </c>
    </row>
    <row r="12" spans="1:39" s="19" customFormat="1" ht="17.100000000000001" customHeight="1" x14ac:dyDescent="0.2">
      <c r="A12" s="37" t="s">
        <v>7</v>
      </c>
      <c r="B12" s="33">
        <v>2.186891393736722</v>
      </c>
      <c r="C12" s="33">
        <v>2.0680110654933985</v>
      </c>
      <c r="D12" s="33">
        <v>1.9460620483111546</v>
      </c>
      <c r="E12" s="33">
        <v>1.8196000954798779</v>
      </c>
      <c r="F12" s="33">
        <v>1.6959589839726759</v>
      </c>
      <c r="G12" s="33">
        <v>1.636125303092328</v>
      </c>
      <c r="H12" s="33">
        <v>1.6124357226697683</v>
      </c>
      <c r="I12" s="33">
        <v>1.7062121288792043</v>
      </c>
      <c r="J12" s="67">
        <v>1.8897824430752885</v>
      </c>
      <c r="K12" s="67">
        <v>2.1508854875169323</v>
      </c>
      <c r="L12" s="67">
        <v>2.3598827116834449</v>
      </c>
      <c r="M12" s="67">
        <v>2.4214106800036732</v>
      </c>
      <c r="N12" s="67">
        <v>2.448683783048681</v>
      </c>
      <c r="O12" s="67">
        <v>2.4987964751423362</v>
      </c>
      <c r="P12" s="67">
        <v>2.4790226942757796</v>
      </c>
      <c r="Q12" s="67">
        <v>2.4591246173621246</v>
      </c>
      <c r="R12" s="67">
        <v>2.5048322404071914</v>
      </c>
      <c r="S12" s="67">
        <v>2.3684431900699749</v>
      </c>
      <c r="T12" s="67">
        <v>2.1039125977344622</v>
      </c>
      <c r="U12" s="67">
        <v>2.0922012305596596</v>
      </c>
      <c r="V12" s="67">
        <v>2.1961806040355976</v>
      </c>
      <c r="W12" s="67">
        <v>2.0654723627170246</v>
      </c>
      <c r="X12" s="67">
        <v>1.858181680730091</v>
      </c>
      <c r="Y12" s="67">
        <v>1.8039853255438241</v>
      </c>
      <c r="Z12" s="67">
        <v>1.9105114266239307</v>
      </c>
      <c r="AA12" s="67">
        <v>2.1620180307124182</v>
      </c>
      <c r="AB12" s="67">
        <v>2.3379602575657108</v>
      </c>
      <c r="AC12" s="67">
        <v>1.7132209118972743</v>
      </c>
      <c r="AD12" s="67">
        <v>1.6613156079553555</v>
      </c>
      <c r="AE12" s="67">
        <v>1.8163118746572726</v>
      </c>
      <c r="AF12" s="67">
        <v>1.9719814902295039</v>
      </c>
      <c r="AG12" s="67">
        <v>1.9271918877848282</v>
      </c>
      <c r="AH12" s="67">
        <v>1.8064557620243546</v>
      </c>
      <c r="AI12" s="67">
        <v>1.8418817247673764</v>
      </c>
      <c r="AJ12" s="67">
        <v>1.9539778327577146</v>
      </c>
      <c r="AK12" s="67">
        <v>1.948730418613458</v>
      </c>
      <c r="AL12" s="67">
        <v>1.8953907880923933</v>
      </c>
      <c r="AM12" s="67">
        <v>1.898358133794779</v>
      </c>
    </row>
    <row r="13" spans="1:39" s="54" customFormat="1" ht="17.100000000000001" customHeight="1" x14ac:dyDescent="0.2">
      <c r="A13" s="52" t="s">
        <v>82</v>
      </c>
      <c r="B13" s="56">
        <v>25.62234675888627</v>
      </c>
      <c r="C13" s="56">
        <v>26.023861990087966</v>
      </c>
      <c r="D13" s="56">
        <v>26.253551829333468</v>
      </c>
      <c r="E13" s="56">
        <v>26.141848361601824</v>
      </c>
      <c r="F13" s="56">
        <v>26.116553128452097</v>
      </c>
      <c r="G13" s="56">
        <v>26.342041454975458</v>
      </c>
      <c r="H13" s="56">
        <v>26.152889492361766</v>
      </c>
      <c r="I13" s="56">
        <v>26.63773545671835</v>
      </c>
      <c r="J13" s="71">
        <v>26.762594682475893</v>
      </c>
      <c r="K13" s="71">
        <v>26.686995585788807</v>
      </c>
      <c r="L13" s="71">
        <v>26.392858582075622</v>
      </c>
      <c r="M13" s="71">
        <v>26.087382939501467</v>
      </c>
      <c r="N13" s="71">
        <v>26.372175237426895</v>
      </c>
      <c r="O13" s="71">
        <v>26.83002840465085</v>
      </c>
      <c r="P13" s="71">
        <v>27.051689382122522</v>
      </c>
      <c r="Q13" s="71">
        <v>27.357212986933462</v>
      </c>
      <c r="R13" s="71">
        <v>27.72236222829396</v>
      </c>
      <c r="S13" s="71">
        <v>27.7318686620922</v>
      </c>
      <c r="T13" s="71">
        <v>27.528946571410735</v>
      </c>
      <c r="U13" s="71">
        <v>26.975289920431958</v>
      </c>
      <c r="V13" s="71">
        <v>26.470143245897166</v>
      </c>
      <c r="W13" s="71">
        <v>26.61083410112396</v>
      </c>
      <c r="X13" s="71">
        <v>27.06766432888595</v>
      </c>
      <c r="Y13" s="71">
        <v>26.990274715257016</v>
      </c>
      <c r="Z13" s="71">
        <v>26.218809194308786</v>
      </c>
      <c r="AA13" s="71">
        <v>25.323862429560176</v>
      </c>
      <c r="AB13" s="71">
        <v>25.28177336774359</v>
      </c>
      <c r="AC13" s="71">
        <v>25.935920656573721</v>
      </c>
      <c r="AD13" s="71">
        <v>25.806351858491333</v>
      </c>
      <c r="AE13" s="71">
        <v>25.155926710431402</v>
      </c>
      <c r="AF13" s="71">
        <v>24.25308832758574</v>
      </c>
      <c r="AG13" s="71">
        <v>23.674036491819365</v>
      </c>
      <c r="AH13" s="71">
        <v>23.731967146550705</v>
      </c>
      <c r="AI13" s="71">
        <v>24.152351266052563</v>
      </c>
      <c r="AJ13" s="71">
        <v>24.31132302429015</v>
      </c>
      <c r="AK13" s="71">
        <v>24.463434466325751</v>
      </c>
      <c r="AL13" s="71">
        <v>24.577749263119763</v>
      </c>
      <c r="AM13" s="71">
        <v>24.553073149924234</v>
      </c>
    </row>
    <row r="14" spans="1:39" s="19" customFormat="1" ht="17.100000000000001" customHeight="1" x14ac:dyDescent="0.2">
      <c r="A14" s="37" t="s">
        <v>9</v>
      </c>
      <c r="B14" s="33">
        <v>1.1703797369465145</v>
      </c>
      <c r="C14" s="33">
        <v>1.2962671969245774</v>
      </c>
      <c r="D14" s="33">
        <v>1.2845971842344188</v>
      </c>
      <c r="E14" s="33">
        <v>1.1950936713639793</v>
      </c>
      <c r="F14" s="33">
        <v>1.1219762828605939</v>
      </c>
      <c r="G14" s="33">
        <v>1.0915554147492079</v>
      </c>
      <c r="H14" s="33">
        <v>1.2480440306155129</v>
      </c>
      <c r="I14" s="33">
        <v>1.6326668367694936</v>
      </c>
      <c r="J14" s="67">
        <v>1.7862092686563988</v>
      </c>
      <c r="K14" s="67">
        <v>1.7565122219856979</v>
      </c>
      <c r="L14" s="67">
        <v>1.6881435819431074</v>
      </c>
      <c r="M14" s="67">
        <v>1.572666089612287</v>
      </c>
      <c r="N14" s="67">
        <v>1.6011503296618934</v>
      </c>
      <c r="O14" s="67">
        <v>1.7610744366482831</v>
      </c>
      <c r="P14" s="67">
        <v>1.7351848811826713</v>
      </c>
      <c r="Q14" s="67">
        <v>1.8531663207917481</v>
      </c>
      <c r="R14" s="67">
        <v>2.2042515753411656</v>
      </c>
      <c r="S14" s="67">
        <v>2.1880564135118132</v>
      </c>
      <c r="T14" s="67">
        <v>1.8080027064033222</v>
      </c>
      <c r="U14" s="67">
        <v>1.3249440733236091</v>
      </c>
      <c r="V14" s="67">
        <v>1.063799042616508</v>
      </c>
      <c r="W14" s="67">
        <v>1.320875410985568</v>
      </c>
      <c r="X14" s="67">
        <v>1.7343875066586496</v>
      </c>
      <c r="Y14" s="67">
        <v>1.6398380142119215</v>
      </c>
      <c r="Z14" s="67">
        <v>1.1161655764928886</v>
      </c>
      <c r="AA14" s="67">
        <v>0.8766202509361134</v>
      </c>
      <c r="AB14" s="67">
        <v>1.6182666808871033</v>
      </c>
      <c r="AC14" s="67">
        <v>2.4921608906821011</v>
      </c>
      <c r="AD14" s="67">
        <v>2.2857883681929665</v>
      </c>
      <c r="AE14" s="67">
        <v>1.4272036303471807</v>
      </c>
      <c r="AF14" s="67">
        <v>0.81039270580508094</v>
      </c>
      <c r="AG14" s="67">
        <v>0.73655706497331119</v>
      </c>
      <c r="AH14" s="67">
        <v>1.2187644105384949</v>
      </c>
      <c r="AI14" s="67">
        <v>1.502345617969201</v>
      </c>
      <c r="AJ14" s="67">
        <v>1.1167867865015602</v>
      </c>
      <c r="AK14" s="67">
        <v>0.79755195126845146</v>
      </c>
      <c r="AL14" s="67">
        <v>1.0809893556344716</v>
      </c>
      <c r="AM14" s="67">
        <v>1.4867666119635852</v>
      </c>
    </row>
    <row r="15" spans="1:39" s="19" customFormat="1" ht="17.100000000000001" customHeight="1" x14ac:dyDescent="0.2">
      <c r="A15" s="24" t="s">
        <v>10</v>
      </c>
      <c r="B15" s="33">
        <v>15.025206383838102</v>
      </c>
      <c r="C15" s="33">
        <v>15.432745094657205</v>
      </c>
      <c r="D15" s="33">
        <v>15.755310311517295</v>
      </c>
      <c r="E15" s="33">
        <v>15.838603614752961</v>
      </c>
      <c r="F15" s="33">
        <v>15.843003589074945</v>
      </c>
      <c r="G15" s="33">
        <v>15.976911092264427</v>
      </c>
      <c r="H15" s="33">
        <v>15.712026443221278</v>
      </c>
      <c r="I15" s="33">
        <v>15.71245011608659</v>
      </c>
      <c r="J15" s="67">
        <v>15.578548896375072</v>
      </c>
      <c r="K15" s="67">
        <v>15.479328930273567</v>
      </c>
      <c r="L15" s="67">
        <v>15.294076479344437</v>
      </c>
      <c r="M15" s="67">
        <v>15.325079372648002</v>
      </c>
      <c r="N15" s="67">
        <v>15.831030459293558</v>
      </c>
      <c r="O15" s="67">
        <v>16.156752745569094</v>
      </c>
      <c r="P15" s="67">
        <v>16.29408780605721</v>
      </c>
      <c r="Q15" s="67">
        <v>16.508537346281702</v>
      </c>
      <c r="R15" s="67">
        <v>16.583256174529616</v>
      </c>
      <c r="S15" s="67">
        <v>16.506692764397052</v>
      </c>
      <c r="T15" s="67">
        <v>16.544321699133462</v>
      </c>
      <c r="U15" s="67">
        <v>16.28864304514914</v>
      </c>
      <c r="V15" s="67">
        <v>16.030994477894829</v>
      </c>
      <c r="W15" s="67">
        <v>16.202175276733335</v>
      </c>
      <c r="X15" s="67">
        <v>16.625355425162002</v>
      </c>
      <c r="Y15" s="67">
        <v>16.769550288135584</v>
      </c>
      <c r="Z15" s="67">
        <v>16.524971834635679</v>
      </c>
      <c r="AA15" s="67">
        <v>15.970226090939942</v>
      </c>
      <c r="AB15" s="67">
        <v>15.148365704947556</v>
      </c>
      <c r="AC15" s="67">
        <v>14.802096688176697</v>
      </c>
      <c r="AD15" s="67">
        <v>14.885543906091236</v>
      </c>
      <c r="AE15" s="67">
        <v>15.096646161308049</v>
      </c>
      <c r="AF15" s="67">
        <v>14.97919554283474</v>
      </c>
      <c r="AG15" s="67">
        <v>14.648107123109302</v>
      </c>
      <c r="AH15" s="67">
        <v>14.1701899668575</v>
      </c>
      <c r="AI15" s="67">
        <v>14.012246259079411</v>
      </c>
      <c r="AJ15" s="67">
        <v>14.330077491952295</v>
      </c>
      <c r="AK15" s="67">
        <v>14.724382281889536</v>
      </c>
      <c r="AL15" s="67">
        <v>14.691715622307466</v>
      </c>
      <c r="AM15" s="67">
        <v>14.425608514314714</v>
      </c>
    </row>
    <row r="16" spans="1:39" s="19" customFormat="1" ht="17.100000000000001" customHeight="1" x14ac:dyDescent="0.2">
      <c r="A16" s="24" t="s">
        <v>11</v>
      </c>
      <c r="B16" s="33">
        <v>1.2203528118162281</v>
      </c>
      <c r="C16" s="33">
        <v>1.1961926778345093</v>
      </c>
      <c r="D16" s="33">
        <v>1.3437469229688468</v>
      </c>
      <c r="E16" s="33">
        <v>1.3219079347703242</v>
      </c>
      <c r="F16" s="33">
        <v>1.3175715151538581</v>
      </c>
      <c r="G16" s="33">
        <v>1.3182951375900707</v>
      </c>
      <c r="H16" s="33">
        <v>1.2807686895232613</v>
      </c>
      <c r="I16" s="33">
        <v>1.2807622689738123</v>
      </c>
      <c r="J16" s="67">
        <v>1.2914079752823735</v>
      </c>
      <c r="K16" s="67">
        <v>1.2995900702978702</v>
      </c>
      <c r="L16" s="67">
        <v>1.3008081665702709</v>
      </c>
      <c r="M16" s="67">
        <v>1.3185436574010663</v>
      </c>
      <c r="N16" s="67">
        <v>1.3457872023045909</v>
      </c>
      <c r="O16" s="67">
        <v>1.376179586220422</v>
      </c>
      <c r="P16" s="67">
        <v>1.4200284775181407</v>
      </c>
      <c r="Q16" s="67">
        <v>1.4491198070015192</v>
      </c>
      <c r="R16" s="67">
        <v>1.4524899587424529</v>
      </c>
      <c r="S16" s="67">
        <v>1.4524703982298752</v>
      </c>
      <c r="T16" s="67">
        <v>1.448171506233642</v>
      </c>
      <c r="U16" s="67">
        <v>1.4303619408544503</v>
      </c>
      <c r="V16" s="67">
        <v>1.3970222049766345</v>
      </c>
      <c r="W16" s="67">
        <v>1.3510898833459459</v>
      </c>
      <c r="X16" s="67">
        <v>1.3158230987229409</v>
      </c>
      <c r="Y16" s="67">
        <v>1.2820129084976908</v>
      </c>
      <c r="Z16" s="67">
        <v>1.2350042978251361</v>
      </c>
      <c r="AA16" s="67">
        <v>1.1900535253824025</v>
      </c>
      <c r="AB16" s="67">
        <v>1.1472890640962237</v>
      </c>
      <c r="AC16" s="67">
        <v>1.1191135698605497</v>
      </c>
      <c r="AD16" s="67">
        <v>1.0996172326585583</v>
      </c>
      <c r="AE16" s="67">
        <v>1.0918607564126226</v>
      </c>
      <c r="AF16" s="67">
        <v>1.0689199371933258</v>
      </c>
      <c r="AG16" s="67">
        <v>1.0573063164108503</v>
      </c>
      <c r="AH16" s="67">
        <v>1.0592017031663437</v>
      </c>
      <c r="AI16" s="67">
        <v>1.0637394837538756</v>
      </c>
      <c r="AJ16" s="67">
        <v>1.0649788287734177</v>
      </c>
      <c r="AK16" s="67">
        <v>1.0576532693882434</v>
      </c>
      <c r="AL16" s="67">
        <v>1.031714886010445</v>
      </c>
      <c r="AM16" s="67">
        <v>1.0025475033349682</v>
      </c>
    </row>
    <row r="17" spans="1:39" s="19" customFormat="1" ht="17.100000000000001" customHeight="1" x14ac:dyDescent="0.2">
      <c r="A17" s="24" t="s">
        <v>12</v>
      </c>
      <c r="B17" s="33">
        <v>2.3916000812632117</v>
      </c>
      <c r="C17" s="33">
        <v>2.3415643320428181</v>
      </c>
      <c r="D17" s="33">
        <v>2.3411896729163462</v>
      </c>
      <c r="E17" s="33">
        <v>2.3965597234361664</v>
      </c>
      <c r="F17" s="33">
        <v>2.4412905186240086</v>
      </c>
      <c r="G17" s="33">
        <v>2.4512868685814628</v>
      </c>
      <c r="H17" s="33">
        <v>2.3838445660179239</v>
      </c>
      <c r="I17" s="33">
        <v>2.3546494797123096</v>
      </c>
      <c r="J17" s="67">
        <v>2.3247487068098236</v>
      </c>
      <c r="K17" s="67">
        <v>2.2814428714628554</v>
      </c>
      <c r="L17" s="67">
        <v>2.2207208847749174</v>
      </c>
      <c r="M17" s="67">
        <v>2.1629368612644839</v>
      </c>
      <c r="N17" s="67">
        <v>2.1374629764359625</v>
      </c>
      <c r="O17" s="67">
        <v>2.1562168209528667</v>
      </c>
      <c r="P17" s="67">
        <v>2.2072040368341534</v>
      </c>
      <c r="Q17" s="67">
        <v>2.2358070735539584</v>
      </c>
      <c r="R17" s="67">
        <v>2.2231363560248423</v>
      </c>
      <c r="S17" s="67">
        <v>2.2002863095241412</v>
      </c>
      <c r="T17" s="67">
        <v>2.1927744459117107</v>
      </c>
      <c r="U17" s="67">
        <v>2.2033629318923489</v>
      </c>
      <c r="V17" s="67">
        <v>2.1968397214681188</v>
      </c>
      <c r="W17" s="67">
        <v>2.1556073994998743</v>
      </c>
      <c r="X17" s="67">
        <v>2.1104471599124883</v>
      </c>
      <c r="Y17" s="67">
        <v>2.0751296224175029</v>
      </c>
      <c r="Z17" s="67">
        <v>2.1363313580596333</v>
      </c>
      <c r="AA17" s="67">
        <v>2.1355222201854347</v>
      </c>
      <c r="AB17" s="67">
        <v>2.1250486632783927</v>
      </c>
      <c r="AC17" s="67">
        <v>2.1209210835633057</v>
      </c>
      <c r="AD17" s="67">
        <v>2.1201695231235211</v>
      </c>
      <c r="AE17" s="67">
        <v>2.1358839706077908</v>
      </c>
      <c r="AF17" s="67">
        <v>2.1175785462484518</v>
      </c>
      <c r="AG17" s="67">
        <v>2.1044652011259184</v>
      </c>
      <c r="AH17" s="67">
        <v>2.0989659873928472</v>
      </c>
      <c r="AI17" s="67">
        <v>2.1700027902339114</v>
      </c>
      <c r="AJ17" s="67">
        <v>2.1706822291498824</v>
      </c>
      <c r="AK17" s="67">
        <v>2.1659609556618427</v>
      </c>
      <c r="AL17" s="67">
        <v>2.1179944736610077</v>
      </c>
      <c r="AM17" s="67">
        <v>2.0576884635523243</v>
      </c>
    </row>
    <row r="18" spans="1:39" s="19" customFormat="1" ht="17.100000000000001" customHeight="1" x14ac:dyDescent="0.2">
      <c r="A18" s="37" t="s">
        <v>13</v>
      </c>
      <c r="B18" s="33">
        <v>5.8148077450222191</v>
      </c>
      <c r="C18" s="33">
        <v>5.7570926886288554</v>
      </c>
      <c r="D18" s="33">
        <v>5.5287077376965623</v>
      </c>
      <c r="E18" s="33">
        <v>5.3896834172783947</v>
      </c>
      <c r="F18" s="33">
        <v>5.3927112227386917</v>
      </c>
      <c r="G18" s="33">
        <v>5.5039929417902886</v>
      </c>
      <c r="H18" s="33">
        <v>5.5282057629837933</v>
      </c>
      <c r="I18" s="33">
        <v>5.6572067551761416</v>
      </c>
      <c r="J18" s="67">
        <v>5.7816798353522252</v>
      </c>
      <c r="K18" s="67">
        <v>5.870121491768816</v>
      </c>
      <c r="L18" s="67">
        <v>5.8891094694428903</v>
      </c>
      <c r="M18" s="67">
        <v>5.7081569585756275</v>
      </c>
      <c r="N18" s="67">
        <v>5.456744269730887</v>
      </c>
      <c r="O18" s="67">
        <v>5.3798048152601865</v>
      </c>
      <c r="P18" s="67">
        <v>5.3951841805303458</v>
      </c>
      <c r="Q18" s="67">
        <v>5.3105824393045369</v>
      </c>
      <c r="R18" s="67">
        <v>5.2592281636558855</v>
      </c>
      <c r="S18" s="67">
        <v>5.3843627764293203</v>
      </c>
      <c r="T18" s="67">
        <v>5.5356762137285997</v>
      </c>
      <c r="U18" s="67">
        <v>5.7279779292124076</v>
      </c>
      <c r="V18" s="67">
        <v>5.7814877989410727</v>
      </c>
      <c r="W18" s="67">
        <v>5.5810861305592354</v>
      </c>
      <c r="X18" s="67">
        <v>5.2816511384298686</v>
      </c>
      <c r="Y18" s="67">
        <v>5.2237438819943174</v>
      </c>
      <c r="Z18" s="67">
        <v>5.2063361272954509</v>
      </c>
      <c r="AA18" s="67">
        <v>5.1514403421162802</v>
      </c>
      <c r="AB18" s="67">
        <v>5.2428032545343131</v>
      </c>
      <c r="AC18" s="67">
        <v>5.4016284242910677</v>
      </c>
      <c r="AD18" s="67">
        <v>5.4152328284250455</v>
      </c>
      <c r="AE18" s="67">
        <v>5.4043321917557599</v>
      </c>
      <c r="AF18" s="67">
        <v>5.2770015955041414</v>
      </c>
      <c r="AG18" s="67">
        <v>5.1276007861999799</v>
      </c>
      <c r="AH18" s="67">
        <v>5.1848450785955178</v>
      </c>
      <c r="AI18" s="67">
        <v>5.4040171150161624</v>
      </c>
      <c r="AJ18" s="67">
        <v>5.6287976879129964</v>
      </c>
      <c r="AK18" s="67">
        <v>5.717886008117679</v>
      </c>
      <c r="AL18" s="67">
        <v>5.6553349255063754</v>
      </c>
      <c r="AM18" s="67">
        <v>5.5804620567586456</v>
      </c>
    </row>
    <row r="19" spans="1:39" s="54" customFormat="1" ht="17.100000000000001" customHeight="1" x14ac:dyDescent="0.2">
      <c r="A19" s="52" t="s">
        <v>83</v>
      </c>
      <c r="B19" s="56">
        <v>43.45918528369878</v>
      </c>
      <c r="C19" s="56">
        <v>43.065228155903064</v>
      </c>
      <c r="D19" s="56">
        <v>43.118610502242227</v>
      </c>
      <c r="E19" s="56">
        <v>43.656347563209778</v>
      </c>
      <c r="F19" s="56">
        <v>44.144888734484212</v>
      </c>
      <c r="G19" s="56">
        <v>44.267679801250175</v>
      </c>
      <c r="H19" s="56">
        <v>43.062777030337529</v>
      </c>
      <c r="I19" s="56">
        <v>42.886503097915472</v>
      </c>
      <c r="J19" s="71">
        <v>42.777880905388002</v>
      </c>
      <c r="K19" s="71">
        <v>42.643525879894881</v>
      </c>
      <c r="L19" s="71">
        <v>42.729907303232288</v>
      </c>
      <c r="M19" s="71">
        <v>43.186265086689311</v>
      </c>
      <c r="N19" s="71">
        <v>43.373148249411322</v>
      </c>
      <c r="O19" s="71">
        <v>42.957314531172408</v>
      </c>
      <c r="P19" s="71">
        <v>42.170999995732046</v>
      </c>
      <c r="Q19" s="71">
        <v>41.516439416986387</v>
      </c>
      <c r="R19" s="71">
        <v>41.313068638798235</v>
      </c>
      <c r="S19" s="71">
        <v>41.706955597420631</v>
      </c>
      <c r="T19" s="71">
        <v>42.057783111196279</v>
      </c>
      <c r="U19" s="71">
        <v>42.045376299604627</v>
      </c>
      <c r="V19" s="71">
        <v>41.728983036432346</v>
      </c>
      <c r="W19" s="71">
        <v>41.57252355103612</v>
      </c>
      <c r="X19" s="71">
        <v>41.596508569733317</v>
      </c>
      <c r="Y19" s="71">
        <v>41.675470725797126</v>
      </c>
      <c r="Z19" s="71">
        <v>41.948503691597196</v>
      </c>
      <c r="AA19" s="71">
        <v>42.324475831171441</v>
      </c>
      <c r="AB19" s="71">
        <v>42.297447197342244</v>
      </c>
      <c r="AC19" s="71">
        <v>42.365127542948805</v>
      </c>
      <c r="AD19" s="71">
        <v>42.823471183719207</v>
      </c>
      <c r="AE19" s="71">
        <v>42.866196978777147</v>
      </c>
      <c r="AF19" s="71">
        <v>43.076229392661723</v>
      </c>
      <c r="AG19" s="71">
        <v>43.066439936735343</v>
      </c>
      <c r="AH19" s="71">
        <v>42.758420363082287</v>
      </c>
      <c r="AI19" s="71">
        <v>42.482765179521884</v>
      </c>
      <c r="AJ19" s="71">
        <v>42.561497120146889</v>
      </c>
      <c r="AK19" s="71">
        <v>42.560540441026433</v>
      </c>
      <c r="AL19" s="71">
        <v>42.251184703051294</v>
      </c>
      <c r="AM19" s="71">
        <v>41.954758993989401</v>
      </c>
    </row>
    <row r="20" spans="1:39" s="19" customFormat="1" ht="17.100000000000001" customHeight="1" x14ac:dyDescent="0.2">
      <c r="A20" s="38" t="s">
        <v>64</v>
      </c>
      <c r="B20" s="33">
        <v>8.40139103122001</v>
      </c>
      <c r="C20" s="33">
        <v>8.8693194653436063</v>
      </c>
      <c r="D20" s="33">
        <v>9.2368748168194674</v>
      </c>
      <c r="E20" s="33">
        <v>9.2583167356958835</v>
      </c>
      <c r="F20" s="33">
        <v>9.1244094353433347</v>
      </c>
      <c r="G20" s="33">
        <v>9.1265956115225784</v>
      </c>
      <c r="H20" s="33">
        <v>9.0460929694402985</v>
      </c>
      <c r="I20" s="33">
        <v>9.1110940273754402</v>
      </c>
      <c r="J20" s="67">
        <v>9.0126673870693104</v>
      </c>
      <c r="K20" s="67">
        <v>8.7729385073809691</v>
      </c>
      <c r="L20" s="67">
        <v>8.5572348599702099</v>
      </c>
      <c r="M20" s="67">
        <v>8.4673697180817467</v>
      </c>
      <c r="N20" s="67">
        <v>8.4433414099677631</v>
      </c>
      <c r="O20" s="67">
        <v>8.374999397227727</v>
      </c>
      <c r="P20" s="67">
        <v>8.2064112364355797</v>
      </c>
      <c r="Q20" s="67">
        <v>8.0071649071961648</v>
      </c>
      <c r="R20" s="67">
        <v>7.9516208906339854</v>
      </c>
      <c r="S20" s="67">
        <v>8.026418342915921</v>
      </c>
      <c r="T20" s="67">
        <v>7.9157991537636914</v>
      </c>
      <c r="U20" s="67">
        <v>7.6915209591739488</v>
      </c>
      <c r="V20" s="67">
        <v>7.7202582949931111</v>
      </c>
      <c r="W20" s="67">
        <v>8.1457762915868717</v>
      </c>
      <c r="X20" s="67">
        <v>8.7083884088387506</v>
      </c>
      <c r="Y20" s="67">
        <v>8.9729076522393729</v>
      </c>
      <c r="Z20" s="67">
        <v>8.8314450686737089</v>
      </c>
      <c r="AA20" s="67">
        <v>8.8345097263603822</v>
      </c>
      <c r="AB20" s="67">
        <v>9.223933945112476</v>
      </c>
      <c r="AC20" s="67">
        <v>9.7230275438386062</v>
      </c>
      <c r="AD20" s="67">
        <v>9.8618153532059143</v>
      </c>
      <c r="AE20" s="67">
        <v>9.6922308148720582</v>
      </c>
      <c r="AF20" s="67">
        <v>9.3370343916250604</v>
      </c>
      <c r="AG20" s="67">
        <v>9.3114024835226203</v>
      </c>
      <c r="AH20" s="67">
        <v>9.5131698462497649</v>
      </c>
      <c r="AI20" s="67">
        <v>9.528481615160409</v>
      </c>
      <c r="AJ20" s="67">
        <v>9.4366590059866322</v>
      </c>
      <c r="AK20" s="67">
        <v>9.4242760020651151</v>
      </c>
      <c r="AL20" s="67">
        <v>9.8871973527474228</v>
      </c>
      <c r="AM20" s="67">
        <v>10.503149267375338</v>
      </c>
    </row>
    <row r="21" spans="1:39" s="19" customFormat="1" ht="17.100000000000001" customHeight="1" x14ac:dyDescent="0.2">
      <c r="A21" s="38" t="s">
        <v>65</v>
      </c>
      <c r="B21" s="33">
        <v>3.3525533410313453</v>
      </c>
      <c r="C21" s="33">
        <v>3.3152525094223755</v>
      </c>
      <c r="D21" s="33">
        <v>3.3199100603912686</v>
      </c>
      <c r="E21" s="33">
        <v>3.383109944849314</v>
      </c>
      <c r="F21" s="33">
        <v>3.4436849998553316</v>
      </c>
      <c r="G21" s="33">
        <v>3.4663393071114394</v>
      </c>
      <c r="H21" s="33">
        <v>3.4009711356205918</v>
      </c>
      <c r="I21" s="33">
        <v>3.4114574320978974</v>
      </c>
      <c r="J21" s="67">
        <v>3.3623654808660688</v>
      </c>
      <c r="K21" s="67">
        <v>3.3251178549283269</v>
      </c>
      <c r="L21" s="67">
        <v>3.3867263723044059</v>
      </c>
      <c r="M21" s="67">
        <v>3.547301173200875</v>
      </c>
      <c r="N21" s="67">
        <v>3.5734262478402159</v>
      </c>
      <c r="O21" s="67">
        <v>3.4323709742187578</v>
      </c>
      <c r="P21" s="67">
        <v>3.2321026682732485</v>
      </c>
      <c r="Q21" s="67">
        <v>3.1244058592531396</v>
      </c>
      <c r="R21" s="67">
        <v>3.1301831000857891</v>
      </c>
      <c r="S21" s="67">
        <v>3.1217161849003436</v>
      </c>
      <c r="T21" s="67">
        <v>3.0666612745025015</v>
      </c>
      <c r="U21" s="67">
        <v>3.082732967132241</v>
      </c>
      <c r="V21" s="67">
        <v>3.1704883062346512</v>
      </c>
      <c r="W21" s="67">
        <v>3.1824401624540983</v>
      </c>
      <c r="X21" s="67">
        <v>3.1542646993851058</v>
      </c>
      <c r="Y21" s="67">
        <v>3.1579496649632359</v>
      </c>
      <c r="Z21" s="67">
        <v>3.3145127656538027</v>
      </c>
      <c r="AA21" s="67">
        <v>3.5443121485071538</v>
      </c>
      <c r="AB21" s="67">
        <v>3.6204339255521081</v>
      </c>
      <c r="AC21" s="67">
        <v>3.5501904316903699</v>
      </c>
      <c r="AD21" s="67">
        <v>3.5153733124318376</v>
      </c>
      <c r="AE21" s="67">
        <v>3.6551046562806637</v>
      </c>
      <c r="AF21" s="67">
        <v>3.8007412619829797</v>
      </c>
      <c r="AG21" s="67">
        <v>3.8821870374731482</v>
      </c>
      <c r="AH21" s="67">
        <v>3.8624998856739525</v>
      </c>
      <c r="AI21" s="67">
        <v>3.8517932428953037</v>
      </c>
      <c r="AJ21" s="67">
        <v>3.8863568773831672</v>
      </c>
      <c r="AK21" s="67">
        <v>3.8458824613719509</v>
      </c>
      <c r="AL21" s="67">
        <v>3.6961908855981136</v>
      </c>
      <c r="AM21" s="67">
        <v>3.5659681041389426</v>
      </c>
    </row>
    <row r="22" spans="1:39" s="19" customFormat="1" ht="17.100000000000001" customHeight="1" x14ac:dyDescent="0.2">
      <c r="A22" s="38" t="s">
        <v>66</v>
      </c>
      <c r="B22" s="33">
        <v>2.8126006551659222</v>
      </c>
      <c r="C22" s="33">
        <v>2.9010920048709194</v>
      </c>
      <c r="D22" s="33">
        <v>2.9912483633997438</v>
      </c>
      <c r="E22" s="33">
        <v>3.1263740478955726</v>
      </c>
      <c r="F22" s="33">
        <v>3.2046350610699639</v>
      </c>
      <c r="G22" s="33">
        <v>3.1515589697746433</v>
      </c>
      <c r="H22" s="33">
        <v>2.9755825013122945</v>
      </c>
      <c r="I22" s="33">
        <v>2.9177244366494048</v>
      </c>
      <c r="J22" s="67">
        <v>2.8919403502184862</v>
      </c>
      <c r="K22" s="67">
        <v>2.8696481769156446</v>
      </c>
      <c r="L22" s="67">
        <v>2.8338464160577077</v>
      </c>
      <c r="M22" s="67">
        <v>2.9027853292702956</v>
      </c>
      <c r="N22" s="67">
        <v>3.0058113099104875</v>
      </c>
      <c r="O22" s="67">
        <v>2.9775576368379264</v>
      </c>
      <c r="P22" s="67">
        <v>2.7855376071185485</v>
      </c>
      <c r="Q22" s="67">
        <v>2.5158309213713341</v>
      </c>
      <c r="R22" s="67">
        <v>2.2912764719259253</v>
      </c>
      <c r="S22" s="67">
        <v>2.290276437341896</v>
      </c>
      <c r="T22" s="67">
        <v>2.3970832231206778</v>
      </c>
      <c r="U22" s="67">
        <v>2.3655737378160331</v>
      </c>
      <c r="V22" s="67">
        <v>2.2691470781894973</v>
      </c>
      <c r="W22" s="67">
        <v>2.197176889183595</v>
      </c>
      <c r="X22" s="67">
        <v>2.079144042972652</v>
      </c>
      <c r="Y22" s="67">
        <v>1.971477773297851</v>
      </c>
      <c r="Z22" s="67">
        <v>2.0533867039020248</v>
      </c>
      <c r="AA22" s="67">
        <v>2.1648615467002235</v>
      </c>
      <c r="AB22" s="67">
        <v>2.2087912507707079</v>
      </c>
      <c r="AC22" s="67">
        <v>2.238269299864553</v>
      </c>
      <c r="AD22" s="67">
        <v>2.19148443896797</v>
      </c>
      <c r="AE22" s="67">
        <v>2.1481421006504164</v>
      </c>
      <c r="AF22" s="67">
        <v>2.3383041094484081</v>
      </c>
      <c r="AG22" s="67">
        <v>2.5160397766159548</v>
      </c>
      <c r="AH22" s="67">
        <v>2.4804493967380581</v>
      </c>
      <c r="AI22" s="67">
        <v>2.4569491077831676</v>
      </c>
      <c r="AJ22" s="67">
        <v>2.4492801076994031</v>
      </c>
      <c r="AK22" s="67">
        <v>2.4861522560834084</v>
      </c>
      <c r="AL22" s="67">
        <v>2.6159389008941059</v>
      </c>
      <c r="AM22" s="67">
        <v>2.7628629757067382</v>
      </c>
    </row>
    <row r="23" spans="1:39" s="19" customFormat="1" ht="17.100000000000001" customHeight="1" x14ac:dyDescent="0.2">
      <c r="A23" s="38" t="s">
        <v>67</v>
      </c>
      <c r="B23" s="33">
        <v>2.1476075103046584</v>
      </c>
      <c r="C23" s="33">
        <v>2.0433874729700685</v>
      </c>
      <c r="D23" s="33">
        <v>1.8998594867026917</v>
      </c>
      <c r="E23" s="33">
        <v>1.7426978752853861</v>
      </c>
      <c r="F23" s="33">
        <v>1.6063000797440035</v>
      </c>
      <c r="G23" s="33">
        <v>1.5906611642348361</v>
      </c>
      <c r="H23" s="33">
        <v>1.6375532899903695</v>
      </c>
      <c r="I23" s="33">
        <v>1.7094716086269224</v>
      </c>
      <c r="J23" s="67">
        <v>1.7509118414054701</v>
      </c>
      <c r="K23" s="67">
        <v>1.790861976926716</v>
      </c>
      <c r="L23" s="67">
        <v>1.8277955628527791</v>
      </c>
      <c r="M23" s="67">
        <v>1.8623625010238496</v>
      </c>
      <c r="N23" s="67">
        <v>1.8970083859784075</v>
      </c>
      <c r="O23" s="67">
        <v>1.8594433601105558</v>
      </c>
      <c r="P23" s="67">
        <v>1.741283311357797</v>
      </c>
      <c r="Q23" s="67">
        <v>1.6626189119459562</v>
      </c>
      <c r="R23" s="67">
        <v>1.6760298542845251</v>
      </c>
      <c r="S23" s="67">
        <v>1.7604053899660139</v>
      </c>
      <c r="T23" s="67">
        <v>1.8669340310886426</v>
      </c>
      <c r="U23" s="67">
        <v>1.8943598680959548</v>
      </c>
      <c r="V23" s="67">
        <v>1.7951358827954809</v>
      </c>
      <c r="W23" s="67">
        <v>1.7085785262385258</v>
      </c>
      <c r="X23" s="67">
        <v>1.6752462753482338</v>
      </c>
      <c r="Y23" s="67">
        <v>1.5761475035737802</v>
      </c>
      <c r="Z23" s="67">
        <v>1.4190086031689448</v>
      </c>
      <c r="AA23" s="67">
        <v>1.386514001394112</v>
      </c>
      <c r="AB23" s="67">
        <v>1.5434645769405644</v>
      </c>
      <c r="AC23" s="67">
        <v>1.787786755395768</v>
      </c>
      <c r="AD23" s="67">
        <v>2.2339593602897607</v>
      </c>
      <c r="AE23" s="67">
        <v>2.3198810846488542</v>
      </c>
      <c r="AF23" s="67">
        <v>2.261763437454845</v>
      </c>
      <c r="AG23" s="67">
        <v>2.2173969102989473</v>
      </c>
      <c r="AH23" s="67">
        <v>2.2181043635079289</v>
      </c>
      <c r="AI23" s="67">
        <v>2.1777199601891</v>
      </c>
      <c r="AJ23" s="67">
        <v>2.0806130986654665</v>
      </c>
      <c r="AK23" s="67">
        <v>1.9648575949006348</v>
      </c>
      <c r="AL23" s="67">
        <v>1.8569981354161311</v>
      </c>
      <c r="AM23" s="67">
        <v>1.7730582066150149</v>
      </c>
    </row>
    <row r="24" spans="1:39" s="19" customFormat="1" ht="17.100000000000001" customHeight="1" x14ac:dyDescent="0.2">
      <c r="A24" s="38" t="s">
        <v>68</v>
      </c>
      <c r="B24" s="33">
        <v>2.6398703894477191</v>
      </c>
      <c r="C24" s="33">
        <v>2.5555839319665696</v>
      </c>
      <c r="D24" s="33">
        <v>2.6075965069360549</v>
      </c>
      <c r="E24" s="33">
        <v>2.6621274966640467</v>
      </c>
      <c r="F24" s="33">
        <v>2.6713350083926946</v>
      </c>
      <c r="G24" s="33">
        <v>2.6362606779448141</v>
      </c>
      <c r="H24" s="33">
        <v>2.5144497947419917</v>
      </c>
      <c r="I24" s="33">
        <v>2.4100842940281777</v>
      </c>
      <c r="J24" s="67">
        <v>2.3819145853133921</v>
      </c>
      <c r="K24" s="67">
        <v>2.4702314252149637</v>
      </c>
      <c r="L24" s="67">
        <v>2.7017289979256542</v>
      </c>
      <c r="M24" s="67">
        <v>2.8901947451890142</v>
      </c>
      <c r="N24" s="67">
        <v>2.9892478748013747</v>
      </c>
      <c r="O24" s="67">
        <v>2.9037430228596155</v>
      </c>
      <c r="P24" s="67">
        <v>2.8171089589206799</v>
      </c>
      <c r="Q24" s="67">
        <v>2.892531605973069</v>
      </c>
      <c r="R24" s="67">
        <v>2.9097387324123996</v>
      </c>
      <c r="S24" s="67">
        <v>2.8165850333228595</v>
      </c>
      <c r="T24" s="67">
        <v>2.7369998128989472</v>
      </c>
      <c r="U24" s="67">
        <v>2.7645504850445906</v>
      </c>
      <c r="V24" s="67">
        <v>2.7349005764644949</v>
      </c>
      <c r="W24" s="67">
        <v>2.8148004145509411</v>
      </c>
      <c r="X24" s="67">
        <v>2.8951718019158097</v>
      </c>
      <c r="Y24" s="67">
        <v>2.9120162369274882</v>
      </c>
      <c r="Z24" s="67">
        <v>3.0021735400505336</v>
      </c>
      <c r="AA24" s="67">
        <v>3.1420918677172671</v>
      </c>
      <c r="AB24" s="67">
        <v>3.0855062017130566</v>
      </c>
      <c r="AC24" s="67">
        <v>2.8880422927744496</v>
      </c>
      <c r="AD24" s="67">
        <v>2.8013962215879333</v>
      </c>
      <c r="AE24" s="67">
        <v>2.7500050064941743</v>
      </c>
      <c r="AF24" s="67">
        <v>2.7185993466907155</v>
      </c>
      <c r="AG24" s="67">
        <v>2.7349188694169189</v>
      </c>
      <c r="AH24" s="67">
        <v>2.7341493333664579</v>
      </c>
      <c r="AI24" s="67">
        <v>2.6384564044887862</v>
      </c>
      <c r="AJ24" s="67">
        <v>2.6054724633288222</v>
      </c>
      <c r="AK24" s="67">
        <v>2.7160421878566305</v>
      </c>
      <c r="AL24" s="67">
        <v>2.7267203933438711</v>
      </c>
      <c r="AM24" s="67">
        <v>2.6523567027193136</v>
      </c>
    </row>
    <row r="25" spans="1:39" s="19" customFormat="1" ht="17.100000000000001" customHeight="1" x14ac:dyDescent="0.2">
      <c r="A25" s="38" t="s">
        <v>20</v>
      </c>
      <c r="B25" s="33">
        <v>6.1382889205495079</v>
      </c>
      <c r="C25" s="33">
        <v>5.9577927594923157</v>
      </c>
      <c r="D25" s="33">
        <v>5.903571829590013</v>
      </c>
      <c r="E25" s="33">
        <v>5.9965962554306556</v>
      </c>
      <c r="F25" s="33">
        <v>6.1824137999740163</v>
      </c>
      <c r="G25" s="33">
        <v>6.2993285579422515</v>
      </c>
      <c r="H25" s="33">
        <v>6.1470934647557351</v>
      </c>
      <c r="I25" s="33">
        <v>6.1549440226232575</v>
      </c>
      <c r="J25" s="67">
        <v>6.2564638747619794</v>
      </c>
      <c r="K25" s="67">
        <v>6.3205844207392667</v>
      </c>
      <c r="L25" s="67">
        <v>6.2529867594363759</v>
      </c>
      <c r="M25" s="67">
        <v>6.1341162733939578</v>
      </c>
      <c r="N25" s="67">
        <v>6.0480690209582617</v>
      </c>
      <c r="O25" s="67">
        <v>6.131046237080354</v>
      </c>
      <c r="P25" s="67">
        <v>6.338102757586153</v>
      </c>
      <c r="Q25" s="67">
        <v>6.4383410044743554</v>
      </c>
      <c r="R25" s="67">
        <v>6.3451275328528496</v>
      </c>
      <c r="S25" s="67">
        <v>6.2388934752632235</v>
      </c>
      <c r="T25" s="67">
        <v>6.2323325892016825</v>
      </c>
      <c r="U25" s="67">
        <v>6.3168023260141997</v>
      </c>
      <c r="V25" s="67">
        <v>6.367916118602662</v>
      </c>
      <c r="W25" s="67">
        <v>6.2878036418850343</v>
      </c>
      <c r="X25" s="67">
        <v>6.1928779268367231</v>
      </c>
      <c r="Y25" s="67">
        <v>6.1614117927599983</v>
      </c>
      <c r="Z25" s="67">
        <v>6.1591763049566337</v>
      </c>
      <c r="AA25" s="67">
        <v>6.1396192487222434</v>
      </c>
      <c r="AB25" s="67">
        <v>6.0514037266873224</v>
      </c>
      <c r="AC25" s="67">
        <v>5.9967983749801013</v>
      </c>
      <c r="AD25" s="67">
        <v>5.9933722237049611</v>
      </c>
      <c r="AE25" s="67">
        <v>6.0619171484711343</v>
      </c>
      <c r="AF25" s="67">
        <v>5.9981606689343199</v>
      </c>
      <c r="AG25" s="67">
        <v>5.8663019309553404</v>
      </c>
      <c r="AH25" s="67">
        <v>5.7593820032483034</v>
      </c>
      <c r="AI25" s="67">
        <v>5.720010730707755</v>
      </c>
      <c r="AJ25" s="67">
        <v>5.7451733750106602</v>
      </c>
      <c r="AK25" s="67">
        <v>5.7678447913530846</v>
      </c>
      <c r="AL25" s="67">
        <v>5.638211872763244</v>
      </c>
      <c r="AM25" s="67">
        <v>5.4463925354048435</v>
      </c>
    </row>
    <row r="26" spans="1:39" s="19" customFormat="1" ht="17.100000000000001" customHeight="1" x14ac:dyDescent="0.2">
      <c r="A26" s="38" t="s">
        <v>70</v>
      </c>
      <c r="B26" s="33">
        <v>2.4473229115129111</v>
      </c>
      <c r="C26" s="33">
        <v>2.1726481306806633</v>
      </c>
      <c r="D26" s="33">
        <v>1.9807061137948834</v>
      </c>
      <c r="E26" s="33">
        <v>2.0378879853791623</v>
      </c>
      <c r="F26" s="33">
        <v>2.1695879767762638</v>
      </c>
      <c r="G26" s="33">
        <v>2.1942301830370345</v>
      </c>
      <c r="H26" s="33">
        <v>2.136204925671072</v>
      </c>
      <c r="I26" s="33">
        <v>2.1239299929905942</v>
      </c>
      <c r="J26" s="67">
        <v>1.9804770493324317</v>
      </c>
      <c r="K26" s="67">
        <v>1.8886115716000451</v>
      </c>
      <c r="L26" s="67">
        <v>2.0618988222284864</v>
      </c>
      <c r="M26" s="67">
        <v>2.3616879020402144</v>
      </c>
      <c r="N26" s="67">
        <v>2.442632368352764</v>
      </c>
      <c r="O26" s="67">
        <v>2.2144945360921242</v>
      </c>
      <c r="P26" s="67">
        <v>1.8812167225643506</v>
      </c>
      <c r="Q26" s="67">
        <v>1.7068365379468649</v>
      </c>
      <c r="R26" s="67">
        <v>1.7743312433833374</v>
      </c>
      <c r="S26" s="67">
        <v>1.9800447862039674</v>
      </c>
      <c r="T26" s="67">
        <v>2.1034494046029506</v>
      </c>
      <c r="U26" s="67">
        <v>2.1557050837520895</v>
      </c>
      <c r="V26" s="67">
        <v>2.1404960209741826</v>
      </c>
      <c r="W26" s="67">
        <v>1.955577310370159</v>
      </c>
      <c r="X26" s="67">
        <v>1.7400340339704068</v>
      </c>
      <c r="Y26" s="67">
        <v>1.7990704363965895</v>
      </c>
      <c r="Z26" s="67">
        <v>2.0577535036063779</v>
      </c>
      <c r="AA26" s="67">
        <v>2.2031899120858798</v>
      </c>
      <c r="AB26" s="67">
        <v>2.0939694629433649</v>
      </c>
      <c r="AC26" s="67">
        <v>1.8706722944943406</v>
      </c>
      <c r="AD26" s="67">
        <v>1.7803893938609465</v>
      </c>
      <c r="AE26" s="67">
        <v>1.9350474716014567</v>
      </c>
      <c r="AF26" s="67">
        <v>2.0830896567246091</v>
      </c>
      <c r="AG26" s="67">
        <v>2.0522739628894739</v>
      </c>
      <c r="AH26" s="67">
        <v>1.9988864511660764</v>
      </c>
      <c r="AI26" s="67">
        <v>2.0897119001256703</v>
      </c>
      <c r="AJ26" s="67">
        <v>2.2478093034445572</v>
      </c>
      <c r="AK26" s="67">
        <v>2.200268692738069</v>
      </c>
      <c r="AL26" s="67">
        <v>1.8664061147938087</v>
      </c>
      <c r="AM26" s="67">
        <v>1.4998876594632198</v>
      </c>
    </row>
    <row r="27" spans="1:39" s="19" customFormat="1" ht="17.100000000000001" customHeight="1" x14ac:dyDescent="0.2">
      <c r="A27" s="38" t="s">
        <v>74</v>
      </c>
      <c r="B27" s="33">
        <v>1.7050655729823605</v>
      </c>
      <c r="C27" s="33">
        <v>1.7586439435443664</v>
      </c>
      <c r="D27" s="33">
        <v>1.7683970828286846</v>
      </c>
      <c r="E27" s="33">
        <v>1.7504210526640811</v>
      </c>
      <c r="F27" s="33">
        <v>1.7085105267736982</v>
      </c>
      <c r="G27" s="33">
        <v>1.6794720118210396</v>
      </c>
      <c r="H27" s="33">
        <v>1.6526046593766905</v>
      </c>
      <c r="I27" s="33">
        <v>1.6822037836369681</v>
      </c>
      <c r="J27" s="67">
        <v>1.7214510871888071</v>
      </c>
      <c r="K27" s="67">
        <v>1.7735719510735479</v>
      </c>
      <c r="L27" s="67">
        <v>1.825921828704494</v>
      </c>
      <c r="M27" s="67">
        <v>1.8510381696347464</v>
      </c>
      <c r="N27" s="67">
        <v>1.8321179572363007</v>
      </c>
      <c r="O27" s="67">
        <v>1.7887944540532066</v>
      </c>
      <c r="P27" s="67">
        <v>1.7622753591510751</v>
      </c>
      <c r="Q27" s="67">
        <v>1.7904784492220118</v>
      </c>
      <c r="R27" s="67">
        <v>1.8586435050877512</v>
      </c>
      <c r="S27" s="67">
        <v>1.9178094871788867</v>
      </c>
      <c r="T27" s="67">
        <v>1.9404342891842903</v>
      </c>
      <c r="U27" s="67">
        <v>1.9545148798162166</v>
      </c>
      <c r="V27" s="67">
        <v>1.9667262444131659</v>
      </c>
      <c r="W27" s="67">
        <v>1.9471190292454059</v>
      </c>
      <c r="X27" s="67">
        <v>1.9210242318728328</v>
      </c>
      <c r="Y27" s="67">
        <v>1.9413225377931769</v>
      </c>
      <c r="Z27" s="67">
        <v>2.0007539307069746</v>
      </c>
      <c r="AA27" s="67">
        <v>2.0543814940643235</v>
      </c>
      <c r="AB27" s="67">
        <v>2.0553631015127074</v>
      </c>
      <c r="AC27" s="67">
        <v>2.0302082875350393</v>
      </c>
      <c r="AD27" s="67">
        <v>2.0194275190830036</v>
      </c>
      <c r="AE27" s="67">
        <v>2.0524560670436065</v>
      </c>
      <c r="AF27" s="67">
        <v>2.0366779097769196</v>
      </c>
      <c r="AG27" s="67">
        <v>1.9714294621025099</v>
      </c>
      <c r="AH27" s="67">
        <v>1.8960648406561489</v>
      </c>
      <c r="AI27" s="67">
        <v>1.8672447636409617</v>
      </c>
      <c r="AJ27" s="67">
        <v>1.894777907943531</v>
      </c>
      <c r="AK27" s="67">
        <v>1.901757319195529</v>
      </c>
      <c r="AL27" s="67">
        <v>1.8097608785280563</v>
      </c>
      <c r="AM27" s="67">
        <v>1.6897672298351276</v>
      </c>
    </row>
    <row r="28" spans="1:39" s="19" customFormat="1" ht="17.100000000000001" customHeight="1" x14ac:dyDescent="0.2">
      <c r="A28" s="38" t="s">
        <v>23</v>
      </c>
      <c r="B28" s="33">
        <v>2.3791033515198383</v>
      </c>
      <c r="C28" s="33">
        <v>2.3923188960415351</v>
      </c>
      <c r="D28" s="33">
        <v>2.475935309648245</v>
      </c>
      <c r="E28" s="33">
        <v>2.605616166196552</v>
      </c>
      <c r="F28" s="33">
        <v>2.6797902923513202</v>
      </c>
      <c r="G28" s="33">
        <v>2.6527693699589263</v>
      </c>
      <c r="H28" s="33">
        <v>2.4920121906663777</v>
      </c>
      <c r="I28" s="33">
        <v>2.3998121045200222</v>
      </c>
      <c r="J28" s="67">
        <v>2.3744851713482564</v>
      </c>
      <c r="K28" s="67">
        <v>2.3976462115874222</v>
      </c>
      <c r="L28" s="67">
        <v>2.4493426769304381</v>
      </c>
      <c r="M28" s="67">
        <v>2.5298694872492105</v>
      </c>
      <c r="N28" s="67">
        <v>2.6015651212263928</v>
      </c>
      <c r="O28" s="67">
        <v>2.6632523692079073</v>
      </c>
      <c r="P28" s="67">
        <v>2.7384295135420804</v>
      </c>
      <c r="Q28" s="67">
        <v>2.8383592439197121</v>
      </c>
      <c r="R28" s="67">
        <v>2.9348343757321436</v>
      </c>
      <c r="S28" s="67">
        <v>3.0354655769560819</v>
      </c>
      <c r="T28" s="67">
        <v>3.1099517431415844</v>
      </c>
      <c r="U28" s="67">
        <v>3.1030507813328647</v>
      </c>
      <c r="V28" s="67">
        <v>2.9972300459902392</v>
      </c>
      <c r="W28" s="67">
        <v>2.9323915841547272</v>
      </c>
      <c r="X28" s="67">
        <v>2.8682700324135721</v>
      </c>
      <c r="Y28" s="67">
        <v>2.9440731289321032</v>
      </c>
      <c r="Z28" s="67">
        <v>3.0491495305619014</v>
      </c>
      <c r="AA28" s="67">
        <v>2.9572868130495187</v>
      </c>
      <c r="AB28" s="67">
        <v>2.6897978888916061</v>
      </c>
      <c r="AC28" s="67">
        <v>2.5913154081682146</v>
      </c>
      <c r="AD28" s="67">
        <v>2.6453821082841769</v>
      </c>
      <c r="AE28" s="67">
        <v>2.7734321318403508</v>
      </c>
      <c r="AF28" s="67">
        <v>2.8725362858855119</v>
      </c>
      <c r="AG28" s="67">
        <v>2.7958943264516658</v>
      </c>
      <c r="AH28" s="67">
        <v>2.6679247573500722</v>
      </c>
      <c r="AI28" s="67">
        <v>2.7013129318023723</v>
      </c>
      <c r="AJ28" s="67">
        <v>2.7897356420650037</v>
      </c>
      <c r="AK28" s="67">
        <v>2.6729881699894191</v>
      </c>
      <c r="AL28" s="67">
        <v>2.5973883177701209</v>
      </c>
      <c r="AM28" s="67">
        <v>2.6435415470746935</v>
      </c>
    </row>
    <row r="29" spans="1:39" s="19" customFormat="1" ht="17.100000000000001" customHeight="1" x14ac:dyDescent="0.2">
      <c r="A29" s="38" t="s">
        <v>24</v>
      </c>
      <c r="B29" s="33">
        <v>4.5573580579204398</v>
      </c>
      <c r="C29" s="33">
        <v>4.3978298662380375</v>
      </c>
      <c r="D29" s="33">
        <v>4.2984158765174367</v>
      </c>
      <c r="E29" s="33">
        <v>4.3392810867586888</v>
      </c>
      <c r="F29" s="33">
        <v>4.4455624270370073</v>
      </c>
      <c r="G29" s="33">
        <v>4.5083322947245694</v>
      </c>
      <c r="H29" s="33">
        <v>4.3780475356661377</v>
      </c>
      <c r="I29" s="33">
        <v>4.3619568895615055</v>
      </c>
      <c r="J29" s="67">
        <v>4.4560923937790635</v>
      </c>
      <c r="K29" s="67">
        <v>4.5044492570133441</v>
      </c>
      <c r="L29" s="67">
        <v>4.3541857471713712</v>
      </c>
      <c r="M29" s="67">
        <v>4.1098075216650276</v>
      </c>
      <c r="N29" s="67">
        <v>4.0331438644422857</v>
      </c>
      <c r="O29" s="67">
        <v>4.1314105500316298</v>
      </c>
      <c r="P29" s="67">
        <v>4.1199543787524613</v>
      </c>
      <c r="Q29" s="67">
        <v>3.863014955349565</v>
      </c>
      <c r="R29" s="67">
        <v>3.6877646938346031</v>
      </c>
      <c r="S29" s="67">
        <v>3.7654463480745552</v>
      </c>
      <c r="T29" s="67">
        <v>3.9206587547014164</v>
      </c>
      <c r="U29" s="67">
        <v>3.9187967977357028</v>
      </c>
      <c r="V29" s="67">
        <v>3.7588592010728292</v>
      </c>
      <c r="W29" s="67">
        <v>3.6685689090499509</v>
      </c>
      <c r="X29" s="67">
        <v>3.7778954708105994</v>
      </c>
      <c r="Y29" s="67">
        <v>3.8248126013164461</v>
      </c>
      <c r="Z29" s="67">
        <v>3.7091286999031601</v>
      </c>
      <c r="AA29" s="67">
        <v>3.5798388797791603</v>
      </c>
      <c r="AB29" s="67">
        <v>3.5888367216304702</v>
      </c>
      <c r="AC29" s="67">
        <v>3.7532022574318367</v>
      </c>
      <c r="AD29" s="67">
        <v>3.903143918032244</v>
      </c>
      <c r="AE29" s="67">
        <v>3.4892409916560516</v>
      </c>
      <c r="AF29" s="67">
        <v>3.5551777468345183</v>
      </c>
      <c r="AG29" s="67">
        <v>3.5992135933212843</v>
      </c>
      <c r="AH29" s="67">
        <v>3.5762056344095807</v>
      </c>
      <c r="AI29" s="67">
        <v>3.5290196032354308</v>
      </c>
      <c r="AJ29" s="67">
        <v>3.5693701466955581</v>
      </c>
      <c r="AK29" s="67">
        <v>3.7548828634710798</v>
      </c>
      <c r="AL29" s="67">
        <v>3.863723535802611</v>
      </c>
      <c r="AM29" s="67">
        <v>3.8959159563116095</v>
      </c>
    </row>
    <row r="30" spans="1:39" s="19" customFormat="1" ht="17.100000000000001" customHeight="1" x14ac:dyDescent="0.2">
      <c r="A30" s="38" t="s">
        <v>71</v>
      </c>
      <c r="B30" s="33">
        <v>3.0722280772798776</v>
      </c>
      <c r="C30" s="33">
        <v>2.9795881619144744</v>
      </c>
      <c r="D30" s="33">
        <v>2.9992158836729952</v>
      </c>
      <c r="E30" s="33">
        <v>3.1642970605948202</v>
      </c>
      <c r="F30" s="33">
        <v>3.3350647561541407</v>
      </c>
      <c r="G30" s="33">
        <v>3.4215196248533295</v>
      </c>
      <c r="H30" s="33">
        <v>3.3073272675081014</v>
      </c>
      <c r="I30" s="33">
        <v>3.2970727858025475</v>
      </c>
      <c r="J30" s="67">
        <v>3.3010997517855856</v>
      </c>
      <c r="K30" s="67">
        <v>3.2591353206804659</v>
      </c>
      <c r="L30" s="67">
        <v>3.1954161674451016</v>
      </c>
      <c r="M30" s="67">
        <v>3.217361171159784</v>
      </c>
      <c r="N30" s="67">
        <v>3.1904199032355773</v>
      </c>
      <c r="O30" s="67">
        <v>3.157816332109241</v>
      </c>
      <c r="P30" s="67">
        <v>3.2003503862799878</v>
      </c>
      <c r="Q30" s="67">
        <v>3.315466825501955</v>
      </c>
      <c r="R30" s="67">
        <v>3.3798238139518864</v>
      </c>
      <c r="S30" s="67">
        <v>3.3545252912490331</v>
      </c>
      <c r="T30" s="67">
        <v>3.3530448255441345</v>
      </c>
      <c r="U30" s="67">
        <v>3.4158701886091816</v>
      </c>
      <c r="V30" s="67">
        <v>3.5532364616553904</v>
      </c>
      <c r="W30" s="67">
        <v>3.6284434423123733</v>
      </c>
      <c r="X30" s="67">
        <v>3.5431203218543921</v>
      </c>
      <c r="Y30" s="67">
        <v>3.4339796792107413</v>
      </c>
      <c r="Z30" s="67">
        <v>3.4481285204623404</v>
      </c>
      <c r="AA30" s="67">
        <v>3.4554353488275567</v>
      </c>
      <c r="AB30" s="67">
        <v>3.3234540433669446</v>
      </c>
      <c r="AC30" s="67">
        <v>3.1382706195506453</v>
      </c>
      <c r="AD30" s="67">
        <v>3.0342700813824468</v>
      </c>
      <c r="AE30" s="67">
        <v>3.0744338767176504</v>
      </c>
      <c r="AF30" s="67">
        <v>3.1564117952496438</v>
      </c>
      <c r="AG30" s="67">
        <v>3.1871809480883666</v>
      </c>
      <c r="AH30" s="67">
        <v>3.1159350295387354</v>
      </c>
      <c r="AI30" s="67">
        <v>3.0183841826599265</v>
      </c>
      <c r="AJ30" s="67">
        <v>2.982678477828772</v>
      </c>
      <c r="AK30" s="67">
        <v>2.9632605176172269</v>
      </c>
      <c r="AL30" s="67">
        <v>2.937018155634453</v>
      </c>
      <c r="AM30" s="67">
        <v>2.9246921693251773</v>
      </c>
    </row>
    <row r="31" spans="1:39" s="19" customFormat="1" ht="17.100000000000001" customHeight="1" x14ac:dyDescent="0.2">
      <c r="A31" s="38" t="s">
        <v>72</v>
      </c>
      <c r="B31" s="33">
        <v>9.5160861740240368E-2</v>
      </c>
      <c r="C31" s="33">
        <v>9.852133152731489E-2</v>
      </c>
      <c r="D31" s="33">
        <v>0.11520863114320805</v>
      </c>
      <c r="E31" s="33">
        <v>0.14159326710755951</v>
      </c>
      <c r="F31" s="33">
        <v>0.16647032971905229</v>
      </c>
      <c r="G31" s="33">
        <v>0.18415092354048263</v>
      </c>
      <c r="H31" s="33">
        <v>0.19094376814071029</v>
      </c>
      <c r="I31" s="33">
        <v>0.19536117356315341</v>
      </c>
      <c r="J31" s="67">
        <v>0.19206375271032175</v>
      </c>
      <c r="K31" s="67">
        <v>0.18833283179726998</v>
      </c>
      <c r="L31" s="67">
        <v>0.18646460943806889</v>
      </c>
      <c r="M31" s="67">
        <v>0.18702523770571411</v>
      </c>
      <c r="N31" s="67">
        <v>0.18826996323137887</v>
      </c>
      <c r="O31" s="67">
        <v>0.19199731956363522</v>
      </c>
      <c r="P31" s="67">
        <v>0.17659031324892577</v>
      </c>
      <c r="Q31" s="67">
        <v>0.14767273381630003</v>
      </c>
      <c r="R31" s="67">
        <v>0.13967288826127877</v>
      </c>
      <c r="S31" s="67">
        <v>0.14920327376286419</v>
      </c>
      <c r="T31" s="67">
        <v>0.15884657443228406</v>
      </c>
      <c r="U31" s="67">
        <v>0.17020029827072689</v>
      </c>
      <c r="V31" s="67">
        <v>0.17245917492375193</v>
      </c>
      <c r="W31" s="67">
        <v>0.14622557541322478</v>
      </c>
      <c r="X31" s="67">
        <v>0.12704058784122227</v>
      </c>
      <c r="Y31" s="67">
        <v>0.11841365123673403</v>
      </c>
      <c r="Z31" s="67">
        <v>0.12580218435887616</v>
      </c>
      <c r="AA31" s="67">
        <v>0.13952660303926231</v>
      </c>
      <c r="AB31" s="67">
        <v>0.15847689897151906</v>
      </c>
      <c r="AC31" s="67">
        <v>0.16593801121622989</v>
      </c>
      <c r="AD31" s="67">
        <v>0.15692073584689034</v>
      </c>
      <c r="AE31" s="67">
        <v>0.15035313129399733</v>
      </c>
      <c r="AF31" s="67">
        <v>0.15453055682425734</v>
      </c>
      <c r="AG31" s="67">
        <v>0.16293025046587464</v>
      </c>
      <c r="AH31" s="67">
        <v>0.16173300809171787</v>
      </c>
      <c r="AI31" s="67">
        <v>0.16208396597218527</v>
      </c>
      <c r="AJ31" s="67">
        <v>0.15230091273700019</v>
      </c>
      <c r="AK31" s="67">
        <v>0.14795976589296467</v>
      </c>
      <c r="AL31" s="67">
        <v>0.14498119555010533</v>
      </c>
      <c r="AM31" s="67">
        <v>0.14430029232295311</v>
      </c>
    </row>
    <row r="32" spans="1:39" s="19" customFormat="1" ht="17.100000000000001" customHeight="1" x14ac:dyDescent="0.2">
      <c r="A32" s="38" t="s">
        <v>27</v>
      </c>
      <c r="B32" s="33">
        <v>2.8748976974647662</v>
      </c>
      <c r="C32" s="33">
        <v>2.802131420680217</v>
      </c>
      <c r="D32" s="33">
        <v>2.710354404726421</v>
      </c>
      <c r="E32" s="33">
        <v>2.6354708644204283</v>
      </c>
      <c r="F32" s="33">
        <v>2.5910528265168686</v>
      </c>
      <c r="G32" s="33">
        <v>2.543610066277247</v>
      </c>
      <c r="H32" s="33">
        <v>2.4012160842705796</v>
      </c>
      <c r="I32" s="33">
        <v>2.3420394620755713</v>
      </c>
      <c r="J32" s="67">
        <v>2.3320530633459606</v>
      </c>
      <c r="K32" s="67">
        <v>2.3215013911934412</v>
      </c>
      <c r="L32" s="67">
        <v>2.3429579914082002</v>
      </c>
      <c r="M32" s="67">
        <v>2.3844593385227282</v>
      </c>
      <c r="N32" s="67">
        <v>2.4004872646213848</v>
      </c>
      <c r="O32" s="67">
        <v>2.4047897442174366</v>
      </c>
      <c r="P32" s="67">
        <v>2.4307094413246726</v>
      </c>
      <c r="Q32" s="67">
        <v>2.458380187248983</v>
      </c>
      <c r="R32" s="67">
        <v>2.4781368026316395</v>
      </c>
      <c r="S32" s="67">
        <v>2.4997280269664102</v>
      </c>
      <c r="T32" s="67">
        <v>2.5085341586356931</v>
      </c>
      <c r="U32" s="67">
        <v>2.4644790688271057</v>
      </c>
      <c r="V32" s="67">
        <v>2.3423770583357921</v>
      </c>
      <c r="W32" s="67">
        <v>2.2358182151588264</v>
      </c>
      <c r="X32" s="67">
        <v>2.2028920022260658</v>
      </c>
      <c r="Y32" s="67">
        <v>2.1469188524205736</v>
      </c>
      <c r="Z32" s="67">
        <v>2.0547632021798372</v>
      </c>
      <c r="AA32" s="67">
        <v>1.9951982697832631</v>
      </c>
      <c r="AB32" s="67">
        <v>1.9394194221344339</v>
      </c>
      <c r="AC32" s="67">
        <v>1.9334678884532206</v>
      </c>
      <c r="AD32" s="67">
        <v>1.9975858328188434</v>
      </c>
      <c r="AE32" s="67">
        <v>2.0698297701662645</v>
      </c>
      <c r="AF32" s="67">
        <v>2.075271894061403</v>
      </c>
      <c r="AG32" s="67">
        <v>2.0925591296922446</v>
      </c>
      <c r="AH32" s="67">
        <v>2.1081734163849468</v>
      </c>
      <c r="AI32" s="67">
        <v>2.0839830698153117</v>
      </c>
      <c r="AJ32" s="67">
        <v>2.0647288719892765</v>
      </c>
      <c r="AK32" s="67">
        <v>2.0571499373314479</v>
      </c>
      <c r="AL32" s="67">
        <v>1.967283616701816</v>
      </c>
      <c r="AM32" s="67">
        <v>1.8291479578160696</v>
      </c>
    </row>
    <row r="33" spans="1:39" s="19" customFormat="1" ht="17.100000000000001" customHeight="1" x14ac:dyDescent="0.2">
      <c r="A33" s="38" t="s">
        <v>69</v>
      </c>
      <c r="B33" s="33">
        <v>0.83573690555917568</v>
      </c>
      <c r="C33" s="33">
        <v>0.82111826121059428</v>
      </c>
      <c r="D33" s="33">
        <v>0.81131613607110742</v>
      </c>
      <c r="E33" s="33">
        <v>0.81255772426762729</v>
      </c>
      <c r="F33" s="33">
        <v>0.81607121477652467</v>
      </c>
      <c r="G33" s="33">
        <v>0.81285103850697449</v>
      </c>
      <c r="H33" s="33">
        <v>0.78267744317657773</v>
      </c>
      <c r="I33" s="33">
        <v>0.76935108436400423</v>
      </c>
      <c r="J33" s="67">
        <v>0.7638951162628671</v>
      </c>
      <c r="K33" s="67">
        <v>0.76089498284346335</v>
      </c>
      <c r="L33" s="67">
        <v>0.75340049135900455</v>
      </c>
      <c r="M33" s="67">
        <v>0.74088651855214449</v>
      </c>
      <c r="N33" s="67">
        <v>0.72760755760872764</v>
      </c>
      <c r="O33" s="67">
        <v>0.72559859756228495</v>
      </c>
      <c r="P33" s="67">
        <v>0.74092734117648484</v>
      </c>
      <c r="Q33" s="67">
        <v>0.75533727376696735</v>
      </c>
      <c r="R33" s="67">
        <v>0.75588473372011455</v>
      </c>
      <c r="S33" s="67">
        <v>0.75043794331857216</v>
      </c>
      <c r="T33" s="67">
        <v>0.7470532763777914</v>
      </c>
      <c r="U33" s="67">
        <v>0.7472188579837683</v>
      </c>
      <c r="V33" s="67">
        <v>0.73975257178710041</v>
      </c>
      <c r="W33" s="67">
        <v>0.72180355943238106</v>
      </c>
      <c r="X33" s="67">
        <v>0.71113873344694756</v>
      </c>
      <c r="Y33" s="67">
        <v>0.71496921472902331</v>
      </c>
      <c r="Z33" s="67">
        <v>0.72332113341208293</v>
      </c>
      <c r="AA33" s="67">
        <v>0.72770997114108504</v>
      </c>
      <c r="AB33" s="67">
        <v>0.71459603111495784</v>
      </c>
      <c r="AC33" s="67">
        <v>0.69793807755542547</v>
      </c>
      <c r="AD33" s="67">
        <v>0.68895068422228545</v>
      </c>
      <c r="AE33" s="67">
        <v>0.69412272704046196</v>
      </c>
      <c r="AF33" s="67">
        <v>0.68793033116853974</v>
      </c>
      <c r="AG33" s="67">
        <v>0.67671125544098387</v>
      </c>
      <c r="AH33" s="67">
        <v>0.66574239670054747</v>
      </c>
      <c r="AI33" s="67">
        <v>0.65761370104549943</v>
      </c>
      <c r="AJ33" s="67">
        <v>0.65654092936904418</v>
      </c>
      <c r="AK33" s="67">
        <v>0.65721788115987545</v>
      </c>
      <c r="AL33" s="67">
        <v>0.64336534750744334</v>
      </c>
      <c r="AM33" s="67">
        <v>0.62371838988036232</v>
      </c>
    </row>
    <row r="34" spans="1:39" s="19" customFormat="1" ht="17.100000000000001" customHeight="1" x14ac:dyDescent="0.2">
      <c r="A34" s="39"/>
      <c r="B34" s="16"/>
      <c r="C34" s="16"/>
      <c r="D34" s="16"/>
      <c r="E34" s="16"/>
      <c r="F34" s="16"/>
      <c r="G34" s="16"/>
      <c r="H34" s="16"/>
      <c r="I34" s="16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</row>
    <row r="35" spans="1:39" s="51" customFormat="1" ht="17.100000000000001" customHeight="1" x14ac:dyDescent="0.2">
      <c r="A35" s="52" t="s">
        <v>84</v>
      </c>
      <c r="B35" s="55"/>
      <c r="C35" s="55"/>
      <c r="D35" s="55"/>
      <c r="E35" s="55"/>
      <c r="F35" s="55"/>
      <c r="G35" s="55"/>
      <c r="H35" s="55"/>
      <c r="I35" s="55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</row>
    <row r="36" spans="1:39" s="27" customFormat="1" ht="17.100000000000001" customHeight="1" thickBot="1" x14ac:dyDescent="0.25">
      <c r="A36" s="25" t="s">
        <v>30</v>
      </c>
      <c r="B36" s="34">
        <v>6.9385413316314288</v>
      </c>
      <c r="C36" s="34">
        <v>6.9088588667612099</v>
      </c>
      <c r="D36" s="34">
        <v>7.0076500555050183</v>
      </c>
      <c r="E36" s="34">
        <v>7.1189759212723676</v>
      </c>
      <c r="F36" s="34">
        <v>7.1123731214111139</v>
      </c>
      <c r="G36" s="34">
        <v>7.2187841391689958</v>
      </c>
      <c r="H36" s="34">
        <v>7.2099289751018221</v>
      </c>
      <c r="I36" s="34">
        <v>7.31925479158968</v>
      </c>
      <c r="J36" s="68">
        <v>7.4996467741525308</v>
      </c>
      <c r="K36" s="68">
        <v>7.5694269173880544</v>
      </c>
      <c r="L36" s="68">
        <v>7.3614776547729521</v>
      </c>
      <c r="M36" s="68">
        <v>7.178217524585544</v>
      </c>
      <c r="N36" s="68">
        <v>7.1773018701556239</v>
      </c>
      <c r="O36" s="68">
        <v>7.2279966595352878</v>
      </c>
      <c r="P36" s="68">
        <v>7.2767612607816359</v>
      </c>
      <c r="Q36" s="68">
        <v>7.2782875132473963</v>
      </c>
      <c r="R36" s="68">
        <v>7.2438974221634274</v>
      </c>
      <c r="S36" s="68">
        <v>7.1631084666539167</v>
      </c>
      <c r="T36" s="68">
        <v>7.1325023259455165</v>
      </c>
      <c r="U36" s="68">
        <v>7.1850818472945512</v>
      </c>
      <c r="V36" s="68">
        <v>7.4635088813463275</v>
      </c>
      <c r="W36" s="68">
        <v>7.739994400905541</v>
      </c>
      <c r="X36" s="68">
        <v>7.6856106056267848</v>
      </c>
      <c r="Y36" s="68">
        <v>7.4579378156154768</v>
      </c>
      <c r="Z36" s="68">
        <v>7.3637698869188473</v>
      </c>
      <c r="AA36" s="68">
        <v>7.466518764879428</v>
      </c>
      <c r="AB36" s="68">
        <v>7.7559590844523019</v>
      </c>
      <c r="AC36" s="68">
        <v>7.9187954565643199</v>
      </c>
      <c r="AD36" s="68">
        <v>7.5933332011520065</v>
      </c>
      <c r="AE36" s="68">
        <v>7.3777092164742113</v>
      </c>
      <c r="AF36" s="68">
        <v>7.3194799777804773</v>
      </c>
      <c r="AG36" s="68">
        <v>7.4240053366181264</v>
      </c>
      <c r="AH36" s="68">
        <v>7.556402202476777</v>
      </c>
      <c r="AI36" s="68">
        <v>7.4870090300291663</v>
      </c>
      <c r="AJ36" s="68">
        <v>7.3510167477343655</v>
      </c>
      <c r="AK36" s="68">
        <v>7.3177479252692494</v>
      </c>
      <c r="AL36" s="68">
        <v>7.2660661572468603</v>
      </c>
      <c r="AM36" s="68">
        <v>7.2323372495247646</v>
      </c>
    </row>
    <row r="37" spans="1:39" x14ac:dyDescent="0.2">
      <c r="A37" s="14" t="s">
        <v>63</v>
      </c>
    </row>
  </sheetData>
  <mergeCells count="10">
    <mergeCell ref="R3:U3"/>
    <mergeCell ref="B3:E3"/>
    <mergeCell ref="F3:I3"/>
    <mergeCell ref="J3:M3"/>
    <mergeCell ref="N3:Q3"/>
    <mergeCell ref="AL3:AM3"/>
    <mergeCell ref="AH3:AK3"/>
    <mergeCell ref="AD3:AG3"/>
    <mergeCell ref="Z3:AC3"/>
    <mergeCell ref="V3:Y3"/>
  </mergeCells>
  <phoneticPr fontId="17" type="noConversion"/>
  <pageMargins left="0.31496062992125984" right="0.31496062992125984" top="0.47244094488188981" bottom="0.74803149606299213" header="0.31496062992125984" footer="0.31496062992125984"/>
  <pageSetup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autoPageBreaks="0"/>
  </sheetPr>
  <dimension ref="A1:AO167"/>
  <sheetViews>
    <sheetView view="pageBreakPreview" zoomScale="96" zoomScaleNormal="100" zoomScaleSheetLayoutView="96" workbookViewId="0">
      <pane xSplit="3" ySplit="3" topLeftCell="D4" activePane="bottomRight" state="frozen"/>
      <selection activeCell="BJ23" sqref="BJ23"/>
      <selection pane="topRight" activeCell="BJ23" sqref="BJ23"/>
      <selection pane="bottomLeft" activeCell="BJ23" sqref="BJ23"/>
      <selection pane="bottomRight" activeCell="J25" sqref="J25"/>
    </sheetView>
  </sheetViews>
  <sheetFormatPr defaultColWidth="9.140625" defaultRowHeight="17.100000000000001" customHeight="1" x14ac:dyDescent="0.2"/>
  <cols>
    <col min="1" max="1" width="6.28515625" style="82" customWidth="1"/>
    <col min="2" max="2" width="41.28515625" style="82" customWidth="1"/>
    <col min="3" max="3" width="7.140625" style="82" customWidth="1"/>
    <col min="4" max="14" width="9.7109375" style="82" customWidth="1"/>
    <col min="15" max="15" width="10.42578125" style="82" customWidth="1"/>
    <col min="16" max="16" width="9.85546875" style="82" bestFit="1" customWidth="1"/>
    <col min="17" max="17" width="8.42578125" style="82" customWidth="1"/>
    <col min="18" max="18" width="10.28515625" style="82" bestFit="1" customWidth="1"/>
    <col min="19" max="19" width="9.85546875" style="82" bestFit="1" customWidth="1"/>
    <col min="20" max="20" width="10.28515625" style="82" bestFit="1" customWidth="1"/>
    <col min="21" max="21" width="9.85546875" style="82" bestFit="1" customWidth="1"/>
    <col min="22" max="22" width="10.5703125" style="82" bestFit="1" customWidth="1"/>
    <col min="23" max="23" width="10.28515625" style="82" bestFit="1" customWidth="1"/>
    <col min="24" max="26" width="9.85546875" style="82" bestFit="1" customWidth="1"/>
    <col min="27" max="27" width="9.28515625" style="82" bestFit="1" customWidth="1"/>
    <col min="28" max="28" width="11.7109375" style="82" bestFit="1" customWidth="1"/>
    <col min="29" max="29" width="10.7109375" style="82" bestFit="1" customWidth="1"/>
    <col min="30" max="30" width="9.85546875" style="82" bestFit="1" customWidth="1"/>
    <col min="31" max="31" width="11.28515625" style="82" bestFit="1" customWidth="1"/>
    <col min="32" max="32" width="10.7109375" style="82" customWidth="1"/>
    <col min="33" max="37" width="9.140625" style="82"/>
    <col min="38" max="38" width="9.85546875" style="82" bestFit="1" customWidth="1"/>
    <col min="39" max="16384" width="9.140625" style="82"/>
  </cols>
  <sheetData>
    <row r="1" spans="1:41" ht="17.100000000000001" customHeight="1" x14ac:dyDescent="0.2">
      <c r="A1" s="82" t="s">
        <v>93</v>
      </c>
      <c r="B1" s="83"/>
      <c r="D1" s="85">
        <v>2016</v>
      </c>
      <c r="E1" s="85">
        <v>2016</v>
      </c>
      <c r="F1" s="85">
        <v>2017</v>
      </c>
      <c r="G1" s="85">
        <v>2017</v>
      </c>
      <c r="H1" s="85">
        <v>2017</v>
      </c>
      <c r="I1" s="85">
        <v>2017</v>
      </c>
      <c r="J1" s="85">
        <v>2018</v>
      </c>
      <c r="K1" s="85">
        <v>2018</v>
      </c>
      <c r="L1" s="85">
        <v>2018</v>
      </c>
      <c r="M1" s="85">
        <v>2018</v>
      </c>
      <c r="N1" s="85">
        <v>2019</v>
      </c>
      <c r="O1" s="85">
        <v>2019</v>
      </c>
      <c r="P1" s="85">
        <v>2019</v>
      </c>
      <c r="Q1" s="85">
        <v>2019</v>
      </c>
      <c r="R1" s="85">
        <v>2020</v>
      </c>
      <c r="S1" s="85">
        <v>2020</v>
      </c>
      <c r="T1" s="85">
        <v>2020</v>
      </c>
      <c r="U1" s="85">
        <v>2020</v>
      </c>
      <c r="V1" s="85">
        <v>2021</v>
      </c>
      <c r="W1" s="85">
        <v>2021</v>
      </c>
      <c r="X1" s="85">
        <v>2021</v>
      </c>
      <c r="Y1" s="85">
        <v>2021</v>
      </c>
      <c r="Z1" s="85">
        <v>2022</v>
      </c>
      <c r="AA1" s="85">
        <v>2022</v>
      </c>
      <c r="AB1" s="85">
        <v>2022</v>
      </c>
      <c r="AC1" s="85">
        <v>2022</v>
      </c>
      <c r="AD1" s="85">
        <v>2023</v>
      </c>
      <c r="AE1" s="85">
        <v>2023</v>
      </c>
      <c r="AF1" s="85">
        <v>2023</v>
      </c>
      <c r="AG1" s="85">
        <v>2023</v>
      </c>
      <c r="AH1" s="85">
        <v>2024</v>
      </c>
      <c r="AI1" s="85">
        <v>2024</v>
      </c>
      <c r="AJ1" s="85">
        <v>2024</v>
      </c>
      <c r="AK1" s="85">
        <v>2024</v>
      </c>
      <c r="AL1" s="85">
        <v>2025</v>
      </c>
      <c r="AM1" s="85">
        <v>2025</v>
      </c>
      <c r="AN1" s="85">
        <v>2025</v>
      </c>
      <c r="AO1" s="85">
        <v>2025</v>
      </c>
    </row>
    <row r="2" spans="1:41" s="89" customFormat="1" ht="17.100000000000001" customHeight="1" x14ac:dyDescent="0.2">
      <c r="A2" s="86"/>
      <c r="B2" s="87" t="s">
        <v>94</v>
      </c>
      <c r="C2" s="88"/>
      <c r="D2" s="151" t="s">
        <v>75</v>
      </c>
      <c r="E2" s="151"/>
      <c r="F2" s="151"/>
      <c r="G2" s="151"/>
      <c r="H2" s="151" t="s">
        <v>79</v>
      </c>
      <c r="I2" s="151"/>
      <c r="J2" s="151"/>
      <c r="K2" s="151"/>
      <c r="L2" s="151" t="s">
        <v>85</v>
      </c>
      <c r="M2" s="151"/>
      <c r="N2" s="151"/>
      <c r="O2" s="151"/>
      <c r="P2" s="151" t="s">
        <v>86</v>
      </c>
      <c r="Q2" s="151"/>
      <c r="R2" s="151"/>
      <c r="S2" s="151"/>
      <c r="T2" s="151" t="s">
        <v>89</v>
      </c>
      <c r="U2" s="151"/>
      <c r="V2" s="151"/>
      <c r="W2" s="151"/>
      <c r="X2" s="151" t="s">
        <v>90</v>
      </c>
      <c r="Y2" s="151"/>
      <c r="Z2" s="151"/>
      <c r="AA2" s="151"/>
      <c r="AB2" s="151" t="s">
        <v>91</v>
      </c>
      <c r="AC2" s="151"/>
      <c r="AD2" s="151"/>
      <c r="AE2" s="151"/>
      <c r="AF2" s="151" t="s">
        <v>92</v>
      </c>
      <c r="AG2" s="151"/>
      <c r="AH2" s="151"/>
      <c r="AI2" s="151"/>
      <c r="AJ2" s="151" t="s">
        <v>118</v>
      </c>
      <c r="AK2" s="151"/>
      <c r="AL2" s="151"/>
      <c r="AM2" s="151"/>
      <c r="AN2" s="151" t="s">
        <v>120</v>
      </c>
      <c r="AO2" s="151"/>
    </row>
    <row r="3" spans="1:41" ht="17.100000000000001" customHeight="1" x14ac:dyDescent="0.2">
      <c r="A3" s="90"/>
      <c r="B3" s="91" t="s">
        <v>95</v>
      </c>
      <c r="C3" s="92"/>
      <c r="D3" s="93" t="s">
        <v>57</v>
      </c>
      <c r="E3" s="93" t="s">
        <v>58</v>
      </c>
      <c r="F3" s="93" t="s">
        <v>59</v>
      </c>
      <c r="G3" s="93" t="s">
        <v>60</v>
      </c>
      <c r="H3" s="93" t="s">
        <v>57</v>
      </c>
      <c r="I3" s="93" t="s">
        <v>58</v>
      </c>
      <c r="J3" s="93" t="s">
        <v>59</v>
      </c>
      <c r="K3" s="93" t="s">
        <v>60</v>
      </c>
      <c r="L3" s="93" t="s">
        <v>57</v>
      </c>
      <c r="M3" s="93" t="s">
        <v>58</v>
      </c>
      <c r="N3" s="93" t="s">
        <v>59</v>
      </c>
      <c r="O3" s="93" t="s">
        <v>60</v>
      </c>
      <c r="P3" s="93" t="s">
        <v>57</v>
      </c>
      <c r="Q3" s="93" t="s">
        <v>58</v>
      </c>
      <c r="R3" s="93" t="s">
        <v>59</v>
      </c>
      <c r="S3" s="93" t="s">
        <v>60</v>
      </c>
      <c r="T3" s="93" t="s">
        <v>57</v>
      </c>
      <c r="U3" s="93" t="s">
        <v>58</v>
      </c>
      <c r="V3" s="93" t="s">
        <v>59</v>
      </c>
      <c r="W3" s="93" t="s">
        <v>60</v>
      </c>
      <c r="X3" s="93" t="s">
        <v>57</v>
      </c>
      <c r="Y3" s="93" t="s">
        <v>58</v>
      </c>
      <c r="Z3" s="93" t="s">
        <v>59</v>
      </c>
      <c r="AA3" s="93" t="s">
        <v>60</v>
      </c>
      <c r="AB3" s="93" t="s">
        <v>57</v>
      </c>
      <c r="AC3" s="93" t="s">
        <v>58</v>
      </c>
      <c r="AD3" s="93" t="s">
        <v>59</v>
      </c>
      <c r="AE3" s="93" t="s">
        <v>60</v>
      </c>
      <c r="AF3" s="93" t="s">
        <v>57</v>
      </c>
      <c r="AG3" s="93" t="s">
        <v>58</v>
      </c>
      <c r="AH3" s="93" t="s">
        <v>59</v>
      </c>
      <c r="AI3" s="93" t="s">
        <v>60</v>
      </c>
      <c r="AJ3" s="93" t="s">
        <v>57</v>
      </c>
      <c r="AK3" s="93" t="s">
        <v>58</v>
      </c>
      <c r="AL3" s="93" t="s">
        <v>59</v>
      </c>
      <c r="AM3" s="93" t="s">
        <v>60</v>
      </c>
      <c r="AN3" s="93" t="s">
        <v>57</v>
      </c>
      <c r="AO3" s="93" t="s">
        <v>58</v>
      </c>
    </row>
    <row r="4" spans="1:41" s="96" customFormat="1" ht="17.100000000000001" customHeight="1" x14ac:dyDescent="0.2">
      <c r="A4" s="94"/>
      <c r="B4" s="95" t="s">
        <v>96</v>
      </c>
      <c r="C4" s="94"/>
    </row>
    <row r="5" spans="1:41" s="97" customFormat="1" ht="17.100000000000001" customHeight="1" x14ac:dyDescent="0.2">
      <c r="B5" s="98" t="s">
        <v>97</v>
      </c>
      <c r="D5" s="99">
        <v>19902.808725783278</v>
      </c>
      <c r="E5" s="99">
        <v>21342.568945319865</v>
      </c>
      <c r="F5" s="99">
        <v>21320.575540529426</v>
      </c>
      <c r="G5" s="99">
        <v>23055.596481632685</v>
      </c>
      <c r="H5" s="99">
        <v>23582.326906639035</v>
      </c>
      <c r="I5" s="99">
        <v>23660.207966835194</v>
      </c>
      <c r="J5" s="99">
        <v>24267.188019516179</v>
      </c>
      <c r="K5" s="99">
        <v>25999.327881047677</v>
      </c>
      <c r="L5" s="99">
        <v>25835.619931773006</v>
      </c>
      <c r="M5" s="99">
        <v>26221.055675906784</v>
      </c>
      <c r="N5" s="99">
        <v>25520.83299516992</v>
      </c>
      <c r="O5" s="99">
        <v>28016.963660897687</v>
      </c>
      <c r="P5" s="99">
        <v>29354.945897737161</v>
      </c>
      <c r="Q5" s="99">
        <v>30061.640844588863</v>
      </c>
      <c r="R5" s="99">
        <v>26817.74005853746</v>
      </c>
      <c r="S5" s="99">
        <v>26597.526244038228</v>
      </c>
      <c r="T5" s="99">
        <v>30310.742352020898</v>
      </c>
      <c r="U5" s="99">
        <v>31033.606952789225</v>
      </c>
      <c r="V5" s="99">
        <v>29316.967971923452</v>
      </c>
      <c r="W5" s="99">
        <v>31036.591680818368</v>
      </c>
      <c r="X5" s="99">
        <v>31338.660046674879</v>
      </c>
      <c r="Y5" s="99">
        <v>32108.575575365736</v>
      </c>
      <c r="Z5" s="99">
        <v>32252.008289712427</v>
      </c>
      <c r="AA5" s="99">
        <v>35670.937166516851</v>
      </c>
      <c r="AB5" s="99">
        <v>38019.16258169619</v>
      </c>
      <c r="AC5" s="99">
        <v>37592.342507169757</v>
      </c>
      <c r="AD5" s="99">
        <v>34637.717640792391</v>
      </c>
      <c r="AE5" s="99">
        <v>38313.645028843501</v>
      </c>
      <c r="AF5" s="99">
        <v>41025.667820022391</v>
      </c>
      <c r="AG5" s="99">
        <v>36214.717310620123</v>
      </c>
      <c r="AH5" s="99">
        <v>36708.849734420422</v>
      </c>
      <c r="AI5" s="99">
        <v>41057.279508178035</v>
      </c>
      <c r="AJ5" s="99">
        <v>46147.852751966195</v>
      </c>
      <c r="AK5" s="99">
        <v>42263.523727687752</v>
      </c>
      <c r="AL5" s="99">
        <v>43242.379066641137</v>
      </c>
      <c r="AM5" s="99">
        <v>43537.474813421693</v>
      </c>
      <c r="AN5" s="99">
        <v>52546.368221416575</v>
      </c>
      <c r="AO5" s="99">
        <v>50637.741066242968</v>
      </c>
    </row>
    <row r="6" spans="1:41" s="96" customFormat="1" ht="17.100000000000001" customHeight="1" x14ac:dyDescent="0.2">
      <c r="A6" s="97"/>
      <c r="B6" s="100" t="s">
        <v>98</v>
      </c>
      <c r="D6" s="84">
        <v>1898.6260526211358</v>
      </c>
      <c r="E6" s="84">
        <v>2098.8534282979977</v>
      </c>
      <c r="F6" s="84">
        <v>2093.5553382746616</v>
      </c>
      <c r="G6" s="84">
        <v>2600.6471638626981</v>
      </c>
      <c r="H6" s="84">
        <v>2399.9686100268395</v>
      </c>
      <c r="I6" s="84">
        <v>2655.5437610147474</v>
      </c>
      <c r="J6" s="84">
        <v>2543.5357637040956</v>
      </c>
      <c r="K6" s="84">
        <v>2806.1048750748637</v>
      </c>
      <c r="L6" s="84">
        <v>2555.7587769818524</v>
      </c>
      <c r="M6" s="84">
        <v>2826.6875124388821</v>
      </c>
      <c r="N6" s="84">
        <v>2644.8063722148313</v>
      </c>
      <c r="O6" s="84">
        <v>3563.045614072269</v>
      </c>
      <c r="P6" s="84">
        <v>2874.457111814218</v>
      </c>
      <c r="Q6" s="84">
        <v>3530.1734048409571</v>
      </c>
      <c r="R6" s="84">
        <v>3256.8658553735363</v>
      </c>
      <c r="S6" s="84">
        <v>3624.9076704539734</v>
      </c>
      <c r="T6" s="84">
        <v>3213.2246697283299</v>
      </c>
      <c r="U6" s="84">
        <v>3799.7810781158605</v>
      </c>
      <c r="V6" s="84">
        <v>3771.174190627939</v>
      </c>
      <c r="W6" s="84">
        <v>3945.3948705338476</v>
      </c>
      <c r="X6" s="84">
        <v>3523.6917919908942</v>
      </c>
      <c r="Y6" s="84">
        <v>3542.0028229915938</v>
      </c>
      <c r="Z6" s="84">
        <v>4151.1743911791573</v>
      </c>
      <c r="AA6" s="84">
        <v>4711.9025574886336</v>
      </c>
      <c r="AB6" s="84">
        <v>4384.282512434801</v>
      </c>
      <c r="AC6" s="84">
        <v>4355.1036466085188</v>
      </c>
      <c r="AD6" s="84">
        <v>4222.0564838531009</v>
      </c>
      <c r="AE6" s="84">
        <v>4545.0508345971384</v>
      </c>
      <c r="AF6" s="84">
        <v>4264.822773994918</v>
      </c>
      <c r="AG6" s="84">
        <v>4378.444453669701</v>
      </c>
      <c r="AH6" s="84">
        <v>5181.4212727622844</v>
      </c>
      <c r="AI6" s="84">
        <v>6590.2982013481214</v>
      </c>
      <c r="AJ6" s="84">
        <v>6130.7321896240646</v>
      </c>
      <c r="AK6" s="84">
        <v>6050.6376802473997</v>
      </c>
      <c r="AL6" s="84">
        <v>6966.3114396352476</v>
      </c>
      <c r="AM6" s="84">
        <v>7439.2974632486148</v>
      </c>
      <c r="AN6" s="84">
        <v>7297.2239611868936</v>
      </c>
      <c r="AO6" s="84">
        <v>6672.0040690178612</v>
      </c>
    </row>
    <row r="7" spans="1:41" s="96" customFormat="1" ht="17.100000000000001" customHeight="1" x14ac:dyDescent="0.2">
      <c r="B7" s="100" t="s">
        <v>99</v>
      </c>
      <c r="D7" s="84">
        <v>1015.6527547434912</v>
      </c>
      <c r="E7" s="84">
        <v>1047.9057959366589</v>
      </c>
      <c r="F7" s="84">
        <v>1084.6269817837565</v>
      </c>
      <c r="G7" s="84">
        <v>1113.9345529237658</v>
      </c>
      <c r="H7" s="84">
        <v>1161.6336613676522</v>
      </c>
      <c r="I7" s="84">
        <v>1219.4802015385928</v>
      </c>
      <c r="J7" s="84">
        <v>1265.5951490754837</v>
      </c>
      <c r="K7" s="84">
        <v>1315.9206612561661</v>
      </c>
      <c r="L7" s="84">
        <v>1379.6737919166078</v>
      </c>
      <c r="M7" s="84">
        <v>1414.822680201311</v>
      </c>
      <c r="N7" s="84">
        <v>1436.3551132609869</v>
      </c>
      <c r="O7" s="84">
        <v>1465.2732915249437</v>
      </c>
      <c r="P7" s="84">
        <v>1517.8338128038376</v>
      </c>
      <c r="Q7" s="84">
        <v>1541.163294317786</v>
      </c>
      <c r="R7" s="84">
        <v>1539.0640371764619</v>
      </c>
      <c r="S7" s="84">
        <v>1515.1318640823092</v>
      </c>
      <c r="T7" s="84">
        <v>1488.3597255286372</v>
      </c>
      <c r="U7" s="84">
        <v>1484.5331977617684</v>
      </c>
      <c r="V7" s="84">
        <v>1552.4944959233933</v>
      </c>
      <c r="W7" s="84">
        <v>1615.7391455929003</v>
      </c>
      <c r="X7" s="84">
        <v>1678.1833874344416</v>
      </c>
      <c r="Y7" s="84">
        <v>1743.3570882545168</v>
      </c>
      <c r="Z7" s="84">
        <v>1806.4673521984903</v>
      </c>
      <c r="AA7" s="84">
        <v>1869.9794891531019</v>
      </c>
      <c r="AB7" s="84">
        <v>1974.4732430484783</v>
      </c>
      <c r="AC7" s="84">
        <v>1988.7675918149059</v>
      </c>
      <c r="AD7" s="84">
        <v>2011.0460324868568</v>
      </c>
      <c r="AE7" s="84">
        <v>2030.9279245609475</v>
      </c>
      <c r="AF7" s="84">
        <v>2044.8521443006421</v>
      </c>
      <c r="AG7" s="84">
        <v>2143.0424856966274</v>
      </c>
      <c r="AH7" s="84">
        <v>1994.4365173214346</v>
      </c>
      <c r="AI7" s="84">
        <v>2071.6697785381348</v>
      </c>
      <c r="AJ7" s="84">
        <v>2058.2166715698759</v>
      </c>
      <c r="AK7" s="84">
        <v>2063.8198784313172</v>
      </c>
      <c r="AL7" s="84">
        <v>1747.2752331656395</v>
      </c>
      <c r="AM7" s="84">
        <v>1993.1448926684307</v>
      </c>
      <c r="AN7" s="84">
        <v>2146.7005494959581</v>
      </c>
      <c r="AO7" s="84">
        <v>2072.476599568955</v>
      </c>
    </row>
    <row r="8" spans="1:41" s="96" customFormat="1" ht="17.100000000000001" customHeight="1" x14ac:dyDescent="0.2">
      <c r="B8" s="100" t="s">
        <v>100</v>
      </c>
      <c r="D8" s="84">
        <v>16988.529918418652</v>
      </c>
      <c r="E8" s="84">
        <v>18195.809721085207</v>
      </c>
      <c r="F8" s="84">
        <v>18142.393220471007</v>
      </c>
      <c r="G8" s="84">
        <v>19341.014764846223</v>
      </c>
      <c r="H8" s="84">
        <v>20020.724635244544</v>
      </c>
      <c r="I8" s="84">
        <v>19785.184004281855</v>
      </c>
      <c r="J8" s="84">
        <v>20458.0571067366</v>
      </c>
      <c r="K8" s="84">
        <v>21877.302344716645</v>
      </c>
      <c r="L8" s="84">
        <v>21900.187362874545</v>
      </c>
      <c r="M8" s="84">
        <v>21979.545483266593</v>
      </c>
      <c r="N8" s="84">
        <v>21439.671509694101</v>
      </c>
      <c r="O8" s="84">
        <v>22988.644755300473</v>
      </c>
      <c r="P8" s="84">
        <v>24962.654973119104</v>
      </c>
      <c r="Q8" s="84">
        <v>24990.30414543012</v>
      </c>
      <c r="R8" s="84">
        <v>22021.810165987463</v>
      </c>
      <c r="S8" s="84">
        <v>21457.486709501944</v>
      </c>
      <c r="T8" s="84">
        <v>25609.157956763931</v>
      </c>
      <c r="U8" s="84">
        <v>25749.292676911595</v>
      </c>
      <c r="V8" s="84">
        <v>23993.299285372119</v>
      </c>
      <c r="W8" s="84">
        <v>25475.457664691621</v>
      </c>
      <c r="X8" s="84">
        <v>26136.784867249542</v>
      </c>
      <c r="Y8" s="84">
        <v>26823.215664119627</v>
      </c>
      <c r="Z8" s="84">
        <v>26294.366546334779</v>
      </c>
      <c r="AA8" s="84">
        <v>29089.055119875113</v>
      </c>
      <c r="AB8" s="84">
        <v>31660.406826212911</v>
      </c>
      <c r="AC8" s="84">
        <v>31248.471268746332</v>
      </c>
      <c r="AD8" s="84">
        <v>28404.615124452434</v>
      </c>
      <c r="AE8" s="84">
        <v>31737.666269685411</v>
      </c>
      <c r="AF8" s="84">
        <v>34715.99290172683</v>
      </c>
      <c r="AG8" s="84">
        <v>29693.230371253798</v>
      </c>
      <c r="AH8" s="84">
        <v>29532.991944336707</v>
      </c>
      <c r="AI8" s="84">
        <v>32395.311528291779</v>
      </c>
      <c r="AJ8" s="84">
        <v>37958.903890772257</v>
      </c>
      <c r="AK8" s="84">
        <v>34149.066169009035</v>
      </c>
      <c r="AL8" s="84">
        <v>34528.792393840253</v>
      </c>
      <c r="AM8" s="84">
        <v>34105.032457504647</v>
      </c>
      <c r="AN8" s="84">
        <v>43102.443710733722</v>
      </c>
      <c r="AO8" s="84">
        <v>41893.260397656151</v>
      </c>
    </row>
    <row r="9" spans="1:41" s="97" customFormat="1" ht="17.100000000000001" customHeight="1" x14ac:dyDescent="0.2">
      <c r="B9" s="98" t="s">
        <v>101</v>
      </c>
      <c r="D9" s="99">
        <v>6291.9806731826411</v>
      </c>
      <c r="E9" s="99">
        <v>6768.4858229047513</v>
      </c>
      <c r="F9" s="99">
        <v>6323.838321425028</v>
      </c>
      <c r="G9" s="99">
        <v>6716.9132929419111</v>
      </c>
      <c r="H9" s="99">
        <v>6884.3245271853175</v>
      </c>
      <c r="I9" s="99">
        <v>7234.9304191700412</v>
      </c>
      <c r="J9" s="99">
        <v>7175.1057692874911</v>
      </c>
      <c r="K9" s="99">
        <v>7321.3100741597073</v>
      </c>
      <c r="L9" s="99">
        <v>8083.3126593655725</v>
      </c>
      <c r="M9" s="99">
        <v>8194.333538193494</v>
      </c>
      <c r="N9" s="99">
        <v>8014.1633337985513</v>
      </c>
      <c r="O9" s="99">
        <v>8601.7888488095523</v>
      </c>
      <c r="P9" s="99">
        <v>8373.1993638551212</v>
      </c>
      <c r="Q9" s="99">
        <v>8518.9189004883065</v>
      </c>
      <c r="R9" s="99">
        <v>8734.3043557514393</v>
      </c>
      <c r="S9" s="99">
        <v>7225.4659775945374</v>
      </c>
      <c r="T9" s="99">
        <v>7454.2662514311633</v>
      </c>
      <c r="U9" s="99">
        <v>9054.6248960995872</v>
      </c>
      <c r="V9" s="99">
        <v>9010.1172577079597</v>
      </c>
      <c r="W9" s="99">
        <v>9095.9841063798267</v>
      </c>
      <c r="X9" s="99">
        <v>9459.0818484523315</v>
      </c>
      <c r="Y9" s="99">
        <v>9897.3781445370169</v>
      </c>
      <c r="Z9" s="99">
        <v>9255.7397460971843</v>
      </c>
      <c r="AA9" s="99">
        <v>9548.7267609080918</v>
      </c>
      <c r="AB9" s="99">
        <v>9931.0114164860806</v>
      </c>
      <c r="AC9" s="99">
        <v>9954.132866828988</v>
      </c>
      <c r="AD9" s="99">
        <v>9597.9619288354024</v>
      </c>
      <c r="AE9" s="99">
        <v>10932.255869838282</v>
      </c>
      <c r="AF9" s="99">
        <v>11024.35651291919</v>
      </c>
      <c r="AG9" s="99">
        <v>11211.252203742282</v>
      </c>
      <c r="AH9" s="99">
        <v>10975.771032784</v>
      </c>
      <c r="AI9" s="99">
        <v>10879.704245322735</v>
      </c>
      <c r="AJ9" s="99">
        <v>11419.429879362462</v>
      </c>
      <c r="AK9" s="99">
        <v>12658.635995556298</v>
      </c>
      <c r="AL9" s="99">
        <v>12391.678463141856</v>
      </c>
      <c r="AM9" s="99">
        <v>13335.511999637116</v>
      </c>
      <c r="AN9" s="99">
        <v>13327.148445418235</v>
      </c>
      <c r="AO9" s="99">
        <v>14736.234004956632</v>
      </c>
    </row>
    <row r="10" spans="1:41" s="96" customFormat="1" ht="17.100000000000001" customHeight="1" x14ac:dyDescent="0.2">
      <c r="B10" s="100" t="s">
        <v>102</v>
      </c>
      <c r="C10" s="101"/>
      <c r="D10" s="84">
        <v>82.301822912262821</v>
      </c>
      <c r="E10" s="84">
        <v>79.050913813133036</v>
      </c>
      <c r="F10" s="84">
        <v>80.994847145209363</v>
      </c>
      <c r="G10" s="84">
        <v>87.787034594758524</v>
      </c>
      <c r="H10" s="84">
        <v>91.254895937774123</v>
      </c>
      <c r="I10" s="84">
        <v>97.634213279448673</v>
      </c>
      <c r="J10" s="84">
        <v>101.33750542139927</v>
      </c>
      <c r="K10" s="84">
        <v>106.82366195108639</v>
      </c>
      <c r="L10" s="84">
        <v>112.38760632749305</v>
      </c>
      <c r="M10" s="84">
        <v>112.16033867608448</v>
      </c>
      <c r="N10" s="84">
        <v>112.37580442683416</v>
      </c>
      <c r="O10" s="84">
        <v>111.5121833595513</v>
      </c>
      <c r="P10" s="84">
        <v>112.06469113878359</v>
      </c>
      <c r="Q10" s="84">
        <v>113.00757846802536</v>
      </c>
      <c r="R10" s="84">
        <v>112.45758099304368</v>
      </c>
      <c r="S10" s="84">
        <v>111.94437743906037</v>
      </c>
      <c r="T10" s="84">
        <v>113.6775910106888</v>
      </c>
      <c r="U10" s="84">
        <v>115.41063292026998</v>
      </c>
      <c r="V10" s="84">
        <v>115.50714764058077</v>
      </c>
      <c r="W10" s="84">
        <v>115.28857436411791</v>
      </c>
      <c r="X10" s="84">
        <v>115.78638343900472</v>
      </c>
      <c r="Y10" s="84">
        <v>117.93060953863829</v>
      </c>
      <c r="Z10" s="84">
        <v>125.87571906262944</v>
      </c>
      <c r="AA10" s="84">
        <v>136.58063115257065</v>
      </c>
      <c r="AB10" s="84">
        <v>153.7120680563209</v>
      </c>
      <c r="AC10" s="84">
        <v>162.30970580820798</v>
      </c>
      <c r="AD10" s="84">
        <v>163.07648200047359</v>
      </c>
      <c r="AE10" s="84">
        <v>166.04852359701229</v>
      </c>
      <c r="AF10" s="84">
        <v>154.65640643650664</v>
      </c>
      <c r="AG10" s="84">
        <v>162.88414200186486</v>
      </c>
      <c r="AH10" s="84">
        <v>143.62690599207497</v>
      </c>
      <c r="AI10" s="84">
        <v>146.57608607918471</v>
      </c>
      <c r="AJ10" s="84">
        <v>158.93788737757185</v>
      </c>
      <c r="AK10" s="84">
        <v>192.42077139740158</v>
      </c>
      <c r="AL10" s="84">
        <v>154.87642639770311</v>
      </c>
      <c r="AM10" s="84">
        <v>155.83203571921294</v>
      </c>
      <c r="AN10" s="84">
        <v>155.7613707121516</v>
      </c>
      <c r="AO10" s="84">
        <v>166.28284019579368</v>
      </c>
    </row>
    <row r="11" spans="1:41" s="96" customFormat="1" ht="17.100000000000001" customHeight="1" x14ac:dyDescent="0.2">
      <c r="B11" s="100" t="s">
        <v>103</v>
      </c>
      <c r="C11" s="101"/>
      <c r="D11" s="84">
        <v>1397.5383004367266</v>
      </c>
      <c r="E11" s="84">
        <v>1530.1783532908485</v>
      </c>
      <c r="F11" s="84">
        <v>1479.9311898484978</v>
      </c>
      <c r="G11" s="84">
        <v>1571.9393898862597</v>
      </c>
      <c r="H11" s="84">
        <v>1526.3284125061755</v>
      </c>
      <c r="I11" s="84">
        <v>1555.3923542649952</v>
      </c>
      <c r="J11" s="84">
        <v>1649.4536546286117</v>
      </c>
      <c r="K11" s="84">
        <v>1786.8686972849503</v>
      </c>
      <c r="L11" s="84">
        <v>1823.414414695387</v>
      </c>
      <c r="M11" s="84">
        <v>1848.4177565008736</v>
      </c>
      <c r="N11" s="84">
        <v>1839.72321543678</v>
      </c>
      <c r="O11" s="84">
        <v>1976.4266715758581</v>
      </c>
      <c r="P11" s="84">
        <v>1897.7328764605675</v>
      </c>
      <c r="Q11" s="84">
        <v>1990.7758216682187</v>
      </c>
      <c r="R11" s="84">
        <v>1971.8194119971615</v>
      </c>
      <c r="S11" s="84">
        <v>1840.2237935724759</v>
      </c>
      <c r="T11" s="84">
        <v>1568.1638117621196</v>
      </c>
      <c r="U11" s="84">
        <v>1965.7470838734014</v>
      </c>
      <c r="V11" s="84">
        <v>2051.0418215462414</v>
      </c>
      <c r="W11" s="84">
        <v>2238.7315550169315</v>
      </c>
      <c r="X11" s="84">
        <v>2472.0356441162803</v>
      </c>
      <c r="Y11" s="84">
        <v>2358.627837661159</v>
      </c>
      <c r="Z11" s="84">
        <v>2197.2243922303824</v>
      </c>
      <c r="AA11" s="84">
        <v>2327.9203825572285</v>
      </c>
      <c r="AB11" s="84">
        <v>2424.3808887721466</v>
      </c>
      <c r="AC11" s="84">
        <v>2259.6800969103015</v>
      </c>
      <c r="AD11" s="84">
        <v>2299.6793636395764</v>
      </c>
      <c r="AE11" s="84">
        <v>2662.7853692883177</v>
      </c>
      <c r="AF11" s="84">
        <v>2575.3537745086337</v>
      </c>
      <c r="AG11" s="84">
        <v>2651.2751259699289</v>
      </c>
      <c r="AH11" s="84">
        <v>2430.5878750968427</v>
      </c>
      <c r="AI11" s="84">
        <v>2615.0060912541426</v>
      </c>
      <c r="AJ11" s="84">
        <v>2775.7283902577365</v>
      </c>
      <c r="AK11" s="84">
        <v>3158.7840227016291</v>
      </c>
      <c r="AL11" s="84">
        <v>3128.1317949369368</v>
      </c>
      <c r="AM11" s="84">
        <v>3477.1844225128161</v>
      </c>
      <c r="AN11" s="84">
        <v>3313.5732934987168</v>
      </c>
      <c r="AO11" s="84">
        <v>3629.7069778625214</v>
      </c>
    </row>
    <row r="12" spans="1:41" s="96" customFormat="1" ht="17.100000000000001" customHeight="1" x14ac:dyDescent="0.2">
      <c r="B12" s="100" t="s">
        <v>104</v>
      </c>
      <c r="C12" s="101"/>
      <c r="D12" s="84">
        <v>2275.2551741419297</v>
      </c>
      <c r="E12" s="84">
        <v>2462.2997221708133</v>
      </c>
      <c r="F12" s="84">
        <v>2306.8822363512168</v>
      </c>
      <c r="G12" s="84">
        <v>2332.8554561180426</v>
      </c>
      <c r="H12" s="84">
        <v>2314.247545959563</v>
      </c>
      <c r="I12" s="84">
        <v>2504.0325125420782</v>
      </c>
      <c r="J12" s="84">
        <v>2516.8262826776422</v>
      </c>
      <c r="K12" s="84">
        <v>2732.4131074044499</v>
      </c>
      <c r="L12" s="84">
        <v>2811.0133439428664</v>
      </c>
      <c r="M12" s="84">
        <v>3064.1473777264941</v>
      </c>
      <c r="N12" s="84">
        <v>2991.909838785351</v>
      </c>
      <c r="O12" s="84">
        <v>3136.5402457149785</v>
      </c>
      <c r="P12" s="84">
        <v>2929.0182265691383</v>
      </c>
      <c r="Q12" s="84">
        <v>3087.9811235883722</v>
      </c>
      <c r="R12" s="84">
        <v>3181.4944489375061</v>
      </c>
      <c r="S12" s="84">
        <v>2976.5023304869756</v>
      </c>
      <c r="T12" s="84">
        <v>2518.7114012857542</v>
      </c>
      <c r="U12" s="84">
        <v>3299.0858692867473</v>
      </c>
      <c r="V12" s="84">
        <v>3415.9342363944479</v>
      </c>
      <c r="W12" s="84">
        <v>3513.8474374782868</v>
      </c>
      <c r="X12" s="84">
        <v>3407.6466549423212</v>
      </c>
      <c r="Y12" s="84">
        <v>3353.138993435839</v>
      </c>
      <c r="Z12" s="84">
        <v>3157.8757977017676</v>
      </c>
      <c r="AA12" s="84">
        <v>3361.573292401702</v>
      </c>
      <c r="AB12" s="84">
        <v>3485.8341222102931</v>
      </c>
      <c r="AC12" s="84">
        <v>3421.2956429148494</v>
      </c>
      <c r="AD12" s="84">
        <v>3506.0560624651953</v>
      </c>
      <c r="AE12" s="84">
        <v>4226.7343293672166</v>
      </c>
      <c r="AF12" s="84">
        <v>4108.1207442167843</v>
      </c>
      <c r="AG12" s="84">
        <v>4289.3299704845731</v>
      </c>
      <c r="AH12" s="84">
        <v>3980.9360613261592</v>
      </c>
      <c r="AI12" s="84">
        <v>4179.3845902898656</v>
      </c>
      <c r="AJ12" s="84">
        <v>4223.8311706539498</v>
      </c>
      <c r="AK12" s="84">
        <v>4594.8789887389667</v>
      </c>
      <c r="AL12" s="84">
        <v>4668.6059841938377</v>
      </c>
      <c r="AM12" s="84">
        <v>5361.010008433881</v>
      </c>
      <c r="AN12" s="84">
        <v>4687.0881598090591</v>
      </c>
      <c r="AO12" s="84">
        <v>5364.6247696273131</v>
      </c>
    </row>
    <row r="13" spans="1:41" s="96" customFormat="1" ht="17.100000000000001" customHeight="1" x14ac:dyDescent="0.2">
      <c r="B13" s="100" t="s">
        <v>105</v>
      </c>
      <c r="C13" s="101"/>
      <c r="D13" s="84">
        <v>471.71282815441117</v>
      </c>
      <c r="E13" s="84">
        <v>547.20602600445545</v>
      </c>
      <c r="F13" s="84">
        <v>438.81047781709742</v>
      </c>
      <c r="G13" s="84">
        <v>422.66160096633814</v>
      </c>
      <c r="H13" s="84">
        <v>609.72159379483082</v>
      </c>
      <c r="I13" s="84">
        <v>619.00716270611633</v>
      </c>
      <c r="J13" s="84">
        <v>562.47876203274757</v>
      </c>
      <c r="K13" s="84">
        <v>621.29157130718863</v>
      </c>
      <c r="L13" s="84">
        <v>653.57418111983679</v>
      </c>
      <c r="M13" s="84">
        <v>672.46143033778583</v>
      </c>
      <c r="N13" s="84">
        <v>633.30838738930197</v>
      </c>
      <c r="O13" s="84">
        <v>732.14249574698977</v>
      </c>
      <c r="P13" s="84">
        <v>727.00084327814011</v>
      </c>
      <c r="Q13" s="84">
        <v>641.62984588756922</v>
      </c>
      <c r="R13" s="84">
        <v>627.77075002657955</v>
      </c>
      <c r="S13" s="84">
        <v>293.2300548721002</v>
      </c>
      <c r="T13" s="84">
        <v>692.54256950932154</v>
      </c>
      <c r="U13" s="84">
        <v>649.24972182093393</v>
      </c>
      <c r="V13" s="84">
        <v>804.38983084764425</v>
      </c>
      <c r="W13" s="84">
        <v>745.35988553249581</v>
      </c>
      <c r="X13" s="84">
        <v>740.35383610963834</v>
      </c>
      <c r="Y13" s="84">
        <v>793.46305964293072</v>
      </c>
      <c r="Z13" s="84">
        <v>683.50493560528366</v>
      </c>
      <c r="AA13" s="84">
        <v>770.04498134982555</v>
      </c>
      <c r="AB13" s="84">
        <v>720.88596548626833</v>
      </c>
      <c r="AC13" s="84">
        <v>606.68271708908264</v>
      </c>
      <c r="AD13" s="84">
        <v>693.42418079286779</v>
      </c>
      <c r="AE13" s="84">
        <v>735.13008269893828</v>
      </c>
      <c r="AF13" s="84">
        <v>701.82969126480123</v>
      </c>
      <c r="AG13" s="84">
        <v>681.72396063103054</v>
      </c>
      <c r="AH13" s="84">
        <v>793.73084454815455</v>
      </c>
      <c r="AI13" s="84">
        <v>792.89704179418538</v>
      </c>
      <c r="AJ13" s="84">
        <v>835.26212755550455</v>
      </c>
      <c r="AK13" s="84">
        <v>1197.2967603236532</v>
      </c>
      <c r="AL13" s="84">
        <v>933.26369038702717</v>
      </c>
      <c r="AM13" s="84">
        <v>1130.6507268021721</v>
      </c>
      <c r="AN13" s="84">
        <v>1364.8973326883192</v>
      </c>
      <c r="AO13" s="84">
        <v>1264.4585847321025</v>
      </c>
    </row>
    <row r="14" spans="1:41" s="96" customFormat="1" ht="17.100000000000001" customHeight="1" x14ac:dyDescent="0.2">
      <c r="B14" s="100" t="s">
        <v>106</v>
      </c>
      <c r="C14" s="102"/>
      <c r="D14" s="84">
        <v>46.47902317313963</v>
      </c>
      <c r="E14" s="84">
        <v>176.27920437184224</v>
      </c>
      <c r="F14" s="84">
        <v>354.81350731529142</v>
      </c>
      <c r="G14" s="84">
        <v>168.46053653749414</v>
      </c>
      <c r="H14" s="84">
        <v>161.24944941299694</v>
      </c>
      <c r="I14" s="84">
        <v>185.65906895814831</v>
      </c>
      <c r="J14" s="84">
        <v>142.00947327801376</v>
      </c>
      <c r="K14" s="84">
        <v>105.88702806673733</v>
      </c>
      <c r="L14" s="84">
        <v>132.67586533664888</v>
      </c>
      <c r="M14" s="84">
        <v>145.74704258185784</v>
      </c>
      <c r="N14" s="84">
        <v>185.91396810697773</v>
      </c>
      <c r="O14" s="84">
        <v>161.00766322098352</v>
      </c>
      <c r="P14" s="84">
        <v>137.50455040133917</v>
      </c>
      <c r="Q14" s="84">
        <v>132.25464671723438</v>
      </c>
      <c r="R14" s="84">
        <v>137.08393457244588</v>
      </c>
      <c r="S14" s="84">
        <v>130.55232549337308</v>
      </c>
      <c r="T14" s="84">
        <v>110.57092418362788</v>
      </c>
      <c r="U14" s="84">
        <v>143.81745499296193</v>
      </c>
      <c r="V14" s="84">
        <v>120.46051128963482</v>
      </c>
      <c r="W14" s="84">
        <v>137.83335078431506</v>
      </c>
      <c r="X14" s="84">
        <v>97.457406732006191</v>
      </c>
      <c r="Y14" s="84">
        <v>146.47184178003062</v>
      </c>
      <c r="Z14" s="84">
        <v>128.75217383154805</v>
      </c>
      <c r="AA14" s="84">
        <v>187.46757604694113</v>
      </c>
      <c r="AB14" s="84">
        <v>144.40016984748345</v>
      </c>
      <c r="AC14" s="84">
        <v>143.94696647499498</v>
      </c>
      <c r="AD14" s="84">
        <v>171.39983044664055</v>
      </c>
      <c r="AE14" s="84">
        <v>134.23497139771567</v>
      </c>
      <c r="AF14" s="84">
        <v>116.9285892007247</v>
      </c>
      <c r="AG14" s="84">
        <v>93.481166379929732</v>
      </c>
      <c r="AH14" s="84">
        <v>170.64702095618006</v>
      </c>
      <c r="AI14" s="84">
        <v>148.18799443337358</v>
      </c>
      <c r="AJ14" s="84">
        <v>93.10427953071023</v>
      </c>
      <c r="AK14" s="84">
        <v>179.8911271501218</v>
      </c>
      <c r="AL14" s="84">
        <v>151.5433756039005</v>
      </c>
      <c r="AM14" s="84">
        <v>115.58316380092934</v>
      </c>
      <c r="AN14" s="84">
        <v>153.70546765791292</v>
      </c>
      <c r="AO14" s="84">
        <v>360.26010278218797</v>
      </c>
    </row>
    <row r="15" spans="1:41" s="96" customFormat="1" ht="17.100000000000001" customHeight="1" x14ac:dyDescent="0.2">
      <c r="B15" s="100" t="s">
        <v>107</v>
      </c>
      <c r="C15" s="101"/>
      <c r="D15" s="84">
        <v>1409.4018421305138</v>
      </c>
      <c r="E15" s="84">
        <v>1413.3245349100234</v>
      </c>
      <c r="F15" s="84">
        <v>1201.8898747506557</v>
      </c>
      <c r="G15" s="84">
        <v>1676.353765454048</v>
      </c>
      <c r="H15" s="84">
        <v>1589.2980721794465</v>
      </c>
      <c r="I15" s="84">
        <v>1675.2461253299505</v>
      </c>
      <c r="J15" s="84">
        <v>1621.1299671693901</v>
      </c>
      <c r="K15" s="84">
        <v>1363.1825568798301</v>
      </c>
      <c r="L15" s="84">
        <v>1930.4933202893731</v>
      </c>
      <c r="M15" s="84">
        <v>1791.0870320889921</v>
      </c>
      <c r="N15" s="84">
        <v>1594.6062124702053</v>
      </c>
      <c r="O15" s="84">
        <v>1852.6592023614651</v>
      </c>
      <c r="P15" s="84">
        <v>1906.5619850165058</v>
      </c>
      <c r="Q15" s="84">
        <v>1843.8484960247165</v>
      </c>
      <c r="R15" s="84">
        <v>2025.306516189632</v>
      </c>
      <c r="S15" s="84">
        <v>1270.3332853801271</v>
      </c>
      <c r="T15" s="84">
        <v>1720.4007608232243</v>
      </c>
      <c r="U15" s="84">
        <v>2115.22067741105</v>
      </c>
      <c r="V15" s="84">
        <v>1794.4947493572847</v>
      </c>
      <c r="W15" s="84">
        <v>1683.5763329291672</v>
      </c>
      <c r="X15" s="84">
        <v>1876.7122243009285</v>
      </c>
      <c r="Y15" s="84">
        <v>2292.972751569399</v>
      </c>
      <c r="Z15" s="84">
        <v>2146.9989474713966</v>
      </c>
      <c r="AA15" s="84">
        <v>1948.1703556543098</v>
      </c>
      <c r="AB15" s="84">
        <v>2076.3736603100419</v>
      </c>
      <c r="AC15" s="84">
        <v>2400.1939242024628</v>
      </c>
      <c r="AD15" s="84">
        <v>1685.4495985779556</v>
      </c>
      <c r="AE15" s="84">
        <v>1768.8291953679031</v>
      </c>
      <c r="AF15" s="84">
        <v>2114.2277659935403</v>
      </c>
      <c r="AG15" s="84">
        <v>2078.826514278684</v>
      </c>
      <c r="AH15" s="84">
        <v>2084.5297728103501</v>
      </c>
      <c r="AI15" s="84">
        <v>2003.3340846426115</v>
      </c>
      <c r="AJ15" s="84">
        <v>2069.4781211944542</v>
      </c>
      <c r="AK15" s="84">
        <v>1935.0918105557412</v>
      </c>
      <c r="AL15" s="84">
        <v>1928.4703512262092</v>
      </c>
      <c r="AM15" s="84">
        <v>1916.9697045980593</v>
      </c>
      <c r="AN15" s="84">
        <v>2391.1697784416256</v>
      </c>
      <c r="AO15" s="84">
        <v>2426.5715236972646</v>
      </c>
    </row>
    <row r="16" spans="1:41" s="96" customFormat="1" ht="17.100000000000001" customHeight="1" x14ac:dyDescent="0.2">
      <c r="B16" s="103" t="s">
        <v>108</v>
      </c>
      <c r="C16" s="101"/>
      <c r="D16" s="84">
        <v>609.29168223365764</v>
      </c>
      <c r="E16" s="84">
        <v>560.14706834363562</v>
      </c>
      <c r="F16" s="84">
        <v>460.51618819705959</v>
      </c>
      <c r="G16" s="84">
        <v>456.85550938496965</v>
      </c>
      <c r="H16" s="84">
        <v>592.2245573945313</v>
      </c>
      <c r="I16" s="84">
        <v>597.95898208930453</v>
      </c>
      <c r="J16" s="84">
        <v>581.87012407968746</v>
      </c>
      <c r="K16" s="84">
        <v>604.84345126546373</v>
      </c>
      <c r="L16" s="84">
        <v>619.75392765396657</v>
      </c>
      <c r="M16" s="84">
        <v>560.31256028140763</v>
      </c>
      <c r="N16" s="84">
        <v>656.32590718310212</v>
      </c>
      <c r="O16" s="84">
        <v>631.50038682972536</v>
      </c>
      <c r="P16" s="84">
        <v>663.31619099064676</v>
      </c>
      <c r="Q16" s="84">
        <v>709.42138813417182</v>
      </c>
      <c r="R16" s="84">
        <v>678.37171303507034</v>
      </c>
      <c r="S16" s="84">
        <v>602.67981035042499</v>
      </c>
      <c r="T16" s="84">
        <v>730.199192856428</v>
      </c>
      <c r="U16" s="84">
        <v>766.09345579422302</v>
      </c>
      <c r="V16" s="84">
        <v>708.28896063212665</v>
      </c>
      <c r="W16" s="84">
        <v>661.34697027451341</v>
      </c>
      <c r="X16" s="84">
        <v>749.08969881215364</v>
      </c>
      <c r="Y16" s="84">
        <v>834.77305090901996</v>
      </c>
      <c r="Z16" s="84">
        <v>815.50778019417771</v>
      </c>
      <c r="AA16" s="84">
        <v>816.96954174551411</v>
      </c>
      <c r="AB16" s="84">
        <v>925.42454180352752</v>
      </c>
      <c r="AC16" s="84">
        <v>960.02381342908927</v>
      </c>
      <c r="AD16" s="84">
        <v>1078.8764109126935</v>
      </c>
      <c r="AE16" s="84">
        <v>1238.493398121178</v>
      </c>
      <c r="AF16" s="84">
        <v>1253.2395412982009</v>
      </c>
      <c r="AG16" s="84">
        <v>1253.7313239962707</v>
      </c>
      <c r="AH16" s="84">
        <v>1371.7125520542379</v>
      </c>
      <c r="AI16" s="84">
        <v>994.31835682937185</v>
      </c>
      <c r="AJ16" s="84">
        <v>1263.0879027925341</v>
      </c>
      <c r="AK16" s="84">
        <v>1400.2725146887833</v>
      </c>
      <c r="AL16" s="84">
        <v>1426.7868403962395</v>
      </c>
      <c r="AM16" s="84">
        <v>1178.2819377700453</v>
      </c>
      <c r="AN16" s="84">
        <v>1260.9530426104502</v>
      </c>
      <c r="AO16" s="84">
        <v>1524.3292060594486</v>
      </c>
    </row>
    <row r="17" spans="1:41" s="97" customFormat="1" ht="17.100000000000001" customHeight="1" x14ac:dyDescent="0.2">
      <c r="B17" s="98" t="s">
        <v>109</v>
      </c>
      <c r="D17" s="99">
        <v>144.93150319540914</v>
      </c>
      <c r="E17" s="99">
        <v>150.48973299423213</v>
      </c>
      <c r="F17" s="99">
        <v>155.97346787410675</v>
      </c>
      <c r="G17" s="99">
        <v>158.06409986763302</v>
      </c>
      <c r="H17" s="99">
        <v>167.1349976422691</v>
      </c>
      <c r="I17" s="99">
        <v>169.49254882705492</v>
      </c>
      <c r="J17" s="99">
        <v>177.09217343824608</v>
      </c>
      <c r="K17" s="99">
        <v>182.86782878043914</v>
      </c>
      <c r="L17" s="99">
        <v>200.09044097737583</v>
      </c>
      <c r="M17" s="99">
        <v>203.24882915609547</v>
      </c>
      <c r="N17" s="99">
        <v>202.75425854436972</v>
      </c>
      <c r="O17" s="99">
        <v>222.1153396412183</v>
      </c>
      <c r="P17" s="99">
        <v>251.25599205009661</v>
      </c>
      <c r="Q17" s="99">
        <v>261.97624724726325</v>
      </c>
      <c r="R17" s="99">
        <v>253.77955605290646</v>
      </c>
      <c r="S17" s="99">
        <v>208.12970165950244</v>
      </c>
      <c r="T17" s="99">
        <v>8.649238784045906</v>
      </c>
      <c r="U17" s="99">
        <v>81.132765592503176</v>
      </c>
      <c r="V17" s="99">
        <v>298.89018484793712</v>
      </c>
      <c r="W17" s="99">
        <v>718.8878396788848</v>
      </c>
      <c r="X17" s="99">
        <v>299.42136722611201</v>
      </c>
      <c r="Y17" s="99">
        <v>305.00320249100059</v>
      </c>
      <c r="Z17" s="99">
        <v>308.29772748282619</v>
      </c>
      <c r="AA17" s="99">
        <v>314.02355870846833</v>
      </c>
      <c r="AB17" s="99">
        <v>673.78660131867719</v>
      </c>
      <c r="AC17" s="99">
        <v>340.76227002108345</v>
      </c>
      <c r="AD17" s="99">
        <v>342.00997486725589</v>
      </c>
      <c r="AE17" s="99">
        <v>-17.615906630121742</v>
      </c>
      <c r="AF17" s="99">
        <v>143.78092282722639</v>
      </c>
      <c r="AG17" s="99">
        <v>347.25882659544754</v>
      </c>
      <c r="AH17" s="99">
        <v>474.39048163881432</v>
      </c>
      <c r="AI17" s="99">
        <v>573.04497163488372</v>
      </c>
      <c r="AJ17" s="99">
        <v>516.64310278017945</v>
      </c>
      <c r="AK17" s="99">
        <v>461.50311339479958</v>
      </c>
      <c r="AL17" s="99">
        <v>433.12263527295096</v>
      </c>
      <c r="AM17" s="99">
        <v>388.42685546895927</v>
      </c>
      <c r="AN17" s="99">
        <v>386.53465768469329</v>
      </c>
      <c r="AO17" s="99">
        <v>379.87383719434797</v>
      </c>
    </row>
    <row r="18" spans="1:41" s="97" customFormat="1" ht="17.100000000000001" customHeight="1" x14ac:dyDescent="0.2">
      <c r="B18" s="98" t="s">
        <v>110</v>
      </c>
      <c r="D18" s="99">
        <v>-1224.5272322729288</v>
      </c>
      <c r="E18" s="99">
        <v>-593.25707401034288</v>
      </c>
      <c r="F18" s="99">
        <v>-541.79084248982599</v>
      </c>
      <c r="G18" s="99">
        <v>-1454.61054075232</v>
      </c>
      <c r="H18" s="99">
        <v>-1780.4766147368791</v>
      </c>
      <c r="I18" s="99">
        <v>-1980.7948595749585</v>
      </c>
      <c r="J18" s="99">
        <v>-1852.010882513694</v>
      </c>
      <c r="K18" s="99">
        <v>-2175.2144833356215</v>
      </c>
      <c r="L18" s="99">
        <v>-2067.6646234634518</v>
      </c>
      <c r="M18" s="99">
        <v>-2307.7240153638886</v>
      </c>
      <c r="N18" s="99">
        <v>-1088.9973891348964</v>
      </c>
      <c r="O18" s="99">
        <v>-1328.9091027705272</v>
      </c>
      <c r="P18" s="99">
        <v>-1654.5270964854735</v>
      </c>
      <c r="Q18" s="99">
        <v>-1637.9164237407404</v>
      </c>
      <c r="R18" s="99">
        <v>-2618.4059353162584</v>
      </c>
      <c r="S18" s="99">
        <v>-2709.4946587647664</v>
      </c>
      <c r="T18" s="99">
        <v>-3430.9136703167396</v>
      </c>
      <c r="U18" s="99">
        <v>-4396.2514083893693</v>
      </c>
      <c r="V18" s="99">
        <v>-2589.3459185184965</v>
      </c>
      <c r="W18" s="99">
        <v>-4639.3734630039071</v>
      </c>
      <c r="X18" s="99">
        <v>-3729.1223562766954</v>
      </c>
      <c r="Y18" s="99">
        <v>-4317.5612094874514</v>
      </c>
      <c r="Z18" s="99">
        <v>-4369.8713641657823</v>
      </c>
      <c r="AA18" s="99">
        <v>-4609.2233050083141</v>
      </c>
      <c r="AB18" s="99">
        <v>-5427.535261009516</v>
      </c>
      <c r="AC18" s="99">
        <v>-4647.4095533512482</v>
      </c>
      <c r="AD18" s="99">
        <v>-4246.3617174560059</v>
      </c>
      <c r="AE18" s="99">
        <v>-4232.187781531924</v>
      </c>
      <c r="AF18" s="99">
        <v>-5067.71061129797</v>
      </c>
      <c r="AG18" s="99">
        <v>-4704.4921025981521</v>
      </c>
      <c r="AH18" s="99">
        <v>-4762.1380932292795</v>
      </c>
      <c r="AI18" s="99">
        <v>-4079.6656785898649</v>
      </c>
      <c r="AJ18" s="99">
        <v>-4668.6175317172365</v>
      </c>
      <c r="AK18" s="99">
        <v>-5932.2464573174511</v>
      </c>
      <c r="AL18" s="99">
        <v>-3725.7060792644334</v>
      </c>
      <c r="AM18" s="99">
        <v>-2353.4435141891445</v>
      </c>
      <c r="AN18" s="99">
        <v>-4755.9239996579308</v>
      </c>
      <c r="AO18" s="99">
        <v>-3203.172619053079</v>
      </c>
    </row>
    <row r="19" spans="1:41" s="97" customFormat="1" ht="17.100000000000001" customHeight="1" x14ac:dyDescent="0.2">
      <c r="B19" s="104" t="s">
        <v>111</v>
      </c>
      <c r="D19" s="99">
        <v>3997.3515198604664</v>
      </c>
      <c r="E19" s="99">
        <v>4737.9170382834618</v>
      </c>
      <c r="F19" s="99">
        <v>4690.4505107924242</v>
      </c>
      <c r="G19" s="99">
        <v>4654.6121744332277</v>
      </c>
      <c r="H19" s="99">
        <v>4289.5712018169079</v>
      </c>
      <c r="I19" s="99">
        <v>4698.8572458938124</v>
      </c>
      <c r="J19" s="99">
        <v>4521.4652857482324</v>
      </c>
      <c r="K19" s="99">
        <v>4667.7085720413461</v>
      </c>
      <c r="L19" s="99">
        <v>5174.4533865560898</v>
      </c>
      <c r="M19" s="99">
        <v>5456.2602854817524</v>
      </c>
      <c r="N19" s="99">
        <v>6482.3585417054073</v>
      </c>
      <c r="O19" s="99">
        <v>5486.2439893242381</v>
      </c>
      <c r="P19" s="99">
        <v>5927.7013635497024</v>
      </c>
      <c r="Q19" s="99">
        <v>6057.8728961585311</v>
      </c>
      <c r="R19" s="99">
        <v>5852.7709329080799</v>
      </c>
      <c r="S19" s="99">
        <v>3694.4396928567494</v>
      </c>
      <c r="T19" s="99">
        <v>5548.0881369631652</v>
      </c>
      <c r="U19" s="99">
        <v>5551.5226211346526</v>
      </c>
      <c r="V19" s="99">
        <v>5966.6539379227797</v>
      </c>
      <c r="W19" s="99">
        <v>6338.5875987722029</v>
      </c>
      <c r="X19" s="99">
        <v>4582.4575647164365</v>
      </c>
      <c r="Y19" s="99">
        <v>4765.6022770990994</v>
      </c>
      <c r="Z19" s="99">
        <v>5033.1741047403802</v>
      </c>
      <c r="AA19" s="99">
        <v>5184.557282345575</v>
      </c>
      <c r="AB19" s="99">
        <v>5061.8940800310611</v>
      </c>
      <c r="AC19" s="99">
        <v>4389.1595219944338</v>
      </c>
      <c r="AD19" s="99">
        <v>5294.2455332088102</v>
      </c>
      <c r="AE19" s="99">
        <v>6486.3370858120361</v>
      </c>
      <c r="AF19" s="99">
        <v>7043.1868165153983</v>
      </c>
      <c r="AG19" s="99">
        <v>7881.3528636719939</v>
      </c>
      <c r="AH19" s="99">
        <v>8643.0593496383408</v>
      </c>
      <c r="AI19" s="99">
        <v>10568.919914137534</v>
      </c>
      <c r="AJ19" s="99">
        <v>10658.809036921577</v>
      </c>
      <c r="AK19" s="99">
        <v>10504.266027518526</v>
      </c>
      <c r="AL19" s="99">
        <v>11222.080222549408</v>
      </c>
      <c r="AM19" s="99">
        <v>16470.24242831473</v>
      </c>
      <c r="AN19" s="99">
        <v>15184.65088117601</v>
      </c>
      <c r="AO19" s="99">
        <v>18103.894548881599</v>
      </c>
    </row>
    <row r="20" spans="1:41" s="96" customFormat="1" ht="17.100000000000001" customHeight="1" x14ac:dyDescent="0.2">
      <c r="B20" s="100" t="s">
        <v>112</v>
      </c>
      <c r="D20" s="84">
        <v>2419.3149730050541</v>
      </c>
      <c r="E20" s="84">
        <v>3134.4156237631582</v>
      </c>
      <c r="F20" s="84">
        <v>2983.9488943484916</v>
      </c>
      <c r="G20" s="84">
        <v>3006.0800196444993</v>
      </c>
      <c r="H20" s="84">
        <v>2570.1557419662049</v>
      </c>
      <c r="I20" s="84">
        <v>2822.1089075078771</v>
      </c>
      <c r="J20" s="84">
        <v>2875.9127175205344</v>
      </c>
      <c r="K20" s="84">
        <v>2949.3209294071826</v>
      </c>
      <c r="L20" s="84">
        <v>3203.7535964634462</v>
      </c>
      <c r="M20" s="84">
        <v>3579.7645157708753</v>
      </c>
      <c r="N20" s="84">
        <v>4809.4836103308826</v>
      </c>
      <c r="O20" s="84">
        <v>3724.0821088885255</v>
      </c>
      <c r="P20" s="84">
        <v>3757.2622131674698</v>
      </c>
      <c r="Q20" s="84">
        <v>3890.0161856061632</v>
      </c>
      <c r="R20" s="84">
        <v>3984.4644112711067</v>
      </c>
      <c r="S20" s="84">
        <v>3141.0910754970564</v>
      </c>
      <c r="T20" s="84">
        <v>4570.7607257436775</v>
      </c>
      <c r="U20" s="84">
        <v>4337.7691469205183</v>
      </c>
      <c r="V20" s="84">
        <v>4465.4880902703044</v>
      </c>
      <c r="W20" s="84">
        <v>4733.9219959751636</v>
      </c>
      <c r="X20" s="84">
        <v>3201.3197302808267</v>
      </c>
      <c r="Y20" s="84">
        <v>3402.9988056065031</v>
      </c>
      <c r="Z20" s="84">
        <v>3587.6505762686211</v>
      </c>
      <c r="AA20" s="84">
        <v>3721.0131906179768</v>
      </c>
      <c r="AB20" s="84">
        <v>3871.6816000772151</v>
      </c>
      <c r="AC20" s="84">
        <v>3121.6283953402326</v>
      </c>
      <c r="AD20" s="84">
        <v>3990.2037660772367</v>
      </c>
      <c r="AE20" s="84">
        <v>4844.9706420457578</v>
      </c>
      <c r="AF20" s="84">
        <v>5341.7943737199103</v>
      </c>
      <c r="AG20" s="84">
        <v>5899.3634499796844</v>
      </c>
      <c r="AH20" s="84">
        <v>6271.4470128119037</v>
      </c>
      <c r="AI20" s="84">
        <v>8089.075119066054</v>
      </c>
      <c r="AJ20" s="84">
        <v>8329.7783741653675</v>
      </c>
      <c r="AK20" s="84">
        <v>8177.6830551366565</v>
      </c>
      <c r="AL20" s="84">
        <v>8699.2729552823603</v>
      </c>
      <c r="AM20" s="84">
        <v>13924.798882369529</v>
      </c>
      <c r="AN20" s="84">
        <v>12705.752042237275</v>
      </c>
      <c r="AO20" s="84">
        <v>15928.044383204644</v>
      </c>
    </row>
    <row r="21" spans="1:41" s="96" customFormat="1" ht="17.100000000000001" customHeight="1" x14ac:dyDescent="0.2">
      <c r="B21" s="100" t="s">
        <v>113</v>
      </c>
      <c r="C21" s="102"/>
      <c r="D21" s="84">
        <v>1578.0365468554126</v>
      </c>
      <c r="E21" s="84">
        <v>1603.5014145203033</v>
      </c>
      <c r="F21" s="84">
        <v>1706.5016164439326</v>
      </c>
      <c r="G21" s="84">
        <v>1648.5321547887286</v>
      </c>
      <c r="H21" s="84">
        <v>1719.4154598507032</v>
      </c>
      <c r="I21" s="84">
        <v>1876.7483383859358</v>
      </c>
      <c r="J21" s="84">
        <v>1645.5525682276982</v>
      </c>
      <c r="K21" s="84">
        <v>1718.3876426341633</v>
      </c>
      <c r="L21" s="84">
        <v>1970.6997900926435</v>
      </c>
      <c r="M21" s="84">
        <v>1876.4957697108766</v>
      </c>
      <c r="N21" s="84">
        <v>1672.8749313745252</v>
      </c>
      <c r="O21" s="84">
        <v>1762.1618804357124</v>
      </c>
      <c r="P21" s="84">
        <v>2170.4391503822321</v>
      </c>
      <c r="Q21" s="84">
        <v>2167.8567105523675</v>
      </c>
      <c r="R21" s="84">
        <v>1868.3065216369735</v>
      </c>
      <c r="S21" s="84">
        <v>553.34861735969309</v>
      </c>
      <c r="T21" s="84">
        <v>977.32741121948766</v>
      </c>
      <c r="U21" s="84">
        <v>1213.7534742141347</v>
      </c>
      <c r="V21" s="84">
        <v>1501.1658476524751</v>
      </c>
      <c r="W21" s="84">
        <v>1604.6656027970394</v>
      </c>
      <c r="X21" s="84">
        <v>1381.1378344356101</v>
      </c>
      <c r="Y21" s="84">
        <v>1362.6034714925961</v>
      </c>
      <c r="Z21" s="84">
        <v>1445.5235284717594</v>
      </c>
      <c r="AA21" s="84">
        <v>1463.5440917275982</v>
      </c>
      <c r="AB21" s="84">
        <v>1190.2124799538465</v>
      </c>
      <c r="AC21" s="84">
        <v>1267.5311266542017</v>
      </c>
      <c r="AD21" s="84">
        <v>1304.041767131574</v>
      </c>
      <c r="AE21" s="84">
        <v>1641.3664437662781</v>
      </c>
      <c r="AF21" s="84">
        <v>1701.3924427954878</v>
      </c>
      <c r="AG21" s="84">
        <v>1981.9894136923092</v>
      </c>
      <c r="AH21" s="84">
        <v>2371.612336826438</v>
      </c>
      <c r="AI21" s="84">
        <v>2479.8447950714803</v>
      </c>
      <c r="AJ21" s="84">
        <v>2329.0306627562099</v>
      </c>
      <c r="AK21" s="84">
        <v>2326.5829723818688</v>
      </c>
      <c r="AL21" s="84">
        <v>2522.8072672670469</v>
      </c>
      <c r="AM21" s="84">
        <v>2545.443545945202</v>
      </c>
      <c r="AN21" s="84">
        <v>2478.8988389387359</v>
      </c>
      <c r="AO21" s="84">
        <v>2175.8501656769536</v>
      </c>
    </row>
    <row r="22" spans="1:41" s="97" customFormat="1" ht="17.100000000000001" customHeight="1" x14ac:dyDescent="0.2">
      <c r="B22" s="104" t="s">
        <v>114</v>
      </c>
      <c r="D22" s="99">
        <v>5221.8787521333952</v>
      </c>
      <c r="E22" s="99">
        <v>5331.1741122938047</v>
      </c>
      <c r="F22" s="99">
        <v>5232.2413532822502</v>
      </c>
      <c r="G22" s="99">
        <v>6109.2227151855477</v>
      </c>
      <c r="H22" s="99">
        <v>6070.047816553787</v>
      </c>
      <c r="I22" s="99">
        <v>6679.652105468771</v>
      </c>
      <c r="J22" s="99">
        <v>6373.4761682619264</v>
      </c>
      <c r="K22" s="99">
        <v>6842.9230553769676</v>
      </c>
      <c r="L22" s="99">
        <v>7242.1180100195415</v>
      </c>
      <c r="M22" s="99">
        <v>7763.984300845641</v>
      </c>
      <c r="N22" s="99">
        <v>7571.3559308403037</v>
      </c>
      <c r="O22" s="99">
        <v>6815.1530920947653</v>
      </c>
      <c r="P22" s="99">
        <v>7582.2284600351759</v>
      </c>
      <c r="Q22" s="99">
        <v>7695.7893198992715</v>
      </c>
      <c r="R22" s="99">
        <v>8471.1768682243383</v>
      </c>
      <c r="S22" s="99">
        <v>6403.9343516215158</v>
      </c>
      <c r="T22" s="99">
        <v>8979.0018072799048</v>
      </c>
      <c r="U22" s="99">
        <v>9947.7740295240219</v>
      </c>
      <c r="V22" s="99">
        <v>8555.9998564412763</v>
      </c>
      <c r="W22" s="99">
        <v>10977.96106177611</v>
      </c>
      <c r="X22" s="99">
        <v>8311.579920993132</v>
      </c>
      <c r="Y22" s="99">
        <v>9083.1634865865508</v>
      </c>
      <c r="Z22" s="99">
        <v>9403.0454689061626</v>
      </c>
      <c r="AA22" s="99">
        <v>9793.7805873538891</v>
      </c>
      <c r="AB22" s="99">
        <v>10489.429341040577</v>
      </c>
      <c r="AC22" s="99">
        <v>9036.569075345682</v>
      </c>
      <c r="AD22" s="99">
        <v>9540.6072506648161</v>
      </c>
      <c r="AE22" s="99">
        <v>10718.52486734396</v>
      </c>
      <c r="AF22" s="99">
        <v>12110.897427813368</v>
      </c>
      <c r="AG22" s="99">
        <v>12585.844966270146</v>
      </c>
      <c r="AH22" s="99">
        <v>13405.19744286762</v>
      </c>
      <c r="AI22" s="99">
        <v>14648.585592727399</v>
      </c>
      <c r="AJ22" s="99">
        <v>15327.426568638813</v>
      </c>
      <c r="AK22" s="99">
        <v>16436.512484835977</v>
      </c>
      <c r="AL22" s="99">
        <v>14947.786301813841</v>
      </c>
      <c r="AM22" s="99">
        <v>18823.685942503875</v>
      </c>
      <c r="AN22" s="99">
        <v>19940.574880833941</v>
      </c>
      <c r="AO22" s="99">
        <v>21307.067167934678</v>
      </c>
    </row>
    <row r="23" spans="1:41" s="96" customFormat="1" ht="17.100000000000001" customHeight="1" x14ac:dyDescent="0.2">
      <c r="B23" s="100" t="s">
        <v>112</v>
      </c>
      <c r="D23" s="84">
        <v>3409.3170624309719</v>
      </c>
      <c r="E23" s="84">
        <v>3482.8981911040705</v>
      </c>
      <c r="F23" s="84">
        <v>3532.4545106261562</v>
      </c>
      <c r="G23" s="84">
        <v>4065.6261118978691</v>
      </c>
      <c r="H23" s="84">
        <v>4038.6687816038775</v>
      </c>
      <c r="I23" s="84">
        <v>4489.2559765360174</v>
      </c>
      <c r="J23" s="84">
        <v>4477.0687892155756</v>
      </c>
      <c r="K23" s="84">
        <v>4638.0445964422406</v>
      </c>
      <c r="L23" s="84">
        <v>4596.718539231767</v>
      </c>
      <c r="M23" s="84">
        <v>5083.8208765185473</v>
      </c>
      <c r="N23" s="84">
        <v>5027.1002129563603</v>
      </c>
      <c r="O23" s="84">
        <v>4437.3924797695863</v>
      </c>
      <c r="P23" s="84">
        <v>4909.3422926606245</v>
      </c>
      <c r="Q23" s="84">
        <v>5179.5840599087296</v>
      </c>
      <c r="R23" s="84">
        <v>5227.4501761835054</v>
      </c>
      <c r="S23" s="84">
        <v>4257.8997965959488</v>
      </c>
      <c r="T23" s="84">
        <v>6205.2563020105781</v>
      </c>
      <c r="U23" s="84">
        <v>6578.043725990774</v>
      </c>
      <c r="V23" s="84">
        <v>5790.1459472906845</v>
      </c>
      <c r="W23" s="84">
        <v>7760.1053042467856</v>
      </c>
      <c r="X23" s="84">
        <v>5347.7254125340005</v>
      </c>
      <c r="Y23" s="84">
        <v>6203.957954006878</v>
      </c>
      <c r="Z23" s="84">
        <v>6493.2266936780416</v>
      </c>
      <c r="AA23" s="84">
        <v>6709.4452221900538</v>
      </c>
      <c r="AB23" s="84">
        <v>7038.9444122676614</v>
      </c>
      <c r="AC23" s="84">
        <v>5984.8882205067166</v>
      </c>
      <c r="AD23" s="84">
        <v>6446.3369906884818</v>
      </c>
      <c r="AE23" s="84">
        <v>7481.3036112587952</v>
      </c>
      <c r="AF23" s="84">
        <v>8551.7459017038036</v>
      </c>
      <c r="AG23" s="84">
        <v>8812.5343665348355</v>
      </c>
      <c r="AH23" s="84">
        <v>9440.8400054090762</v>
      </c>
      <c r="AI23" s="84">
        <v>10333.424969540241</v>
      </c>
      <c r="AJ23" s="84">
        <v>11181.61921771014</v>
      </c>
      <c r="AK23" s="84">
        <v>12167.356334269774</v>
      </c>
      <c r="AL23" s="84">
        <v>11002.10002330132</v>
      </c>
      <c r="AM23" s="84">
        <v>14275.090518082101</v>
      </c>
      <c r="AN23" s="84">
        <v>14485.831338025804</v>
      </c>
      <c r="AO23" s="84">
        <v>16027.344925406962</v>
      </c>
    </row>
    <row r="24" spans="1:41" s="96" customFormat="1" ht="17.100000000000001" customHeight="1" x14ac:dyDescent="0.2">
      <c r="B24" s="100" t="s">
        <v>113</v>
      </c>
      <c r="D24" s="84">
        <v>1812.5616897024233</v>
      </c>
      <c r="E24" s="84">
        <v>1848.2759211897342</v>
      </c>
      <c r="F24" s="84">
        <v>1699.7868426560935</v>
      </c>
      <c r="G24" s="84">
        <v>2043.596603287679</v>
      </c>
      <c r="H24" s="84">
        <v>2031.3790349499095</v>
      </c>
      <c r="I24" s="84">
        <v>2190.396128932754</v>
      </c>
      <c r="J24" s="84">
        <v>1896.407379046351</v>
      </c>
      <c r="K24" s="84">
        <v>2204.878458934727</v>
      </c>
      <c r="L24" s="84">
        <v>2645.399470787775</v>
      </c>
      <c r="M24" s="84">
        <v>2680.1634243270933</v>
      </c>
      <c r="N24" s="84">
        <v>2544.2557178839438</v>
      </c>
      <c r="O24" s="84">
        <v>2377.760612325179</v>
      </c>
      <c r="P24" s="84">
        <v>2672.8861673745519</v>
      </c>
      <c r="Q24" s="84">
        <v>2516.2052599905423</v>
      </c>
      <c r="R24" s="84">
        <v>3243.7266920408319</v>
      </c>
      <c r="S24" s="84">
        <v>2146.0345550255665</v>
      </c>
      <c r="T24" s="84">
        <v>2773.7455052693272</v>
      </c>
      <c r="U24" s="84">
        <v>3369.7303035332479</v>
      </c>
      <c r="V24" s="84">
        <v>2765.8539091505918</v>
      </c>
      <c r="W24" s="84">
        <v>3217.8557575293244</v>
      </c>
      <c r="X24" s="84">
        <v>2963.8545084591324</v>
      </c>
      <c r="Y24" s="84">
        <v>2879.2055325796732</v>
      </c>
      <c r="Z24" s="84">
        <v>2909.8187752281201</v>
      </c>
      <c r="AA24" s="84">
        <v>3084.3353651638358</v>
      </c>
      <c r="AB24" s="84">
        <v>3450.4849287729157</v>
      </c>
      <c r="AC24" s="84">
        <v>3051.6808548389658</v>
      </c>
      <c r="AD24" s="84">
        <v>3094.2702599763352</v>
      </c>
      <c r="AE24" s="84">
        <v>3237.221256085164</v>
      </c>
      <c r="AF24" s="84">
        <v>3559.1515261095647</v>
      </c>
      <c r="AG24" s="84">
        <v>3773.3105997353109</v>
      </c>
      <c r="AH24" s="84">
        <v>3964.3574374585442</v>
      </c>
      <c r="AI24" s="84">
        <v>4315.1606231871565</v>
      </c>
      <c r="AJ24" s="84">
        <v>4145.8073509286723</v>
      </c>
      <c r="AK24" s="84">
        <v>4269.1561505662021</v>
      </c>
      <c r="AL24" s="84">
        <v>3945.6862785125213</v>
      </c>
      <c r="AM24" s="84">
        <v>4548.5954244217728</v>
      </c>
      <c r="AN24" s="84">
        <v>5454.7435428081362</v>
      </c>
      <c r="AO24" s="84">
        <v>5279.7222425277141</v>
      </c>
    </row>
    <row r="25" spans="1:41" s="105" customFormat="1" ht="17.100000000000001" customHeight="1" x14ac:dyDescent="0.2">
      <c r="B25" s="104" t="s">
        <v>115</v>
      </c>
      <c r="C25" s="106"/>
      <c r="D25" s="106">
        <v>2666.4162245186017</v>
      </c>
      <c r="E25" s="106">
        <v>-1112.0354763785981</v>
      </c>
      <c r="F25" s="106">
        <v>-531.66948168509771</v>
      </c>
      <c r="G25" s="106">
        <v>-1022.7112631073178</v>
      </c>
      <c r="H25" s="106">
        <v>2616.4060292945069</v>
      </c>
      <c r="I25" s="106">
        <v>-657.64538323265515</v>
      </c>
      <c r="J25" s="106">
        <v>-335.04749565569728</v>
      </c>
      <c r="K25" s="106">
        <v>-171.74796738995428</v>
      </c>
      <c r="L25" s="106">
        <v>2118.7842781674262</v>
      </c>
      <c r="M25" s="106">
        <v>-131.39615967814461</v>
      </c>
      <c r="N25" s="106">
        <v>-417.52415833077976</v>
      </c>
      <c r="O25" s="106">
        <v>-2003.0735524742995</v>
      </c>
      <c r="P25" s="106">
        <v>1622.8561402067353</v>
      </c>
      <c r="Q25" s="106">
        <v>-803.43208272696938</v>
      </c>
      <c r="R25" s="106">
        <v>519.36228948859934</v>
      </c>
      <c r="S25" s="106">
        <v>311.71973595622694</v>
      </c>
      <c r="T25" s="106">
        <v>4574.6211911987848</v>
      </c>
      <c r="U25" s="106">
        <v>1125.1466927205038</v>
      </c>
      <c r="V25" s="106">
        <v>-881.21207452373346</v>
      </c>
      <c r="W25" s="106">
        <v>1127.1147831174458</v>
      </c>
      <c r="X25" s="106">
        <v>3821.5132936405644</v>
      </c>
      <c r="Y25" s="106">
        <v>1867.5056651951236</v>
      </c>
      <c r="Z25" s="106">
        <v>1818.1587439121067</v>
      </c>
      <c r="AA25" s="106">
        <v>1510.6943708881081</v>
      </c>
      <c r="AB25" s="106">
        <v>5182.1732179954488</v>
      </c>
      <c r="AC25" s="106">
        <v>1107.83804027734</v>
      </c>
      <c r="AD25" s="106">
        <v>1738.1267569966658</v>
      </c>
      <c r="AE25" s="106">
        <v>3212.5698307705024</v>
      </c>
      <c r="AF25" s="106">
        <v>6869.9422757049542</v>
      </c>
      <c r="AG25" s="106">
        <v>6559.3291103503434</v>
      </c>
      <c r="AH25" s="106">
        <v>4258.4182786745805</v>
      </c>
      <c r="AI25" s="106">
        <v>3998.0114794274632</v>
      </c>
      <c r="AJ25" s="106">
        <v>6335.0788558962086</v>
      </c>
      <c r="AK25" s="106">
        <v>5631.7246421705786</v>
      </c>
      <c r="AL25" s="106">
        <v>2389.1157922622951</v>
      </c>
      <c r="AM25" s="106">
        <v>3402.5087680986835</v>
      </c>
      <c r="AN25" s="106">
        <v>1652.2892077831057</v>
      </c>
      <c r="AO25" s="106">
        <v>-549.1936033260281</v>
      </c>
    </row>
    <row r="26" spans="1:41" s="96" customFormat="1" ht="17.100000000000001" customHeight="1" x14ac:dyDescent="0.2">
      <c r="B26" s="98" t="s">
        <v>116</v>
      </c>
      <c r="D26" s="84">
        <v>27781.609894407004</v>
      </c>
      <c r="E26" s="84">
        <v>26556.251950829908</v>
      </c>
      <c r="F26" s="84">
        <v>26726.927005653637</v>
      </c>
      <c r="G26" s="84">
        <v>27453.252070582588</v>
      </c>
      <c r="H26" s="84">
        <v>31469.715846024246</v>
      </c>
      <c r="I26" s="84">
        <v>28426.19069202468</v>
      </c>
      <c r="J26" s="84">
        <v>29432.327584072522</v>
      </c>
      <c r="K26" s="84">
        <v>31156.543333262245</v>
      </c>
      <c r="L26" s="84">
        <v>34170.142686819934</v>
      </c>
      <c r="M26" s="84">
        <v>32179.517868214341</v>
      </c>
      <c r="N26" s="84">
        <v>32231.229040047157</v>
      </c>
      <c r="O26" s="84">
        <v>33508.885194103626</v>
      </c>
      <c r="P26" s="84">
        <v>37947.73029736364</v>
      </c>
      <c r="Q26" s="84">
        <v>36401.187485856724</v>
      </c>
      <c r="R26" s="84">
        <v>33706.780324514148</v>
      </c>
      <c r="S26" s="84">
        <v>31633.347000483736</v>
      </c>
      <c r="T26" s="84">
        <v>38917.365363118159</v>
      </c>
      <c r="U26" s="84">
        <v>36898.259898812452</v>
      </c>
      <c r="V26" s="84">
        <v>35155.417421437116</v>
      </c>
      <c r="W26" s="84">
        <v>37339.20494699062</v>
      </c>
      <c r="X26" s="84">
        <v>41189.554199717189</v>
      </c>
      <c r="Y26" s="84">
        <v>39860.901378101429</v>
      </c>
      <c r="Z26" s="84">
        <v>39264.333143038755</v>
      </c>
      <c r="AA26" s="84">
        <v>42435.158552013207</v>
      </c>
      <c r="AB26" s="84">
        <v>48378.598556486882</v>
      </c>
      <c r="AC26" s="84">
        <v>44347.666130945923</v>
      </c>
      <c r="AD26" s="84">
        <v>42069.45458403571</v>
      </c>
      <c r="AE26" s="84">
        <v>48208.667041290239</v>
      </c>
      <c r="AF26" s="84">
        <v>53996.036920175793</v>
      </c>
      <c r="AG26" s="84">
        <v>49628.065348710043</v>
      </c>
      <c r="AH26" s="84">
        <v>47655.291434288541</v>
      </c>
      <c r="AI26" s="84">
        <v>52428.374525973246</v>
      </c>
      <c r="AJ26" s="84">
        <v>59750.387058287808</v>
      </c>
      <c r="AK26" s="84">
        <v>55083.141021491982</v>
      </c>
      <c r="AL26" s="84">
        <v>54730.589878053805</v>
      </c>
      <c r="AM26" s="84">
        <v>58310.478922437309</v>
      </c>
      <c r="AN26" s="84">
        <v>63156.416532644682</v>
      </c>
      <c r="AO26" s="84">
        <v>62001.482686014846</v>
      </c>
    </row>
    <row r="27" spans="1:41" s="96" customFormat="1" ht="17.100000000000001" customHeight="1" x14ac:dyDescent="0.2">
      <c r="A27" s="107"/>
      <c r="B27" s="109"/>
      <c r="C27" s="107"/>
      <c r="D27" s="108"/>
      <c r="E27" s="108"/>
      <c r="F27" s="108"/>
      <c r="G27" s="108"/>
      <c r="H27" s="151" t="s">
        <v>79</v>
      </c>
      <c r="I27" s="151"/>
      <c r="J27" s="151"/>
      <c r="K27" s="151"/>
      <c r="L27" s="151" t="s">
        <v>85</v>
      </c>
      <c r="M27" s="151"/>
      <c r="N27" s="151"/>
      <c r="O27" s="151"/>
      <c r="P27" s="151" t="s">
        <v>86</v>
      </c>
      <c r="Q27" s="151"/>
      <c r="R27" s="151"/>
      <c r="S27" s="151"/>
      <c r="T27" s="151" t="s">
        <v>89</v>
      </c>
      <c r="U27" s="151"/>
      <c r="V27" s="151"/>
      <c r="W27" s="151"/>
      <c r="X27" s="151" t="s">
        <v>90</v>
      </c>
      <c r="Y27" s="151"/>
      <c r="Z27" s="151"/>
      <c r="AA27" s="151"/>
      <c r="AB27" s="152" t="s">
        <v>91</v>
      </c>
      <c r="AC27" s="152"/>
      <c r="AD27" s="152"/>
      <c r="AE27" s="152"/>
      <c r="AF27" s="151" t="s">
        <v>92</v>
      </c>
      <c r="AG27" s="151"/>
      <c r="AH27" s="151"/>
      <c r="AI27" s="151"/>
      <c r="AJ27" s="152" t="s">
        <v>118</v>
      </c>
      <c r="AK27" s="152"/>
      <c r="AL27" s="152"/>
      <c r="AM27" s="152"/>
      <c r="AN27" s="89" t="s">
        <v>120</v>
      </c>
      <c r="AO27" s="89" t="s">
        <v>129</v>
      </c>
    </row>
    <row r="28" spans="1:41" s="110" customFormat="1" ht="17.100000000000001" customHeight="1" x14ac:dyDescent="0.2">
      <c r="B28" s="111" t="s">
        <v>117</v>
      </c>
      <c r="D28" s="112"/>
      <c r="E28" s="112"/>
      <c r="F28" s="112"/>
      <c r="G28" s="112"/>
      <c r="H28" s="93" t="s">
        <v>57</v>
      </c>
      <c r="I28" s="93" t="s">
        <v>58</v>
      </c>
      <c r="J28" s="93" t="s">
        <v>59</v>
      </c>
      <c r="K28" s="93" t="s">
        <v>60</v>
      </c>
      <c r="L28" s="93" t="s">
        <v>57</v>
      </c>
      <c r="M28" s="93" t="s">
        <v>58</v>
      </c>
      <c r="N28" s="93" t="s">
        <v>59</v>
      </c>
      <c r="O28" s="93" t="s">
        <v>60</v>
      </c>
      <c r="P28" s="93" t="s">
        <v>57</v>
      </c>
      <c r="Q28" s="93" t="s">
        <v>58</v>
      </c>
      <c r="R28" s="93" t="s">
        <v>59</v>
      </c>
      <c r="S28" s="93" t="s">
        <v>60</v>
      </c>
      <c r="T28" s="93" t="s">
        <v>57</v>
      </c>
      <c r="U28" s="93" t="s">
        <v>58</v>
      </c>
      <c r="V28" s="93" t="s">
        <v>59</v>
      </c>
      <c r="W28" s="93" t="s">
        <v>60</v>
      </c>
      <c r="X28" s="93" t="s">
        <v>57</v>
      </c>
      <c r="Y28" s="93" t="s">
        <v>58</v>
      </c>
      <c r="Z28" s="93" t="s">
        <v>59</v>
      </c>
      <c r="AA28" s="93" t="s">
        <v>60</v>
      </c>
      <c r="AB28" s="93" t="s">
        <v>57</v>
      </c>
      <c r="AC28" s="93" t="s">
        <v>58</v>
      </c>
      <c r="AD28" s="93" t="s">
        <v>59</v>
      </c>
      <c r="AE28" s="93" t="s">
        <v>60</v>
      </c>
      <c r="AF28" s="93" t="s">
        <v>57</v>
      </c>
      <c r="AG28" s="93" t="s">
        <v>58</v>
      </c>
      <c r="AH28" s="93" t="s">
        <v>59</v>
      </c>
      <c r="AI28" s="93" t="s">
        <v>60</v>
      </c>
      <c r="AJ28" s="93" t="s">
        <v>57</v>
      </c>
      <c r="AK28" s="93" t="s">
        <v>58</v>
      </c>
      <c r="AL28" s="93" t="s">
        <v>59</v>
      </c>
      <c r="AM28" s="93" t="s">
        <v>60</v>
      </c>
      <c r="AN28" s="93" t="s">
        <v>57</v>
      </c>
      <c r="AO28" s="93" t="s">
        <v>58</v>
      </c>
    </row>
    <row r="29" spans="1:41" s="110" customFormat="1" ht="17.100000000000001" customHeight="1" x14ac:dyDescent="0.2">
      <c r="B29" s="98" t="s">
        <v>97</v>
      </c>
      <c r="D29" s="110">
        <v>0.71640228199266853</v>
      </c>
      <c r="E29" s="110">
        <v>0.80367398926763411</v>
      </c>
      <c r="F29" s="110">
        <v>0.79771892728331295</v>
      </c>
      <c r="G29" s="110">
        <v>0.83981294537916729</v>
      </c>
      <c r="H29" s="110">
        <v>0.74936574013007262</v>
      </c>
      <c r="I29" s="110">
        <v>0.83233832570726263</v>
      </c>
      <c r="J29" s="110">
        <v>0.82450794794253757</v>
      </c>
      <c r="K29" s="110">
        <v>0.83447408150990854</v>
      </c>
      <c r="L29" s="110">
        <v>0.75608756359505314</v>
      </c>
      <c r="M29" s="110">
        <v>0.81483680965297833</v>
      </c>
      <c r="N29" s="110">
        <v>0.791804524843294</v>
      </c>
      <c r="O29" s="110">
        <v>0.8361055134662515</v>
      </c>
      <c r="P29" s="110">
        <v>0.77356262595174374</v>
      </c>
      <c r="Q29" s="110">
        <v>0.82584231232206307</v>
      </c>
      <c r="R29" s="110">
        <v>0.79561856102386463</v>
      </c>
      <c r="S29" s="110">
        <v>0.84080657805927084</v>
      </c>
      <c r="T29" s="110">
        <v>0.77884877532707475</v>
      </c>
      <c r="U29" s="110">
        <v>0.84105882060275761</v>
      </c>
      <c r="V29" s="110">
        <v>0.83392461595539225</v>
      </c>
      <c r="W29" s="110">
        <v>0.83120654885073508</v>
      </c>
      <c r="X29" s="110">
        <v>0.76083999100165189</v>
      </c>
      <c r="Y29" s="110">
        <v>0.80551554192914898</v>
      </c>
      <c r="Z29" s="110">
        <v>0.82140725966793715</v>
      </c>
      <c r="AA29" s="110">
        <v>0.8405986541276762</v>
      </c>
      <c r="AB29" s="110">
        <v>0.78586738177843229</v>
      </c>
      <c r="AC29" s="110">
        <v>0.84767352573121579</v>
      </c>
      <c r="AD29" s="110">
        <v>0.82334601157240872</v>
      </c>
      <c r="AE29" s="110">
        <v>0.7947459944500902</v>
      </c>
      <c r="AF29" s="110">
        <v>0.75979035055243138</v>
      </c>
      <c r="AG29" s="110">
        <v>0.72972252809289562</v>
      </c>
      <c r="AH29" s="110">
        <v>0.77029955393385707</v>
      </c>
      <c r="AI29" s="110">
        <v>0.78311181453543022</v>
      </c>
      <c r="AJ29" s="110">
        <v>0.77234399681709098</v>
      </c>
      <c r="AK29" s="110">
        <v>0.76726785989197033</v>
      </c>
      <c r="AL29" s="110">
        <v>0.79009524953029464</v>
      </c>
      <c r="AM29" s="110">
        <v>0.74664924071938799</v>
      </c>
      <c r="AN29" s="110">
        <v>0.83200363646750097</v>
      </c>
      <c r="AO29" s="110">
        <v>0.81671822789594184</v>
      </c>
    </row>
    <row r="30" spans="1:41" s="110" customFormat="1" ht="17.100000000000001" customHeight="1" x14ac:dyDescent="0.2">
      <c r="B30" s="100" t="s">
        <v>98</v>
      </c>
      <c r="D30" s="110">
        <v>6.83411098146392E-2</v>
      </c>
      <c r="E30" s="110">
        <v>7.903424896646255E-2</v>
      </c>
      <c r="F30" s="110">
        <v>7.8331315000478907E-2</v>
      </c>
      <c r="G30" s="110">
        <v>9.4730021681089294E-2</v>
      </c>
      <c r="H30" s="110">
        <v>7.6262798868901818E-2</v>
      </c>
      <c r="I30" s="110">
        <v>9.3418910390965365E-2</v>
      </c>
      <c r="J30" s="110">
        <v>8.6419796614405214E-2</v>
      </c>
      <c r="K30" s="110">
        <v>9.0064704709367088E-2</v>
      </c>
      <c r="L30" s="110">
        <v>7.4795086470846275E-2</v>
      </c>
      <c r="M30" s="110">
        <v>8.784120147527047E-2</v>
      </c>
      <c r="N30" s="110">
        <v>8.2057260954233893E-2</v>
      </c>
      <c r="O30" s="110">
        <v>0.1063313683350838</v>
      </c>
      <c r="P30" s="110">
        <v>7.5747800706118029E-2</v>
      </c>
      <c r="Q30" s="110">
        <v>9.6979622058004741E-2</v>
      </c>
      <c r="R30" s="110">
        <v>9.6623463410561772E-2</v>
      </c>
      <c r="S30" s="110">
        <v>0.11459134154847862</v>
      </c>
      <c r="T30" s="110">
        <v>8.2565318585864259E-2</v>
      </c>
      <c r="U30" s="110">
        <v>0.10297995321557574</v>
      </c>
      <c r="V30" s="110">
        <v>0.10727149518436233</v>
      </c>
      <c r="W30" s="110">
        <v>0.10566360146486808</v>
      </c>
      <c r="X30" s="110">
        <v>8.5548189594513463E-2</v>
      </c>
      <c r="Y30" s="110">
        <v>8.8859074946495836E-2</v>
      </c>
      <c r="Z30" s="110">
        <v>0.10572379711776989</v>
      </c>
      <c r="AA30" s="110">
        <v>0.11103770359932098</v>
      </c>
      <c r="AB30" s="110">
        <v>9.0624421608982944E-2</v>
      </c>
      <c r="AC30" s="110">
        <v>9.8203671727597752E-2</v>
      </c>
      <c r="AD30" s="110">
        <v>0.10035919233084767</v>
      </c>
      <c r="AE30" s="110">
        <v>9.427870782455669E-2</v>
      </c>
      <c r="AF30" s="110">
        <v>7.8983996182900473E-2</v>
      </c>
      <c r="AG30" s="110">
        <v>8.8225169022904656E-2</v>
      </c>
      <c r="AH30" s="110">
        <v>0.10872709235042451</v>
      </c>
      <c r="AI30" s="110">
        <v>0.12570098273947553</v>
      </c>
      <c r="AJ30" s="110">
        <v>0.10260573180293212</v>
      </c>
      <c r="AK30" s="110">
        <v>0.10984554562505071</v>
      </c>
      <c r="AL30" s="110">
        <v>0.12728369007454532</v>
      </c>
      <c r="AM30" s="110">
        <v>0.12758079852412335</v>
      </c>
      <c r="AN30" s="110">
        <v>0.11554208363634848</v>
      </c>
      <c r="AO30" s="110">
        <v>0.10761039542886301</v>
      </c>
    </row>
    <row r="31" spans="1:41" s="110" customFormat="1" ht="17.100000000000001" customHeight="1" x14ac:dyDescent="0.2">
      <c r="B31" s="100" t="s">
        <v>99</v>
      </c>
      <c r="D31" s="110">
        <v>3.6558455705188002E-2</v>
      </c>
      <c r="E31" s="110">
        <v>3.9459852914368473E-2</v>
      </c>
      <c r="F31" s="110">
        <v>4.0581806563632312E-2</v>
      </c>
      <c r="G31" s="110">
        <v>4.0575686627574346E-2</v>
      </c>
      <c r="H31" s="110">
        <v>3.6912747069319601E-2</v>
      </c>
      <c r="I31" s="110">
        <v>4.289988112549787E-2</v>
      </c>
      <c r="J31" s="110">
        <v>4.3000172020386453E-2</v>
      </c>
      <c r="K31" s="110">
        <v>4.2235772023249754E-2</v>
      </c>
      <c r="L31" s="110">
        <v>4.0376588548714898E-2</v>
      </c>
      <c r="M31" s="110">
        <v>4.3966559287664686E-2</v>
      </c>
      <c r="N31" s="110">
        <v>4.4564081359613129E-2</v>
      </c>
      <c r="O31" s="110">
        <v>4.3727903301980925E-2</v>
      </c>
      <c r="P31" s="110">
        <v>3.9998013080357712E-2</v>
      </c>
      <c r="Q31" s="110">
        <v>4.2338269731353899E-2</v>
      </c>
      <c r="R31" s="110">
        <v>4.5660369289473098E-2</v>
      </c>
      <c r="S31" s="110">
        <v>4.7896666263583805E-2</v>
      </c>
      <c r="T31" s="110">
        <v>3.8244102899605587E-2</v>
      </c>
      <c r="U31" s="110">
        <v>4.0233149255083089E-2</v>
      </c>
      <c r="V31" s="110">
        <v>4.4160889268141962E-2</v>
      </c>
      <c r="W31" s="110">
        <v>4.327192150681082E-2</v>
      </c>
      <c r="X31" s="110">
        <v>4.0742936408036293E-2</v>
      </c>
      <c r="Y31" s="110">
        <v>4.373601770110179E-2</v>
      </c>
      <c r="Z31" s="110">
        <v>4.6007844972626569E-2</v>
      </c>
      <c r="AA31" s="110">
        <v>4.4066749199512215E-2</v>
      </c>
      <c r="AB31" s="110">
        <v>4.0812948327618087E-2</v>
      </c>
      <c r="AC31" s="110">
        <v>4.4844921172235902E-2</v>
      </c>
      <c r="AD31" s="110">
        <v>4.7802997504274698E-2</v>
      </c>
      <c r="AE31" s="110">
        <v>4.2127858935022577E-2</v>
      </c>
      <c r="AF31" s="110">
        <v>3.7870411625275713E-2</v>
      </c>
      <c r="AG31" s="110">
        <v>4.3182067860969529E-2</v>
      </c>
      <c r="AH31" s="110">
        <v>4.185131298738453E-2</v>
      </c>
      <c r="AI31" s="110">
        <v>3.9514285866555345E-2</v>
      </c>
      <c r="AJ31" s="110">
        <v>3.444691780091802E-2</v>
      </c>
      <c r="AK31" s="110">
        <v>3.7467360069863655E-2</v>
      </c>
      <c r="AL31" s="110">
        <v>3.1925021035928432E-2</v>
      </c>
      <c r="AM31" s="110">
        <v>3.418159016185833E-2</v>
      </c>
      <c r="AN31" s="110">
        <v>3.399022090473354E-2</v>
      </c>
      <c r="AO31" s="110">
        <v>3.3426242563654465E-2</v>
      </c>
    </row>
    <row r="32" spans="1:41" s="110" customFormat="1" ht="17.100000000000001" customHeight="1" x14ac:dyDescent="0.2">
      <c r="B32" s="100" t="s">
        <v>100</v>
      </c>
      <c r="D32" s="110">
        <v>0.61150271647284138</v>
      </c>
      <c r="E32" s="110">
        <v>0.68517988738680313</v>
      </c>
      <c r="F32" s="110">
        <v>0.67880580571920168</v>
      </c>
      <c r="G32" s="110">
        <v>0.70450723707050367</v>
      </c>
      <c r="H32" s="110">
        <v>0.6361901941918513</v>
      </c>
      <c r="I32" s="110">
        <v>0.69601953419079943</v>
      </c>
      <c r="J32" s="110">
        <v>0.69508797930774591</v>
      </c>
      <c r="K32" s="110">
        <v>0.70217360477729163</v>
      </c>
      <c r="L32" s="110">
        <v>0.64091588857549198</v>
      </c>
      <c r="M32" s="110">
        <v>0.68302904889004323</v>
      </c>
      <c r="N32" s="110">
        <v>0.66518318252944697</v>
      </c>
      <c r="O32" s="110">
        <v>0.68604624182918683</v>
      </c>
      <c r="P32" s="110">
        <v>0.65781681216526788</v>
      </c>
      <c r="Q32" s="110">
        <v>0.68652442053270446</v>
      </c>
      <c r="R32" s="110">
        <v>0.65333472832382977</v>
      </c>
      <c r="S32" s="110">
        <v>0.67831857024720832</v>
      </c>
      <c r="T32" s="110">
        <v>0.65803935384160495</v>
      </c>
      <c r="U32" s="110">
        <v>0.69784571813209872</v>
      </c>
      <c r="V32" s="110">
        <v>0.68249223150288796</v>
      </c>
      <c r="W32" s="110">
        <v>0.68227102587905619</v>
      </c>
      <c r="X32" s="110">
        <v>0.63454886499910212</v>
      </c>
      <c r="Y32" s="110">
        <v>0.67292044928155148</v>
      </c>
      <c r="Z32" s="110">
        <v>0.66967561757754068</v>
      </c>
      <c r="AA32" s="110">
        <v>0.68549420132884298</v>
      </c>
      <c r="AB32" s="110">
        <v>0.65443001184183125</v>
      </c>
      <c r="AC32" s="110">
        <v>0.70462493283138217</v>
      </c>
      <c r="AD32" s="110">
        <v>0.67518382173728642</v>
      </c>
      <c r="AE32" s="110">
        <v>0.6583394276905109</v>
      </c>
      <c r="AF32" s="110">
        <v>0.64293594274425514</v>
      </c>
      <c r="AG32" s="110">
        <v>0.59831529120902149</v>
      </c>
      <c r="AH32" s="110">
        <v>0.6197211485960481</v>
      </c>
      <c r="AI32" s="110">
        <v>0.61789654592939935</v>
      </c>
      <c r="AJ32" s="110">
        <v>0.63529134721324088</v>
      </c>
      <c r="AK32" s="110">
        <v>0.61995495419705593</v>
      </c>
      <c r="AL32" s="110">
        <v>0.6308865384198209</v>
      </c>
      <c r="AM32" s="110">
        <v>0.58488685203340629</v>
      </c>
      <c r="AN32" s="110">
        <v>0.68247133192641896</v>
      </c>
      <c r="AO32" s="110">
        <v>0.67568158990342442</v>
      </c>
    </row>
    <row r="33" spans="2:41" s="110" customFormat="1" ht="17.100000000000001" customHeight="1" x14ac:dyDescent="0.2">
      <c r="B33" s="98" t="s">
        <v>101</v>
      </c>
      <c r="D33" s="110">
        <v>0.22648005990643988</v>
      </c>
      <c r="E33" s="110">
        <v>0.25487353544607522</v>
      </c>
      <c r="F33" s="110">
        <v>0.23660925627878301</v>
      </c>
      <c r="G33" s="110">
        <v>0.24466730847306029</v>
      </c>
      <c r="H33" s="110">
        <v>0.21876030151873946</v>
      </c>
      <c r="I33" s="110">
        <v>0.25451635421554708</v>
      </c>
      <c r="J33" s="110">
        <v>0.24378315812067619</v>
      </c>
      <c r="K33" s="110">
        <v>0.23498467066285847</v>
      </c>
      <c r="L33" s="110">
        <v>0.23656069374517005</v>
      </c>
      <c r="M33" s="110">
        <v>0.25464438503249093</v>
      </c>
      <c r="N33" s="110">
        <v>0.2486459118217611</v>
      </c>
      <c r="O33" s="110">
        <v>0.25670173146563413</v>
      </c>
      <c r="P33" s="110">
        <v>0.22065086101965989</v>
      </c>
      <c r="Q33" s="110">
        <v>0.23402859875926404</v>
      </c>
      <c r="R33" s="110">
        <v>0.25912603552345775</v>
      </c>
      <c r="S33" s="110">
        <v>0.2284129459169795</v>
      </c>
      <c r="T33" s="110">
        <v>0.19154087595291183</v>
      </c>
      <c r="U33" s="110">
        <v>0.24539436062650219</v>
      </c>
      <c r="V33" s="110">
        <v>0.25629384938589178</v>
      </c>
      <c r="W33" s="110">
        <v>0.24360411849403676</v>
      </c>
      <c r="X33" s="110">
        <v>0.2296475898376506</v>
      </c>
      <c r="Y33" s="110">
        <v>0.24829790100969432</v>
      </c>
      <c r="Z33" s="110">
        <v>0.23572894291566879</v>
      </c>
      <c r="AA33" s="110">
        <v>0.22501923138107569</v>
      </c>
      <c r="AB33" s="110">
        <v>0.20527695536468724</v>
      </c>
      <c r="AC33" s="110">
        <v>0.22445674677529348</v>
      </c>
      <c r="AD33" s="110">
        <v>0.22814562308296685</v>
      </c>
      <c r="AE33" s="110">
        <v>0.22676951139252438</v>
      </c>
      <c r="AF33" s="110">
        <v>0.20416973433100058</v>
      </c>
      <c r="AG33" s="110">
        <v>0.22590548563533094</v>
      </c>
      <c r="AH33" s="110">
        <v>0.23031589362785437</v>
      </c>
      <c r="AI33" s="110">
        <v>0.20751557422274997</v>
      </c>
      <c r="AJ33" s="110">
        <v>0.19111892728364352</v>
      </c>
      <c r="AK33" s="110">
        <v>0.22980962524662918</v>
      </c>
      <c r="AL33" s="110">
        <v>0.2264122950392454</v>
      </c>
      <c r="AM33" s="110">
        <v>0.22869837885186259</v>
      </c>
      <c r="AN33" s="110">
        <v>0.2110181225771354</v>
      </c>
      <c r="AO33" s="110">
        <v>0.23767550978713226</v>
      </c>
    </row>
    <row r="34" spans="2:41" s="110" customFormat="1" ht="17.100000000000001" customHeight="1" x14ac:dyDescent="0.2">
      <c r="B34" s="100" t="s">
        <v>102</v>
      </c>
      <c r="D34" s="110">
        <v>2.9624569355439631E-3</v>
      </c>
      <c r="E34" s="110">
        <v>2.9767345918956995E-3</v>
      </c>
      <c r="F34" s="110">
        <v>3.030458650486689E-3</v>
      </c>
      <c r="G34" s="110">
        <v>3.1976916384644401E-3</v>
      </c>
      <c r="H34" s="110">
        <v>2.8997686659856794E-3</v>
      </c>
      <c r="I34" s="110">
        <v>3.4346569449715666E-3</v>
      </c>
      <c r="J34" s="110">
        <v>3.4430680051359126E-3</v>
      </c>
      <c r="K34" s="110">
        <v>3.4286108317106889E-3</v>
      </c>
      <c r="L34" s="110">
        <v>3.2890587363816615E-3</v>
      </c>
      <c r="M34" s="110">
        <v>3.485457399809959E-3</v>
      </c>
      <c r="N34" s="110">
        <v>3.4865503976658084E-3</v>
      </c>
      <c r="O34" s="110">
        <v>3.3278392496081453E-3</v>
      </c>
      <c r="P34" s="110">
        <v>2.9531329083618239E-3</v>
      </c>
      <c r="Q34" s="110">
        <v>3.1045025251424337E-3</v>
      </c>
      <c r="R34" s="110">
        <v>3.33634894553414E-3</v>
      </c>
      <c r="S34" s="110">
        <v>3.5388091382599672E-3</v>
      </c>
      <c r="T34" s="110">
        <v>2.9209991465254897E-3</v>
      </c>
      <c r="U34" s="110">
        <v>3.1278069273934623E-3</v>
      </c>
      <c r="V34" s="110">
        <v>3.2856144546913181E-3</v>
      </c>
      <c r="W34" s="110">
        <v>3.087601209714822E-3</v>
      </c>
      <c r="X34" s="110">
        <v>2.8110618259568278E-3</v>
      </c>
      <c r="Y34" s="110">
        <v>2.9585535063546354E-3</v>
      </c>
      <c r="Z34" s="110">
        <v>3.2058539897791738E-3</v>
      </c>
      <c r="AA34" s="110">
        <v>3.2185724246832346E-3</v>
      </c>
      <c r="AB34" s="110">
        <v>3.1772740972818092E-3</v>
      </c>
      <c r="AC34" s="110">
        <v>3.6599379396641536E-3</v>
      </c>
      <c r="AD34" s="110">
        <v>3.8763631145899615E-3</v>
      </c>
      <c r="AE34" s="110">
        <v>3.4443707695712348E-3</v>
      </c>
      <c r="AF34" s="110">
        <v>2.8642177325928671E-3</v>
      </c>
      <c r="AG34" s="110">
        <v>3.2820973547399955E-3</v>
      </c>
      <c r="AH34" s="110">
        <v>3.0138711078940904E-3</v>
      </c>
      <c r="AI34" s="110">
        <v>2.7957396620520874E-3</v>
      </c>
      <c r="AJ34" s="110">
        <v>2.6600310927278928E-3</v>
      </c>
      <c r="AK34" s="110">
        <v>3.493278847738986E-3</v>
      </c>
      <c r="AL34" s="110">
        <v>2.8297964034881776E-3</v>
      </c>
      <c r="AM34" s="110">
        <v>2.6724533668553061E-3</v>
      </c>
      <c r="AN34" s="110">
        <v>2.4662794259652254E-3</v>
      </c>
      <c r="AO34" s="110">
        <v>2.6819171573343793E-3</v>
      </c>
    </row>
    <row r="35" spans="2:41" s="110" customFormat="1" ht="17.100000000000001" customHeight="1" x14ac:dyDescent="0.2">
      <c r="B35" s="100" t="s">
        <v>103</v>
      </c>
      <c r="D35" s="110">
        <v>5.0304439006541489E-2</v>
      </c>
      <c r="E35" s="110">
        <v>5.7620267955133211E-2</v>
      </c>
      <c r="F35" s="110">
        <v>5.5372291379979559E-2</v>
      </c>
      <c r="G35" s="110">
        <v>5.7258767953785136E-2</v>
      </c>
      <c r="H35" s="110">
        <v>4.850149966317556E-2</v>
      </c>
      <c r="I35" s="110">
        <v>5.471687610613897E-2</v>
      </c>
      <c r="J35" s="110">
        <v>5.6042243003615634E-2</v>
      </c>
      <c r="K35" s="110">
        <v>5.7351313917334237E-2</v>
      </c>
      <c r="L35" s="110">
        <v>5.3362797791263315E-2</v>
      </c>
      <c r="M35" s="110">
        <v>5.7440815740955144E-2</v>
      </c>
      <c r="N35" s="110">
        <v>5.7078903604666525E-2</v>
      </c>
      <c r="O35" s="110">
        <v>5.8982167270776258E-2</v>
      </c>
      <c r="P35" s="110">
        <v>5.0009127333563073E-2</v>
      </c>
      <c r="Q35" s="110">
        <v>5.4689859292137447E-2</v>
      </c>
      <c r="R35" s="110">
        <v>5.8499191943381899E-2</v>
      </c>
      <c r="S35" s="110">
        <v>5.8173540521789718E-2</v>
      </c>
      <c r="T35" s="110">
        <v>4.029470641525653E-2</v>
      </c>
      <c r="U35" s="110">
        <v>5.3274790986462421E-2</v>
      </c>
      <c r="V35" s="110">
        <v>5.8342126818143096E-2</v>
      </c>
      <c r="W35" s="110">
        <v>5.9956594099825997E-2</v>
      </c>
      <c r="X35" s="110">
        <v>6.0016081556261501E-2</v>
      </c>
      <c r="Y35" s="110">
        <v>5.9171462664337274E-2</v>
      </c>
      <c r="Z35" s="110">
        <v>5.5959804136389166E-2</v>
      </c>
      <c r="AA35" s="110">
        <v>5.4858293499808017E-2</v>
      </c>
      <c r="AB35" s="110">
        <v>5.0112672981658161E-2</v>
      </c>
      <c r="AC35" s="110">
        <v>5.0953754595295164E-2</v>
      </c>
      <c r="AD35" s="110">
        <v>5.466387397644671E-2</v>
      </c>
      <c r="AE35" s="110">
        <v>5.5234577778466035E-2</v>
      </c>
      <c r="AF35" s="110">
        <v>4.7695236935923063E-2</v>
      </c>
      <c r="AG35" s="110">
        <v>5.3422899066099545E-2</v>
      </c>
      <c r="AH35" s="110">
        <v>5.1003525567530288E-2</v>
      </c>
      <c r="AI35" s="110">
        <v>4.987768770055339E-2</v>
      </c>
      <c r="AJ35" s="110">
        <v>4.6455404339890767E-2</v>
      </c>
      <c r="AK35" s="110">
        <v>5.7345749790651102E-2</v>
      </c>
      <c r="AL35" s="110">
        <v>5.7155090085942481E-2</v>
      </c>
      <c r="AM35" s="110">
        <v>5.963223912357251E-2</v>
      </c>
      <c r="AN35" s="110">
        <v>5.246613844510916E-2</v>
      </c>
      <c r="AO35" s="110">
        <v>5.8542260936628281E-2</v>
      </c>
    </row>
    <row r="36" spans="2:41" s="110" customFormat="1" ht="17.100000000000001" customHeight="1" x14ac:dyDescent="0.2">
      <c r="B36" s="100" t="s">
        <v>104</v>
      </c>
      <c r="D36" s="110">
        <v>8.1897887947810555E-2</v>
      </c>
      <c r="E36" s="110">
        <v>9.2720152178472764E-2</v>
      </c>
      <c r="F36" s="110">
        <v>8.6313036880866778E-2</v>
      </c>
      <c r="G36" s="110">
        <v>8.4975559548291321E-2</v>
      </c>
      <c r="H36" s="110">
        <v>7.3538876464050926E-2</v>
      </c>
      <c r="I36" s="110">
        <v>8.808892263023535E-2</v>
      </c>
      <c r="J36" s="110">
        <v>8.5512308718649815E-2</v>
      </c>
      <c r="K36" s="110">
        <v>8.7699494715364257E-2</v>
      </c>
      <c r="L36" s="110">
        <v>8.2265191857894326E-2</v>
      </c>
      <c r="M36" s="110">
        <v>9.5220425311379142E-2</v>
      </c>
      <c r="N36" s="110">
        <v>9.2826427284790056E-2</v>
      </c>
      <c r="O36" s="110">
        <v>9.3603240679188515E-2</v>
      </c>
      <c r="P36" s="110">
        <v>7.7185597231163708E-2</v>
      </c>
      <c r="Q36" s="110">
        <v>8.4831878761872065E-2</v>
      </c>
      <c r="R36" s="110">
        <v>9.4387373053951409E-2</v>
      </c>
      <c r="S36" s="110">
        <v>9.4093815948134069E-2</v>
      </c>
      <c r="T36" s="110">
        <v>6.4719473627902049E-2</v>
      </c>
      <c r="U36" s="110">
        <v>8.9410337461277578E-2</v>
      </c>
      <c r="V36" s="110">
        <v>9.7166652736470571E-2</v>
      </c>
      <c r="W36" s="110">
        <v>9.4106112930545618E-2</v>
      </c>
      <c r="X36" s="110">
        <v>8.2730845748403808E-2</v>
      </c>
      <c r="Y36" s="110">
        <v>8.4121002724689226E-2</v>
      </c>
      <c r="Z36" s="110">
        <v>8.0426064698405131E-2</v>
      </c>
      <c r="AA36" s="110">
        <v>7.9216701600899816E-2</v>
      </c>
      <c r="AB36" s="110">
        <v>7.2053226555131217E-2</v>
      </c>
      <c r="AC36" s="110">
        <v>7.7147140794574076E-2</v>
      </c>
      <c r="AD36" s="110">
        <v>8.3339708040704064E-2</v>
      </c>
      <c r="AE36" s="110">
        <v>8.7675818245442488E-2</v>
      </c>
      <c r="AF36" s="110">
        <v>7.6081893756202168E-2</v>
      </c>
      <c r="AG36" s="110">
        <v>8.6429522092907121E-2</v>
      </c>
      <c r="AH36" s="110">
        <v>8.3536076299427039E-2</v>
      </c>
      <c r="AI36" s="110">
        <v>7.9716081760638602E-2</v>
      </c>
      <c r="AJ36" s="110">
        <v>7.0691277138230257E-2</v>
      </c>
      <c r="AK36" s="110">
        <v>8.3417156384494609E-2</v>
      </c>
      <c r="AL36" s="110">
        <v>8.5301583531185055E-2</v>
      </c>
      <c r="AM36" s="110">
        <v>9.1939049507120688E-2</v>
      </c>
      <c r="AN36" s="110">
        <v>7.4213966167418127E-2</v>
      </c>
      <c r="AO36" s="110">
        <v>8.6524136798382834E-2</v>
      </c>
    </row>
    <row r="37" spans="2:41" s="110" customFormat="1" ht="17.100000000000001" customHeight="1" x14ac:dyDescent="0.2">
      <c r="B37" s="100" t="s">
        <v>105</v>
      </c>
      <c r="D37" s="110">
        <v>1.6979319411197132E-2</v>
      </c>
      <c r="E37" s="110">
        <v>2.0605544299610954E-2</v>
      </c>
      <c r="F37" s="110">
        <v>1.6418291475270404E-2</v>
      </c>
      <c r="G37" s="110">
        <v>1.5395684266463984E-2</v>
      </c>
      <c r="H37" s="110">
        <v>1.9374868104246341E-2</v>
      </c>
      <c r="I37" s="110">
        <v>2.1775944916875071E-2</v>
      </c>
      <c r="J37" s="110">
        <v>1.9110916743707903E-2</v>
      </c>
      <c r="K37" s="110">
        <v>1.9940966000676567E-2</v>
      </c>
      <c r="L37" s="110">
        <v>1.9127054490525514E-2</v>
      </c>
      <c r="M37" s="110">
        <v>2.0897187866261251E-2</v>
      </c>
      <c r="N37" s="110">
        <v>1.9648905929166374E-2</v>
      </c>
      <c r="O37" s="110">
        <v>2.1849204815558021E-2</v>
      </c>
      <c r="P37" s="110">
        <v>1.9157953257843391E-2</v>
      </c>
      <c r="Q37" s="110">
        <v>1.7626618530971479E-2</v>
      </c>
      <c r="R37" s="110">
        <v>1.862446498842895E-2</v>
      </c>
      <c r="S37" s="110">
        <v>9.2696499952286474E-3</v>
      </c>
      <c r="T37" s="110">
        <v>1.7795206922348386E-2</v>
      </c>
      <c r="U37" s="110">
        <v>1.7595673172702369E-2</v>
      </c>
      <c r="V37" s="110">
        <v>2.2880963727574526E-2</v>
      </c>
      <c r="W37" s="110">
        <v>1.9961857425477098E-2</v>
      </c>
      <c r="X37" s="110">
        <v>1.7974310489495944E-2</v>
      </c>
      <c r="Y37" s="110">
        <v>1.9905798218573131E-2</v>
      </c>
      <c r="Z37" s="110">
        <v>1.7407781589344615E-2</v>
      </c>
      <c r="AA37" s="110">
        <v>1.8146391049911444E-2</v>
      </c>
      <c r="AB37" s="110">
        <v>1.4900927000697662E-2</v>
      </c>
      <c r="AC37" s="110">
        <v>1.3680149825646356E-2</v>
      </c>
      <c r="AD37" s="110">
        <v>1.6482842186787101E-2</v>
      </c>
      <c r="AE37" s="110">
        <v>1.5248919495519483E-2</v>
      </c>
      <c r="AF37" s="110">
        <v>1.2997800047850554E-2</v>
      </c>
      <c r="AG37" s="110">
        <v>1.3736662024620918E-2</v>
      </c>
      <c r="AH37" s="110">
        <v>1.6655670769375588E-2</v>
      </c>
      <c r="AI37" s="110">
        <v>1.5123433617065139E-2</v>
      </c>
      <c r="AJ37" s="110">
        <v>1.3979191912860549E-2</v>
      </c>
      <c r="AK37" s="110">
        <v>2.1736174410542417E-2</v>
      </c>
      <c r="AL37" s="110">
        <v>1.7051957460470432E-2</v>
      </c>
      <c r="AM37" s="110">
        <v>1.9390180765040992E-2</v>
      </c>
      <c r="AN37" s="110">
        <v>2.1611380246420769E-2</v>
      </c>
      <c r="AO37" s="110">
        <v>2.0394005593955187E-2</v>
      </c>
    </row>
    <row r="38" spans="2:41" s="110" customFormat="1" ht="17.100000000000001" customHeight="1" x14ac:dyDescent="0.2">
      <c r="B38" s="100" t="s">
        <v>106</v>
      </c>
      <c r="D38" s="110">
        <v>1.6730140315769386E-3</v>
      </c>
      <c r="E38" s="110">
        <v>6.6379549605957607E-3</v>
      </c>
      <c r="F38" s="110">
        <v>1.3275507028557249E-2</v>
      </c>
      <c r="G38" s="110">
        <v>6.1362688873573303E-3</v>
      </c>
      <c r="H38" s="110">
        <v>5.1239563204816332E-3</v>
      </c>
      <c r="I38" s="110">
        <v>6.5312679764101232E-3</v>
      </c>
      <c r="J38" s="110">
        <v>4.8249487870902549E-3</v>
      </c>
      <c r="K38" s="110">
        <v>3.3985486430291507E-3</v>
      </c>
      <c r="L38" s="110">
        <v>3.8828010334245535E-3</v>
      </c>
      <c r="M38" s="110">
        <v>4.5291866453294818E-3</v>
      </c>
      <c r="N38" s="110">
        <v>5.7681315185337942E-3</v>
      </c>
      <c r="O38" s="110">
        <v>4.8049244935583577E-3</v>
      </c>
      <c r="P38" s="110">
        <v>3.6235250257086412E-3</v>
      </c>
      <c r="Q38" s="110">
        <v>3.6332508869008863E-3</v>
      </c>
      <c r="R38" s="110">
        <v>4.0669542819771476E-3</v>
      </c>
      <c r="S38" s="110">
        <v>4.1270474948912825E-3</v>
      </c>
      <c r="T38" s="110">
        <v>2.8411718818051215E-3</v>
      </c>
      <c r="U38" s="110">
        <v>3.8976758087605808E-3</v>
      </c>
      <c r="V38" s="110">
        <v>3.4265134686234803E-3</v>
      </c>
      <c r="W38" s="110">
        <v>3.691384189352533E-3</v>
      </c>
      <c r="X38" s="110">
        <v>2.3660709280673726E-3</v>
      </c>
      <c r="Y38" s="110">
        <v>3.6745742498562398E-3</v>
      </c>
      <c r="Z38" s="110">
        <v>3.2791127093005209E-3</v>
      </c>
      <c r="AA38" s="110">
        <v>4.4177418547207787E-3</v>
      </c>
      <c r="AB38" s="110">
        <v>2.9847943957880822E-3</v>
      </c>
      <c r="AC38" s="110">
        <v>3.2458746769212371E-3</v>
      </c>
      <c r="AD38" s="110">
        <v>4.0742109005540194E-3</v>
      </c>
      <c r="AE38" s="110">
        <v>2.7844572280487398E-3</v>
      </c>
      <c r="AF38" s="110">
        <v>2.1655031715306122E-3</v>
      </c>
      <c r="AG38" s="110">
        <v>1.8836351109616555E-3</v>
      </c>
      <c r="AH38" s="110">
        <v>3.5808619739842265E-3</v>
      </c>
      <c r="AI38" s="110">
        <v>2.8264846235116557E-3</v>
      </c>
      <c r="AJ38" s="110">
        <v>1.5582205256659673E-3</v>
      </c>
      <c r="AK38" s="110">
        <v>3.2658109870664976E-3</v>
      </c>
      <c r="AL38" s="110">
        <v>2.7688971732546092E-3</v>
      </c>
      <c r="AM38" s="110">
        <v>1.9822022719908419E-3</v>
      </c>
      <c r="AN38" s="110">
        <v>2.4337268657170356E-3</v>
      </c>
      <c r="AO38" s="110">
        <v>5.810507864894154E-3</v>
      </c>
    </row>
    <row r="39" spans="2:41" s="110" customFormat="1" ht="17.100000000000001" customHeight="1" x14ac:dyDescent="0.2">
      <c r="B39" s="100" t="s">
        <v>107</v>
      </c>
      <c r="D39" s="110">
        <v>5.073146759627687E-2</v>
      </c>
      <c r="E39" s="110">
        <v>5.322003035393915E-2</v>
      </c>
      <c r="F39" s="110">
        <v>4.4969250467755455E-2</v>
      </c>
      <c r="G39" s="110">
        <v>6.1062119749752251E-2</v>
      </c>
      <c r="H39" s="110">
        <v>5.0502460205093712E-2</v>
      </c>
      <c r="I39" s="110">
        <v>5.8933190995582869E-2</v>
      </c>
      <c r="J39" s="110">
        <v>5.5079910433134552E-2</v>
      </c>
      <c r="K39" s="110">
        <v>4.3752689195932642E-2</v>
      </c>
      <c r="L39" s="110">
        <v>5.6496495726779644E-2</v>
      </c>
      <c r="M39" s="110">
        <v>5.5659225207291163E-2</v>
      </c>
      <c r="N39" s="110">
        <v>4.9473949953596684E-2</v>
      </c>
      <c r="O39" s="110">
        <v>5.5288595595757606E-2</v>
      </c>
      <c r="P39" s="110">
        <v>5.0241792330566901E-2</v>
      </c>
      <c r="Q39" s="110">
        <v>5.0653525980192904E-2</v>
      </c>
      <c r="R39" s="110">
        <v>6.008602710466162E-2</v>
      </c>
      <c r="S39" s="110">
        <v>4.015804225081529E-2</v>
      </c>
      <c r="T39" s="110">
        <v>4.4206506395565046E-2</v>
      </c>
      <c r="U39" s="110">
        <v>5.7325756911347656E-2</v>
      </c>
      <c r="V39" s="110">
        <v>5.1044615054493293E-2</v>
      </c>
      <c r="W39" s="110">
        <v>4.5088703289727014E-2</v>
      </c>
      <c r="X39" s="110">
        <v>4.5562819524611754E-2</v>
      </c>
      <c r="Y39" s="110">
        <v>5.7524357761490563E-2</v>
      </c>
      <c r="Z39" s="110">
        <v>5.4680642089347233E-2</v>
      </c>
      <c r="AA39" s="110">
        <v>4.5909345508074809E-2</v>
      </c>
      <c r="AB39" s="110">
        <v>4.2919260215561368E-2</v>
      </c>
      <c r="AC39" s="110">
        <v>5.4122215070244721E-2</v>
      </c>
      <c r="AD39" s="110">
        <v>4.0063500115296025E-2</v>
      </c>
      <c r="AE39" s="110">
        <v>3.6691103569673866E-2</v>
      </c>
      <c r="AF39" s="110">
        <v>3.9155239654330119E-2</v>
      </c>
      <c r="AG39" s="110">
        <v>4.1888123175301613E-2</v>
      </c>
      <c r="AH39" s="110">
        <v>4.3741832440258803E-2</v>
      </c>
      <c r="AI39" s="110">
        <v>3.8210875365784054E-2</v>
      </c>
      <c r="AJ39" s="110">
        <v>3.4635392724328848E-2</v>
      </c>
      <c r="AK39" s="110">
        <v>3.5130382448610178E-2</v>
      </c>
      <c r="AL39" s="110">
        <v>3.5235694618367321E-2</v>
      </c>
      <c r="AM39" s="110">
        <v>3.287521797150645E-2</v>
      </c>
      <c r="AN39" s="110">
        <v>3.7861074293308941E-2</v>
      </c>
      <c r="AO39" s="110">
        <v>3.9137314441104583E-2</v>
      </c>
    </row>
    <row r="40" spans="2:41" s="110" customFormat="1" ht="17.100000000000001" customHeight="1" x14ac:dyDescent="0.2">
      <c r="B40" s="103" t="s">
        <v>108</v>
      </c>
      <c r="D40" s="110">
        <v>2.1931474977492947E-2</v>
      </c>
      <c r="E40" s="110">
        <v>2.109285110642771E-2</v>
      </c>
      <c r="F40" s="110">
        <v>1.7230420395866874E-2</v>
      </c>
      <c r="G40" s="110">
        <v>1.6641216428945813E-2</v>
      </c>
      <c r="H40" s="110">
        <v>1.8818872095705642E-2</v>
      </c>
      <c r="I40" s="110">
        <v>2.103549464533316E-2</v>
      </c>
      <c r="J40" s="110">
        <v>1.9769762429342148E-2</v>
      </c>
      <c r="K40" s="110">
        <v>1.9413047358810893E-2</v>
      </c>
      <c r="L40" s="110">
        <v>1.8137294108901022E-2</v>
      </c>
      <c r="M40" s="110">
        <v>1.741208686146483E-2</v>
      </c>
      <c r="N40" s="110">
        <v>2.0363043133341894E-2</v>
      </c>
      <c r="O40" s="110">
        <v>1.8845759361187195E-2</v>
      </c>
      <c r="P40" s="110">
        <v>1.7479732932452342E-2</v>
      </c>
      <c r="Q40" s="110">
        <v>1.9488962782046867E-2</v>
      </c>
      <c r="R40" s="110">
        <v>2.012567520552257E-2</v>
      </c>
      <c r="S40" s="110">
        <v>1.9052040567860518E-2</v>
      </c>
      <c r="T40" s="110">
        <v>1.8762811563509257E-2</v>
      </c>
      <c r="U40" s="110">
        <v>2.0762319358558132E-2</v>
      </c>
      <c r="V40" s="110">
        <v>2.0147363125895507E-2</v>
      </c>
      <c r="W40" s="110">
        <v>1.7711865349393712E-2</v>
      </c>
      <c r="X40" s="110">
        <v>1.8186399764853416E-2</v>
      </c>
      <c r="Y40" s="110">
        <v>2.0942151884393242E-2</v>
      </c>
      <c r="Z40" s="110">
        <v>2.0769683703102965E-2</v>
      </c>
      <c r="AA40" s="110">
        <v>1.9252185442977576E-2</v>
      </c>
      <c r="AB40" s="110">
        <v>1.9128800118568982E-2</v>
      </c>
      <c r="AC40" s="110">
        <v>2.1647673872947783E-2</v>
      </c>
      <c r="AD40" s="110">
        <v>2.564512474858896E-2</v>
      </c>
      <c r="AE40" s="110">
        <v>2.569026430580254E-2</v>
      </c>
      <c r="AF40" s="110">
        <v>2.3209843032571228E-2</v>
      </c>
      <c r="AG40" s="110">
        <v>2.5262546810700094E-2</v>
      </c>
      <c r="AH40" s="110">
        <v>2.8784055469384343E-2</v>
      </c>
      <c r="AI40" s="110">
        <v>1.8965271493145038E-2</v>
      </c>
      <c r="AJ40" s="110">
        <v>2.1139409549939221E-2</v>
      </c>
      <c r="AK40" s="110">
        <v>2.5421072377525351E-2</v>
      </c>
      <c r="AL40" s="110">
        <v>2.6069275766537298E-2</v>
      </c>
      <c r="AM40" s="110">
        <v>2.0207035845775805E-2</v>
      </c>
      <c r="AN40" s="110">
        <v>1.9965557133196133E-2</v>
      </c>
      <c r="AO40" s="110">
        <v>2.4585366994832832E-2</v>
      </c>
    </row>
    <row r="41" spans="2:41" s="110" customFormat="1" ht="17.100000000000001" customHeight="1" x14ac:dyDescent="0.2">
      <c r="B41" s="98" t="s">
        <v>109</v>
      </c>
      <c r="D41" s="110">
        <v>5.2168144231478381E-3</v>
      </c>
      <c r="E41" s="110">
        <v>5.6668287856611174E-3</v>
      </c>
      <c r="F41" s="110">
        <v>5.8358174825378596E-3</v>
      </c>
      <c r="G41" s="110">
        <v>5.7575728901351512E-3</v>
      </c>
      <c r="H41" s="110">
        <v>5.3109789252636114E-3</v>
      </c>
      <c r="I41" s="110">
        <v>5.9625487869047521E-3</v>
      </c>
      <c r="J41" s="110">
        <v>6.0169272352785502E-3</v>
      </c>
      <c r="K41" s="110">
        <v>5.869323397798506E-3</v>
      </c>
      <c r="L41" s="110">
        <v>5.8557098462030856E-3</v>
      </c>
      <c r="M41" s="110">
        <v>6.3160930498855185E-3</v>
      </c>
      <c r="N41" s="110">
        <v>6.2906151761215334E-3</v>
      </c>
      <c r="O41" s="110">
        <v>6.6285505576981329E-3</v>
      </c>
      <c r="P41" s="110">
        <v>6.621107246236338E-3</v>
      </c>
      <c r="Q41" s="110">
        <v>7.1969148629849287E-3</v>
      </c>
      <c r="R41" s="110">
        <v>7.529035808511754E-3</v>
      </c>
      <c r="S41" s="110">
        <v>6.5794397809476098E-3</v>
      </c>
      <c r="T41" s="110">
        <v>2.222462569946412E-4</v>
      </c>
      <c r="U41" s="110">
        <v>2.1988236251518837E-3</v>
      </c>
      <c r="V41" s="110">
        <v>8.5019666034652028E-3</v>
      </c>
      <c r="W41" s="110">
        <v>1.9252896270808898E-2</v>
      </c>
      <c r="X41" s="110">
        <v>7.2693519763359776E-3</v>
      </c>
      <c r="Y41" s="110">
        <v>7.6516885455721693E-3</v>
      </c>
      <c r="Z41" s="110">
        <v>7.8518518666726642E-3</v>
      </c>
      <c r="AA41" s="110">
        <v>7.400079778742112E-3</v>
      </c>
      <c r="AB41" s="110">
        <v>1.3927369155432717E-2</v>
      </c>
      <c r="AC41" s="110">
        <v>7.6838828229406778E-3</v>
      </c>
      <c r="AD41" s="110">
        <v>8.1296507941189238E-3</v>
      </c>
      <c r="AE41" s="110">
        <v>-3.654095354894151E-4</v>
      </c>
      <c r="AF41" s="110">
        <v>2.6628051062299756E-3</v>
      </c>
      <c r="AG41" s="110">
        <v>6.9972267537620966E-3</v>
      </c>
      <c r="AH41" s="110">
        <v>9.9546234502195241E-3</v>
      </c>
      <c r="AI41" s="110">
        <v>1.0930054132252273E-2</v>
      </c>
      <c r="AJ41" s="110">
        <v>8.6466904771040701E-3</v>
      </c>
      <c r="AK41" s="110">
        <v>8.3783005986302287E-3</v>
      </c>
      <c r="AL41" s="110">
        <v>7.9137213071885249E-3</v>
      </c>
      <c r="AM41" s="110">
        <v>6.6613559457405925E-3</v>
      </c>
      <c r="AN41" s="110">
        <v>6.1202753244383153E-3</v>
      </c>
      <c r="AO41" s="110">
        <v>6.1268508548108147E-3</v>
      </c>
    </row>
    <row r="42" spans="2:41" s="110" customFormat="1" ht="17.100000000000001" customHeight="1" x14ac:dyDescent="0.2">
      <c r="B42" s="98" t="s">
        <v>110</v>
      </c>
      <c r="D42" s="110">
        <v>-4.4076899680297175E-2</v>
      </c>
      <c r="E42" s="110">
        <v>-2.2339638707630314E-2</v>
      </c>
      <c r="F42" s="110">
        <v>-2.0271348156681804E-2</v>
      </c>
      <c r="G42" s="110">
        <v>-5.2984999263930611E-2</v>
      </c>
      <c r="H42" s="110">
        <v>-5.6577460802265785E-2</v>
      </c>
      <c r="I42" s="110">
        <v>-6.9682036578003217E-2</v>
      </c>
      <c r="J42" s="110">
        <v>-6.292437719115089E-2</v>
      </c>
      <c r="K42" s="110">
        <v>-6.9815655095903914E-2</v>
      </c>
      <c r="L42" s="110">
        <v>-6.0510857165983943E-2</v>
      </c>
      <c r="M42" s="110">
        <v>-7.171406435655045E-2</v>
      </c>
      <c r="N42" s="110">
        <v>-3.3787026482354182E-2</v>
      </c>
      <c r="O42" s="110">
        <v>-3.9658409853765231E-2</v>
      </c>
      <c r="P42" s="110">
        <v>-4.3600159575299273E-2</v>
      </c>
      <c r="Q42" s="110">
        <v>-4.4996236026012465E-2</v>
      </c>
      <c r="R42" s="110">
        <v>-7.7681876171719469E-2</v>
      </c>
      <c r="S42" s="110">
        <v>-8.5653113428791866E-2</v>
      </c>
      <c r="T42" s="110">
        <v>-8.8158939802441091E-2</v>
      </c>
      <c r="U42" s="110">
        <v>-0.11914522312015206</v>
      </c>
      <c r="V42" s="110">
        <v>-7.3654250423991888E-2</v>
      </c>
      <c r="W42" s="110">
        <v>-0.12424939067637596</v>
      </c>
      <c r="X42" s="110">
        <v>-9.0535632849901057E-2</v>
      </c>
      <c r="Y42" s="110">
        <v>-0.10831569433247715</v>
      </c>
      <c r="Z42" s="110">
        <v>-0.1112936605403809</v>
      </c>
      <c r="AA42" s="110">
        <v>-0.10861802953696384</v>
      </c>
      <c r="AB42" s="110">
        <v>-0.11218876575501298</v>
      </c>
      <c r="AC42" s="110">
        <v>-0.10479490712383335</v>
      </c>
      <c r="AD42" s="110">
        <v>-0.10093693297054039</v>
      </c>
      <c r="AE42" s="110">
        <v>-8.77889400656338E-2</v>
      </c>
      <c r="AF42" s="110">
        <v>-9.3853380735881439E-2</v>
      </c>
      <c r="AG42" s="110">
        <v>-9.4794992904562891E-2</v>
      </c>
      <c r="AH42" s="110">
        <v>-9.9928842105514129E-2</v>
      </c>
      <c r="AI42" s="110">
        <v>-7.7814079026401639E-2</v>
      </c>
      <c r="AJ42" s="110">
        <v>-7.8135352113500089E-2</v>
      </c>
      <c r="AK42" s="110">
        <v>-0.1076962269635794</v>
      </c>
      <c r="AL42" s="110">
        <v>-6.8073559732605565E-2</v>
      </c>
      <c r="AM42" s="110">
        <v>-4.0360558816874371E-2</v>
      </c>
      <c r="AN42" s="110">
        <v>-7.5303892474641268E-2</v>
      </c>
      <c r="AO42" s="110">
        <v>-5.166283902071251E-2</v>
      </c>
    </row>
    <row r="43" spans="2:41" s="110" customFormat="1" ht="17.100000000000001" customHeight="1" x14ac:dyDescent="0.2">
      <c r="B43" s="104" t="s">
        <v>111</v>
      </c>
      <c r="D43" s="110">
        <v>0.14388480491424702</v>
      </c>
      <c r="E43" s="110">
        <v>0.17841060730467265</v>
      </c>
      <c r="F43" s="110">
        <v>0.17549531638262181</v>
      </c>
      <c r="G43" s="110">
        <v>0.16954684138936155</v>
      </c>
      <c r="H43" s="110">
        <v>0.13630791020818303</v>
      </c>
      <c r="I43" s="110">
        <v>0.16530027877467715</v>
      </c>
      <c r="J43" s="110">
        <v>0.15362241646817801</v>
      </c>
      <c r="K43" s="110">
        <v>0.14981471218144318</v>
      </c>
      <c r="L43" s="110">
        <v>0.15143200992695807</v>
      </c>
      <c r="M43" s="110">
        <v>0.16955693083491569</v>
      </c>
      <c r="N43" s="110">
        <v>0.2011204268273824</v>
      </c>
      <c r="O43" s="110">
        <v>0.16372505255082678</v>
      </c>
      <c r="P43" s="110">
        <v>0.15620700677219476</v>
      </c>
      <c r="Q43" s="110">
        <v>0.166419650416961</v>
      </c>
      <c r="R43" s="110">
        <v>0.17363779265062279</v>
      </c>
      <c r="S43" s="110">
        <v>0.11678940242397537</v>
      </c>
      <c r="T43" s="110">
        <v>0.14256073311224371</v>
      </c>
      <c r="U43" s="110">
        <v>0.15045486254253754</v>
      </c>
      <c r="V43" s="110">
        <v>0.1697221758568688</v>
      </c>
      <c r="W43" s="110">
        <v>0.16975689781747927</v>
      </c>
      <c r="X43" s="110">
        <v>0.11125290510543812</v>
      </c>
      <c r="Y43" s="110">
        <v>0.11955580813125316</v>
      </c>
      <c r="Z43" s="110">
        <v>0.1281869244131737</v>
      </c>
      <c r="AA43" s="110">
        <v>0.12217598470831234</v>
      </c>
      <c r="AB43" s="110">
        <v>0.10463085395334035</v>
      </c>
      <c r="AC43" s="110">
        <v>9.8971601099244008E-2</v>
      </c>
      <c r="AD43" s="110">
        <v>0.12584535705432801</v>
      </c>
      <c r="AE43" s="110">
        <v>0.13454711536115599</v>
      </c>
      <c r="AF43" s="110">
        <v>0.13043895845407294</v>
      </c>
      <c r="AG43" s="110">
        <v>0.15880838409262815</v>
      </c>
      <c r="AH43" s="110">
        <v>0.18136620487477614</v>
      </c>
      <c r="AI43" s="110">
        <v>0.20158778542526901</v>
      </c>
      <c r="AJ43" s="110">
        <v>0.17838895380750716</v>
      </c>
      <c r="AK43" s="110">
        <v>0.19069838489094224</v>
      </c>
      <c r="AL43" s="110">
        <v>0.20504219390935716</v>
      </c>
      <c r="AM43" s="110">
        <v>0.28245767712220143</v>
      </c>
      <c r="AN43" s="110">
        <v>0.24042926617483551</v>
      </c>
      <c r="AO43" s="110">
        <v>0.29199131641032744</v>
      </c>
    </row>
    <row r="44" spans="2:41" s="110" customFormat="1" ht="17.100000000000001" customHeight="1" x14ac:dyDescent="0.2">
      <c r="B44" s="100" t="s">
        <v>112</v>
      </c>
      <c r="D44" s="110">
        <v>8.7083325343651555E-2</v>
      </c>
      <c r="E44" s="110">
        <v>0.11802929229496201</v>
      </c>
      <c r="F44" s="110">
        <v>0.11164579054364487</v>
      </c>
      <c r="G44" s="110">
        <v>0.10949813930662339</v>
      </c>
      <c r="H44" s="110">
        <v>8.1670764189340717E-2</v>
      </c>
      <c r="I44" s="110">
        <v>9.9278476602201043E-2</v>
      </c>
      <c r="J44" s="110">
        <v>9.7712717735475726E-2</v>
      </c>
      <c r="K44" s="110">
        <v>9.4661365282410287E-2</v>
      </c>
      <c r="L44" s="110">
        <v>9.3758859183786611E-2</v>
      </c>
      <c r="M44" s="110">
        <v>0.11124357208927688</v>
      </c>
      <c r="N44" s="110">
        <v>0.14921812644361532</v>
      </c>
      <c r="O44" s="110">
        <v>0.1111371532450692</v>
      </c>
      <c r="P44" s="110">
        <v>9.9011513566820614E-2</v>
      </c>
      <c r="Q44" s="110">
        <v>0.10686509024238799</v>
      </c>
      <c r="R44" s="110">
        <v>0.11820958195681773</v>
      </c>
      <c r="S44" s="110">
        <v>9.9296829875416687E-2</v>
      </c>
      <c r="T44" s="110">
        <v>0.11744784579059328</v>
      </c>
      <c r="U44" s="110">
        <v>0.11756026324320315</v>
      </c>
      <c r="V44" s="110">
        <v>0.1270213360501114</v>
      </c>
      <c r="W44" s="110">
        <v>0.12678154242158543</v>
      </c>
      <c r="X44" s="110">
        <v>7.7721640655746813E-2</v>
      </c>
      <c r="Y44" s="110">
        <v>8.5371847799609088E-2</v>
      </c>
      <c r="Z44" s="110">
        <v>9.1371743490432408E-2</v>
      </c>
      <c r="AA44" s="110">
        <v>8.7687033996988434E-2</v>
      </c>
      <c r="AB44" s="110">
        <v>8.0028808514505376E-2</v>
      </c>
      <c r="AC44" s="110">
        <v>7.038991378087317E-2</v>
      </c>
      <c r="AD44" s="110">
        <v>9.4848003272935646E-2</v>
      </c>
      <c r="AE44" s="110">
        <v>0.10049999179392555</v>
      </c>
      <c r="AF44" s="110">
        <v>9.8929378495256404E-2</v>
      </c>
      <c r="AG44" s="110">
        <v>0.11887151772949424</v>
      </c>
      <c r="AH44" s="110">
        <v>0.13160022369099444</v>
      </c>
      <c r="AI44" s="110">
        <v>0.15428811578086768</v>
      </c>
      <c r="AJ44" s="110">
        <v>0.13940961363211735</v>
      </c>
      <c r="AK44" s="110">
        <v>0.14846072506914487</v>
      </c>
      <c r="AL44" s="110">
        <v>0.15894718062906621</v>
      </c>
      <c r="AM44" s="110">
        <v>0.23880439913539109</v>
      </c>
      <c r="AN44" s="110">
        <v>0.20117911591247178</v>
      </c>
      <c r="AO44" s="110">
        <v>0.25689779813600166</v>
      </c>
    </row>
    <row r="45" spans="2:41" s="110" customFormat="1" ht="17.100000000000001" customHeight="1" x14ac:dyDescent="0.2">
      <c r="B45" s="100" t="s">
        <v>113</v>
      </c>
      <c r="D45" s="110">
        <v>5.6801479570595476E-2</v>
      </c>
      <c r="E45" s="110">
        <v>6.038131500971064E-2</v>
      </c>
      <c r="F45" s="110">
        <v>6.3849525838976948E-2</v>
      </c>
      <c r="G45" s="110">
        <v>6.0048702082738166E-2</v>
      </c>
      <c r="H45" s="110">
        <v>5.4637146018842335E-2</v>
      </c>
      <c r="I45" s="110">
        <v>6.6021802172476135E-2</v>
      </c>
      <c r="J45" s="110">
        <v>5.5909698732702295E-2</v>
      </c>
      <c r="K45" s="110">
        <v>5.5153346899032896E-2</v>
      </c>
      <c r="L45" s="110">
        <v>5.7673150743171447E-2</v>
      </c>
      <c r="M45" s="110">
        <v>5.8313358745638796E-2</v>
      </c>
      <c r="N45" s="110">
        <v>5.1902300383767107E-2</v>
      </c>
      <c r="O45" s="110">
        <v>5.2587899305757579E-2</v>
      </c>
      <c r="P45" s="110">
        <v>5.7195493205374134E-2</v>
      </c>
      <c r="Q45" s="110">
        <v>5.9554560174572987E-2</v>
      </c>
      <c r="R45" s="110">
        <v>5.5428210693805074E-2</v>
      </c>
      <c r="S45" s="110">
        <v>1.7492572548558686E-2</v>
      </c>
      <c r="T45" s="110">
        <v>2.5112887321650432E-2</v>
      </c>
      <c r="U45" s="110">
        <v>3.2894599299334401E-2</v>
      </c>
      <c r="V45" s="110">
        <v>4.2700839806757415E-2</v>
      </c>
      <c r="W45" s="110">
        <v>4.2975355395893838E-2</v>
      </c>
      <c r="X45" s="110">
        <v>3.3531264449691303E-2</v>
      </c>
      <c r="Y45" s="110">
        <v>3.418396033164408E-2</v>
      </c>
      <c r="Z45" s="110">
        <v>3.6815180922741303E-2</v>
      </c>
      <c r="AA45" s="110">
        <v>3.44889507113239E-2</v>
      </c>
      <c r="AB45" s="110">
        <v>2.4602045438834975E-2</v>
      </c>
      <c r="AC45" s="110">
        <v>2.8581687318370852E-2</v>
      </c>
      <c r="AD45" s="110">
        <v>3.0997353781392373E-2</v>
      </c>
      <c r="AE45" s="110">
        <v>3.4047123567230435E-2</v>
      </c>
      <c r="AF45" s="110">
        <v>3.1509579958816515E-2</v>
      </c>
      <c r="AG45" s="110">
        <v>3.9936866363133899E-2</v>
      </c>
      <c r="AH45" s="110">
        <v>4.9765981183781727E-2</v>
      </c>
      <c r="AI45" s="110">
        <v>4.7299669644401326E-2</v>
      </c>
      <c r="AJ45" s="110">
        <v>3.8979340175389822E-2</v>
      </c>
      <c r="AK45" s="110">
        <v>4.2237659821797342E-2</v>
      </c>
      <c r="AL45" s="110">
        <v>4.609501328029094E-2</v>
      </c>
      <c r="AM45" s="110">
        <v>4.365327798681036E-2</v>
      </c>
      <c r="AN45" s="110">
        <v>3.9250150262363719E-2</v>
      </c>
      <c r="AO45" s="110">
        <v>3.5093518274325747E-2</v>
      </c>
    </row>
    <row r="46" spans="2:41" s="110" customFormat="1" ht="17.100000000000001" customHeight="1" x14ac:dyDescent="0.2">
      <c r="B46" s="104" t="s">
        <v>114</v>
      </c>
      <c r="D46" s="110">
        <v>0.1879617045945442</v>
      </c>
      <c r="E46" s="110">
        <v>0.20075024601230296</v>
      </c>
      <c r="F46" s="110">
        <v>0.19576666453930361</v>
      </c>
      <c r="G46" s="110">
        <v>0.22253184065329218</v>
      </c>
      <c r="H46" s="110">
        <v>0.19288537101044881</v>
      </c>
      <c r="I46" s="110">
        <v>0.23498231535268038</v>
      </c>
      <c r="J46" s="110">
        <v>0.21654679365932888</v>
      </c>
      <c r="K46" s="110">
        <v>0.21963036727734711</v>
      </c>
      <c r="L46" s="110">
        <v>0.21194286709294199</v>
      </c>
      <c r="M46" s="110">
        <v>0.24127099519146614</v>
      </c>
      <c r="N46" s="110">
        <v>0.23490745330973659</v>
      </c>
      <c r="O46" s="110">
        <v>0.20338346240459201</v>
      </c>
      <c r="P46" s="110">
        <v>0.19980716634749404</v>
      </c>
      <c r="Q46" s="110">
        <v>0.21141588644297346</v>
      </c>
      <c r="R46" s="110">
        <v>0.2513196688223423</v>
      </c>
      <c r="S46" s="110">
        <v>0.20244251585276724</v>
      </c>
      <c r="T46" s="110">
        <v>0.23071967291468479</v>
      </c>
      <c r="U46" s="110">
        <v>0.26960008566268961</v>
      </c>
      <c r="V46" s="110">
        <v>0.2433764262808607</v>
      </c>
      <c r="W46" s="110">
        <v>0.29400628849385524</v>
      </c>
      <c r="X46" s="110">
        <v>0.20178853795533916</v>
      </c>
      <c r="Y46" s="110">
        <v>0.22787150246373031</v>
      </c>
      <c r="Z46" s="110">
        <v>0.23948058495355462</v>
      </c>
      <c r="AA46" s="110">
        <v>0.23079401424527618</v>
      </c>
      <c r="AB46" s="110">
        <v>0.21681961970835334</v>
      </c>
      <c r="AC46" s="110">
        <v>0.20376650822307737</v>
      </c>
      <c r="AD46" s="110">
        <v>0.22678229002486841</v>
      </c>
      <c r="AE46" s="110">
        <v>0.22233605542678977</v>
      </c>
      <c r="AF46" s="110">
        <v>0.22429233918995437</v>
      </c>
      <c r="AG46" s="110">
        <v>0.25360337699719104</v>
      </c>
      <c r="AH46" s="110">
        <v>0.28129504698029029</v>
      </c>
      <c r="AI46" s="110">
        <v>0.27940186445167065</v>
      </c>
      <c r="AJ46" s="110">
        <v>0.25652430592100722</v>
      </c>
      <c r="AK46" s="110">
        <v>0.2983946118545216</v>
      </c>
      <c r="AL46" s="110">
        <v>0.27311575364196272</v>
      </c>
      <c r="AM46" s="110">
        <v>0.32281823593907583</v>
      </c>
      <c r="AN46" s="110">
        <v>0.31573315864947676</v>
      </c>
      <c r="AO46" s="110">
        <v>0.34365415543103994</v>
      </c>
    </row>
    <row r="47" spans="2:41" s="110" customFormat="1" ht="17.100000000000001" customHeight="1" x14ac:dyDescent="0.2">
      <c r="B47" s="100" t="s">
        <v>112</v>
      </c>
      <c r="D47" s="110">
        <v>0.12271848447189289</v>
      </c>
      <c r="E47" s="110">
        <v>0.13115172267354644</v>
      </c>
      <c r="F47" s="110">
        <v>0.13216837498298717</v>
      </c>
      <c r="G47" s="110">
        <v>0.14809269595620597</v>
      </c>
      <c r="H47" s="110">
        <v>0.1283350889269026</v>
      </c>
      <c r="I47" s="110">
        <v>0.15792675230999326</v>
      </c>
      <c r="J47" s="110">
        <v>0.15211399018398966</v>
      </c>
      <c r="K47" s="110">
        <v>0.14886261761556635</v>
      </c>
      <c r="L47" s="110">
        <v>0.13452441745304178</v>
      </c>
      <c r="M47" s="110">
        <v>0.15798312757010399</v>
      </c>
      <c r="N47" s="110">
        <v>0.15596985788876405</v>
      </c>
      <c r="O47" s="110">
        <v>0.13242435413967188</v>
      </c>
      <c r="P47" s="110">
        <v>0.12937117066528991</v>
      </c>
      <c r="Q47" s="110">
        <v>0.14229162336863871</v>
      </c>
      <c r="R47" s="110">
        <v>0.15508601313610793</v>
      </c>
      <c r="S47" s="110">
        <v>0.13460162140069581</v>
      </c>
      <c r="T47" s="110">
        <v>0.15944697808067132</v>
      </c>
      <c r="U47" s="110">
        <v>0.17827517460254227</v>
      </c>
      <c r="V47" s="110">
        <v>0.16470138521979152</v>
      </c>
      <c r="W47" s="110">
        <v>0.20782727739553053</v>
      </c>
      <c r="X47" s="110">
        <v>0.12983207797307791</v>
      </c>
      <c r="Y47" s="110">
        <v>0.1556401822216488</v>
      </c>
      <c r="Z47" s="110">
        <v>0.16537213735487158</v>
      </c>
      <c r="AA47" s="110">
        <v>0.15811052559085453</v>
      </c>
      <c r="AB47" s="110">
        <v>0.14549707147984012</v>
      </c>
      <c r="AC47" s="110">
        <v>0.13495384859340873</v>
      </c>
      <c r="AD47" s="110">
        <v>0.1532308192351679</v>
      </c>
      <c r="AE47" s="110">
        <v>0.15518586325672795</v>
      </c>
      <c r="AF47" s="110">
        <v>0.1583772882136914</v>
      </c>
      <c r="AG47" s="110">
        <v>0.17757158786291263</v>
      </c>
      <c r="AH47" s="110">
        <v>0.19810685699880709</v>
      </c>
      <c r="AI47" s="110">
        <v>0.19709603936740433</v>
      </c>
      <c r="AJ47" s="110">
        <v>0.18713885831069557</v>
      </c>
      <c r="AK47" s="110">
        <v>0.22089075003043843</v>
      </c>
      <c r="AL47" s="110">
        <v>0.20102286578338172</v>
      </c>
      <c r="AM47" s="110">
        <v>0.24481175222502219</v>
      </c>
      <c r="AN47" s="110">
        <v>0.22936436443537414</v>
      </c>
      <c r="AO47" s="110">
        <v>0.25849938148369661</v>
      </c>
    </row>
    <row r="48" spans="2:41" s="110" customFormat="1" ht="17.100000000000001" customHeight="1" x14ac:dyDescent="0.2">
      <c r="B48" s="100" t="s">
        <v>113</v>
      </c>
      <c r="D48" s="110">
        <v>6.5243220122651296E-2</v>
      </c>
      <c r="E48" s="110">
        <v>6.9598523338756532E-2</v>
      </c>
      <c r="F48" s="110">
        <v>6.359828955631644E-2</v>
      </c>
      <c r="G48" s="110">
        <v>7.4439144697086221E-2</v>
      </c>
      <c r="H48" s="110">
        <v>6.4550282083546226E-2</v>
      </c>
      <c r="I48" s="110">
        <v>7.7055563042687139E-2</v>
      </c>
      <c r="J48" s="110">
        <v>6.4432803475339237E-2</v>
      </c>
      <c r="K48" s="110">
        <v>7.076774966178076E-2</v>
      </c>
      <c r="L48" s="110">
        <v>7.7418449639900258E-2</v>
      </c>
      <c r="M48" s="110">
        <v>8.328786762136213E-2</v>
      </c>
      <c r="N48" s="110">
        <v>7.8937595420972548E-2</v>
      </c>
      <c r="O48" s="110">
        <v>7.0959108264920148E-2</v>
      </c>
      <c r="P48" s="110">
        <v>7.0435995682204128E-2</v>
      </c>
      <c r="Q48" s="110">
        <v>6.9124263074334752E-2</v>
      </c>
      <c r="R48" s="110">
        <v>9.6233655686234321E-2</v>
      </c>
      <c r="S48" s="110">
        <v>6.7840894452071393E-2</v>
      </c>
      <c r="T48" s="110">
        <v>7.1272694834013495E-2</v>
      </c>
      <c r="U48" s="110">
        <v>9.1324911060147326E-2</v>
      </c>
      <c r="V48" s="110">
        <v>7.8675041061069179E-2</v>
      </c>
      <c r="W48" s="110">
        <v>8.6179011098324682E-2</v>
      </c>
      <c r="X48" s="110">
        <v>7.1956459982261287E-2</v>
      </c>
      <c r="Y48" s="110">
        <v>7.2231320242081523E-2</v>
      </c>
      <c r="Z48" s="110">
        <v>7.4108447598683014E-2</v>
      </c>
      <c r="AA48" s="110">
        <v>7.2683488654421646E-2</v>
      </c>
      <c r="AB48" s="110">
        <v>7.1322548228513222E-2</v>
      </c>
      <c r="AC48" s="110">
        <v>6.8812659629668635E-2</v>
      </c>
      <c r="AD48" s="110">
        <v>7.3551470789700521E-2</v>
      </c>
      <c r="AE48" s="110">
        <v>6.7150192170061795E-2</v>
      </c>
      <c r="AF48" s="110">
        <v>6.5915050976262962E-2</v>
      </c>
      <c r="AG48" s="110">
        <v>7.603178913427841E-2</v>
      </c>
      <c r="AH48" s="110">
        <v>8.3188189981483196E-2</v>
      </c>
      <c r="AI48" s="110">
        <v>8.2305825084266288E-2</v>
      </c>
      <c r="AJ48" s="110">
        <v>6.9385447610311651E-2</v>
      </c>
      <c r="AK48" s="110">
        <v>7.750386182408317E-2</v>
      </c>
      <c r="AL48" s="110">
        <v>7.2092887858581006E-2</v>
      </c>
      <c r="AM48" s="110">
        <v>7.8006483714053623E-2</v>
      </c>
      <c r="AN48" s="110">
        <v>8.6368794214102609E-2</v>
      </c>
      <c r="AO48" s="110">
        <v>8.5154773947343304E-2</v>
      </c>
    </row>
    <row r="49" spans="1:41" s="110" customFormat="1" ht="17.100000000000001" customHeight="1" x14ac:dyDescent="0.2">
      <c r="B49" s="104" t="s">
        <v>115</v>
      </c>
      <c r="D49" s="110">
        <v>9.5977743358040782E-2</v>
      </c>
      <c r="E49" s="110">
        <v>-4.187471479174025E-2</v>
      </c>
      <c r="F49" s="110">
        <v>-1.9892652887951983E-2</v>
      </c>
      <c r="G49" s="110">
        <v>-3.7252827478431949E-2</v>
      </c>
      <c r="H49" s="110">
        <v>8.3140440228190143E-2</v>
      </c>
      <c r="I49" s="110">
        <v>-2.3135192131711328E-2</v>
      </c>
      <c r="J49" s="110">
        <v>-1.138365610734131E-2</v>
      </c>
      <c r="K49" s="110">
        <v>-5.5124204746615389E-3</v>
      </c>
      <c r="L49" s="110">
        <v>6.2006889979557535E-2</v>
      </c>
      <c r="M49" s="110">
        <v>-4.0832233788043347E-3</v>
      </c>
      <c r="N49" s="110">
        <v>-1.2954025358822273E-2</v>
      </c>
      <c r="O49" s="110">
        <v>-5.9777385635818449E-2</v>
      </c>
      <c r="P49" s="110">
        <v>4.2765565357659366E-2</v>
      </c>
      <c r="Q49" s="110">
        <v>-2.2071589918299616E-2</v>
      </c>
      <c r="R49" s="110">
        <v>1.5408243815885297E-2</v>
      </c>
      <c r="S49" s="110">
        <v>9.8541496715937177E-3</v>
      </c>
      <c r="T49" s="110">
        <v>0.11754704226545963</v>
      </c>
      <c r="U49" s="110">
        <v>3.0493218265740384E-2</v>
      </c>
      <c r="V49" s="110">
        <v>-2.5066181520757218E-2</v>
      </c>
      <c r="W49" s="110">
        <v>3.0185827060795156E-2</v>
      </c>
      <c r="X49" s="110">
        <v>9.2778700034262654E-2</v>
      </c>
      <c r="Y49" s="110">
        <v>4.6850562848061536E-2</v>
      </c>
      <c r="Z49" s="110">
        <v>4.6305606090102445E-2</v>
      </c>
      <c r="AA49" s="110">
        <v>3.56000642494698E-2</v>
      </c>
      <c r="AB49" s="110">
        <v>0.10711705945646069</v>
      </c>
      <c r="AC49" s="110">
        <v>2.4980751794383325E-2</v>
      </c>
      <c r="AD49" s="110">
        <v>4.1315647521045849E-2</v>
      </c>
      <c r="AE49" s="110">
        <v>6.6638843758508579E-2</v>
      </c>
      <c r="AF49" s="110">
        <v>0.12723049074621953</v>
      </c>
      <c r="AG49" s="110">
        <v>0.13216975242257428</v>
      </c>
      <c r="AH49" s="110">
        <v>8.9358771093583089E-2</v>
      </c>
      <c r="AI49" s="110">
        <v>7.6256636135969294E-2</v>
      </c>
      <c r="AJ49" s="110">
        <v>0.1060257375356615</v>
      </c>
      <c r="AK49" s="110">
        <v>0.10224044122634962</v>
      </c>
      <c r="AL49" s="110">
        <v>4.3652293855877058E-2</v>
      </c>
      <c r="AM49" s="110">
        <v>5.8351583299883186E-2</v>
      </c>
      <c r="AN49" s="110">
        <v>2.616185810556652E-2</v>
      </c>
      <c r="AO49" s="110">
        <v>-8.8577495171725164E-3</v>
      </c>
    </row>
    <row r="50" spans="1:41" s="110" customFormat="1" ht="17.100000000000001" customHeight="1" x14ac:dyDescent="0.2">
      <c r="B50" s="98" t="s">
        <v>116</v>
      </c>
      <c r="D50" s="110">
        <v>1</v>
      </c>
      <c r="E50" s="110">
        <v>1</v>
      </c>
      <c r="F50" s="110">
        <v>1</v>
      </c>
      <c r="G50" s="110">
        <v>1</v>
      </c>
      <c r="H50" s="110">
        <v>1</v>
      </c>
      <c r="I50" s="110">
        <v>1</v>
      </c>
      <c r="J50" s="110">
        <v>1</v>
      </c>
      <c r="K50" s="110">
        <v>1</v>
      </c>
      <c r="L50" s="110">
        <v>1</v>
      </c>
      <c r="M50" s="110">
        <v>1</v>
      </c>
      <c r="N50" s="110">
        <v>1</v>
      </c>
      <c r="O50" s="110">
        <v>1</v>
      </c>
      <c r="P50" s="110">
        <v>1</v>
      </c>
      <c r="Q50" s="110">
        <v>1</v>
      </c>
      <c r="R50" s="110">
        <v>1</v>
      </c>
      <c r="S50" s="110">
        <v>1</v>
      </c>
      <c r="T50" s="110">
        <v>1</v>
      </c>
      <c r="U50" s="110">
        <v>1</v>
      </c>
      <c r="V50" s="110">
        <v>1</v>
      </c>
      <c r="W50" s="110">
        <v>1</v>
      </c>
      <c r="X50" s="110">
        <v>1</v>
      </c>
      <c r="Y50" s="110">
        <v>1</v>
      </c>
      <c r="Z50" s="110">
        <v>1</v>
      </c>
      <c r="AA50" s="110">
        <v>1</v>
      </c>
      <c r="AB50" s="110">
        <v>1</v>
      </c>
      <c r="AC50" s="110">
        <v>1</v>
      </c>
      <c r="AD50" s="110">
        <v>1</v>
      </c>
      <c r="AE50" s="110">
        <v>1</v>
      </c>
      <c r="AF50" s="110">
        <v>1</v>
      </c>
      <c r="AG50" s="110">
        <v>1</v>
      </c>
      <c r="AH50" s="110">
        <v>1</v>
      </c>
      <c r="AI50" s="110">
        <v>1</v>
      </c>
      <c r="AJ50" s="110">
        <v>1</v>
      </c>
      <c r="AK50" s="110">
        <v>1</v>
      </c>
      <c r="AL50" s="110">
        <v>1</v>
      </c>
      <c r="AM50" s="110">
        <v>1</v>
      </c>
      <c r="AN50" s="110">
        <v>1</v>
      </c>
      <c r="AO50" s="110">
        <v>1</v>
      </c>
    </row>
    <row r="51" spans="1:41" s="114" customFormat="1" ht="17.100000000000001" customHeight="1" x14ac:dyDescent="0.2">
      <c r="A51" s="113"/>
      <c r="B51" s="109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</row>
    <row r="52" spans="1:41" ht="17.100000000000001" customHeight="1" x14ac:dyDescent="0.2">
      <c r="A52" s="114"/>
      <c r="B52" s="115"/>
      <c r="C52" s="114"/>
    </row>
    <row r="53" spans="1:41" ht="17.100000000000001" customHeight="1" x14ac:dyDescent="0.2">
      <c r="A53" s="114"/>
      <c r="B53" s="114"/>
      <c r="C53" s="114"/>
    </row>
    <row r="54" spans="1:41" ht="17.100000000000001" customHeight="1" x14ac:dyDescent="0.2">
      <c r="A54" s="114"/>
      <c r="B54" s="114"/>
      <c r="C54" s="114"/>
    </row>
    <row r="55" spans="1:41" ht="17.100000000000001" customHeight="1" x14ac:dyDescent="0.2">
      <c r="A55" s="114"/>
      <c r="B55" s="114"/>
      <c r="C55" s="114"/>
    </row>
    <row r="56" spans="1:41" ht="17.100000000000001" customHeight="1" x14ac:dyDescent="0.2">
      <c r="A56" s="110"/>
      <c r="B56" s="111"/>
      <c r="C56" s="110"/>
    </row>
    <row r="57" spans="1:41" ht="17.100000000000001" customHeight="1" x14ac:dyDescent="0.2">
      <c r="A57" s="110"/>
      <c r="B57" s="110"/>
      <c r="C57" s="110"/>
    </row>
    <row r="58" spans="1:41" ht="17.100000000000001" customHeight="1" x14ac:dyDescent="0.2">
      <c r="A58" s="110"/>
      <c r="B58" s="110"/>
      <c r="C58" s="110"/>
    </row>
    <row r="59" spans="1:41" ht="17.100000000000001" customHeight="1" x14ac:dyDescent="0.2">
      <c r="A59" s="110"/>
      <c r="B59" s="110"/>
      <c r="C59" s="110"/>
    </row>
    <row r="61" spans="1:41" ht="17.100000000000001" customHeight="1" x14ac:dyDescent="0.2">
      <c r="A61" s="116"/>
      <c r="B61" s="116"/>
      <c r="C61" s="89"/>
    </row>
    <row r="62" spans="1:41" ht="17.100000000000001" customHeight="1" x14ac:dyDescent="0.2">
      <c r="A62" s="117"/>
      <c r="B62" s="83"/>
    </row>
    <row r="63" spans="1:41" ht="17.100000000000001" customHeight="1" x14ac:dyDescent="0.2">
      <c r="A63" s="97"/>
      <c r="B63" s="98"/>
      <c r="C63" s="97"/>
    </row>
    <row r="64" spans="1:41" ht="17.100000000000001" customHeight="1" x14ac:dyDescent="0.2">
      <c r="A64" s="96"/>
      <c r="B64" s="100"/>
      <c r="C64" s="96"/>
    </row>
    <row r="65" spans="1:3" ht="17.100000000000001" customHeight="1" x14ac:dyDescent="0.2">
      <c r="A65" s="96"/>
      <c r="B65" s="100"/>
      <c r="C65" s="96"/>
    </row>
    <row r="66" spans="1:3" ht="17.100000000000001" customHeight="1" x14ac:dyDescent="0.2">
      <c r="A66" s="96"/>
      <c r="B66" s="100"/>
      <c r="C66" s="96"/>
    </row>
    <row r="67" spans="1:3" ht="17.100000000000001" customHeight="1" x14ac:dyDescent="0.2">
      <c r="A67" s="97"/>
      <c r="B67" s="98"/>
      <c r="C67" s="96"/>
    </row>
    <row r="68" spans="1:3" ht="17.100000000000001" customHeight="1" x14ac:dyDescent="0.2">
      <c r="A68" s="96"/>
      <c r="B68" s="100"/>
      <c r="C68" s="96"/>
    </row>
    <row r="69" spans="1:3" ht="17.100000000000001" customHeight="1" x14ac:dyDescent="0.2">
      <c r="A69" s="96"/>
      <c r="B69" s="100"/>
      <c r="C69" s="96"/>
    </row>
    <row r="70" spans="1:3" ht="17.100000000000001" customHeight="1" x14ac:dyDescent="0.2">
      <c r="A70" s="96"/>
      <c r="B70" s="100"/>
      <c r="C70" s="96"/>
    </row>
    <row r="71" spans="1:3" ht="17.100000000000001" customHeight="1" x14ac:dyDescent="0.2">
      <c r="A71" s="110"/>
      <c r="B71" s="111"/>
      <c r="C71" s="110"/>
    </row>
    <row r="72" spans="1:3" ht="17.100000000000001" customHeight="1" x14ac:dyDescent="0.2">
      <c r="A72" s="110"/>
      <c r="B72" s="110"/>
      <c r="C72" s="110"/>
    </row>
    <row r="73" spans="1:3" ht="17.100000000000001" customHeight="1" x14ac:dyDescent="0.2">
      <c r="A73" s="110"/>
      <c r="B73" s="110"/>
      <c r="C73" s="110"/>
    </row>
    <row r="74" spans="1:3" ht="17.100000000000001" customHeight="1" x14ac:dyDescent="0.2">
      <c r="A74" s="110"/>
      <c r="B74" s="110"/>
      <c r="C74" s="110"/>
    </row>
    <row r="75" spans="1:3" ht="17.100000000000001" customHeight="1" x14ac:dyDescent="0.2">
      <c r="A75" s="114"/>
      <c r="B75" s="115"/>
      <c r="C75" s="114"/>
    </row>
    <row r="76" spans="1:3" ht="17.100000000000001" customHeight="1" x14ac:dyDescent="0.2">
      <c r="A76" s="114"/>
      <c r="B76" s="114"/>
      <c r="C76" s="114"/>
    </row>
    <row r="77" spans="1:3" ht="17.100000000000001" customHeight="1" x14ac:dyDescent="0.2">
      <c r="A77" s="114"/>
      <c r="B77" s="114"/>
      <c r="C77" s="114"/>
    </row>
    <row r="78" spans="1:3" ht="17.100000000000001" customHeight="1" x14ac:dyDescent="0.2">
      <c r="A78" s="114"/>
      <c r="B78" s="114"/>
      <c r="C78" s="114"/>
    </row>
    <row r="79" spans="1:3" ht="17.100000000000001" customHeight="1" x14ac:dyDescent="0.2">
      <c r="A79" s="114"/>
      <c r="B79" s="115"/>
      <c r="C79" s="114"/>
    </row>
    <row r="80" spans="1:3" ht="17.100000000000001" customHeight="1" x14ac:dyDescent="0.2">
      <c r="A80" s="114"/>
      <c r="B80" s="114"/>
      <c r="C80" s="114"/>
    </row>
    <row r="81" spans="1:3" ht="17.100000000000001" customHeight="1" x14ac:dyDescent="0.2">
      <c r="A81" s="114"/>
      <c r="B81" s="114"/>
      <c r="C81" s="114"/>
    </row>
    <row r="82" spans="1:3" ht="17.100000000000001" customHeight="1" x14ac:dyDescent="0.2">
      <c r="A82" s="114"/>
      <c r="B82" s="114"/>
      <c r="C82" s="114"/>
    </row>
    <row r="83" spans="1:3" ht="17.100000000000001" customHeight="1" x14ac:dyDescent="0.2">
      <c r="A83" s="110"/>
      <c r="B83" s="111"/>
      <c r="C83" s="110"/>
    </row>
    <row r="84" spans="1:3" ht="17.100000000000001" customHeight="1" x14ac:dyDescent="0.2">
      <c r="A84" s="110"/>
      <c r="B84" s="110"/>
      <c r="C84" s="110"/>
    </row>
    <row r="85" spans="1:3" ht="17.100000000000001" customHeight="1" x14ac:dyDescent="0.2">
      <c r="A85" s="110"/>
      <c r="B85" s="110"/>
      <c r="C85" s="110"/>
    </row>
    <row r="86" spans="1:3" ht="17.100000000000001" customHeight="1" x14ac:dyDescent="0.2">
      <c r="A86" s="110"/>
      <c r="B86" s="110"/>
      <c r="C86" s="110"/>
    </row>
    <row r="88" spans="1:3" s="96" customFormat="1" ht="17.100000000000001" customHeight="1" x14ac:dyDescent="0.2">
      <c r="A88" s="116"/>
      <c r="B88" s="116"/>
      <c r="C88" s="89"/>
    </row>
    <row r="89" spans="1:3" ht="17.100000000000001" customHeight="1" x14ac:dyDescent="0.2">
      <c r="A89" s="117"/>
      <c r="B89" s="83"/>
    </row>
    <row r="90" spans="1:3" ht="17.100000000000001" customHeight="1" x14ac:dyDescent="0.2">
      <c r="A90" s="97"/>
      <c r="B90" s="98"/>
      <c r="C90" s="97"/>
    </row>
    <row r="91" spans="1:3" ht="17.100000000000001" customHeight="1" x14ac:dyDescent="0.2">
      <c r="A91" s="96"/>
      <c r="B91" s="100"/>
      <c r="C91" s="96"/>
    </row>
    <row r="92" spans="1:3" ht="17.100000000000001" customHeight="1" x14ac:dyDescent="0.2">
      <c r="A92" s="96"/>
      <c r="B92" s="100"/>
      <c r="C92" s="96"/>
    </row>
    <row r="93" spans="1:3" ht="17.100000000000001" customHeight="1" x14ac:dyDescent="0.2">
      <c r="A93" s="96"/>
      <c r="B93" s="100"/>
      <c r="C93" s="96"/>
    </row>
    <row r="94" spans="1:3" ht="17.100000000000001" customHeight="1" x14ac:dyDescent="0.2">
      <c r="A94" s="97"/>
      <c r="B94" s="98"/>
      <c r="C94" s="96"/>
    </row>
    <row r="95" spans="1:3" ht="17.100000000000001" customHeight="1" x14ac:dyDescent="0.2">
      <c r="A95" s="96"/>
      <c r="B95" s="100"/>
      <c r="C95" s="96"/>
    </row>
    <row r="96" spans="1:3" ht="17.100000000000001" customHeight="1" x14ac:dyDescent="0.2">
      <c r="A96" s="96"/>
      <c r="B96" s="100"/>
      <c r="C96" s="96"/>
    </row>
    <row r="97" spans="1:3" ht="17.100000000000001" customHeight="1" x14ac:dyDescent="0.2">
      <c r="A97" s="96"/>
      <c r="B97" s="100"/>
      <c r="C97" s="96"/>
    </row>
    <row r="98" spans="1:3" ht="17.100000000000001" customHeight="1" x14ac:dyDescent="0.2">
      <c r="A98" s="110"/>
      <c r="B98" s="111"/>
      <c r="C98" s="110"/>
    </row>
    <row r="99" spans="1:3" ht="17.100000000000001" customHeight="1" x14ac:dyDescent="0.2">
      <c r="A99" s="110"/>
      <c r="B99" s="110"/>
      <c r="C99" s="110"/>
    </row>
    <row r="100" spans="1:3" ht="17.100000000000001" customHeight="1" x14ac:dyDescent="0.2">
      <c r="A100" s="110"/>
      <c r="B100" s="110"/>
      <c r="C100" s="110"/>
    </row>
    <row r="101" spans="1:3" ht="17.100000000000001" customHeight="1" x14ac:dyDescent="0.2">
      <c r="A101" s="110"/>
      <c r="B101" s="110"/>
      <c r="C101" s="110"/>
    </row>
    <row r="102" spans="1:3" ht="17.100000000000001" customHeight="1" x14ac:dyDescent="0.2">
      <c r="A102" s="114"/>
      <c r="B102" s="115"/>
      <c r="C102" s="114"/>
    </row>
    <row r="103" spans="1:3" ht="17.100000000000001" customHeight="1" x14ac:dyDescent="0.2">
      <c r="A103" s="114"/>
      <c r="B103" s="114"/>
      <c r="C103" s="114"/>
    </row>
    <row r="104" spans="1:3" ht="17.100000000000001" customHeight="1" x14ac:dyDescent="0.2">
      <c r="A104" s="114"/>
      <c r="B104" s="114"/>
      <c r="C104" s="114"/>
    </row>
    <row r="105" spans="1:3" ht="17.100000000000001" customHeight="1" x14ac:dyDescent="0.2">
      <c r="A105" s="114"/>
      <c r="B105" s="114"/>
      <c r="C105" s="114"/>
    </row>
    <row r="106" spans="1:3" ht="17.100000000000001" customHeight="1" x14ac:dyDescent="0.2">
      <c r="A106" s="114"/>
      <c r="B106" s="115"/>
      <c r="C106" s="114"/>
    </row>
    <row r="107" spans="1:3" ht="17.100000000000001" customHeight="1" x14ac:dyDescent="0.2">
      <c r="A107" s="114"/>
      <c r="B107" s="114"/>
      <c r="C107" s="114"/>
    </row>
    <row r="108" spans="1:3" ht="17.100000000000001" customHeight="1" x14ac:dyDescent="0.2">
      <c r="A108" s="114"/>
      <c r="B108" s="114"/>
      <c r="C108" s="114"/>
    </row>
    <row r="109" spans="1:3" ht="17.100000000000001" customHeight="1" x14ac:dyDescent="0.2">
      <c r="A109" s="114"/>
      <c r="B109" s="114"/>
      <c r="C109" s="114"/>
    </row>
    <row r="110" spans="1:3" ht="17.100000000000001" customHeight="1" x14ac:dyDescent="0.2">
      <c r="A110" s="110"/>
      <c r="B110" s="111"/>
      <c r="C110" s="110"/>
    </row>
    <row r="111" spans="1:3" ht="17.100000000000001" customHeight="1" x14ac:dyDescent="0.2">
      <c r="A111" s="110"/>
      <c r="B111" s="110"/>
      <c r="C111" s="110"/>
    </row>
    <row r="112" spans="1:3" ht="17.100000000000001" customHeight="1" x14ac:dyDescent="0.2">
      <c r="A112" s="110"/>
      <c r="B112" s="110"/>
      <c r="C112" s="110"/>
    </row>
    <row r="113" spans="1:3" ht="17.100000000000001" customHeight="1" x14ac:dyDescent="0.2">
      <c r="A113" s="110"/>
      <c r="B113" s="110"/>
      <c r="C113" s="110"/>
    </row>
    <row r="115" spans="1:3" ht="17.100000000000001" customHeight="1" x14ac:dyDescent="0.2">
      <c r="A115" s="116"/>
      <c r="B115" s="116"/>
      <c r="C115" s="89"/>
    </row>
    <row r="116" spans="1:3" ht="17.100000000000001" customHeight="1" x14ac:dyDescent="0.2">
      <c r="A116" s="117"/>
      <c r="B116" s="83"/>
    </row>
    <row r="117" spans="1:3" ht="17.100000000000001" customHeight="1" x14ac:dyDescent="0.2">
      <c r="A117" s="97"/>
      <c r="B117" s="98"/>
      <c r="C117" s="97"/>
    </row>
    <row r="118" spans="1:3" ht="17.100000000000001" customHeight="1" x14ac:dyDescent="0.2">
      <c r="A118" s="96"/>
      <c r="B118" s="100"/>
      <c r="C118" s="96"/>
    </row>
    <row r="119" spans="1:3" ht="17.100000000000001" customHeight="1" x14ac:dyDescent="0.2">
      <c r="A119" s="96"/>
      <c r="B119" s="100"/>
      <c r="C119" s="96"/>
    </row>
    <row r="120" spans="1:3" ht="17.100000000000001" customHeight="1" x14ac:dyDescent="0.2">
      <c r="A120" s="96"/>
      <c r="B120" s="100"/>
      <c r="C120" s="96"/>
    </row>
    <row r="121" spans="1:3" ht="17.100000000000001" customHeight="1" x14ac:dyDescent="0.2">
      <c r="A121" s="97"/>
      <c r="B121" s="98"/>
      <c r="C121" s="96"/>
    </row>
    <row r="122" spans="1:3" ht="17.100000000000001" customHeight="1" x14ac:dyDescent="0.2">
      <c r="A122" s="96"/>
      <c r="B122" s="100"/>
      <c r="C122" s="96"/>
    </row>
    <row r="123" spans="1:3" ht="17.100000000000001" customHeight="1" x14ac:dyDescent="0.2">
      <c r="A123" s="96"/>
      <c r="B123" s="100"/>
      <c r="C123" s="96"/>
    </row>
    <row r="124" spans="1:3" ht="17.100000000000001" customHeight="1" x14ac:dyDescent="0.2">
      <c r="A124" s="96"/>
      <c r="B124" s="100"/>
      <c r="C124" s="96"/>
    </row>
    <row r="125" spans="1:3" ht="17.100000000000001" customHeight="1" x14ac:dyDescent="0.2">
      <c r="A125" s="110"/>
      <c r="B125" s="111"/>
      <c r="C125" s="110"/>
    </row>
    <row r="126" spans="1:3" ht="17.100000000000001" customHeight="1" x14ac:dyDescent="0.2">
      <c r="A126" s="110"/>
      <c r="B126" s="110"/>
      <c r="C126" s="110"/>
    </row>
    <row r="127" spans="1:3" ht="17.100000000000001" customHeight="1" x14ac:dyDescent="0.2">
      <c r="A127" s="110"/>
      <c r="B127" s="110"/>
      <c r="C127" s="110"/>
    </row>
    <row r="128" spans="1:3" ht="17.100000000000001" customHeight="1" x14ac:dyDescent="0.2">
      <c r="A128" s="110"/>
      <c r="B128" s="110"/>
      <c r="C128" s="110"/>
    </row>
    <row r="129" spans="1:3" ht="17.100000000000001" customHeight="1" x14ac:dyDescent="0.2">
      <c r="A129" s="114"/>
      <c r="B129" s="115"/>
      <c r="C129" s="114"/>
    </row>
    <row r="130" spans="1:3" ht="17.100000000000001" customHeight="1" x14ac:dyDescent="0.2">
      <c r="A130" s="114"/>
      <c r="B130" s="114"/>
      <c r="C130" s="114"/>
    </row>
    <row r="131" spans="1:3" ht="17.100000000000001" customHeight="1" x14ac:dyDescent="0.2">
      <c r="A131" s="114"/>
      <c r="B131" s="114"/>
      <c r="C131" s="114"/>
    </row>
    <row r="132" spans="1:3" ht="17.100000000000001" customHeight="1" x14ac:dyDescent="0.2">
      <c r="A132" s="114"/>
      <c r="B132" s="114"/>
      <c r="C132" s="114"/>
    </row>
    <row r="133" spans="1:3" ht="17.100000000000001" customHeight="1" x14ac:dyDescent="0.2">
      <c r="A133" s="114"/>
      <c r="B133" s="115"/>
      <c r="C133" s="114"/>
    </row>
    <row r="134" spans="1:3" ht="17.100000000000001" customHeight="1" x14ac:dyDescent="0.2">
      <c r="A134" s="114"/>
      <c r="B134" s="114"/>
      <c r="C134" s="114"/>
    </row>
    <row r="135" spans="1:3" ht="17.100000000000001" customHeight="1" x14ac:dyDescent="0.2">
      <c r="A135" s="114"/>
      <c r="B135" s="114"/>
      <c r="C135" s="114"/>
    </row>
    <row r="136" spans="1:3" ht="17.100000000000001" customHeight="1" x14ac:dyDescent="0.2">
      <c r="A136" s="114"/>
      <c r="B136" s="114"/>
      <c r="C136" s="114"/>
    </row>
    <row r="137" spans="1:3" ht="17.100000000000001" customHeight="1" x14ac:dyDescent="0.2">
      <c r="A137" s="110"/>
      <c r="B137" s="111"/>
      <c r="C137" s="110"/>
    </row>
    <row r="138" spans="1:3" ht="17.100000000000001" customHeight="1" x14ac:dyDescent="0.2">
      <c r="A138" s="110"/>
      <c r="B138" s="110"/>
      <c r="C138" s="110"/>
    </row>
    <row r="139" spans="1:3" ht="17.100000000000001" customHeight="1" x14ac:dyDescent="0.2">
      <c r="A139" s="110"/>
      <c r="B139" s="110"/>
      <c r="C139" s="110"/>
    </row>
    <row r="140" spans="1:3" ht="17.100000000000001" customHeight="1" x14ac:dyDescent="0.2">
      <c r="A140" s="110"/>
      <c r="B140" s="110"/>
      <c r="C140" s="110"/>
    </row>
    <row r="142" spans="1:3" ht="17.100000000000001" customHeight="1" x14ac:dyDescent="0.2">
      <c r="A142" s="116"/>
      <c r="B142" s="116"/>
      <c r="C142" s="89"/>
    </row>
    <row r="143" spans="1:3" ht="17.100000000000001" customHeight="1" x14ac:dyDescent="0.2">
      <c r="A143" s="117"/>
      <c r="B143" s="83"/>
    </row>
    <row r="144" spans="1:3" ht="17.100000000000001" customHeight="1" x14ac:dyDescent="0.2">
      <c r="A144" s="97"/>
      <c r="B144" s="98"/>
      <c r="C144" s="97"/>
    </row>
    <row r="145" spans="1:3" ht="17.100000000000001" customHeight="1" x14ac:dyDescent="0.2">
      <c r="A145" s="96"/>
      <c r="B145" s="100"/>
      <c r="C145" s="96"/>
    </row>
    <row r="146" spans="1:3" ht="17.100000000000001" customHeight="1" x14ac:dyDescent="0.2">
      <c r="A146" s="96"/>
      <c r="B146" s="100"/>
      <c r="C146" s="96"/>
    </row>
    <row r="147" spans="1:3" ht="17.100000000000001" customHeight="1" x14ac:dyDescent="0.2">
      <c r="A147" s="96"/>
      <c r="B147" s="100"/>
      <c r="C147" s="96"/>
    </row>
    <row r="148" spans="1:3" ht="17.100000000000001" customHeight="1" x14ac:dyDescent="0.2">
      <c r="A148" s="97"/>
      <c r="B148" s="98"/>
      <c r="C148" s="96"/>
    </row>
    <row r="149" spans="1:3" ht="17.100000000000001" customHeight="1" x14ac:dyDescent="0.2">
      <c r="A149" s="96"/>
      <c r="B149" s="100"/>
      <c r="C149" s="96"/>
    </row>
    <row r="150" spans="1:3" ht="17.100000000000001" customHeight="1" x14ac:dyDescent="0.2">
      <c r="A150" s="96"/>
      <c r="B150" s="100"/>
      <c r="C150" s="96"/>
    </row>
    <row r="151" spans="1:3" ht="17.100000000000001" customHeight="1" x14ac:dyDescent="0.2">
      <c r="A151" s="96"/>
      <c r="B151" s="100"/>
      <c r="C151" s="96"/>
    </row>
    <row r="152" spans="1:3" ht="17.100000000000001" customHeight="1" x14ac:dyDescent="0.2">
      <c r="A152" s="110"/>
      <c r="B152" s="111"/>
      <c r="C152" s="110"/>
    </row>
    <row r="153" spans="1:3" ht="17.100000000000001" customHeight="1" x14ac:dyDescent="0.2">
      <c r="A153" s="110"/>
      <c r="B153" s="110"/>
      <c r="C153" s="110"/>
    </row>
    <row r="154" spans="1:3" ht="17.100000000000001" customHeight="1" x14ac:dyDescent="0.2">
      <c r="A154" s="110"/>
      <c r="B154" s="110"/>
      <c r="C154" s="110"/>
    </row>
    <row r="155" spans="1:3" ht="17.100000000000001" customHeight="1" x14ac:dyDescent="0.2">
      <c r="A155" s="110"/>
      <c r="B155" s="110"/>
      <c r="C155" s="110"/>
    </row>
    <row r="156" spans="1:3" ht="17.100000000000001" customHeight="1" x14ac:dyDescent="0.2">
      <c r="A156" s="114"/>
      <c r="B156" s="115"/>
      <c r="C156" s="114"/>
    </row>
    <row r="157" spans="1:3" ht="17.100000000000001" customHeight="1" x14ac:dyDescent="0.2">
      <c r="A157" s="114"/>
      <c r="B157" s="114"/>
      <c r="C157" s="114"/>
    </row>
    <row r="158" spans="1:3" ht="17.100000000000001" customHeight="1" x14ac:dyDescent="0.2">
      <c r="A158" s="114"/>
      <c r="B158" s="114"/>
      <c r="C158" s="114"/>
    </row>
    <row r="159" spans="1:3" ht="17.100000000000001" customHeight="1" x14ac:dyDescent="0.2">
      <c r="A159" s="114"/>
      <c r="B159" s="114"/>
      <c r="C159" s="114"/>
    </row>
    <row r="160" spans="1:3" ht="17.100000000000001" customHeight="1" x14ac:dyDescent="0.2">
      <c r="A160" s="114"/>
      <c r="B160" s="115"/>
      <c r="C160" s="114"/>
    </row>
    <row r="161" spans="1:3" ht="17.100000000000001" customHeight="1" x14ac:dyDescent="0.2">
      <c r="A161" s="114"/>
      <c r="B161" s="114"/>
      <c r="C161" s="114"/>
    </row>
    <row r="162" spans="1:3" ht="17.100000000000001" customHeight="1" x14ac:dyDescent="0.2">
      <c r="A162" s="114"/>
      <c r="B162" s="114"/>
      <c r="C162" s="114"/>
    </row>
    <row r="163" spans="1:3" ht="17.100000000000001" customHeight="1" x14ac:dyDescent="0.2">
      <c r="A163" s="114"/>
      <c r="B163" s="114"/>
      <c r="C163" s="114"/>
    </row>
    <row r="164" spans="1:3" ht="17.100000000000001" customHeight="1" x14ac:dyDescent="0.2">
      <c r="A164" s="110"/>
      <c r="B164" s="111"/>
      <c r="C164" s="110"/>
    </row>
    <row r="165" spans="1:3" ht="17.100000000000001" customHeight="1" x14ac:dyDescent="0.2">
      <c r="A165" s="110"/>
      <c r="B165" s="110"/>
      <c r="C165" s="110"/>
    </row>
    <row r="166" spans="1:3" ht="17.100000000000001" customHeight="1" x14ac:dyDescent="0.2">
      <c r="A166" s="110"/>
      <c r="B166" s="110"/>
      <c r="C166" s="110"/>
    </row>
    <row r="167" spans="1:3" ht="17.100000000000001" customHeight="1" x14ac:dyDescent="0.2">
      <c r="A167" s="110"/>
      <c r="B167" s="110"/>
      <c r="C167" s="110"/>
    </row>
  </sheetData>
  <mergeCells count="18">
    <mergeCell ref="X2:AA2"/>
    <mergeCell ref="H27:K27"/>
    <mergeCell ref="L27:O27"/>
    <mergeCell ref="P27:S27"/>
    <mergeCell ref="T27:W27"/>
    <mergeCell ref="X27:AA27"/>
    <mergeCell ref="D2:G2"/>
    <mergeCell ref="H2:K2"/>
    <mergeCell ref="L2:O2"/>
    <mergeCell ref="P2:S2"/>
    <mergeCell ref="T2:W2"/>
    <mergeCell ref="AN2:AO2"/>
    <mergeCell ref="AF27:AI27"/>
    <mergeCell ref="AB27:AE27"/>
    <mergeCell ref="AB2:AE2"/>
    <mergeCell ref="AF2:AI2"/>
    <mergeCell ref="AJ2:AM2"/>
    <mergeCell ref="AJ27:AM27"/>
  </mergeCells>
  <phoneticPr fontId="17" type="noConversion"/>
  <conditionalFormatting sqref="A1:XFD1048576">
    <cfRule type="cellIs" dxfId="1" priority="1" operator="lessThan">
      <formula>0</formula>
    </cfRule>
  </conditionalFormatting>
  <printOptions horizontalCentered="1" gridLines="1" gridLinesSet="0"/>
  <pageMargins left="0" right="0" top="0.78740157480314965" bottom="0.59055118110236227" header="0.51181102362204722" footer="0.31496062992125984"/>
  <pageSetup paperSize="9" scale="54" orientation="landscape" blackAndWhite="1" r:id="rId1"/>
  <headerFooter alignWithMargins="0">
    <oddHeader>&amp;L&amp;F&amp;C&amp;A&amp;R&amp;D</oddHeader>
    <oddFooter>Page &amp;P of &amp;N</oddFooter>
  </headerFooter>
  <rowBreaks count="1" manualBreakCount="1">
    <brk id="26" max="16383" man="1"/>
  </rowBreaks>
  <colBreaks count="1" manualBreakCount="1">
    <brk id="14" max="5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autoPageBreaks="0"/>
  </sheetPr>
  <dimension ref="A1:HN167"/>
  <sheetViews>
    <sheetView tabSelected="1" view="pageBreakPreview" zoomScaleNormal="100" zoomScaleSheetLayoutView="100" workbookViewId="0">
      <pane xSplit="3" ySplit="3" topLeftCell="AJ27" activePane="bottomRight" state="frozen"/>
      <selection activeCell="BJ23" sqref="BJ23"/>
      <selection pane="topRight" activeCell="BJ23" sqref="BJ23"/>
      <selection pane="bottomLeft" activeCell="BJ23" sqref="BJ23"/>
      <selection pane="bottomRight" activeCell="AO39" sqref="AO39"/>
    </sheetView>
  </sheetViews>
  <sheetFormatPr defaultRowHeight="17.100000000000001" customHeight="1" x14ac:dyDescent="0.25"/>
  <cols>
    <col min="1" max="1" width="6.28515625" style="118" customWidth="1"/>
    <col min="2" max="2" width="41.28515625" style="118" customWidth="1"/>
    <col min="3" max="3" width="7.140625" style="118" customWidth="1"/>
    <col min="4" max="9" width="9.7109375" customWidth="1"/>
    <col min="10" max="14" width="9.7109375" style="118" customWidth="1"/>
    <col min="15" max="15" width="10.42578125" style="118" customWidth="1"/>
    <col min="16" max="16" width="9.7109375" style="118" bestFit="1" customWidth="1"/>
    <col min="17" max="17" width="8.42578125" style="118" customWidth="1"/>
    <col min="18" max="21" width="9.7109375" style="118" bestFit="1" customWidth="1"/>
    <col min="22" max="22" width="10.42578125" style="118" bestFit="1" customWidth="1"/>
    <col min="23" max="26" width="9.7109375" style="118" bestFit="1" customWidth="1"/>
    <col min="27" max="27" width="9.140625" style="118"/>
    <col min="28" max="28" width="10.7109375" style="118" bestFit="1" customWidth="1"/>
    <col min="29" max="31" width="9.7109375" style="118" bestFit="1" customWidth="1"/>
    <col min="32" max="222" width="9.140625" style="118"/>
    <col min="223" max="223" width="6.28515625" customWidth="1"/>
    <col min="224" max="224" width="41.28515625" customWidth="1"/>
    <col min="225" max="225" width="7.140625" customWidth="1"/>
    <col min="226" max="239" width="9.28515625" customWidth="1"/>
    <col min="240" max="247" width="9.7109375" customWidth="1"/>
    <col min="248" max="248" width="9.85546875" customWidth="1"/>
    <col min="249" max="250" width="9.7109375" customWidth="1"/>
    <col min="251" max="251" width="10.42578125" customWidth="1"/>
    <col min="252" max="270" width="9.7109375" customWidth="1"/>
    <col min="271" max="271" width="10.42578125" customWidth="1"/>
    <col min="272" max="272" width="9.7109375" bestFit="1" customWidth="1"/>
    <col min="273" max="273" width="8.42578125" customWidth="1"/>
    <col min="274" max="277" width="9.7109375" bestFit="1" customWidth="1"/>
    <col min="278" max="278" width="10.42578125" bestFit="1" customWidth="1"/>
    <col min="279" max="282" width="9.7109375" bestFit="1" customWidth="1"/>
    <col min="284" max="284" width="10.7109375" bestFit="1" customWidth="1"/>
    <col min="285" max="287" width="9.7109375" bestFit="1" customWidth="1"/>
    <col min="479" max="479" width="6.28515625" customWidth="1"/>
    <col min="480" max="480" width="41.28515625" customWidth="1"/>
    <col min="481" max="481" width="7.140625" customWidth="1"/>
    <col min="482" max="495" width="9.28515625" customWidth="1"/>
    <col min="496" max="503" width="9.7109375" customWidth="1"/>
    <col min="504" max="504" width="9.85546875" customWidth="1"/>
    <col min="505" max="506" width="9.7109375" customWidth="1"/>
    <col min="507" max="507" width="10.42578125" customWidth="1"/>
    <col min="508" max="526" width="9.7109375" customWidth="1"/>
    <col min="527" max="527" width="10.42578125" customWidth="1"/>
    <col min="528" max="528" width="9.7109375" bestFit="1" customWidth="1"/>
    <col min="529" max="529" width="8.42578125" customWidth="1"/>
    <col min="530" max="533" width="9.7109375" bestFit="1" customWidth="1"/>
    <col min="534" max="534" width="10.42578125" bestFit="1" customWidth="1"/>
    <col min="535" max="538" width="9.7109375" bestFit="1" customWidth="1"/>
    <col min="540" max="540" width="10.7109375" bestFit="1" customWidth="1"/>
    <col min="541" max="543" width="9.7109375" bestFit="1" customWidth="1"/>
    <col min="735" max="735" width="6.28515625" customWidth="1"/>
    <col min="736" max="736" width="41.28515625" customWidth="1"/>
    <col min="737" max="737" width="7.140625" customWidth="1"/>
    <col min="738" max="751" width="9.28515625" customWidth="1"/>
    <col min="752" max="759" width="9.7109375" customWidth="1"/>
    <col min="760" max="760" width="9.85546875" customWidth="1"/>
    <col min="761" max="762" width="9.7109375" customWidth="1"/>
    <col min="763" max="763" width="10.42578125" customWidth="1"/>
    <col min="764" max="782" width="9.7109375" customWidth="1"/>
    <col min="783" max="783" width="10.42578125" customWidth="1"/>
    <col min="784" max="784" width="9.7109375" bestFit="1" customWidth="1"/>
    <col min="785" max="785" width="8.42578125" customWidth="1"/>
    <col min="786" max="789" width="9.7109375" bestFit="1" customWidth="1"/>
    <col min="790" max="790" width="10.42578125" bestFit="1" customWidth="1"/>
    <col min="791" max="794" width="9.7109375" bestFit="1" customWidth="1"/>
    <col min="796" max="796" width="10.7109375" bestFit="1" customWidth="1"/>
    <col min="797" max="799" width="9.7109375" bestFit="1" customWidth="1"/>
    <col min="991" max="991" width="6.28515625" customWidth="1"/>
    <col min="992" max="992" width="41.28515625" customWidth="1"/>
    <col min="993" max="993" width="7.140625" customWidth="1"/>
    <col min="994" max="1007" width="9.28515625" customWidth="1"/>
    <col min="1008" max="1015" width="9.7109375" customWidth="1"/>
    <col min="1016" max="1016" width="9.85546875" customWidth="1"/>
    <col min="1017" max="1018" width="9.7109375" customWidth="1"/>
    <col min="1019" max="1019" width="10.42578125" customWidth="1"/>
    <col min="1020" max="1038" width="9.7109375" customWidth="1"/>
    <col min="1039" max="1039" width="10.42578125" customWidth="1"/>
    <col min="1040" max="1040" width="9.7109375" bestFit="1" customWidth="1"/>
    <col min="1041" max="1041" width="8.42578125" customWidth="1"/>
    <col min="1042" max="1045" width="9.7109375" bestFit="1" customWidth="1"/>
    <col min="1046" max="1046" width="10.42578125" bestFit="1" customWidth="1"/>
    <col min="1047" max="1050" width="9.7109375" bestFit="1" customWidth="1"/>
    <col min="1052" max="1052" width="10.7109375" bestFit="1" customWidth="1"/>
    <col min="1053" max="1055" width="9.7109375" bestFit="1" customWidth="1"/>
    <col min="1247" max="1247" width="6.28515625" customWidth="1"/>
    <col min="1248" max="1248" width="41.28515625" customWidth="1"/>
    <col min="1249" max="1249" width="7.140625" customWidth="1"/>
    <col min="1250" max="1263" width="9.28515625" customWidth="1"/>
    <col min="1264" max="1271" width="9.7109375" customWidth="1"/>
    <col min="1272" max="1272" width="9.85546875" customWidth="1"/>
    <col min="1273" max="1274" width="9.7109375" customWidth="1"/>
    <col min="1275" max="1275" width="10.42578125" customWidth="1"/>
    <col min="1276" max="1294" width="9.7109375" customWidth="1"/>
    <col min="1295" max="1295" width="10.42578125" customWidth="1"/>
    <col min="1296" max="1296" width="9.7109375" bestFit="1" customWidth="1"/>
    <col min="1297" max="1297" width="8.42578125" customWidth="1"/>
    <col min="1298" max="1301" width="9.7109375" bestFit="1" customWidth="1"/>
    <col min="1302" max="1302" width="10.42578125" bestFit="1" customWidth="1"/>
    <col min="1303" max="1306" width="9.7109375" bestFit="1" customWidth="1"/>
    <col min="1308" max="1308" width="10.7109375" bestFit="1" customWidth="1"/>
    <col min="1309" max="1311" width="9.7109375" bestFit="1" customWidth="1"/>
    <col min="1503" max="1503" width="6.28515625" customWidth="1"/>
    <col min="1504" max="1504" width="41.28515625" customWidth="1"/>
    <col min="1505" max="1505" width="7.140625" customWidth="1"/>
    <col min="1506" max="1519" width="9.28515625" customWidth="1"/>
    <col min="1520" max="1527" width="9.7109375" customWidth="1"/>
    <col min="1528" max="1528" width="9.85546875" customWidth="1"/>
    <col min="1529" max="1530" width="9.7109375" customWidth="1"/>
    <col min="1531" max="1531" width="10.42578125" customWidth="1"/>
    <col min="1532" max="1550" width="9.7109375" customWidth="1"/>
    <col min="1551" max="1551" width="10.42578125" customWidth="1"/>
    <col min="1552" max="1552" width="9.7109375" bestFit="1" customWidth="1"/>
    <col min="1553" max="1553" width="8.42578125" customWidth="1"/>
    <col min="1554" max="1557" width="9.7109375" bestFit="1" customWidth="1"/>
    <col min="1558" max="1558" width="10.42578125" bestFit="1" customWidth="1"/>
    <col min="1559" max="1562" width="9.7109375" bestFit="1" customWidth="1"/>
    <col min="1564" max="1564" width="10.7109375" bestFit="1" customWidth="1"/>
    <col min="1565" max="1567" width="9.7109375" bestFit="1" customWidth="1"/>
    <col min="1759" max="1759" width="6.28515625" customWidth="1"/>
    <col min="1760" max="1760" width="41.28515625" customWidth="1"/>
    <col min="1761" max="1761" width="7.140625" customWidth="1"/>
    <col min="1762" max="1775" width="9.28515625" customWidth="1"/>
    <col min="1776" max="1783" width="9.7109375" customWidth="1"/>
    <col min="1784" max="1784" width="9.85546875" customWidth="1"/>
    <col min="1785" max="1786" width="9.7109375" customWidth="1"/>
    <col min="1787" max="1787" width="10.42578125" customWidth="1"/>
    <col min="1788" max="1806" width="9.7109375" customWidth="1"/>
    <col min="1807" max="1807" width="10.42578125" customWidth="1"/>
    <col min="1808" max="1808" width="9.7109375" bestFit="1" customWidth="1"/>
    <col min="1809" max="1809" width="8.42578125" customWidth="1"/>
    <col min="1810" max="1813" width="9.7109375" bestFit="1" customWidth="1"/>
    <col min="1814" max="1814" width="10.42578125" bestFit="1" customWidth="1"/>
    <col min="1815" max="1818" width="9.7109375" bestFit="1" customWidth="1"/>
    <col min="1820" max="1820" width="10.7109375" bestFit="1" customWidth="1"/>
    <col min="1821" max="1823" width="9.7109375" bestFit="1" customWidth="1"/>
    <col min="2015" max="2015" width="6.28515625" customWidth="1"/>
    <col min="2016" max="2016" width="41.28515625" customWidth="1"/>
    <col min="2017" max="2017" width="7.140625" customWidth="1"/>
    <col min="2018" max="2031" width="9.28515625" customWidth="1"/>
    <col min="2032" max="2039" width="9.7109375" customWidth="1"/>
    <col min="2040" max="2040" width="9.85546875" customWidth="1"/>
    <col min="2041" max="2042" width="9.7109375" customWidth="1"/>
    <col min="2043" max="2043" width="10.42578125" customWidth="1"/>
    <col min="2044" max="2062" width="9.7109375" customWidth="1"/>
    <col min="2063" max="2063" width="10.42578125" customWidth="1"/>
    <col min="2064" max="2064" width="9.7109375" bestFit="1" customWidth="1"/>
    <col min="2065" max="2065" width="8.42578125" customWidth="1"/>
    <col min="2066" max="2069" width="9.7109375" bestFit="1" customWidth="1"/>
    <col min="2070" max="2070" width="10.42578125" bestFit="1" customWidth="1"/>
    <col min="2071" max="2074" width="9.7109375" bestFit="1" customWidth="1"/>
    <col min="2076" max="2076" width="10.7109375" bestFit="1" customWidth="1"/>
    <col min="2077" max="2079" width="9.7109375" bestFit="1" customWidth="1"/>
    <col min="2271" max="2271" width="6.28515625" customWidth="1"/>
    <col min="2272" max="2272" width="41.28515625" customWidth="1"/>
    <col min="2273" max="2273" width="7.140625" customWidth="1"/>
    <col min="2274" max="2287" width="9.28515625" customWidth="1"/>
    <col min="2288" max="2295" width="9.7109375" customWidth="1"/>
    <col min="2296" max="2296" width="9.85546875" customWidth="1"/>
    <col min="2297" max="2298" width="9.7109375" customWidth="1"/>
    <col min="2299" max="2299" width="10.42578125" customWidth="1"/>
    <col min="2300" max="2318" width="9.7109375" customWidth="1"/>
    <col min="2319" max="2319" width="10.42578125" customWidth="1"/>
    <col min="2320" max="2320" width="9.7109375" bestFit="1" customWidth="1"/>
    <col min="2321" max="2321" width="8.42578125" customWidth="1"/>
    <col min="2322" max="2325" width="9.7109375" bestFit="1" customWidth="1"/>
    <col min="2326" max="2326" width="10.42578125" bestFit="1" customWidth="1"/>
    <col min="2327" max="2330" width="9.7109375" bestFit="1" customWidth="1"/>
    <col min="2332" max="2332" width="10.7109375" bestFit="1" customWidth="1"/>
    <col min="2333" max="2335" width="9.7109375" bestFit="1" customWidth="1"/>
    <col min="2527" max="2527" width="6.28515625" customWidth="1"/>
    <col min="2528" max="2528" width="41.28515625" customWidth="1"/>
    <col min="2529" max="2529" width="7.140625" customWidth="1"/>
    <col min="2530" max="2543" width="9.28515625" customWidth="1"/>
    <col min="2544" max="2551" width="9.7109375" customWidth="1"/>
    <col min="2552" max="2552" width="9.85546875" customWidth="1"/>
    <col min="2553" max="2554" width="9.7109375" customWidth="1"/>
    <col min="2555" max="2555" width="10.42578125" customWidth="1"/>
    <col min="2556" max="2574" width="9.7109375" customWidth="1"/>
    <col min="2575" max="2575" width="10.42578125" customWidth="1"/>
    <col min="2576" max="2576" width="9.7109375" bestFit="1" customWidth="1"/>
    <col min="2577" max="2577" width="8.42578125" customWidth="1"/>
    <col min="2578" max="2581" width="9.7109375" bestFit="1" customWidth="1"/>
    <col min="2582" max="2582" width="10.42578125" bestFit="1" customWidth="1"/>
    <col min="2583" max="2586" width="9.7109375" bestFit="1" customWidth="1"/>
    <col min="2588" max="2588" width="10.7109375" bestFit="1" customWidth="1"/>
    <col min="2589" max="2591" width="9.7109375" bestFit="1" customWidth="1"/>
    <col min="2783" max="2783" width="6.28515625" customWidth="1"/>
    <col min="2784" max="2784" width="41.28515625" customWidth="1"/>
    <col min="2785" max="2785" width="7.140625" customWidth="1"/>
    <col min="2786" max="2799" width="9.28515625" customWidth="1"/>
    <col min="2800" max="2807" width="9.7109375" customWidth="1"/>
    <col min="2808" max="2808" width="9.85546875" customWidth="1"/>
    <col min="2809" max="2810" width="9.7109375" customWidth="1"/>
    <col min="2811" max="2811" width="10.42578125" customWidth="1"/>
    <col min="2812" max="2830" width="9.7109375" customWidth="1"/>
    <col min="2831" max="2831" width="10.42578125" customWidth="1"/>
    <col min="2832" max="2832" width="9.7109375" bestFit="1" customWidth="1"/>
    <col min="2833" max="2833" width="8.42578125" customWidth="1"/>
    <col min="2834" max="2837" width="9.7109375" bestFit="1" customWidth="1"/>
    <col min="2838" max="2838" width="10.42578125" bestFit="1" customWidth="1"/>
    <col min="2839" max="2842" width="9.7109375" bestFit="1" customWidth="1"/>
    <col min="2844" max="2844" width="10.7109375" bestFit="1" customWidth="1"/>
    <col min="2845" max="2847" width="9.7109375" bestFit="1" customWidth="1"/>
    <col min="3039" max="3039" width="6.28515625" customWidth="1"/>
    <col min="3040" max="3040" width="41.28515625" customWidth="1"/>
    <col min="3041" max="3041" width="7.140625" customWidth="1"/>
    <col min="3042" max="3055" width="9.28515625" customWidth="1"/>
    <col min="3056" max="3063" width="9.7109375" customWidth="1"/>
    <col min="3064" max="3064" width="9.85546875" customWidth="1"/>
    <col min="3065" max="3066" width="9.7109375" customWidth="1"/>
    <col min="3067" max="3067" width="10.42578125" customWidth="1"/>
    <col min="3068" max="3086" width="9.7109375" customWidth="1"/>
    <col min="3087" max="3087" width="10.42578125" customWidth="1"/>
    <col min="3088" max="3088" width="9.7109375" bestFit="1" customWidth="1"/>
    <col min="3089" max="3089" width="8.42578125" customWidth="1"/>
    <col min="3090" max="3093" width="9.7109375" bestFit="1" customWidth="1"/>
    <col min="3094" max="3094" width="10.42578125" bestFit="1" customWidth="1"/>
    <col min="3095" max="3098" width="9.7109375" bestFit="1" customWidth="1"/>
    <col min="3100" max="3100" width="10.7109375" bestFit="1" customWidth="1"/>
    <col min="3101" max="3103" width="9.7109375" bestFit="1" customWidth="1"/>
    <col min="3295" max="3295" width="6.28515625" customWidth="1"/>
    <col min="3296" max="3296" width="41.28515625" customWidth="1"/>
    <col min="3297" max="3297" width="7.140625" customWidth="1"/>
    <col min="3298" max="3311" width="9.28515625" customWidth="1"/>
    <col min="3312" max="3319" width="9.7109375" customWidth="1"/>
    <col min="3320" max="3320" width="9.85546875" customWidth="1"/>
    <col min="3321" max="3322" width="9.7109375" customWidth="1"/>
    <col min="3323" max="3323" width="10.42578125" customWidth="1"/>
    <col min="3324" max="3342" width="9.7109375" customWidth="1"/>
    <col min="3343" max="3343" width="10.42578125" customWidth="1"/>
    <col min="3344" max="3344" width="9.7109375" bestFit="1" customWidth="1"/>
    <col min="3345" max="3345" width="8.42578125" customWidth="1"/>
    <col min="3346" max="3349" width="9.7109375" bestFit="1" customWidth="1"/>
    <col min="3350" max="3350" width="10.42578125" bestFit="1" customWidth="1"/>
    <col min="3351" max="3354" width="9.7109375" bestFit="1" customWidth="1"/>
    <col min="3356" max="3356" width="10.7109375" bestFit="1" customWidth="1"/>
    <col min="3357" max="3359" width="9.7109375" bestFit="1" customWidth="1"/>
    <col min="3551" max="3551" width="6.28515625" customWidth="1"/>
    <col min="3552" max="3552" width="41.28515625" customWidth="1"/>
    <col min="3553" max="3553" width="7.140625" customWidth="1"/>
    <col min="3554" max="3567" width="9.28515625" customWidth="1"/>
    <col min="3568" max="3575" width="9.7109375" customWidth="1"/>
    <col min="3576" max="3576" width="9.85546875" customWidth="1"/>
    <col min="3577" max="3578" width="9.7109375" customWidth="1"/>
    <col min="3579" max="3579" width="10.42578125" customWidth="1"/>
    <col min="3580" max="3598" width="9.7109375" customWidth="1"/>
    <col min="3599" max="3599" width="10.42578125" customWidth="1"/>
    <col min="3600" max="3600" width="9.7109375" bestFit="1" customWidth="1"/>
    <col min="3601" max="3601" width="8.42578125" customWidth="1"/>
    <col min="3602" max="3605" width="9.7109375" bestFit="1" customWidth="1"/>
    <col min="3606" max="3606" width="10.42578125" bestFit="1" customWidth="1"/>
    <col min="3607" max="3610" width="9.7109375" bestFit="1" customWidth="1"/>
    <col min="3612" max="3612" width="10.7109375" bestFit="1" customWidth="1"/>
    <col min="3613" max="3615" width="9.7109375" bestFit="1" customWidth="1"/>
    <col min="3807" max="3807" width="6.28515625" customWidth="1"/>
    <col min="3808" max="3808" width="41.28515625" customWidth="1"/>
    <col min="3809" max="3809" width="7.140625" customWidth="1"/>
    <col min="3810" max="3823" width="9.28515625" customWidth="1"/>
    <col min="3824" max="3831" width="9.7109375" customWidth="1"/>
    <col min="3832" max="3832" width="9.85546875" customWidth="1"/>
    <col min="3833" max="3834" width="9.7109375" customWidth="1"/>
    <col min="3835" max="3835" width="10.42578125" customWidth="1"/>
    <col min="3836" max="3854" width="9.7109375" customWidth="1"/>
    <col min="3855" max="3855" width="10.42578125" customWidth="1"/>
    <col min="3856" max="3856" width="9.7109375" bestFit="1" customWidth="1"/>
    <col min="3857" max="3857" width="8.42578125" customWidth="1"/>
    <col min="3858" max="3861" width="9.7109375" bestFit="1" customWidth="1"/>
    <col min="3862" max="3862" width="10.42578125" bestFit="1" customWidth="1"/>
    <col min="3863" max="3866" width="9.7109375" bestFit="1" customWidth="1"/>
    <col min="3868" max="3868" width="10.7109375" bestFit="1" customWidth="1"/>
    <col min="3869" max="3871" width="9.7109375" bestFit="1" customWidth="1"/>
    <col min="4063" max="4063" width="6.28515625" customWidth="1"/>
    <col min="4064" max="4064" width="41.28515625" customWidth="1"/>
    <col min="4065" max="4065" width="7.140625" customWidth="1"/>
    <col min="4066" max="4079" width="9.28515625" customWidth="1"/>
    <col min="4080" max="4087" width="9.7109375" customWidth="1"/>
    <col min="4088" max="4088" width="9.85546875" customWidth="1"/>
    <col min="4089" max="4090" width="9.7109375" customWidth="1"/>
    <col min="4091" max="4091" width="10.42578125" customWidth="1"/>
    <col min="4092" max="4110" width="9.7109375" customWidth="1"/>
    <col min="4111" max="4111" width="10.42578125" customWidth="1"/>
    <col min="4112" max="4112" width="9.7109375" bestFit="1" customWidth="1"/>
    <col min="4113" max="4113" width="8.42578125" customWidth="1"/>
    <col min="4114" max="4117" width="9.7109375" bestFit="1" customWidth="1"/>
    <col min="4118" max="4118" width="10.42578125" bestFit="1" customWidth="1"/>
    <col min="4119" max="4122" width="9.7109375" bestFit="1" customWidth="1"/>
    <col min="4124" max="4124" width="10.7109375" bestFit="1" customWidth="1"/>
    <col min="4125" max="4127" width="9.7109375" bestFit="1" customWidth="1"/>
    <col min="4319" max="4319" width="6.28515625" customWidth="1"/>
    <col min="4320" max="4320" width="41.28515625" customWidth="1"/>
    <col min="4321" max="4321" width="7.140625" customWidth="1"/>
    <col min="4322" max="4335" width="9.28515625" customWidth="1"/>
    <col min="4336" max="4343" width="9.7109375" customWidth="1"/>
    <col min="4344" max="4344" width="9.85546875" customWidth="1"/>
    <col min="4345" max="4346" width="9.7109375" customWidth="1"/>
    <col min="4347" max="4347" width="10.42578125" customWidth="1"/>
    <col min="4348" max="4366" width="9.7109375" customWidth="1"/>
    <col min="4367" max="4367" width="10.42578125" customWidth="1"/>
    <col min="4368" max="4368" width="9.7109375" bestFit="1" customWidth="1"/>
    <col min="4369" max="4369" width="8.42578125" customWidth="1"/>
    <col min="4370" max="4373" width="9.7109375" bestFit="1" customWidth="1"/>
    <col min="4374" max="4374" width="10.42578125" bestFit="1" customWidth="1"/>
    <col min="4375" max="4378" width="9.7109375" bestFit="1" customWidth="1"/>
    <col min="4380" max="4380" width="10.7109375" bestFit="1" customWidth="1"/>
    <col min="4381" max="4383" width="9.7109375" bestFit="1" customWidth="1"/>
    <col min="4575" max="4575" width="6.28515625" customWidth="1"/>
    <col min="4576" max="4576" width="41.28515625" customWidth="1"/>
    <col min="4577" max="4577" width="7.140625" customWidth="1"/>
    <col min="4578" max="4591" width="9.28515625" customWidth="1"/>
    <col min="4592" max="4599" width="9.7109375" customWidth="1"/>
    <col min="4600" max="4600" width="9.85546875" customWidth="1"/>
    <col min="4601" max="4602" width="9.7109375" customWidth="1"/>
    <col min="4603" max="4603" width="10.42578125" customWidth="1"/>
    <col min="4604" max="4622" width="9.7109375" customWidth="1"/>
    <col min="4623" max="4623" width="10.42578125" customWidth="1"/>
    <col min="4624" max="4624" width="9.7109375" bestFit="1" customWidth="1"/>
    <col min="4625" max="4625" width="8.42578125" customWidth="1"/>
    <col min="4626" max="4629" width="9.7109375" bestFit="1" customWidth="1"/>
    <col min="4630" max="4630" width="10.42578125" bestFit="1" customWidth="1"/>
    <col min="4631" max="4634" width="9.7109375" bestFit="1" customWidth="1"/>
    <col min="4636" max="4636" width="10.7109375" bestFit="1" customWidth="1"/>
    <col min="4637" max="4639" width="9.7109375" bestFit="1" customWidth="1"/>
    <col min="4831" max="4831" width="6.28515625" customWidth="1"/>
    <col min="4832" max="4832" width="41.28515625" customWidth="1"/>
    <col min="4833" max="4833" width="7.140625" customWidth="1"/>
    <col min="4834" max="4847" width="9.28515625" customWidth="1"/>
    <col min="4848" max="4855" width="9.7109375" customWidth="1"/>
    <col min="4856" max="4856" width="9.85546875" customWidth="1"/>
    <col min="4857" max="4858" width="9.7109375" customWidth="1"/>
    <col min="4859" max="4859" width="10.42578125" customWidth="1"/>
    <col min="4860" max="4878" width="9.7109375" customWidth="1"/>
    <col min="4879" max="4879" width="10.42578125" customWidth="1"/>
    <col min="4880" max="4880" width="9.7109375" bestFit="1" customWidth="1"/>
    <col min="4881" max="4881" width="8.42578125" customWidth="1"/>
    <col min="4882" max="4885" width="9.7109375" bestFit="1" customWidth="1"/>
    <col min="4886" max="4886" width="10.42578125" bestFit="1" customWidth="1"/>
    <col min="4887" max="4890" width="9.7109375" bestFit="1" customWidth="1"/>
    <col min="4892" max="4892" width="10.7109375" bestFit="1" customWidth="1"/>
    <col min="4893" max="4895" width="9.7109375" bestFit="1" customWidth="1"/>
    <col min="5087" max="5087" width="6.28515625" customWidth="1"/>
    <col min="5088" max="5088" width="41.28515625" customWidth="1"/>
    <col min="5089" max="5089" width="7.140625" customWidth="1"/>
    <col min="5090" max="5103" width="9.28515625" customWidth="1"/>
    <col min="5104" max="5111" width="9.7109375" customWidth="1"/>
    <col min="5112" max="5112" width="9.85546875" customWidth="1"/>
    <col min="5113" max="5114" width="9.7109375" customWidth="1"/>
    <col min="5115" max="5115" width="10.42578125" customWidth="1"/>
    <col min="5116" max="5134" width="9.7109375" customWidth="1"/>
    <col min="5135" max="5135" width="10.42578125" customWidth="1"/>
    <col min="5136" max="5136" width="9.7109375" bestFit="1" customWidth="1"/>
    <col min="5137" max="5137" width="8.42578125" customWidth="1"/>
    <col min="5138" max="5141" width="9.7109375" bestFit="1" customWidth="1"/>
    <col min="5142" max="5142" width="10.42578125" bestFit="1" customWidth="1"/>
    <col min="5143" max="5146" width="9.7109375" bestFit="1" customWidth="1"/>
    <col min="5148" max="5148" width="10.7109375" bestFit="1" customWidth="1"/>
    <col min="5149" max="5151" width="9.7109375" bestFit="1" customWidth="1"/>
    <col min="5343" max="5343" width="6.28515625" customWidth="1"/>
    <col min="5344" max="5344" width="41.28515625" customWidth="1"/>
    <col min="5345" max="5345" width="7.140625" customWidth="1"/>
    <col min="5346" max="5359" width="9.28515625" customWidth="1"/>
    <col min="5360" max="5367" width="9.7109375" customWidth="1"/>
    <col min="5368" max="5368" width="9.85546875" customWidth="1"/>
    <col min="5369" max="5370" width="9.7109375" customWidth="1"/>
    <col min="5371" max="5371" width="10.42578125" customWidth="1"/>
    <col min="5372" max="5390" width="9.7109375" customWidth="1"/>
    <col min="5391" max="5391" width="10.42578125" customWidth="1"/>
    <col min="5392" max="5392" width="9.7109375" bestFit="1" customWidth="1"/>
    <col min="5393" max="5393" width="8.42578125" customWidth="1"/>
    <col min="5394" max="5397" width="9.7109375" bestFit="1" customWidth="1"/>
    <col min="5398" max="5398" width="10.42578125" bestFit="1" customWidth="1"/>
    <col min="5399" max="5402" width="9.7109375" bestFit="1" customWidth="1"/>
    <col min="5404" max="5404" width="10.7109375" bestFit="1" customWidth="1"/>
    <col min="5405" max="5407" width="9.7109375" bestFit="1" customWidth="1"/>
    <col min="5599" max="5599" width="6.28515625" customWidth="1"/>
    <col min="5600" max="5600" width="41.28515625" customWidth="1"/>
    <col min="5601" max="5601" width="7.140625" customWidth="1"/>
    <col min="5602" max="5615" width="9.28515625" customWidth="1"/>
    <col min="5616" max="5623" width="9.7109375" customWidth="1"/>
    <col min="5624" max="5624" width="9.85546875" customWidth="1"/>
    <col min="5625" max="5626" width="9.7109375" customWidth="1"/>
    <col min="5627" max="5627" width="10.42578125" customWidth="1"/>
    <col min="5628" max="5646" width="9.7109375" customWidth="1"/>
    <col min="5647" max="5647" width="10.42578125" customWidth="1"/>
    <col min="5648" max="5648" width="9.7109375" bestFit="1" customWidth="1"/>
    <col min="5649" max="5649" width="8.42578125" customWidth="1"/>
    <col min="5650" max="5653" width="9.7109375" bestFit="1" customWidth="1"/>
    <col min="5654" max="5654" width="10.42578125" bestFit="1" customWidth="1"/>
    <col min="5655" max="5658" width="9.7109375" bestFit="1" customWidth="1"/>
    <col min="5660" max="5660" width="10.7109375" bestFit="1" customWidth="1"/>
    <col min="5661" max="5663" width="9.7109375" bestFit="1" customWidth="1"/>
    <col min="5855" max="5855" width="6.28515625" customWidth="1"/>
    <col min="5856" max="5856" width="41.28515625" customWidth="1"/>
    <col min="5857" max="5857" width="7.140625" customWidth="1"/>
    <col min="5858" max="5871" width="9.28515625" customWidth="1"/>
    <col min="5872" max="5879" width="9.7109375" customWidth="1"/>
    <col min="5880" max="5880" width="9.85546875" customWidth="1"/>
    <col min="5881" max="5882" width="9.7109375" customWidth="1"/>
    <col min="5883" max="5883" width="10.42578125" customWidth="1"/>
    <col min="5884" max="5902" width="9.7109375" customWidth="1"/>
    <col min="5903" max="5903" width="10.42578125" customWidth="1"/>
    <col min="5904" max="5904" width="9.7109375" bestFit="1" customWidth="1"/>
    <col min="5905" max="5905" width="8.42578125" customWidth="1"/>
    <col min="5906" max="5909" width="9.7109375" bestFit="1" customWidth="1"/>
    <col min="5910" max="5910" width="10.42578125" bestFit="1" customWidth="1"/>
    <col min="5911" max="5914" width="9.7109375" bestFit="1" customWidth="1"/>
    <col min="5916" max="5916" width="10.7109375" bestFit="1" customWidth="1"/>
    <col min="5917" max="5919" width="9.7109375" bestFit="1" customWidth="1"/>
    <col min="6111" max="6111" width="6.28515625" customWidth="1"/>
    <col min="6112" max="6112" width="41.28515625" customWidth="1"/>
    <col min="6113" max="6113" width="7.140625" customWidth="1"/>
    <col min="6114" max="6127" width="9.28515625" customWidth="1"/>
    <col min="6128" max="6135" width="9.7109375" customWidth="1"/>
    <col min="6136" max="6136" width="9.85546875" customWidth="1"/>
    <col min="6137" max="6138" width="9.7109375" customWidth="1"/>
    <col min="6139" max="6139" width="10.42578125" customWidth="1"/>
    <col min="6140" max="6158" width="9.7109375" customWidth="1"/>
    <col min="6159" max="6159" width="10.42578125" customWidth="1"/>
    <col min="6160" max="6160" width="9.7109375" bestFit="1" customWidth="1"/>
    <col min="6161" max="6161" width="8.42578125" customWidth="1"/>
    <col min="6162" max="6165" width="9.7109375" bestFit="1" customWidth="1"/>
    <col min="6166" max="6166" width="10.42578125" bestFit="1" customWidth="1"/>
    <col min="6167" max="6170" width="9.7109375" bestFit="1" customWidth="1"/>
    <col min="6172" max="6172" width="10.7109375" bestFit="1" customWidth="1"/>
    <col min="6173" max="6175" width="9.7109375" bestFit="1" customWidth="1"/>
    <col min="6367" max="6367" width="6.28515625" customWidth="1"/>
    <col min="6368" max="6368" width="41.28515625" customWidth="1"/>
    <col min="6369" max="6369" width="7.140625" customWidth="1"/>
    <col min="6370" max="6383" width="9.28515625" customWidth="1"/>
    <col min="6384" max="6391" width="9.7109375" customWidth="1"/>
    <col min="6392" max="6392" width="9.85546875" customWidth="1"/>
    <col min="6393" max="6394" width="9.7109375" customWidth="1"/>
    <col min="6395" max="6395" width="10.42578125" customWidth="1"/>
    <col min="6396" max="6414" width="9.7109375" customWidth="1"/>
    <col min="6415" max="6415" width="10.42578125" customWidth="1"/>
    <col min="6416" max="6416" width="9.7109375" bestFit="1" customWidth="1"/>
    <col min="6417" max="6417" width="8.42578125" customWidth="1"/>
    <col min="6418" max="6421" width="9.7109375" bestFit="1" customWidth="1"/>
    <col min="6422" max="6422" width="10.42578125" bestFit="1" customWidth="1"/>
    <col min="6423" max="6426" width="9.7109375" bestFit="1" customWidth="1"/>
    <col min="6428" max="6428" width="10.7109375" bestFit="1" customWidth="1"/>
    <col min="6429" max="6431" width="9.7109375" bestFit="1" customWidth="1"/>
    <col min="6623" max="6623" width="6.28515625" customWidth="1"/>
    <col min="6624" max="6624" width="41.28515625" customWidth="1"/>
    <col min="6625" max="6625" width="7.140625" customWidth="1"/>
    <col min="6626" max="6639" width="9.28515625" customWidth="1"/>
    <col min="6640" max="6647" width="9.7109375" customWidth="1"/>
    <col min="6648" max="6648" width="9.85546875" customWidth="1"/>
    <col min="6649" max="6650" width="9.7109375" customWidth="1"/>
    <col min="6651" max="6651" width="10.42578125" customWidth="1"/>
    <col min="6652" max="6670" width="9.7109375" customWidth="1"/>
    <col min="6671" max="6671" width="10.42578125" customWidth="1"/>
    <col min="6672" max="6672" width="9.7109375" bestFit="1" customWidth="1"/>
    <col min="6673" max="6673" width="8.42578125" customWidth="1"/>
    <col min="6674" max="6677" width="9.7109375" bestFit="1" customWidth="1"/>
    <col min="6678" max="6678" width="10.42578125" bestFit="1" customWidth="1"/>
    <col min="6679" max="6682" width="9.7109375" bestFit="1" customWidth="1"/>
    <col min="6684" max="6684" width="10.7109375" bestFit="1" customWidth="1"/>
    <col min="6685" max="6687" width="9.7109375" bestFit="1" customWidth="1"/>
    <col min="6879" max="6879" width="6.28515625" customWidth="1"/>
    <col min="6880" max="6880" width="41.28515625" customWidth="1"/>
    <col min="6881" max="6881" width="7.140625" customWidth="1"/>
    <col min="6882" max="6895" width="9.28515625" customWidth="1"/>
    <col min="6896" max="6903" width="9.7109375" customWidth="1"/>
    <col min="6904" max="6904" width="9.85546875" customWidth="1"/>
    <col min="6905" max="6906" width="9.7109375" customWidth="1"/>
    <col min="6907" max="6907" width="10.42578125" customWidth="1"/>
    <col min="6908" max="6926" width="9.7109375" customWidth="1"/>
    <col min="6927" max="6927" width="10.42578125" customWidth="1"/>
    <col min="6928" max="6928" width="9.7109375" bestFit="1" customWidth="1"/>
    <col min="6929" max="6929" width="8.42578125" customWidth="1"/>
    <col min="6930" max="6933" width="9.7109375" bestFit="1" customWidth="1"/>
    <col min="6934" max="6934" width="10.42578125" bestFit="1" customWidth="1"/>
    <col min="6935" max="6938" width="9.7109375" bestFit="1" customWidth="1"/>
    <col min="6940" max="6940" width="10.7109375" bestFit="1" customWidth="1"/>
    <col min="6941" max="6943" width="9.7109375" bestFit="1" customWidth="1"/>
    <col min="7135" max="7135" width="6.28515625" customWidth="1"/>
    <col min="7136" max="7136" width="41.28515625" customWidth="1"/>
    <col min="7137" max="7137" width="7.140625" customWidth="1"/>
    <col min="7138" max="7151" width="9.28515625" customWidth="1"/>
    <col min="7152" max="7159" width="9.7109375" customWidth="1"/>
    <col min="7160" max="7160" width="9.85546875" customWidth="1"/>
    <col min="7161" max="7162" width="9.7109375" customWidth="1"/>
    <col min="7163" max="7163" width="10.42578125" customWidth="1"/>
    <col min="7164" max="7182" width="9.7109375" customWidth="1"/>
    <col min="7183" max="7183" width="10.42578125" customWidth="1"/>
    <col min="7184" max="7184" width="9.7109375" bestFit="1" customWidth="1"/>
    <col min="7185" max="7185" width="8.42578125" customWidth="1"/>
    <col min="7186" max="7189" width="9.7109375" bestFit="1" customWidth="1"/>
    <col min="7190" max="7190" width="10.42578125" bestFit="1" customWidth="1"/>
    <col min="7191" max="7194" width="9.7109375" bestFit="1" customWidth="1"/>
    <col min="7196" max="7196" width="10.7109375" bestFit="1" customWidth="1"/>
    <col min="7197" max="7199" width="9.7109375" bestFit="1" customWidth="1"/>
    <col min="7391" max="7391" width="6.28515625" customWidth="1"/>
    <col min="7392" max="7392" width="41.28515625" customWidth="1"/>
    <col min="7393" max="7393" width="7.140625" customWidth="1"/>
    <col min="7394" max="7407" width="9.28515625" customWidth="1"/>
    <col min="7408" max="7415" width="9.7109375" customWidth="1"/>
    <col min="7416" max="7416" width="9.85546875" customWidth="1"/>
    <col min="7417" max="7418" width="9.7109375" customWidth="1"/>
    <col min="7419" max="7419" width="10.42578125" customWidth="1"/>
    <col min="7420" max="7438" width="9.7109375" customWidth="1"/>
    <col min="7439" max="7439" width="10.42578125" customWidth="1"/>
    <col min="7440" max="7440" width="9.7109375" bestFit="1" customWidth="1"/>
    <col min="7441" max="7441" width="8.42578125" customWidth="1"/>
    <col min="7442" max="7445" width="9.7109375" bestFit="1" customWidth="1"/>
    <col min="7446" max="7446" width="10.42578125" bestFit="1" customWidth="1"/>
    <col min="7447" max="7450" width="9.7109375" bestFit="1" customWidth="1"/>
    <col min="7452" max="7452" width="10.7109375" bestFit="1" customWidth="1"/>
    <col min="7453" max="7455" width="9.7109375" bestFit="1" customWidth="1"/>
    <col min="7647" max="7647" width="6.28515625" customWidth="1"/>
    <col min="7648" max="7648" width="41.28515625" customWidth="1"/>
    <col min="7649" max="7649" width="7.140625" customWidth="1"/>
    <col min="7650" max="7663" width="9.28515625" customWidth="1"/>
    <col min="7664" max="7671" width="9.7109375" customWidth="1"/>
    <col min="7672" max="7672" width="9.85546875" customWidth="1"/>
    <col min="7673" max="7674" width="9.7109375" customWidth="1"/>
    <col min="7675" max="7675" width="10.42578125" customWidth="1"/>
    <col min="7676" max="7694" width="9.7109375" customWidth="1"/>
    <col min="7695" max="7695" width="10.42578125" customWidth="1"/>
    <col min="7696" max="7696" width="9.7109375" bestFit="1" customWidth="1"/>
    <col min="7697" max="7697" width="8.42578125" customWidth="1"/>
    <col min="7698" max="7701" width="9.7109375" bestFit="1" customWidth="1"/>
    <col min="7702" max="7702" width="10.42578125" bestFit="1" customWidth="1"/>
    <col min="7703" max="7706" width="9.7109375" bestFit="1" customWidth="1"/>
    <col min="7708" max="7708" width="10.7109375" bestFit="1" customWidth="1"/>
    <col min="7709" max="7711" width="9.7109375" bestFit="1" customWidth="1"/>
    <col min="7903" max="7903" width="6.28515625" customWidth="1"/>
    <col min="7904" max="7904" width="41.28515625" customWidth="1"/>
    <col min="7905" max="7905" width="7.140625" customWidth="1"/>
    <col min="7906" max="7919" width="9.28515625" customWidth="1"/>
    <col min="7920" max="7927" width="9.7109375" customWidth="1"/>
    <col min="7928" max="7928" width="9.85546875" customWidth="1"/>
    <col min="7929" max="7930" width="9.7109375" customWidth="1"/>
    <col min="7931" max="7931" width="10.42578125" customWidth="1"/>
    <col min="7932" max="7950" width="9.7109375" customWidth="1"/>
    <col min="7951" max="7951" width="10.42578125" customWidth="1"/>
    <col min="7952" max="7952" width="9.7109375" bestFit="1" customWidth="1"/>
    <col min="7953" max="7953" width="8.42578125" customWidth="1"/>
    <col min="7954" max="7957" width="9.7109375" bestFit="1" customWidth="1"/>
    <col min="7958" max="7958" width="10.42578125" bestFit="1" customWidth="1"/>
    <col min="7959" max="7962" width="9.7109375" bestFit="1" customWidth="1"/>
    <col min="7964" max="7964" width="10.7109375" bestFit="1" customWidth="1"/>
    <col min="7965" max="7967" width="9.7109375" bestFit="1" customWidth="1"/>
    <col min="8159" max="8159" width="6.28515625" customWidth="1"/>
    <col min="8160" max="8160" width="41.28515625" customWidth="1"/>
    <col min="8161" max="8161" width="7.140625" customWidth="1"/>
    <col min="8162" max="8175" width="9.28515625" customWidth="1"/>
    <col min="8176" max="8183" width="9.7109375" customWidth="1"/>
    <col min="8184" max="8184" width="9.85546875" customWidth="1"/>
    <col min="8185" max="8186" width="9.7109375" customWidth="1"/>
    <col min="8187" max="8187" width="10.42578125" customWidth="1"/>
    <col min="8188" max="8206" width="9.7109375" customWidth="1"/>
    <col min="8207" max="8207" width="10.42578125" customWidth="1"/>
    <col min="8208" max="8208" width="9.7109375" bestFit="1" customWidth="1"/>
    <col min="8209" max="8209" width="8.42578125" customWidth="1"/>
    <col min="8210" max="8213" width="9.7109375" bestFit="1" customWidth="1"/>
    <col min="8214" max="8214" width="10.42578125" bestFit="1" customWidth="1"/>
    <col min="8215" max="8218" width="9.7109375" bestFit="1" customWidth="1"/>
    <col min="8220" max="8220" width="10.7109375" bestFit="1" customWidth="1"/>
    <col min="8221" max="8223" width="9.7109375" bestFit="1" customWidth="1"/>
    <col min="8415" max="8415" width="6.28515625" customWidth="1"/>
    <col min="8416" max="8416" width="41.28515625" customWidth="1"/>
    <col min="8417" max="8417" width="7.140625" customWidth="1"/>
    <col min="8418" max="8431" width="9.28515625" customWidth="1"/>
    <col min="8432" max="8439" width="9.7109375" customWidth="1"/>
    <col min="8440" max="8440" width="9.85546875" customWidth="1"/>
    <col min="8441" max="8442" width="9.7109375" customWidth="1"/>
    <col min="8443" max="8443" width="10.42578125" customWidth="1"/>
    <col min="8444" max="8462" width="9.7109375" customWidth="1"/>
    <col min="8463" max="8463" width="10.42578125" customWidth="1"/>
    <col min="8464" max="8464" width="9.7109375" bestFit="1" customWidth="1"/>
    <col min="8465" max="8465" width="8.42578125" customWidth="1"/>
    <col min="8466" max="8469" width="9.7109375" bestFit="1" customWidth="1"/>
    <col min="8470" max="8470" width="10.42578125" bestFit="1" customWidth="1"/>
    <col min="8471" max="8474" width="9.7109375" bestFit="1" customWidth="1"/>
    <col min="8476" max="8476" width="10.7109375" bestFit="1" customWidth="1"/>
    <col min="8477" max="8479" width="9.7109375" bestFit="1" customWidth="1"/>
    <col min="8671" max="8671" width="6.28515625" customWidth="1"/>
    <col min="8672" max="8672" width="41.28515625" customWidth="1"/>
    <col min="8673" max="8673" width="7.140625" customWidth="1"/>
    <col min="8674" max="8687" width="9.28515625" customWidth="1"/>
    <col min="8688" max="8695" width="9.7109375" customWidth="1"/>
    <col min="8696" max="8696" width="9.85546875" customWidth="1"/>
    <col min="8697" max="8698" width="9.7109375" customWidth="1"/>
    <col min="8699" max="8699" width="10.42578125" customWidth="1"/>
    <col min="8700" max="8718" width="9.7109375" customWidth="1"/>
    <col min="8719" max="8719" width="10.42578125" customWidth="1"/>
    <col min="8720" max="8720" width="9.7109375" bestFit="1" customWidth="1"/>
    <col min="8721" max="8721" width="8.42578125" customWidth="1"/>
    <col min="8722" max="8725" width="9.7109375" bestFit="1" customWidth="1"/>
    <col min="8726" max="8726" width="10.42578125" bestFit="1" customWidth="1"/>
    <col min="8727" max="8730" width="9.7109375" bestFit="1" customWidth="1"/>
    <col min="8732" max="8732" width="10.7109375" bestFit="1" customWidth="1"/>
    <col min="8733" max="8735" width="9.7109375" bestFit="1" customWidth="1"/>
    <col min="8927" max="8927" width="6.28515625" customWidth="1"/>
    <col min="8928" max="8928" width="41.28515625" customWidth="1"/>
    <col min="8929" max="8929" width="7.140625" customWidth="1"/>
    <col min="8930" max="8943" width="9.28515625" customWidth="1"/>
    <col min="8944" max="8951" width="9.7109375" customWidth="1"/>
    <col min="8952" max="8952" width="9.85546875" customWidth="1"/>
    <col min="8953" max="8954" width="9.7109375" customWidth="1"/>
    <col min="8955" max="8955" width="10.42578125" customWidth="1"/>
    <col min="8956" max="8974" width="9.7109375" customWidth="1"/>
    <col min="8975" max="8975" width="10.42578125" customWidth="1"/>
    <col min="8976" max="8976" width="9.7109375" bestFit="1" customWidth="1"/>
    <col min="8977" max="8977" width="8.42578125" customWidth="1"/>
    <col min="8978" max="8981" width="9.7109375" bestFit="1" customWidth="1"/>
    <col min="8982" max="8982" width="10.42578125" bestFit="1" customWidth="1"/>
    <col min="8983" max="8986" width="9.7109375" bestFit="1" customWidth="1"/>
    <col min="8988" max="8988" width="10.7109375" bestFit="1" customWidth="1"/>
    <col min="8989" max="8991" width="9.7109375" bestFit="1" customWidth="1"/>
    <col min="9183" max="9183" width="6.28515625" customWidth="1"/>
    <col min="9184" max="9184" width="41.28515625" customWidth="1"/>
    <col min="9185" max="9185" width="7.140625" customWidth="1"/>
    <col min="9186" max="9199" width="9.28515625" customWidth="1"/>
    <col min="9200" max="9207" width="9.7109375" customWidth="1"/>
    <col min="9208" max="9208" width="9.85546875" customWidth="1"/>
    <col min="9209" max="9210" width="9.7109375" customWidth="1"/>
    <col min="9211" max="9211" width="10.42578125" customWidth="1"/>
    <col min="9212" max="9230" width="9.7109375" customWidth="1"/>
    <col min="9231" max="9231" width="10.42578125" customWidth="1"/>
    <col min="9232" max="9232" width="9.7109375" bestFit="1" customWidth="1"/>
    <col min="9233" max="9233" width="8.42578125" customWidth="1"/>
    <col min="9234" max="9237" width="9.7109375" bestFit="1" customWidth="1"/>
    <col min="9238" max="9238" width="10.42578125" bestFit="1" customWidth="1"/>
    <col min="9239" max="9242" width="9.7109375" bestFit="1" customWidth="1"/>
    <col min="9244" max="9244" width="10.7109375" bestFit="1" customWidth="1"/>
    <col min="9245" max="9247" width="9.7109375" bestFit="1" customWidth="1"/>
    <col min="9439" max="9439" width="6.28515625" customWidth="1"/>
    <col min="9440" max="9440" width="41.28515625" customWidth="1"/>
    <col min="9441" max="9441" width="7.140625" customWidth="1"/>
    <col min="9442" max="9455" width="9.28515625" customWidth="1"/>
    <col min="9456" max="9463" width="9.7109375" customWidth="1"/>
    <col min="9464" max="9464" width="9.85546875" customWidth="1"/>
    <col min="9465" max="9466" width="9.7109375" customWidth="1"/>
    <col min="9467" max="9467" width="10.42578125" customWidth="1"/>
    <col min="9468" max="9486" width="9.7109375" customWidth="1"/>
    <col min="9487" max="9487" width="10.42578125" customWidth="1"/>
    <col min="9488" max="9488" width="9.7109375" bestFit="1" customWidth="1"/>
    <col min="9489" max="9489" width="8.42578125" customWidth="1"/>
    <col min="9490" max="9493" width="9.7109375" bestFit="1" customWidth="1"/>
    <col min="9494" max="9494" width="10.42578125" bestFit="1" customWidth="1"/>
    <col min="9495" max="9498" width="9.7109375" bestFit="1" customWidth="1"/>
    <col min="9500" max="9500" width="10.7109375" bestFit="1" customWidth="1"/>
    <col min="9501" max="9503" width="9.7109375" bestFit="1" customWidth="1"/>
    <col min="9695" max="9695" width="6.28515625" customWidth="1"/>
    <col min="9696" max="9696" width="41.28515625" customWidth="1"/>
    <col min="9697" max="9697" width="7.140625" customWidth="1"/>
    <col min="9698" max="9711" width="9.28515625" customWidth="1"/>
    <col min="9712" max="9719" width="9.7109375" customWidth="1"/>
    <col min="9720" max="9720" width="9.85546875" customWidth="1"/>
    <col min="9721" max="9722" width="9.7109375" customWidth="1"/>
    <col min="9723" max="9723" width="10.42578125" customWidth="1"/>
    <col min="9724" max="9742" width="9.7109375" customWidth="1"/>
    <col min="9743" max="9743" width="10.42578125" customWidth="1"/>
    <col min="9744" max="9744" width="9.7109375" bestFit="1" customWidth="1"/>
    <col min="9745" max="9745" width="8.42578125" customWidth="1"/>
    <col min="9746" max="9749" width="9.7109375" bestFit="1" customWidth="1"/>
    <col min="9750" max="9750" width="10.42578125" bestFit="1" customWidth="1"/>
    <col min="9751" max="9754" width="9.7109375" bestFit="1" customWidth="1"/>
    <col min="9756" max="9756" width="10.7109375" bestFit="1" customWidth="1"/>
    <col min="9757" max="9759" width="9.7109375" bestFit="1" customWidth="1"/>
    <col min="9951" max="9951" width="6.28515625" customWidth="1"/>
    <col min="9952" max="9952" width="41.28515625" customWidth="1"/>
    <col min="9953" max="9953" width="7.140625" customWidth="1"/>
    <col min="9954" max="9967" width="9.28515625" customWidth="1"/>
    <col min="9968" max="9975" width="9.7109375" customWidth="1"/>
    <col min="9976" max="9976" width="9.85546875" customWidth="1"/>
    <col min="9977" max="9978" width="9.7109375" customWidth="1"/>
    <col min="9979" max="9979" width="10.42578125" customWidth="1"/>
    <col min="9980" max="9998" width="9.7109375" customWidth="1"/>
    <col min="9999" max="9999" width="10.42578125" customWidth="1"/>
    <col min="10000" max="10000" width="9.7109375" bestFit="1" customWidth="1"/>
    <col min="10001" max="10001" width="8.42578125" customWidth="1"/>
    <col min="10002" max="10005" width="9.7109375" bestFit="1" customWidth="1"/>
    <col min="10006" max="10006" width="10.42578125" bestFit="1" customWidth="1"/>
    <col min="10007" max="10010" width="9.7109375" bestFit="1" customWidth="1"/>
    <col min="10012" max="10012" width="10.7109375" bestFit="1" customWidth="1"/>
    <col min="10013" max="10015" width="9.7109375" bestFit="1" customWidth="1"/>
    <col min="10207" max="10207" width="6.28515625" customWidth="1"/>
    <col min="10208" max="10208" width="41.28515625" customWidth="1"/>
    <col min="10209" max="10209" width="7.140625" customWidth="1"/>
    <col min="10210" max="10223" width="9.28515625" customWidth="1"/>
    <col min="10224" max="10231" width="9.7109375" customWidth="1"/>
    <col min="10232" max="10232" width="9.85546875" customWidth="1"/>
    <col min="10233" max="10234" width="9.7109375" customWidth="1"/>
    <col min="10235" max="10235" width="10.42578125" customWidth="1"/>
    <col min="10236" max="10254" width="9.7109375" customWidth="1"/>
    <col min="10255" max="10255" width="10.42578125" customWidth="1"/>
    <col min="10256" max="10256" width="9.7109375" bestFit="1" customWidth="1"/>
    <col min="10257" max="10257" width="8.42578125" customWidth="1"/>
    <col min="10258" max="10261" width="9.7109375" bestFit="1" customWidth="1"/>
    <col min="10262" max="10262" width="10.42578125" bestFit="1" customWidth="1"/>
    <col min="10263" max="10266" width="9.7109375" bestFit="1" customWidth="1"/>
    <col min="10268" max="10268" width="10.7109375" bestFit="1" customWidth="1"/>
    <col min="10269" max="10271" width="9.7109375" bestFit="1" customWidth="1"/>
    <col min="10463" max="10463" width="6.28515625" customWidth="1"/>
    <col min="10464" max="10464" width="41.28515625" customWidth="1"/>
    <col min="10465" max="10465" width="7.140625" customWidth="1"/>
    <col min="10466" max="10479" width="9.28515625" customWidth="1"/>
    <col min="10480" max="10487" width="9.7109375" customWidth="1"/>
    <col min="10488" max="10488" width="9.85546875" customWidth="1"/>
    <col min="10489" max="10490" width="9.7109375" customWidth="1"/>
    <col min="10491" max="10491" width="10.42578125" customWidth="1"/>
    <col min="10492" max="10510" width="9.7109375" customWidth="1"/>
    <col min="10511" max="10511" width="10.42578125" customWidth="1"/>
    <col min="10512" max="10512" width="9.7109375" bestFit="1" customWidth="1"/>
    <col min="10513" max="10513" width="8.42578125" customWidth="1"/>
    <col min="10514" max="10517" width="9.7109375" bestFit="1" customWidth="1"/>
    <col min="10518" max="10518" width="10.42578125" bestFit="1" customWidth="1"/>
    <col min="10519" max="10522" width="9.7109375" bestFit="1" customWidth="1"/>
    <col min="10524" max="10524" width="10.7109375" bestFit="1" customWidth="1"/>
    <col min="10525" max="10527" width="9.7109375" bestFit="1" customWidth="1"/>
    <col min="10719" max="10719" width="6.28515625" customWidth="1"/>
    <col min="10720" max="10720" width="41.28515625" customWidth="1"/>
    <col min="10721" max="10721" width="7.140625" customWidth="1"/>
    <col min="10722" max="10735" width="9.28515625" customWidth="1"/>
    <col min="10736" max="10743" width="9.7109375" customWidth="1"/>
    <col min="10744" max="10744" width="9.85546875" customWidth="1"/>
    <col min="10745" max="10746" width="9.7109375" customWidth="1"/>
    <col min="10747" max="10747" width="10.42578125" customWidth="1"/>
    <col min="10748" max="10766" width="9.7109375" customWidth="1"/>
    <col min="10767" max="10767" width="10.42578125" customWidth="1"/>
    <col min="10768" max="10768" width="9.7109375" bestFit="1" customWidth="1"/>
    <col min="10769" max="10769" width="8.42578125" customWidth="1"/>
    <col min="10770" max="10773" width="9.7109375" bestFit="1" customWidth="1"/>
    <col min="10774" max="10774" width="10.42578125" bestFit="1" customWidth="1"/>
    <col min="10775" max="10778" width="9.7109375" bestFit="1" customWidth="1"/>
    <col min="10780" max="10780" width="10.7109375" bestFit="1" customWidth="1"/>
    <col min="10781" max="10783" width="9.7109375" bestFit="1" customWidth="1"/>
    <col min="10975" max="10975" width="6.28515625" customWidth="1"/>
    <col min="10976" max="10976" width="41.28515625" customWidth="1"/>
    <col min="10977" max="10977" width="7.140625" customWidth="1"/>
    <col min="10978" max="10991" width="9.28515625" customWidth="1"/>
    <col min="10992" max="10999" width="9.7109375" customWidth="1"/>
    <col min="11000" max="11000" width="9.85546875" customWidth="1"/>
    <col min="11001" max="11002" width="9.7109375" customWidth="1"/>
    <col min="11003" max="11003" width="10.42578125" customWidth="1"/>
    <col min="11004" max="11022" width="9.7109375" customWidth="1"/>
    <col min="11023" max="11023" width="10.42578125" customWidth="1"/>
    <col min="11024" max="11024" width="9.7109375" bestFit="1" customWidth="1"/>
    <col min="11025" max="11025" width="8.42578125" customWidth="1"/>
    <col min="11026" max="11029" width="9.7109375" bestFit="1" customWidth="1"/>
    <col min="11030" max="11030" width="10.42578125" bestFit="1" customWidth="1"/>
    <col min="11031" max="11034" width="9.7109375" bestFit="1" customWidth="1"/>
    <col min="11036" max="11036" width="10.7109375" bestFit="1" customWidth="1"/>
    <col min="11037" max="11039" width="9.7109375" bestFit="1" customWidth="1"/>
    <col min="11231" max="11231" width="6.28515625" customWidth="1"/>
    <col min="11232" max="11232" width="41.28515625" customWidth="1"/>
    <col min="11233" max="11233" width="7.140625" customWidth="1"/>
    <col min="11234" max="11247" width="9.28515625" customWidth="1"/>
    <col min="11248" max="11255" width="9.7109375" customWidth="1"/>
    <col min="11256" max="11256" width="9.85546875" customWidth="1"/>
    <col min="11257" max="11258" width="9.7109375" customWidth="1"/>
    <col min="11259" max="11259" width="10.42578125" customWidth="1"/>
    <col min="11260" max="11278" width="9.7109375" customWidth="1"/>
    <col min="11279" max="11279" width="10.42578125" customWidth="1"/>
    <col min="11280" max="11280" width="9.7109375" bestFit="1" customWidth="1"/>
    <col min="11281" max="11281" width="8.42578125" customWidth="1"/>
    <col min="11282" max="11285" width="9.7109375" bestFit="1" customWidth="1"/>
    <col min="11286" max="11286" width="10.42578125" bestFit="1" customWidth="1"/>
    <col min="11287" max="11290" width="9.7109375" bestFit="1" customWidth="1"/>
    <col min="11292" max="11292" width="10.7109375" bestFit="1" customWidth="1"/>
    <col min="11293" max="11295" width="9.7109375" bestFit="1" customWidth="1"/>
    <col min="11487" max="11487" width="6.28515625" customWidth="1"/>
    <col min="11488" max="11488" width="41.28515625" customWidth="1"/>
    <col min="11489" max="11489" width="7.140625" customWidth="1"/>
    <col min="11490" max="11503" width="9.28515625" customWidth="1"/>
    <col min="11504" max="11511" width="9.7109375" customWidth="1"/>
    <col min="11512" max="11512" width="9.85546875" customWidth="1"/>
    <col min="11513" max="11514" width="9.7109375" customWidth="1"/>
    <col min="11515" max="11515" width="10.42578125" customWidth="1"/>
    <col min="11516" max="11534" width="9.7109375" customWidth="1"/>
    <col min="11535" max="11535" width="10.42578125" customWidth="1"/>
    <col min="11536" max="11536" width="9.7109375" bestFit="1" customWidth="1"/>
    <col min="11537" max="11537" width="8.42578125" customWidth="1"/>
    <col min="11538" max="11541" width="9.7109375" bestFit="1" customWidth="1"/>
    <col min="11542" max="11542" width="10.42578125" bestFit="1" customWidth="1"/>
    <col min="11543" max="11546" width="9.7109375" bestFit="1" customWidth="1"/>
    <col min="11548" max="11548" width="10.7109375" bestFit="1" customWidth="1"/>
    <col min="11549" max="11551" width="9.7109375" bestFit="1" customWidth="1"/>
    <col min="11743" max="11743" width="6.28515625" customWidth="1"/>
    <col min="11744" max="11744" width="41.28515625" customWidth="1"/>
    <col min="11745" max="11745" width="7.140625" customWidth="1"/>
    <col min="11746" max="11759" width="9.28515625" customWidth="1"/>
    <col min="11760" max="11767" width="9.7109375" customWidth="1"/>
    <col min="11768" max="11768" width="9.85546875" customWidth="1"/>
    <col min="11769" max="11770" width="9.7109375" customWidth="1"/>
    <col min="11771" max="11771" width="10.42578125" customWidth="1"/>
    <col min="11772" max="11790" width="9.7109375" customWidth="1"/>
    <col min="11791" max="11791" width="10.42578125" customWidth="1"/>
    <col min="11792" max="11792" width="9.7109375" bestFit="1" customWidth="1"/>
    <col min="11793" max="11793" width="8.42578125" customWidth="1"/>
    <col min="11794" max="11797" width="9.7109375" bestFit="1" customWidth="1"/>
    <col min="11798" max="11798" width="10.42578125" bestFit="1" customWidth="1"/>
    <col min="11799" max="11802" width="9.7109375" bestFit="1" customWidth="1"/>
    <col min="11804" max="11804" width="10.7109375" bestFit="1" customWidth="1"/>
    <col min="11805" max="11807" width="9.7109375" bestFit="1" customWidth="1"/>
    <col min="11999" max="11999" width="6.28515625" customWidth="1"/>
    <col min="12000" max="12000" width="41.28515625" customWidth="1"/>
    <col min="12001" max="12001" width="7.140625" customWidth="1"/>
    <col min="12002" max="12015" width="9.28515625" customWidth="1"/>
    <col min="12016" max="12023" width="9.7109375" customWidth="1"/>
    <col min="12024" max="12024" width="9.85546875" customWidth="1"/>
    <col min="12025" max="12026" width="9.7109375" customWidth="1"/>
    <col min="12027" max="12027" width="10.42578125" customWidth="1"/>
    <col min="12028" max="12046" width="9.7109375" customWidth="1"/>
    <col min="12047" max="12047" width="10.42578125" customWidth="1"/>
    <col min="12048" max="12048" width="9.7109375" bestFit="1" customWidth="1"/>
    <col min="12049" max="12049" width="8.42578125" customWidth="1"/>
    <col min="12050" max="12053" width="9.7109375" bestFit="1" customWidth="1"/>
    <col min="12054" max="12054" width="10.42578125" bestFit="1" customWidth="1"/>
    <col min="12055" max="12058" width="9.7109375" bestFit="1" customWidth="1"/>
    <col min="12060" max="12060" width="10.7109375" bestFit="1" customWidth="1"/>
    <col min="12061" max="12063" width="9.7109375" bestFit="1" customWidth="1"/>
    <col min="12255" max="12255" width="6.28515625" customWidth="1"/>
    <col min="12256" max="12256" width="41.28515625" customWidth="1"/>
    <col min="12257" max="12257" width="7.140625" customWidth="1"/>
    <col min="12258" max="12271" width="9.28515625" customWidth="1"/>
    <col min="12272" max="12279" width="9.7109375" customWidth="1"/>
    <col min="12280" max="12280" width="9.85546875" customWidth="1"/>
    <col min="12281" max="12282" width="9.7109375" customWidth="1"/>
    <col min="12283" max="12283" width="10.42578125" customWidth="1"/>
    <col min="12284" max="12302" width="9.7109375" customWidth="1"/>
    <col min="12303" max="12303" width="10.42578125" customWidth="1"/>
    <col min="12304" max="12304" width="9.7109375" bestFit="1" customWidth="1"/>
    <col min="12305" max="12305" width="8.42578125" customWidth="1"/>
    <col min="12306" max="12309" width="9.7109375" bestFit="1" customWidth="1"/>
    <col min="12310" max="12310" width="10.42578125" bestFit="1" customWidth="1"/>
    <col min="12311" max="12314" width="9.7109375" bestFit="1" customWidth="1"/>
    <col min="12316" max="12316" width="10.7109375" bestFit="1" customWidth="1"/>
    <col min="12317" max="12319" width="9.7109375" bestFit="1" customWidth="1"/>
    <col min="12511" max="12511" width="6.28515625" customWidth="1"/>
    <col min="12512" max="12512" width="41.28515625" customWidth="1"/>
    <col min="12513" max="12513" width="7.140625" customWidth="1"/>
    <col min="12514" max="12527" width="9.28515625" customWidth="1"/>
    <col min="12528" max="12535" width="9.7109375" customWidth="1"/>
    <col min="12536" max="12536" width="9.85546875" customWidth="1"/>
    <col min="12537" max="12538" width="9.7109375" customWidth="1"/>
    <col min="12539" max="12539" width="10.42578125" customWidth="1"/>
    <col min="12540" max="12558" width="9.7109375" customWidth="1"/>
    <col min="12559" max="12559" width="10.42578125" customWidth="1"/>
    <col min="12560" max="12560" width="9.7109375" bestFit="1" customWidth="1"/>
    <col min="12561" max="12561" width="8.42578125" customWidth="1"/>
    <col min="12562" max="12565" width="9.7109375" bestFit="1" customWidth="1"/>
    <col min="12566" max="12566" width="10.42578125" bestFit="1" customWidth="1"/>
    <col min="12567" max="12570" width="9.7109375" bestFit="1" customWidth="1"/>
    <col min="12572" max="12572" width="10.7109375" bestFit="1" customWidth="1"/>
    <col min="12573" max="12575" width="9.7109375" bestFit="1" customWidth="1"/>
    <col min="12767" max="12767" width="6.28515625" customWidth="1"/>
    <col min="12768" max="12768" width="41.28515625" customWidth="1"/>
    <col min="12769" max="12769" width="7.140625" customWidth="1"/>
    <col min="12770" max="12783" width="9.28515625" customWidth="1"/>
    <col min="12784" max="12791" width="9.7109375" customWidth="1"/>
    <col min="12792" max="12792" width="9.85546875" customWidth="1"/>
    <col min="12793" max="12794" width="9.7109375" customWidth="1"/>
    <col min="12795" max="12795" width="10.42578125" customWidth="1"/>
    <col min="12796" max="12814" width="9.7109375" customWidth="1"/>
    <col min="12815" max="12815" width="10.42578125" customWidth="1"/>
    <col min="12816" max="12816" width="9.7109375" bestFit="1" customWidth="1"/>
    <col min="12817" max="12817" width="8.42578125" customWidth="1"/>
    <col min="12818" max="12821" width="9.7109375" bestFit="1" customWidth="1"/>
    <col min="12822" max="12822" width="10.42578125" bestFit="1" customWidth="1"/>
    <col min="12823" max="12826" width="9.7109375" bestFit="1" customWidth="1"/>
    <col min="12828" max="12828" width="10.7109375" bestFit="1" customWidth="1"/>
    <col min="12829" max="12831" width="9.7109375" bestFit="1" customWidth="1"/>
    <col min="13023" max="13023" width="6.28515625" customWidth="1"/>
    <col min="13024" max="13024" width="41.28515625" customWidth="1"/>
    <col min="13025" max="13025" width="7.140625" customWidth="1"/>
    <col min="13026" max="13039" width="9.28515625" customWidth="1"/>
    <col min="13040" max="13047" width="9.7109375" customWidth="1"/>
    <col min="13048" max="13048" width="9.85546875" customWidth="1"/>
    <col min="13049" max="13050" width="9.7109375" customWidth="1"/>
    <col min="13051" max="13051" width="10.42578125" customWidth="1"/>
    <col min="13052" max="13070" width="9.7109375" customWidth="1"/>
    <col min="13071" max="13071" width="10.42578125" customWidth="1"/>
    <col min="13072" max="13072" width="9.7109375" bestFit="1" customWidth="1"/>
    <col min="13073" max="13073" width="8.42578125" customWidth="1"/>
    <col min="13074" max="13077" width="9.7109375" bestFit="1" customWidth="1"/>
    <col min="13078" max="13078" width="10.42578125" bestFit="1" customWidth="1"/>
    <col min="13079" max="13082" width="9.7109375" bestFit="1" customWidth="1"/>
    <col min="13084" max="13084" width="10.7109375" bestFit="1" customWidth="1"/>
    <col min="13085" max="13087" width="9.7109375" bestFit="1" customWidth="1"/>
    <col min="13279" max="13279" width="6.28515625" customWidth="1"/>
    <col min="13280" max="13280" width="41.28515625" customWidth="1"/>
    <col min="13281" max="13281" width="7.140625" customWidth="1"/>
    <col min="13282" max="13295" width="9.28515625" customWidth="1"/>
    <col min="13296" max="13303" width="9.7109375" customWidth="1"/>
    <col min="13304" max="13304" width="9.85546875" customWidth="1"/>
    <col min="13305" max="13306" width="9.7109375" customWidth="1"/>
    <col min="13307" max="13307" width="10.42578125" customWidth="1"/>
    <col min="13308" max="13326" width="9.7109375" customWidth="1"/>
    <col min="13327" max="13327" width="10.42578125" customWidth="1"/>
    <col min="13328" max="13328" width="9.7109375" bestFit="1" customWidth="1"/>
    <col min="13329" max="13329" width="8.42578125" customWidth="1"/>
    <col min="13330" max="13333" width="9.7109375" bestFit="1" customWidth="1"/>
    <col min="13334" max="13334" width="10.42578125" bestFit="1" customWidth="1"/>
    <col min="13335" max="13338" width="9.7109375" bestFit="1" customWidth="1"/>
    <col min="13340" max="13340" width="10.7109375" bestFit="1" customWidth="1"/>
    <col min="13341" max="13343" width="9.7109375" bestFit="1" customWidth="1"/>
    <col min="13535" max="13535" width="6.28515625" customWidth="1"/>
    <col min="13536" max="13536" width="41.28515625" customWidth="1"/>
    <col min="13537" max="13537" width="7.140625" customWidth="1"/>
    <col min="13538" max="13551" width="9.28515625" customWidth="1"/>
    <col min="13552" max="13559" width="9.7109375" customWidth="1"/>
    <col min="13560" max="13560" width="9.85546875" customWidth="1"/>
    <col min="13561" max="13562" width="9.7109375" customWidth="1"/>
    <col min="13563" max="13563" width="10.42578125" customWidth="1"/>
    <col min="13564" max="13582" width="9.7109375" customWidth="1"/>
    <col min="13583" max="13583" width="10.42578125" customWidth="1"/>
    <col min="13584" max="13584" width="9.7109375" bestFit="1" customWidth="1"/>
    <col min="13585" max="13585" width="8.42578125" customWidth="1"/>
    <col min="13586" max="13589" width="9.7109375" bestFit="1" customWidth="1"/>
    <col min="13590" max="13590" width="10.42578125" bestFit="1" customWidth="1"/>
    <col min="13591" max="13594" width="9.7109375" bestFit="1" customWidth="1"/>
    <col min="13596" max="13596" width="10.7109375" bestFit="1" customWidth="1"/>
    <col min="13597" max="13599" width="9.7109375" bestFit="1" customWidth="1"/>
    <col min="13791" max="13791" width="6.28515625" customWidth="1"/>
    <col min="13792" max="13792" width="41.28515625" customWidth="1"/>
    <col min="13793" max="13793" width="7.140625" customWidth="1"/>
    <col min="13794" max="13807" width="9.28515625" customWidth="1"/>
    <col min="13808" max="13815" width="9.7109375" customWidth="1"/>
    <col min="13816" max="13816" width="9.85546875" customWidth="1"/>
    <col min="13817" max="13818" width="9.7109375" customWidth="1"/>
    <col min="13819" max="13819" width="10.42578125" customWidth="1"/>
    <col min="13820" max="13838" width="9.7109375" customWidth="1"/>
    <col min="13839" max="13839" width="10.42578125" customWidth="1"/>
    <col min="13840" max="13840" width="9.7109375" bestFit="1" customWidth="1"/>
    <col min="13841" max="13841" width="8.42578125" customWidth="1"/>
    <col min="13842" max="13845" width="9.7109375" bestFit="1" customWidth="1"/>
    <col min="13846" max="13846" width="10.42578125" bestFit="1" customWidth="1"/>
    <col min="13847" max="13850" width="9.7109375" bestFit="1" customWidth="1"/>
    <col min="13852" max="13852" width="10.7109375" bestFit="1" customWidth="1"/>
    <col min="13853" max="13855" width="9.7109375" bestFit="1" customWidth="1"/>
    <col min="14047" max="14047" width="6.28515625" customWidth="1"/>
    <col min="14048" max="14048" width="41.28515625" customWidth="1"/>
    <col min="14049" max="14049" width="7.140625" customWidth="1"/>
    <col min="14050" max="14063" width="9.28515625" customWidth="1"/>
    <col min="14064" max="14071" width="9.7109375" customWidth="1"/>
    <col min="14072" max="14072" width="9.85546875" customWidth="1"/>
    <col min="14073" max="14074" width="9.7109375" customWidth="1"/>
    <col min="14075" max="14075" width="10.42578125" customWidth="1"/>
    <col min="14076" max="14094" width="9.7109375" customWidth="1"/>
    <col min="14095" max="14095" width="10.42578125" customWidth="1"/>
    <col min="14096" max="14096" width="9.7109375" bestFit="1" customWidth="1"/>
    <col min="14097" max="14097" width="8.42578125" customWidth="1"/>
    <col min="14098" max="14101" width="9.7109375" bestFit="1" customWidth="1"/>
    <col min="14102" max="14102" width="10.42578125" bestFit="1" customWidth="1"/>
    <col min="14103" max="14106" width="9.7109375" bestFit="1" customWidth="1"/>
    <col min="14108" max="14108" width="10.7109375" bestFit="1" customWidth="1"/>
    <col min="14109" max="14111" width="9.7109375" bestFit="1" customWidth="1"/>
    <col min="14303" max="14303" width="6.28515625" customWidth="1"/>
    <col min="14304" max="14304" width="41.28515625" customWidth="1"/>
    <col min="14305" max="14305" width="7.140625" customWidth="1"/>
    <col min="14306" max="14319" width="9.28515625" customWidth="1"/>
    <col min="14320" max="14327" width="9.7109375" customWidth="1"/>
    <col min="14328" max="14328" width="9.85546875" customWidth="1"/>
    <col min="14329" max="14330" width="9.7109375" customWidth="1"/>
    <col min="14331" max="14331" width="10.42578125" customWidth="1"/>
    <col min="14332" max="14350" width="9.7109375" customWidth="1"/>
    <col min="14351" max="14351" width="10.42578125" customWidth="1"/>
    <col min="14352" max="14352" width="9.7109375" bestFit="1" customWidth="1"/>
    <col min="14353" max="14353" width="8.42578125" customWidth="1"/>
    <col min="14354" max="14357" width="9.7109375" bestFit="1" customWidth="1"/>
    <col min="14358" max="14358" width="10.42578125" bestFit="1" customWidth="1"/>
    <col min="14359" max="14362" width="9.7109375" bestFit="1" customWidth="1"/>
    <col min="14364" max="14364" width="10.7109375" bestFit="1" customWidth="1"/>
    <col min="14365" max="14367" width="9.7109375" bestFit="1" customWidth="1"/>
    <col min="14559" max="14559" width="6.28515625" customWidth="1"/>
    <col min="14560" max="14560" width="41.28515625" customWidth="1"/>
    <col min="14561" max="14561" width="7.140625" customWidth="1"/>
    <col min="14562" max="14575" width="9.28515625" customWidth="1"/>
    <col min="14576" max="14583" width="9.7109375" customWidth="1"/>
    <col min="14584" max="14584" width="9.85546875" customWidth="1"/>
    <col min="14585" max="14586" width="9.7109375" customWidth="1"/>
    <col min="14587" max="14587" width="10.42578125" customWidth="1"/>
    <col min="14588" max="14606" width="9.7109375" customWidth="1"/>
    <col min="14607" max="14607" width="10.42578125" customWidth="1"/>
    <col min="14608" max="14608" width="9.7109375" bestFit="1" customWidth="1"/>
    <col min="14609" max="14609" width="8.42578125" customWidth="1"/>
    <col min="14610" max="14613" width="9.7109375" bestFit="1" customWidth="1"/>
    <col min="14614" max="14614" width="10.42578125" bestFit="1" customWidth="1"/>
    <col min="14615" max="14618" width="9.7109375" bestFit="1" customWidth="1"/>
    <col min="14620" max="14620" width="10.7109375" bestFit="1" customWidth="1"/>
    <col min="14621" max="14623" width="9.7109375" bestFit="1" customWidth="1"/>
    <col min="14815" max="14815" width="6.28515625" customWidth="1"/>
    <col min="14816" max="14816" width="41.28515625" customWidth="1"/>
    <col min="14817" max="14817" width="7.140625" customWidth="1"/>
    <col min="14818" max="14831" width="9.28515625" customWidth="1"/>
    <col min="14832" max="14839" width="9.7109375" customWidth="1"/>
    <col min="14840" max="14840" width="9.85546875" customWidth="1"/>
    <col min="14841" max="14842" width="9.7109375" customWidth="1"/>
    <col min="14843" max="14843" width="10.42578125" customWidth="1"/>
    <col min="14844" max="14862" width="9.7109375" customWidth="1"/>
    <col min="14863" max="14863" width="10.42578125" customWidth="1"/>
    <col min="14864" max="14864" width="9.7109375" bestFit="1" customWidth="1"/>
    <col min="14865" max="14865" width="8.42578125" customWidth="1"/>
    <col min="14866" max="14869" width="9.7109375" bestFit="1" customWidth="1"/>
    <col min="14870" max="14870" width="10.42578125" bestFit="1" customWidth="1"/>
    <col min="14871" max="14874" width="9.7109375" bestFit="1" customWidth="1"/>
    <col min="14876" max="14876" width="10.7109375" bestFit="1" customWidth="1"/>
    <col min="14877" max="14879" width="9.7109375" bestFit="1" customWidth="1"/>
    <col min="15071" max="15071" width="6.28515625" customWidth="1"/>
    <col min="15072" max="15072" width="41.28515625" customWidth="1"/>
    <col min="15073" max="15073" width="7.140625" customWidth="1"/>
    <col min="15074" max="15087" width="9.28515625" customWidth="1"/>
    <col min="15088" max="15095" width="9.7109375" customWidth="1"/>
    <col min="15096" max="15096" width="9.85546875" customWidth="1"/>
    <col min="15097" max="15098" width="9.7109375" customWidth="1"/>
    <col min="15099" max="15099" width="10.42578125" customWidth="1"/>
    <col min="15100" max="15118" width="9.7109375" customWidth="1"/>
    <col min="15119" max="15119" width="10.42578125" customWidth="1"/>
    <col min="15120" max="15120" width="9.7109375" bestFit="1" customWidth="1"/>
    <col min="15121" max="15121" width="8.42578125" customWidth="1"/>
    <col min="15122" max="15125" width="9.7109375" bestFit="1" customWidth="1"/>
    <col min="15126" max="15126" width="10.42578125" bestFit="1" customWidth="1"/>
    <col min="15127" max="15130" width="9.7109375" bestFit="1" customWidth="1"/>
    <col min="15132" max="15132" width="10.7109375" bestFit="1" customWidth="1"/>
    <col min="15133" max="15135" width="9.7109375" bestFit="1" customWidth="1"/>
    <col min="15327" max="15327" width="6.28515625" customWidth="1"/>
    <col min="15328" max="15328" width="41.28515625" customWidth="1"/>
    <col min="15329" max="15329" width="7.140625" customWidth="1"/>
    <col min="15330" max="15343" width="9.28515625" customWidth="1"/>
    <col min="15344" max="15351" width="9.7109375" customWidth="1"/>
    <col min="15352" max="15352" width="9.85546875" customWidth="1"/>
    <col min="15353" max="15354" width="9.7109375" customWidth="1"/>
    <col min="15355" max="15355" width="10.42578125" customWidth="1"/>
    <col min="15356" max="15374" width="9.7109375" customWidth="1"/>
    <col min="15375" max="15375" width="10.42578125" customWidth="1"/>
    <col min="15376" max="15376" width="9.7109375" bestFit="1" customWidth="1"/>
    <col min="15377" max="15377" width="8.42578125" customWidth="1"/>
    <col min="15378" max="15381" width="9.7109375" bestFit="1" customWidth="1"/>
    <col min="15382" max="15382" width="10.42578125" bestFit="1" customWidth="1"/>
    <col min="15383" max="15386" width="9.7109375" bestFit="1" customWidth="1"/>
    <col min="15388" max="15388" width="10.7109375" bestFit="1" customWidth="1"/>
    <col min="15389" max="15391" width="9.7109375" bestFit="1" customWidth="1"/>
    <col min="15583" max="15583" width="6.28515625" customWidth="1"/>
    <col min="15584" max="15584" width="41.28515625" customWidth="1"/>
    <col min="15585" max="15585" width="7.140625" customWidth="1"/>
    <col min="15586" max="15599" width="9.28515625" customWidth="1"/>
    <col min="15600" max="15607" width="9.7109375" customWidth="1"/>
    <col min="15608" max="15608" width="9.85546875" customWidth="1"/>
    <col min="15609" max="15610" width="9.7109375" customWidth="1"/>
    <col min="15611" max="15611" width="10.42578125" customWidth="1"/>
    <col min="15612" max="15630" width="9.7109375" customWidth="1"/>
    <col min="15631" max="15631" width="10.42578125" customWidth="1"/>
    <col min="15632" max="15632" width="9.7109375" bestFit="1" customWidth="1"/>
    <col min="15633" max="15633" width="8.42578125" customWidth="1"/>
    <col min="15634" max="15637" width="9.7109375" bestFit="1" customWidth="1"/>
    <col min="15638" max="15638" width="10.42578125" bestFit="1" customWidth="1"/>
    <col min="15639" max="15642" width="9.7109375" bestFit="1" customWidth="1"/>
    <col min="15644" max="15644" width="10.7109375" bestFit="1" customWidth="1"/>
    <col min="15645" max="15647" width="9.7109375" bestFit="1" customWidth="1"/>
    <col min="15839" max="15839" width="6.28515625" customWidth="1"/>
    <col min="15840" max="15840" width="41.28515625" customWidth="1"/>
    <col min="15841" max="15841" width="7.140625" customWidth="1"/>
    <col min="15842" max="15855" width="9.28515625" customWidth="1"/>
    <col min="15856" max="15863" width="9.7109375" customWidth="1"/>
    <col min="15864" max="15864" width="9.85546875" customWidth="1"/>
    <col min="15865" max="15866" width="9.7109375" customWidth="1"/>
    <col min="15867" max="15867" width="10.42578125" customWidth="1"/>
    <col min="15868" max="15886" width="9.7109375" customWidth="1"/>
    <col min="15887" max="15887" width="10.42578125" customWidth="1"/>
    <col min="15888" max="15888" width="9.7109375" bestFit="1" customWidth="1"/>
    <col min="15889" max="15889" width="8.42578125" customWidth="1"/>
    <col min="15890" max="15893" width="9.7109375" bestFit="1" customWidth="1"/>
    <col min="15894" max="15894" width="10.42578125" bestFit="1" customWidth="1"/>
    <col min="15895" max="15898" width="9.7109375" bestFit="1" customWidth="1"/>
    <col min="15900" max="15900" width="10.7109375" bestFit="1" customWidth="1"/>
    <col min="15901" max="15903" width="9.7109375" bestFit="1" customWidth="1"/>
    <col min="16095" max="16095" width="6.28515625" customWidth="1"/>
    <col min="16096" max="16096" width="41.28515625" customWidth="1"/>
    <col min="16097" max="16097" width="7.140625" customWidth="1"/>
    <col min="16098" max="16111" width="9.28515625" customWidth="1"/>
    <col min="16112" max="16119" width="9.7109375" customWidth="1"/>
    <col min="16120" max="16120" width="9.85546875" customWidth="1"/>
    <col min="16121" max="16122" width="9.7109375" customWidth="1"/>
    <col min="16123" max="16123" width="10.42578125" customWidth="1"/>
    <col min="16124" max="16142" width="9.7109375" customWidth="1"/>
    <col min="16143" max="16143" width="10.42578125" customWidth="1"/>
    <col min="16144" max="16144" width="9.7109375" bestFit="1" customWidth="1"/>
    <col min="16145" max="16145" width="8.42578125" customWidth="1"/>
    <col min="16146" max="16149" width="9.7109375" bestFit="1" customWidth="1"/>
    <col min="16150" max="16150" width="10.42578125" bestFit="1" customWidth="1"/>
    <col min="16151" max="16154" width="9.7109375" bestFit="1" customWidth="1"/>
    <col min="16156" max="16156" width="10.7109375" bestFit="1" customWidth="1"/>
    <col min="16157" max="16159" width="9.7109375" bestFit="1" customWidth="1"/>
  </cols>
  <sheetData>
    <row r="1" spans="1:222" ht="15" x14ac:dyDescent="0.25">
      <c r="A1" s="13" t="s">
        <v>93</v>
      </c>
      <c r="B1" s="1"/>
      <c r="D1" s="119">
        <v>2016</v>
      </c>
      <c r="E1" s="119">
        <v>2016</v>
      </c>
      <c r="F1" s="119">
        <v>2017</v>
      </c>
      <c r="G1" s="119">
        <v>2017</v>
      </c>
      <c r="H1" s="119">
        <v>2017</v>
      </c>
      <c r="I1" s="119">
        <v>2017</v>
      </c>
      <c r="J1" s="119">
        <v>2018</v>
      </c>
      <c r="K1" s="119">
        <v>2018</v>
      </c>
      <c r="L1" s="119">
        <v>2018</v>
      </c>
      <c r="M1" s="119">
        <v>2018</v>
      </c>
      <c r="N1" s="119">
        <v>2019</v>
      </c>
      <c r="O1" s="119">
        <v>2019</v>
      </c>
      <c r="P1" s="119">
        <v>2019</v>
      </c>
      <c r="Q1" s="119">
        <v>2019</v>
      </c>
      <c r="R1" s="119">
        <v>2020</v>
      </c>
      <c r="S1" s="119">
        <v>2020</v>
      </c>
      <c r="T1" s="119">
        <v>2020</v>
      </c>
      <c r="U1" s="119">
        <v>2020</v>
      </c>
      <c r="V1" s="119">
        <v>2021</v>
      </c>
      <c r="W1" s="119">
        <v>2021</v>
      </c>
      <c r="X1" s="119">
        <v>2021</v>
      </c>
      <c r="Y1" s="119">
        <v>2021</v>
      </c>
      <c r="Z1" s="119">
        <v>2022</v>
      </c>
      <c r="AA1" s="119">
        <v>2022</v>
      </c>
      <c r="AB1" s="119">
        <v>2022</v>
      </c>
      <c r="AC1" s="119">
        <v>2022</v>
      </c>
      <c r="AD1" s="119">
        <v>2023</v>
      </c>
      <c r="AE1" s="119">
        <v>2023</v>
      </c>
      <c r="AF1" s="119">
        <v>2023</v>
      </c>
      <c r="AG1" s="119">
        <v>2023</v>
      </c>
      <c r="AH1" s="119">
        <v>2024</v>
      </c>
      <c r="AI1" s="119">
        <v>2024</v>
      </c>
      <c r="AJ1" s="119">
        <v>2024</v>
      </c>
      <c r="AK1" s="119">
        <v>2024</v>
      </c>
      <c r="AL1" s="119">
        <v>2025</v>
      </c>
      <c r="AM1" s="119">
        <v>2025</v>
      </c>
      <c r="AN1" s="119">
        <v>2025</v>
      </c>
      <c r="AO1" s="119">
        <v>2025</v>
      </c>
    </row>
    <row r="2" spans="1:222" ht="15" x14ac:dyDescent="0.25">
      <c r="A2" s="120"/>
      <c r="B2" s="121" t="s">
        <v>94</v>
      </c>
      <c r="C2" s="122"/>
      <c r="D2" s="147" t="s">
        <v>75</v>
      </c>
      <c r="E2" s="147"/>
      <c r="F2" s="147"/>
      <c r="G2" s="147"/>
      <c r="H2" s="147" t="s">
        <v>79</v>
      </c>
      <c r="I2" s="147"/>
      <c r="J2" s="147"/>
      <c r="K2" s="147"/>
      <c r="L2" s="147" t="s">
        <v>85</v>
      </c>
      <c r="M2" s="147"/>
      <c r="N2" s="147"/>
      <c r="O2" s="147"/>
      <c r="P2" s="147" t="s">
        <v>86</v>
      </c>
      <c r="Q2" s="147"/>
      <c r="R2" s="147"/>
      <c r="S2" s="147"/>
      <c r="T2" s="147" t="s">
        <v>89</v>
      </c>
      <c r="U2" s="147"/>
      <c r="V2" s="147"/>
      <c r="W2" s="147"/>
      <c r="X2" s="147" t="s">
        <v>90</v>
      </c>
      <c r="Y2" s="147"/>
      <c r="Z2" s="147"/>
      <c r="AA2" s="147"/>
      <c r="AB2" s="147" t="s">
        <v>91</v>
      </c>
      <c r="AC2" s="146"/>
      <c r="AD2" s="146"/>
      <c r="AE2" s="123"/>
      <c r="AF2" s="147" t="s">
        <v>92</v>
      </c>
      <c r="AG2" s="147"/>
      <c r="AH2" s="147"/>
      <c r="AI2" s="147"/>
      <c r="AJ2" s="146" t="s">
        <v>118</v>
      </c>
      <c r="AK2" s="146"/>
      <c r="AL2" s="146"/>
      <c r="AM2" s="146"/>
      <c r="AN2" s="146" t="s">
        <v>120</v>
      </c>
      <c r="AO2" s="146"/>
      <c r="AP2" s="123"/>
      <c r="AQ2" s="123"/>
      <c r="AR2" s="123"/>
      <c r="AS2" s="123"/>
      <c r="AT2" s="123"/>
      <c r="AU2" s="123"/>
      <c r="AV2" s="123"/>
      <c r="AW2" s="123"/>
      <c r="AX2" s="123"/>
      <c r="AY2" s="123"/>
      <c r="AZ2" s="123"/>
      <c r="BA2" s="123"/>
      <c r="BB2" s="123"/>
      <c r="BC2" s="123"/>
      <c r="BD2" s="123"/>
      <c r="BE2" s="123"/>
      <c r="BF2" s="123"/>
      <c r="BG2" s="123"/>
      <c r="BH2" s="123"/>
      <c r="BI2" s="123"/>
      <c r="BJ2" s="123"/>
      <c r="BK2" s="123"/>
      <c r="BL2" s="123"/>
      <c r="BM2" s="123"/>
      <c r="BN2" s="123"/>
      <c r="BO2" s="123"/>
      <c r="BP2" s="123"/>
      <c r="BQ2" s="123"/>
      <c r="BR2" s="123"/>
      <c r="BS2" s="123"/>
      <c r="BT2" s="123"/>
      <c r="BU2" s="123"/>
      <c r="BV2" s="123"/>
      <c r="BW2" s="123"/>
      <c r="BX2" s="123"/>
      <c r="BY2" s="123"/>
      <c r="BZ2" s="123"/>
      <c r="CA2" s="123"/>
      <c r="CB2" s="123"/>
      <c r="CC2" s="123"/>
      <c r="CD2" s="123"/>
      <c r="CE2" s="123"/>
      <c r="CF2" s="123"/>
      <c r="CG2" s="123"/>
      <c r="CH2" s="123"/>
      <c r="CI2" s="123"/>
      <c r="CJ2" s="123"/>
      <c r="CK2" s="123"/>
      <c r="CL2" s="123"/>
      <c r="CM2" s="123"/>
      <c r="CN2" s="123"/>
      <c r="CO2" s="123"/>
      <c r="CP2" s="123"/>
      <c r="CQ2" s="123"/>
      <c r="CR2" s="123"/>
      <c r="CS2" s="123"/>
      <c r="CT2" s="123"/>
      <c r="CU2" s="123"/>
      <c r="CV2" s="123"/>
      <c r="CW2" s="123"/>
      <c r="CX2" s="123"/>
      <c r="CY2" s="123"/>
      <c r="CZ2" s="123"/>
      <c r="DA2" s="123"/>
      <c r="DB2" s="123"/>
      <c r="DC2" s="123"/>
      <c r="DD2" s="123"/>
      <c r="DE2" s="123"/>
      <c r="DF2" s="123"/>
      <c r="DG2" s="123"/>
      <c r="DH2" s="123"/>
      <c r="DI2" s="123"/>
      <c r="DJ2" s="123"/>
      <c r="DK2" s="123"/>
      <c r="DL2" s="123"/>
      <c r="DM2" s="123"/>
      <c r="DN2" s="123"/>
      <c r="DO2" s="123"/>
      <c r="DP2" s="123"/>
      <c r="DQ2" s="123"/>
      <c r="DR2" s="123"/>
      <c r="DS2" s="123"/>
      <c r="DT2" s="123"/>
      <c r="DU2" s="123"/>
      <c r="DV2" s="123"/>
      <c r="DW2" s="123"/>
      <c r="DX2" s="123"/>
      <c r="DY2" s="123"/>
      <c r="DZ2" s="123"/>
      <c r="EA2" s="123"/>
      <c r="EB2" s="123"/>
      <c r="EC2" s="123"/>
      <c r="ED2" s="123"/>
      <c r="EE2" s="123"/>
      <c r="EF2" s="123"/>
      <c r="EG2" s="123"/>
      <c r="EH2" s="123"/>
      <c r="EI2" s="123"/>
      <c r="EJ2" s="123"/>
      <c r="EK2" s="123"/>
      <c r="EL2" s="123"/>
      <c r="EM2" s="123"/>
      <c r="EN2" s="123"/>
      <c r="EO2" s="123"/>
      <c r="EP2" s="123"/>
      <c r="EQ2" s="123"/>
      <c r="ER2" s="123"/>
      <c r="ES2" s="123"/>
      <c r="ET2" s="123"/>
      <c r="EU2" s="123"/>
      <c r="EV2" s="123"/>
      <c r="EW2" s="123"/>
      <c r="EX2" s="123"/>
      <c r="EY2" s="123"/>
      <c r="EZ2" s="123"/>
      <c r="FA2" s="123"/>
      <c r="FB2" s="123"/>
      <c r="FC2" s="123"/>
      <c r="FD2" s="123"/>
      <c r="FE2" s="123"/>
      <c r="FF2" s="123"/>
      <c r="FG2" s="123"/>
      <c r="FH2" s="123"/>
      <c r="FI2" s="123"/>
      <c r="FJ2" s="123"/>
      <c r="FK2" s="123"/>
      <c r="FL2" s="123"/>
      <c r="FM2" s="123"/>
      <c r="FN2" s="123"/>
      <c r="FO2" s="123"/>
      <c r="FP2" s="123"/>
      <c r="FQ2" s="123"/>
      <c r="FR2" s="123"/>
      <c r="FS2" s="123"/>
      <c r="FT2" s="123"/>
      <c r="FU2" s="123"/>
      <c r="FV2" s="123"/>
      <c r="FW2" s="123"/>
      <c r="FX2" s="123"/>
      <c r="FY2" s="123"/>
      <c r="FZ2" s="123"/>
      <c r="GA2" s="123"/>
      <c r="GB2" s="123"/>
      <c r="GC2" s="123"/>
      <c r="GD2" s="123"/>
      <c r="GE2" s="123"/>
      <c r="GF2" s="123"/>
      <c r="GG2" s="123"/>
      <c r="GH2" s="123"/>
      <c r="GI2" s="123"/>
      <c r="GJ2" s="123"/>
      <c r="GK2" s="123"/>
      <c r="GL2" s="123"/>
      <c r="GM2" s="123"/>
      <c r="GN2" s="123"/>
      <c r="GO2" s="123"/>
      <c r="GP2" s="123"/>
      <c r="GQ2" s="123"/>
      <c r="GR2" s="123"/>
      <c r="GS2" s="123"/>
      <c r="GT2" s="123"/>
      <c r="GU2" s="123"/>
      <c r="GV2" s="123"/>
      <c r="GW2" s="123"/>
      <c r="GX2" s="123"/>
      <c r="GY2" s="123"/>
      <c r="GZ2" s="123"/>
      <c r="HA2" s="123"/>
      <c r="HB2" s="123"/>
      <c r="HC2" s="123"/>
      <c r="HD2" s="123"/>
      <c r="HE2" s="123"/>
      <c r="HF2" s="123"/>
      <c r="HG2" s="123"/>
      <c r="HH2" s="123"/>
      <c r="HI2" s="123"/>
      <c r="HJ2" s="123"/>
      <c r="HK2" s="123"/>
      <c r="HL2" s="123"/>
      <c r="HM2" s="123"/>
      <c r="HN2" s="123"/>
    </row>
    <row r="3" spans="1:222" ht="15" x14ac:dyDescent="0.25">
      <c r="A3" s="124"/>
      <c r="B3" s="125" t="s">
        <v>95</v>
      </c>
      <c r="C3" s="126"/>
      <c r="D3" s="127" t="s">
        <v>57</v>
      </c>
      <c r="E3" s="127" t="s">
        <v>58</v>
      </c>
      <c r="F3" s="127" t="s">
        <v>59</v>
      </c>
      <c r="G3" s="127" t="s">
        <v>60</v>
      </c>
      <c r="H3" s="127" t="s">
        <v>57</v>
      </c>
      <c r="I3" s="127" t="s">
        <v>58</v>
      </c>
      <c r="J3" s="127" t="s">
        <v>59</v>
      </c>
      <c r="K3" s="127" t="s">
        <v>60</v>
      </c>
      <c r="L3" s="127" t="s">
        <v>57</v>
      </c>
      <c r="M3" s="127" t="s">
        <v>58</v>
      </c>
      <c r="N3" s="127" t="s">
        <v>59</v>
      </c>
      <c r="O3" s="127" t="s">
        <v>60</v>
      </c>
      <c r="P3" s="127" t="s">
        <v>57</v>
      </c>
      <c r="Q3" s="127" t="s">
        <v>58</v>
      </c>
      <c r="R3" s="127" t="s">
        <v>59</v>
      </c>
      <c r="S3" s="127" t="s">
        <v>60</v>
      </c>
      <c r="T3" s="127" t="s">
        <v>57</v>
      </c>
      <c r="U3" s="127" t="s">
        <v>58</v>
      </c>
      <c r="V3" s="127" t="s">
        <v>59</v>
      </c>
      <c r="W3" s="127" t="s">
        <v>60</v>
      </c>
      <c r="X3" s="127" t="s">
        <v>57</v>
      </c>
      <c r="Y3" s="127" t="s">
        <v>58</v>
      </c>
      <c r="Z3" s="127" t="s">
        <v>59</v>
      </c>
      <c r="AA3" s="127" t="s">
        <v>60</v>
      </c>
      <c r="AB3" s="127" t="s">
        <v>57</v>
      </c>
      <c r="AC3" s="127" t="s">
        <v>58</v>
      </c>
      <c r="AD3" s="127" t="s">
        <v>59</v>
      </c>
      <c r="AE3" s="127" t="s">
        <v>60</v>
      </c>
      <c r="AF3" s="127" t="s">
        <v>57</v>
      </c>
      <c r="AG3" s="127" t="s">
        <v>58</v>
      </c>
      <c r="AH3" s="127" t="s">
        <v>59</v>
      </c>
      <c r="AI3" s="127" t="s">
        <v>60</v>
      </c>
      <c r="AJ3" s="127" t="s">
        <v>57</v>
      </c>
      <c r="AK3" s="127" t="s">
        <v>58</v>
      </c>
      <c r="AL3" s="127" t="s">
        <v>59</v>
      </c>
      <c r="AM3" s="127" t="s">
        <v>60</v>
      </c>
      <c r="AN3" s="127" t="s">
        <v>57</v>
      </c>
      <c r="AO3" s="127" t="s">
        <v>58</v>
      </c>
    </row>
    <row r="4" spans="1:222" ht="15" x14ac:dyDescent="0.25">
      <c r="A4" s="128"/>
      <c r="B4" s="129" t="s">
        <v>96</v>
      </c>
      <c r="C4" s="128"/>
      <c r="D4" s="130"/>
      <c r="E4" s="130"/>
      <c r="F4" s="130"/>
      <c r="G4" s="130"/>
      <c r="H4" s="130"/>
      <c r="I4" s="13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</row>
    <row r="5" spans="1:222" ht="15" x14ac:dyDescent="0.25">
      <c r="A5" s="131"/>
      <c r="B5" s="132" t="s">
        <v>97</v>
      </c>
      <c r="C5" s="131"/>
      <c r="D5" s="99">
        <v>20042.514020058734</v>
      </c>
      <c r="E5" s="99">
        <v>21218.330132535364</v>
      </c>
      <c r="F5" s="99">
        <v>21839.802688146832</v>
      </c>
      <c r="G5" s="99">
        <v>22775.389457475281</v>
      </c>
      <c r="H5" s="99">
        <v>23385.987997297485</v>
      </c>
      <c r="I5" s="99">
        <v>23378.053019877931</v>
      </c>
      <c r="J5" s="99">
        <v>25101.275718352983</v>
      </c>
      <c r="K5" s="99">
        <v>25844.771720232373</v>
      </c>
      <c r="L5" s="99">
        <v>25388.718523934913</v>
      </c>
      <c r="M5" s="99">
        <v>25788.032872167332</v>
      </c>
      <c r="N5" s="99">
        <v>26642.616522826043</v>
      </c>
      <c r="O5" s="99">
        <v>27911.299039324491</v>
      </c>
      <c r="P5" s="99">
        <v>28713.646258552319</v>
      </c>
      <c r="Q5" s="99">
        <v>29524.497667566749</v>
      </c>
      <c r="R5" s="99">
        <v>28228.315188342247</v>
      </c>
      <c r="S5" s="99">
        <v>26490.524569731999</v>
      </c>
      <c r="T5" s="99">
        <v>29382.802652513266</v>
      </c>
      <c r="U5" s="99">
        <v>30566.442046619697</v>
      </c>
      <c r="V5" s="99">
        <v>30953.851318166155</v>
      </c>
      <c r="W5" s="99">
        <v>30977.386118863189</v>
      </c>
      <c r="X5" s="99">
        <v>29938.123404411068</v>
      </c>
      <c r="Y5" s="99">
        <v>31911.825381920025</v>
      </c>
      <c r="Z5" s="99">
        <v>34036.067091257937</v>
      </c>
      <c r="AA5" s="99">
        <v>35688.118605037591</v>
      </c>
      <c r="AB5" s="99">
        <v>36080.110104469502</v>
      </c>
      <c r="AC5" s="99">
        <v>37764.617660225616</v>
      </c>
      <c r="AD5" s="99">
        <v>36452.263857799262</v>
      </c>
      <c r="AE5" s="99">
        <v>38476.340365239259</v>
      </c>
      <c r="AF5" s="99">
        <v>38589.461300815623</v>
      </c>
      <c r="AG5" s="99">
        <v>36715.792183802667</v>
      </c>
      <c r="AH5" s="99">
        <v>38502.484046090649</v>
      </c>
      <c r="AI5" s="99">
        <v>41382.554516408876</v>
      </c>
      <c r="AJ5" s="99">
        <v>43314.789255715245</v>
      </c>
      <c r="AK5" s="99">
        <v>43017.361806127228</v>
      </c>
      <c r="AL5" s="99">
        <v>44963.589833257167</v>
      </c>
      <c r="AM5" s="99">
        <v>44042.579300989426</v>
      </c>
      <c r="AN5" s="99">
        <v>49449.193042336025</v>
      </c>
      <c r="AO5" s="99">
        <v>51529.665484075842</v>
      </c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1"/>
      <c r="BR5" s="131"/>
      <c r="BS5" s="131"/>
      <c r="BT5" s="131"/>
      <c r="BU5" s="131"/>
      <c r="BV5" s="131"/>
      <c r="BW5" s="131"/>
      <c r="BX5" s="131"/>
      <c r="BY5" s="131"/>
      <c r="BZ5" s="131"/>
      <c r="CA5" s="131"/>
      <c r="CB5" s="131"/>
      <c r="CC5" s="131"/>
      <c r="CD5" s="131"/>
      <c r="CE5" s="131"/>
      <c r="CF5" s="131"/>
      <c r="CG5" s="131"/>
      <c r="CH5" s="131"/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1"/>
      <c r="DJ5" s="131"/>
      <c r="DK5" s="131"/>
      <c r="DL5" s="131"/>
      <c r="DM5" s="131"/>
      <c r="DN5" s="131"/>
      <c r="DO5" s="131"/>
      <c r="DP5" s="131"/>
      <c r="DQ5" s="131"/>
      <c r="DR5" s="131"/>
      <c r="DS5" s="131"/>
      <c r="DT5" s="131"/>
      <c r="DU5" s="131"/>
      <c r="DV5" s="131"/>
      <c r="DW5" s="131"/>
      <c r="DX5" s="131"/>
      <c r="DY5" s="131"/>
      <c r="DZ5" s="131"/>
      <c r="EA5" s="131"/>
      <c r="EB5" s="131"/>
      <c r="EC5" s="131"/>
      <c r="ED5" s="131"/>
      <c r="EE5" s="131"/>
      <c r="EF5" s="131"/>
      <c r="EG5" s="131"/>
      <c r="EH5" s="131"/>
      <c r="EI5" s="131"/>
      <c r="EJ5" s="131"/>
      <c r="EK5" s="131"/>
      <c r="EL5" s="131"/>
      <c r="EM5" s="131"/>
      <c r="EN5" s="131"/>
      <c r="EO5" s="131"/>
      <c r="EP5" s="131"/>
      <c r="EQ5" s="131"/>
      <c r="ER5" s="131"/>
      <c r="ES5" s="131"/>
      <c r="ET5" s="131"/>
      <c r="EU5" s="131"/>
      <c r="EV5" s="131"/>
      <c r="EW5" s="131"/>
      <c r="EX5" s="131"/>
      <c r="EY5" s="131"/>
      <c r="EZ5" s="131"/>
      <c r="FA5" s="131"/>
      <c r="FB5" s="131"/>
      <c r="FC5" s="131"/>
      <c r="FD5" s="131"/>
      <c r="FE5" s="131"/>
      <c r="FF5" s="131"/>
      <c r="FG5" s="131"/>
      <c r="FH5" s="131"/>
      <c r="FI5" s="131"/>
      <c r="FJ5" s="131"/>
      <c r="FK5" s="131"/>
      <c r="FL5" s="131"/>
      <c r="FM5" s="131"/>
      <c r="FN5" s="131"/>
      <c r="FO5" s="131"/>
      <c r="FP5" s="131"/>
      <c r="FQ5" s="131"/>
      <c r="FR5" s="131"/>
      <c r="FS5" s="131"/>
      <c r="FT5" s="131"/>
      <c r="FU5" s="131"/>
      <c r="FV5" s="131"/>
      <c r="FW5" s="131"/>
      <c r="FX5" s="131"/>
      <c r="FY5" s="131"/>
      <c r="FZ5" s="131"/>
      <c r="GA5" s="131"/>
      <c r="GB5" s="131"/>
      <c r="GC5" s="131"/>
      <c r="GD5" s="131"/>
      <c r="GE5" s="131"/>
      <c r="GF5" s="131"/>
      <c r="GG5" s="131"/>
      <c r="GH5" s="131"/>
      <c r="GI5" s="131"/>
      <c r="GJ5" s="131"/>
      <c r="GK5" s="131"/>
      <c r="GL5" s="131"/>
      <c r="GM5" s="131"/>
      <c r="GN5" s="131"/>
      <c r="GO5" s="131"/>
      <c r="GP5" s="131"/>
      <c r="GQ5" s="131"/>
      <c r="GR5" s="131"/>
      <c r="GS5" s="131"/>
      <c r="GT5" s="131"/>
      <c r="GU5" s="131"/>
      <c r="GV5" s="131"/>
      <c r="GW5" s="131"/>
      <c r="GX5" s="131"/>
      <c r="GY5" s="131"/>
      <c r="GZ5" s="131"/>
      <c r="HA5" s="131"/>
      <c r="HB5" s="131"/>
      <c r="HC5" s="131"/>
      <c r="HD5" s="131"/>
      <c r="HE5" s="131"/>
      <c r="HF5" s="131"/>
      <c r="HG5" s="131"/>
      <c r="HH5" s="131"/>
      <c r="HI5" s="131"/>
      <c r="HJ5" s="131"/>
      <c r="HK5" s="131"/>
      <c r="HL5" s="131"/>
      <c r="HM5" s="131"/>
      <c r="HN5" s="131"/>
    </row>
    <row r="6" spans="1:222" ht="15" x14ac:dyDescent="0.25">
      <c r="A6" s="131"/>
      <c r="B6" s="133" t="s">
        <v>98</v>
      </c>
      <c r="C6" s="3"/>
      <c r="D6" s="3">
        <v>2055.0661070776132</v>
      </c>
      <c r="E6" s="3">
        <v>2009.5559939566463</v>
      </c>
      <c r="F6" s="3">
        <v>2205.5619086097863</v>
      </c>
      <c r="G6" s="3">
        <v>2422.4770002125788</v>
      </c>
      <c r="H6" s="3">
        <v>2542.7071492116929</v>
      </c>
      <c r="I6" s="3">
        <v>2571.4654406840668</v>
      </c>
      <c r="J6" s="3">
        <v>2679.1950557110513</v>
      </c>
      <c r="K6" s="3">
        <v>2602.5277971342243</v>
      </c>
      <c r="L6" s="3">
        <v>2710.3004038828258</v>
      </c>
      <c r="M6" s="3">
        <v>2740.7676996521818</v>
      </c>
      <c r="N6" s="3">
        <v>2792.6917308487186</v>
      </c>
      <c r="O6" s="3">
        <v>3322.2491012045493</v>
      </c>
      <c r="P6" s="3">
        <v>3050.3801419354836</v>
      </c>
      <c r="Q6" s="3">
        <v>3476.3493556180069</v>
      </c>
      <c r="R6" s="3">
        <v>3373.9332213498533</v>
      </c>
      <c r="S6" s="3">
        <v>3362.9869639943336</v>
      </c>
      <c r="T6" s="3">
        <v>3395.0883107461691</v>
      </c>
      <c r="U6" s="3">
        <v>3805.0769655307813</v>
      </c>
      <c r="V6" s="3">
        <v>3849.6701031656971</v>
      </c>
      <c r="W6" s="3">
        <v>3664.015979341139</v>
      </c>
      <c r="X6" s="3">
        <v>3671.3689983091062</v>
      </c>
      <c r="Y6" s="3">
        <v>3652.112303215486</v>
      </c>
      <c r="Z6" s="3">
        <v>4196.9501144397036</v>
      </c>
      <c r="AA6" s="3">
        <v>4387.2526291269114</v>
      </c>
      <c r="AB6" s="3">
        <v>4496.4582312469629</v>
      </c>
      <c r="AC6" s="3">
        <v>4567.4851828190895</v>
      </c>
      <c r="AD6" s="3">
        <v>4256.7641976354198</v>
      </c>
      <c r="AE6" s="3">
        <v>4170.3723684070583</v>
      </c>
      <c r="AF6" s="3">
        <v>4319.2391953280976</v>
      </c>
      <c r="AG6" s="3">
        <v>4715.6875732663902</v>
      </c>
      <c r="AH6" s="3">
        <v>5207.4456699882376</v>
      </c>
      <c r="AI6" s="3">
        <v>6148.1437430219357</v>
      </c>
      <c r="AJ6" s="3">
        <v>6150.1642260978788</v>
      </c>
      <c r="AK6" s="3">
        <v>6491.5738318865579</v>
      </c>
      <c r="AL6" s="3">
        <v>6972.631358323737</v>
      </c>
      <c r="AM6" s="3">
        <v>6962.0377471736165</v>
      </c>
      <c r="AN6" s="3">
        <v>7282.6695436650807</v>
      </c>
      <c r="AO6" s="3">
        <v>7187.4180608290926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</row>
    <row r="7" spans="1:222" ht="15" x14ac:dyDescent="0.25">
      <c r="A7" s="3"/>
      <c r="B7" s="133" t="s">
        <v>99</v>
      </c>
      <c r="C7" s="3"/>
      <c r="D7" s="3">
        <v>1017.001769257662</v>
      </c>
      <c r="E7" s="3">
        <v>1042.7498426244365</v>
      </c>
      <c r="F7" s="3">
        <v>1083.3020630404487</v>
      </c>
      <c r="G7" s="3">
        <v>1120.2613527795818</v>
      </c>
      <c r="H7" s="3">
        <v>1160.9468528533812</v>
      </c>
      <c r="I7" s="3">
        <v>1214.6909292453824</v>
      </c>
      <c r="J7" s="3">
        <v>1265.2781864169774</v>
      </c>
      <c r="K7" s="3">
        <v>1322.0250457143181</v>
      </c>
      <c r="L7" s="3">
        <v>1378.0471279797714</v>
      </c>
      <c r="M7" s="3">
        <v>1410.8643394681744</v>
      </c>
      <c r="N7" s="3">
        <v>1436.3759000610471</v>
      </c>
      <c r="O7" s="3">
        <v>1470.6544556594565</v>
      </c>
      <c r="P7" s="3">
        <v>1515.0318072952143</v>
      </c>
      <c r="Q7" s="3">
        <v>1539.6455414797047</v>
      </c>
      <c r="R7" s="3">
        <v>1538.5707444295028</v>
      </c>
      <c r="S7" s="3">
        <v>1518.8570852065457</v>
      </c>
      <c r="T7" s="3">
        <v>1486.2503876680239</v>
      </c>
      <c r="U7" s="3">
        <v>1483.9960929885322</v>
      </c>
      <c r="V7" s="3">
        <v>1552.6893157254642</v>
      </c>
      <c r="W7" s="3">
        <v>1616.8604744019033</v>
      </c>
      <c r="X7" s="3">
        <v>1676.9482128601235</v>
      </c>
      <c r="Y7" s="3">
        <v>1743.9597375780527</v>
      </c>
      <c r="Z7" s="3">
        <v>1807.3486477586655</v>
      </c>
      <c r="AA7" s="3">
        <v>1867.9682790024415</v>
      </c>
      <c r="AB7" s="3">
        <v>1975.1012568921144</v>
      </c>
      <c r="AC7" s="3">
        <v>1989.1350827030733</v>
      </c>
      <c r="AD7" s="3">
        <v>2013.7502224692885</v>
      </c>
      <c r="AE7" s="3">
        <v>2026.1895023047948</v>
      </c>
      <c r="AF7" s="3">
        <v>2046.12725002243</v>
      </c>
      <c r="AG7" s="3">
        <v>2143.6516292283868</v>
      </c>
      <c r="AH7" s="3">
        <v>1998.4193385076103</v>
      </c>
      <c r="AI7" s="3">
        <v>2064.9443823006118</v>
      </c>
      <c r="AJ7" s="3">
        <v>2060.4617088784344</v>
      </c>
      <c r="AK7" s="3">
        <v>2063.5421359258407</v>
      </c>
      <c r="AL7" s="3">
        <v>1752.240394282155</v>
      </c>
      <c r="AM7" s="3">
        <v>1984.9728082511219</v>
      </c>
      <c r="AN7" s="3">
        <v>2149.5080697024641</v>
      </c>
      <c r="AO7" s="3">
        <v>2072.4639008535314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</row>
    <row r="8" spans="1:222" ht="15" x14ac:dyDescent="0.25">
      <c r="A8" s="3"/>
      <c r="B8" s="133" t="s">
        <v>100</v>
      </c>
      <c r="C8" s="3"/>
      <c r="D8" s="3">
        <v>16970.44614372346</v>
      </c>
      <c r="E8" s="3">
        <v>18166.024295954281</v>
      </c>
      <c r="F8" s="3">
        <v>18550.938716496596</v>
      </c>
      <c r="G8" s="3">
        <v>19232.65110448312</v>
      </c>
      <c r="H8" s="3">
        <v>19682.33399523241</v>
      </c>
      <c r="I8" s="3">
        <v>19591.896649948481</v>
      </c>
      <c r="J8" s="3">
        <v>21156.802476224955</v>
      </c>
      <c r="K8" s="3">
        <v>21920.218877383832</v>
      </c>
      <c r="L8" s="3">
        <v>21300.370992072316</v>
      </c>
      <c r="M8" s="3">
        <v>21636.400833046977</v>
      </c>
      <c r="N8" s="3">
        <v>22413.548891916278</v>
      </c>
      <c r="O8" s="3">
        <v>23118.395482460484</v>
      </c>
      <c r="P8" s="3">
        <v>24148.234309321619</v>
      </c>
      <c r="Q8" s="3">
        <v>24508.50277046904</v>
      </c>
      <c r="R8" s="3">
        <v>23315.81122256289</v>
      </c>
      <c r="S8" s="3">
        <v>21608.680520531121</v>
      </c>
      <c r="T8" s="3">
        <v>24501.463954099072</v>
      </c>
      <c r="U8" s="3">
        <v>25277.368988100385</v>
      </c>
      <c r="V8" s="3">
        <v>25551.491899274995</v>
      </c>
      <c r="W8" s="3">
        <v>25696.509665120146</v>
      </c>
      <c r="X8" s="3">
        <v>24589.806193241839</v>
      </c>
      <c r="Y8" s="3">
        <v>26515.753341126485</v>
      </c>
      <c r="Z8" s="3">
        <v>28031.768329059571</v>
      </c>
      <c r="AA8" s="3">
        <v>29432.89769690824</v>
      </c>
      <c r="AB8" s="3">
        <v>29608.550616330424</v>
      </c>
      <c r="AC8" s="3">
        <v>31207.997394703456</v>
      </c>
      <c r="AD8" s="3">
        <v>30181.749437694551</v>
      </c>
      <c r="AE8" s="3">
        <v>32279.778494527407</v>
      </c>
      <c r="AF8" s="3">
        <v>32224.094855465097</v>
      </c>
      <c r="AG8" s="3">
        <v>29856.452981307888</v>
      </c>
      <c r="AH8" s="3">
        <v>31296.619037594803</v>
      </c>
      <c r="AI8" s="3">
        <v>33169.466391086331</v>
      </c>
      <c r="AJ8" s="3">
        <v>35104.163320738931</v>
      </c>
      <c r="AK8" s="3">
        <v>34462.245838314833</v>
      </c>
      <c r="AL8" s="3">
        <v>36238.718080651277</v>
      </c>
      <c r="AM8" s="3">
        <v>35095.568745564684</v>
      </c>
      <c r="AN8" s="3">
        <v>40017.01542896848</v>
      </c>
      <c r="AO8" s="3">
        <v>42269.78352239322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</row>
    <row r="9" spans="1:222" ht="15" x14ac:dyDescent="0.25">
      <c r="A9" s="131"/>
      <c r="B9" s="132" t="s">
        <v>101</v>
      </c>
      <c r="C9" s="131"/>
      <c r="D9" s="99">
        <v>6226.2053455523728</v>
      </c>
      <c r="E9" s="99">
        <v>6575.6869752550956</v>
      </c>
      <c r="F9" s="99">
        <v>6558.0855876068863</v>
      </c>
      <c r="G9" s="99">
        <v>6745.1562519858453</v>
      </c>
      <c r="H9" s="99">
        <v>6812.306390038746</v>
      </c>
      <c r="I9" s="99">
        <v>7026.7018705159508</v>
      </c>
      <c r="J9" s="99">
        <v>7414.3684367003189</v>
      </c>
      <c r="K9" s="99">
        <v>7373.2904404254041</v>
      </c>
      <c r="L9" s="99">
        <v>8007.5512844274772</v>
      </c>
      <c r="M9" s="99">
        <v>7975.2546948362442</v>
      </c>
      <c r="N9" s="99">
        <v>8222.8355715836005</v>
      </c>
      <c r="O9" s="99">
        <v>8716.4661434430527</v>
      </c>
      <c r="P9" s="99">
        <v>8302.7789803423366</v>
      </c>
      <c r="Q9" s="99">
        <v>8292.4647434734597</v>
      </c>
      <c r="R9" s="99">
        <v>8957.7507801164702</v>
      </c>
      <c r="S9" s="99">
        <v>7293.0486263614293</v>
      </c>
      <c r="T9" s="99">
        <v>7399.5348441280639</v>
      </c>
      <c r="U9" s="99">
        <v>8796.2098230618485</v>
      </c>
      <c r="V9" s="99">
        <v>9229.7653273348915</v>
      </c>
      <c r="W9" s="99">
        <v>9183.8813178055752</v>
      </c>
      <c r="X9" s="99">
        <v>9409.7849255375368</v>
      </c>
      <c r="Y9" s="99">
        <v>9616.9782837963503</v>
      </c>
      <c r="Z9" s="99">
        <v>9506.4874948322285</v>
      </c>
      <c r="AA9" s="99">
        <v>9640.6004628163882</v>
      </c>
      <c r="AB9" s="99">
        <v>9883.1622996963852</v>
      </c>
      <c r="AC9" s="99">
        <v>9647.0825724742699</v>
      </c>
      <c r="AD9" s="99">
        <v>9841.5405110770771</v>
      </c>
      <c r="AE9" s="99">
        <v>11020.28439058549</v>
      </c>
      <c r="AF9" s="99">
        <v>10917.542450075243</v>
      </c>
      <c r="AG9" s="99">
        <v>10917.413507813189</v>
      </c>
      <c r="AH9" s="99">
        <v>11238.776189363865</v>
      </c>
      <c r="AI9" s="99">
        <v>10980.909596153493</v>
      </c>
      <c r="AJ9" s="99">
        <v>11340.757954625737</v>
      </c>
      <c r="AK9" s="99">
        <v>12301.911281574678</v>
      </c>
      <c r="AL9" s="99">
        <v>12727.883574054691</v>
      </c>
      <c r="AM9" s="99">
        <v>13395.143422446867</v>
      </c>
      <c r="AN9" s="99">
        <v>13272.590006373342</v>
      </c>
      <c r="AO9" s="99">
        <v>14252.530385972823</v>
      </c>
      <c r="AP9" s="131"/>
      <c r="AQ9" s="131"/>
      <c r="AR9" s="131"/>
      <c r="AS9" s="131"/>
      <c r="AT9" s="131"/>
      <c r="AU9" s="131"/>
      <c r="AV9" s="131"/>
      <c r="AW9" s="131"/>
      <c r="AX9" s="131"/>
      <c r="AY9" s="131"/>
      <c r="AZ9" s="131"/>
      <c r="BA9" s="131"/>
      <c r="BB9" s="131"/>
      <c r="BC9" s="131"/>
      <c r="BD9" s="131"/>
      <c r="BE9" s="131"/>
      <c r="BF9" s="131"/>
      <c r="BG9" s="131"/>
      <c r="BH9" s="131"/>
      <c r="BI9" s="131"/>
      <c r="BJ9" s="131"/>
      <c r="BK9" s="131"/>
      <c r="BL9" s="131"/>
      <c r="BM9" s="131"/>
      <c r="BN9" s="131"/>
      <c r="BO9" s="131"/>
      <c r="BP9" s="131"/>
      <c r="BQ9" s="131"/>
      <c r="BR9" s="131"/>
      <c r="BS9" s="131"/>
      <c r="BT9" s="131"/>
      <c r="BU9" s="131"/>
      <c r="BV9" s="131"/>
      <c r="BW9" s="131"/>
      <c r="BX9" s="131"/>
      <c r="BY9" s="131"/>
      <c r="BZ9" s="131"/>
      <c r="CA9" s="131"/>
      <c r="CB9" s="131"/>
      <c r="CC9" s="131"/>
      <c r="CD9" s="131"/>
      <c r="CE9" s="131"/>
      <c r="CF9" s="131"/>
      <c r="CG9" s="131"/>
      <c r="CH9" s="13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31"/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/>
      <c r="DV9" s="131"/>
      <c r="DW9" s="131"/>
      <c r="DX9" s="131"/>
      <c r="DY9" s="131"/>
      <c r="DZ9" s="131"/>
      <c r="EA9" s="131"/>
      <c r="EB9" s="131"/>
      <c r="EC9" s="131"/>
      <c r="ED9" s="131"/>
      <c r="EE9" s="131"/>
      <c r="EF9" s="131"/>
      <c r="EG9" s="131"/>
      <c r="EH9" s="131"/>
      <c r="EI9" s="131"/>
      <c r="EJ9" s="131"/>
      <c r="EK9" s="131"/>
      <c r="EL9" s="131"/>
      <c r="EM9" s="131"/>
      <c r="EN9" s="131"/>
      <c r="EO9" s="131"/>
      <c r="EP9" s="131"/>
      <c r="EQ9" s="131"/>
      <c r="ER9" s="131"/>
      <c r="ES9" s="131"/>
      <c r="ET9" s="131"/>
      <c r="EU9" s="131"/>
      <c r="EV9" s="131"/>
      <c r="EW9" s="131"/>
      <c r="EX9" s="131"/>
      <c r="EY9" s="131"/>
      <c r="EZ9" s="131"/>
      <c r="FA9" s="131"/>
      <c r="FB9" s="131"/>
      <c r="FC9" s="131"/>
      <c r="FD9" s="131"/>
      <c r="FE9" s="131"/>
      <c r="FF9" s="131"/>
      <c r="FG9" s="131"/>
      <c r="FH9" s="131"/>
      <c r="FI9" s="131"/>
      <c r="FJ9" s="131"/>
      <c r="FK9" s="131"/>
      <c r="FL9" s="131"/>
      <c r="FM9" s="131"/>
      <c r="FN9" s="131"/>
      <c r="FO9" s="131"/>
      <c r="FP9" s="131"/>
      <c r="FQ9" s="131"/>
      <c r="FR9" s="131"/>
      <c r="FS9" s="131"/>
      <c r="FT9" s="131"/>
      <c r="FU9" s="131"/>
      <c r="FV9" s="131"/>
      <c r="FW9" s="131"/>
      <c r="FX9" s="131"/>
      <c r="FY9" s="131"/>
      <c r="FZ9" s="131"/>
      <c r="GA9" s="131"/>
      <c r="GB9" s="131"/>
      <c r="GC9" s="131"/>
      <c r="GD9" s="131"/>
      <c r="GE9" s="131"/>
      <c r="GF9" s="131"/>
      <c r="GG9" s="131"/>
      <c r="GH9" s="131"/>
      <c r="GI9" s="131"/>
      <c r="GJ9" s="131"/>
      <c r="GK9" s="131"/>
      <c r="GL9" s="131"/>
      <c r="GM9" s="131"/>
      <c r="GN9" s="131"/>
      <c r="GO9" s="131"/>
      <c r="GP9" s="131"/>
      <c r="GQ9" s="131"/>
      <c r="GR9" s="131"/>
      <c r="GS9" s="131"/>
      <c r="GT9" s="131"/>
      <c r="GU9" s="131"/>
      <c r="GV9" s="131"/>
      <c r="GW9" s="131"/>
      <c r="GX9" s="131"/>
      <c r="GY9" s="131"/>
      <c r="GZ9" s="131"/>
      <c r="HA9" s="131"/>
      <c r="HB9" s="131"/>
      <c r="HC9" s="131"/>
      <c r="HD9" s="131"/>
      <c r="HE9" s="131"/>
      <c r="HF9" s="131"/>
      <c r="HG9" s="131"/>
      <c r="HH9" s="131"/>
      <c r="HI9" s="131"/>
      <c r="HJ9" s="131"/>
      <c r="HK9" s="131"/>
      <c r="HL9" s="131"/>
      <c r="HM9" s="131"/>
      <c r="HN9" s="131"/>
    </row>
    <row r="10" spans="1:222" ht="15" x14ac:dyDescent="0.25">
      <c r="A10" s="3"/>
      <c r="B10" s="133" t="s">
        <v>102</v>
      </c>
      <c r="C10" s="101"/>
      <c r="D10" s="3">
        <v>82.637985456669071</v>
      </c>
      <c r="E10" s="3">
        <v>79.516474833736297</v>
      </c>
      <c r="F10" s="3">
        <v>80.661003796361129</v>
      </c>
      <c r="G10" s="3">
        <v>87.410844656028601</v>
      </c>
      <c r="H10" s="3">
        <v>91.471447144583266</v>
      </c>
      <c r="I10" s="3">
        <v>97.995739828260341</v>
      </c>
      <c r="J10" s="3">
        <v>101.19871734049464</v>
      </c>
      <c r="K10" s="3">
        <v>106.56732104173707</v>
      </c>
      <c r="L10" s="3">
        <v>112.43088055627783</v>
      </c>
      <c r="M10" s="3">
        <v>112.2408600554478</v>
      </c>
      <c r="N10" s="3">
        <v>112.49015928364875</v>
      </c>
      <c r="O10" s="3">
        <v>111.58096814524787</v>
      </c>
      <c r="P10" s="3">
        <v>111.78121308883416</v>
      </c>
      <c r="Q10" s="3">
        <v>112.90961147780605</v>
      </c>
      <c r="R10" s="3">
        <v>112.73776153751184</v>
      </c>
      <c r="S10" s="3">
        <v>112.22940459482027</v>
      </c>
      <c r="T10" s="3">
        <v>113.21053952586102</v>
      </c>
      <c r="U10" s="3">
        <v>115.19416415646018</v>
      </c>
      <c r="V10" s="3">
        <v>115.8655788002493</v>
      </c>
      <c r="W10" s="3">
        <v>115.7691178686386</v>
      </c>
      <c r="X10" s="3">
        <v>115.15613541662674</v>
      </c>
      <c r="Y10" s="3">
        <v>117.62068304080464</v>
      </c>
      <c r="Z10" s="3">
        <v>126.44686502883397</v>
      </c>
      <c r="AA10" s="3">
        <v>137.02350377575527</v>
      </c>
      <c r="AB10" s="3">
        <v>153.02035209686025</v>
      </c>
      <c r="AC10" s="3">
        <v>161.68649450832078</v>
      </c>
      <c r="AD10" s="3">
        <v>163.94256544972342</v>
      </c>
      <c r="AE10" s="3">
        <v>166.55864121679281</v>
      </c>
      <c r="AF10" s="3">
        <v>154.07463864824911</v>
      </c>
      <c r="AG10" s="3">
        <v>162.03799851892506</v>
      </c>
      <c r="AH10" s="3">
        <v>144.5216505984657</v>
      </c>
      <c r="AI10" s="3">
        <v>146.8602922261218</v>
      </c>
      <c r="AJ10" s="3">
        <v>158.65211755002215</v>
      </c>
      <c r="AK10" s="3">
        <v>191.16787257693713</v>
      </c>
      <c r="AL10" s="3">
        <v>155.82413787331384</v>
      </c>
      <c r="AM10" s="3">
        <v>156.13425060750916</v>
      </c>
      <c r="AN10" s="3">
        <v>155.68666985933842</v>
      </c>
      <c r="AO10" s="3">
        <v>164.98572299170212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</row>
    <row r="11" spans="1:222" ht="15" x14ac:dyDescent="0.25">
      <c r="A11" s="3"/>
      <c r="B11" s="133" t="s">
        <v>103</v>
      </c>
      <c r="C11" s="101"/>
      <c r="D11" s="3">
        <v>1413.2195224722182</v>
      </c>
      <c r="E11" s="3">
        <v>1512.4882023058551</v>
      </c>
      <c r="F11" s="3">
        <v>1522.8909739124476</v>
      </c>
      <c r="G11" s="3">
        <v>1534.005008290434</v>
      </c>
      <c r="H11" s="3">
        <v>1540.3123761717802</v>
      </c>
      <c r="I11" s="3">
        <v>1537.7354419237568</v>
      </c>
      <c r="J11" s="3">
        <v>1686.4429991100733</v>
      </c>
      <c r="K11" s="3">
        <v>1762.0606111658199</v>
      </c>
      <c r="L11" s="3">
        <v>1826.9392001642773</v>
      </c>
      <c r="M11" s="3">
        <v>1829.9808305630365</v>
      </c>
      <c r="N11" s="3">
        <v>1876.0408263025108</v>
      </c>
      <c r="O11" s="3">
        <v>1966.5882428367729</v>
      </c>
      <c r="P11" s="3">
        <v>1883.2215675538405</v>
      </c>
      <c r="Q11" s="3">
        <v>1973.5491531451974</v>
      </c>
      <c r="R11" s="3">
        <v>2018.5360798865681</v>
      </c>
      <c r="S11" s="3">
        <v>1834.0261089510846</v>
      </c>
      <c r="T11" s="3">
        <v>1546.9522091907722</v>
      </c>
      <c r="U11" s="3">
        <v>1948.6834468883412</v>
      </c>
      <c r="V11" s="3">
        <v>2110.4657306462145</v>
      </c>
      <c r="W11" s="3">
        <v>2229.9140986302868</v>
      </c>
      <c r="X11" s="3">
        <v>2432.7808364989742</v>
      </c>
      <c r="Y11" s="3">
        <v>2332.2381707944887</v>
      </c>
      <c r="Z11" s="3">
        <v>2277.3679884841258</v>
      </c>
      <c r="AA11" s="3">
        <v>2305.5937740756517</v>
      </c>
      <c r="AB11" s="3">
        <v>2393.9388177411747</v>
      </c>
      <c r="AC11" s="3">
        <v>2227.3150700017309</v>
      </c>
      <c r="AD11" s="3">
        <v>2392.7804377968841</v>
      </c>
      <c r="AE11" s="3">
        <v>2623.7948205226403</v>
      </c>
      <c r="AF11" s="3">
        <v>2557.7989170786304</v>
      </c>
      <c r="AG11" s="3">
        <v>2605.3914737929913</v>
      </c>
      <c r="AH11" s="3">
        <v>2534.0272148203517</v>
      </c>
      <c r="AI11" s="3">
        <v>2560.1491279055658</v>
      </c>
      <c r="AJ11" s="3">
        <v>2783.6167954933276</v>
      </c>
      <c r="AK11" s="3">
        <v>3090.4388232985289</v>
      </c>
      <c r="AL11" s="3">
        <v>3255.8639411540071</v>
      </c>
      <c r="AM11" s="3">
        <v>3400.3797272003353</v>
      </c>
      <c r="AN11" s="3">
        <v>3345.101302340996</v>
      </c>
      <c r="AO11" s="3">
        <v>3536.5413333589117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</row>
    <row r="12" spans="1:222" ht="15" x14ac:dyDescent="0.25">
      <c r="A12" s="3"/>
      <c r="B12" s="133" t="s">
        <v>104</v>
      </c>
      <c r="C12" s="101"/>
      <c r="D12" s="3">
        <v>2322.5492392633882</v>
      </c>
      <c r="E12" s="3">
        <v>2377.8324460209487</v>
      </c>
      <c r="F12" s="3">
        <v>2372.8466467626945</v>
      </c>
      <c r="G12" s="3">
        <v>2303.6057781784971</v>
      </c>
      <c r="H12" s="3">
        <v>2360.1735408396298</v>
      </c>
      <c r="I12" s="3">
        <v>2429.6783872010037</v>
      </c>
      <c r="J12" s="3">
        <v>2572.6848632742845</v>
      </c>
      <c r="K12" s="3">
        <v>2703.1031964772837</v>
      </c>
      <c r="L12" s="3">
        <v>2860.19131904191</v>
      </c>
      <c r="M12" s="3">
        <v>2991.7973538717865</v>
      </c>
      <c r="N12" s="3">
        <v>3046.3319718054622</v>
      </c>
      <c r="O12" s="3">
        <v>3101.5133921580837</v>
      </c>
      <c r="P12" s="3">
        <v>2969.4762045919169</v>
      </c>
      <c r="Q12" s="3">
        <v>3034.3450951444952</v>
      </c>
      <c r="R12" s="3">
        <v>3242.4763256413275</v>
      </c>
      <c r="S12" s="3">
        <v>2928.438147317192</v>
      </c>
      <c r="T12" s="3">
        <v>2548.214223485561</v>
      </c>
      <c r="U12" s="3">
        <v>3255.7337061659632</v>
      </c>
      <c r="V12" s="3">
        <v>3493.5785112399185</v>
      </c>
      <c r="W12" s="3">
        <v>3441.0199349347968</v>
      </c>
      <c r="X12" s="3">
        <v>3438.8463255282618</v>
      </c>
      <c r="Y12" s="3">
        <v>3318.403526854398</v>
      </c>
      <c r="Z12" s="3">
        <v>3242.9316668915803</v>
      </c>
      <c r="AA12" s="3">
        <v>3277.5806519152065</v>
      </c>
      <c r="AB12" s="3">
        <v>3516.6124313315017</v>
      </c>
      <c r="AC12" s="3">
        <v>3385.0726804902129</v>
      </c>
      <c r="AD12" s="3">
        <v>3612.4125424350909</v>
      </c>
      <c r="AE12" s="3">
        <v>4113.1632673990671</v>
      </c>
      <c r="AF12" s="3">
        <v>4146.2745553376435</v>
      </c>
      <c r="AG12" s="3">
        <v>4236.7307035569947</v>
      </c>
      <c r="AH12" s="3">
        <v>4112.3442011407669</v>
      </c>
      <c r="AI12" s="3">
        <v>4058.1466584706141</v>
      </c>
      <c r="AJ12" s="3">
        <v>4277.1785021515607</v>
      </c>
      <c r="AK12" s="3">
        <v>4523.5012789573912</v>
      </c>
      <c r="AL12" s="3">
        <v>4824.77198388532</v>
      </c>
      <c r="AM12" s="3">
        <v>5208.3747539302985</v>
      </c>
      <c r="AN12" s="3">
        <v>4756.3621834335072</v>
      </c>
      <c r="AO12" s="3">
        <v>5269.7932930478119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</row>
    <row r="13" spans="1:222" ht="15" x14ac:dyDescent="0.25">
      <c r="A13" s="3"/>
      <c r="B13" s="133" t="s">
        <v>105</v>
      </c>
      <c r="C13" s="101"/>
      <c r="D13" s="3">
        <v>459.65661730747826</v>
      </c>
      <c r="E13" s="3">
        <v>545.29964001755252</v>
      </c>
      <c r="F13" s="3">
        <v>473.00793491773652</v>
      </c>
      <c r="G13" s="3">
        <v>409.2914582980099</v>
      </c>
      <c r="H13" s="3">
        <v>590.26925720002441</v>
      </c>
      <c r="I13" s="3">
        <v>615.22797261440121</v>
      </c>
      <c r="J13" s="3">
        <v>598.69052260941942</v>
      </c>
      <c r="K13" s="3">
        <v>610.41238893306024</v>
      </c>
      <c r="L13" s="3">
        <v>630.72396296684428</v>
      </c>
      <c r="M13" s="3">
        <v>669.82240294520818</v>
      </c>
      <c r="N13" s="3">
        <v>672.60660980916543</v>
      </c>
      <c r="O13" s="3">
        <v>714.99678861561358</v>
      </c>
      <c r="P13" s="3">
        <v>705.19847434723999</v>
      </c>
      <c r="Q13" s="3">
        <v>645.82159159175706</v>
      </c>
      <c r="R13" s="3">
        <v>664.65263150337239</v>
      </c>
      <c r="S13" s="3">
        <v>269.41483784678604</v>
      </c>
      <c r="T13" s="3">
        <v>672.23510890076193</v>
      </c>
      <c r="U13" s="3">
        <v>662.59889440427685</v>
      </c>
      <c r="V13" s="3">
        <v>835.30766943283868</v>
      </c>
      <c r="W13" s="3">
        <v>719.63021708310589</v>
      </c>
      <c r="X13" s="3">
        <v>718.84025896592493</v>
      </c>
      <c r="Y13" s="3">
        <v>812.44191753888526</v>
      </c>
      <c r="Z13" s="3">
        <v>710.58966560630915</v>
      </c>
      <c r="AA13" s="3">
        <v>750.37222097812526</v>
      </c>
      <c r="AB13" s="3">
        <v>691.8460181207264</v>
      </c>
      <c r="AC13" s="3">
        <v>623.13476379741837</v>
      </c>
      <c r="AD13" s="3">
        <v>726.06939527235897</v>
      </c>
      <c r="AE13" s="3">
        <v>725.22215322593604</v>
      </c>
      <c r="AF13" s="3">
        <v>659.71222694240066</v>
      </c>
      <c r="AG13" s="3">
        <v>692.57519432205947</v>
      </c>
      <c r="AH13" s="3">
        <v>835.38531708895016</v>
      </c>
      <c r="AI13" s="3">
        <v>793.90984045324331</v>
      </c>
      <c r="AJ13" s="3">
        <v>779.57244625075839</v>
      </c>
      <c r="AK13" s="3">
        <v>1201.2296904274633</v>
      </c>
      <c r="AL13" s="3">
        <v>984.12834485574012</v>
      </c>
      <c r="AM13" s="3">
        <v>1141.3703658038391</v>
      </c>
      <c r="AN13" s="3">
        <v>1298.8496170680237</v>
      </c>
      <c r="AO13" s="3">
        <v>1262.915255131084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</row>
    <row r="14" spans="1:222" ht="15" x14ac:dyDescent="0.25">
      <c r="A14" s="3"/>
      <c r="B14" s="133" t="s">
        <v>106</v>
      </c>
      <c r="C14" s="101"/>
      <c r="D14" s="3">
        <v>43.723011573515201</v>
      </c>
      <c r="E14" s="3">
        <v>188.50351029487865</v>
      </c>
      <c r="F14" s="3">
        <v>332.74537339677914</v>
      </c>
      <c r="G14" s="3">
        <v>176.01712397938132</v>
      </c>
      <c r="H14" s="3">
        <v>157.99227972913945</v>
      </c>
      <c r="I14" s="3">
        <v>194.30906367901787</v>
      </c>
      <c r="J14" s="3">
        <v>132.93380511626904</v>
      </c>
      <c r="K14" s="3">
        <v>108.65920630335138</v>
      </c>
      <c r="L14" s="3">
        <v>134.65430045037627</v>
      </c>
      <c r="M14" s="3">
        <v>151.30036868700651</v>
      </c>
      <c r="N14" s="3">
        <v>171.65363222914425</v>
      </c>
      <c r="O14" s="3">
        <v>162.14304798757115</v>
      </c>
      <c r="P14" s="3">
        <v>147.47263110081443</v>
      </c>
      <c r="Q14" s="3">
        <v>133.47185227226123</v>
      </c>
      <c r="R14" s="3">
        <v>124.95115637574941</v>
      </c>
      <c r="S14" s="3">
        <v>131.89377098171789</v>
      </c>
      <c r="T14" s="3">
        <v>123.73748277605894</v>
      </c>
      <c r="U14" s="3">
        <v>139.17730571582288</v>
      </c>
      <c r="V14" s="3">
        <v>110.41831254594169</v>
      </c>
      <c r="W14" s="3">
        <v>139.42266728292398</v>
      </c>
      <c r="X14" s="3">
        <v>112.90457236347127</v>
      </c>
      <c r="Y14" s="3">
        <v>136.36745326238619</v>
      </c>
      <c r="Z14" s="3">
        <v>119.48593760722476</v>
      </c>
      <c r="AA14" s="3">
        <v>190.46381256042812</v>
      </c>
      <c r="AB14" s="3">
        <v>169.54558152918693</v>
      </c>
      <c r="AC14" s="3">
        <v>131.03322272076258</v>
      </c>
      <c r="AD14" s="3">
        <v>160.94493352693596</v>
      </c>
      <c r="AE14" s="3">
        <v>136.04897738171204</v>
      </c>
      <c r="AF14" s="3">
        <v>138.8094641151425</v>
      </c>
      <c r="AG14" s="3">
        <v>84.200757913910877</v>
      </c>
      <c r="AH14" s="3">
        <v>160.48842558027616</v>
      </c>
      <c r="AI14" s="3">
        <v>150.45371212478207</v>
      </c>
      <c r="AJ14" s="3">
        <v>111.98810425164379</v>
      </c>
      <c r="AK14" s="3">
        <v>159.69210255959342</v>
      </c>
      <c r="AL14" s="3">
        <v>142.20803511160594</v>
      </c>
      <c r="AM14" s="3">
        <v>118.9330917353977</v>
      </c>
      <c r="AN14" s="3">
        <v>185.41743168234743</v>
      </c>
      <c r="AO14" s="3">
        <v>317.37021874321988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</row>
    <row r="15" spans="1:222" ht="15" x14ac:dyDescent="0.25">
      <c r="A15" s="3"/>
      <c r="B15" s="133" t="s">
        <v>107</v>
      </c>
      <c r="C15" s="101"/>
      <c r="D15" s="3">
        <v>1314.1208180898211</v>
      </c>
      <c r="E15" s="3">
        <v>1330.083125486</v>
      </c>
      <c r="F15" s="3">
        <v>1311.6807255222739</v>
      </c>
      <c r="G15" s="3">
        <v>1761.7447010495887</v>
      </c>
      <c r="H15" s="3">
        <v>1496.9984587146398</v>
      </c>
      <c r="I15" s="3">
        <v>1572.009147292664</v>
      </c>
      <c r="J15" s="3">
        <v>1743.9125939250036</v>
      </c>
      <c r="K15" s="3">
        <v>1439.7490114227107</v>
      </c>
      <c r="L15" s="3">
        <v>1841.4212400030679</v>
      </c>
      <c r="M15" s="3">
        <v>1675.0823052231626</v>
      </c>
      <c r="N15" s="3">
        <v>1677.6730953630517</v>
      </c>
      <c r="O15" s="3">
        <v>1989.3988851463939</v>
      </c>
      <c r="P15" s="3">
        <v>1841.1675258020164</v>
      </c>
      <c r="Q15" s="3">
        <v>1701.1712436567936</v>
      </c>
      <c r="R15" s="3">
        <v>2113.4645074401833</v>
      </c>
      <c r="S15" s="3">
        <v>1374.6012390448295</v>
      </c>
      <c r="T15" s="3">
        <v>1682.2866296512309</v>
      </c>
      <c r="U15" s="3">
        <v>1933.4204818063263</v>
      </c>
      <c r="V15" s="3">
        <v>1856.5586856659586</v>
      </c>
      <c r="W15" s="3">
        <v>1834.0489654343676</v>
      </c>
      <c r="X15" s="3">
        <v>1848.1316784031972</v>
      </c>
      <c r="Y15" s="3">
        <v>2084.4382797500357</v>
      </c>
      <c r="Z15" s="3">
        <v>2220.5027245095662</v>
      </c>
      <c r="AA15" s="3">
        <v>2120.3191824441988</v>
      </c>
      <c r="AB15" s="3">
        <v>2040.0942005051513</v>
      </c>
      <c r="AC15" s="3">
        <v>2197.4085774312744</v>
      </c>
      <c r="AD15" s="3">
        <v>1737.916629541377</v>
      </c>
      <c r="AE15" s="3">
        <v>1926.7715608175042</v>
      </c>
      <c r="AF15" s="3">
        <v>2052.5348899004998</v>
      </c>
      <c r="AG15" s="3">
        <v>1925.6365280190339</v>
      </c>
      <c r="AH15" s="3">
        <v>2158.1367520765339</v>
      </c>
      <c r="AI15" s="3">
        <v>2171.912115186477</v>
      </c>
      <c r="AJ15" s="3">
        <v>1978.1359058845724</v>
      </c>
      <c r="AK15" s="3">
        <v>1823.7285257854348</v>
      </c>
      <c r="AL15" s="3">
        <v>1999.9731162595135</v>
      </c>
      <c r="AM15" s="3">
        <v>2065.8427032103982</v>
      </c>
      <c r="AN15" s="3">
        <v>2263.6051308555279</v>
      </c>
      <c r="AO15" s="3">
        <v>2315.0620774594749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</row>
    <row r="16" spans="1:222" ht="15" x14ac:dyDescent="0.25">
      <c r="A16" s="3"/>
      <c r="B16" s="134" t="s">
        <v>108</v>
      </c>
      <c r="C16" s="101"/>
      <c r="D16" s="3">
        <v>590.29815138928279</v>
      </c>
      <c r="E16" s="3">
        <v>541.96357629612385</v>
      </c>
      <c r="F16" s="3">
        <v>464.25292929859262</v>
      </c>
      <c r="G16" s="3">
        <v>473.08133753390462</v>
      </c>
      <c r="H16" s="3">
        <v>575.08903023894868</v>
      </c>
      <c r="I16" s="3">
        <v>579.7461179768469</v>
      </c>
      <c r="J16" s="3">
        <v>578.50493532477412</v>
      </c>
      <c r="K16" s="3">
        <v>642.73870508144171</v>
      </c>
      <c r="L16" s="3">
        <v>601.1903812447224</v>
      </c>
      <c r="M16" s="3">
        <v>545.03057349059623</v>
      </c>
      <c r="N16" s="3">
        <v>666.03927679061746</v>
      </c>
      <c r="O16" s="3">
        <v>670.24481855337024</v>
      </c>
      <c r="P16" s="3">
        <v>644.46136385767466</v>
      </c>
      <c r="Q16" s="3">
        <v>691.19619618514889</v>
      </c>
      <c r="R16" s="3">
        <v>680.93231773175751</v>
      </c>
      <c r="S16" s="3">
        <v>642.44511762499906</v>
      </c>
      <c r="T16" s="3">
        <v>712.89865059781812</v>
      </c>
      <c r="U16" s="3">
        <v>741.40182392465783</v>
      </c>
      <c r="V16" s="3">
        <v>707.57083900377154</v>
      </c>
      <c r="W16" s="3">
        <v>704.07631657145589</v>
      </c>
      <c r="X16" s="3">
        <v>743.12511836107933</v>
      </c>
      <c r="Y16" s="3">
        <v>815.46825255534986</v>
      </c>
      <c r="Z16" s="3">
        <v>809.16264670459077</v>
      </c>
      <c r="AA16" s="3">
        <v>859.2473170670238</v>
      </c>
      <c r="AB16" s="3">
        <v>918.10489837178375</v>
      </c>
      <c r="AC16" s="3">
        <v>921.43176352454964</v>
      </c>
      <c r="AD16" s="3">
        <v>1047.4740070547084</v>
      </c>
      <c r="AE16" s="3">
        <v>1328.7249700218363</v>
      </c>
      <c r="AF16" s="3">
        <v>1208.3377580526751</v>
      </c>
      <c r="AG16" s="3">
        <v>1210.8408516892739</v>
      </c>
      <c r="AH16" s="3">
        <v>1293.8726280585222</v>
      </c>
      <c r="AI16" s="3">
        <v>1099.4778497866882</v>
      </c>
      <c r="AJ16" s="3">
        <v>1251.614083043851</v>
      </c>
      <c r="AK16" s="3">
        <v>1312.1529879693296</v>
      </c>
      <c r="AL16" s="3">
        <v>1365.1140149151918</v>
      </c>
      <c r="AM16" s="3">
        <v>1304.108529959087</v>
      </c>
      <c r="AN16" s="3">
        <v>1267.5676711336012</v>
      </c>
      <c r="AO16" s="3">
        <v>1385.8624852406185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</row>
    <row r="17" spans="1:222" ht="15" x14ac:dyDescent="0.25">
      <c r="A17" s="3"/>
      <c r="B17" s="132" t="s">
        <v>109</v>
      </c>
      <c r="C17" s="101"/>
      <c r="D17" s="99">
        <v>143.26373410504686</v>
      </c>
      <c r="E17" s="99">
        <v>149.7478987204195</v>
      </c>
      <c r="F17" s="99">
        <v>156.79823173924783</v>
      </c>
      <c r="G17" s="99">
        <v>160.209592156561</v>
      </c>
      <c r="H17" s="99">
        <v>164.90193719607203</v>
      </c>
      <c r="I17" s="99">
        <v>168.53707445085851</v>
      </c>
      <c r="J17" s="99">
        <v>176.92827149564226</v>
      </c>
      <c r="K17" s="99">
        <v>186.51083636900103</v>
      </c>
      <c r="L17" s="99">
        <v>197.68391760317698</v>
      </c>
      <c r="M17" s="99">
        <v>202.19717430797999</v>
      </c>
      <c r="N17" s="99">
        <v>203.1785104423017</v>
      </c>
      <c r="O17" s="99">
        <v>225.08420118129271</v>
      </c>
      <c r="P17" s="99">
        <v>249.12593731122772</v>
      </c>
      <c r="Q17" s="99">
        <v>261.28143423489951</v>
      </c>
      <c r="R17" s="99">
        <v>253.16339045359015</v>
      </c>
      <c r="S17" s="99">
        <v>211.00387812145942</v>
      </c>
      <c r="T17" s="99">
        <v>7.2211969941414509</v>
      </c>
      <c r="U17" s="99">
        <v>81.381699982374926</v>
      </c>
      <c r="V17" s="99">
        <v>296.13745655530408</v>
      </c>
      <c r="W17" s="99">
        <v>722.01631357636893</v>
      </c>
      <c r="X17" s="99">
        <v>298.79731453089647</v>
      </c>
      <c r="Y17" s="99">
        <v>306.68710102388434</v>
      </c>
      <c r="Z17" s="99">
        <v>304.10788398025727</v>
      </c>
      <c r="AA17" s="99">
        <v>316.42146877898887</v>
      </c>
      <c r="AB17" s="99">
        <v>673.65772277347594</v>
      </c>
      <c r="AC17" s="99">
        <v>344.05588941390437</v>
      </c>
      <c r="AD17" s="99">
        <v>335.87789986205314</v>
      </c>
      <c r="AE17" s="99">
        <v>-14.856839181898067</v>
      </c>
      <c r="AF17" s="99">
        <v>143.3960464294712</v>
      </c>
      <c r="AG17" s="99">
        <v>352.10641109708683</v>
      </c>
      <c r="AH17" s="99">
        <v>465.64658408101116</v>
      </c>
      <c r="AI17" s="99">
        <v>577.42083156908075</v>
      </c>
      <c r="AJ17" s="99">
        <v>515.65601473501522</v>
      </c>
      <c r="AK17" s="99">
        <v>467.56130131528283</v>
      </c>
      <c r="AL17" s="99">
        <v>424.26313247727205</v>
      </c>
      <c r="AM17" s="99">
        <v>392.52458316984973</v>
      </c>
      <c r="AN17" s="99">
        <v>384.79868204630372</v>
      </c>
      <c r="AO17" s="99">
        <v>386.70702520996929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</row>
    <row r="18" spans="1:222" ht="15" x14ac:dyDescent="0.25">
      <c r="A18" s="131"/>
      <c r="B18" s="132" t="s">
        <v>110</v>
      </c>
      <c r="C18" s="131"/>
      <c r="D18" s="99">
        <v>-1158.2575651191596</v>
      </c>
      <c r="E18" s="99">
        <v>-506.84381597525589</v>
      </c>
      <c r="F18" s="99">
        <v>-686.14851475520027</v>
      </c>
      <c r="G18" s="99">
        <v>-1515.5043011038306</v>
      </c>
      <c r="H18" s="99">
        <v>-1711.2388164653776</v>
      </c>
      <c r="I18" s="99">
        <v>-1828.3018739181343</v>
      </c>
      <c r="J18" s="99">
        <v>-1988.2894758857319</v>
      </c>
      <c r="K18" s="99">
        <v>-2313.2373671367513</v>
      </c>
      <c r="L18" s="99">
        <v>-1955.1305005547301</v>
      </c>
      <c r="M18" s="99">
        <v>-2141.9084988913655</v>
      </c>
      <c r="N18" s="99">
        <v>-1222.5354537320954</v>
      </c>
      <c r="O18" s="99">
        <v>-1518.2956241508418</v>
      </c>
      <c r="P18" s="99">
        <v>-1462.1084322268416</v>
      </c>
      <c r="Q18" s="99">
        <v>-1491.9519026921516</v>
      </c>
      <c r="R18" s="99">
        <v>-2757.2773498415427</v>
      </c>
      <c r="S18" s="99">
        <v>-2932.4367227144498</v>
      </c>
      <c r="T18" s="99">
        <v>-3113.8560130747655</v>
      </c>
      <c r="U18" s="99">
        <v>-4260.995455871488</v>
      </c>
      <c r="V18" s="99">
        <v>-2759.528681795714</v>
      </c>
      <c r="W18" s="99">
        <v>-5036.2798676395614</v>
      </c>
      <c r="X18" s="99">
        <v>-3359.2847153688817</v>
      </c>
      <c r="Y18" s="99">
        <v>-4221.4792803010469</v>
      </c>
      <c r="Z18" s="99">
        <v>-4633.9631513592331</v>
      </c>
      <c r="AA18" s="99">
        <v>-4865.7893267467207</v>
      </c>
      <c r="AB18" s="99">
        <v>-4971.483488660826</v>
      </c>
      <c r="AC18" s="99">
        <v>-4574.5371029698963</v>
      </c>
      <c r="AD18" s="99">
        <v>-4574.6216865905426</v>
      </c>
      <c r="AE18" s="99">
        <v>-4384.7947559790991</v>
      </c>
      <c r="AF18" s="99">
        <v>-4612.7050598817814</v>
      </c>
      <c r="AG18" s="99">
        <v>-4632.5851548971596</v>
      </c>
      <c r="AH18" s="99">
        <v>-5228.12865307432</v>
      </c>
      <c r="AI18" s="99">
        <v>-4108.8393164607623</v>
      </c>
      <c r="AJ18" s="99">
        <v>-4258.9175597320973</v>
      </c>
      <c r="AK18" s="99">
        <v>-5819.8804088029792</v>
      </c>
      <c r="AL18" s="99">
        <v>-4236.8801585703186</v>
      </c>
      <c r="AM18" s="99">
        <v>-2319.2077314225571</v>
      </c>
      <c r="AN18" s="99">
        <v>-4390.1663452452194</v>
      </c>
      <c r="AO18" s="99">
        <v>-2981.0356729573432</v>
      </c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1"/>
      <c r="BT18" s="131"/>
      <c r="BU18" s="131"/>
      <c r="BV18" s="131"/>
      <c r="BW18" s="131"/>
      <c r="BX18" s="131"/>
      <c r="BY18" s="131"/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  <c r="CY18" s="131"/>
      <c r="CZ18" s="131"/>
      <c r="DA18" s="131"/>
      <c r="DB18" s="131"/>
      <c r="DC18" s="131"/>
      <c r="DD18" s="131"/>
      <c r="DE18" s="131"/>
      <c r="DF18" s="131"/>
      <c r="DG18" s="131"/>
      <c r="DH18" s="131"/>
      <c r="DI18" s="131"/>
      <c r="DJ18" s="131"/>
      <c r="DK18" s="131"/>
      <c r="DL18" s="131"/>
      <c r="DM18" s="131"/>
      <c r="DN18" s="131"/>
      <c r="DO18" s="131"/>
      <c r="DP18" s="131"/>
      <c r="DQ18" s="131"/>
      <c r="DR18" s="131"/>
      <c r="DS18" s="131"/>
      <c r="DT18" s="131"/>
      <c r="DU18" s="131"/>
      <c r="DV18" s="131"/>
      <c r="DW18" s="131"/>
      <c r="DX18" s="131"/>
      <c r="DY18" s="131"/>
      <c r="DZ18" s="131"/>
      <c r="EA18" s="131"/>
      <c r="EB18" s="131"/>
      <c r="EC18" s="131"/>
      <c r="ED18" s="131"/>
      <c r="EE18" s="131"/>
      <c r="EF18" s="131"/>
      <c r="EG18" s="131"/>
      <c r="EH18" s="131"/>
      <c r="EI18" s="131"/>
      <c r="EJ18" s="131"/>
      <c r="EK18" s="131"/>
      <c r="EL18" s="131"/>
      <c r="EM18" s="131"/>
      <c r="EN18" s="131"/>
      <c r="EO18" s="131"/>
      <c r="EP18" s="131"/>
      <c r="EQ18" s="131"/>
      <c r="ER18" s="131"/>
      <c r="ES18" s="131"/>
      <c r="ET18" s="131"/>
      <c r="EU18" s="131"/>
      <c r="EV18" s="131"/>
      <c r="EW18" s="131"/>
      <c r="EX18" s="131"/>
      <c r="EY18" s="131"/>
      <c r="EZ18" s="131"/>
      <c r="FA18" s="131"/>
      <c r="FB18" s="131"/>
      <c r="FC18" s="131"/>
      <c r="FD18" s="131"/>
      <c r="FE18" s="131"/>
      <c r="FF18" s="131"/>
      <c r="FG18" s="131"/>
      <c r="FH18" s="131"/>
      <c r="FI18" s="131"/>
      <c r="FJ18" s="131"/>
      <c r="FK18" s="131"/>
      <c r="FL18" s="131"/>
      <c r="FM18" s="131"/>
      <c r="FN18" s="131"/>
      <c r="FO18" s="131"/>
      <c r="FP18" s="131"/>
      <c r="FQ18" s="131"/>
      <c r="FR18" s="131"/>
      <c r="FS18" s="131"/>
      <c r="FT18" s="131"/>
      <c r="FU18" s="131"/>
      <c r="FV18" s="131"/>
      <c r="FW18" s="131"/>
      <c r="FX18" s="131"/>
      <c r="FY18" s="131"/>
      <c r="FZ18" s="131"/>
      <c r="GA18" s="131"/>
      <c r="GB18" s="131"/>
      <c r="GC18" s="131"/>
      <c r="GD18" s="131"/>
      <c r="GE18" s="131"/>
      <c r="GF18" s="131"/>
      <c r="GG18" s="131"/>
      <c r="GH18" s="131"/>
      <c r="GI18" s="131"/>
      <c r="GJ18" s="131"/>
      <c r="GK18" s="131"/>
      <c r="GL18" s="131"/>
      <c r="GM18" s="131"/>
      <c r="GN18" s="131"/>
      <c r="GO18" s="131"/>
      <c r="GP18" s="131"/>
      <c r="GQ18" s="131"/>
      <c r="GR18" s="131"/>
      <c r="GS18" s="131"/>
      <c r="GT18" s="131"/>
      <c r="GU18" s="131"/>
      <c r="GV18" s="131"/>
      <c r="GW18" s="131"/>
      <c r="GX18" s="131"/>
      <c r="GY18" s="131"/>
      <c r="GZ18" s="131"/>
      <c r="HA18" s="131"/>
      <c r="HB18" s="131"/>
      <c r="HC18" s="131"/>
      <c r="HD18" s="131"/>
      <c r="HE18" s="131"/>
      <c r="HF18" s="131"/>
      <c r="HG18" s="131"/>
      <c r="HH18" s="131"/>
      <c r="HI18" s="131"/>
      <c r="HJ18" s="131"/>
      <c r="HK18" s="131"/>
      <c r="HL18" s="131"/>
      <c r="HM18" s="131"/>
      <c r="HN18" s="131"/>
    </row>
    <row r="19" spans="1:222" ht="15" x14ac:dyDescent="0.25">
      <c r="A19" s="131"/>
      <c r="B19" s="135" t="s">
        <v>111</v>
      </c>
      <c r="C19" s="131"/>
      <c r="D19" s="3">
        <v>3988.0540731939077</v>
      </c>
      <c r="E19" s="3">
        <v>4635.6185185502045</v>
      </c>
      <c r="F19" s="3">
        <v>4703.911095653013</v>
      </c>
      <c r="G19" s="3">
        <v>4750.9229456425364</v>
      </c>
      <c r="H19" s="3">
        <v>4268.7544355497112</v>
      </c>
      <c r="I19" s="3">
        <v>4602.4005104098769</v>
      </c>
      <c r="J19" s="3">
        <v>4546.8586962517984</v>
      </c>
      <c r="K19" s="3">
        <v>4753.2351767124674</v>
      </c>
      <c r="L19" s="3">
        <v>5159.3240971341174</v>
      </c>
      <c r="M19" s="3">
        <v>5365.8186457772863</v>
      </c>
      <c r="N19" s="3">
        <v>6503.8405988982095</v>
      </c>
      <c r="O19" s="3">
        <v>5543.4134362483728</v>
      </c>
      <c r="P19" s="3">
        <v>5923.7970940183504</v>
      </c>
      <c r="Q19" s="3">
        <v>5995.3591705258004</v>
      </c>
      <c r="R19" s="3">
        <v>5882.620163683172</v>
      </c>
      <c r="S19" s="3">
        <v>3698.6044052617112</v>
      </c>
      <c r="T19" s="3">
        <v>5563.955017107538</v>
      </c>
      <c r="U19" s="3">
        <v>5527.483401972876</v>
      </c>
      <c r="V19" s="3">
        <v>5991.3619458123494</v>
      </c>
      <c r="W19" s="3">
        <v>6288.9258745912448</v>
      </c>
      <c r="X19" s="3">
        <v>4614.4902959946648</v>
      </c>
      <c r="Y19" s="3">
        <v>4788.0265845626209</v>
      </c>
      <c r="Z19" s="3">
        <v>5040.0517960925235</v>
      </c>
      <c r="AA19" s="3">
        <v>5095.9651522537333</v>
      </c>
      <c r="AB19" s="3">
        <v>5113.0128866348605</v>
      </c>
      <c r="AC19" s="3">
        <v>4439.3954291481023</v>
      </c>
      <c r="AD19" s="3">
        <v>5287.27050680293</v>
      </c>
      <c r="AE19" s="3">
        <v>6378.4440612005837</v>
      </c>
      <c r="AF19" s="3">
        <v>7097.5071634242386</v>
      </c>
      <c r="AG19" s="3">
        <v>7946.6499384540975</v>
      </c>
      <c r="AH19" s="3">
        <v>8637.6256419115525</v>
      </c>
      <c r="AI19" s="3">
        <v>10449.691558435468</v>
      </c>
      <c r="AJ19" s="3">
        <v>10708.75097826785</v>
      </c>
      <c r="AK19" s="3">
        <v>10574.115399486062</v>
      </c>
      <c r="AL19" s="3">
        <v>11217.688880341557</v>
      </c>
      <c r="AM19" s="3">
        <v>16346.37909590422</v>
      </c>
      <c r="AN19" s="3">
        <v>15230.256293827144</v>
      </c>
      <c r="AO19" s="3">
        <v>18165.646678337467</v>
      </c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1"/>
      <c r="BT19" s="131"/>
      <c r="BU19" s="131"/>
      <c r="BV19" s="131"/>
      <c r="BW19" s="131"/>
      <c r="BX19" s="131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31"/>
      <c r="EN19" s="131"/>
      <c r="EO19" s="131"/>
      <c r="EP19" s="131"/>
      <c r="EQ19" s="131"/>
      <c r="ER19" s="131"/>
      <c r="ES19" s="131"/>
      <c r="ET19" s="131"/>
      <c r="EU19" s="131"/>
      <c r="EV19" s="131"/>
      <c r="EW19" s="131"/>
      <c r="EX19" s="131"/>
      <c r="EY19" s="131"/>
      <c r="EZ19" s="131"/>
      <c r="FA19" s="131"/>
      <c r="FB19" s="131"/>
      <c r="FC19" s="131"/>
      <c r="FD19" s="131"/>
      <c r="FE19" s="131"/>
      <c r="FF19" s="131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131"/>
      <c r="GE19" s="131"/>
      <c r="GF19" s="131"/>
      <c r="GG19" s="131"/>
      <c r="GH19" s="131"/>
      <c r="GI19" s="131"/>
      <c r="GJ19" s="131"/>
      <c r="GK19" s="131"/>
      <c r="GL19" s="131"/>
      <c r="GM19" s="131"/>
      <c r="GN19" s="131"/>
      <c r="GO19" s="131"/>
      <c r="GP19" s="131"/>
      <c r="GQ19" s="131"/>
      <c r="GR19" s="131"/>
      <c r="GS19" s="131"/>
      <c r="GT19" s="131"/>
      <c r="GU19" s="131"/>
      <c r="GV19" s="131"/>
      <c r="GW19" s="131"/>
      <c r="GX19" s="131"/>
      <c r="GY19" s="131"/>
      <c r="GZ19" s="131"/>
      <c r="HA19" s="131"/>
      <c r="HB19" s="131"/>
      <c r="HC19" s="131"/>
      <c r="HD19" s="131"/>
      <c r="HE19" s="131"/>
      <c r="HF19" s="131"/>
      <c r="HG19" s="131"/>
      <c r="HH19" s="131"/>
      <c r="HI19" s="131"/>
      <c r="HJ19" s="131"/>
      <c r="HK19" s="131"/>
      <c r="HL19" s="131"/>
      <c r="HM19" s="131"/>
      <c r="HN19" s="131"/>
    </row>
    <row r="20" spans="1:222" ht="15" x14ac:dyDescent="0.25">
      <c r="A20" s="3"/>
      <c r="B20" s="133" t="s">
        <v>112</v>
      </c>
      <c r="C20" s="3"/>
      <c r="D20" s="3">
        <v>2478.8282263692654</v>
      </c>
      <c r="E20" s="3">
        <v>3102.0604612597226</v>
      </c>
      <c r="F20" s="3">
        <v>2938.9689984333845</v>
      </c>
      <c r="G20" s="3">
        <v>3021.78967072347</v>
      </c>
      <c r="H20" s="3">
        <v>2622.2435399023066</v>
      </c>
      <c r="I20" s="3">
        <v>2784.5088416597764</v>
      </c>
      <c r="J20" s="3">
        <v>2848.5429429314881</v>
      </c>
      <c r="K20" s="3">
        <v>2968.1225911577776</v>
      </c>
      <c r="L20" s="3">
        <v>3248.2347589820174</v>
      </c>
      <c r="M20" s="3">
        <v>3536.7263646152155</v>
      </c>
      <c r="N20" s="3">
        <v>4785.653363904652</v>
      </c>
      <c r="O20" s="3">
        <v>3742.7344285034051</v>
      </c>
      <c r="P20" s="3">
        <v>3790.4329047251235</v>
      </c>
      <c r="Q20" s="3">
        <v>3851.8830674266746</v>
      </c>
      <c r="R20" s="3">
        <v>3983.9387953592204</v>
      </c>
      <c r="S20" s="3">
        <v>3147.3445215704028</v>
      </c>
      <c r="T20" s="3">
        <v>4589.3051919772224</v>
      </c>
      <c r="U20" s="3">
        <v>4313.5248969603817</v>
      </c>
      <c r="V20" s="3">
        <v>4478.4684266964869</v>
      </c>
      <c r="W20" s="3">
        <v>4726.3788929541342</v>
      </c>
      <c r="X20" s="3">
        <v>3205.3035873038111</v>
      </c>
      <c r="Y20" s="3">
        <v>3396.1665636953007</v>
      </c>
      <c r="Z20" s="3">
        <v>3604.3660352452912</v>
      </c>
      <c r="AA20" s="3">
        <v>3704.5831520322822</v>
      </c>
      <c r="AB20" s="3">
        <v>3873.7701052435546</v>
      </c>
      <c r="AC20" s="3">
        <v>3120.8123496536527</v>
      </c>
      <c r="AD20" s="3">
        <v>4008.0313922424962</v>
      </c>
      <c r="AE20" s="3">
        <v>4822.416649184267</v>
      </c>
      <c r="AF20" s="3">
        <v>5343.3449312482699</v>
      </c>
      <c r="AG20" s="3">
        <v>5900.0449110261379</v>
      </c>
      <c r="AH20" s="3">
        <v>6295.4369698649325</v>
      </c>
      <c r="AI20" s="3">
        <v>8055.5071981991114</v>
      </c>
      <c r="AJ20" s="3">
        <v>8337.2012787017902</v>
      </c>
      <c r="AK20" s="3">
        <v>8173.3704414983267</v>
      </c>
      <c r="AL20" s="3">
        <v>8725.5741769117976</v>
      </c>
      <c r="AM20" s="3">
        <v>13881.259173811641</v>
      </c>
      <c r="AN20" s="3">
        <v>12720.141865099136</v>
      </c>
      <c r="AO20" s="3">
        <v>15908.871273091154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</row>
    <row r="21" spans="1:222" ht="15" x14ac:dyDescent="0.25">
      <c r="A21" s="3"/>
      <c r="B21" s="133" t="s">
        <v>113</v>
      </c>
      <c r="C21" s="3"/>
      <c r="D21" s="3">
        <v>1509.2258468246423</v>
      </c>
      <c r="E21" s="3">
        <v>1533.5580572904821</v>
      </c>
      <c r="F21" s="3">
        <v>1764.9420972196281</v>
      </c>
      <c r="G21" s="3">
        <v>1729.1332749190669</v>
      </c>
      <c r="H21" s="3">
        <v>1646.5108956474046</v>
      </c>
      <c r="I21" s="3">
        <v>1817.8916687501007</v>
      </c>
      <c r="J21" s="3">
        <v>1698.31575332031</v>
      </c>
      <c r="K21" s="3">
        <v>1785.1125855546898</v>
      </c>
      <c r="L21" s="3">
        <v>1911.0893381521003</v>
      </c>
      <c r="M21" s="3">
        <v>1829.0922811620705</v>
      </c>
      <c r="N21" s="3">
        <v>1718.1872349935572</v>
      </c>
      <c r="O21" s="3">
        <v>1800.679007744968</v>
      </c>
      <c r="P21" s="3">
        <v>2133.3641892932269</v>
      </c>
      <c r="Q21" s="3">
        <v>2143.4761030991253</v>
      </c>
      <c r="R21" s="3">
        <v>1898.6813683239511</v>
      </c>
      <c r="S21" s="3">
        <v>551.25988369130846</v>
      </c>
      <c r="T21" s="3">
        <v>974.64982513031566</v>
      </c>
      <c r="U21" s="3">
        <v>1213.958505012494</v>
      </c>
      <c r="V21" s="3">
        <v>1512.8935191158628</v>
      </c>
      <c r="W21" s="3">
        <v>1562.5469816371103</v>
      </c>
      <c r="X21" s="3">
        <v>1409.1867086908535</v>
      </c>
      <c r="Y21" s="3">
        <v>1391.8600208673201</v>
      </c>
      <c r="Z21" s="3">
        <v>1435.6857608472321</v>
      </c>
      <c r="AA21" s="3">
        <v>1391.3820002214516</v>
      </c>
      <c r="AB21" s="3">
        <v>1239.2427813913055</v>
      </c>
      <c r="AC21" s="3">
        <v>1318.5830794944493</v>
      </c>
      <c r="AD21" s="3">
        <v>1279.2391145604338</v>
      </c>
      <c r="AE21" s="3">
        <v>1556.0274120163162</v>
      </c>
      <c r="AF21" s="3">
        <v>1754.1622321759685</v>
      </c>
      <c r="AG21" s="3">
        <v>2046.6050274279596</v>
      </c>
      <c r="AH21" s="3">
        <v>2342.18867204662</v>
      </c>
      <c r="AI21" s="3">
        <v>2394.1843602363565</v>
      </c>
      <c r="AJ21" s="3">
        <v>2371.5496995660606</v>
      </c>
      <c r="AK21" s="3">
        <v>2400.7449579877339</v>
      </c>
      <c r="AL21" s="3">
        <v>2492.1147034297601</v>
      </c>
      <c r="AM21" s="3">
        <v>2465.1199220925801</v>
      </c>
      <c r="AN21" s="3">
        <v>2510.1144287280072</v>
      </c>
      <c r="AO21" s="3">
        <v>2256.7754052463129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</row>
    <row r="22" spans="1:222" ht="15" x14ac:dyDescent="0.25">
      <c r="A22" s="131"/>
      <c r="B22" s="135" t="s">
        <v>114</v>
      </c>
      <c r="C22" s="131"/>
      <c r="D22" s="3">
        <v>5146.3116383130673</v>
      </c>
      <c r="E22" s="3">
        <v>5142.4623345254604</v>
      </c>
      <c r="F22" s="3">
        <v>5390.0596104082133</v>
      </c>
      <c r="G22" s="3">
        <v>6266.427246746367</v>
      </c>
      <c r="H22" s="3">
        <v>5979.9932520150887</v>
      </c>
      <c r="I22" s="3">
        <v>6430.7023843280112</v>
      </c>
      <c r="J22" s="3">
        <v>6535.1481721375303</v>
      </c>
      <c r="K22" s="3">
        <v>7066.4725438492187</v>
      </c>
      <c r="L22" s="3">
        <v>7114.4545976888476</v>
      </c>
      <c r="M22" s="3">
        <v>7507.7271446686518</v>
      </c>
      <c r="N22" s="3">
        <v>7726.3760526303049</v>
      </c>
      <c r="O22" s="3">
        <v>7061.7090603992146</v>
      </c>
      <c r="P22" s="3">
        <v>7385.905526245192</v>
      </c>
      <c r="Q22" s="3">
        <v>7487.3110732179521</v>
      </c>
      <c r="R22" s="3">
        <v>8639.8975135247147</v>
      </c>
      <c r="S22" s="3">
        <v>6631.0411279761611</v>
      </c>
      <c r="T22" s="3">
        <v>8677.8110301823035</v>
      </c>
      <c r="U22" s="3">
        <v>9788.478857844364</v>
      </c>
      <c r="V22" s="3">
        <v>8750.8906276080634</v>
      </c>
      <c r="W22" s="3">
        <v>11325.205742230806</v>
      </c>
      <c r="X22" s="3">
        <v>7973.7750113635466</v>
      </c>
      <c r="Y22" s="3">
        <v>9009.5058648636677</v>
      </c>
      <c r="Z22" s="3">
        <v>9674.0149474517566</v>
      </c>
      <c r="AA22" s="3">
        <v>9961.754479000454</v>
      </c>
      <c r="AB22" s="3">
        <v>10084.496375295686</v>
      </c>
      <c r="AC22" s="3">
        <v>9013.9325321179986</v>
      </c>
      <c r="AD22" s="3">
        <v>9861.8921933934726</v>
      </c>
      <c r="AE22" s="3">
        <v>10763.238817179683</v>
      </c>
      <c r="AF22" s="3">
        <v>11710.21222330602</v>
      </c>
      <c r="AG22" s="3">
        <v>12579.235093351257</v>
      </c>
      <c r="AH22" s="3">
        <v>13865.754294985873</v>
      </c>
      <c r="AI22" s="3">
        <v>14558.530874896231</v>
      </c>
      <c r="AJ22" s="3">
        <v>14967.668537999947</v>
      </c>
      <c r="AK22" s="3">
        <v>16393.995808289041</v>
      </c>
      <c r="AL22" s="3">
        <v>15454.569038911875</v>
      </c>
      <c r="AM22" s="3">
        <v>18665.586827326777</v>
      </c>
      <c r="AN22" s="3">
        <v>19620.422639072363</v>
      </c>
      <c r="AO22" s="3">
        <v>21146.68235129481</v>
      </c>
      <c r="AP22" s="131"/>
      <c r="AQ22" s="131"/>
      <c r="AR22" s="131"/>
      <c r="AS22" s="131"/>
      <c r="AT22" s="131"/>
      <c r="AU22" s="131"/>
      <c r="AV22" s="131"/>
      <c r="AW22" s="131"/>
      <c r="AX22" s="131"/>
      <c r="AY22" s="131"/>
      <c r="AZ22" s="131"/>
      <c r="BA22" s="131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1"/>
      <c r="BT22" s="131"/>
      <c r="BU22" s="131"/>
      <c r="BV22" s="131"/>
      <c r="BW22" s="131"/>
      <c r="BX22" s="131"/>
      <c r="BY22" s="131"/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1"/>
      <c r="DF22" s="131"/>
      <c r="DG22" s="131"/>
      <c r="DH22" s="131"/>
      <c r="DI22" s="131"/>
      <c r="DJ22" s="131"/>
      <c r="DK22" s="131"/>
      <c r="DL22" s="131"/>
      <c r="DM22" s="131"/>
      <c r="DN22" s="131"/>
      <c r="DO22" s="131"/>
      <c r="DP22" s="131"/>
      <c r="DQ22" s="131"/>
      <c r="DR22" s="131"/>
      <c r="DS22" s="131"/>
      <c r="DT22" s="131"/>
      <c r="DU22" s="131"/>
      <c r="DV22" s="131"/>
      <c r="DW22" s="131"/>
      <c r="DX22" s="131"/>
      <c r="DY22" s="131"/>
      <c r="DZ22" s="131"/>
      <c r="EA22" s="131"/>
      <c r="EB22" s="131"/>
      <c r="EC22" s="131"/>
      <c r="ED22" s="131"/>
      <c r="EE22" s="131"/>
      <c r="EF22" s="131"/>
      <c r="EG22" s="131"/>
      <c r="EH22" s="131"/>
      <c r="EI22" s="131"/>
      <c r="EJ22" s="131"/>
      <c r="EK22" s="131"/>
      <c r="EL22" s="131"/>
      <c r="EM22" s="131"/>
      <c r="EN22" s="131"/>
      <c r="EO22" s="131"/>
      <c r="EP22" s="131"/>
      <c r="EQ22" s="131"/>
      <c r="ER22" s="131"/>
      <c r="ES22" s="131"/>
      <c r="ET22" s="131"/>
      <c r="EU22" s="131"/>
      <c r="EV22" s="131"/>
      <c r="EW22" s="131"/>
      <c r="EX22" s="131"/>
      <c r="EY22" s="131"/>
      <c r="EZ22" s="131"/>
      <c r="FA22" s="131"/>
      <c r="FB22" s="131"/>
      <c r="FC22" s="131"/>
      <c r="FD22" s="131"/>
      <c r="FE22" s="131"/>
      <c r="FF22" s="131"/>
      <c r="FG22" s="131"/>
      <c r="FH22" s="131"/>
      <c r="FI22" s="131"/>
      <c r="FJ22" s="131"/>
      <c r="FK22" s="131"/>
      <c r="FL22" s="131"/>
      <c r="FM22" s="131"/>
      <c r="FN22" s="131"/>
      <c r="FO22" s="131"/>
      <c r="FP22" s="131"/>
      <c r="FQ22" s="131"/>
      <c r="FR22" s="131"/>
      <c r="FS22" s="131"/>
      <c r="FT22" s="131"/>
      <c r="FU22" s="131"/>
      <c r="FV22" s="131"/>
      <c r="FW22" s="131"/>
      <c r="FX22" s="131"/>
      <c r="FY22" s="131"/>
      <c r="FZ22" s="131"/>
      <c r="GA22" s="131"/>
      <c r="GB22" s="131"/>
      <c r="GC22" s="131"/>
      <c r="GD22" s="131"/>
      <c r="GE22" s="131"/>
      <c r="GF22" s="131"/>
      <c r="GG22" s="131"/>
      <c r="GH22" s="131"/>
      <c r="GI22" s="131"/>
      <c r="GJ22" s="131"/>
      <c r="GK22" s="131"/>
      <c r="GL22" s="131"/>
      <c r="GM22" s="131"/>
      <c r="GN22" s="131"/>
      <c r="GO22" s="131"/>
      <c r="GP22" s="131"/>
      <c r="GQ22" s="131"/>
      <c r="GR22" s="131"/>
      <c r="GS22" s="131"/>
      <c r="GT22" s="131"/>
      <c r="GU22" s="131"/>
      <c r="GV22" s="131"/>
      <c r="GW22" s="131"/>
      <c r="GX22" s="131"/>
      <c r="GY22" s="131"/>
      <c r="GZ22" s="131"/>
      <c r="HA22" s="131"/>
      <c r="HB22" s="131"/>
      <c r="HC22" s="131"/>
      <c r="HD22" s="131"/>
      <c r="HE22" s="131"/>
      <c r="HF22" s="131"/>
      <c r="HG22" s="131"/>
      <c r="HH22" s="131"/>
      <c r="HI22" s="131"/>
      <c r="HJ22" s="131"/>
      <c r="HK22" s="131"/>
      <c r="HL22" s="131"/>
      <c r="HM22" s="131"/>
      <c r="HN22" s="131"/>
    </row>
    <row r="23" spans="1:222" ht="15" x14ac:dyDescent="0.25">
      <c r="A23" s="3"/>
      <c r="B23" s="133" t="s">
        <v>112</v>
      </c>
      <c r="C23" s="3"/>
      <c r="D23" s="3">
        <v>3417.5124056246523</v>
      </c>
      <c r="E23" s="3">
        <v>3358.6126581443536</v>
      </c>
      <c r="F23" s="3">
        <v>3573.6491563306845</v>
      </c>
      <c r="G23" s="3">
        <v>4187.1576633357936</v>
      </c>
      <c r="H23" s="3">
        <v>4038.5881270441027</v>
      </c>
      <c r="I23" s="3">
        <v>4310.1923684589829</v>
      </c>
      <c r="J23" s="3">
        <v>4506.0539681711734</v>
      </c>
      <c r="K23" s="3">
        <v>4833.1543895833001</v>
      </c>
      <c r="L23" s="3">
        <v>4567.1210095813631</v>
      </c>
      <c r="M23" s="3">
        <v>4890.2415454947559</v>
      </c>
      <c r="N23" s="3">
        <v>5046.0084425303567</v>
      </c>
      <c r="O23" s="3">
        <v>4656.3455287080169</v>
      </c>
      <c r="P23" s="3">
        <v>4819.9484852347923</v>
      </c>
      <c r="Q23" s="3">
        <v>5029.7876842375299</v>
      </c>
      <c r="R23" s="3">
        <v>5251.902396099933</v>
      </c>
      <c r="S23" s="3">
        <v>4464.5244818468464</v>
      </c>
      <c r="T23" s="3">
        <v>6012.7937671635136</v>
      </c>
      <c r="U23" s="3">
        <v>6476.245799048902</v>
      </c>
      <c r="V23" s="3">
        <v>5836.1508514032912</v>
      </c>
      <c r="W23" s="3">
        <v>8088.5125390387948</v>
      </c>
      <c r="X23" s="3">
        <v>5123.4235867988236</v>
      </c>
      <c r="Y23" s="3">
        <v>6184.1206490591703</v>
      </c>
      <c r="Z23" s="3">
        <v>6612.7989067519238</v>
      </c>
      <c r="AA23" s="3">
        <v>6862.4443837722683</v>
      </c>
      <c r="AB23" s="3">
        <v>6751.5819412237352</v>
      </c>
      <c r="AC23" s="3">
        <v>6007.1293561762814</v>
      </c>
      <c r="AD23" s="3">
        <v>6616.4765541257339</v>
      </c>
      <c r="AE23" s="3">
        <v>7517.9224772453781</v>
      </c>
      <c r="AF23" s="3">
        <v>8269.0133221209035</v>
      </c>
      <c r="AG23" s="3">
        <v>8846.9117464021092</v>
      </c>
      <c r="AH23" s="3">
        <v>9741.481545247565</v>
      </c>
      <c r="AI23" s="3">
        <v>10248.403812693881</v>
      </c>
      <c r="AJ23" s="3">
        <v>10943.561047856279</v>
      </c>
      <c r="AK23" s="3">
        <v>12155.082573351116</v>
      </c>
      <c r="AL23" s="3">
        <v>11346.017876107042</v>
      </c>
      <c r="AM23" s="3">
        <v>14125.750781831863</v>
      </c>
      <c r="AN23" s="3">
        <v>14300.48509916486</v>
      </c>
      <c r="AO23" s="3">
        <v>15882.531529531316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</row>
    <row r="24" spans="1:222" ht="15" x14ac:dyDescent="0.25">
      <c r="A24" s="3"/>
      <c r="B24" s="133" t="s">
        <v>113</v>
      </c>
      <c r="C24" s="3"/>
      <c r="D24" s="3">
        <v>1728.7992326884155</v>
      </c>
      <c r="E24" s="3">
        <v>1783.8496763811067</v>
      </c>
      <c r="F24" s="3">
        <v>1816.410454077529</v>
      </c>
      <c r="G24" s="3">
        <v>2079.2695834105739</v>
      </c>
      <c r="H24" s="3">
        <v>1941.405124970986</v>
      </c>
      <c r="I24" s="3">
        <v>2120.5100158690284</v>
      </c>
      <c r="J24" s="3">
        <v>2029.0942039663569</v>
      </c>
      <c r="K24" s="3">
        <v>2233.3181542659181</v>
      </c>
      <c r="L24" s="3">
        <v>2547.333588107484</v>
      </c>
      <c r="M24" s="3">
        <v>2617.4855991738964</v>
      </c>
      <c r="N24" s="3">
        <v>2680.3676100999487</v>
      </c>
      <c r="O24" s="3">
        <v>2405.3635316911977</v>
      </c>
      <c r="P24" s="3">
        <v>2565.9570410103997</v>
      </c>
      <c r="Q24" s="3">
        <v>2457.5233889804222</v>
      </c>
      <c r="R24" s="3">
        <v>3387.9951174247822</v>
      </c>
      <c r="S24" s="3">
        <v>2166.5166461293152</v>
      </c>
      <c r="T24" s="3">
        <v>2665.0172630187903</v>
      </c>
      <c r="U24" s="3">
        <v>3312.2330587954625</v>
      </c>
      <c r="V24" s="3">
        <v>2914.7397762047722</v>
      </c>
      <c r="W24" s="3">
        <v>3236.693203192011</v>
      </c>
      <c r="X24" s="3">
        <v>2850.3514245647225</v>
      </c>
      <c r="Y24" s="3">
        <v>2825.3852158044974</v>
      </c>
      <c r="Z24" s="3">
        <v>3061.2160406998323</v>
      </c>
      <c r="AA24" s="3">
        <v>3099.3100952281852</v>
      </c>
      <c r="AB24" s="3">
        <v>3332.9144340719522</v>
      </c>
      <c r="AC24" s="3">
        <v>3006.8031759417167</v>
      </c>
      <c r="AD24" s="3">
        <v>3245.4156392677392</v>
      </c>
      <c r="AE24" s="3">
        <v>3245.3163399343048</v>
      </c>
      <c r="AF24" s="3">
        <v>3441.1989011851165</v>
      </c>
      <c r="AG24" s="3">
        <v>3732.3233469491474</v>
      </c>
      <c r="AH24" s="3">
        <v>4124.2727497383066</v>
      </c>
      <c r="AI24" s="3">
        <v>4310.1270622023494</v>
      </c>
      <c r="AJ24" s="3">
        <v>4024.1074901436673</v>
      </c>
      <c r="AK24" s="3">
        <v>4238.9132349379242</v>
      </c>
      <c r="AL24" s="3">
        <v>4108.5511628048343</v>
      </c>
      <c r="AM24" s="3">
        <v>4539.8360454949134</v>
      </c>
      <c r="AN24" s="3">
        <v>5319.9375399075043</v>
      </c>
      <c r="AO24" s="3">
        <v>5264.1508217634955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</row>
    <row r="25" spans="1:222" ht="15" x14ac:dyDescent="0.25">
      <c r="A25" s="136"/>
      <c r="B25" s="135" t="s">
        <v>115</v>
      </c>
      <c r="C25" s="106"/>
      <c r="D25" s="99">
        <v>314.73158229356341</v>
      </c>
      <c r="E25" s="99">
        <v>-603.55030488771445</v>
      </c>
      <c r="F25" s="99">
        <v>225.94021481140226</v>
      </c>
      <c r="G25" s="99">
        <v>27.009195037167956</v>
      </c>
      <c r="H25" s="99">
        <v>265.64625384065221</v>
      </c>
      <c r="I25" s="99">
        <v>-13.814288507954188</v>
      </c>
      <c r="J25" s="99">
        <v>350.25783553507063</v>
      </c>
      <c r="K25" s="99">
        <v>848.22369149370934</v>
      </c>
      <c r="L25" s="99">
        <v>83.754805294855032</v>
      </c>
      <c r="M25" s="99">
        <v>676.18879512738931</v>
      </c>
      <c r="N25" s="99">
        <v>191.87460280672531</v>
      </c>
      <c r="O25" s="99">
        <v>-1078.9049574345991</v>
      </c>
      <c r="P25" s="99">
        <v>-543.31746476429544</v>
      </c>
      <c r="Q25" s="99">
        <v>198.56844029802596</v>
      </c>
      <c r="R25" s="99">
        <v>881.82928372086462</v>
      </c>
      <c r="S25" s="99">
        <v>1181.9887397831189</v>
      </c>
      <c r="T25" s="99">
        <v>2239.0746091583933</v>
      </c>
      <c r="U25" s="99">
        <v>2132.0773281055299</v>
      </c>
      <c r="V25" s="99">
        <v>-652.18574789957347</v>
      </c>
      <c r="W25" s="99">
        <v>1987.5869436891808</v>
      </c>
      <c r="X25" s="99">
        <v>1705.5447451183354</v>
      </c>
      <c r="Y25" s="99">
        <v>2651.0990943705474</v>
      </c>
      <c r="Z25" s="99">
        <v>2301.4362631542972</v>
      </c>
      <c r="AA25" s="99">
        <v>2081.9564173555555</v>
      </c>
      <c r="AB25" s="99">
        <v>2850.1083074180206</v>
      </c>
      <c r="AC25" s="99">
        <v>1789.3358316079612</v>
      </c>
      <c r="AD25" s="99">
        <v>2495.2943390441142</v>
      </c>
      <c r="AE25" s="99">
        <v>5239.2356015826372</v>
      </c>
      <c r="AF25" s="99">
        <v>4825.352297228208</v>
      </c>
      <c r="AG25" s="99">
        <v>6983.4818144306118</v>
      </c>
      <c r="AH25" s="99">
        <v>5340.1125707492247</v>
      </c>
      <c r="AI25" s="99">
        <v>3828.3544123560423</v>
      </c>
      <c r="AJ25" s="99">
        <v>4324.7412357712819</v>
      </c>
      <c r="AK25" s="99">
        <v>5922.9545648638232</v>
      </c>
      <c r="AL25" s="99">
        <v>3646.5902304037154</v>
      </c>
      <c r="AM25" s="99">
        <v>3252.1166427287972</v>
      </c>
      <c r="AN25" s="99">
        <v>349.92438285102253</v>
      </c>
      <c r="AO25" s="99">
        <v>-312.56627111603302</v>
      </c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  <c r="BV25" s="136"/>
      <c r="BW25" s="136"/>
      <c r="BX25" s="136"/>
      <c r="BY25" s="136"/>
      <c r="BZ25" s="136"/>
      <c r="CA25" s="136"/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6"/>
      <c r="CO25" s="136"/>
      <c r="CP25" s="136"/>
      <c r="CQ25" s="136"/>
      <c r="CR25" s="136"/>
      <c r="CS25" s="136"/>
      <c r="CT25" s="136"/>
      <c r="CU25" s="136"/>
      <c r="CV25" s="136"/>
      <c r="CW25" s="136"/>
      <c r="CX25" s="136"/>
      <c r="CY25" s="136"/>
      <c r="CZ25" s="136"/>
      <c r="DA25" s="136"/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6"/>
      <c r="DO25" s="136"/>
      <c r="DP25" s="136"/>
      <c r="DQ25" s="136"/>
      <c r="DR25" s="136"/>
      <c r="DS25" s="136"/>
      <c r="DT25" s="136"/>
      <c r="DU25" s="136"/>
      <c r="DV25" s="136"/>
      <c r="DW25" s="136"/>
      <c r="DX25" s="136"/>
      <c r="DY25" s="136"/>
      <c r="DZ25" s="136"/>
      <c r="EA25" s="136"/>
      <c r="EB25" s="136"/>
      <c r="EC25" s="136"/>
      <c r="ED25" s="136"/>
      <c r="EE25" s="136"/>
      <c r="EF25" s="136"/>
      <c r="EG25" s="136"/>
      <c r="EH25" s="136"/>
      <c r="EI25" s="136"/>
      <c r="EJ25" s="136"/>
      <c r="EK25" s="136"/>
      <c r="EL25" s="136"/>
      <c r="EM25" s="136"/>
      <c r="EN25" s="136"/>
      <c r="EO25" s="136"/>
      <c r="EP25" s="136"/>
      <c r="EQ25" s="136"/>
      <c r="ER25" s="136"/>
      <c r="ES25" s="136"/>
      <c r="ET25" s="136"/>
      <c r="EU25" s="136"/>
      <c r="EV25" s="136"/>
      <c r="EW25" s="136"/>
      <c r="EX25" s="136"/>
      <c r="EY25" s="136"/>
      <c r="EZ25" s="136"/>
      <c r="FA25" s="136"/>
      <c r="FB25" s="136"/>
      <c r="FC25" s="136"/>
      <c r="FD25" s="136"/>
      <c r="FE25" s="136"/>
      <c r="FF25" s="136"/>
      <c r="FG25" s="136"/>
      <c r="FH25" s="136"/>
      <c r="FI25" s="136"/>
      <c r="FJ25" s="136"/>
      <c r="FK25" s="136"/>
      <c r="FL25" s="136"/>
      <c r="FM25" s="136"/>
      <c r="FN25" s="136"/>
      <c r="FO25" s="136"/>
      <c r="FP25" s="136"/>
      <c r="FQ25" s="136"/>
      <c r="FR25" s="136"/>
      <c r="FS25" s="136"/>
      <c r="FT25" s="136"/>
      <c r="FU25" s="136"/>
      <c r="FV25" s="136"/>
      <c r="FW25" s="136"/>
      <c r="FX25" s="136"/>
      <c r="FY25" s="136"/>
      <c r="FZ25" s="136"/>
      <c r="GA25" s="136"/>
      <c r="GB25" s="136"/>
      <c r="GC25" s="136"/>
      <c r="GD25" s="136"/>
      <c r="GE25" s="136"/>
      <c r="GF25" s="136"/>
      <c r="GG25" s="136"/>
      <c r="GH25" s="136"/>
      <c r="GI25" s="136"/>
      <c r="GJ25" s="136"/>
      <c r="GK25" s="136"/>
      <c r="GL25" s="136"/>
      <c r="GM25" s="136"/>
      <c r="GN25" s="136"/>
      <c r="GO25" s="136"/>
      <c r="GP25" s="136"/>
      <c r="GQ25" s="136"/>
      <c r="GR25" s="136"/>
      <c r="GS25" s="136"/>
      <c r="GT25" s="136"/>
      <c r="GU25" s="136"/>
      <c r="GV25" s="136"/>
      <c r="GW25" s="136"/>
      <c r="GX25" s="136"/>
      <c r="GY25" s="136"/>
      <c r="GZ25" s="136"/>
      <c r="HA25" s="136"/>
      <c r="HB25" s="136"/>
      <c r="HC25" s="136"/>
      <c r="HD25" s="136"/>
      <c r="HE25" s="136"/>
      <c r="HF25" s="136"/>
      <c r="HG25" s="136"/>
      <c r="HH25" s="136"/>
      <c r="HI25" s="136"/>
      <c r="HJ25" s="136"/>
      <c r="HK25" s="136"/>
      <c r="HL25" s="136"/>
      <c r="HM25" s="136"/>
      <c r="HN25" s="136"/>
    </row>
    <row r="26" spans="1:222" ht="15" x14ac:dyDescent="0.25">
      <c r="A26" s="3"/>
      <c r="B26" s="132" t="s">
        <v>116</v>
      </c>
      <c r="C26" s="3"/>
      <c r="D26" s="3">
        <v>25568.457116890557</v>
      </c>
      <c r="E26" s="3">
        <v>26833.37088564791</v>
      </c>
      <c r="F26" s="3">
        <v>28094.478207549168</v>
      </c>
      <c r="G26" s="3">
        <v>28192.260195551022</v>
      </c>
      <c r="H26" s="3">
        <v>28917.603761907576</v>
      </c>
      <c r="I26" s="3">
        <v>28731.175802418649</v>
      </c>
      <c r="J26" s="3">
        <v>31054.540786198282</v>
      </c>
      <c r="K26" s="3">
        <v>31939.559321383735</v>
      </c>
      <c r="L26" s="3">
        <v>31722.578030705696</v>
      </c>
      <c r="M26" s="3">
        <v>32499.765037547579</v>
      </c>
      <c r="N26" s="3">
        <v>34037.969753926576</v>
      </c>
      <c r="O26" s="3">
        <v>34255.648802363394</v>
      </c>
      <c r="P26" s="3">
        <v>35260.125279214742</v>
      </c>
      <c r="Q26" s="3">
        <v>36784.860382880986</v>
      </c>
      <c r="R26" s="3">
        <v>35563.781292791631</v>
      </c>
      <c r="S26" s="3">
        <v>32244.129091283557</v>
      </c>
      <c r="T26" s="3">
        <v>35914.777289719103</v>
      </c>
      <c r="U26" s="3">
        <v>37315.115441897964</v>
      </c>
      <c r="V26" s="3">
        <v>37068.039672361061</v>
      </c>
      <c r="W26" s="3">
        <v>37834.590826294756</v>
      </c>
      <c r="X26" s="3">
        <v>37992.965674228959</v>
      </c>
      <c r="Y26" s="3">
        <v>40265.110580809756</v>
      </c>
      <c r="Z26" s="3">
        <v>41514.135581865485</v>
      </c>
      <c r="AA26" s="3">
        <v>42861.307627241797</v>
      </c>
      <c r="AB26" s="3">
        <v>44515.554945696553</v>
      </c>
      <c r="AC26" s="3">
        <v>44970.554850751854</v>
      </c>
      <c r="AD26" s="3">
        <v>44550.354921191967</v>
      </c>
      <c r="AE26" s="3">
        <v>48470.534954687217</v>
      </c>
      <c r="AF26" s="3">
        <v>49863.047034666764</v>
      </c>
      <c r="AG26" s="3">
        <v>50336.208762246388</v>
      </c>
      <c r="AH26" s="3">
        <v>50318.890737210437</v>
      </c>
      <c r="AI26" s="3">
        <v>52660.400040026725</v>
      </c>
      <c r="AJ26" s="3">
        <v>55237.02690111519</v>
      </c>
      <c r="AK26" s="3">
        <v>55889.908545078033</v>
      </c>
      <c r="AL26" s="3">
        <v>57525.44661162253</v>
      </c>
      <c r="AM26" s="3">
        <v>58763.156217912387</v>
      </c>
      <c r="AN26" s="3">
        <v>59066.339768361475</v>
      </c>
      <c r="AO26" s="3">
        <v>62875.300951185251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</row>
    <row r="27" spans="1:222" ht="15" x14ac:dyDescent="0.25">
      <c r="A27" s="137"/>
      <c r="B27" s="138"/>
      <c r="C27" s="137"/>
      <c r="D27" s="108"/>
      <c r="E27" s="108"/>
      <c r="F27" s="108"/>
      <c r="G27" s="108"/>
      <c r="H27" s="147" t="s">
        <v>79</v>
      </c>
      <c r="I27" s="147"/>
      <c r="J27" s="147"/>
      <c r="K27" s="147"/>
      <c r="L27" s="147" t="s">
        <v>85</v>
      </c>
      <c r="M27" s="147"/>
      <c r="N27" s="147"/>
      <c r="O27" s="147"/>
      <c r="P27" s="147" t="s">
        <v>86</v>
      </c>
      <c r="Q27" s="147"/>
      <c r="R27" s="147"/>
      <c r="S27" s="147"/>
      <c r="T27" s="147" t="s">
        <v>89</v>
      </c>
      <c r="U27" s="147"/>
      <c r="V27" s="147"/>
      <c r="W27" s="147"/>
      <c r="X27" s="147" t="s">
        <v>90</v>
      </c>
      <c r="Y27" s="147"/>
      <c r="Z27" s="147"/>
      <c r="AA27" s="147"/>
      <c r="AB27" s="148" t="s">
        <v>91</v>
      </c>
      <c r="AC27" s="148"/>
      <c r="AD27" s="148"/>
      <c r="AE27" s="3"/>
      <c r="AF27" s="147" t="s">
        <v>92</v>
      </c>
      <c r="AG27" s="147"/>
      <c r="AH27" s="147"/>
      <c r="AI27" s="147"/>
      <c r="AJ27" s="148" t="s">
        <v>118</v>
      </c>
      <c r="AK27" s="148"/>
      <c r="AL27" s="148"/>
      <c r="AM27" s="148"/>
      <c r="AN27" s="146" t="s">
        <v>120</v>
      </c>
      <c r="AO27" s="146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</row>
    <row r="28" spans="1:222" ht="15" x14ac:dyDescent="0.25">
      <c r="A28" s="139"/>
      <c r="B28" s="111" t="s">
        <v>117</v>
      </c>
      <c r="C28" s="139"/>
      <c r="D28" s="112"/>
      <c r="E28" s="127"/>
      <c r="F28" s="127"/>
      <c r="G28" s="127"/>
      <c r="H28" s="127" t="s">
        <v>57</v>
      </c>
      <c r="I28" s="127" t="s">
        <v>58</v>
      </c>
      <c r="J28" s="127" t="s">
        <v>59</v>
      </c>
      <c r="K28" s="127" t="s">
        <v>60</v>
      </c>
      <c r="L28" s="127" t="s">
        <v>57</v>
      </c>
      <c r="M28" s="127" t="s">
        <v>58</v>
      </c>
      <c r="N28" s="127" t="s">
        <v>59</v>
      </c>
      <c r="O28" s="127" t="s">
        <v>60</v>
      </c>
      <c r="P28" s="127" t="s">
        <v>57</v>
      </c>
      <c r="Q28" s="127" t="s">
        <v>58</v>
      </c>
      <c r="R28" s="127" t="s">
        <v>59</v>
      </c>
      <c r="S28" s="127" t="s">
        <v>60</v>
      </c>
      <c r="T28" s="127" t="s">
        <v>57</v>
      </c>
      <c r="U28" s="127" t="s">
        <v>58</v>
      </c>
      <c r="V28" s="127" t="s">
        <v>59</v>
      </c>
      <c r="W28" s="127" t="s">
        <v>60</v>
      </c>
      <c r="X28" s="127" t="s">
        <v>57</v>
      </c>
      <c r="Y28" s="127" t="s">
        <v>58</v>
      </c>
      <c r="Z28" s="127" t="s">
        <v>59</v>
      </c>
      <c r="AA28" s="127" t="s">
        <v>60</v>
      </c>
      <c r="AB28" s="127" t="s">
        <v>57</v>
      </c>
      <c r="AC28" s="127" t="s">
        <v>58</v>
      </c>
      <c r="AD28" s="127" t="s">
        <v>59</v>
      </c>
      <c r="AE28" s="127" t="s">
        <v>60</v>
      </c>
      <c r="AF28" s="127" t="s">
        <v>57</v>
      </c>
      <c r="AG28" s="127" t="s">
        <v>58</v>
      </c>
      <c r="AH28" s="127" t="s">
        <v>59</v>
      </c>
      <c r="AI28" s="127" t="s">
        <v>60</v>
      </c>
      <c r="AJ28" s="127" t="s">
        <v>57</v>
      </c>
      <c r="AK28" s="127" t="s">
        <v>58</v>
      </c>
      <c r="AL28" s="127" t="s">
        <v>59</v>
      </c>
      <c r="AM28" s="127" t="s">
        <v>60</v>
      </c>
      <c r="AN28" s="127" t="s">
        <v>57</v>
      </c>
      <c r="AO28" s="127" t="s">
        <v>58</v>
      </c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  <c r="BF28" s="139"/>
      <c r="BG28" s="139"/>
      <c r="BH28" s="139"/>
      <c r="BI28" s="139"/>
      <c r="BJ28" s="139"/>
      <c r="BK28" s="139"/>
      <c r="BL28" s="139"/>
      <c r="BM28" s="139"/>
      <c r="BN28" s="139"/>
      <c r="BO28" s="139"/>
      <c r="BP28" s="139"/>
      <c r="BQ28" s="139"/>
      <c r="BR28" s="139"/>
      <c r="BS28" s="139"/>
      <c r="BT28" s="139"/>
      <c r="BU28" s="139"/>
      <c r="BV28" s="139"/>
      <c r="BW28" s="139"/>
      <c r="BX28" s="139"/>
      <c r="BY28" s="139"/>
      <c r="BZ28" s="139"/>
      <c r="CA28" s="139"/>
      <c r="CB28" s="139"/>
      <c r="CC28" s="139"/>
      <c r="CD28" s="139"/>
      <c r="CE28" s="139"/>
      <c r="CF28" s="139"/>
      <c r="CG28" s="139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A28" s="139"/>
      <c r="DB28" s="139"/>
      <c r="DC28" s="139"/>
      <c r="DD28" s="139"/>
      <c r="DE28" s="139"/>
      <c r="DF28" s="139"/>
      <c r="DG28" s="139"/>
      <c r="DH28" s="139"/>
      <c r="DI28" s="139"/>
      <c r="DJ28" s="139"/>
      <c r="DK28" s="139"/>
      <c r="DL28" s="139"/>
      <c r="DM28" s="139"/>
      <c r="DN28" s="139"/>
      <c r="DO28" s="139"/>
      <c r="DP28" s="139"/>
      <c r="DQ28" s="139"/>
      <c r="DR28" s="139"/>
      <c r="DS28" s="139"/>
      <c r="DT28" s="139"/>
      <c r="DU28" s="139"/>
      <c r="DV28" s="139"/>
      <c r="DW28" s="139"/>
      <c r="DX28" s="139"/>
      <c r="DY28" s="139"/>
      <c r="DZ28" s="139"/>
      <c r="EA28" s="139"/>
      <c r="EB28" s="139"/>
      <c r="EC28" s="139"/>
      <c r="ED28" s="139"/>
      <c r="EE28" s="139"/>
      <c r="EF28" s="139"/>
      <c r="EG28" s="139"/>
      <c r="EH28" s="139"/>
      <c r="EI28" s="139"/>
      <c r="EJ28" s="139"/>
      <c r="EK28" s="139"/>
      <c r="EL28" s="139"/>
      <c r="EM28" s="139"/>
      <c r="EN28" s="139"/>
      <c r="EO28" s="139"/>
      <c r="EP28" s="139"/>
      <c r="EQ28" s="139"/>
      <c r="ER28" s="139"/>
      <c r="ES28" s="139"/>
      <c r="ET28" s="139"/>
      <c r="EU28" s="139"/>
      <c r="EV28" s="139"/>
      <c r="EW28" s="139"/>
      <c r="EX28" s="139"/>
      <c r="EY28" s="139"/>
      <c r="EZ28" s="139"/>
      <c r="FA28" s="139"/>
      <c r="FB28" s="139"/>
      <c r="FC28" s="139"/>
      <c r="FD28" s="139"/>
      <c r="FE28" s="139"/>
      <c r="FF28" s="139"/>
      <c r="FG28" s="139"/>
      <c r="FH28" s="139"/>
      <c r="FI28" s="139"/>
      <c r="FJ28" s="139"/>
      <c r="FK28" s="139"/>
      <c r="FL28" s="139"/>
      <c r="FM28" s="139"/>
      <c r="FN28" s="139"/>
      <c r="FO28" s="139"/>
      <c r="FP28" s="139"/>
      <c r="FQ28" s="139"/>
      <c r="FR28" s="139"/>
      <c r="FS28" s="139"/>
      <c r="FT28" s="139"/>
      <c r="FU28" s="139"/>
      <c r="FV28" s="139"/>
      <c r="FW28" s="139"/>
      <c r="FX28" s="139"/>
      <c r="FY28" s="139"/>
      <c r="FZ28" s="139"/>
      <c r="GA28" s="139"/>
      <c r="GB28" s="139"/>
      <c r="GC28" s="139"/>
      <c r="GD28" s="139"/>
      <c r="GE28" s="139"/>
      <c r="GF28" s="139"/>
      <c r="GG28" s="139"/>
      <c r="GH28" s="139"/>
      <c r="GI28" s="139"/>
      <c r="GJ28" s="139"/>
      <c r="GK28" s="139"/>
      <c r="GL28" s="139"/>
      <c r="GM28" s="139"/>
      <c r="GN28" s="139"/>
      <c r="GO28" s="139"/>
      <c r="GP28" s="139"/>
      <c r="GQ28" s="139"/>
      <c r="GR28" s="139"/>
      <c r="GS28" s="139"/>
      <c r="GT28" s="139"/>
      <c r="GU28" s="139"/>
      <c r="GV28" s="139"/>
      <c r="GW28" s="139"/>
      <c r="GX28" s="139"/>
      <c r="GY28" s="139"/>
      <c r="GZ28" s="139"/>
      <c r="HA28" s="139"/>
      <c r="HB28" s="139"/>
      <c r="HC28" s="139"/>
      <c r="HD28" s="139"/>
      <c r="HE28" s="139"/>
      <c r="HF28" s="139"/>
      <c r="HG28" s="139"/>
      <c r="HH28" s="139"/>
      <c r="HI28" s="139"/>
      <c r="HJ28" s="139"/>
      <c r="HK28" s="139"/>
      <c r="HL28" s="139"/>
      <c r="HM28" s="139"/>
      <c r="HN28" s="139"/>
    </row>
    <row r="29" spans="1:222" ht="15" x14ac:dyDescent="0.25">
      <c r="A29" s="139"/>
      <c r="B29" s="132" t="s">
        <v>97</v>
      </c>
      <c r="C29" s="139"/>
      <c r="D29" s="139">
        <v>0.78387655259881217</v>
      </c>
      <c r="E29" s="139">
        <v>0.79074411571168624</v>
      </c>
      <c r="F29" s="139">
        <v>0.77736993464709858</v>
      </c>
      <c r="G29" s="139">
        <v>0.80785965011309846</v>
      </c>
      <c r="H29" s="139">
        <v>0.80871112938144796</v>
      </c>
      <c r="I29" s="139">
        <v>0.81368243265247497</v>
      </c>
      <c r="J29" s="139">
        <v>0.80829647075344491</v>
      </c>
      <c r="K29" s="139">
        <v>0.8091774673587665</v>
      </c>
      <c r="L29" s="139">
        <v>0.80033591530171477</v>
      </c>
      <c r="M29" s="139">
        <v>0.79348367110882012</v>
      </c>
      <c r="N29" s="139">
        <v>0.78273224623664828</v>
      </c>
      <c r="O29" s="139">
        <v>0.81479405631338708</v>
      </c>
      <c r="P29" s="139">
        <v>0.81433761313033493</v>
      </c>
      <c r="Q29" s="139">
        <v>0.80262633486321233</v>
      </c>
      <c r="R29" s="139">
        <v>0.79373773435233108</v>
      </c>
      <c r="S29" s="139">
        <v>0.82156117458582834</v>
      </c>
      <c r="T29" s="139">
        <v>0.8181257095230362</v>
      </c>
      <c r="U29" s="139">
        <v>0.81914370851173202</v>
      </c>
      <c r="V29" s="139">
        <v>0.8350549851506226</v>
      </c>
      <c r="W29" s="139">
        <v>0.81875832253838299</v>
      </c>
      <c r="X29" s="139">
        <v>0.78799122082534401</v>
      </c>
      <c r="Y29" s="139">
        <v>0.79254284718465706</v>
      </c>
      <c r="Z29" s="139">
        <v>0.81986693482125217</v>
      </c>
      <c r="AA29" s="139">
        <v>0.83264185300671811</v>
      </c>
      <c r="AB29" s="139">
        <v>0.81050567938516671</v>
      </c>
      <c r="AC29" s="139">
        <v>0.83976321363075723</v>
      </c>
      <c r="AD29" s="139">
        <v>0.81822611564558922</v>
      </c>
      <c r="AE29" s="139">
        <v>0.79380886555531005</v>
      </c>
      <c r="AF29" s="139">
        <v>0.77390900868907397</v>
      </c>
      <c r="AG29" s="139">
        <v>0.72941115524259692</v>
      </c>
      <c r="AH29" s="139">
        <v>0.76516957114911821</v>
      </c>
      <c r="AI29" s="139">
        <v>0.78583821021022149</v>
      </c>
      <c r="AJ29" s="139">
        <v>0.784162213025277</v>
      </c>
      <c r="AK29" s="139">
        <v>0.76968030411843591</v>
      </c>
      <c r="AL29" s="139">
        <v>0.78162956537868322</v>
      </c>
      <c r="AM29" s="139">
        <v>0.74949308607021714</v>
      </c>
      <c r="AN29" s="139">
        <v>0.83718058772998805</v>
      </c>
      <c r="AO29" s="139">
        <v>0.81955338112945386</v>
      </c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  <c r="BF29" s="139"/>
      <c r="BG29" s="139"/>
      <c r="BH29" s="139"/>
      <c r="BI29" s="139"/>
      <c r="BJ29" s="139"/>
      <c r="BK29" s="139"/>
      <c r="BL29" s="139"/>
      <c r="BM29" s="139"/>
      <c r="BN29" s="139"/>
      <c r="BO29" s="139"/>
      <c r="BP29" s="139"/>
      <c r="BQ29" s="139"/>
      <c r="BR29" s="139"/>
      <c r="BS29" s="139"/>
      <c r="BT29" s="139"/>
      <c r="BU29" s="139"/>
      <c r="BV29" s="139"/>
      <c r="BW29" s="139"/>
      <c r="BX29" s="139"/>
      <c r="BY29" s="139"/>
      <c r="BZ29" s="139"/>
      <c r="CA29" s="139"/>
      <c r="CB29" s="139"/>
      <c r="CC29" s="139"/>
      <c r="CD29" s="139"/>
      <c r="CE29" s="139"/>
      <c r="CF29" s="139"/>
      <c r="CG29" s="139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A29" s="139"/>
      <c r="DB29" s="139"/>
      <c r="DC29" s="139"/>
      <c r="DD29" s="139"/>
      <c r="DE29" s="139"/>
      <c r="DF29" s="139"/>
      <c r="DG29" s="139"/>
      <c r="DH29" s="139"/>
      <c r="DI29" s="139"/>
      <c r="DJ29" s="139"/>
      <c r="DK29" s="139"/>
      <c r="DL29" s="139"/>
      <c r="DM29" s="139"/>
      <c r="DN29" s="139"/>
      <c r="DO29" s="139"/>
      <c r="DP29" s="139"/>
      <c r="DQ29" s="139"/>
      <c r="DR29" s="139"/>
      <c r="DS29" s="139"/>
      <c r="DT29" s="139"/>
      <c r="DU29" s="139"/>
      <c r="DV29" s="139"/>
      <c r="DW29" s="139"/>
      <c r="DX29" s="139"/>
      <c r="DY29" s="139"/>
      <c r="DZ29" s="139"/>
      <c r="EA29" s="139"/>
      <c r="EB29" s="139"/>
      <c r="EC29" s="139"/>
      <c r="ED29" s="139"/>
      <c r="EE29" s="139"/>
      <c r="EF29" s="139"/>
      <c r="EG29" s="139"/>
      <c r="EH29" s="139"/>
      <c r="EI29" s="139"/>
      <c r="EJ29" s="139"/>
      <c r="EK29" s="139"/>
      <c r="EL29" s="139"/>
      <c r="EM29" s="139"/>
      <c r="EN29" s="139"/>
      <c r="EO29" s="139"/>
      <c r="EP29" s="139"/>
      <c r="EQ29" s="139"/>
      <c r="ER29" s="139"/>
      <c r="ES29" s="139"/>
      <c r="ET29" s="139"/>
      <c r="EU29" s="139"/>
      <c r="EV29" s="139"/>
      <c r="EW29" s="139"/>
      <c r="EX29" s="139"/>
      <c r="EY29" s="139"/>
      <c r="EZ29" s="139"/>
      <c r="FA29" s="139"/>
      <c r="FB29" s="139"/>
      <c r="FC29" s="139"/>
      <c r="FD29" s="139"/>
      <c r="FE29" s="139"/>
      <c r="FF29" s="139"/>
      <c r="FG29" s="139"/>
      <c r="FH29" s="139"/>
      <c r="FI29" s="139"/>
      <c r="FJ29" s="139"/>
      <c r="FK29" s="139"/>
      <c r="FL29" s="139"/>
      <c r="FM29" s="139"/>
      <c r="FN29" s="139"/>
      <c r="FO29" s="139"/>
      <c r="FP29" s="139"/>
      <c r="FQ29" s="139"/>
      <c r="FR29" s="139"/>
      <c r="FS29" s="139"/>
      <c r="FT29" s="139"/>
      <c r="FU29" s="139"/>
      <c r="FV29" s="139"/>
      <c r="FW29" s="139"/>
      <c r="FX29" s="139"/>
      <c r="FY29" s="139"/>
      <c r="FZ29" s="139"/>
      <c r="GA29" s="139"/>
      <c r="GB29" s="139"/>
      <c r="GC29" s="139"/>
      <c r="GD29" s="139"/>
      <c r="GE29" s="139"/>
      <c r="GF29" s="139"/>
      <c r="GG29" s="139"/>
      <c r="GH29" s="139"/>
      <c r="GI29" s="139"/>
      <c r="GJ29" s="139"/>
      <c r="GK29" s="139"/>
      <c r="GL29" s="139"/>
      <c r="GM29" s="139"/>
      <c r="GN29" s="139"/>
      <c r="GO29" s="139"/>
      <c r="GP29" s="139"/>
      <c r="GQ29" s="139"/>
      <c r="GR29" s="139"/>
      <c r="GS29" s="139"/>
      <c r="GT29" s="139"/>
      <c r="GU29" s="139"/>
      <c r="GV29" s="139"/>
      <c r="GW29" s="139"/>
      <c r="GX29" s="139"/>
      <c r="GY29" s="139"/>
      <c r="GZ29" s="139"/>
      <c r="HA29" s="139"/>
      <c r="HB29" s="139"/>
      <c r="HC29" s="139"/>
      <c r="HD29" s="139"/>
      <c r="HE29" s="139"/>
      <c r="HF29" s="139"/>
      <c r="HG29" s="139"/>
      <c r="HH29" s="139"/>
      <c r="HI29" s="139"/>
      <c r="HJ29" s="139"/>
      <c r="HK29" s="139"/>
      <c r="HL29" s="139"/>
      <c r="HM29" s="139"/>
      <c r="HN29" s="139"/>
    </row>
    <row r="30" spans="1:222" ht="15" x14ac:dyDescent="0.25">
      <c r="A30" s="139"/>
      <c r="B30" s="133" t="s">
        <v>98</v>
      </c>
      <c r="C30" s="139"/>
      <c r="D30" s="139">
        <v>8.0375053437230434E-2</v>
      </c>
      <c r="E30" s="139">
        <v>7.48901806828704E-2</v>
      </c>
      <c r="F30" s="139">
        <v>7.8505174302085368E-2</v>
      </c>
      <c r="G30" s="139">
        <v>8.592702335355383E-2</v>
      </c>
      <c r="H30" s="139">
        <v>8.7929386201810275E-2</v>
      </c>
      <c r="I30" s="139">
        <v>8.9500877317648636E-2</v>
      </c>
      <c r="J30" s="139">
        <v>8.6273858440108667E-2</v>
      </c>
      <c r="K30" s="139">
        <v>8.1482896208646682E-2</v>
      </c>
      <c r="L30" s="139">
        <v>8.5437583328171043E-2</v>
      </c>
      <c r="M30" s="139">
        <v>8.4331923522699997E-2</v>
      </c>
      <c r="N30" s="139">
        <v>8.2046366191583953E-2</v>
      </c>
      <c r="O30" s="139">
        <v>9.698397833222E-2</v>
      </c>
      <c r="P30" s="139">
        <v>8.6510757343611369E-2</v>
      </c>
      <c r="Q30" s="139">
        <v>9.4504894661387312E-2</v>
      </c>
      <c r="R30" s="139">
        <v>9.4869923801767134E-2</v>
      </c>
      <c r="S30" s="139">
        <v>0.10429765227876593</v>
      </c>
      <c r="T30" s="139">
        <v>9.4531793511024795E-2</v>
      </c>
      <c r="U30" s="139">
        <v>0.10197146439103293</v>
      </c>
      <c r="V30" s="139">
        <v>0.10385415946438938</v>
      </c>
      <c r="W30" s="139">
        <v>9.6843018500273451E-2</v>
      </c>
      <c r="X30" s="139">
        <v>9.6632861719437593E-2</v>
      </c>
      <c r="Y30" s="139">
        <v>9.0701658347265859E-2</v>
      </c>
      <c r="Z30" s="139">
        <v>0.10109689279602986</v>
      </c>
      <c r="AA30" s="139">
        <v>0.10235928094593318</v>
      </c>
      <c r="AB30" s="139">
        <v>0.10100869767280411</v>
      </c>
      <c r="AC30" s="139">
        <v>0.1015661291700235</v>
      </c>
      <c r="AD30" s="139">
        <v>9.5549501348877866E-2</v>
      </c>
      <c r="AE30" s="139">
        <v>8.6039330333484862E-2</v>
      </c>
      <c r="AF30" s="139">
        <v>8.6622046830094265E-2</v>
      </c>
      <c r="AG30" s="139">
        <v>9.3683805141941731E-2</v>
      </c>
      <c r="AH30" s="139">
        <v>0.10348888049190184</v>
      </c>
      <c r="AI30" s="139">
        <v>0.11675079829148248</v>
      </c>
      <c r="AJ30" s="139">
        <v>0.11134133336154832</v>
      </c>
      <c r="AK30" s="139">
        <v>0.11614930138328595</v>
      </c>
      <c r="AL30" s="139">
        <v>0.12120951281610695</v>
      </c>
      <c r="AM30" s="139">
        <v>0.1184762391141173</v>
      </c>
      <c r="AN30" s="139">
        <v>0.12329644213989366</v>
      </c>
      <c r="AO30" s="139">
        <v>0.11431226494500944</v>
      </c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  <c r="BF30" s="139"/>
      <c r="BG30" s="139"/>
      <c r="BH30" s="139"/>
      <c r="BI30" s="139"/>
      <c r="BJ30" s="139"/>
      <c r="BK30" s="139"/>
      <c r="BL30" s="139"/>
      <c r="BM30" s="139"/>
      <c r="BN30" s="139"/>
      <c r="BO30" s="139"/>
      <c r="BP30" s="139"/>
      <c r="BQ30" s="139"/>
      <c r="BR30" s="139"/>
      <c r="BS30" s="139"/>
      <c r="BT30" s="139"/>
      <c r="BU30" s="139"/>
      <c r="BV30" s="139"/>
      <c r="BW30" s="139"/>
      <c r="BX30" s="139"/>
      <c r="BY30" s="139"/>
      <c r="BZ30" s="139"/>
      <c r="CA30" s="139"/>
      <c r="CB30" s="139"/>
      <c r="CC30" s="139"/>
      <c r="CD30" s="139"/>
      <c r="CE30" s="139"/>
      <c r="CF30" s="139"/>
      <c r="CG30" s="139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A30" s="139"/>
      <c r="DB30" s="139"/>
      <c r="DC30" s="139"/>
      <c r="DD30" s="139"/>
      <c r="DE30" s="139"/>
      <c r="DF30" s="139"/>
      <c r="DG30" s="139"/>
      <c r="DH30" s="139"/>
      <c r="DI30" s="139"/>
      <c r="DJ30" s="139"/>
      <c r="DK30" s="139"/>
      <c r="DL30" s="139"/>
      <c r="DM30" s="139"/>
      <c r="DN30" s="139"/>
      <c r="DO30" s="139"/>
      <c r="DP30" s="139"/>
      <c r="DQ30" s="139"/>
      <c r="DR30" s="139"/>
      <c r="DS30" s="139"/>
      <c r="DT30" s="139"/>
      <c r="DU30" s="139"/>
      <c r="DV30" s="139"/>
      <c r="DW30" s="139"/>
      <c r="DX30" s="139"/>
      <c r="DY30" s="139"/>
      <c r="DZ30" s="139"/>
      <c r="EA30" s="139"/>
      <c r="EB30" s="139"/>
      <c r="EC30" s="139"/>
      <c r="ED30" s="139"/>
      <c r="EE30" s="139"/>
      <c r="EF30" s="139"/>
      <c r="EG30" s="139"/>
      <c r="EH30" s="139"/>
      <c r="EI30" s="139"/>
      <c r="EJ30" s="139"/>
      <c r="EK30" s="139"/>
      <c r="EL30" s="139"/>
      <c r="EM30" s="139"/>
      <c r="EN30" s="139"/>
      <c r="EO30" s="139"/>
      <c r="EP30" s="139"/>
      <c r="EQ30" s="139"/>
      <c r="ER30" s="139"/>
      <c r="ES30" s="139"/>
      <c r="ET30" s="139"/>
      <c r="EU30" s="139"/>
      <c r="EV30" s="139"/>
      <c r="EW30" s="139"/>
      <c r="EX30" s="139"/>
      <c r="EY30" s="139"/>
      <c r="EZ30" s="139"/>
      <c r="FA30" s="139"/>
      <c r="FB30" s="139"/>
      <c r="FC30" s="139"/>
      <c r="FD30" s="139"/>
      <c r="FE30" s="139"/>
      <c r="FF30" s="139"/>
      <c r="FG30" s="139"/>
      <c r="FH30" s="139"/>
      <c r="FI30" s="139"/>
      <c r="FJ30" s="139"/>
      <c r="FK30" s="139"/>
      <c r="FL30" s="139"/>
      <c r="FM30" s="139"/>
      <c r="FN30" s="139"/>
      <c r="FO30" s="139"/>
      <c r="FP30" s="139"/>
      <c r="FQ30" s="139"/>
      <c r="FR30" s="139"/>
      <c r="FS30" s="139"/>
      <c r="FT30" s="139"/>
      <c r="FU30" s="139"/>
      <c r="FV30" s="139"/>
      <c r="FW30" s="139"/>
      <c r="FX30" s="139"/>
      <c r="FY30" s="139"/>
      <c r="FZ30" s="139"/>
      <c r="GA30" s="139"/>
      <c r="GB30" s="139"/>
      <c r="GC30" s="139"/>
      <c r="GD30" s="139"/>
      <c r="GE30" s="139"/>
      <c r="GF30" s="139"/>
      <c r="GG30" s="139"/>
      <c r="GH30" s="139"/>
      <c r="GI30" s="139"/>
      <c r="GJ30" s="139"/>
      <c r="GK30" s="139"/>
      <c r="GL30" s="139"/>
      <c r="GM30" s="139"/>
      <c r="GN30" s="139"/>
      <c r="GO30" s="139"/>
      <c r="GP30" s="139"/>
      <c r="GQ30" s="139"/>
      <c r="GR30" s="139"/>
      <c r="GS30" s="139"/>
      <c r="GT30" s="139"/>
      <c r="GU30" s="139"/>
      <c r="GV30" s="139"/>
      <c r="GW30" s="139"/>
      <c r="GX30" s="139"/>
      <c r="GY30" s="139"/>
      <c r="GZ30" s="139"/>
      <c r="HA30" s="139"/>
      <c r="HB30" s="139"/>
      <c r="HC30" s="139"/>
      <c r="HD30" s="139"/>
      <c r="HE30" s="139"/>
      <c r="HF30" s="139"/>
      <c r="HG30" s="139"/>
      <c r="HH30" s="139"/>
      <c r="HI30" s="139"/>
      <c r="HJ30" s="139"/>
      <c r="HK30" s="139"/>
      <c r="HL30" s="139"/>
      <c r="HM30" s="139"/>
      <c r="HN30" s="139"/>
    </row>
    <row r="31" spans="1:222" ht="15" x14ac:dyDescent="0.25">
      <c r="A31" s="139"/>
      <c r="B31" s="133" t="s">
        <v>99</v>
      </c>
      <c r="C31" s="139"/>
      <c r="D31" s="139">
        <v>3.9775640923825212E-2</v>
      </c>
      <c r="E31" s="139">
        <v>3.886018819879844E-2</v>
      </c>
      <c r="F31" s="139">
        <v>3.8559251929774531E-2</v>
      </c>
      <c r="G31" s="139">
        <v>3.9736486007474085E-2</v>
      </c>
      <c r="H31" s="139">
        <v>4.0146716941417769E-2</v>
      </c>
      <c r="I31" s="139">
        <v>4.2277800866859311E-2</v>
      </c>
      <c r="J31" s="139">
        <v>4.0743741635983585E-2</v>
      </c>
      <c r="K31" s="139">
        <v>4.1391461679598507E-2</v>
      </c>
      <c r="L31" s="139">
        <v>4.3440578084350465E-2</v>
      </c>
      <c r="M31" s="139">
        <v>4.3411524293734946E-2</v>
      </c>
      <c r="N31" s="139">
        <v>4.2199223703562654E-2</v>
      </c>
      <c r="O31" s="139">
        <v>4.2931735555333923E-2</v>
      </c>
      <c r="P31" s="139">
        <v>4.2967283731924238E-2</v>
      </c>
      <c r="Q31" s="139">
        <v>4.1855413489518857E-2</v>
      </c>
      <c r="R31" s="139">
        <v>4.3262293504806627E-2</v>
      </c>
      <c r="S31" s="139">
        <v>4.7104918880167025E-2</v>
      </c>
      <c r="T31" s="139">
        <v>4.1382698148972656E-2</v>
      </c>
      <c r="U31" s="139">
        <v>3.9769301941440044E-2</v>
      </c>
      <c r="V31" s="139">
        <v>4.1887548665898069E-2</v>
      </c>
      <c r="W31" s="139">
        <v>4.2734979792042507E-2</v>
      </c>
      <c r="X31" s="139">
        <v>4.4138386753988401E-2</v>
      </c>
      <c r="Y31" s="139">
        <v>4.331193215222956E-2</v>
      </c>
      <c r="Z31" s="139">
        <v>4.3535740836867266E-2</v>
      </c>
      <c r="AA31" s="139">
        <v>4.3581691329809033E-2</v>
      </c>
      <c r="AB31" s="139">
        <v>4.436878882677061E-2</v>
      </c>
      <c r="AC31" s="139">
        <v>4.4231944420179137E-2</v>
      </c>
      <c r="AD31" s="139">
        <v>4.520166508283812E-2</v>
      </c>
      <c r="AE31" s="139">
        <v>4.1802499275054056E-2</v>
      </c>
      <c r="AF31" s="139">
        <v>4.1034942140617307E-2</v>
      </c>
      <c r="AG31" s="139">
        <v>4.2586672336677601E-2</v>
      </c>
      <c r="AH31" s="139">
        <v>3.9715091275448054E-2</v>
      </c>
      <c r="AI31" s="139">
        <v>3.9212470485052622E-2</v>
      </c>
      <c r="AJ31" s="139">
        <v>3.7302183417059244E-2</v>
      </c>
      <c r="AK31" s="139">
        <v>3.6921551486553066E-2</v>
      </c>
      <c r="AL31" s="139">
        <v>3.0460265803970821E-2</v>
      </c>
      <c r="AM31" s="139">
        <v>3.3779206836511887E-2</v>
      </c>
      <c r="AN31" s="139">
        <v>3.6391421546215989E-2</v>
      </c>
      <c r="AO31" s="139">
        <v>3.296149472847118E-2</v>
      </c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  <c r="BF31" s="139"/>
      <c r="BG31" s="139"/>
      <c r="BH31" s="139"/>
      <c r="BI31" s="139"/>
      <c r="BJ31" s="139"/>
      <c r="BK31" s="139"/>
      <c r="BL31" s="139"/>
      <c r="BM31" s="139"/>
      <c r="BN31" s="139"/>
      <c r="BO31" s="139"/>
      <c r="BP31" s="139"/>
      <c r="BQ31" s="139"/>
      <c r="BR31" s="139"/>
      <c r="BS31" s="139"/>
      <c r="BT31" s="139"/>
      <c r="BU31" s="139"/>
      <c r="BV31" s="139"/>
      <c r="BW31" s="139"/>
      <c r="BX31" s="139"/>
      <c r="BY31" s="139"/>
      <c r="BZ31" s="139"/>
      <c r="CA31" s="139"/>
      <c r="CB31" s="139"/>
      <c r="CC31" s="139"/>
      <c r="CD31" s="139"/>
      <c r="CE31" s="139"/>
      <c r="CF31" s="139"/>
      <c r="CG31" s="139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A31" s="139"/>
      <c r="DB31" s="139"/>
      <c r="DC31" s="139"/>
      <c r="DD31" s="139"/>
      <c r="DE31" s="139"/>
      <c r="DF31" s="139"/>
      <c r="DG31" s="139"/>
      <c r="DH31" s="139"/>
      <c r="DI31" s="139"/>
      <c r="DJ31" s="139"/>
      <c r="DK31" s="139"/>
      <c r="DL31" s="139"/>
      <c r="DM31" s="139"/>
      <c r="DN31" s="139"/>
      <c r="DO31" s="139"/>
      <c r="DP31" s="139"/>
      <c r="DQ31" s="139"/>
      <c r="DR31" s="139"/>
      <c r="DS31" s="139"/>
      <c r="DT31" s="139"/>
      <c r="DU31" s="139"/>
      <c r="DV31" s="139"/>
      <c r="DW31" s="139"/>
      <c r="DX31" s="139"/>
      <c r="DY31" s="139"/>
      <c r="DZ31" s="139"/>
      <c r="EA31" s="139"/>
      <c r="EB31" s="139"/>
      <c r="EC31" s="139"/>
      <c r="ED31" s="139"/>
      <c r="EE31" s="139"/>
      <c r="EF31" s="139"/>
      <c r="EG31" s="139"/>
      <c r="EH31" s="139"/>
      <c r="EI31" s="139"/>
      <c r="EJ31" s="139"/>
      <c r="EK31" s="139"/>
      <c r="EL31" s="139"/>
      <c r="EM31" s="139"/>
      <c r="EN31" s="139"/>
      <c r="EO31" s="139"/>
      <c r="EP31" s="139"/>
      <c r="EQ31" s="139"/>
      <c r="ER31" s="139"/>
      <c r="ES31" s="139"/>
      <c r="ET31" s="139"/>
      <c r="EU31" s="139"/>
      <c r="EV31" s="139"/>
      <c r="EW31" s="139"/>
      <c r="EX31" s="139"/>
      <c r="EY31" s="139"/>
      <c r="EZ31" s="139"/>
      <c r="FA31" s="139"/>
      <c r="FB31" s="139"/>
      <c r="FC31" s="139"/>
      <c r="FD31" s="139"/>
      <c r="FE31" s="139"/>
      <c r="FF31" s="139"/>
      <c r="FG31" s="139"/>
      <c r="FH31" s="139"/>
      <c r="FI31" s="139"/>
      <c r="FJ31" s="139"/>
      <c r="FK31" s="139"/>
      <c r="FL31" s="139"/>
      <c r="FM31" s="139"/>
      <c r="FN31" s="139"/>
      <c r="FO31" s="139"/>
      <c r="FP31" s="139"/>
      <c r="FQ31" s="139"/>
      <c r="FR31" s="139"/>
      <c r="FS31" s="139"/>
      <c r="FT31" s="139"/>
      <c r="FU31" s="139"/>
      <c r="FV31" s="139"/>
      <c r="FW31" s="139"/>
      <c r="FX31" s="139"/>
      <c r="FY31" s="139"/>
      <c r="FZ31" s="139"/>
      <c r="GA31" s="139"/>
      <c r="GB31" s="139"/>
      <c r="GC31" s="139"/>
      <c r="GD31" s="139"/>
      <c r="GE31" s="139"/>
      <c r="GF31" s="139"/>
      <c r="GG31" s="139"/>
      <c r="GH31" s="139"/>
      <c r="GI31" s="139"/>
      <c r="GJ31" s="139"/>
      <c r="GK31" s="139"/>
      <c r="GL31" s="139"/>
      <c r="GM31" s="139"/>
      <c r="GN31" s="139"/>
      <c r="GO31" s="139"/>
      <c r="GP31" s="139"/>
      <c r="GQ31" s="139"/>
      <c r="GR31" s="139"/>
      <c r="GS31" s="139"/>
      <c r="GT31" s="139"/>
      <c r="GU31" s="139"/>
      <c r="GV31" s="139"/>
      <c r="GW31" s="139"/>
      <c r="GX31" s="139"/>
      <c r="GY31" s="139"/>
      <c r="GZ31" s="139"/>
      <c r="HA31" s="139"/>
      <c r="HB31" s="139"/>
      <c r="HC31" s="139"/>
      <c r="HD31" s="139"/>
      <c r="HE31" s="139"/>
      <c r="HF31" s="139"/>
      <c r="HG31" s="139"/>
      <c r="HH31" s="139"/>
      <c r="HI31" s="139"/>
      <c r="HJ31" s="139"/>
      <c r="HK31" s="139"/>
      <c r="HL31" s="139"/>
      <c r="HM31" s="139"/>
      <c r="HN31" s="139"/>
    </row>
    <row r="32" spans="1:222" ht="15" x14ac:dyDescent="0.25">
      <c r="A32" s="139"/>
      <c r="B32" s="133" t="s">
        <v>100</v>
      </c>
      <c r="C32" s="139"/>
      <c r="D32" s="139">
        <v>0.66372585823775665</v>
      </c>
      <c r="E32" s="139">
        <v>0.67699374683001745</v>
      </c>
      <c r="F32" s="139">
        <v>0.66030550841523861</v>
      </c>
      <c r="G32" s="139">
        <v>0.68219614075207058</v>
      </c>
      <c r="H32" s="139">
        <v>0.68063502623821992</v>
      </c>
      <c r="I32" s="139">
        <v>0.68190375446796703</v>
      </c>
      <c r="J32" s="139">
        <v>0.68127887067735271</v>
      </c>
      <c r="K32" s="139">
        <v>0.68630310947052131</v>
      </c>
      <c r="L32" s="139">
        <v>0.67145775388919327</v>
      </c>
      <c r="M32" s="139">
        <v>0.66574022329238514</v>
      </c>
      <c r="N32" s="139">
        <v>0.65848665634150172</v>
      </c>
      <c r="O32" s="139">
        <v>0.67487834242583322</v>
      </c>
      <c r="P32" s="139">
        <v>0.6848595720547993</v>
      </c>
      <c r="Q32" s="139">
        <v>0.66626602671230628</v>
      </c>
      <c r="R32" s="139">
        <v>0.65560551704575731</v>
      </c>
      <c r="S32" s="139">
        <v>0.67015860342689548</v>
      </c>
      <c r="T32" s="139">
        <v>0.68221121786303862</v>
      </c>
      <c r="U32" s="139">
        <v>0.67740294217925912</v>
      </c>
      <c r="V32" s="139">
        <v>0.68931327702033518</v>
      </c>
      <c r="W32" s="139">
        <v>0.679180324246067</v>
      </c>
      <c r="X32" s="139">
        <v>0.64721997235191808</v>
      </c>
      <c r="Y32" s="139">
        <v>0.6585292566851616</v>
      </c>
      <c r="Z32" s="139">
        <v>0.67523430118835515</v>
      </c>
      <c r="AA32" s="139">
        <v>0.68670088073097602</v>
      </c>
      <c r="AB32" s="139">
        <v>0.665128192885592</v>
      </c>
      <c r="AC32" s="139">
        <v>0.69396514004055465</v>
      </c>
      <c r="AD32" s="139">
        <v>0.67747494921387308</v>
      </c>
      <c r="AE32" s="139">
        <v>0.66596703594677109</v>
      </c>
      <c r="AF32" s="139">
        <v>0.64625201971836244</v>
      </c>
      <c r="AG32" s="139">
        <v>0.5931406777639775</v>
      </c>
      <c r="AH32" s="139">
        <v>0.62196559938176843</v>
      </c>
      <c r="AI32" s="139">
        <v>0.62987494143368639</v>
      </c>
      <c r="AJ32" s="139">
        <v>0.63551869624666946</v>
      </c>
      <c r="AK32" s="139">
        <v>0.6166094512485969</v>
      </c>
      <c r="AL32" s="139">
        <v>0.62995978675860553</v>
      </c>
      <c r="AM32" s="139">
        <v>0.59723764011958791</v>
      </c>
      <c r="AN32" s="139">
        <v>0.67749272404387839</v>
      </c>
      <c r="AO32" s="139">
        <v>0.67227962145597331</v>
      </c>
      <c r="AP32" s="139"/>
      <c r="AQ32" s="139"/>
      <c r="AR32" s="139"/>
      <c r="AS32" s="139"/>
      <c r="AT32" s="139"/>
      <c r="AU32" s="139"/>
      <c r="AV32" s="139"/>
      <c r="AW32" s="139"/>
      <c r="AX32" s="139"/>
      <c r="AY32" s="139"/>
      <c r="AZ32" s="139"/>
      <c r="BA32" s="139"/>
      <c r="BB32" s="139"/>
      <c r="BC32" s="139"/>
      <c r="BD32" s="139"/>
      <c r="BE32" s="139"/>
      <c r="BF32" s="139"/>
      <c r="BG32" s="139"/>
      <c r="BH32" s="139"/>
      <c r="BI32" s="139"/>
      <c r="BJ32" s="139"/>
      <c r="BK32" s="139"/>
      <c r="BL32" s="139"/>
      <c r="BM32" s="139"/>
      <c r="BN32" s="139"/>
      <c r="BO32" s="139"/>
      <c r="BP32" s="139"/>
      <c r="BQ32" s="139"/>
      <c r="BR32" s="139"/>
      <c r="BS32" s="139"/>
      <c r="BT32" s="139"/>
      <c r="BU32" s="139"/>
      <c r="BV32" s="139"/>
      <c r="BW32" s="139"/>
      <c r="BX32" s="139"/>
      <c r="BY32" s="139"/>
      <c r="BZ32" s="139"/>
      <c r="CA32" s="139"/>
      <c r="CB32" s="139"/>
      <c r="CC32" s="139"/>
      <c r="CD32" s="139"/>
      <c r="CE32" s="139"/>
      <c r="CF32" s="139"/>
      <c r="CG32" s="139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A32" s="139"/>
      <c r="DB32" s="139"/>
      <c r="DC32" s="139"/>
      <c r="DD32" s="139"/>
      <c r="DE32" s="139"/>
      <c r="DF32" s="139"/>
      <c r="DG32" s="139"/>
      <c r="DH32" s="139"/>
      <c r="DI32" s="139"/>
      <c r="DJ32" s="139"/>
      <c r="DK32" s="139"/>
      <c r="DL32" s="139"/>
      <c r="DM32" s="139"/>
      <c r="DN32" s="139"/>
      <c r="DO32" s="139"/>
      <c r="DP32" s="139"/>
      <c r="DQ32" s="139"/>
      <c r="DR32" s="139"/>
      <c r="DS32" s="139"/>
      <c r="DT32" s="139"/>
      <c r="DU32" s="139"/>
      <c r="DV32" s="139"/>
      <c r="DW32" s="139"/>
      <c r="DX32" s="139"/>
      <c r="DY32" s="139"/>
      <c r="DZ32" s="139"/>
      <c r="EA32" s="139"/>
      <c r="EB32" s="139"/>
      <c r="EC32" s="139"/>
      <c r="ED32" s="139"/>
      <c r="EE32" s="139"/>
      <c r="EF32" s="139"/>
      <c r="EG32" s="139"/>
      <c r="EH32" s="139"/>
      <c r="EI32" s="139"/>
      <c r="EJ32" s="139"/>
      <c r="EK32" s="139"/>
      <c r="EL32" s="139"/>
      <c r="EM32" s="139"/>
      <c r="EN32" s="139"/>
      <c r="EO32" s="139"/>
      <c r="EP32" s="139"/>
      <c r="EQ32" s="139"/>
      <c r="ER32" s="139"/>
      <c r="ES32" s="139"/>
      <c r="ET32" s="139"/>
      <c r="EU32" s="139"/>
      <c r="EV32" s="139"/>
      <c r="EW32" s="139"/>
      <c r="EX32" s="139"/>
      <c r="EY32" s="139"/>
      <c r="EZ32" s="139"/>
      <c r="FA32" s="139"/>
      <c r="FB32" s="139"/>
      <c r="FC32" s="139"/>
      <c r="FD32" s="139"/>
      <c r="FE32" s="139"/>
      <c r="FF32" s="139"/>
      <c r="FG32" s="139"/>
      <c r="FH32" s="139"/>
      <c r="FI32" s="139"/>
      <c r="FJ32" s="139"/>
      <c r="FK32" s="139"/>
      <c r="FL32" s="139"/>
      <c r="FM32" s="139"/>
      <c r="FN32" s="139"/>
      <c r="FO32" s="139"/>
      <c r="FP32" s="139"/>
      <c r="FQ32" s="139"/>
      <c r="FR32" s="139"/>
      <c r="FS32" s="139"/>
      <c r="FT32" s="139"/>
      <c r="FU32" s="139"/>
      <c r="FV32" s="139"/>
      <c r="FW32" s="139"/>
      <c r="FX32" s="139"/>
      <c r="FY32" s="139"/>
      <c r="FZ32" s="139"/>
      <c r="GA32" s="139"/>
      <c r="GB32" s="139"/>
      <c r="GC32" s="139"/>
      <c r="GD32" s="139"/>
      <c r="GE32" s="139"/>
      <c r="GF32" s="139"/>
      <c r="GG32" s="139"/>
      <c r="GH32" s="139"/>
      <c r="GI32" s="139"/>
      <c r="GJ32" s="139"/>
      <c r="GK32" s="139"/>
      <c r="GL32" s="139"/>
      <c r="GM32" s="139"/>
      <c r="GN32" s="139"/>
      <c r="GO32" s="139"/>
      <c r="GP32" s="139"/>
      <c r="GQ32" s="139"/>
      <c r="GR32" s="139"/>
      <c r="GS32" s="139"/>
      <c r="GT32" s="139"/>
      <c r="GU32" s="139"/>
      <c r="GV32" s="139"/>
      <c r="GW32" s="139"/>
      <c r="GX32" s="139"/>
      <c r="GY32" s="139"/>
      <c r="GZ32" s="139"/>
      <c r="HA32" s="139"/>
      <c r="HB32" s="139"/>
      <c r="HC32" s="139"/>
      <c r="HD32" s="139"/>
      <c r="HE32" s="139"/>
      <c r="HF32" s="139"/>
      <c r="HG32" s="139"/>
      <c r="HH32" s="139"/>
      <c r="HI32" s="139"/>
      <c r="HJ32" s="139"/>
      <c r="HK32" s="139"/>
      <c r="HL32" s="139"/>
      <c r="HM32" s="139"/>
      <c r="HN32" s="139"/>
    </row>
    <row r="33" spans="1:222" ht="15" x14ac:dyDescent="0.25">
      <c r="A33" s="139"/>
      <c r="B33" s="132" t="s">
        <v>101</v>
      </c>
      <c r="C33" s="139"/>
      <c r="D33" s="139">
        <v>0.24351118712749129</v>
      </c>
      <c r="E33" s="139">
        <v>0.24505631451515344</v>
      </c>
      <c r="F33" s="139">
        <v>0.23342969885963877</v>
      </c>
      <c r="G33" s="139">
        <v>0.23925560438216614</v>
      </c>
      <c r="H33" s="139">
        <v>0.23557644838513295</v>
      </c>
      <c r="I33" s="139">
        <v>0.24456715307573415</v>
      </c>
      <c r="J33" s="139">
        <v>0.23875311786917558</v>
      </c>
      <c r="K33" s="139">
        <v>0.23085135164933038</v>
      </c>
      <c r="L33" s="139">
        <v>0.25242435456149281</v>
      </c>
      <c r="M33" s="139">
        <v>0.2453942262543217</v>
      </c>
      <c r="N33" s="139">
        <v>0.24157832065277704</v>
      </c>
      <c r="O33" s="139">
        <v>0.2544533952263569</v>
      </c>
      <c r="P33" s="139">
        <v>0.23547219173485712</v>
      </c>
      <c r="Q33" s="139">
        <v>0.22543145895240707</v>
      </c>
      <c r="R33" s="139">
        <v>0.25187846889419779</v>
      </c>
      <c r="S33" s="139">
        <v>0.22618221772139394</v>
      </c>
      <c r="T33" s="139">
        <v>0.20603036973992989</v>
      </c>
      <c r="U33" s="139">
        <v>0.23572779338598357</v>
      </c>
      <c r="V33" s="139">
        <v>0.24899523710763846</v>
      </c>
      <c r="W33" s="139">
        <v>0.24273769366161208</v>
      </c>
      <c r="X33" s="139">
        <v>0.24767176656389042</v>
      </c>
      <c r="Y33" s="139">
        <v>0.23884147206042386</v>
      </c>
      <c r="Z33" s="139">
        <v>0.22899398871224297</v>
      </c>
      <c r="AA33" s="139">
        <v>0.22492548633045004</v>
      </c>
      <c r="AB33" s="139">
        <v>0.22201592930274858</v>
      </c>
      <c r="AC33" s="139">
        <v>0.21451998100737202</v>
      </c>
      <c r="AD33" s="139">
        <v>0.22090824031562534</v>
      </c>
      <c r="AE33" s="139">
        <v>0.22736048613632645</v>
      </c>
      <c r="AF33" s="139">
        <v>0.21895056759136552</v>
      </c>
      <c r="AG33" s="139">
        <v>0.21688986469719121</v>
      </c>
      <c r="AH33" s="139">
        <v>0.22335103228046471</v>
      </c>
      <c r="AI33" s="139">
        <v>0.20852309492155388</v>
      </c>
      <c r="AJ33" s="139">
        <v>0.20531079587117995</v>
      </c>
      <c r="AK33" s="139">
        <v>0.22010970498641208</v>
      </c>
      <c r="AL33" s="139">
        <v>0.22125657989212602</v>
      </c>
      <c r="AM33" s="139">
        <v>0.22795139479529375</v>
      </c>
      <c r="AN33" s="139">
        <v>0.22470649202953871</v>
      </c>
      <c r="AO33" s="139">
        <v>0.22667931875249578</v>
      </c>
      <c r="AP33" s="139"/>
      <c r="AQ33" s="139"/>
      <c r="AR33" s="139"/>
      <c r="AS33" s="139"/>
      <c r="AT33" s="139"/>
      <c r="AU33" s="139"/>
      <c r="AV33" s="139"/>
      <c r="AW33" s="139"/>
      <c r="AX33" s="139"/>
      <c r="AY33" s="139"/>
      <c r="AZ33" s="139"/>
      <c r="BA33" s="139"/>
      <c r="BB33" s="139"/>
      <c r="BC33" s="139"/>
      <c r="BD33" s="139"/>
      <c r="BE33" s="139"/>
      <c r="BF33" s="139"/>
      <c r="BG33" s="139"/>
      <c r="BH33" s="139"/>
      <c r="BI33" s="139"/>
      <c r="BJ33" s="139"/>
      <c r="BK33" s="139"/>
      <c r="BL33" s="139"/>
      <c r="BM33" s="139"/>
      <c r="BN33" s="139"/>
      <c r="BO33" s="139"/>
      <c r="BP33" s="139"/>
      <c r="BQ33" s="139"/>
      <c r="BR33" s="139"/>
      <c r="BS33" s="139"/>
      <c r="BT33" s="139"/>
      <c r="BU33" s="139"/>
      <c r="BV33" s="139"/>
      <c r="BW33" s="139"/>
      <c r="BX33" s="139"/>
      <c r="BY33" s="139"/>
      <c r="BZ33" s="139"/>
      <c r="CA33" s="139"/>
      <c r="CB33" s="139"/>
      <c r="CC33" s="139"/>
      <c r="CD33" s="139"/>
      <c r="CE33" s="139"/>
      <c r="CF33" s="139"/>
      <c r="CG33" s="139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A33" s="139"/>
      <c r="DB33" s="139"/>
      <c r="DC33" s="139"/>
      <c r="DD33" s="139"/>
      <c r="DE33" s="139"/>
      <c r="DF33" s="139"/>
      <c r="DG33" s="139"/>
      <c r="DH33" s="139"/>
      <c r="DI33" s="139"/>
      <c r="DJ33" s="139"/>
      <c r="DK33" s="139"/>
      <c r="DL33" s="139"/>
      <c r="DM33" s="139"/>
      <c r="DN33" s="139"/>
      <c r="DO33" s="139"/>
      <c r="DP33" s="139"/>
      <c r="DQ33" s="139"/>
      <c r="DR33" s="139"/>
      <c r="DS33" s="139"/>
      <c r="DT33" s="139"/>
      <c r="DU33" s="139"/>
      <c r="DV33" s="139"/>
      <c r="DW33" s="139"/>
      <c r="DX33" s="139"/>
      <c r="DY33" s="139"/>
      <c r="DZ33" s="139"/>
      <c r="EA33" s="139"/>
      <c r="EB33" s="139"/>
      <c r="EC33" s="139"/>
      <c r="ED33" s="139"/>
      <c r="EE33" s="139"/>
      <c r="EF33" s="139"/>
      <c r="EG33" s="139"/>
      <c r="EH33" s="139"/>
      <c r="EI33" s="139"/>
      <c r="EJ33" s="139"/>
      <c r="EK33" s="139"/>
      <c r="EL33" s="139"/>
      <c r="EM33" s="139"/>
      <c r="EN33" s="139"/>
      <c r="EO33" s="139"/>
      <c r="EP33" s="139"/>
      <c r="EQ33" s="139"/>
      <c r="ER33" s="139"/>
      <c r="ES33" s="139"/>
      <c r="ET33" s="139"/>
      <c r="EU33" s="139"/>
      <c r="EV33" s="139"/>
      <c r="EW33" s="139"/>
      <c r="EX33" s="139"/>
      <c r="EY33" s="139"/>
      <c r="EZ33" s="139"/>
      <c r="FA33" s="139"/>
      <c r="FB33" s="139"/>
      <c r="FC33" s="139"/>
      <c r="FD33" s="139"/>
      <c r="FE33" s="139"/>
      <c r="FF33" s="139"/>
      <c r="FG33" s="139"/>
      <c r="FH33" s="139"/>
      <c r="FI33" s="139"/>
      <c r="FJ33" s="139"/>
      <c r="FK33" s="139"/>
      <c r="FL33" s="139"/>
      <c r="FM33" s="139"/>
      <c r="FN33" s="139"/>
      <c r="FO33" s="139"/>
      <c r="FP33" s="139"/>
      <c r="FQ33" s="139"/>
      <c r="FR33" s="139"/>
      <c r="FS33" s="139"/>
      <c r="FT33" s="139"/>
      <c r="FU33" s="139"/>
      <c r="FV33" s="139"/>
      <c r="FW33" s="139"/>
      <c r="FX33" s="139"/>
      <c r="FY33" s="139"/>
      <c r="FZ33" s="139"/>
      <c r="GA33" s="139"/>
      <c r="GB33" s="139"/>
      <c r="GC33" s="139"/>
      <c r="GD33" s="139"/>
      <c r="GE33" s="139"/>
      <c r="GF33" s="139"/>
      <c r="GG33" s="139"/>
      <c r="GH33" s="139"/>
      <c r="GI33" s="139"/>
      <c r="GJ33" s="139"/>
      <c r="GK33" s="139"/>
      <c r="GL33" s="139"/>
      <c r="GM33" s="139"/>
      <c r="GN33" s="139"/>
      <c r="GO33" s="139"/>
      <c r="GP33" s="139"/>
      <c r="GQ33" s="139"/>
      <c r="GR33" s="139"/>
      <c r="GS33" s="139"/>
      <c r="GT33" s="139"/>
      <c r="GU33" s="139"/>
      <c r="GV33" s="139"/>
      <c r="GW33" s="139"/>
      <c r="GX33" s="139"/>
      <c r="GY33" s="139"/>
      <c r="GZ33" s="139"/>
      <c r="HA33" s="139"/>
      <c r="HB33" s="139"/>
      <c r="HC33" s="139"/>
      <c r="HD33" s="139"/>
      <c r="HE33" s="139"/>
      <c r="HF33" s="139"/>
      <c r="HG33" s="139"/>
      <c r="HH33" s="139"/>
      <c r="HI33" s="139"/>
      <c r="HJ33" s="139"/>
      <c r="HK33" s="139"/>
      <c r="HL33" s="139"/>
      <c r="HM33" s="139"/>
      <c r="HN33" s="139"/>
    </row>
    <row r="34" spans="1:222" ht="15" x14ac:dyDescent="0.25">
      <c r="A34" s="139"/>
      <c r="B34" s="133" t="s">
        <v>102</v>
      </c>
      <c r="C34" s="139"/>
      <c r="D34" s="139">
        <v>3.2320286311714251E-3</v>
      </c>
      <c r="E34" s="139">
        <v>2.9633427411189127E-3</v>
      </c>
      <c r="F34" s="139">
        <v>2.8710625340849717E-3</v>
      </c>
      <c r="G34" s="139">
        <v>3.1005263164328618E-3</v>
      </c>
      <c r="H34" s="139">
        <v>3.1631752028180244E-3</v>
      </c>
      <c r="I34" s="139">
        <v>3.4107806969741511E-3</v>
      </c>
      <c r="J34" s="139">
        <v>3.2587413878446682E-3</v>
      </c>
      <c r="K34" s="139">
        <v>3.336530725719487E-3</v>
      </c>
      <c r="L34" s="139">
        <v>3.5441911577126857E-3</v>
      </c>
      <c r="M34" s="139">
        <v>3.4535898929045753E-3</v>
      </c>
      <c r="N34" s="139">
        <v>3.3048433880423209E-3</v>
      </c>
      <c r="O34" s="139">
        <v>3.2573012640633326E-3</v>
      </c>
      <c r="P34" s="139">
        <v>3.1701876327344569E-3</v>
      </c>
      <c r="Q34" s="139">
        <v>3.0694587475001579E-3</v>
      </c>
      <c r="R34" s="139">
        <v>3.1700161636176324E-3</v>
      </c>
      <c r="S34" s="139">
        <v>3.480615161820539E-3</v>
      </c>
      <c r="T34" s="139">
        <v>3.1521994028421403E-3</v>
      </c>
      <c r="U34" s="139">
        <v>3.0870643917965336E-3</v>
      </c>
      <c r="V34" s="139">
        <v>3.1257541489749141E-3</v>
      </c>
      <c r="W34" s="139">
        <v>3.0598749805476931E-3</v>
      </c>
      <c r="X34" s="139">
        <v>3.0309856936158682E-3</v>
      </c>
      <c r="Y34" s="139">
        <v>2.9211563396739394E-3</v>
      </c>
      <c r="Z34" s="139">
        <v>3.0458749352851619E-3</v>
      </c>
      <c r="AA34" s="139">
        <v>3.196904419422469E-3</v>
      </c>
      <c r="AB34" s="139">
        <v>3.4374580364891793E-3</v>
      </c>
      <c r="AC34" s="139">
        <v>3.595385803998315E-3</v>
      </c>
      <c r="AD34" s="139">
        <v>3.6799384817412148E-3</v>
      </c>
      <c r="AE34" s="139">
        <v>3.43628642375209E-3</v>
      </c>
      <c r="AF34" s="139">
        <v>3.0899563466534712E-3</v>
      </c>
      <c r="AG34" s="139">
        <v>3.2191140831499859E-3</v>
      </c>
      <c r="AH34" s="139">
        <v>2.8721151933421506E-3</v>
      </c>
      <c r="AI34" s="139">
        <v>2.7888183932232671E-3</v>
      </c>
      <c r="AJ34" s="139">
        <v>2.8722059540612077E-3</v>
      </c>
      <c r="AK34" s="139">
        <v>3.4204363104790303E-3</v>
      </c>
      <c r="AL34" s="139">
        <v>2.7087862337748614E-3</v>
      </c>
      <c r="AM34" s="139">
        <v>2.6570092666315256E-3</v>
      </c>
      <c r="AN34" s="139">
        <v>2.6357934226141273E-3</v>
      </c>
      <c r="AO34" s="139">
        <v>2.6240148435995995E-3</v>
      </c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39"/>
      <c r="BS34" s="139"/>
      <c r="BT34" s="139"/>
      <c r="BU34" s="139"/>
      <c r="BV34" s="139"/>
      <c r="BW34" s="139"/>
      <c r="BX34" s="139"/>
      <c r="BY34" s="139"/>
      <c r="BZ34" s="139"/>
      <c r="CA34" s="139"/>
      <c r="CB34" s="139"/>
      <c r="CC34" s="139"/>
      <c r="CD34" s="139"/>
      <c r="CE34" s="139"/>
      <c r="CF34" s="139"/>
      <c r="CG34" s="139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A34" s="139"/>
      <c r="DB34" s="139"/>
      <c r="DC34" s="139"/>
      <c r="DD34" s="139"/>
      <c r="DE34" s="139"/>
      <c r="DF34" s="139"/>
      <c r="DG34" s="139"/>
      <c r="DH34" s="139"/>
      <c r="DI34" s="139"/>
      <c r="DJ34" s="139"/>
      <c r="DK34" s="139"/>
      <c r="DL34" s="139"/>
      <c r="DM34" s="139"/>
      <c r="DN34" s="139"/>
      <c r="DO34" s="139"/>
      <c r="DP34" s="139"/>
      <c r="DQ34" s="139"/>
      <c r="DR34" s="139"/>
      <c r="DS34" s="139"/>
      <c r="DT34" s="139"/>
      <c r="DU34" s="139"/>
      <c r="DV34" s="139"/>
      <c r="DW34" s="139"/>
      <c r="DX34" s="139"/>
      <c r="DY34" s="139"/>
      <c r="DZ34" s="139"/>
      <c r="EA34" s="139"/>
      <c r="EB34" s="139"/>
      <c r="EC34" s="139"/>
      <c r="ED34" s="139"/>
      <c r="EE34" s="139"/>
      <c r="EF34" s="139"/>
      <c r="EG34" s="139"/>
      <c r="EH34" s="139"/>
      <c r="EI34" s="139"/>
      <c r="EJ34" s="139"/>
      <c r="EK34" s="139"/>
      <c r="EL34" s="139"/>
      <c r="EM34" s="139"/>
      <c r="EN34" s="139"/>
      <c r="EO34" s="139"/>
      <c r="EP34" s="139"/>
      <c r="EQ34" s="139"/>
      <c r="ER34" s="139"/>
      <c r="ES34" s="139"/>
      <c r="ET34" s="139"/>
      <c r="EU34" s="139"/>
      <c r="EV34" s="139"/>
      <c r="EW34" s="139"/>
      <c r="EX34" s="139"/>
      <c r="EY34" s="139"/>
      <c r="EZ34" s="139"/>
      <c r="FA34" s="139"/>
      <c r="FB34" s="139"/>
      <c r="FC34" s="139"/>
      <c r="FD34" s="139"/>
      <c r="FE34" s="139"/>
      <c r="FF34" s="139"/>
      <c r="FG34" s="139"/>
      <c r="FH34" s="139"/>
      <c r="FI34" s="139"/>
      <c r="FJ34" s="139"/>
      <c r="FK34" s="139"/>
      <c r="FL34" s="139"/>
      <c r="FM34" s="139"/>
      <c r="FN34" s="139"/>
      <c r="FO34" s="139"/>
      <c r="FP34" s="139"/>
      <c r="FQ34" s="139"/>
      <c r="FR34" s="139"/>
      <c r="FS34" s="139"/>
      <c r="FT34" s="139"/>
      <c r="FU34" s="139"/>
      <c r="FV34" s="139"/>
      <c r="FW34" s="139"/>
      <c r="FX34" s="139"/>
      <c r="FY34" s="139"/>
      <c r="FZ34" s="139"/>
      <c r="GA34" s="139"/>
      <c r="GB34" s="139"/>
      <c r="GC34" s="139"/>
      <c r="GD34" s="139"/>
      <c r="GE34" s="139"/>
      <c r="GF34" s="139"/>
      <c r="GG34" s="139"/>
      <c r="GH34" s="139"/>
      <c r="GI34" s="139"/>
      <c r="GJ34" s="139"/>
      <c r="GK34" s="139"/>
      <c r="GL34" s="139"/>
      <c r="GM34" s="139"/>
      <c r="GN34" s="139"/>
      <c r="GO34" s="139"/>
      <c r="GP34" s="139"/>
      <c r="GQ34" s="139"/>
      <c r="GR34" s="139"/>
      <c r="GS34" s="139"/>
      <c r="GT34" s="139"/>
      <c r="GU34" s="139"/>
      <c r="GV34" s="139"/>
      <c r="GW34" s="139"/>
      <c r="GX34" s="139"/>
      <c r="GY34" s="139"/>
      <c r="GZ34" s="139"/>
      <c r="HA34" s="139"/>
      <c r="HB34" s="139"/>
      <c r="HC34" s="139"/>
      <c r="HD34" s="139"/>
      <c r="HE34" s="139"/>
      <c r="HF34" s="139"/>
      <c r="HG34" s="139"/>
      <c r="HH34" s="139"/>
      <c r="HI34" s="139"/>
      <c r="HJ34" s="139"/>
      <c r="HK34" s="139"/>
      <c r="HL34" s="139"/>
      <c r="HM34" s="139"/>
      <c r="HN34" s="139"/>
    </row>
    <row r="35" spans="1:222" ht="15" x14ac:dyDescent="0.25">
      <c r="A35" s="139"/>
      <c r="B35" s="133" t="s">
        <v>103</v>
      </c>
      <c r="C35" s="139"/>
      <c r="D35" s="139">
        <v>5.5271990641102997E-2</v>
      </c>
      <c r="E35" s="139">
        <v>5.6365941079539288E-2</v>
      </c>
      <c r="F35" s="139">
        <v>5.4206060089887591E-2</v>
      </c>
      <c r="G35" s="139">
        <v>5.441227477506444E-2</v>
      </c>
      <c r="H35" s="139">
        <v>5.32655606202335E-2</v>
      </c>
      <c r="I35" s="139">
        <v>5.3521493603276307E-2</v>
      </c>
      <c r="J35" s="139">
        <v>5.4305842444129372E-2</v>
      </c>
      <c r="K35" s="139">
        <v>5.5168594952595643E-2</v>
      </c>
      <c r="L35" s="139">
        <v>5.7591132675153374E-2</v>
      </c>
      <c r="M35" s="139">
        <v>5.6307509560417621E-2</v>
      </c>
      <c r="N35" s="139">
        <v>5.5116120023171865E-2</v>
      </c>
      <c r="O35" s="139">
        <v>5.7409166417571759E-2</v>
      </c>
      <c r="P35" s="139">
        <v>5.3409383904372235E-2</v>
      </c>
      <c r="Q35" s="139">
        <v>5.365112528913258E-2</v>
      </c>
      <c r="R35" s="139">
        <v>5.6758196302812779E-2</v>
      </c>
      <c r="S35" s="139">
        <v>5.6879381166070025E-2</v>
      </c>
      <c r="T35" s="139">
        <v>4.3072860976186532E-2</v>
      </c>
      <c r="U35" s="139">
        <v>5.2222361469645373E-2</v>
      </c>
      <c r="V35" s="139">
        <v>5.6934916151496276E-2</v>
      </c>
      <c r="W35" s="139">
        <v>5.8938501776541308E-2</v>
      </c>
      <c r="X35" s="139">
        <v>6.4032401612416259E-2</v>
      </c>
      <c r="Y35" s="139">
        <v>5.7922060492391327E-2</v>
      </c>
      <c r="Z35" s="139">
        <v>5.4857651654414856E-2</v>
      </c>
      <c r="AA35" s="139">
        <v>5.3791960668280264E-2</v>
      </c>
      <c r="AB35" s="139">
        <v>5.3777580009088569E-2</v>
      </c>
      <c r="AC35" s="139">
        <v>4.9528298625483663E-2</v>
      </c>
      <c r="AD35" s="139">
        <v>5.3709570710034293E-2</v>
      </c>
      <c r="AE35" s="139">
        <v>5.413174876191279E-2</v>
      </c>
      <c r="AF35" s="139">
        <v>5.1296482449224322E-2</v>
      </c>
      <c r="AG35" s="139">
        <v>5.1759787593441291E-2</v>
      </c>
      <c r="AH35" s="139">
        <v>5.0359361617374802E-2</v>
      </c>
      <c r="AI35" s="139">
        <v>4.8616211156003716E-2</v>
      </c>
      <c r="AJ35" s="139">
        <v>5.0394037327109086E-2</v>
      </c>
      <c r="AK35" s="139">
        <v>5.5295113263710817E-2</v>
      </c>
      <c r="AL35" s="139">
        <v>5.6598672986159615E-2</v>
      </c>
      <c r="AM35" s="139">
        <v>5.7865845642985046E-2</v>
      </c>
      <c r="AN35" s="139">
        <v>5.6632953987996712E-2</v>
      </c>
      <c r="AO35" s="139">
        <v>5.6246909038329546E-2</v>
      </c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9"/>
      <c r="BR35" s="139"/>
      <c r="BS35" s="139"/>
      <c r="BT35" s="139"/>
      <c r="BU35" s="139"/>
      <c r="BV35" s="139"/>
      <c r="BW35" s="139"/>
      <c r="BX35" s="139"/>
      <c r="BY35" s="139"/>
      <c r="BZ35" s="139"/>
      <c r="CA35" s="139"/>
      <c r="CB35" s="139"/>
      <c r="CC35" s="139"/>
      <c r="CD35" s="139"/>
      <c r="CE35" s="139"/>
      <c r="CF35" s="139"/>
      <c r="CG35" s="139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A35" s="139"/>
      <c r="DB35" s="139"/>
      <c r="DC35" s="139"/>
      <c r="DD35" s="139"/>
      <c r="DE35" s="139"/>
      <c r="DF35" s="139"/>
      <c r="DG35" s="139"/>
      <c r="DH35" s="139"/>
      <c r="DI35" s="139"/>
      <c r="DJ35" s="139"/>
      <c r="DK35" s="139"/>
      <c r="DL35" s="139"/>
      <c r="DM35" s="139"/>
      <c r="DN35" s="139"/>
      <c r="DO35" s="139"/>
      <c r="DP35" s="139"/>
      <c r="DQ35" s="139"/>
      <c r="DR35" s="139"/>
      <c r="DS35" s="139"/>
      <c r="DT35" s="139"/>
      <c r="DU35" s="139"/>
      <c r="DV35" s="139"/>
      <c r="DW35" s="139"/>
      <c r="DX35" s="139"/>
      <c r="DY35" s="139"/>
      <c r="DZ35" s="139"/>
      <c r="EA35" s="139"/>
      <c r="EB35" s="139"/>
      <c r="EC35" s="139"/>
      <c r="ED35" s="139"/>
      <c r="EE35" s="139"/>
      <c r="EF35" s="139"/>
      <c r="EG35" s="139"/>
      <c r="EH35" s="139"/>
      <c r="EI35" s="139"/>
      <c r="EJ35" s="139"/>
      <c r="EK35" s="139"/>
      <c r="EL35" s="139"/>
      <c r="EM35" s="139"/>
      <c r="EN35" s="139"/>
      <c r="EO35" s="139"/>
      <c r="EP35" s="139"/>
      <c r="EQ35" s="139"/>
      <c r="ER35" s="139"/>
      <c r="ES35" s="139"/>
      <c r="ET35" s="139"/>
      <c r="EU35" s="139"/>
      <c r="EV35" s="139"/>
      <c r="EW35" s="139"/>
      <c r="EX35" s="139"/>
      <c r="EY35" s="139"/>
      <c r="EZ35" s="139"/>
      <c r="FA35" s="139"/>
      <c r="FB35" s="139"/>
      <c r="FC35" s="139"/>
      <c r="FD35" s="139"/>
      <c r="FE35" s="139"/>
      <c r="FF35" s="139"/>
      <c r="FG35" s="139"/>
      <c r="FH35" s="139"/>
      <c r="FI35" s="139"/>
      <c r="FJ35" s="139"/>
      <c r="FK35" s="139"/>
      <c r="FL35" s="139"/>
      <c r="FM35" s="139"/>
      <c r="FN35" s="139"/>
      <c r="FO35" s="139"/>
      <c r="FP35" s="139"/>
      <c r="FQ35" s="139"/>
      <c r="FR35" s="139"/>
      <c r="FS35" s="139"/>
      <c r="FT35" s="139"/>
      <c r="FU35" s="139"/>
      <c r="FV35" s="139"/>
      <c r="FW35" s="139"/>
      <c r="FX35" s="139"/>
      <c r="FY35" s="139"/>
      <c r="FZ35" s="139"/>
      <c r="GA35" s="139"/>
      <c r="GB35" s="139"/>
      <c r="GC35" s="139"/>
      <c r="GD35" s="139"/>
      <c r="GE35" s="139"/>
      <c r="GF35" s="139"/>
      <c r="GG35" s="139"/>
      <c r="GH35" s="139"/>
      <c r="GI35" s="139"/>
      <c r="GJ35" s="139"/>
      <c r="GK35" s="139"/>
      <c r="GL35" s="139"/>
      <c r="GM35" s="139"/>
      <c r="GN35" s="139"/>
      <c r="GO35" s="139"/>
      <c r="GP35" s="139"/>
      <c r="GQ35" s="139"/>
      <c r="GR35" s="139"/>
      <c r="GS35" s="139"/>
      <c r="GT35" s="139"/>
      <c r="GU35" s="139"/>
      <c r="GV35" s="139"/>
      <c r="GW35" s="139"/>
      <c r="GX35" s="139"/>
      <c r="GY35" s="139"/>
      <c r="GZ35" s="139"/>
      <c r="HA35" s="139"/>
      <c r="HB35" s="139"/>
      <c r="HC35" s="139"/>
      <c r="HD35" s="139"/>
      <c r="HE35" s="139"/>
      <c r="HF35" s="139"/>
      <c r="HG35" s="139"/>
      <c r="HH35" s="139"/>
      <c r="HI35" s="139"/>
      <c r="HJ35" s="139"/>
      <c r="HK35" s="139"/>
      <c r="HL35" s="139"/>
      <c r="HM35" s="139"/>
      <c r="HN35" s="139"/>
    </row>
    <row r="36" spans="1:222" ht="15" x14ac:dyDescent="0.25">
      <c r="A36" s="139"/>
      <c r="B36" s="133" t="s">
        <v>104</v>
      </c>
      <c r="C36" s="139"/>
      <c r="D36" s="139">
        <v>9.0836503299571769E-2</v>
      </c>
      <c r="E36" s="139">
        <v>8.8614749751502728E-2</v>
      </c>
      <c r="F36" s="139">
        <v>8.4459537893289485E-2</v>
      </c>
      <c r="G36" s="139">
        <v>8.1710574540668629E-2</v>
      </c>
      <c r="H36" s="139">
        <v>8.1617189317346767E-2</v>
      </c>
      <c r="I36" s="139">
        <v>8.4565922533405974E-2</v>
      </c>
      <c r="J36" s="139">
        <v>8.2844080065021447E-2</v>
      </c>
      <c r="K36" s="139">
        <v>8.4631825044234069E-2</v>
      </c>
      <c r="L36" s="139">
        <v>9.0162637988419586E-2</v>
      </c>
      <c r="M36" s="139">
        <v>9.2055968725167941E-2</v>
      </c>
      <c r="N36" s="139">
        <v>8.9498051553266955E-2</v>
      </c>
      <c r="O36" s="139">
        <v>9.0540202874338824E-2</v>
      </c>
      <c r="P36" s="139">
        <v>8.4216269258191603E-2</v>
      </c>
      <c r="Q36" s="139">
        <v>8.2488965937644959E-2</v>
      </c>
      <c r="R36" s="139">
        <v>9.117355376095905E-2</v>
      </c>
      <c r="S36" s="139">
        <v>9.0820816993591139E-2</v>
      </c>
      <c r="T36" s="139">
        <v>7.0951692194260327E-2</v>
      </c>
      <c r="U36" s="139">
        <v>8.7249728899682757E-2</v>
      </c>
      <c r="V36" s="139">
        <v>9.4247727749272522E-2</v>
      </c>
      <c r="W36" s="139">
        <v>9.0949045827748556E-2</v>
      </c>
      <c r="X36" s="139">
        <v>9.0512711090118159E-2</v>
      </c>
      <c r="Y36" s="139">
        <v>8.2413868458017847E-2</v>
      </c>
      <c r="Z36" s="139">
        <v>7.8116324028873238E-2</v>
      </c>
      <c r="AA36" s="139">
        <v>7.6469450732110686E-2</v>
      </c>
      <c r="AB36" s="139">
        <v>7.8997384972990498E-2</v>
      </c>
      <c r="AC36" s="139">
        <v>7.5273091286611471E-2</v>
      </c>
      <c r="AD36" s="139">
        <v>8.1086055292383719E-2</v>
      </c>
      <c r="AE36" s="139">
        <v>8.4859044185179033E-2</v>
      </c>
      <c r="AF36" s="139">
        <v>8.3153252797707869E-2</v>
      </c>
      <c r="AG36" s="139">
        <v>8.4168649322963418E-2</v>
      </c>
      <c r="AH36" s="139">
        <v>8.1725652948460556E-2</v>
      </c>
      <c r="AI36" s="139">
        <v>7.7062586979704889E-2</v>
      </c>
      <c r="AJ36" s="139">
        <v>7.7433177383144203E-2</v>
      </c>
      <c r="AK36" s="139">
        <v>8.0935922006545397E-2</v>
      </c>
      <c r="AL36" s="139">
        <v>8.3871960464023856E-2</v>
      </c>
      <c r="AM36" s="139">
        <v>8.8633339138830397E-2</v>
      </c>
      <c r="AN36" s="139">
        <v>8.0525764794066743E-2</v>
      </c>
      <c r="AO36" s="139">
        <v>8.3813408656908728E-2</v>
      </c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9"/>
      <c r="BR36" s="139"/>
      <c r="BS36" s="139"/>
      <c r="BT36" s="139"/>
      <c r="BU36" s="139"/>
      <c r="BV36" s="139"/>
      <c r="BW36" s="139"/>
      <c r="BX36" s="139"/>
      <c r="BY36" s="139"/>
      <c r="BZ36" s="139"/>
      <c r="CA36" s="139"/>
      <c r="CB36" s="139"/>
      <c r="CC36" s="139"/>
      <c r="CD36" s="139"/>
      <c r="CE36" s="139"/>
      <c r="CF36" s="139"/>
      <c r="CG36" s="139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A36" s="139"/>
      <c r="DB36" s="139"/>
      <c r="DC36" s="139"/>
      <c r="DD36" s="139"/>
      <c r="DE36" s="139"/>
      <c r="DF36" s="139"/>
      <c r="DG36" s="139"/>
      <c r="DH36" s="139"/>
      <c r="DI36" s="139"/>
      <c r="DJ36" s="139"/>
      <c r="DK36" s="139"/>
      <c r="DL36" s="139"/>
      <c r="DM36" s="139"/>
      <c r="DN36" s="139"/>
      <c r="DO36" s="139"/>
      <c r="DP36" s="139"/>
      <c r="DQ36" s="139"/>
      <c r="DR36" s="139"/>
      <c r="DS36" s="139"/>
      <c r="DT36" s="139"/>
      <c r="DU36" s="139"/>
      <c r="DV36" s="139"/>
      <c r="DW36" s="139"/>
      <c r="DX36" s="139"/>
      <c r="DY36" s="139"/>
      <c r="DZ36" s="139"/>
      <c r="EA36" s="139"/>
      <c r="EB36" s="139"/>
      <c r="EC36" s="139"/>
      <c r="ED36" s="139"/>
      <c r="EE36" s="139"/>
      <c r="EF36" s="139"/>
      <c r="EG36" s="139"/>
      <c r="EH36" s="139"/>
      <c r="EI36" s="139"/>
      <c r="EJ36" s="139"/>
      <c r="EK36" s="139"/>
      <c r="EL36" s="139"/>
      <c r="EM36" s="139"/>
      <c r="EN36" s="139"/>
      <c r="EO36" s="139"/>
      <c r="EP36" s="139"/>
      <c r="EQ36" s="139"/>
      <c r="ER36" s="139"/>
      <c r="ES36" s="139"/>
      <c r="ET36" s="139"/>
      <c r="EU36" s="139"/>
      <c r="EV36" s="139"/>
      <c r="EW36" s="139"/>
      <c r="EX36" s="139"/>
      <c r="EY36" s="139"/>
      <c r="EZ36" s="139"/>
      <c r="FA36" s="139"/>
      <c r="FB36" s="139"/>
      <c r="FC36" s="139"/>
      <c r="FD36" s="139"/>
      <c r="FE36" s="139"/>
      <c r="FF36" s="139"/>
      <c r="FG36" s="139"/>
      <c r="FH36" s="139"/>
      <c r="FI36" s="139"/>
      <c r="FJ36" s="139"/>
      <c r="FK36" s="139"/>
      <c r="FL36" s="139"/>
      <c r="FM36" s="139"/>
      <c r="FN36" s="139"/>
      <c r="FO36" s="139"/>
      <c r="FP36" s="139"/>
      <c r="FQ36" s="139"/>
      <c r="FR36" s="139"/>
      <c r="FS36" s="139"/>
      <c r="FT36" s="139"/>
      <c r="FU36" s="139"/>
      <c r="FV36" s="139"/>
      <c r="FW36" s="139"/>
      <c r="FX36" s="139"/>
      <c r="FY36" s="139"/>
      <c r="FZ36" s="139"/>
      <c r="GA36" s="139"/>
      <c r="GB36" s="139"/>
      <c r="GC36" s="139"/>
      <c r="GD36" s="139"/>
      <c r="GE36" s="139"/>
      <c r="GF36" s="139"/>
      <c r="GG36" s="139"/>
      <c r="GH36" s="139"/>
      <c r="GI36" s="139"/>
      <c r="GJ36" s="139"/>
      <c r="GK36" s="139"/>
      <c r="GL36" s="139"/>
      <c r="GM36" s="139"/>
      <c r="GN36" s="139"/>
      <c r="GO36" s="139"/>
      <c r="GP36" s="139"/>
      <c r="GQ36" s="139"/>
      <c r="GR36" s="139"/>
      <c r="GS36" s="139"/>
      <c r="GT36" s="139"/>
      <c r="GU36" s="139"/>
      <c r="GV36" s="139"/>
      <c r="GW36" s="139"/>
      <c r="GX36" s="139"/>
      <c r="GY36" s="139"/>
      <c r="GZ36" s="139"/>
      <c r="HA36" s="139"/>
      <c r="HB36" s="139"/>
      <c r="HC36" s="139"/>
      <c r="HD36" s="139"/>
      <c r="HE36" s="139"/>
      <c r="HF36" s="139"/>
      <c r="HG36" s="139"/>
      <c r="HH36" s="139"/>
      <c r="HI36" s="139"/>
      <c r="HJ36" s="139"/>
      <c r="HK36" s="139"/>
      <c r="HL36" s="139"/>
      <c r="HM36" s="139"/>
      <c r="HN36" s="139"/>
    </row>
    <row r="37" spans="1:222" ht="15" x14ac:dyDescent="0.25">
      <c r="A37" s="139"/>
      <c r="B37" s="133" t="s">
        <v>105</v>
      </c>
      <c r="C37" s="139"/>
      <c r="D37" s="139">
        <v>1.7977487464577144E-2</v>
      </c>
      <c r="E37" s="139">
        <v>2.0321697275432933E-2</v>
      </c>
      <c r="F37" s="139">
        <v>1.6836331019333052E-2</v>
      </c>
      <c r="G37" s="139">
        <v>1.4517866090161851E-2</v>
      </c>
      <c r="H37" s="139">
        <v>2.0412108211316289E-2</v>
      </c>
      <c r="I37" s="139">
        <v>2.1413254258901931E-2</v>
      </c>
      <c r="J37" s="139">
        <v>1.9278678977455634E-2</v>
      </c>
      <c r="K37" s="139">
        <v>1.9111484375565112E-2</v>
      </c>
      <c r="L37" s="139">
        <v>1.9882493861512088E-2</v>
      </c>
      <c r="M37" s="139">
        <v>2.0610069093464214E-2</v>
      </c>
      <c r="N37" s="139">
        <v>1.9760479684061485E-2</v>
      </c>
      <c r="O37" s="139">
        <v>2.0872376195259335E-2</v>
      </c>
      <c r="P37" s="139">
        <v>1.9999885671505051E-2</v>
      </c>
      <c r="Q37" s="139">
        <v>1.755672265354882E-2</v>
      </c>
      <c r="R37" s="139">
        <v>1.8689031574887393E-2</v>
      </c>
      <c r="S37" s="139">
        <v>8.355469520794594E-3</v>
      </c>
      <c r="T37" s="139">
        <v>1.8717507378033908E-2</v>
      </c>
      <c r="U37" s="139">
        <v>1.7756849645446923E-2</v>
      </c>
      <c r="V37" s="139">
        <v>2.2534444141530011E-2</v>
      </c>
      <c r="W37" s="139">
        <v>1.9020430811239757E-2</v>
      </c>
      <c r="X37" s="139">
        <v>1.8920351338972258E-2</v>
      </c>
      <c r="Y37" s="139">
        <v>2.0177317429896563E-2</v>
      </c>
      <c r="Z37" s="139">
        <v>1.7116812277231042E-2</v>
      </c>
      <c r="AA37" s="139">
        <v>1.7506983863021564E-2</v>
      </c>
      <c r="AB37" s="139">
        <v>1.5541668950655396E-2</v>
      </c>
      <c r="AC37" s="139">
        <v>1.3856506015224321E-2</v>
      </c>
      <c r="AD37" s="139">
        <v>1.6297724149599943E-2</v>
      </c>
      <c r="AE37" s="139">
        <v>1.4962123977049387E-2</v>
      </c>
      <c r="AF37" s="139">
        <v>1.3230483618133938E-2</v>
      </c>
      <c r="AG37" s="139">
        <v>1.3758986053028112E-2</v>
      </c>
      <c r="AH37" s="139">
        <v>1.6601822990330528E-2</v>
      </c>
      <c r="AI37" s="139">
        <v>1.507603132239404E-2</v>
      </c>
      <c r="AJ37" s="139">
        <v>1.4113222415941063E-2</v>
      </c>
      <c r="AK37" s="139">
        <v>2.1492783253681851E-2</v>
      </c>
      <c r="AL37" s="139">
        <v>1.7107704552039155E-2</v>
      </c>
      <c r="AM37" s="139">
        <v>1.9423231141146954E-2</v>
      </c>
      <c r="AN37" s="139">
        <v>2.1989675035928746E-2</v>
      </c>
      <c r="AO37" s="139">
        <v>2.0086031176400707E-2</v>
      </c>
      <c r="AP37" s="139"/>
      <c r="AQ37" s="139"/>
      <c r="AR37" s="139"/>
      <c r="AS37" s="139"/>
      <c r="AT37" s="139"/>
      <c r="AU37" s="139"/>
      <c r="AV37" s="139"/>
      <c r="AW37" s="139"/>
      <c r="AX37" s="139"/>
      <c r="AY37" s="139"/>
      <c r="AZ37" s="139"/>
      <c r="BA37" s="139"/>
      <c r="BB37" s="139"/>
      <c r="BC37" s="139"/>
      <c r="BD37" s="139"/>
      <c r="BE37" s="139"/>
      <c r="BF37" s="139"/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9"/>
      <c r="BR37" s="139"/>
      <c r="BS37" s="139"/>
      <c r="BT37" s="139"/>
      <c r="BU37" s="139"/>
      <c r="BV37" s="139"/>
      <c r="BW37" s="139"/>
      <c r="BX37" s="139"/>
      <c r="BY37" s="139"/>
      <c r="BZ37" s="139"/>
      <c r="CA37" s="139"/>
      <c r="CB37" s="139"/>
      <c r="CC37" s="139"/>
      <c r="CD37" s="139"/>
      <c r="CE37" s="139"/>
      <c r="CF37" s="139"/>
      <c r="CG37" s="139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A37" s="139"/>
      <c r="DB37" s="139"/>
      <c r="DC37" s="139"/>
      <c r="DD37" s="139"/>
      <c r="DE37" s="139"/>
      <c r="DF37" s="139"/>
      <c r="DG37" s="139"/>
      <c r="DH37" s="139"/>
      <c r="DI37" s="139"/>
      <c r="DJ37" s="139"/>
      <c r="DK37" s="139"/>
      <c r="DL37" s="139"/>
      <c r="DM37" s="139"/>
      <c r="DN37" s="139"/>
      <c r="DO37" s="139"/>
      <c r="DP37" s="139"/>
      <c r="DQ37" s="139"/>
      <c r="DR37" s="139"/>
      <c r="DS37" s="139"/>
      <c r="DT37" s="139"/>
      <c r="DU37" s="139"/>
      <c r="DV37" s="139"/>
      <c r="DW37" s="139"/>
      <c r="DX37" s="139"/>
      <c r="DY37" s="139"/>
      <c r="DZ37" s="139"/>
      <c r="EA37" s="139"/>
      <c r="EB37" s="139"/>
      <c r="EC37" s="139"/>
      <c r="ED37" s="139"/>
      <c r="EE37" s="139"/>
      <c r="EF37" s="139"/>
      <c r="EG37" s="139"/>
      <c r="EH37" s="139"/>
      <c r="EI37" s="139"/>
      <c r="EJ37" s="139"/>
      <c r="EK37" s="139"/>
      <c r="EL37" s="139"/>
      <c r="EM37" s="139"/>
      <c r="EN37" s="139"/>
      <c r="EO37" s="139"/>
      <c r="EP37" s="139"/>
      <c r="EQ37" s="139"/>
      <c r="ER37" s="139"/>
      <c r="ES37" s="139"/>
      <c r="ET37" s="139"/>
      <c r="EU37" s="139"/>
      <c r="EV37" s="139"/>
      <c r="EW37" s="139"/>
      <c r="EX37" s="139"/>
      <c r="EY37" s="139"/>
      <c r="EZ37" s="139"/>
      <c r="FA37" s="139"/>
      <c r="FB37" s="139"/>
      <c r="FC37" s="139"/>
      <c r="FD37" s="139"/>
      <c r="FE37" s="139"/>
      <c r="FF37" s="139"/>
      <c r="FG37" s="139"/>
      <c r="FH37" s="139"/>
      <c r="FI37" s="139"/>
      <c r="FJ37" s="139"/>
      <c r="FK37" s="139"/>
      <c r="FL37" s="139"/>
      <c r="FM37" s="139"/>
      <c r="FN37" s="139"/>
      <c r="FO37" s="139"/>
      <c r="FP37" s="139"/>
      <c r="FQ37" s="139"/>
      <c r="FR37" s="139"/>
      <c r="FS37" s="139"/>
      <c r="FT37" s="139"/>
      <c r="FU37" s="139"/>
      <c r="FV37" s="139"/>
      <c r="FW37" s="139"/>
      <c r="FX37" s="139"/>
      <c r="FY37" s="139"/>
      <c r="FZ37" s="139"/>
      <c r="GA37" s="139"/>
      <c r="GB37" s="139"/>
      <c r="GC37" s="139"/>
      <c r="GD37" s="139"/>
      <c r="GE37" s="139"/>
      <c r="GF37" s="139"/>
      <c r="GG37" s="139"/>
      <c r="GH37" s="139"/>
      <c r="GI37" s="139"/>
      <c r="GJ37" s="139"/>
      <c r="GK37" s="139"/>
      <c r="GL37" s="139"/>
      <c r="GM37" s="139"/>
      <c r="GN37" s="139"/>
      <c r="GO37" s="139"/>
      <c r="GP37" s="139"/>
      <c r="GQ37" s="139"/>
      <c r="GR37" s="139"/>
      <c r="GS37" s="139"/>
      <c r="GT37" s="139"/>
      <c r="GU37" s="139"/>
      <c r="GV37" s="139"/>
      <c r="GW37" s="139"/>
      <c r="GX37" s="139"/>
      <c r="GY37" s="139"/>
      <c r="GZ37" s="139"/>
      <c r="HA37" s="139"/>
      <c r="HB37" s="139"/>
      <c r="HC37" s="139"/>
      <c r="HD37" s="139"/>
      <c r="HE37" s="139"/>
      <c r="HF37" s="139"/>
      <c r="HG37" s="139"/>
      <c r="HH37" s="139"/>
      <c r="HI37" s="139"/>
      <c r="HJ37" s="139"/>
      <c r="HK37" s="139"/>
      <c r="HL37" s="139"/>
      <c r="HM37" s="139"/>
      <c r="HN37" s="139"/>
    </row>
    <row r="38" spans="1:222" ht="15" x14ac:dyDescent="0.25">
      <c r="A38" s="139"/>
      <c r="B38" s="133" t="s">
        <v>106</v>
      </c>
      <c r="C38" s="139"/>
      <c r="D38" s="139">
        <v>1.7100371513864919E-3</v>
      </c>
      <c r="E38" s="139">
        <v>7.0249657077449627E-3</v>
      </c>
      <c r="F38" s="139">
        <v>1.1843799729562812E-2</v>
      </c>
      <c r="G38" s="139">
        <v>6.2434555710846598E-3</v>
      </c>
      <c r="H38" s="139">
        <v>5.4635329064595135E-3</v>
      </c>
      <c r="I38" s="139">
        <v>6.7630042367657133E-3</v>
      </c>
      <c r="J38" s="139">
        <v>4.2806559604754947E-3</v>
      </c>
      <c r="K38" s="139">
        <v>3.4020258454412478E-3</v>
      </c>
      <c r="L38" s="139">
        <v>4.2447464490445374E-3</v>
      </c>
      <c r="M38" s="139">
        <v>4.6554296165589627E-3</v>
      </c>
      <c r="N38" s="139">
        <v>5.043004429174055E-3</v>
      </c>
      <c r="O38" s="139">
        <v>4.7333229308558428E-3</v>
      </c>
      <c r="P38" s="139">
        <v>4.1824193740952788E-3</v>
      </c>
      <c r="Q38" s="139">
        <v>3.6284452593539442E-3</v>
      </c>
      <c r="R38" s="139">
        <v>3.51343844309029E-3</v>
      </c>
      <c r="S38" s="139">
        <v>4.0904739777069144E-3</v>
      </c>
      <c r="T38" s="139">
        <v>3.4453083692511104E-3</v>
      </c>
      <c r="U38" s="139">
        <v>3.7297836029083417E-3</v>
      </c>
      <c r="V38" s="139">
        <v>2.9788009703753658E-3</v>
      </c>
      <c r="W38" s="139">
        <v>3.685058150173684E-3</v>
      </c>
      <c r="X38" s="139">
        <v>2.9717230639895974E-3</v>
      </c>
      <c r="Y38" s="139">
        <v>3.3867398175575496E-3</v>
      </c>
      <c r="Z38" s="139">
        <v>2.8781988576300622E-3</v>
      </c>
      <c r="AA38" s="139">
        <v>4.4437237943569666E-3</v>
      </c>
      <c r="AB38" s="139">
        <v>3.8086817458753796E-3</v>
      </c>
      <c r="AC38" s="139">
        <v>2.9137559711156611E-3</v>
      </c>
      <c r="AD38" s="139">
        <v>3.6126521059516126E-3</v>
      </c>
      <c r="AE38" s="139">
        <v>2.8068387837868452E-3</v>
      </c>
      <c r="AF38" s="139">
        <v>2.7838143148098565E-3</v>
      </c>
      <c r="AG38" s="139">
        <v>1.6727671786251784E-3</v>
      </c>
      <c r="AH38" s="139">
        <v>3.1894269374582256E-3</v>
      </c>
      <c r="AI38" s="139">
        <v>2.8570560043300751E-3</v>
      </c>
      <c r="AJ38" s="139">
        <v>2.0274100641246287E-3</v>
      </c>
      <c r="AK38" s="139">
        <v>2.8572618334272936E-3</v>
      </c>
      <c r="AL38" s="139">
        <v>2.4720891968333541E-3</v>
      </c>
      <c r="AM38" s="139">
        <v>2.0239398185889837E-3</v>
      </c>
      <c r="AN38" s="139">
        <v>3.1391386771127665E-3</v>
      </c>
      <c r="AO38" s="139">
        <v>5.047613513446526E-3</v>
      </c>
      <c r="AP38" s="139"/>
      <c r="AQ38" s="139"/>
      <c r="AR38" s="139"/>
      <c r="AS38" s="139"/>
      <c r="AT38" s="139"/>
      <c r="AU38" s="139"/>
      <c r="AV38" s="139"/>
      <c r="AW38" s="139"/>
      <c r="AX38" s="139"/>
      <c r="AY38" s="139"/>
      <c r="AZ38" s="139"/>
      <c r="BA38" s="139"/>
      <c r="BB38" s="139"/>
      <c r="BC38" s="139"/>
      <c r="BD38" s="139"/>
      <c r="BE38" s="139"/>
      <c r="BF38" s="139"/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9"/>
      <c r="BR38" s="139"/>
      <c r="BS38" s="139"/>
      <c r="BT38" s="139"/>
      <c r="BU38" s="139"/>
      <c r="BV38" s="139"/>
      <c r="BW38" s="139"/>
      <c r="BX38" s="139"/>
      <c r="BY38" s="139"/>
      <c r="BZ38" s="139"/>
      <c r="CA38" s="139"/>
      <c r="CB38" s="139"/>
      <c r="CC38" s="139"/>
      <c r="CD38" s="139"/>
      <c r="CE38" s="139"/>
      <c r="CF38" s="139"/>
      <c r="CG38" s="139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A38" s="139"/>
      <c r="DB38" s="139"/>
      <c r="DC38" s="139"/>
      <c r="DD38" s="139"/>
      <c r="DE38" s="139"/>
      <c r="DF38" s="139"/>
      <c r="DG38" s="139"/>
      <c r="DH38" s="139"/>
      <c r="DI38" s="139"/>
      <c r="DJ38" s="139"/>
      <c r="DK38" s="139"/>
      <c r="DL38" s="139"/>
      <c r="DM38" s="139"/>
      <c r="DN38" s="139"/>
      <c r="DO38" s="139"/>
      <c r="DP38" s="139"/>
      <c r="DQ38" s="139"/>
      <c r="DR38" s="139"/>
      <c r="DS38" s="139"/>
      <c r="DT38" s="139"/>
      <c r="DU38" s="139"/>
      <c r="DV38" s="139"/>
      <c r="DW38" s="139"/>
      <c r="DX38" s="139"/>
      <c r="DY38" s="139"/>
      <c r="DZ38" s="139"/>
      <c r="EA38" s="139"/>
      <c r="EB38" s="139"/>
      <c r="EC38" s="139"/>
      <c r="ED38" s="139"/>
      <c r="EE38" s="139"/>
      <c r="EF38" s="139"/>
      <c r="EG38" s="139"/>
      <c r="EH38" s="139"/>
      <c r="EI38" s="139"/>
      <c r="EJ38" s="139"/>
      <c r="EK38" s="139"/>
      <c r="EL38" s="139"/>
      <c r="EM38" s="139"/>
      <c r="EN38" s="139"/>
      <c r="EO38" s="139"/>
      <c r="EP38" s="139"/>
      <c r="EQ38" s="139"/>
      <c r="ER38" s="139"/>
      <c r="ES38" s="139"/>
      <c r="ET38" s="139"/>
      <c r="EU38" s="139"/>
      <c r="EV38" s="139"/>
      <c r="EW38" s="139"/>
      <c r="EX38" s="139"/>
      <c r="EY38" s="139"/>
      <c r="EZ38" s="139"/>
      <c r="FA38" s="139"/>
      <c r="FB38" s="139"/>
      <c r="FC38" s="139"/>
      <c r="FD38" s="139"/>
      <c r="FE38" s="139"/>
      <c r="FF38" s="139"/>
      <c r="FG38" s="139"/>
      <c r="FH38" s="139"/>
      <c r="FI38" s="139"/>
      <c r="FJ38" s="139"/>
      <c r="FK38" s="139"/>
      <c r="FL38" s="139"/>
      <c r="FM38" s="139"/>
      <c r="FN38" s="139"/>
      <c r="FO38" s="139"/>
      <c r="FP38" s="139"/>
      <c r="FQ38" s="139"/>
      <c r="FR38" s="139"/>
      <c r="FS38" s="139"/>
      <c r="FT38" s="139"/>
      <c r="FU38" s="139"/>
      <c r="FV38" s="139"/>
      <c r="FW38" s="139"/>
      <c r="FX38" s="139"/>
      <c r="FY38" s="139"/>
      <c r="FZ38" s="139"/>
      <c r="GA38" s="139"/>
      <c r="GB38" s="139"/>
      <c r="GC38" s="139"/>
      <c r="GD38" s="139"/>
      <c r="GE38" s="139"/>
      <c r="GF38" s="139"/>
      <c r="GG38" s="139"/>
      <c r="GH38" s="139"/>
      <c r="GI38" s="139"/>
      <c r="GJ38" s="139"/>
      <c r="GK38" s="139"/>
      <c r="GL38" s="139"/>
      <c r="GM38" s="139"/>
      <c r="GN38" s="139"/>
      <c r="GO38" s="139"/>
      <c r="GP38" s="139"/>
      <c r="GQ38" s="139"/>
      <c r="GR38" s="139"/>
      <c r="GS38" s="139"/>
      <c r="GT38" s="139"/>
      <c r="GU38" s="139"/>
      <c r="GV38" s="139"/>
      <c r="GW38" s="139"/>
      <c r="GX38" s="139"/>
      <c r="GY38" s="139"/>
      <c r="GZ38" s="139"/>
      <c r="HA38" s="139"/>
      <c r="HB38" s="139"/>
      <c r="HC38" s="139"/>
      <c r="HD38" s="139"/>
      <c r="HE38" s="139"/>
      <c r="HF38" s="139"/>
      <c r="HG38" s="139"/>
      <c r="HH38" s="139"/>
      <c r="HI38" s="139"/>
      <c r="HJ38" s="139"/>
      <c r="HK38" s="139"/>
      <c r="HL38" s="139"/>
      <c r="HM38" s="139"/>
      <c r="HN38" s="139"/>
    </row>
    <row r="39" spans="1:222" ht="15" x14ac:dyDescent="0.25">
      <c r="A39" s="139"/>
      <c r="B39" s="133" t="s">
        <v>107</v>
      </c>
      <c r="C39" s="139"/>
      <c r="D39" s="139">
        <v>5.1396171934899863E-2</v>
      </c>
      <c r="E39" s="139">
        <v>4.9568245866470989E-2</v>
      </c>
      <c r="F39" s="139">
        <v>4.668820384675508E-2</v>
      </c>
      <c r="G39" s="139">
        <v>6.2490367527453759E-2</v>
      </c>
      <c r="H39" s="139">
        <v>5.1767721524927937E-2</v>
      </c>
      <c r="I39" s="139">
        <v>5.4714403549064955E-2</v>
      </c>
      <c r="J39" s="139">
        <v>5.6156444428895211E-2</v>
      </c>
      <c r="K39" s="139">
        <v>4.507729730819391E-2</v>
      </c>
      <c r="L39" s="139">
        <v>5.8047654204543976E-2</v>
      </c>
      <c r="M39" s="139">
        <v>5.1541366631048226E-2</v>
      </c>
      <c r="N39" s="139">
        <v>4.9288283275753179E-2</v>
      </c>
      <c r="O39" s="139">
        <v>5.8075060747620103E-2</v>
      </c>
      <c r="P39" s="139">
        <v>5.2216704031036273E-2</v>
      </c>
      <c r="Q39" s="139">
        <v>4.6246505381558771E-2</v>
      </c>
      <c r="R39" s="139">
        <v>5.9427440801087091E-2</v>
      </c>
      <c r="S39" s="139">
        <v>4.2631054948121416E-2</v>
      </c>
      <c r="T39" s="139">
        <v>4.6841070907400535E-2</v>
      </c>
      <c r="U39" s="139">
        <v>5.1813332450137702E-2</v>
      </c>
      <c r="V39" s="139">
        <v>5.0085159670589734E-2</v>
      </c>
      <c r="W39" s="139">
        <v>4.8475453953098317E-2</v>
      </c>
      <c r="X39" s="139">
        <v>4.8644048854991198E-2</v>
      </c>
      <c r="Y39" s="139">
        <v>5.1767851861891409E-2</v>
      </c>
      <c r="Z39" s="139">
        <v>5.3487870899557949E-2</v>
      </c>
      <c r="AA39" s="139">
        <v>4.9469306930257209E-2</v>
      </c>
      <c r="AB39" s="139">
        <v>4.5828794069709182E-2</v>
      </c>
      <c r="AC39" s="139">
        <v>4.8863274752202361E-2</v>
      </c>
      <c r="AD39" s="139">
        <v>3.9010163501855176E-2</v>
      </c>
      <c r="AE39" s="139">
        <v>3.9751398713027422E-2</v>
      </c>
      <c r="AF39" s="139">
        <v>4.1163446920391693E-2</v>
      </c>
      <c r="AG39" s="139">
        <v>3.8255493915213518E-2</v>
      </c>
      <c r="AH39" s="139">
        <v>4.2889195696848063E-2</v>
      </c>
      <c r="AI39" s="139">
        <v>4.1243745082369769E-2</v>
      </c>
      <c r="AJ39" s="139">
        <v>3.5811773675397354E-2</v>
      </c>
      <c r="AK39" s="139">
        <v>3.2630730184761453E-2</v>
      </c>
      <c r="AL39" s="139">
        <v>3.4766755132943826E-2</v>
      </c>
      <c r="AM39" s="139">
        <v>3.5155407506526702E-2</v>
      </c>
      <c r="AN39" s="139">
        <v>3.832309805775394E-2</v>
      </c>
      <c r="AO39" s="139">
        <v>3.6819896564102797E-2</v>
      </c>
      <c r="AP39" s="139"/>
      <c r="AQ39" s="139"/>
      <c r="AR39" s="139"/>
      <c r="AS39" s="139"/>
      <c r="AT39" s="139"/>
      <c r="AU39" s="139"/>
      <c r="AV39" s="139"/>
      <c r="AW39" s="139"/>
      <c r="AX39" s="139"/>
      <c r="AY39" s="139"/>
      <c r="AZ39" s="139"/>
      <c r="BA39" s="139"/>
      <c r="BB39" s="139"/>
      <c r="BC39" s="139"/>
      <c r="BD39" s="139"/>
      <c r="BE39" s="139"/>
      <c r="BF39" s="139"/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9"/>
      <c r="BR39" s="139"/>
      <c r="BS39" s="139"/>
      <c r="BT39" s="139"/>
      <c r="BU39" s="139"/>
      <c r="BV39" s="139"/>
      <c r="BW39" s="139"/>
      <c r="BX39" s="139"/>
      <c r="BY39" s="139"/>
      <c r="BZ39" s="139"/>
      <c r="CA39" s="139"/>
      <c r="CB39" s="139"/>
      <c r="CC39" s="139"/>
      <c r="CD39" s="139"/>
      <c r="CE39" s="139"/>
      <c r="CF39" s="139"/>
      <c r="CG39" s="139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A39" s="139"/>
      <c r="DB39" s="139"/>
      <c r="DC39" s="139"/>
      <c r="DD39" s="139"/>
      <c r="DE39" s="139"/>
      <c r="DF39" s="139"/>
      <c r="DG39" s="139"/>
      <c r="DH39" s="139"/>
      <c r="DI39" s="139"/>
      <c r="DJ39" s="139"/>
      <c r="DK39" s="139"/>
      <c r="DL39" s="139"/>
      <c r="DM39" s="139"/>
      <c r="DN39" s="139"/>
      <c r="DO39" s="139"/>
      <c r="DP39" s="139"/>
      <c r="DQ39" s="139"/>
      <c r="DR39" s="139"/>
      <c r="DS39" s="139"/>
      <c r="DT39" s="139"/>
      <c r="DU39" s="139"/>
      <c r="DV39" s="139"/>
      <c r="DW39" s="139"/>
      <c r="DX39" s="139"/>
      <c r="DY39" s="139"/>
      <c r="DZ39" s="139"/>
      <c r="EA39" s="139"/>
      <c r="EB39" s="139"/>
      <c r="EC39" s="139"/>
      <c r="ED39" s="139"/>
      <c r="EE39" s="139"/>
      <c r="EF39" s="139"/>
      <c r="EG39" s="139"/>
      <c r="EH39" s="139"/>
      <c r="EI39" s="139"/>
      <c r="EJ39" s="139"/>
      <c r="EK39" s="139"/>
      <c r="EL39" s="139"/>
      <c r="EM39" s="139"/>
      <c r="EN39" s="139"/>
      <c r="EO39" s="139"/>
      <c r="EP39" s="139"/>
      <c r="EQ39" s="139"/>
      <c r="ER39" s="139"/>
      <c r="ES39" s="139"/>
      <c r="ET39" s="139"/>
      <c r="EU39" s="139"/>
      <c r="EV39" s="139"/>
      <c r="EW39" s="139"/>
      <c r="EX39" s="139"/>
      <c r="EY39" s="139"/>
      <c r="EZ39" s="139"/>
      <c r="FA39" s="139"/>
      <c r="FB39" s="139"/>
      <c r="FC39" s="139"/>
      <c r="FD39" s="139"/>
      <c r="FE39" s="139"/>
      <c r="FF39" s="139"/>
      <c r="FG39" s="139"/>
      <c r="FH39" s="139"/>
      <c r="FI39" s="139"/>
      <c r="FJ39" s="139"/>
      <c r="FK39" s="139"/>
      <c r="FL39" s="139"/>
      <c r="FM39" s="139"/>
      <c r="FN39" s="139"/>
      <c r="FO39" s="139"/>
      <c r="FP39" s="139"/>
      <c r="FQ39" s="139"/>
      <c r="FR39" s="139"/>
      <c r="FS39" s="139"/>
      <c r="FT39" s="139"/>
      <c r="FU39" s="139"/>
      <c r="FV39" s="139"/>
      <c r="FW39" s="139"/>
      <c r="FX39" s="139"/>
      <c r="FY39" s="139"/>
      <c r="FZ39" s="139"/>
      <c r="GA39" s="139"/>
      <c r="GB39" s="139"/>
      <c r="GC39" s="139"/>
      <c r="GD39" s="139"/>
      <c r="GE39" s="139"/>
      <c r="GF39" s="139"/>
      <c r="GG39" s="139"/>
      <c r="GH39" s="139"/>
      <c r="GI39" s="139"/>
      <c r="GJ39" s="139"/>
      <c r="GK39" s="139"/>
      <c r="GL39" s="139"/>
      <c r="GM39" s="139"/>
      <c r="GN39" s="139"/>
      <c r="GO39" s="139"/>
      <c r="GP39" s="139"/>
      <c r="GQ39" s="139"/>
      <c r="GR39" s="139"/>
      <c r="GS39" s="139"/>
      <c r="GT39" s="139"/>
      <c r="GU39" s="139"/>
      <c r="GV39" s="139"/>
      <c r="GW39" s="139"/>
      <c r="GX39" s="139"/>
      <c r="GY39" s="139"/>
      <c r="GZ39" s="139"/>
      <c r="HA39" s="139"/>
      <c r="HB39" s="139"/>
      <c r="HC39" s="139"/>
      <c r="HD39" s="139"/>
      <c r="HE39" s="139"/>
      <c r="HF39" s="139"/>
      <c r="HG39" s="139"/>
      <c r="HH39" s="139"/>
      <c r="HI39" s="139"/>
      <c r="HJ39" s="139"/>
      <c r="HK39" s="139"/>
      <c r="HL39" s="139"/>
      <c r="HM39" s="139"/>
      <c r="HN39" s="139"/>
    </row>
    <row r="40" spans="1:222" ht="15" x14ac:dyDescent="0.25">
      <c r="A40" s="139"/>
      <c r="B40" s="134" t="s">
        <v>108</v>
      </c>
      <c r="C40" s="139"/>
      <c r="D40" s="139">
        <v>2.3086968004781605E-2</v>
      </c>
      <c r="E40" s="139">
        <v>2.0197372093343605E-2</v>
      </c>
      <c r="F40" s="139">
        <v>1.6524703746725749E-2</v>
      </c>
      <c r="G40" s="139">
        <v>1.678053956129991E-2</v>
      </c>
      <c r="H40" s="139">
        <v>1.9887160602030891E-2</v>
      </c>
      <c r="I40" s="139">
        <v>2.0178294197345126E-2</v>
      </c>
      <c r="J40" s="139">
        <v>1.8628674605353748E-2</v>
      </c>
      <c r="K40" s="139">
        <v>2.0123593397580915E-2</v>
      </c>
      <c r="L40" s="139">
        <v>1.8951498225106531E-2</v>
      </c>
      <c r="M40" s="139">
        <v>1.6770292734760155E-2</v>
      </c>
      <c r="N40" s="139">
        <v>1.9567538299307175E-2</v>
      </c>
      <c r="O40" s="139">
        <v>1.9565964796647732E-2</v>
      </c>
      <c r="P40" s="139">
        <v>1.827734186292225E-2</v>
      </c>
      <c r="Q40" s="139">
        <v>1.8790235683667816E-2</v>
      </c>
      <c r="R40" s="139">
        <v>1.9146791847743552E-2</v>
      </c>
      <c r="S40" s="139">
        <v>1.9924405953289308E-2</v>
      </c>
      <c r="T40" s="139">
        <v>1.9849730511955342E-2</v>
      </c>
      <c r="U40" s="139">
        <v>1.9868672926365943E-2</v>
      </c>
      <c r="V40" s="139">
        <v>1.9088434275399666E-2</v>
      </c>
      <c r="W40" s="139">
        <v>1.8609328162262778E-2</v>
      </c>
      <c r="X40" s="139">
        <v>1.9559544909787056E-2</v>
      </c>
      <c r="Y40" s="139">
        <v>2.025247766099517E-2</v>
      </c>
      <c r="Z40" s="139">
        <v>1.94912560592507E-2</v>
      </c>
      <c r="AA40" s="139">
        <v>2.0047155923000895E-2</v>
      </c>
      <c r="AB40" s="139">
        <v>2.0624361517940362E-2</v>
      </c>
      <c r="AC40" s="139">
        <v>2.048966855273622E-2</v>
      </c>
      <c r="AD40" s="139">
        <v>2.3512136074059425E-2</v>
      </c>
      <c r="AE40" s="139">
        <v>2.7413045291618872E-2</v>
      </c>
      <c r="AF40" s="139">
        <v>2.4233131144444319E-2</v>
      </c>
      <c r="AG40" s="139">
        <v>2.4055066550769704E-2</v>
      </c>
      <c r="AH40" s="139">
        <v>2.5713456896650413E-2</v>
      </c>
      <c r="AI40" s="139">
        <v>2.0878645983528125E-2</v>
      </c>
      <c r="AJ40" s="139">
        <v>2.2658969051402401E-2</v>
      </c>
      <c r="AK40" s="139">
        <v>2.3477458133806247E-2</v>
      </c>
      <c r="AL40" s="139">
        <v>2.3730611326351389E-2</v>
      </c>
      <c r="AM40" s="139">
        <v>2.219262228058411E-2</v>
      </c>
      <c r="AN40" s="139">
        <v>2.1460068054065643E-2</v>
      </c>
      <c r="AO40" s="139">
        <v>2.2041444959707886E-2</v>
      </c>
      <c r="AP40" s="139"/>
      <c r="AQ40" s="139"/>
      <c r="AR40" s="139"/>
      <c r="AS40" s="139"/>
      <c r="AT40" s="139"/>
      <c r="AU40" s="139"/>
      <c r="AV40" s="139"/>
      <c r="AW40" s="139"/>
      <c r="AX40" s="139"/>
      <c r="AY40" s="139"/>
      <c r="AZ40" s="139"/>
      <c r="BA40" s="139"/>
      <c r="BB40" s="139"/>
      <c r="BC40" s="139"/>
      <c r="BD40" s="139"/>
      <c r="BE40" s="139"/>
      <c r="BF40" s="139"/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9"/>
      <c r="BR40" s="139"/>
      <c r="BS40" s="139"/>
      <c r="BT40" s="139"/>
      <c r="BU40" s="139"/>
      <c r="BV40" s="139"/>
      <c r="BW40" s="139"/>
      <c r="BX40" s="139"/>
      <c r="BY40" s="139"/>
      <c r="BZ40" s="139"/>
      <c r="CA40" s="139"/>
      <c r="CB40" s="139"/>
      <c r="CC40" s="139"/>
      <c r="CD40" s="139"/>
      <c r="CE40" s="139"/>
      <c r="CF40" s="139"/>
      <c r="CG40" s="139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39"/>
      <c r="DE40" s="139"/>
      <c r="DF40" s="139"/>
      <c r="DG40" s="139"/>
      <c r="DH40" s="139"/>
      <c r="DI40" s="139"/>
      <c r="DJ40" s="139"/>
      <c r="DK40" s="139"/>
      <c r="DL40" s="139"/>
      <c r="DM40" s="139"/>
      <c r="DN40" s="139"/>
      <c r="DO40" s="139"/>
      <c r="DP40" s="139"/>
      <c r="DQ40" s="139"/>
      <c r="DR40" s="139"/>
      <c r="DS40" s="139"/>
      <c r="DT40" s="139"/>
      <c r="DU40" s="139"/>
      <c r="DV40" s="139"/>
      <c r="DW40" s="139"/>
      <c r="DX40" s="139"/>
      <c r="DY40" s="139"/>
      <c r="DZ40" s="139"/>
      <c r="EA40" s="139"/>
      <c r="EB40" s="139"/>
      <c r="EC40" s="139"/>
      <c r="ED40" s="139"/>
      <c r="EE40" s="139"/>
      <c r="EF40" s="139"/>
      <c r="EG40" s="139"/>
      <c r="EH40" s="139"/>
      <c r="EI40" s="139"/>
      <c r="EJ40" s="139"/>
      <c r="EK40" s="139"/>
      <c r="EL40" s="139"/>
      <c r="EM40" s="139"/>
      <c r="EN40" s="139"/>
      <c r="EO40" s="139"/>
      <c r="EP40" s="139"/>
      <c r="EQ40" s="139"/>
      <c r="ER40" s="139"/>
      <c r="ES40" s="139"/>
      <c r="ET40" s="139"/>
      <c r="EU40" s="139"/>
      <c r="EV40" s="139"/>
      <c r="EW40" s="139"/>
      <c r="EX40" s="139"/>
      <c r="EY40" s="139"/>
      <c r="EZ40" s="139"/>
      <c r="FA40" s="139"/>
      <c r="FB40" s="139"/>
      <c r="FC40" s="139"/>
      <c r="FD40" s="139"/>
      <c r="FE40" s="139"/>
      <c r="FF40" s="139"/>
      <c r="FG40" s="139"/>
      <c r="FH40" s="139"/>
      <c r="FI40" s="139"/>
      <c r="FJ40" s="139"/>
      <c r="FK40" s="139"/>
      <c r="FL40" s="139"/>
      <c r="FM40" s="139"/>
      <c r="FN40" s="139"/>
      <c r="FO40" s="139"/>
      <c r="FP40" s="139"/>
      <c r="FQ40" s="139"/>
      <c r="FR40" s="139"/>
      <c r="FS40" s="139"/>
      <c r="FT40" s="139"/>
      <c r="FU40" s="139"/>
      <c r="FV40" s="139"/>
      <c r="FW40" s="139"/>
      <c r="FX40" s="139"/>
      <c r="FY40" s="139"/>
      <c r="FZ40" s="139"/>
      <c r="GA40" s="139"/>
      <c r="GB40" s="139"/>
      <c r="GC40" s="139"/>
      <c r="GD40" s="139"/>
      <c r="GE40" s="139"/>
      <c r="GF40" s="139"/>
      <c r="GG40" s="139"/>
      <c r="GH40" s="139"/>
      <c r="GI40" s="139"/>
      <c r="GJ40" s="139"/>
      <c r="GK40" s="139"/>
      <c r="GL40" s="139"/>
      <c r="GM40" s="139"/>
      <c r="GN40" s="139"/>
      <c r="GO40" s="139"/>
      <c r="GP40" s="139"/>
      <c r="GQ40" s="139"/>
      <c r="GR40" s="139"/>
      <c r="GS40" s="139"/>
      <c r="GT40" s="139"/>
      <c r="GU40" s="139"/>
      <c r="GV40" s="139"/>
      <c r="GW40" s="139"/>
      <c r="GX40" s="139"/>
      <c r="GY40" s="139"/>
      <c r="GZ40" s="139"/>
      <c r="HA40" s="139"/>
      <c r="HB40" s="139"/>
      <c r="HC40" s="139"/>
      <c r="HD40" s="139"/>
      <c r="HE40" s="139"/>
      <c r="HF40" s="139"/>
      <c r="HG40" s="139"/>
      <c r="HH40" s="139"/>
      <c r="HI40" s="139"/>
      <c r="HJ40" s="139"/>
      <c r="HK40" s="139"/>
      <c r="HL40" s="139"/>
      <c r="HM40" s="139"/>
      <c r="HN40" s="139"/>
    </row>
    <row r="41" spans="1:222" ht="15" x14ac:dyDescent="0.25">
      <c r="A41" s="139"/>
      <c r="B41" s="132" t="s">
        <v>109</v>
      </c>
      <c r="C41" s="139"/>
      <c r="D41" s="139">
        <v>5.6031434923934711E-3</v>
      </c>
      <c r="E41" s="139">
        <v>5.5806592231210737E-3</v>
      </c>
      <c r="F41" s="139">
        <v>5.5811049623664174E-3</v>
      </c>
      <c r="G41" s="139">
        <v>5.6827509055781007E-3</v>
      </c>
      <c r="H41" s="139">
        <v>5.7024758535938287E-3</v>
      </c>
      <c r="I41" s="139">
        <v>5.8659999023315543E-3</v>
      </c>
      <c r="J41" s="139">
        <v>5.6973398097799385E-3</v>
      </c>
      <c r="K41" s="139">
        <v>5.8394931029662287E-3</v>
      </c>
      <c r="L41" s="139">
        <v>6.2316472958733023E-3</v>
      </c>
      <c r="M41" s="139">
        <v>6.2214964961862917E-3</v>
      </c>
      <c r="N41" s="139">
        <v>5.9691724245351995E-3</v>
      </c>
      <c r="O41" s="139">
        <v>6.570717795476801E-3</v>
      </c>
      <c r="P41" s="139">
        <v>7.0653730052990856E-3</v>
      </c>
      <c r="Q41" s="139">
        <v>7.1029611507373068E-3</v>
      </c>
      <c r="R41" s="139">
        <v>7.1185734826488614E-3</v>
      </c>
      <c r="S41" s="139">
        <v>6.543947194979422E-3</v>
      </c>
      <c r="T41" s="139">
        <v>2.0106478555857778E-4</v>
      </c>
      <c r="U41" s="139">
        <v>2.1809312129582306E-3</v>
      </c>
      <c r="V41" s="139">
        <v>7.989023945501824E-3</v>
      </c>
      <c r="W41" s="139">
        <v>1.9083497344831148E-2</v>
      </c>
      <c r="X41" s="139">
        <v>7.8645430602321716E-3</v>
      </c>
      <c r="Y41" s="139">
        <v>7.6166958590211994E-3</v>
      </c>
      <c r="Z41" s="139">
        <v>7.3254056652717571E-3</v>
      </c>
      <c r="AA41" s="139">
        <v>7.3824501933272254E-3</v>
      </c>
      <c r="AB41" s="139">
        <v>1.5133086032404958E-2</v>
      </c>
      <c r="AC41" s="139">
        <v>7.6506925599596461E-3</v>
      </c>
      <c r="AD41" s="139">
        <v>7.539286734218156E-3</v>
      </c>
      <c r="AE41" s="139">
        <v>-3.0651279577968379E-4</v>
      </c>
      <c r="AF41" s="139">
        <v>2.8757979096178496E-3</v>
      </c>
      <c r="AG41" s="139">
        <v>6.9950919974961804E-3</v>
      </c>
      <c r="AH41" s="139">
        <v>9.2539119455721432E-3</v>
      </c>
      <c r="AI41" s="139">
        <v>1.096499136220363E-2</v>
      </c>
      <c r="AJ41" s="139">
        <v>9.3353325416687932E-3</v>
      </c>
      <c r="AK41" s="139">
        <v>8.3657553480906317E-3</v>
      </c>
      <c r="AL41" s="139">
        <v>7.3752253562087648E-3</v>
      </c>
      <c r="AM41" s="139">
        <v>6.679773661480066E-3</v>
      </c>
      <c r="AN41" s="139">
        <v>6.5146864280968839E-3</v>
      </c>
      <c r="AO41" s="139">
        <v>6.1503805049012584E-3</v>
      </c>
      <c r="AP41" s="139"/>
      <c r="AQ41" s="139"/>
      <c r="AR41" s="139"/>
      <c r="AS41" s="139"/>
      <c r="AT41" s="139"/>
      <c r="AU41" s="139"/>
      <c r="AV41" s="139"/>
      <c r="AW41" s="139"/>
      <c r="AX41" s="139"/>
      <c r="AY41" s="139"/>
      <c r="AZ41" s="139"/>
      <c r="BA41" s="139"/>
      <c r="BB41" s="139"/>
      <c r="BC41" s="139"/>
      <c r="BD41" s="139"/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9"/>
      <c r="BR41" s="139"/>
      <c r="BS41" s="139"/>
      <c r="BT41" s="139"/>
      <c r="BU41" s="139"/>
      <c r="BV41" s="139"/>
      <c r="BW41" s="139"/>
      <c r="BX41" s="139"/>
      <c r="BY41" s="139"/>
      <c r="BZ41" s="139"/>
      <c r="CA41" s="139"/>
      <c r="CB41" s="139"/>
      <c r="CC41" s="139"/>
      <c r="CD41" s="139"/>
      <c r="CE41" s="139"/>
      <c r="CF41" s="139"/>
      <c r="CG41" s="139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A41" s="139"/>
      <c r="DB41" s="139"/>
      <c r="DC41" s="139"/>
      <c r="DD41" s="139"/>
      <c r="DE41" s="139"/>
      <c r="DF41" s="139"/>
      <c r="DG41" s="139"/>
      <c r="DH41" s="139"/>
      <c r="DI41" s="139"/>
      <c r="DJ41" s="139"/>
      <c r="DK41" s="139"/>
      <c r="DL41" s="139"/>
      <c r="DM41" s="139"/>
      <c r="DN41" s="139"/>
      <c r="DO41" s="139"/>
      <c r="DP41" s="139"/>
      <c r="DQ41" s="139"/>
      <c r="DR41" s="139"/>
      <c r="DS41" s="139"/>
      <c r="DT41" s="139"/>
      <c r="DU41" s="139"/>
      <c r="DV41" s="139"/>
      <c r="DW41" s="139"/>
      <c r="DX41" s="139"/>
      <c r="DY41" s="139"/>
      <c r="DZ41" s="139"/>
      <c r="EA41" s="139"/>
      <c r="EB41" s="139"/>
      <c r="EC41" s="139"/>
      <c r="ED41" s="139"/>
      <c r="EE41" s="139"/>
      <c r="EF41" s="139"/>
      <c r="EG41" s="139"/>
      <c r="EH41" s="139"/>
      <c r="EI41" s="139"/>
      <c r="EJ41" s="139"/>
      <c r="EK41" s="139"/>
      <c r="EL41" s="139"/>
      <c r="EM41" s="139"/>
      <c r="EN41" s="139"/>
      <c r="EO41" s="139"/>
      <c r="EP41" s="139"/>
      <c r="EQ41" s="139"/>
      <c r="ER41" s="139"/>
      <c r="ES41" s="139"/>
      <c r="ET41" s="139"/>
      <c r="EU41" s="139"/>
      <c r="EV41" s="139"/>
      <c r="EW41" s="139"/>
      <c r="EX41" s="139"/>
      <c r="EY41" s="139"/>
      <c r="EZ41" s="139"/>
      <c r="FA41" s="139"/>
      <c r="FB41" s="139"/>
      <c r="FC41" s="139"/>
      <c r="FD41" s="139"/>
      <c r="FE41" s="139"/>
      <c r="FF41" s="139"/>
      <c r="FG41" s="139"/>
      <c r="FH41" s="139"/>
      <c r="FI41" s="139"/>
      <c r="FJ41" s="139"/>
      <c r="FK41" s="139"/>
      <c r="FL41" s="139"/>
      <c r="FM41" s="139"/>
      <c r="FN41" s="139"/>
      <c r="FO41" s="139"/>
      <c r="FP41" s="139"/>
      <c r="FQ41" s="139"/>
      <c r="FR41" s="139"/>
      <c r="FS41" s="139"/>
      <c r="FT41" s="139"/>
      <c r="FU41" s="139"/>
      <c r="FV41" s="139"/>
      <c r="FW41" s="139"/>
      <c r="FX41" s="139"/>
      <c r="FY41" s="139"/>
      <c r="FZ41" s="139"/>
      <c r="GA41" s="139"/>
      <c r="GB41" s="139"/>
      <c r="GC41" s="139"/>
      <c r="GD41" s="139"/>
      <c r="GE41" s="139"/>
      <c r="GF41" s="139"/>
      <c r="GG41" s="139"/>
      <c r="GH41" s="139"/>
      <c r="GI41" s="139"/>
      <c r="GJ41" s="139"/>
      <c r="GK41" s="139"/>
      <c r="GL41" s="139"/>
      <c r="GM41" s="139"/>
      <c r="GN41" s="139"/>
      <c r="GO41" s="139"/>
      <c r="GP41" s="139"/>
      <c r="GQ41" s="139"/>
      <c r="GR41" s="139"/>
      <c r="GS41" s="139"/>
      <c r="GT41" s="139"/>
      <c r="GU41" s="139"/>
      <c r="GV41" s="139"/>
      <c r="GW41" s="139"/>
      <c r="GX41" s="139"/>
      <c r="GY41" s="139"/>
      <c r="GZ41" s="139"/>
      <c r="HA41" s="139"/>
      <c r="HB41" s="139"/>
      <c r="HC41" s="139"/>
      <c r="HD41" s="139"/>
      <c r="HE41" s="139"/>
      <c r="HF41" s="139"/>
      <c r="HG41" s="139"/>
      <c r="HH41" s="139"/>
      <c r="HI41" s="139"/>
      <c r="HJ41" s="139"/>
      <c r="HK41" s="139"/>
      <c r="HL41" s="139"/>
      <c r="HM41" s="139"/>
      <c r="HN41" s="139"/>
    </row>
    <row r="42" spans="1:222" ht="15" x14ac:dyDescent="0.25">
      <c r="A42" s="139"/>
      <c r="B42" s="132" t="s">
        <v>110</v>
      </c>
      <c r="C42" s="139"/>
      <c r="D42" s="139">
        <v>-4.5300252566042129E-2</v>
      </c>
      <c r="E42" s="139">
        <v>-1.8888562981341499E-2</v>
      </c>
      <c r="F42" s="139">
        <v>-2.4422895833346631E-2</v>
      </c>
      <c r="G42" s="139">
        <v>-5.375604121811383E-2</v>
      </c>
      <c r="H42" s="139">
        <v>-5.9176369887174014E-2</v>
      </c>
      <c r="I42" s="139">
        <v>-6.3634773825170923E-2</v>
      </c>
      <c r="J42" s="139">
        <v>-6.4025724597717992E-2</v>
      </c>
      <c r="K42" s="139">
        <v>-7.2425462851894273E-2</v>
      </c>
      <c r="L42" s="139">
        <v>-6.163214410450097E-2</v>
      </c>
      <c r="M42" s="139">
        <v>-6.5905353359225191E-2</v>
      </c>
      <c r="N42" s="139">
        <v>-3.5916814738665939E-2</v>
      </c>
      <c r="O42" s="139">
        <v>-4.4322489202017111E-2</v>
      </c>
      <c r="P42" s="139">
        <v>-4.1466342522859106E-2</v>
      </c>
      <c r="Q42" s="139">
        <v>-4.0558857289736495E-2</v>
      </c>
      <c r="R42" s="139">
        <v>-7.7530488874095374E-2</v>
      </c>
      <c r="S42" s="139">
        <v>-9.094482640274397E-2</v>
      </c>
      <c r="T42" s="139">
        <v>-8.6701248011529009E-2</v>
      </c>
      <c r="U42" s="139">
        <v>-0.1141895289726795</v>
      </c>
      <c r="V42" s="139">
        <v>-7.4444958681030377E-2</v>
      </c>
      <c r="W42" s="139">
        <v>-0.13311310516775524</v>
      </c>
      <c r="X42" s="139">
        <v>-8.8418596857457774E-2</v>
      </c>
      <c r="Y42" s="139">
        <v>-0.10484211316963309</v>
      </c>
      <c r="Z42" s="139">
        <v>-0.11162374180286379</v>
      </c>
      <c r="AA42" s="139">
        <v>-0.11352405225392893</v>
      </c>
      <c r="AB42" s="139">
        <v>-0.11167969251928721</v>
      </c>
      <c r="AC42" s="139">
        <v>-0.10172294111451052</v>
      </c>
      <c r="AD42" s="139">
        <v>-0.10268429274430899</v>
      </c>
      <c r="AE42" s="139">
        <v>-9.0463098046642848E-2</v>
      </c>
      <c r="AF42" s="139">
        <v>-9.2507484684496835E-2</v>
      </c>
      <c r="AG42" s="139">
        <v>-9.2032858032242829E-2</v>
      </c>
      <c r="AH42" s="139">
        <v>-0.10389991862853525</v>
      </c>
      <c r="AI42" s="139">
        <v>-7.802522034275601E-2</v>
      </c>
      <c r="AJ42" s="139">
        <v>-7.7102584962734713E-2</v>
      </c>
      <c r="AK42" s="139">
        <v>-0.10413114925942224</v>
      </c>
      <c r="AL42" s="139">
        <v>-7.3652277524678844E-2</v>
      </c>
      <c r="AM42" s="139">
        <v>-3.9467038203703703E-2</v>
      </c>
      <c r="AN42" s="139">
        <v>-7.4326026675463397E-2</v>
      </c>
      <c r="AO42" s="139">
        <v>-4.7411871241328001E-2</v>
      </c>
      <c r="AP42" s="139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39"/>
      <c r="BB42" s="139"/>
      <c r="BC42" s="139"/>
      <c r="BD42" s="139"/>
      <c r="BE42" s="139"/>
      <c r="BF42" s="139"/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9"/>
      <c r="BR42" s="139"/>
      <c r="BS42" s="139"/>
      <c r="BT42" s="139"/>
      <c r="BU42" s="139"/>
      <c r="BV42" s="139"/>
      <c r="BW42" s="139"/>
      <c r="BX42" s="139"/>
      <c r="BY42" s="139"/>
      <c r="BZ42" s="139"/>
      <c r="CA42" s="139"/>
      <c r="CB42" s="139"/>
      <c r="CC42" s="139"/>
      <c r="CD42" s="139"/>
      <c r="CE42" s="139"/>
      <c r="CF42" s="139"/>
      <c r="CG42" s="139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A42" s="139"/>
      <c r="DB42" s="139"/>
      <c r="DC42" s="139"/>
      <c r="DD42" s="139"/>
      <c r="DE42" s="139"/>
      <c r="DF42" s="139"/>
      <c r="DG42" s="139"/>
      <c r="DH42" s="139"/>
      <c r="DI42" s="139"/>
      <c r="DJ42" s="139"/>
      <c r="DK42" s="139"/>
      <c r="DL42" s="139"/>
      <c r="DM42" s="139"/>
      <c r="DN42" s="139"/>
      <c r="DO42" s="139"/>
      <c r="DP42" s="139"/>
      <c r="DQ42" s="139"/>
      <c r="DR42" s="139"/>
      <c r="DS42" s="139"/>
      <c r="DT42" s="139"/>
      <c r="DU42" s="139"/>
      <c r="DV42" s="139"/>
      <c r="DW42" s="139"/>
      <c r="DX42" s="139"/>
      <c r="DY42" s="139"/>
      <c r="DZ42" s="139"/>
      <c r="EA42" s="139"/>
      <c r="EB42" s="139"/>
      <c r="EC42" s="139"/>
      <c r="ED42" s="139"/>
      <c r="EE42" s="139"/>
      <c r="EF42" s="139"/>
      <c r="EG42" s="139"/>
      <c r="EH42" s="139"/>
      <c r="EI42" s="139"/>
      <c r="EJ42" s="139"/>
      <c r="EK42" s="139"/>
      <c r="EL42" s="139"/>
      <c r="EM42" s="139"/>
      <c r="EN42" s="139"/>
      <c r="EO42" s="139"/>
      <c r="EP42" s="139"/>
      <c r="EQ42" s="139"/>
      <c r="ER42" s="139"/>
      <c r="ES42" s="139"/>
      <c r="ET42" s="139"/>
      <c r="EU42" s="139"/>
      <c r="EV42" s="139"/>
      <c r="EW42" s="139"/>
      <c r="EX42" s="139"/>
      <c r="EY42" s="139"/>
      <c r="EZ42" s="139"/>
      <c r="FA42" s="139"/>
      <c r="FB42" s="139"/>
      <c r="FC42" s="139"/>
      <c r="FD42" s="139"/>
      <c r="FE42" s="139"/>
      <c r="FF42" s="139"/>
      <c r="FG42" s="139"/>
      <c r="FH42" s="139"/>
      <c r="FI42" s="139"/>
      <c r="FJ42" s="139"/>
      <c r="FK42" s="139"/>
      <c r="FL42" s="139"/>
      <c r="FM42" s="139"/>
      <c r="FN42" s="139"/>
      <c r="FO42" s="139"/>
      <c r="FP42" s="139"/>
      <c r="FQ42" s="139"/>
      <c r="FR42" s="139"/>
      <c r="FS42" s="139"/>
      <c r="FT42" s="139"/>
      <c r="FU42" s="139"/>
      <c r="FV42" s="139"/>
      <c r="FW42" s="139"/>
      <c r="FX42" s="139"/>
      <c r="FY42" s="139"/>
      <c r="FZ42" s="139"/>
      <c r="GA42" s="139"/>
      <c r="GB42" s="139"/>
      <c r="GC42" s="139"/>
      <c r="GD42" s="139"/>
      <c r="GE42" s="139"/>
      <c r="GF42" s="139"/>
      <c r="GG42" s="139"/>
      <c r="GH42" s="139"/>
      <c r="GI42" s="139"/>
      <c r="GJ42" s="139"/>
      <c r="GK42" s="139"/>
      <c r="GL42" s="139"/>
      <c r="GM42" s="139"/>
      <c r="GN42" s="139"/>
      <c r="GO42" s="139"/>
      <c r="GP42" s="139"/>
      <c r="GQ42" s="139"/>
      <c r="GR42" s="139"/>
      <c r="GS42" s="139"/>
      <c r="GT42" s="139"/>
      <c r="GU42" s="139"/>
      <c r="GV42" s="139"/>
      <c r="GW42" s="139"/>
      <c r="GX42" s="139"/>
      <c r="GY42" s="139"/>
      <c r="GZ42" s="139"/>
      <c r="HA42" s="139"/>
      <c r="HB42" s="139"/>
      <c r="HC42" s="139"/>
      <c r="HD42" s="139"/>
      <c r="HE42" s="139"/>
      <c r="HF42" s="139"/>
      <c r="HG42" s="139"/>
      <c r="HH42" s="139"/>
      <c r="HI42" s="139"/>
      <c r="HJ42" s="139"/>
      <c r="HK42" s="139"/>
      <c r="HL42" s="139"/>
      <c r="HM42" s="139"/>
      <c r="HN42" s="139"/>
    </row>
    <row r="43" spans="1:222" ht="15" x14ac:dyDescent="0.25">
      <c r="A43" s="139"/>
      <c r="B43" s="135" t="s">
        <v>111</v>
      </c>
      <c r="C43" s="139"/>
      <c r="D43" s="139">
        <v>0.15597554654791407</v>
      </c>
      <c r="E43" s="139">
        <v>0.17275572786979254</v>
      </c>
      <c r="F43" s="139">
        <v>0.16743187258729872</v>
      </c>
      <c r="G43" s="139">
        <v>0.1685186967163517</v>
      </c>
      <c r="H43" s="139">
        <v>0.14761784796196817</v>
      </c>
      <c r="I43" s="139">
        <v>0.16018838010877498</v>
      </c>
      <c r="J43" s="139">
        <v>0.14641526105813746</v>
      </c>
      <c r="K43" s="139">
        <v>0.14881968560944253</v>
      </c>
      <c r="L43" s="139">
        <v>0.1626388653576698</v>
      </c>
      <c r="M43" s="139">
        <v>0.1651033058109207</v>
      </c>
      <c r="N43" s="139">
        <v>0.1910760437804295</v>
      </c>
      <c r="O43" s="139">
        <v>0.16182479766274102</v>
      </c>
      <c r="P43" s="139">
        <v>0.16800272395828186</v>
      </c>
      <c r="Q43" s="139">
        <v>0.16298442098521415</v>
      </c>
      <c r="R43" s="139">
        <v>0.16541042459046704</v>
      </c>
      <c r="S43" s="139">
        <v>0.11470628947027575</v>
      </c>
      <c r="T43" s="139">
        <v>0.15492105024692066</v>
      </c>
      <c r="U43" s="139">
        <v>0.14812987542754688</v>
      </c>
      <c r="V43" s="139">
        <v>0.16163147549126186</v>
      </c>
      <c r="W43" s="139">
        <v>0.16622159080468998</v>
      </c>
      <c r="X43" s="139">
        <v>0.12145643842498781</v>
      </c>
      <c r="Y43" s="139">
        <v>0.11891254029846329</v>
      </c>
      <c r="Z43" s="139">
        <v>0.12140567846230566</v>
      </c>
      <c r="AA43" s="139">
        <v>0.11889429964602477</v>
      </c>
      <c r="AB43" s="139">
        <v>0.11485901709800318</v>
      </c>
      <c r="AC43" s="139">
        <v>9.8717826450697682E-2</v>
      </c>
      <c r="AD43" s="139">
        <v>0.11868077181777627</v>
      </c>
      <c r="AE43" s="139">
        <v>0.13159425756624071</v>
      </c>
      <c r="AF43" s="139">
        <v>0.14234002102779181</v>
      </c>
      <c r="AG43" s="139">
        <v>0.1578714435167059</v>
      </c>
      <c r="AH43" s="139">
        <v>0.17165771175325401</v>
      </c>
      <c r="AI43" s="139">
        <v>0.1984354761925991</v>
      </c>
      <c r="AJ43" s="139">
        <v>0.19386906897502931</v>
      </c>
      <c r="AK43" s="139">
        <v>0.18919543214062523</v>
      </c>
      <c r="AL43" s="139">
        <v>0.19500394244788213</v>
      </c>
      <c r="AM43" s="139">
        <v>0.27817394687389957</v>
      </c>
      <c r="AN43" s="139">
        <v>0.25785000989658646</v>
      </c>
      <c r="AO43" s="139">
        <v>0.28891546288487435</v>
      </c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9"/>
      <c r="BR43" s="139"/>
      <c r="BS43" s="139"/>
      <c r="BT43" s="139"/>
      <c r="BU43" s="139"/>
      <c r="BV43" s="139"/>
      <c r="BW43" s="139"/>
      <c r="BX43" s="139"/>
      <c r="BY43" s="139"/>
      <c r="BZ43" s="139"/>
      <c r="CA43" s="139"/>
      <c r="CB43" s="139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9"/>
      <c r="DT43" s="139"/>
      <c r="DU43" s="139"/>
      <c r="DV43" s="139"/>
      <c r="DW43" s="139"/>
      <c r="DX43" s="139"/>
      <c r="DY43" s="139"/>
      <c r="DZ43" s="139"/>
      <c r="EA43" s="139"/>
      <c r="EB43" s="139"/>
      <c r="EC43" s="139"/>
      <c r="ED43" s="139"/>
      <c r="EE43" s="139"/>
      <c r="EF43" s="139"/>
      <c r="EG43" s="139"/>
      <c r="EH43" s="139"/>
      <c r="EI43" s="139"/>
      <c r="EJ43" s="139"/>
      <c r="EK43" s="139"/>
      <c r="EL43" s="139"/>
      <c r="EM43" s="139"/>
      <c r="EN43" s="139"/>
      <c r="EO43" s="139"/>
      <c r="EP43" s="139"/>
      <c r="EQ43" s="139"/>
      <c r="ER43" s="139"/>
      <c r="ES43" s="139"/>
      <c r="ET43" s="139"/>
      <c r="EU43" s="139"/>
      <c r="EV43" s="139"/>
      <c r="EW43" s="139"/>
      <c r="EX43" s="139"/>
      <c r="EY43" s="139"/>
      <c r="EZ43" s="139"/>
      <c r="FA43" s="139"/>
      <c r="FB43" s="139"/>
      <c r="FC43" s="139"/>
      <c r="FD43" s="139"/>
      <c r="FE43" s="139"/>
      <c r="FF43" s="139"/>
      <c r="FG43" s="139"/>
      <c r="FH43" s="139"/>
      <c r="FI43" s="139"/>
      <c r="FJ43" s="139"/>
      <c r="FK43" s="139"/>
      <c r="FL43" s="139"/>
      <c r="FM43" s="139"/>
      <c r="FN43" s="139"/>
      <c r="FO43" s="139"/>
      <c r="FP43" s="139"/>
      <c r="FQ43" s="139"/>
      <c r="FR43" s="139"/>
      <c r="FS43" s="139"/>
      <c r="FT43" s="139"/>
      <c r="FU43" s="139"/>
      <c r="FV43" s="139"/>
      <c r="FW43" s="139"/>
      <c r="FX43" s="139"/>
      <c r="FY43" s="139"/>
      <c r="FZ43" s="139"/>
      <c r="GA43" s="139"/>
      <c r="GB43" s="139"/>
      <c r="GC43" s="139"/>
      <c r="GD43" s="139"/>
      <c r="GE43" s="139"/>
      <c r="GF43" s="139"/>
      <c r="GG43" s="139"/>
      <c r="GH43" s="139"/>
      <c r="GI43" s="139"/>
      <c r="GJ43" s="139"/>
      <c r="GK43" s="139"/>
      <c r="GL43" s="139"/>
      <c r="GM43" s="139"/>
      <c r="GN43" s="139"/>
      <c r="GO43" s="139"/>
      <c r="GP43" s="139"/>
      <c r="GQ43" s="139"/>
      <c r="GR43" s="139"/>
      <c r="GS43" s="139"/>
      <c r="GT43" s="139"/>
      <c r="GU43" s="139"/>
      <c r="GV43" s="139"/>
      <c r="GW43" s="139"/>
      <c r="GX43" s="139"/>
      <c r="GY43" s="139"/>
      <c r="GZ43" s="139"/>
      <c r="HA43" s="139"/>
      <c r="HB43" s="139"/>
      <c r="HC43" s="139"/>
      <c r="HD43" s="139"/>
      <c r="HE43" s="139"/>
      <c r="HF43" s="139"/>
      <c r="HG43" s="139"/>
      <c r="HH43" s="139"/>
      <c r="HI43" s="139"/>
      <c r="HJ43" s="139"/>
      <c r="HK43" s="139"/>
      <c r="HL43" s="139"/>
      <c r="HM43" s="139"/>
      <c r="HN43" s="139"/>
    </row>
    <row r="44" spans="1:222" ht="15" x14ac:dyDescent="0.25">
      <c r="A44" s="139"/>
      <c r="B44" s="133" t="s">
        <v>112</v>
      </c>
      <c r="C44" s="139"/>
      <c r="D44" s="139">
        <v>9.6948682317313087E-2</v>
      </c>
      <c r="E44" s="139">
        <v>0.11560457590212379</v>
      </c>
      <c r="F44" s="139">
        <v>0.1046102005070756</v>
      </c>
      <c r="G44" s="139">
        <v>0.10718508022284549</v>
      </c>
      <c r="H44" s="139">
        <v>9.0679835075287984E-2</v>
      </c>
      <c r="I44" s="139">
        <v>9.6915937614546588E-2</v>
      </c>
      <c r="J44" s="139">
        <v>9.1727099187938393E-2</v>
      </c>
      <c r="K44" s="139">
        <v>9.2929353260381431E-2</v>
      </c>
      <c r="L44" s="139">
        <v>0.10239504355030371</v>
      </c>
      <c r="M44" s="139">
        <v>0.1088231364297302</v>
      </c>
      <c r="N44" s="139">
        <v>0.1405974973978166</v>
      </c>
      <c r="O44" s="139">
        <v>0.10925889771047581</v>
      </c>
      <c r="P44" s="139">
        <v>0.10749913321945911</v>
      </c>
      <c r="Q44" s="139">
        <v>0.10471381506776825</v>
      </c>
      <c r="R44" s="139">
        <v>0.11202236237367479</v>
      </c>
      <c r="S44" s="139">
        <v>9.7609847444172823E-2</v>
      </c>
      <c r="T44" s="139">
        <v>0.12778320062953441</v>
      </c>
      <c r="U44" s="139">
        <v>0.11559725451410749</v>
      </c>
      <c r="V44" s="139">
        <v>0.12081751466441196</v>
      </c>
      <c r="W44" s="139">
        <v>0.12492216222593153</v>
      </c>
      <c r="X44" s="139">
        <v>8.4365711663251478E-2</v>
      </c>
      <c r="Y44" s="139">
        <v>8.4345144337288985E-2</v>
      </c>
      <c r="Z44" s="139">
        <v>8.6822620409318541E-2</v>
      </c>
      <c r="AA44" s="139">
        <v>8.6431874273423304E-2</v>
      </c>
      <c r="AB44" s="139">
        <v>8.7020595609087051E-2</v>
      </c>
      <c r="AC44" s="139">
        <v>6.9396794413833576E-2</v>
      </c>
      <c r="AD44" s="139">
        <v>8.996631787406778E-2</v>
      </c>
      <c r="AE44" s="139">
        <v>9.949171499123155E-2</v>
      </c>
      <c r="AF44" s="139">
        <v>0.10716041736345083</v>
      </c>
      <c r="AG44" s="139">
        <v>0.11721273922106232</v>
      </c>
      <c r="AH44" s="139">
        <v>0.12511080585505643</v>
      </c>
      <c r="AI44" s="139">
        <v>0.15297086980114447</v>
      </c>
      <c r="AJ44" s="139">
        <v>0.15093501128558151</v>
      </c>
      <c r="AK44" s="139">
        <v>0.14624054063187616</v>
      </c>
      <c r="AL44" s="139">
        <v>0.15168198929113344</v>
      </c>
      <c r="AM44" s="139">
        <v>0.23622385295874063</v>
      </c>
      <c r="AN44" s="139">
        <v>0.21535348076388852</v>
      </c>
      <c r="AO44" s="139">
        <v>0.25302258649135356</v>
      </c>
      <c r="AP44" s="139"/>
      <c r="AQ44" s="139"/>
      <c r="AR44" s="139"/>
      <c r="AS44" s="139"/>
      <c r="AT44" s="139"/>
      <c r="AU44" s="139"/>
      <c r="AV44" s="139"/>
      <c r="AW44" s="139"/>
      <c r="AX44" s="139"/>
      <c r="AY44" s="139"/>
      <c r="AZ44" s="139"/>
      <c r="BA44" s="139"/>
      <c r="BB44" s="139"/>
      <c r="BC44" s="139"/>
      <c r="BD44" s="139"/>
      <c r="BE44" s="139"/>
      <c r="BF44" s="139"/>
      <c r="BG44" s="139"/>
      <c r="BH44" s="139"/>
      <c r="BI44" s="139"/>
      <c r="BJ44" s="139"/>
      <c r="BK44" s="139"/>
      <c r="BL44" s="139"/>
      <c r="BM44" s="139"/>
      <c r="BN44" s="139"/>
      <c r="BO44" s="139"/>
      <c r="BP44" s="139"/>
      <c r="BQ44" s="139"/>
      <c r="BR44" s="139"/>
      <c r="BS44" s="139"/>
      <c r="BT44" s="139"/>
      <c r="BU44" s="139"/>
      <c r="BV44" s="139"/>
      <c r="BW44" s="139"/>
      <c r="BX44" s="139"/>
      <c r="BY44" s="139"/>
      <c r="BZ44" s="139"/>
      <c r="CA44" s="139"/>
      <c r="CB44" s="139"/>
      <c r="CC44" s="139"/>
      <c r="CD44" s="139"/>
      <c r="CE44" s="139"/>
      <c r="CF44" s="139"/>
      <c r="CG44" s="139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A44" s="139"/>
      <c r="DB44" s="139"/>
      <c r="DC44" s="139"/>
      <c r="DD44" s="139"/>
      <c r="DE44" s="139"/>
      <c r="DF44" s="139"/>
      <c r="DG44" s="139"/>
      <c r="DH44" s="139"/>
      <c r="DI44" s="139"/>
      <c r="DJ44" s="139"/>
      <c r="DK44" s="139"/>
      <c r="DL44" s="139"/>
      <c r="DM44" s="139"/>
      <c r="DN44" s="139"/>
      <c r="DO44" s="139"/>
      <c r="DP44" s="139"/>
      <c r="DQ44" s="139"/>
      <c r="DR44" s="139"/>
      <c r="DS44" s="139"/>
      <c r="DT44" s="139"/>
      <c r="DU44" s="139"/>
      <c r="DV44" s="139"/>
      <c r="DW44" s="139"/>
      <c r="DX44" s="139"/>
      <c r="DY44" s="139"/>
      <c r="DZ44" s="139"/>
      <c r="EA44" s="139"/>
      <c r="EB44" s="139"/>
      <c r="EC44" s="139"/>
      <c r="ED44" s="139"/>
      <c r="EE44" s="139"/>
      <c r="EF44" s="139"/>
      <c r="EG44" s="139"/>
      <c r="EH44" s="139"/>
      <c r="EI44" s="139"/>
      <c r="EJ44" s="139"/>
      <c r="EK44" s="139"/>
      <c r="EL44" s="139"/>
      <c r="EM44" s="139"/>
      <c r="EN44" s="139"/>
      <c r="EO44" s="139"/>
      <c r="EP44" s="139"/>
      <c r="EQ44" s="139"/>
      <c r="ER44" s="139"/>
      <c r="ES44" s="139"/>
      <c r="ET44" s="139"/>
      <c r="EU44" s="139"/>
      <c r="EV44" s="139"/>
      <c r="EW44" s="139"/>
      <c r="EX44" s="139"/>
      <c r="EY44" s="139"/>
      <c r="EZ44" s="139"/>
      <c r="FA44" s="139"/>
      <c r="FB44" s="139"/>
      <c r="FC44" s="139"/>
      <c r="FD44" s="139"/>
      <c r="FE44" s="139"/>
      <c r="FF44" s="139"/>
      <c r="FG44" s="139"/>
      <c r="FH44" s="139"/>
      <c r="FI44" s="139"/>
      <c r="FJ44" s="139"/>
      <c r="FK44" s="139"/>
      <c r="FL44" s="139"/>
      <c r="FM44" s="139"/>
      <c r="FN44" s="139"/>
      <c r="FO44" s="139"/>
      <c r="FP44" s="139"/>
      <c r="FQ44" s="139"/>
      <c r="FR44" s="139"/>
      <c r="FS44" s="139"/>
      <c r="FT44" s="139"/>
      <c r="FU44" s="139"/>
      <c r="FV44" s="139"/>
      <c r="FW44" s="139"/>
      <c r="FX44" s="139"/>
      <c r="FY44" s="139"/>
      <c r="FZ44" s="139"/>
      <c r="GA44" s="139"/>
      <c r="GB44" s="139"/>
      <c r="GC44" s="139"/>
      <c r="GD44" s="139"/>
      <c r="GE44" s="139"/>
      <c r="GF44" s="139"/>
      <c r="GG44" s="139"/>
      <c r="GH44" s="139"/>
      <c r="GI44" s="139"/>
      <c r="GJ44" s="139"/>
      <c r="GK44" s="139"/>
      <c r="GL44" s="139"/>
      <c r="GM44" s="139"/>
      <c r="GN44" s="139"/>
      <c r="GO44" s="139"/>
      <c r="GP44" s="139"/>
      <c r="GQ44" s="139"/>
      <c r="GR44" s="139"/>
      <c r="GS44" s="139"/>
      <c r="GT44" s="139"/>
      <c r="GU44" s="139"/>
      <c r="GV44" s="139"/>
      <c r="GW44" s="139"/>
      <c r="GX44" s="139"/>
      <c r="GY44" s="139"/>
      <c r="GZ44" s="139"/>
      <c r="HA44" s="139"/>
      <c r="HB44" s="139"/>
      <c r="HC44" s="139"/>
      <c r="HD44" s="139"/>
      <c r="HE44" s="139"/>
      <c r="HF44" s="139"/>
      <c r="HG44" s="139"/>
      <c r="HH44" s="139"/>
      <c r="HI44" s="139"/>
      <c r="HJ44" s="139"/>
      <c r="HK44" s="139"/>
      <c r="HL44" s="139"/>
      <c r="HM44" s="139"/>
      <c r="HN44" s="139"/>
    </row>
    <row r="45" spans="1:222" ht="15" x14ac:dyDescent="0.25">
      <c r="A45" s="139"/>
      <c r="B45" s="133" t="s">
        <v>113</v>
      </c>
      <c r="C45" s="139"/>
      <c r="D45" s="139">
        <v>5.9026864230600981E-2</v>
      </c>
      <c r="E45" s="139">
        <v>5.7151151967668762E-2</v>
      </c>
      <c r="F45" s="139">
        <v>6.2821672080223101E-2</v>
      </c>
      <c r="G45" s="139">
        <v>6.1333616493506216E-2</v>
      </c>
      <c r="H45" s="139">
        <v>5.693801288668017E-2</v>
      </c>
      <c r="I45" s="139">
        <v>6.3272442494228406E-2</v>
      </c>
      <c r="J45" s="139">
        <v>5.4688161870199044E-2</v>
      </c>
      <c r="K45" s="139">
        <v>5.5890332349061114E-2</v>
      </c>
      <c r="L45" s="139">
        <v>6.0243821807366094E-2</v>
      </c>
      <c r="M45" s="139">
        <v>5.6280169381190494E-2</v>
      </c>
      <c r="N45" s="139">
        <v>5.0478546382612885E-2</v>
      </c>
      <c r="O45" s="139">
        <v>5.2565899952265217E-2</v>
      </c>
      <c r="P45" s="139">
        <v>6.0503590738822749E-2</v>
      </c>
      <c r="Q45" s="139">
        <v>5.8270605917445879E-2</v>
      </c>
      <c r="R45" s="139">
        <v>5.338806221679223E-2</v>
      </c>
      <c r="S45" s="139">
        <v>1.7096442026102936E-2</v>
      </c>
      <c r="T45" s="139">
        <v>2.7137849617386241E-2</v>
      </c>
      <c r="U45" s="139">
        <v>3.2532620913439371E-2</v>
      </c>
      <c r="V45" s="139">
        <v>4.0813960826849911E-2</v>
      </c>
      <c r="W45" s="139">
        <v>4.1299428578758464E-2</v>
      </c>
      <c r="X45" s="139">
        <v>3.7090726761736324E-2</v>
      </c>
      <c r="Y45" s="139">
        <v>3.4567395961174308E-2</v>
      </c>
      <c r="Z45" s="139">
        <v>3.4583058052987115E-2</v>
      </c>
      <c r="AA45" s="139">
        <v>3.2462425372601481E-2</v>
      </c>
      <c r="AB45" s="139">
        <v>2.7838421488916125E-2</v>
      </c>
      <c r="AC45" s="139">
        <v>2.9321032036864099E-2</v>
      </c>
      <c r="AD45" s="139">
        <v>2.8714453943708494E-2</v>
      </c>
      <c r="AE45" s="139">
        <v>3.2102542575009163E-2</v>
      </c>
      <c r="AF45" s="139">
        <v>3.5179603664340961E-2</v>
      </c>
      <c r="AG45" s="139">
        <v>4.065870429564359E-2</v>
      </c>
      <c r="AH45" s="139">
        <v>4.6546905898197578E-2</v>
      </c>
      <c r="AI45" s="139">
        <v>4.5464606391454623E-2</v>
      </c>
      <c r="AJ45" s="139">
        <v>4.2934057689447816E-2</v>
      </c>
      <c r="AK45" s="139">
        <v>4.2954891508749059E-2</v>
      </c>
      <c r="AL45" s="139">
        <v>4.3321953156748708E-2</v>
      </c>
      <c r="AM45" s="139">
        <v>4.1950093915158929E-2</v>
      </c>
      <c r="AN45" s="139">
        <v>4.249652913269792E-2</v>
      </c>
      <c r="AO45" s="139">
        <v>3.5892876393520796E-2</v>
      </c>
      <c r="AP45" s="139"/>
      <c r="AQ45" s="139"/>
      <c r="AR45" s="139"/>
      <c r="AS45" s="139"/>
      <c r="AT45" s="139"/>
      <c r="AU45" s="139"/>
      <c r="AV45" s="139"/>
      <c r="AW45" s="139"/>
      <c r="AX45" s="139"/>
      <c r="AY45" s="139"/>
      <c r="AZ45" s="139"/>
      <c r="BA45" s="139"/>
      <c r="BB45" s="139"/>
      <c r="BC45" s="139"/>
      <c r="BD45" s="139"/>
      <c r="BE45" s="139"/>
      <c r="BF45" s="139"/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9"/>
      <c r="BR45" s="139"/>
      <c r="BS45" s="139"/>
      <c r="BT45" s="139"/>
      <c r="BU45" s="139"/>
      <c r="BV45" s="139"/>
      <c r="BW45" s="139"/>
      <c r="BX45" s="139"/>
      <c r="BY45" s="139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A45" s="139"/>
      <c r="DB45" s="139"/>
      <c r="DC45" s="139"/>
      <c r="DD45" s="139"/>
      <c r="DE45" s="139"/>
      <c r="DF45" s="139"/>
      <c r="DG45" s="139"/>
      <c r="DH45" s="139"/>
      <c r="DI45" s="139"/>
      <c r="DJ45" s="139"/>
      <c r="DK45" s="139"/>
      <c r="DL45" s="139"/>
      <c r="DM45" s="139"/>
      <c r="DN45" s="139"/>
      <c r="DO45" s="139"/>
      <c r="DP45" s="139"/>
      <c r="DQ45" s="139"/>
      <c r="DR45" s="139"/>
      <c r="DS45" s="139"/>
      <c r="DT45" s="139"/>
      <c r="DU45" s="139"/>
      <c r="DV45" s="139"/>
      <c r="DW45" s="139"/>
      <c r="DX45" s="139"/>
      <c r="DY45" s="139"/>
      <c r="DZ45" s="139"/>
      <c r="EA45" s="139"/>
      <c r="EB45" s="139"/>
      <c r="EC45" s="139"/>
      <c r="ED45" s="139"/>
      <c r="EE45" s="139"/>
      <c r="EF45" s="139"/>
      <c r="EG45" s="139"/>
      <c r="EH45" s="139"/>
      <c r="EI45" s="139"/>
      <c r="EJ45" s="139"/>
      <c r="EK45" s="139"/>
      <c r="EL45" s="139"/>
      <c r="EM45" s="139"/>
      <c r="EN45" s="139"/>
      <c r="EO45" s="139"/>
      <c r="EP45" s="139"/>
      <c r="EQ45" s="139"/>
      <c r="ER45" s="139"/>
      <c r="ES45" s="139"/>
      <c r="ET45" s="139"/>
      <c r="EU45" s="139"/>
      <c r="EV45" s="139"/>
      <c r="EW45" s="139"/>
      <c r="EX45" s="139"/>
      <c r="EY45" s="139"/>
      <c r="EZ45" s="139"/>
      <c r="FA45" s="139"/>
      <c r="FB45" s="139"/>
      <c r="FC45" s="139"/>
      <c r="FD45" s="139"/>
      <c r="FE45" s="139"/>
      <c r="FF45" s="139"/>
      <c r="FG45" s="139"/>
      <c r="FH45" s="139"/>
      <c r="FI45" s="139"/>
      <c r="FJ45" s="139"/>
      <c r="FK45" s="139"/>
      <c r="FL45" s="139"/>
      <c r="FM45" s="139"/>
      <c r="FN45" s="139"/>
      <c r="FO45" s="139"/>
      <c r="FP45" s="139"/>
      <c r="FQ45" s="139"/>
      <c r="FR45" s="139"/>
      <c r="FS45" s="139"/>
      <c r="FT45" s="139"/>
      <c r="FU45" s="139"/>
      <c r="FV45" s="139"/>
      <c r="FW45" s="139"/>
      <c r="FX45" s="139"/>
      <c r="FY45" s="139"/>
      <c r="FZ45" s="139"/>
      <c r="GA45" s="139"/>
      <c r="GB45" s="139"/>
      <c r="GC45" s="139"/>
      <c r="GD45" s="139"/>
      <c r="GE45" s="139"/>
      <c r="GF45" s="139"/>
      <c r="GG45" s="139"/>
      <c r="GH45" s="139"/>
      <c r="GI45" s="139"/>
      <c r="GJ45" s="139"/>
      <c r="GK45" s="139"/>
      <c r="GL45" s="139"/>
      <c r="GM45" s="139"/>
      <c r="GN45" s="139"/>
      <c r="GO45" s="139"/>
      <c r="GP45" s="139"/>
      <c r="GQ45" s="139"/>
      <c r="GR45" s="139"/>
      <c r="GS45" s="139"/>
      <c r="GT45" s="139"/>
      <c r="GU45" s="139"/>
      <c r="GV45" s="139"/>
      <c r="GW45" s="139"/>
      <c r="GX45" s="139"/>
      <c r="GY45" s="139"/>
      <c r="GZ45" s="139"/>
      <c r="HA45" s="139"/>
      <c r="HB45" s="139"/>
      <c r="HC45" s="139"/>
      <c r="HD45" s="139"/>
      <c r="HE45" s="139"/>
      <c r="HF45" s="139"/>
      <c r="HG45" s="139"/>
      <c r="HH45" s="139"/>
      <c r="HI45" s="139"/>
      <c r="HJ45" s="139"/>
      <c r="HK45" s="139"/>
      <c r="HL45" s="139"/>
      <c r="HM45" s="139"/>
      <c r="HN45" s="139"/>
    </row>
    <row r="46" spans="1:222" ht="15" x14ac:dyDescent="0.25">
      <c r="A46" s="139"/>
      <c r="B46" s="135" t="s">
        <v>114</v>
      </c>
      <c r="C46" s="139"/>
      <c r="D46" s="139">
        <v>0.20127579911395618</v>
      </c>
      <c r="E46" s="139">
        <v>0.19164429085113405</v>
      </c>
      <c r="F46" s="139">
        <v>0.19185476842064536</v>
      </c>
      <c r="G46" s="139">
        <v>0.22227473793446553</v>
      </c>
      <c r="H46" s="139">
        <v>0.20679421784914218</v>
      </c>
      <c r="I46" s="139">
        <v>0.22382315393394592</v>
      </c>
      <c r="J46" s="139">
        <v>0.21044098565585545</v>
      </c>
      <c r="K46" s="139">
        <v>0.22124514846133683</v>
      </c>
      <c r="L46" s="139">
        <v>0.22427100946217077</v>
      </c>
      <c r="M46" s="139">
        <v>0.23100865917014587</v>
      </c>
      <c r="N46" s="139">
        <v>0.22699285851909543</v>
      </c>
      <c r="O46" s="139">
        <v>0.20614728686475814</v>
      </c>
      <c r="P46" s="139">
        <v>0.20946906648114097</v>
      </c>
      <c r="Q46" s="139">
        <v>0.20354327827495064</v>
      </c>
      <c r="R46" s="139">
        <v>0.2429409134645624</v>
      </c>
      <c r="S46" s="139">
        <v>0.20565111587301974</v>
      </c>
      <c r="T46" s="139">
        <v>0.24162229825844966</v>
      </c>
      <c r="U46" s="139">
        <v>0.26231940440022639</v>
      </c>
      <c r="V46" s="139">
        <v>0.23607643417229224</v>
      </c>
      <c r="W46" s="139">
        <v>0.29933469597244522</v>
      </c>
      <c r="X46" s="139">
        <v>0.20987503528244558</v>
      </c>
      <c r="Y46" s="139">
        <v>0.22375465346809637</v>
      </c>
      <c r="Z46" s="139">
        <v>0.23302942026516943</v>
      </c>
      <c r="AA46" s="139">
        <v>0.23241835189995372</v>
      </c>
      <c r="AB46" s="139">
        <v>0.22653870961729039</v>
      </c>
      <c r="AC46" s="139">
        <v>0.20044076756520821</v>
      </c>
      <c r="AD46" s="139">
        <v>0.22136506456208527</v>
      </c>
      <c r="AE46" s="139">
        <v>0.22205735561288356</v>
      </c>
      <c r="AF46" s="139">
        <v>0.23484750571228863</v>
      </c>
      <c r="AG46" s="139">
        <v>0.24990430154894874</v>
      </c>
      <c r="AH46" s="139">
        <v>0.27555763038178926</v>
      </c>
      <c r="AI46" s="139">
        <v>0.2764606965353551</v>
      </c>
      <c r="AJ46" s="139">
        <v>0.27097165393776401</v>
      </c>
      <c r="AK46" s="139">
        <v>0.29332658140004747</v>
      </c>
      <c r="AL46" s="139">
        <v>0.26865621997256101</v>
      </c>
      <c r="AM46" s="139">
        <v>0.31764098507760324</v>
      </c>
      <c r="AN46" s="139">
        <v>0.33217603657204986</v>
      </c>
      <c r="AO46" s="139">
        <v>0.33632733412620236</v>
      </c>
      <c r="AP46" s="139"/>
      <c r="AQ46" s="139"/>
      <c r="AR46" s="139"/>
      <c r="AS46" s="139"/>
      <c r="AT46" s="139"/>
      <c r="AU46" s="139"/>
      <c r="AV46" s="139"/>
      <c r="AW46" s="139"/>
      <c r="AX46" s="139"/>
      <c r="AY46" s="139"/>
      <c r="AZ46" s="139"/>
      <c r="BA46" s="139"/>
      <c r="BB46" s="139"/>
      <c r="BC46" s="139"/>
      <c r="BD46" s="139"/>
      <c r="BE46" s="139"/>
      <c r="BF46" s="139"/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9"/>
      <c r="BR46" s="139"/>
      <c r="BS46" s="139"/>
      <c r="BT46" s="139"/>
      <c r="BU46" s="139"/>
      <c r="BV46" s="139"/>
      <c r="BW46" s="139"/>
      <c r="BX46" s="139"/>
      <c r="BY46" s="139"/>
      <c r="BZ46" s="139"/>
      <c r="CA46" s="139"/>
      <c r="CB46" s="139"/>
      <c r="CC46" s="139"/>
      <c r="CD46" s="139"/>
      <c r="CE46" s="139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139"/>
      <c r="DB46" s="139"/>
      <c r="DC46" s="139"/>
      <c r="DD46" s="139"/>
      <c r="DE46" s="139"/>
      <c r="DF46" s="139"/>
      <c r="DG46" s="139"/>
      <c r="DH46" s="139"/>
      <c r="DI46" s="139"/>
      <c r="DJ46" s="139"/>
      <c r="DK46" s="139"/>
      <c r="DL46" s="139"/>
      <c r="DM46" s="139"/>
      <c r="DN46" s="139"/>
      <c r="DO46" s="139"/>
      <c r="DP46" s="139"/>
      <c r="DQ46" s="139"/>
      <c r="DR46" s="139"/>
      <c r="DS46" s="139"/>
      <c r="DT46" s="139"/>
      <c r="DU46" s="139"/>
      <c r="DV46" s="139"/>
      <c r="DW46" s="139"/>
      <c r="DX46" s="139"/>
      <c r="DY46" s="139"/>
      <c r="DZ46" s="139"/>
      <c r="EA46" s="139"/>
      <c r="EB46" s="139"/>
      <c r="EC46" s="139"/>
      <c r="ED46" s="139"/>
      <c r="EE46" s="139"/>
      <c r="EF46" s="139"/>
      <c r="EG46" s="139"/>
      <c r="EH46" s="139"/>
      <c r="EI46" s="139"/>
      <c r="EJ46" s="139"/>
      <c r="EK46" s="139"/>
      <c r="EL46" s="139"/>
      <c r="EM46" s="139"/>
      <c r="EN46" s="139"/>
      <c r="EO46" s="139"/>
      <c r="EP46" s="139"/>
      <c r="EQ46" s="139"/>
      <c r="ER46" s="139"/>
      <c r="ES46" s="139"/>
      <c r="ET46" s="139"/>
      <c r="EU46" s="139"/>
      <c r="EV46" s="139"/>
      <c r="EW46" s="139"/>
      <c r="EX46" s="139"/>
      <c r="EY46" s="139"/>
      <c r="EZ46" s="139"/>
      <c r="FA46" s="139"/>
      <c r="FB46" s="139"/>
      <c r="FC46" s="139"/>
      <c r="FD46" s="139"/>
      <c r="FE46" s="139"/>
      <c r="FF46" s="139"/>
      <c r="FG46" s="139"/>
      <c r="FH46" s="139"/>
      <c r="FI46" s="139"/>
      <c r="FJ46" s="139"/>
      <c r="FK46" s="139"/>
      <c r="FL46" s="139"/>
      <c r="FM46" s="139"/>
      <c r="FN46" s="139"/>
      <c r="FO46" s="139"/>
      <c r="FP46" s="139"/>
      <c r="FQ46" s="139"/>
      <c r="FR46" s="139"/>
      <c r="FS46" s="139"/>
      <c r="FT46" s="139"/>
      <c r="FU46" s="139"/>
      <c r="FV46" s="139"/>
      <c r="FW46" s="139"/>
      <c r="FX46" s="139"/>
      <c r="FY46" s="139"/>
      <c r="FZ46" s="139"/>
      <c r="GA46" s="139"/>
      <c r="GB46" s="139"/>
      <c r="GC46" s="139"/>
      <c r="GD46" s="139"/>
      <c r="GE46" s="139"/>
      <c r="GF46" s="139"/>
      <c r="GG46" s="139"/>
      <c r="GH46" s="139"/>
      <c r="GI46" s="139"/>
      <c r="GJ46" s="139"/>
      <c r="GK46" s="139"/>
      <c r="GL46" s="139"/>
      <c r="GM46" s="139"/>
      <c r="GN46" s="139"/>
      <c r="GO46" s="139"/>
      <c r="GP46" s="139"/>
      <c r="GQ46" s="139"/>
      <c r="GR46" s="139"/>
      <c r="GS46" s="139"/>
      <c r="GT46" s="139"/>
      <c r="GU46" s="139"/>
      <c r="GV46" s="139"/>
      <c r="GW46" s="139"/>
      <c r="GX46" s="139"/>
      <c r="GY46" s="139"/>
      <c r="GZ46" s="139"/>
      <c r="HA46" s="139"/>
      <c r="HB46" s="139"/>
      <c r="HC46" s="139"/>
      <c r="HD46" s="139"/>
      <c r="HE46" s="139"/>
      <c r="HF46" s="139"/>
      <c r="HG46" s="139"/>
      <c r="HH46" s="139"/>
      <c r="HI46" s="139"/>
      <c r="HJ46" s="139"/>
      <c r="HK46" s="139"/>
      <c r="HL46" s="139"/>
      <c r="HM46" s="139"/>
      <c r="HN46" s="139"/>
    </row>
    <row r="47" spans="1:222" ht="15" x14ac:dyDescent="0.25">
      <c r="A47" s="139"/>
      <c r="B47" s="133" t="s">
        <v>112</v>
      </c>
      <c r="C47" s="139"/>
      <c r="D47" s="139">
        <v>0.13366126825724806</v>
      </c>
      <c r="E47" s="139">
        <v>0.12516551395861861</v>
      </c>
      <c r="F47" s="139">
        <v>0.12720112222516458</v>
      </c>
      <c r="G47" s="139">
        <v>0.14852153159385789</v>
      </c>
      <c r="H47" s="139">
        <v>0.13965846410704444</v>
      </c>
      <c r="I47" s="139">
        <v>0.15001795951894673</v>
      </c>
      <c r="J47" s="139">
        <v>0.14510129127956128</v>
      </c>
      <c r="K47" s="139">
        <v>0.15132188709778074</v>
      </c>
      <c r="L47" s="139">
        <v>0.14397067619033496</v>
      </c>
      <c r="M47" s="139">
        <v>0.15047005847103723</v>
      </c>
      <c r="N47" s="139">
        <v>0.14824645767682004</v>
      </c>
      <c r="O47" s="139">
        <v>0.13592927565239291</v>
      </c>
      <c r="P47" s="139">
        <v>0.13669686216560528</v>
      </c>
      <c r="Q47" s="139">
        <v>0.13673526640808736</v>
      </c>
      <c r="R47" s="139">
        <v>0.14767559031087713</v>
      </c>
      <c r="S47" s="139">
        <v>0.13846007343562353</v>
      </c>
      <c r="T47" s="139">
        <v>0.16741837819734232</v>
      </c>
      <c r="U47" s="139">
        <v>0.17355556112730869</v>
      </c>
      <c r="V47" s="139">
        <v>0.15744428092200635</v>
      </c>
      <c r="W47" s="139">
        <v>0.21378617720948997</v>
      </c>
      <c r="X47" s="139">
        <v>0.13485189944711523</v>
      </c>
      <c r="Y47" s="139">
        <v>0.15358509041339888</v>
      </c>
      <c r="Z47" s="139">
        <v>0.15929029507820405</v>
      </c>
      <c r="AA47" s="139">
        <v>0.16010814330383694</v>
      </c>
      <c r="AB47" s="139">
        <v>0.15166792707537458</v>
      </c>
      <c r="AC47" s="139">
        <v>0.13357916921667354</v>
      </c>
      <c r="AD47" s="139">
        <v>0.14851680903171369</v>
      </c>
      <c r="AE47" s="139">
        <v>0.15510294004952749</v>
      </c>
      <c r="AF47" s="139">
        <v>0.16583449696469527</v>
      </c>
      <c r="AG47" s="139">
        <v>0.17575641797316982</v>
      </c>
      <c r="AH47" s="139">
        <v>0.19359491838010279</v>
      </c>
      <c r="AI47" s="139">
        <v>0.194613102158437</v>
      </c>
      <c r="AJ47" s="139">
        <v>0.19812002314040797</v>
      </c>
      <c r="AK47" s="139">
        <v>0.21748259909116557</v>
      </c>
      <c r="AL47" s="139">
        <v>0.19723476382041116</v>
      </c>
      <c r="AM47" s="139">
        <v>0.2403844805314593</v>
      </c>
      <c r="AN47" s="139">
        <v>0.24210887546522442</v>
      </c>
      <c r="AO47" s="139">
        <v>0.25260366613373508</v>
      </c>
      <c r="AP47" s="139"/>
      <c r="AQ47" s="139"/>
      <c r="AR47" s="139"/>
      <c r="AS47" s="139"/>
      <c r="AT47" s="139"/>
      <c r="AU47" s="139"/>
      <c r="AV47" s="139"/>
      <c r="AW47" s="139"/>
      <c r="AX47" s="139"/>
      <c r="AY47" s="139"/>
      <c r="AZ47" s="139"/>
      <c r="BA47" s="139"/>
      <c r="BB47" s="139"/>
      <c r="BC47" s="139"/>
      <c r="BD47" s="139"/>
      <c r="BE47" s="139"/>
      <c r="BF47" s="139"/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9"/>
      <c r="BR47" s="139"/>
      <c r="BS47" s="139"/>
      <c r="BT47" s="139"/>
      <c r="BU47" s="139"/>
      <c r="BV47" s="139"/>
      <c r="BW47" s="139"/>
      <c r="BX47" s="139"/>
      <c r="BY47" s="139"/>
      <c r="BZ47" s="139"/>
      <c r="CA47" s="139"/>
      <c r="CB47" s="139"/>
      <c r="CC47" s="139"/>
      <c r="CD47" s="139"/>
      <c r="CE47" s="139"/>
      <c r="CF47" s="139"/>
      <c r="CG47" s="139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A47" s="139"/>
      <c r="DB47" s="139"/>
      <c r="DC47" s="139"/>
      <c r="DD47" s="139"/>
      <c r="DE47" s="139"/>
      <c r="DF47" s="139"/>
      <c r="DG47" s="139"/>
      <c r="DH47" s="139"/>
      <c r="DI47" s="139"/>
      <c r="DJ47" s="139"/>
      <c r="DK47" s="139"/>
      <c r="DL47" s="139"/>
      <c r="DM47" s="139"/>
      <c r="DN47" s="139"/>
      <c r="DO47" s="139"/>
      <c r="DP47" s="139"/>
      <c r="DQ47" s="139"/>
      <c r="DR47" s="139"/>
      <c r="DS47" s="139"/>
      <c r="DT47" s="139"/>
      <c r="DU47" s="139"/>
      <c r="DV47" s="139"/>
      <c r="DW47" s="139"/>
      <c r="DX47" s="139"/>
      <c r="DY47" s="139"/>
      <c r="DZ47" s="139"/>
      <c r="EA47" s="139"/>
      <c r="EB47" s="139"/>
      <c r="EC47" s="139"/>
      <c r="ED47" s="139"/>
      <c r="EE47" s="139"/>
      <c r="EF47" s="139"/>
      <c r="EG47" s="139"/>
      <c r="EH47" s="139"/>
      <c r="EI47" s="139"/>
      <c r="EJ47" s="139"/>
      <c r="EK47" s="139"/>
      <c r="EL47" s="139"/>
      <c r="EM47" s="139"/>
      <c r="EN47" s="139"/>
      <c r="EO47" s="139"/>
      <c r="EP47" s="139"/>
      <c r="EQ47" s="139"/>
      <c r="ER47" s="139"/>
      <c r="ES47" s="139"/>
      <c r="ET47" s="139"/>
      <c r="EU47" s="139"/>
      <c r="EV47" s="139"/>
      <c r="EW47" s="139"/>
      <c r="EX47" s="139"/>
      <c r="EY47" s="139"/>
      <c r="EZ47" s="139"/>
      <c r="FA47" s="139"/>
      <c r="FB47" s="139"/>
      <c r="FC47" s="139"/>
      <c r="FD47" s="139"/>
      <c r="FE47" s="139"/>
      <c r="FF47" s="139"/>
      <c r="FG47" s="139"/>
      <c r="FH47" s="139"/>
      <c r="FI47" s="139"/>
      <c r="FJ47" s="139"/>
      <c r="FK47" s="139"/>
      <c r="FL47" s="139"/>
      <c r="FM47" s="139"/>
      <c r="FN47" s="139"/>
      <c r="FO47" s="139"/>
      <c r="FP47" s="139"/>
      <c r="FQ47" s="139"/>
      <c r="FR47" s="139"/>
      <c r="FS47" s="139"/>
      <c r="FT47" s="139"/>
      <c r="FU47" s="139"/>
      <c r="FV47" s="139"/>
      <c r="FW47" s="139"/>
      <c r="FX47" s="139"/>
      <c r="FY47" s="139"/>
      <c r="FZ47" s="139"/>
      <c r="GA47" s="139"/>
      <c r="GB47" s="139"/>
      <c r="GC47" s="139"/>
      <c r="GD47" s="139"/>
      <c r="GE47" s="139"/>
      <c r="GF47" s="139"/>
      <c r="GG47" s="139"/>
      <c r="GH47" s="139"/>
      <c r="GI47" s="139"/>
      <c r="GJ47" s="139"/>
      <c r="GK47" s="139"/>
      <c r="GL47" s="139"/>
      <c r="GM47" s="139"/>
      <c r="GN47" s="139"/>
      <c r="GO47" s="139"/>
      <c r="GP47" s="139"/>
      <c r="GQ47" s="139"/>
      <c r="GR47" s="139"/>
      <c r="GS47" s="139"/>
      <c r="GT47" s="139"/>
      <c r="GU47" s="139"/>
      <c r="GV47" s="139"/>
      <c r="GW47" s="139"/>
      <c r="GX47" s="139"/>
      <c r="GY47" s="139"/>
      <c r="GZ47" s="139"/>
      <c r="HA47" s="139"/>
      <c r="HB47" s="139"/>
      <c r="HC47" s="139"/>
      <c r="HD47" s="139"/>
      <c r="HE47" s="139"/>
      <c r="HF47" s="139"/>
      <c r="HG47" s="139"/>
      <c r="HH47" s="139"/>
      <c r="HI47" s="139"/>
      <c r="HJ47" s="139"/>
      <c r="HK47" s="139"/>
      <c r="HL47" s="139"/>
      <c r="HM47" s="139"/>
      <c r="HN47" s="139"/>
    </row>
    <row r="48" spans="1:222" ht="15" x14ac:dyDescent="0.25">
      <c r="A48" s="139"/>
      <c r="B48" s="133" t="s">
        <v>113</v>
      </c>
      <c r="C48" s="139"/>
      <c r="D48" s="139">
        <v>6.7614530856708141E-2</v>
      </c>
      <c r="E48" s="139">
        <v>6.647877689251544E-2</v>
      </c>
      <c r="F48" s="139">
        <v>6.465364619548078E-2</v>
      </c>
      <c r="G48" s="139">
        <v>7.3753206340607641E-2</v>
      </c>
      <c r="H48" s="139">
        <v>6.7135753742097737E-2</v>
      </c>
      <c r="I48" s="139">
        <v>7.3805194414999178E-2</v>
      </c>
      <c r="J48" s="139">
        <v>6.5339694376294138E-2</v>
      </c>
      <c r="K48" s="139">
        <v>6.9923261363556061E-2</v>
      </c>
      <c r="L48" s="139">
        <v>8.0300333271835805E-2</v>
      </c>
      <c r="M48" s="139">
        <v>8.0538600699108648E-2</v>
      </c>
      <c r="N48" s="139">
        <v>7.874640084227541E-2</v>
      </c>
      <c r="O48" s="139">
        <v>7.0218011212365219E-2</v>
      </c>
      <c r="P48" s="139">
        <v>7.2772204315535674E-2</v>
      </c>
      <c r="Q48" s="139">
        <v>6.680801186686329E-2</v>
      </c>
      <c r="R48" s="139">
        <v>9.5265323153685286E-2</v>
      </c>
      <c r="S48" s="139">
        <v>6.7191042437396209E-2</v>
      </c>
      <c r="T48" s="139">
        <v>7.4203920061107362E-2</v>
      </c>
      <c r="U48" s="139">
        <v>8.8763843272917711E-2</v>
      </c>
      <c r="V48" s="139">
        <v>7.8632153250285886E-2</v>
      </c>
      <c r="W48" s="139">
        <v>8.5548518762955231E-2</v>
      </c>
      <c r="X48" s="139">
        <v>7.5023135835330351E-2</v>
      </c>
      <c r="Y48" s="139">
        <v>7.0169563054697487E-2</v>
      </c>
      <c r="Z48" s="139">
        <v>7.3739125186965362E-2</v>
      </c>
      <c r="AA48" s="139">
        <v>7.2310208596116768E-2</v>
      </c>
      <c r="AB48" s="139">
        <v>7.4870782541915828E-2</v>
      </c>
      <c r="AC48" s="139">
        <v>6.686159834853464E-2</v>
      </c>
      <c r="AD48" s="139">
        <v>7.2848255530371567E-2</v>
      </c>
      <c r="AE48" s="139">
        <v>6.6954415563356087E-2</v>
      </c>
      <c r="AF48" s="139">
        <v>6.9013008747593363E-2</v>
      </c>
      <c r="AG48" s="139">
        <v>7.4147883575778908E-2</v>
      </c>
      <c r="AH48" s="139">
        <v>8.1962712001686436E-2</v>
      </c>
      <c r="AI48" s="139">
        <v>8.1847594376918104E-2</v>
      </c>
      <c r="AJ48" s="139">
        <v>7.2851630797356043E-2</v>
      </c>
      <c r="AK48" s="139">
        <v>7.5843982308881869E-2</v>
      </c>
      <c r="AL48" s="139">
        <v>7.1421456152149829E-2</v>
      </c>
      <c r="AM48" s="139">
        <v>7.7256504546143911E-2</v>
      </c>
      <c r="AN48" s="139">
        <v>9.0067161106825458E-2</v>
      </c>
      <c r="AO48" s="139">
        <v>8.3723667992467277E-2</v>
      </c>
      <c r="AP48" s="139"/>
      <c r="AQ48" s="139"/>
      <c r="AR48" s="139"/>
      <c r="AS48" s="139"/>
      <c r="AT48" s="139"/>
      <c r="AU48" s="139"/>
      <c r="AV48" s="139"/>
      <c r="AW48" s="139"/>
      <c r="AX48" s="139"/>
      <c r="AY48" s="139"/>
      <c r="AZ48" s="139"/>
      <c r="BA48" s="139"/>
      <c r="BB48" s="139"/>
      <c r="BC48" s="139"/>
      <c r="BD48" s="139"/>
      <c r="BE48" s="139"/>
      <c r="BF48" s="139"/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9"/>
      <c r="BR48" s="139"/>
      <c r="BS48" s="139"/>
      <c r="BT48" s="139"/>
      <c r="BU48" s="139"/>
      <c r="BV48" s="139"/>
      <c r="BW48" s="139"/>
      <c r="BX48" s="139"/>
      <c r="BY48" s="139"/>
      <c r="BZ48" s="139"/>
      <c r="CA48" s="139"/>
      <c r="CB48" s="139"/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39"/>
      <c r="DL48" s="139"/>
      <c r="DM48" s="139"/>
      <c r="DN48" s="139"/>
      <c r="DO48" s="139"/>
      <c r="DP48" s="139"/>
      <c r="DQ48" s="139"/>
      <c r="DR48" s="139"/>
      <c r="DS48" s="139"/>
      <c r="DT48" s="139"/>
      <c r="DU48" s="139"/>
      <c r="DV48" s="139"/>
      <c r="DW48" s="139"/>
      <c r="DX48" s="139"/>
      <c r="DY48" s="139"/>
      <c r="DZ48" s="139"/>
      <c r="EA48" s="139"/>
      <c r="EB48" s="139"/>
      <c r="EC48" s="139"/>
      <c r="ED48" s="139"/>
      <c r="EE48" s="139"/>
      <c r="EF48" s="139"/>
      <c r="EG48" s="139"/>
      <c r="EH48" s="139"/>
      <c r="EI48" s="139"/>
      <c r="EJ48" s="139"/>
      <c r="EK48" s="139"/>
      <c r="EL48" s="139"/>
      <c r="EM48" s="139"/>
      <c r="EN48" s="139"/>
      <c r="EO48" s="139"/>
      <c r="EP48" s="139"/>
      <c r="EQ48" s="139"/>
      <c r="ER48" s="139"/>
      <c r="ES48" s="139"/>
      <c r="ET48" s="139"/>
      <c r="EU48" s="139"/>
      <c r="EV48" s="139"/>
      <c r="EW48" s="139"/>
      <c r="EX48" s="139"/>
      <c r="EY48" s="139"/>
      <c r="EZ48" s="139"/>
      <c r="FA48" s="139"/>
      <c r="FB48" s="139"/>
      <c r="FC48" s="139"/>
      <c r="FD48" s="139"/>
      <c r="FE48" s="139"/>
      <c r="FF48" s="139"/>
      <c r="FG48" s="139"/>
      <c r="FH48" s="139"/>
      <c r="FI48" s="139"/>
      <c r="FJ48" s="139"/>
      <c r="FK48" s="139"/>
      <c r="FL48" s="139"/>
      <c r="FM48" s="139"/>
      <c r="FN48" s="139"/>
      <c r="FO48" s="139"/>
      <c r="FP48" s="139"/>
      <c r="FQ48" s="139"/>
      <c r="FR48" s="139"/>
      <c r="FS48" s="139"/>
      <c r="FT48" s="139"/>
      <c r="FU48" s="139"/>
      <c r="FV48" s="139"/>
      <c r="FW48" s="139"/>
      <c r="FX48" s="139"/>
      <c r="FY48" s="139"/>
      <c r="FZ48" s="139"/>
      <c r="GA48" s="139"/>
      <c r="GB48" s="139"/>
      <c r="GC48" s="139"/>
      <c r="GD48" s="139"/>
      <c r="GE48" s="139"/>
      <c r="GF48" s="139"/>
      <c r="GG48" s="139"/>
      <c r="GH48" s="139"/>
      <c r="GI48" s="139"/>
      <c r="GJ48" s="139"/>
      <c r="GK48" s="139"/>
      <c r="GL48" s="139"/>
      <c r="GM48" s="139"/>
      <c r="GN48" s="139"/>
      <c r="GO48" s="139"/>
      <c r="GP48" s="139"/>
      <c r="GQ48" s="139"/>
      <c r="GR48" s="139"/>
      <c r="GS48" s="139"/>
      <c r="GT48" s="139"/>
      <c r="GU48" s="139"/>
      <c r="GV48" s="139"/>
      <c r="GW48" s="139"/>
      <c r="GX48" s="139"/>
      <c r="GY48" s="139"/>
      <c r="GZ48" s="139"/>
      <c r="HA48" s="139"/>
      <c r="HB48" s="139"/>
      <c r="HC48" s="139"/>
      <c r="HD48" s="139"/>
      <c r="HE48" s="139"/>
      <c r="HF48" s="139"/>
      <c r="HG48" s="139"/>
      <c r="HH48" s="139"/>
      <c r="HI48" s="139"/>
      <c r="HJ48" s="139"/>
      <c r="HK48" s="139"/>
      <c r="HL48" s="139"/>
      <c r="HM48" s="139"/>
      <c r="HN48" s="139"/>
    </row>
    <row r="49" spans="1:222" ht="15" x14ac:dyDescent="0.25">
      <c r="A49" s="139"/>
      <c r="B49" s="135" t="s">
        <v>115</v>
      </c>
      <c r="C49" s="139"/>
      <c r="D49" s="139">
        <v>1.2309369347345223E-2</v>
      </c>
      <c r="E49" s="139">
        <v>-2.2492526468619312E-2</v>
      </c>
      <c r="F49" s="139">
        <v>8.0421573642428662E-3</v>
      </c>
      <c r="G49" s="139">
        <v>9.5803581727123234E-4</v>
      </c>
      <c r="H49" s="139">
        <v>9.1863162669993167E-3</v>
      </c>
      <c r="I49" s="139">
        <v>-4.8081180536966656E-4</v>
      </c>
      <c r="J49" s="139">
        <v>1.127879616531755E-2</v>
      </c>
      <c r="K49" s="139">
        <v>2.6557150740831238E-2</v>
      </c>
      <c r="L49" s="139">
        <v>2.6402269454199158E-3</v>
      </c>
      <c r="M49" s="139">
        <v>2.0805959499897182E-2</v>
      </c>
      <c r="N49" s="139">
        <v>5.6370754247054029E-3</v>
      </c>
      <c r="O49" s="139">
        <v>-3.1495680133203675E-2</v>
      </c>
      <c r="P49" s="139">
        <v>-1.5408835347631962E-2</v>
      </c>
      <c r="Q49" s="139">
        <v>5.3981023233796522E-3</v>
      </c>
      <c r="R49" s="139">
        <v>2.4795712144917537E-2</v>
      </c>
      <c r="S49" s="139">
        <v>3.6657486900542206E-2</v>
      </c>
      <c r="T49" s="139">
        <v>6.2344103963004292E-2</v>
      </c>
      <c r="U49" s="139">
        <v>5.7137095862005612E-2</v>
      </c>
      <c r="V49" s="139">
        <v>-1.7594287522732444E-2</v>
      </c>
      <c r="W49" s="139">
        <v>5.25335916229289E-2</v>
      </c>
      <c r="X49" s="139">
        <v>4.4891066407991016E-2</v>
      </c>
      <c r="Y49" s="139">
        <v>6.5841098065531053E-2</v>
      </c>
      <c r="Z49" s="139">
        <v>5.5437412604096903E-2</v>
      </c>
      <c r="AA49" s="139">
        <v>4.8574262723433695E-2</v>
      </c>
      <c r="AB49" s="139">
        <v>6.4024997798967101E-2</v>
      </c>
      <c r="AC49" s="139">
        <v>3.9789053916421617E-2</v>
      </c>
      <c r="AD49" s="139">
        <v>5.6010650048876232E-2</v>
      </c>
      <c r="AE49" s="139">
        <v>0.108091144578465</v>
      </c>
      <c r="AF49" s="139">
        <v>9.6772110494439539E-2</v>
      </c>
      <c r="AG49" s="139">
        <v>0.1387367460949587</v>
      </c>
      <c r="AH49" s="139">
        <v>0.10612540325337999</v>
      </c>
      <c r="AI49" s="139">
        <v>7.2698923848777117E-2</v>
      </c>
      <c r="AJ49" s="139">
        <v>7.8294243524608828E-2</v>
      </c>
      <c r="AK49" s="139">
        <v>0.10597538480648365</v>
      </c>
      <c r="AL49" s="139">
        <v>6.3390906897660707E-2</v>
      </c>
      <c r="AM49" s="139">
        <v>5.5342783676712651E-2</v>
      </c>
      <c r="AN49" s="139">
        <v>5.9242604878397657E-3</v>
      </c>
      <c r="AO49" s="139">
        <v>-4.9712091455228393E-3</v>
      </c>
      <c r="AP49" s="139"/>
      <c r="AQ49" s="139"/>
      <c r="AR49" s="139"/>
      <c r="AS49" s="139"/>
      <c r="AT49" s="139"/>
      <c r="AU49" s="139"/>
      <c r="AV49" s="139"/>
      <c r="AW49" s="139"/>
      <c r="AX49" s="139"/>
      <c r="AY49" s="139"/>
      <c r="AZ49" s="139"/>
      <c r="BA49" s="139"/>
      <c r="BB49" s="139"/>
      <c r="BC49" s="139"/>
      <c r="BD49" s="139"/>
      <c r="BE49" s="139"/>
      <c r="BF49" s="139"/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9"/>
      <c r="BR49" s="139"/>
      <c r="BS49" s="139"/>
      <c r="BT49" s="139"/>
      <c r="BU49" s="139"/>
      <c r="BV49" s="139"/>
      <c r="BW49" s="139"/>
      <c r="BX49" s="139"/>
      <c r="BY49" s="139"/>
      <c r="BZ49" s="139"/>
      <c r="CA49" s="139"/>
      <c r="CB49" s="139"/>
      <c r="CC49" s="139"/>
      <c r="CD49" s="139"/>
      <c r="CE49" s="139"/>
      <c r="CF49" s="139"/>
      <c r="CG49" s="139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A49" s="139"/>
      <c r="DB49" s="139"/>
      <c r="DC49" s="139"/>
      <c r="DD49" s="139"/>
      <c r="DE49" s="139"/>
      <c r="DF49" s="139"/>
      <c r="DG49" s="139"/>
      <c r="DH49" s="139"/>
      <c r="DI49" s="139"/>
      <c r="DJ49" s="139"/>
      <c r="DK49" s="139"/>
      <c r="DL49" s="139"/>
      <c r="DM49" s="139"/>
      <c r="DN49" s="139"/>
      <c r="DO49" s="139"/>
      <c r="DP49" s="139"/>
      <c r="DQ49" s="139"/>
      <c r="DR49" s="139"/>
      <c r="DS49" s="139"/>
      <c r="DT49" s="139"/>
      <c r="DU49" s="139"/>
      <c r="DV49" s="139"/>
      <c r="DW49" s="139"/>
      <c r="DX49" s="139"/>
      <c r="DY49" s="139"/>
      <c r="DZ49" s="139"/>
      <c r="EA49" s="139"/>
      <c r="EB49" s="139"/>
      <c r="EC49" s="139"/>
      <c r="ED49" s="139"/>
      <c r="EE49" s="139"/>
      <c r="EF49" s="139"/>
      <c r="EG49" s="139"/>
      <c r="EH49" s="139"/>
      <c r="EI49" s="139"/>
      <c r="EJ49" s="139"/>
      <c r="EK49" s="139"/>
      <c r="EL49" s="139"/>
      <c r="EM49" s="139"/>
      <c r="EN49" s="139"/>
      <c r="EO49" s="139"/>
      <c r="EP49" s="139"/>
      <c r="EQ49" s="139"/>
      <c r="ER49" s="139"/>
      <c r="ES49" s="139"/>
      <c r="ET49" s="139"/>
      <c r="EU49" s="139"/>
      <c r="EV49" s="139"/>
      <c r="EW49" s="139"/>
      <c r="EX49" s="139"/>
      <c r="EY49" s="139"/>
      <c r="EZ49" s="139"/>
      <c r="FA49" s="139"/>
      <c r="FB49" s="139"/>
      <c r="FC49" s="139"/>
      <c r="FD49" s="139"/>
      <c r="FE49" s="139"/>
      <c r="FF49" s="139"/>
      <c r="FG49" s="139"/>
      <c r="FH49" s="139"/>
      <c r="FI49" s="139"/>
      <c r="FJ49" s="139"/>
      <c r="FK49" s="139"/>
      <c r="FL49" s="139"/>
      <c r="FM49" s="139"/>
      <c r="FN49" s="139"/>
      <c r="FO49" s="139"/>
      <c r="FP49" s="139"/>
      <c r="FQ49" s="139"/>
      <c r="FR49" s="139"/>
      <c r="FS49" s="139"/>
      <c r="FT49" s="139"/>
      <c r="FU49" s="139"/>
      <c r="FV49" s="139"/>
      <c r="FW49" s="139"/>
      <c r="FX49" s="139"/>
      <c r="FY49" s="139"/>
      <c r="FZ49" s="139"/>
      <c r="GA49" s="139"/>
      <c r="GB49" s="139"/>
      <c r="GC49" s="139"/>
      <c r="GD49" s="139"/>
      <c r="GE49" s="139"/>
      <c r="GF49" s="139"/>
      <c r="GG49" s="139"/>
      <c r="GH49" s="139"/>
      <c r="GI49" s="139"/>
      <c r="GJ49" s="139"/>
      <c r="GK49" s="139"/>
      <c r="GL49" s="139"/>
      <c r="GM49" s="139"/>
      <c r="GN49" s="139"/>
      <c r="GO49" s="139"/>
      <c r="GP49" s="139"/>
      <c r="GQ49" s="139"/>
      <c r="GR49" s="139"/>
      <c r="GS49" s="139"/>
      <c r="GT49" s="139"/>
      <c r="GU49" s="139"/>
      <c r="GV49" s="139"/>
      <c r="GW49" s="139"/>
      <c r="GX49" s="139"/>
      <c r="GY49" s="139"/>
      <c r="GZ49" s="139"/>
      <c r="HA49" s="139"/>
      <c r="HB49" s="139"/>
      <c r="HC49" s="139"/>
      <c r="HD49" s="139"/>
      <c r="HE49" s="139"/>
      <c r="HF49" s="139"/>
      <c r="HG49" s="139"/>
      <c r="HH49" s="139"/>
      <c r="HI49" s="139"/>
      <c r="HJ49" s="139"/>
      <c r="HK49" s="139"/>
      <c r="HL49" s="139"/>
      <c r="HM49" s="139"/>
      <c r="HN49" s="139"/>
    </row>
    <row r="50" spans="1:222" ht="15" x14ac:dyDescent="0.25">
      <c r="A50" s="139"/>
      <c r="B50" s="132" t="s">
        <v>116</v>
      </c>
      <c r="C50" s="139"/>
      <c r="D50" s="139">
        <v>1</v>
      </c>
      <c r="E50" s="139">
        <v>1</v>
      </c>
      <c r="F50" s="139">
        <v>1</v>
      </c>
      <c r="G50" s="139">
        <v>1</v>
      </c>
      <c r="H50" s="139">
        <v>1</v>
      </c>
      <c r="I50" s="139">
        <v>1</v>
      </c>
      <c r="J50" s="139">
        <v>1</v>
      </c>
      <c r="K50" s="139">
        <v>1</v>
      </c>
      <c r="L50" s="139">
        <v>1</v>
      </c>
      <c r="M50" s="139">
        <v>1</v>
      </c>
      <c r="N50" s="139">
        <v>1</v>
      </c>
      <c r="O50" s="139">
        <v>1</v>
      </c>
      <c r="P50" s="139">
        <v>1</v>
      </c>
      <c r="Q50" s="139">
        <v>1</v>
      </c>
      <c r="R50" s="139">
        <v>1</v>
      </c>
      <c r="S50" s="139">
        <v>1</v>
      </c>
      <c r="T50" s="139">
        <v>1</v>
      </c>
      <c r="U50" s="139">
        <v>1</v>
      </c>
      <c r="V50" s="139">
        <v>1</v>
      </c>
      <c r="W50" s="139">
        <v>1</v>
      </c>
      <c r="X50" s="139">
        <v>1</v>
      </c>
      <c r="Y50" s="139">
        <v>1</v>
      </c>
      <c r="Z50" s="139">
        <v>1</v>
      </c>
      <c r="AA50" s="139">
        <v>1</v>
      </c>
      <c r="AB50" s="139">
        <v>1</v>
      </c>
      <c r="AC50" s="139">
        <v>1</v>
      </c>
      <c r="AD50" s="139">
        <v>1</v>
      </c>
      <c r="AE50" s="139">
        <v>1</v>
      </c>
      <c r="AF50" s="139">
        <v>1</v>
      </c>
      <c r="AG50" s="139">
        <v>1</v>
      </c>
      <c r="AH50" s="139">
        <v>1</v>
      </c>
      <c r="AI50" s="139">
        <v>1</v>
      </c>
      <c r="AJ50" s="139">
        <v>1</v>
      </c>
      <c r="AK50" s="139">
        <v>1</v>
      </c>
      <c r="AL50" s="139">
        <v>1</v>
      </c>
      <c r="AM50" s="139">
        <v>1</v>
      </c>
      <c r="AN50" s="139">
        <v>1</v>
      </c>
      <c r="AO50" s="139">
        <v>1</v>
      </c>
      <c r="AP50" s="139"/>
      <c r="AQ50" s="139"/>
      <c r="AR50" s="139"/>
      <c r="AS50" s="139"/>
      <c r="AT50" s="139"/>
      <c r="AU50" s="139"/>
      <c r="AV50" s="139"/>
      <c r="AW50" s="139"/>
      <c r="AX50" s="139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39"/>
      <c r="EL50" s="139"/>
      <c r="EM50" s="139"/>
      <c r="EN50" s="139"/>
      <c r="EO50" s="139"/>
      <c r="EP50" s="139"/>
      <c r="EQ50" s="139"/>
      <c r="ER50" s="139"/>
      <c r="ES50" s="139"/>
      <c r="ET50" s="139"/>
      <c r="EU50" s="139"/>
      <c r="EV50" s="139"/>
      <c r="EW50" s="139"/>
      <c r="EX50" s="139"/>
      <c r="EY50" s="139"/>
      <c r="EZ50" s="139"/>
      <c r="FA50" s="139"/>
      <c r="FB50" s="139"/>
      <c r="FC50" s="139"/>
      <c r="FD50" s="139"/>
      <c r="FE50" s="139"/>
      <c r="FF50" s="139"/>
      <c r="FG50" s="139"/>
      <c r="FH50" s="139"/>
      <c r="FI50" s="139"/>
      <c r="FJ50" s="139"/>
      <c r="FK50" s="139"/>
      <c r="FL50" s="139"/>
      <c r="FM50" s="139"/>
      <c r="FN50" s="139"/>
      <c r="FO50" s="139"/>
      <c r="FP50" s="139"/>
      <c r="FQ50" s="139"/>
      <c r="FR50" s="139"/>
      <c r="FS50" s="139"/>
      <c r="FT50" s="139"/>
      <c r="FU50" s="139"/>
      <c r="FV50" s="139"/>
      <c r="FW50" s="139"/>
      <c r="FX50" s="139"/>
      <c r="FY50" s="139"/>
      <c r="FZ50" s="139"/>
      <c r="GA50" s="139"/>
      <c r="GB50" s="139"/>
      <c r="GC50" s="139"/>
      <c r="GD50" s="139"/>
      <c r="GE50" s="139"/>
      <c r="GF50" s="139"/>
      <c r="GG50" s="139"/>
      <c r="GH50" s="139"/>
      <c r="GI50" s="139"/>
      <c r="GJ50" s="139"/>
      <c r="GK50" s="139"/>
      <c r="GL50" s="139"/>
      <c r="GM50" s="139"/>
      <c r="GN50" s="139"/>
      <c r="GO50" s="139"/>
      <c r="GP50" s="139"/>
      <c r="GQ50" s="139"/>
      <c r="GR50" s="139"/>
      <c r="GS50" s="139"/>
      <c r="GT50" s="139"/>
      <c r="GU50" s="139"/>
      <c r="GV50" s="139"/>
      <c r="GW50" s="139"/>
      <c r="GX50" s="139"/>
      <c r="GY50" s="139"/>
      <c r="GZ50" s="139"/>
      <c r="HA50" s="139"/>
      <c r="HB50" s="139"/>
      <c r="HC50" s="139"/>
      <c r="HD50" s="139"/>
      <c r="HE50" s="139"/>
      <c r="HF50" s="139"/>
      <c r="HG50" s="139"/>
      <c r="HH50" s="139"/>
      <c r="HI50" s="139"/>
      <c r="HJ50" s="139"/>
      <c r="HK50" s="139"/>
      <c r="HL50" s="139"/>
      <c r="HM50" s="139"/>
      <c r="HN50" s="139"/>
    </row>
    <row r="51" spans="1:222" ht="15" x14ac:dyDescent="0.25">
      <c r="A51" s="141"/>
      <c r="B51" s="138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/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/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  <c r="CY51" s="142"/>
      <c r="CZ51" s="142"/>
      <c r="DA51" s="142"/>
      <c r="DB51" s="142"/>
      <c r="DC51" s="142"/>
      <c r="DD51" s="142"/>
      <c r="DE51" s="142"/>
      <c r="DF51" s="142"/>
      <c r="DG51" s="142"/>
      <c r="DH51" s="142"/>
      <c r="DI51" s="142"/>
      <c r="DJ51" s="142"/>
      <c r="DK51" s="142"/>
      <c r="DL51" s="142"/>
      <c r="DM51" s="142"/>
      <c r="DN51" s="142"/>
      <c r="DO51" s="142"/>
      <c r="DP51" s="142"/>
      <c r="DQ51" s="142"/>
      <c r="DR51" s="142"/>
      <c r="DS51" s="142"/>
      <c r="DT51" s="142"/>
      <c r="DU51" s="142"/>
      <c r="DV51" s="142"/>
      <c r="DW51" s="142"/>
      <c r="DX51" s="142"/>
      <c r="DY51" s="142"/>
      <c r="DZ51" s="142"/>
      <c r="EA51" s="142"/>
      <c r="EB51" s="142"/>
      <c r="EC51" s="142"/>
      <c r="ED51" s="142"/>
      <c r="EE51" s="142"/>
      <c r="EF51" s="142"/>
      <c r="EG51" s="142"/>
      <c r="EH51" s="142"/>
      <c r="EI51" s="142"/>
      <c r="EJ51" s="142"/>
      <c r="EK51" s="142"/>
      <c r="EL51" s="142"/>
      <c r="EM51" s="142"/>
      <c r="EN51" s="142"/>
      <c r="EO51" s="142"/>
      <c r="EP51" s="142"/>
      <c r="EQ51" s="142"/>
      <c r="ER51" s="142"/>
      <c r="ES51" s="142"/>
      <c r="ET51" s="142"/>
      <c r="EU51" s="142"/>
      <c r="EV51" s="142"/>
      <c r="EW51" s="142"/>
      <c r="EX51" s="142"/>
      <c r="EY51" s="142"/>
      <c r="EZ51" s="142"/>
      <c r="FA51" s="142"/>
      <c r="FB51" s="142"/>
      <c r="FC51" s="142"/>
      <c r="FD51" s="142"/>
      <c r="FE51" s="142"/>
      <c r="FF51" s="142"/>
      <c r="FG51" s="142"/>
      <c r="FH51" s="142"/>
      <c r="FI51" s="142"/>
      <c r="FJ51" s="142"/>
      <c r="FK51" s="142"/>
      <c r="FL51" s="142"/>
      <c r="FM51" s="142"/>
      <c r="FN51" s="142"/>
      <c r="FO51" s="142"/>
      <c r="FP51" s="142"/>
      <c r="FQ51" s="142"/>
      <c r="FR51" s="142"/>
      <c r="FS51" s="142"/>
      <c r="FT51" s="142"/>
      <c r="FU51" s="142"/>
      <c r="FV51" s="142"/>
      <c r="FW51" s="142"/>
      <c r="FX51" s="142"/>
      <c r="FY51" s="142"/>
      <c r="FZ51" s="142"/>
      <c r="GA51" s="142"/>
      <c r="GB51" s="142"/>
      <c r="GC51" s="142"/>
      <c r="GD51" s="142"/>
      <c r="GE51" s="142"/>
      <c r="GF51" s="142"/>
      <c r="GG51" s="142"/>
      <c r="GH51" s="142"/>
      <c r="GI51" s="142"/>
      <c r="GJ51" s="142"/>
      <c r="GK51" s="142"/>
      <c r="GL51" s="142"/>
      <c r="GM51" s="142"/>
      <c r="GN51" s="142"/>
      <c r="GO51" s="142"/>
      <c r="GP51" s="142"/>
      <c r="GQ51" s="142"/>
      <c r="GR51" s="142"/>
      <c r="GS51" s="142"/>
      <c r="GT51" s="142"/>
      <c r="GU51" s="142"/>
      <c r="GV51" s="142"/>
      <c r="GW51" s="142"/>
      <c r="GX51" s="142"/>
      <c r="GY51" s="142"/>
      <c r="GZ51" s="142"/>
      <c r="HA51" s="142"/>
      <c r="HB51" s="142"/>
      <c r="HC51" s="142"/>
      <c r="HD51" s="142"/>
      <c r="HE51" s="142"/>
      <c r="HF51" s="142"/>
      <c r="HG51" s="142"/>
      <c r="HH51" s="142"/>
      <c r="HI51" s="142"/>
      <c r="HJ51" s="142"/>
      <c r="HK51" s="142"/>
      <c r="HL51" s="142"/>
      <c r="HM51" s="142"/>
      <c r="HN51" s="142"/>
    </row>
    <row r="52" spans="1:222" ht="15" x14ac:dyDescent="0.25">
      <c r="A52" s="142"/>
      <c r="B52" s="143"/>
      <c r="C52" s="14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22" ht="15" x14ac:dyDescent="0.25">
      <c r="A53" s="142"/>
      <c r="B53" s="142"/>
      <c r="C53" s="142"/>
    </row>
    <row r="54" spans="1:222" ht="15" x14ac:dyDescent="0.25">
      <c r="A54" s="142"/>
      <c r="B54" s="142"/>
      <c r="C54" s="142"/>
    </row>
    <row r="55" spans="1:222" ht="15" x14ac:dyDescent="0.25">
      <c r="A55" s="142"/>
      <c r="B55" s="142"/>
      <c r="C55" s="142"/>
    </row>
    <row r="56" spans="1:222" ht="15" x14ac:dyDescent="0.25">
      <c r="A56" s="139"/>
      <c r="B56" s="140"/>
      <c r="C56" s="139"/>
    </row>
    <row r="57" spans="1:222" ht="15" x14ac:dyDescent="0.25">
      <c r="A57" s="139"/>
      <c r="B57" s="139"/>
      <c r="C57" s="139"/>
    </row>
    <row r="58" spans="1:222" ht="15" x14ac:dyDescent="0.25">
      <c r="A58" s="139"/>
      <c r="B58" s="139"/>
      <c r="C58" s="139"/>
    </row>
    <row r="59" spans="1:222" ht="15" x14ac:dyDescent="0.25">
      <c r="A59" s="139"/>
      <c r="B59" s="139"/>
      <c r="C59" s="139"/>
    </row>
    <row r="60" spans="1:222" ht="15" x14ac:dyDescent="0.25"/>
    <row r="61" spans="1:222" ht="15" x14ac:dyDescent="0.25">
      <c r="A61" s="144"/>
      <c r="B61" s="144"/>
      <c r="C61" s="123"/>
    </row>
    <row r="62" spans="1:222" ht="15" x14ac:dyDescent="0.25">
      <c r="A62" s="145"/>
      <c r="B62" s="1"/>
    </row>
    <row r="63" spans="1:222" ht="15" x14ac:dyDescent="0.25">
      <c r="A63" s="131"/>
      <c r="B63" s="132"/>
      <c r="C63" s="131"/>
    </row>
    <row r="64" spans="1:222" ht="15" x14ac:dyDescent="0.25">
      <c r="A64" s="3"/>
      <c r="B64" s="2"/>
      <c r="C64" s="3"/>
    </row>
    <row r="65" spans="1:9" s="118" customFormat="1" ht="15" x14ac:dyDescent="0.25">
      <c r="A65" s="3"/>
      <c r="B65" s="2"/>
      <c r="C65" s="3"/>
      <c r="D65"/>
      <c r="E65"/>
      <c r="F65"/>
      <c r="G65"/>
      <c r="H65"/>
      <c r="I65"/>
    </row>
    <row r="66" spans="1:9" s="118" customFormat="1" ht="15" x14ac:dyDescent="0.25">
      <c r="A66" s="3"/>
      <c r="B66" s="2"/>
      <c r="C66" s="3"/>
      <c r="D66"/>
      <c r="E66"/>
      <c r="F66"/>
      <c r="G66"/>
      <c r="H66"/>
      <c r="I66"/>
    </row>
    <row r="67" spans="1:9" s="118" customFormat="1" ht="15" x14ac:dyDescent="0.25">
      <c r="A67" s="131"/>
      <c r="B67" s="132"/>
      <c r="C67" s="3"/>
      <c r="D67"/>
      <c r="E67"/>
      <c r="F67"/>
      <c r="G67"/>
      <c r="H67"/>
      <c r="I67"/>
    </row>
    <row r="68" spans="1:9" s="118" customFormat="1" ht="15" x14ac:dyDescent="0.25">
      <c r="A68" s="3"/>
      <c r="B68" s="2"/>
      <c r="C68" s="3"/>
      <c r="D68"/>
      <c r="E68"/>
      <c r="F68"/>
      <c r="G68"/>
      <c r="H68"/>
      <c r="I68"/>
    </row>
    <row r="69" spans="1:9" s="118" customFormat="1" ht="15" x14ac:dyDescent="0.25">
      <c r="A69" s="3"/>
      <c r="B69" s="2"/>
      <c r="C69" s="3"/>
      <c r="D69"/>
      <c r="E69"/>
      <c r="F69"/>
      <c r="G69"/>
      <c r="H69"/>
      <c r="I69"/>
    </row>
    <row r="70" spans="1:9" s="118" customFormat="1" ht="15" x14ac:dyDescent="0.25">
      <c r="A70" s="3"/>
      <c r="B70" s="2"/>
      <c r="C70" s="3"/>
      <c r="D70"/>
      <c r="E70"/>
      <c r="F70"/>
      <c r="G70"/>
      <c r="H70"/>
      <c r="I70"/>
    </row>
    <row r="71" spans="1:9" s="118" customFormat="1" ht="15" x14ac:dyDescent="0.25">
      <c r="A71" s="139"/>
      <c r="B71" s="140"/>
      <c r="C71" s="139"/>
      <c r="D71"/>
      <c r="E71"/>
      <c r="F71"/>
      <c r="G71"/>
      <c r="H71"/>
      <c r="I71"/>
    </row>
    <row r="72" spans="1:9" s="118" customFormat="1" ht="15" x14ac:dyDescent="0.25">
      <c r="A72" s="139"/>
      <c r="B72" s="139"/>
      <c r="C72" s="139"/>
      <c r="D72"/>
      <c r="E72"/>
      <c r="F72"/>
      <c r="G72"/>
      <c r="H72"/>
      <c r="I72"/>
    </row>
    <row r="73" spans="1:9" s="118" customFormat="1" ht="15" x14ac:dyDescent="0.25">
      <c r="A73" s="139"/>
      <c r="B73" s="139"/>
      <c r="C73" s="139"/>
      <c r="D73"/>
      <c r="E73"/>
      <c r="F73"/>
      <c r="G73"/>
      <c r="H73"/>
      <c r="I73"/>
    </row>
    <row r="74" spans="1:9" s="118" customFormat="1" ht="15" x14ac:dyDescent="0.25">
      <c r="A74" s="139"/>
      <c r="B74" s="139"/>
      <c r="C74" s="139"/>
      <c r="D74"/>
      <c r="E74"/>
      <c r="F74"/>
      <c r="G74"/>
      <c r="H74"/>
      <c r="I74"/>
    </row>
    <row r="75" spans="1:9" s="118" customFormat="1" ht="15" x14ac:dyDescent="0.25">
      <c r="A75" s="142"/>
      <c r="B75" s="143"/>
      <c r="C75" s="142"/>
      <c r="D75"/>
      <c r="E75"/>
      <c r="F75"/>
      <c r="G75"/>
      <c r="H75"/>
      <c r="I75"/>
    </row>
    <row r="76" spans="1:9" s="118" customFormat="1" ht="15" x14ac:dyDescent="0.25">
      <c r="A76" s="142"/>
      <c r="B76" s="142"/>
      <c r="C76" s="142"/>
      <c r="D76"/>
      <c r="E76"/>
      <c r="F76"/>
      <c r="G76"/>
      <c r="H76"/>
      <c r="I76"/>
    </row>
    <row r="77" spans="1:9" s="118" customFormat="1" ht="15" x14ac:dyDescent="0.25">
      <c r="A77" s="142"/>
      <c r="B77" s="142"/>
      <c r="C77" s="142"/>
      <c r="D77"/>
      <c r="E77"/>
      <c r="F77"/>
      <c r="G77"/>
      <c r="H77"/>
      <c r="I77"/>
    </row>
    <row r="78" spans="1:9" s="118" customFormat="1" ht="15" x14ac:dyDescent="0.25">
      <c r="A78" s="142"/>
      <c r="B78" s="142"/>
      <c r="C78" s="142"/>
      <c r="D78"/>
      <c r="E78"/>
      <c r="F78"/>
      <c r="G78"/>
      <c r="H78"/>
      <c r="I78"/>
    </row>
    <row r="79" spans="1:9" s="118" customFormat="1" ht="15" x14ac:dyDescent="0.25">
      <c r="A79" s="142"/>
      <c r="B79" s="143"/>
      <c r="C79" s="142"/>
      <c r="D79"/>
      <c r="E79"/>
      <c r="F79"/>
      <c r="G79"/>
      <c r="H79"/>
      <c r="I79"/>
    </row>
    <row r="80" spans="1:9" s="118" customFormat="1" ht="15" x14ac:dyDescent="0.25">
      <c r="A80" s="142"/>
      <c r="B80" s="142"/>
      <c r="C80" s="142"/>
      <c r="D80"/>
      <c r="E80"/>
      <c r="F80"/>
      <c r="G80"/>
      <c r="H80"/>
      <c r="I80"/>
    </row>
    <row r="81" spans="1:222" ht="15" x14ac:dyDescent="0.25">
      <c r="A81" s="142"/>
      <c r="B81" s="142"/>
      <c r="C81" s="142"/>
    </row>
    <row r="82" spans="1:222" ht="15" x14ac:dyDescent="0.25">
      <c r="A82" s="142"/>
      <c r="B82" s="142"/>
      <c r="C82" s="142"/>
    </row>
    <row r="83" spans="1:222" ht="15" x14ac:dyDescent="0.25">
      <c r="A83" s="139"/>
      <c r="B83" s="140"/>
      <c r="C83" s="139"/>
    </row>
    <row r="84" spans="1:222" ht="15" x14ac:dyDescent="0.25">
      <c r="A84" s="139"/>
      <c r="B84" s="139"/>
      <c r="C84" s="139"/>
    </row>
    <row r="85" spans="1:222" ht="15" x14ac:dyDescent="0.25">
      <c r="A85" s="139"/>
      <c r="B85" s="139"/>
      <c r="C85" s="139"/>
    </row>
    <row r="86" spans="1:222" ht="15" x14ac:dyDescent="0.25">
      <c r="A86" s="139"/>
      <c r="B86" s="139"/>
      <c r="C86" s="139"/>
    </row>
    <row r="87" spans="1:222" ht="15" x14ac:dyDescent="0.25"/>
    <row r="88" spans="1:222" ht="15" x14ac:dyDescent="0.25">
      <c r="A88" s="144"/>
      <c r="B88" s="144"/>
      <c r="C88" s="123"/>
      <c r="D88" s="130"/>
      <c r="E88" s="130"/>
      <c r="F88" s="130"/>
      <c r="G88" s="130"/>
      <c r="H88" s="130"/>
      <c r="I88" s="13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</row>
    <row r="89" spans="1:222" ht="15" x14ac:dyDescent="0.25">
      <c r="A89" s="145"/>
      <c r="B89" s="1"/>
    </row>
    <row r="90" spans="1:222" ht="15" x14ac:dyDescent="0.25">
      <c r="A90" s="131"/>
      <c r="B90" s="132"/>
      <c r="C90" s="131"/>
    </row>
    <row r="91" spans="1:222" ht="15" x14ac:dyDescent="0.25">
      <c r="A91" s="3"/>
      <c r="B91" s="2"/>
      <c r="C91" s="3"/>
    </row>
    <row r="92" spans="1:222" ht="15" x14ac:dyDescent="0.25">
      <c r="A92" s="3"/>
      <c r="B92" s="2"/>
      <c r="C92" s="3"/>
    </row>
    <row r="93" spans="1:222" ht="15" x14ac:dyDescent="0.25">
      <c r="A93" s="3"/>
      <c r="B93" s="2"/>
      <c r="C93" s="3"/>
    </row>
    <row r="94" spans="1:222" ht="15" x14ac:dyDescent="0.25">
      <c r="A94" s="131"/>
      <c r="B94" s="132"/>
      <c r="C94" s="3"/>
    </row>
    <row r="95" spans="1:222" ht="15" x14ac:dyDescent="0.25">
      <c r="A95" s="3"/>
      <c r="B95" s="2"/>
      <c r="C95" s="3"/>
    </row>
    <row r="96" spans="1:222" ht="15" x14ac:dyDescent="0.25">
      <c r="A96" s="3"/>
      <c r="B96" s="2"/>
      <c r="C96" s="3"/>
    </row>
    <row r="97" spans="1:9" s="118" customFormat="1" ht="15" x14ac:dyDescent="0.25">
      <c r="A97" s="3"/>
      <c r="B97" s="2"/>
      <c r="C97" s="3"/>
      <c r="D97"/>
      <c r="E97"/>
      <c r="F97"/>
      <c r="G97"/>
      <c r="H97"/>
      <c r="I97"/>
    </row>
    <row r="98" spans="1:9" s="118" customFormat="1" ht="15" x14ac:dyDescent="0.25">
      <c r="A98" s="139"/>
      <c r="B98" s="140"/>
      <c r="C98" s="139"/>
      <c r="D98"/>
      <c r="E98"/>
      <c r="F98"/>
      <c r="G98"/>
      <c r="H98"/>
      <c r="I98"/>
    </row>
    <row r="99" spans="1:9" s="118" customFormat="1" ht="15" x14ac:dyDescent="0.25">
      <c r="A99" s="139"/>
      <c r="B99" s="139"/>
      <c r="C99" s="139"/>
      <c r="D99"/>
      <c r="E99"/>
      <c r="F99"/>
      <c r="G99"/>
      <c r="H99"/>
      <c r="I99"/>
    </row>
    <row r="100" spans="1:9" s="118" customFormat="1" ht="15" x14ac:dyDescent="0.25">
      <c r="A100" s="139"/>
      <c r="B100" s="139"/>
      <c r="C100" s="139"/>
      <c r="D100"/>
      <c r="E100"/>
      <c r="F100"/>
      <c r="G100"/>
      <c r="H100"/>
      <c r="I100"/>
    </row>
    <row r="101" spans="1:9" s="118" customFormat="1" ht="15" x14ac:dyDescent="0.25">
      <c r="A101" s="139"/>
      <c r="B101" s="139"/>
      <c r="C101" s="139"/>
      <c r="D101"/>
      <c r="E101"/>
      <c r="F101"/>
      <c r="G101"/>
      <c r="H101"/>
      <c r="I101"/>
    </row>
    <row r="102" spans="1:9" s="118" customFormat="1" ht="15" x14ac:dyDescent="0.25">
      <c r="A102" s="142"/>
      <c r="B102" s="143"/>
      <c r="C102" s="142"/>
      <c r="D102"/>
      <c r="E102"/>
      <c r="F102"/>
      <c r="G102"/>
      <c r="H102"/>
      <c r="I102"/>
    </row>
    <row r="103" spans="1:9" s="118" customFormat="1" ht="15" x14ac:dyDescent="0.25">
      <c r="A103" s="142"/>
      <c r="B103" s="142"/>
      <c r="C103" s="142"/>
      <c r="D103"/>
      <c r="E103"/>
      <c r="F103"/>
      <c r="G103"/>
      <c r="H103"/>
      <c r="I103"/>
    </row>
    <row r="104" spans="1:9" s="118" customFormat="1" ht="15" x14ac:dyDescent="0.25">
      <c r="A104" s="142"/>
      <c r="B104" s="142"/>
      <c r="C104" s="142"/>
      <c r="D104"/>
      <c r="E104"/>
      <c r="F104"/>
      <c r="G104"/>
      <c r="H104"/>
      <c r="I104"/>
    </row>
    <row r="105" spans="1:9" s="118" customFormat="1" ht="15" x14ac:dyDescent="0.25">
      <c r="A105" s="142"/>
      <c r="B105" s="142"/>
      <c r="C105" s="142"/>
      <c r="D105"/>
      <c r="E105"/>
      <c r="F105"/>
      <c r="G105"/>
      <c r="H105"/>
      <c r="I105"/>
    </row>
    <row r="106" spans="1:9" s="118" customFormat="1" ht="15" x14ac:dyDescent="0.25">
      <c r="A106" s="142"/>
      <c r="B106" s="143"/>
      <c r="C106" s="142"/>
      <c r="D106"/>
      <c r="E106"/>
      <c r="F106"/>
      <c r="G106"/>
      <c r="H106"/>
      <c r="I106"/>
    </row>
    <row r="107" spans="1:9" s="118" customFormat="1" ht="15" x14ac:dyDescent="0.25">
      <c r="A107" s="142"/>
      <c r="B107" s="142"/>
      <c r="C107" s="142"/>
      <c r="D107"/>
      <c r="E107"/>
      <c r="F107"/>
      <c r="G107"/>
      <c r="H107"/>
      <c r="I107"/>
    </row>
    <row r="108" spans="1:9" s="118" customFormat="1" ht="15" x14ac:dyDescent="0.25">
      <c r="A108" s="142"/>
      <c r="B108" s="142"/>
      <c r="C108" s="142"/>
      <c r="D108"/>
      <c r="E108"/>
      <c r="F108"/>
      <c r="G108"/>
      <c r="H108"/>
      <c r="I108"/>
    </row>
    <row r="109" spans="1:9" s="118" customFormat="1" ht="15" x14ac:dyDescent="0.25">
      <c r="A109" s="142"/>
      <c r="B109" s="142"/>
      <c r="C109" s="142"/>
      <c r="D109"/>
      <c r="E109"/>
      <c r="F109"/>
      <c r="G109"/>
      <c r="H109"/>
      <c r="I109"/>
    </row>
    <row r="110" spans="1:9" s="118" customFormat="1" ht="15" x14ac:dyDescent="0.25">
      <c r="A110" s="139"/>
      <c r="B110" s="140"/>
      <c r="C110" s="139"/>
      <c r="D110"/>
      <c r="E110"/>
      <c r="F110"/>
      <c r="G110"/>
      <c r="H110"/>
      <c r="I110"/>
    </row>
    <row r="111" spans="1:9" s="118" customFormat="1" ht="15" x14ac:dyDescent="0.25">
      <c r="A111" s="139"/>
      <c r="B111" s="139"/>
      <c r="C111" s="139"/>
      <c r="D111"/>
      <c r="E111"/>
      <c r="F111"/>
      <c r="G111"/>
      <c r="H111"/>
      <c r="I111"/>
    </row>
    <row r="112" spans="1:9" s="118" customFormat="1" ht="15" x14ac:dyDescent="0.25">
      <c r="A112" s="139"/>
      <c r="B112" s="139"/>
      <c r="C112" s="139"/>
      <c r="D112"/>
      <c r="E112"/>
      <c r="F112"/>
      <c r="G112"/>
      <c r="H112"/>
      <c r="I112"/>
    </row>
    <row r="113" spans="1:9" s="118" customFormat="1" ht="15" x14ac:dyDescent="0.25">
      <c r="A113" s="139"/>
      <c r="B113" s="139"/>
      <c r="C113" s="139"/>
      <c r="D113"/>
      <c r="E113"/>
      <c r="F113"/>
      <c r="G113"/>
      <c r="H113"/>
      <c r="I113"/>
    </row>
    <row r="114" spans="1:9" s="118" customFormat="1" ht="15" x14ac:dyDescent="0.25">
      <c r="D114"/>
      <c r="E114"/>
      <c r="F114"/>
      <c r="G114"/>
      <c r="H114"/>
      <c r="I114"/>
    </row>
    <row r="115" spans="1:9" s="118" customFormat="1" ht="15" x14ac:dyDescent="0.25">
      <c r="A115" s="144"/>
      <c r="B115" s="144"/>
      <c r="C115" s="123"/>
      <c r="D115"/>
      <c r="E115"/>
      <c r="F115"/>
      <c r="G115"/>
      <c r="H115"/>
      <c r="I115"/>
    </row>
    <row r="116" spans="1:9" s="118" customFormat="1" ht="15" x14ac:dyDescent="0.25">
      <c r="A116" s="145"/>
      <c r="B116" s="1"/>
      <c r="D116"/>
      <c r="E116"/>
      <c r="F116"/>
      <c r="G116"/>
      <c r="H116"/>
      <c r="I116"/>
    </row>
    <row r="117" spans="1:9" s="118" customFormat="1" ht="15" x14ac:dyDescent="0.25">
      <c r="A117" s="131"/>
      <c r="B117" s="132"/>
      <c r="C117" s="131"/>
      <c r="D117"/>
      <c r="E117"/>
      <c r="F117"/>
      <c r="G117"/>
      <c r="H117"/>
      <c r="I117"/>
    </row>
    <row r="118" spans="1:9" s="118" customFormat="1" ht="15" x14ac:dyDescent="0.25">
      <c r="A118" s="3"/>
      <c r="B118" s="2"/>
      <c r="C118" s="3"/>
      <c r="D118"/>
      <c r="E118"/>
      <c r="F118"/>
      <c r="G118"/>
      <c r="H118"/>
      <c r="I118"/>
    </row>
    <row r="119" spans="1:9" s="118" customFormat="1" ht="15" x14ac:dyDescent="0.25">
      <c r="A119" s="3"/>
      <c r="B119" s="2"/>
      <c r="C119" s="3"/>
      <c r="D119"/>
      <c r="E119"/>
      <c r="F119"/>
      <c r="G119"/>
      <c r="H119"/>
      <c r="I119"/>
    </row>
    <row r="120" spans="1:9" s="118" customFormat="1" ht="15" x14ac:dyDescent="0.25">
      <c r="A120" s="3"/>
      <c r="B120" s="2"/>
      <c r="C120" s="3"/>
      <c r="D120"/>
      <c r="E120"/>
      <c r="F120"/>
      <c r="G120"/>
      <c r="H120"/>
      <c r="I120"/>
    </row>
    <row r="121" spans="1:9" s="118" customFormat="1" ht="15" x14ac:dyDescent="0.25">
      <c r="A121" s="131"/>
      <c r="B121" s="132"/>
      <c r="C121" s="3"/>
      <c r="D121"/>
      <c r="E121"/>
      <c r="F121"/>
      <c r="G121"/>
      <c r="H121"/>
      <c r="I121"/>
    </row>
    <row r="122" spans="1:9" s="118" customFormat="1" ht="15" x14ac:dyDescent="0.25">
      <c r="A122" s="3"/>
      <c r="B122" s="2"/>
      <c r="C122" s="3"/>
      <c r="D122"/>
      <c r="E122"/>
      <c r="F122"/>
      <c r="G122"/>
      <c r="H122"/>
      <c r="I122"/>
    </row>
    <row r="123" spans="1:9" s="118" customFormat="1" ht="15" x14ac:dyDescent="0.25">
      <c r="A123" s="3"/>
      <c r="B123" s="2"/>
      <c r="C123" s="3"/>
      <c r="D123"/>
      <c r="E123"/>
      <c r="F123"/>
      <c r="G123"/>
      <c r="H123"/>
      <c r="I123"/>
    </row>
    <row r="124" spans="1:9" s="118" customFormat="1" ht="15" x14ac:dyDescent="0.25">
      <c r="A124" s="3"/>
      <c r="B124" s="2"/>
      <c r="C124" s="3"/>
      <c r="D124"/>
      <c r="E124"/>
      <c r="F124"/>
      <c r="G124"/>
      <c r="H124"/>
      <c r="I124"/>
    </row>
    <row r="125" spans="1:9" s="118" customFormat="1" ht="15" x14ac:dyDescent="0.25">
      <c r="A125" s="139"/>
      <c r="B125" s="140"/>
      <c r="C125" s="139"/>
      <c r="D125"/>
      <c r="E125"/>
      <c r="F125"/>
      <c r="G125"/>
      <c r="H125"/>
      <c r="I125"/>
    </row>
    <row r="126" spans="1:9" s="118" customFormat="1" ht="15" x14ac:dyDescent="0.25">
      <c r="A126" s="139"/>
      <c r="B126" s="139"/>
      <c r="C126" s="139"/>
      <c r="D126"/>
      <c r="E126"/>
      <c r="F126"/>
      <c r="G126"/>
      <c r="H126"/>
      <c r="I126"/>
    </row>
    <row r="127" spans="1:9" s="118" customFormat="1" ht="15" x14ac:dyDescent="0.25">
      <c r="A127" s="139"/>
      <c r="B127" s="139"/>
      <c r="C127" s="139"/>
      <c r="D127"/>
      <c r="E127"/>
      <c r="F127"/>
      <c r="G127"/>
      <c r="H127"/>
      <c r="I127"/>
    </row>
    <row r="128" spans="1:9" s="118" customFormat="1" ht="15" x14ac:dyDescent="0.25">
      <c r="A128" s="139"/>
      <c r="B128" s="139"/>
      <c r="C128" s="139"/>
      <c r="D128"/>
      <c r="E128"/>
      <c r="F128"/>
      <c r="G128"/>
      <c r="H128"/>
      <c r="I128"/>
    </row>
    <row r="129" spans="1:9" s="118" customFormat="1" ht="15" x14ac:dyDescent="0.25">
      <c r="A129" s="142"/>
      <c r="B129" s="143"/>
      <c r="C129" s="142"/>
      <c r="D129"/>
      <c r="E129"/>
      <c r="F129"/>
      <c r="G129"/>
      <c r="H129"/>
      <c r="I129"/>
    </row>
    <row r="130" spans="1:9" s="118" customFormat="1" ht="15" x14ac:dyDescent="0.25">
      <c r="A130" s="142"/>
      <c r="B130" s="142"/>
      <c r="C130" s="142"/>
      <c r="D130"/>
      <c r="E130"/>
      <c r="F130"/>
      <c r="G130"/>
      <c r="H130"/>
      <c r="I130"/>
    </row>
    <row r="131" spans="1:9" s="118" customFormat="1" ht="15" x14ac:dyDescent="0.25">
      <c r="A131" s="142"/>
      <c r="B131" s="142"/>
      <c r="C131" s="142"/>
      <c r="D131"/>
      <c r="E131"/>
      <c r="F131"/>
      <c r="G131"/>
      <c r="H131"/>
      <c r="I131"/>
    </row>
    <row r="132" spans="1:9" s="118" customFormat="1" ht="15" x14ac:dyDescent="0.25">
      <c r="A132" s="142"/>
      <c r="B132" s="142"/>
      <c r="C132" s="142"/>
      <c r="D132"/>
      <c r="E132"/>
      <c r="F132"/>
      <c r="G132"/>
      <c r="H132"/>
      <c r="I132"/>
    </row>
    <row r="133" spans="1:9" s="118" customFormat="1" ht="15" x14ac:dyDescent="0.25">
      <c r="A133" s="142"/>
      <c r="B133" s="143"/>
      <c r="C133" s="142"/>
      <c r="D133"/>
      <c r="E133"/>
      <c r="F133"/>
      <c r="G133"/>
      <c r="H133"/>
      <c r="I133"/>
    </row>
    <row r="134" spans="1:9" s="118" customFormat="1" ht="15" x14ac:dyDescent="0.25">
      <c r="A134" s="142"/>
      <c r="B134" s="142"/>
      <c r="C134" s="142"/>
      <c r="D134"/>
      <c r="E134"/>
      <c r="F134"/>
      <c r="G134"/>
      <c r="H134"/>
      <c r="I134"/>
    </row>
    <row r="135" spans="1:9" s="118" customFormat="1" ht="15" x14ac:dyDescent="0.25">
      <c r="A135" s="142"/>
      <c r="B135" s="142"/>
      <c r="C135" s="142"/>
      <c r="D135"/>
      <c r="E135"/>
      <c r="F135"/>
      <c r="G135"/>
      <c r="H135"/>
      <c r="I135"/>
    </row>
    <row r="136" spans="1:9" s="118" customFormat="1" ht="15" x14ac:dyDescent="0.25">
      <c r="A136" s="142"/>
      <c r="B136" s="142"/>
      <c r="C136" s="142"/>
      <c r="D136"/>
      <c r="E136"/>
      <c r="F136"/>
      <c r="G136"/>
      <c r="H136"/>
      <c r="I136"/>
    </row>
    <row r="137" spans="1:9" s="118" customFormat="1" ht="15" x14ac:dyDescent="0.25">
      <c r="A137" s="139"/>
      <c r="B137" s="140"/>
      <c r="C137" s="139"/>
      <c r="D137"/>
      <c r="E137"/>
      <c r="F137"/>
      <c r="G137"/>
      <c r="H137"/>
      <c r="I137"/>
    </row>
    <row r="138" spans="1:9" s="118" customFormat="1" ht="15" x14ac:dyDescent="0.25">
      <c r="A138" s="139"/>
      <c r="B138" s="139"/>
      <c r="C138" s="139"/>
      <c r="D138"/>
      <c r="E138"/>
      <c r="F138"/>
      <c r="G138"/>
      <c r="H138"/>
      <c r="I138"/>
    </row>
    <row r="139" spans="1:9" s="118" customFormat="1" ht="15" x14ac:dyDescent="0.25">
      <c r="A139" s="139"/>
      <c r="B139" s="139"/>
      <c r="C139" s="139"/>
      <c r="D139"/>
      <c r="E139"/>
      <c r="F139"/>
      <c r="G139"/>
      <c r="H139"/>
      <c r="I139"/>
    </row>
    <row r="140" spans="1:9" s="118" customFormat="1" ht="15" x14ac:dyDescent="0.25">
      <c r="A140" s="139"/>
      <c r="B140" s="139"/>
      <c r="C140" s="139"/>
      <c r="D140"/>
      <c r="E140"/>
      <c r="F140"/>
      <c r="G140"/>
      <c r="H140"/>
      <c r="I140"/>
    </row>
    <row r="141" spans="1:9" s="118" customFormat="1" ht="15" x14ac:dyDescent="0.25">
      <c r="D141"/>
      <c r="E141"/>
      <c r="F141"/>
      <c r="G141"/>
      <c r="H141"/>
      <c r="I141"/>
    </row>
    <row r="142" spans="1:9" s="118" customFormat="1" ht="15" x14ac:dyDescent="0.25">
      <c r="A142" s="144"/>
      <c r="B142" s="144"/>
      <c r="C142" s="123"/>
      <c r="D142"/>
      <c r="E142"/>
      <c r="F142"/>
      <c r="G142"/>
      <c r="H142"/>
      <c r="I142"/>
    </row>
    <row r="143" spans="1:9" s="118" customFormat="1" ht="15" x14ac:dyDescent="0.25">
      <c r="A143" s="145"/>
      <c r="B143" s="1"/>
      <c r="D143"/>
      <c r="E143"/>
      <c r="F143"/>
      <c r="G143"/>
      <c r="H143"/>
      <c r="I143"/>
    </row>
    <row r="144" spans="1:9" s="118" customFormat="1" ht="15" x14ac:dyDescent="0.25">
      <c r="A144" s="131"/>
      <c r="B144" s="132"/>
      <c r="C144" s="131"/>
      <c r="D144"/>
      <c r="E144"/>
      <c r="F144"/>
      <c r="G144"/>
      <c r="H144"/>
      <c r="I144"/>
    </row>
    <row r="145" spans="1:9" s="118" customFormat="1" ht="15" x14ac:dyDescent="0.25">
      <c r="A145" s="3"/>
      <c r="B145" s="2"/>
      <c r="C145" s="3"/>
      <c r="D145"/>
      <c r="E145"/>
      <c r="F145"/>
      <c r="G145"/>
      <c r="H145"/>
      <c r="I145"/>
    </row>
    <row r="146" spans="1:9" s="118" customFormat="1" ht="15" x14ac:dyDescent="0.25">
      <c r="A146" s="3"/>
      <c r="B146" s="2"/>
      <c r="C146" s="3"/>
      <c r="D146"/>
      <c r="E146"/>
      <c r="F146"/>
      <c r="G146"/>
      <c r="H146"/>
      <c r="I146"/>
    </row>
    <row r="147" spans="1:9" s="118" customFormat="1" ht="15" x14ac:dyDescent="0.25">
      <c r="A147" s="3"/>
      <c r="B147" s="2"/>
      <c r="C147" s="3"/>
      <c r="D147"/>
      <c r="E147"/>
      <c r="F147"/>
      <c r="G147"/>
      <c r="H147"/>
      <c r="I147"/>
    </row>
    <row r="148" spans="1:9" s="118" customFormat="1" ht="15" x14ac:dyDescent="0.25">
      <c r="A148" s="131"/>
      <c r="B148" s="132"/>
      <c r="C148" s="3"/>
      <c r="D148"/>
      <c r="E148"/>
      <c r="F148"/>
      <c r="G148"/>
      <c r="H148"/>
      <c r="I148"/>
    </row>
    <row r="149" spans="1:9" s="118" customFormat="1" ht="15" x14ac:dyDescent="0.25">
      <c r="A149" s="3"/>
      <c r="B149" s="2"/>
      <c r="C149" s="3"/>
      <c r="D149"/>
      <c r="E149"/>
      <c r="F149"/>
      <c r="G149"/>
      <c r="H149"/>
      <c r="I149"/>
    </row>
    <row r="150" spans="1:9" s="118" customFormat="1" ht="15" x14ac:dyDescent="0.25">
      <c r="A150" s="3"/>
      <c r="B150" s="2"/>
      <c r="C150" s="3"/>
      <c r="D150"/>
      <c r="E150"/>
      <c r="F150"/>
      <c r="G150"/>
      <c r="H150"/>
      <c r="I150"/>
    </row>
    <row r="151" spans="1:9" s="118" customFormat="1" ht="15" x14ac:dyDescent="0.25">
      <c r="A151" s="3"/>
      <c r="B151" s="2"/>
      <c r="C151" s="3"/>
      <c r="D151"/>
      <c r="E151"/>
      <c r="F151"/>
      <c r="G151"/>
      <c r="H151"/>
      <c r="I151"/>
    </row>
    <row r="152" spans="1:9" s="118" customFormat="1" ht="15" x14ac:dyDescent="0.25">
      <c r="A152" s="139"/>
      <c r="B152" s="140"/>
      <c r="C152" s="139"/>
      <c r="D152"/>
      <c r="E152"/>
      <c r="F152"/>
      <c r="G152"/>
      <c r="H152"/>
      <c r="I152"/>
    </row>
    <row r="153" spans="1:9" s="118" customFormat="1" ht="15" x14ac:dyDescent="0.25">
      <c r="A153" s="139"/>
      <c r="B153" s="139"/>
      <c r="C153" s="139"/>
      <c r="D153"/>
      <c r="E153"/>
      <c r="F153"/>
      <c r="G153"/>
      <c r="H153"/>
      <c r="I153"/>
    </row>
    <row r="154" spans="1:9" s="118" customFormat="1" ht="15" x14ac:dyDescent="0.25">
      <c r="A154" s="139"/>
      <c r="B154" s="139"/>
      <c r="C154" s="139"/>
      <c r="D154"/>
      <c r="E154"/>
      <c r="F154"/>
      <c r="G154"/>
      <c r="H154"/>
      <c r="I154"/>
    </row>
    <row r="155" spans="1:9" s="118" customFormat="1" ht="15" x14ac:dyDescent="0.25">
      <c r="A155" s="139"/>
      <c r="B155" s="139"/>
      <c r="C155" s="139"/>
      <c r="D155"/>
      <c r="E155"/>
      <c r="F155"/>
      <c r="G155"/>
      <c r="H155"/>
      <c r="I155"/>
    </row>
    <row r="156" spans="1:9" s="118" customFormat="1" ht="15" x14ac:dyDescent="0.25">
      <c r="A156" s="142"/>
      <c r="B156" s="143"/>
      <c r="C156" s="142"/>
      <c r="D156"/>
      <c r="E156"/>
      <c r="F156"/>
      <c r="G156"/>
      <c r="H156"/>
      <c r="I156"/>
    </row>
    <row r="157" spans="1:9" s="118" customFormat="1" ht="15" x14ac:dyDescent="0.25">
      <c r="A157" s="142"/>
      <c r="B157" s="142"/>
      <c r="C157" s="142"/>
      <c r="D157"/>
      <c r="E157"/>
      <c r="F157"/>
      <c r="G157"/>
      <c r="H157"/>
      <c r="I157"/>
    </row>
    <row r="158" spans="1:9" s="118" customFormat="1" ht="15" x14ac:dyDescent="0.25">
      <c r="A158" s="142"/>
      <c r="B158" s="142"/>
      <c r="C158" s="142"/>
      <c r="D158"/>
      <c r="E158"/>
      <c r="F158"/>
      <c r="G158"/>
      <c r="H158"/>
      <c r="I158"/>
    </row>
    <row r="159" spans="1:9" s="118" customFormat="1" ht="15" x14ac:dyDescent="0.25">
      <c r="A159" s="142"/>
      <c r="B159" s="142"/>
      <c r="C159" s="142"/>
      <c r="D159"/>
      <c r="E159"/>
      <c r="F159"/>
      <c r="G159"/>
      <c r="H159"/>
      <c r="I159"/>
    </row>
    <row r="160" spans="1:9" s="118" customFormat="1" ht="15" x14ac:dyDescent="0.25">
      <c r="A160" s="142"/>
      <c r="B160" s="143"/>
      <c r="C160" s="142"/>
      <c r="D160"/>
      <c r="E160"/>
      <c r="F160"/>
      <c r="G160"/>
      <c r="H160"/>
      <c r="I160"/>
    </row>
    <row r="161" spans="1:9" s="118" customFormat="1" ht="15" x14ac:dyDescent="0.25">
      <c r="A161" s="142"/>
      <c r="B161" s="142"/>
      <c r="C161" s="142"/>
      <c r="D161"/>
      <c r="E161"/>
      <c r="F161"/>
      <c r="G161"/>
      <c r="H161"/>
      <c r="I161"/>
    </row>
    <row r="162" spans="1:9" s="118" customFormat="1" ht="15" x14ac:dyDescent="0.25">
      <c r="A162" s="142"/>
      <c r="B162" s="142"/>
      <c r="C162" s="142"/>
      <c r="D162"/>
      <c r="E162"/>
      <c r="F162"/>
      <c r="G162"/>
      <c r="H162"/>
      <c r="I162"/>
    </row>
    <row r="163" spans="1:9" s="118" customFormat="1" ht="15" x14ac:dyDescent="0.25">
      <c r="A163" s="142"/>
      <c r="B163" s="142"/>
      <c r="C163" s="142"/>
      <c r="D163"/>
      <c r="E163"/>
      <c r="F163"/>
      <c r="G163"/>
      <c r="H163"/>
      <c r="I163"/>
    </row>
    <row r="164" spans="1:9" s="118" customFormat="1" ht="15" x14ac:dyDescent="0.25">
      <c r="A164" s="139"/>
      <c r="B164" s="140"/>
      <c r="C164" s="139"/>
      <c r="D164"/>
      <c r="E164"/>
      <c r="F164"/>
      <c r="G164"/>
      <c r="H164"/>
      <c r="I164"/>
    </row>
    <row r="165" spans="1:9" s="118" customFormat="1" ht="15" x14ac:dyDescent="0.25">
      <c r="A165" s="139"/>
      <c r="B165" s="139"/>
      <c r="C165" s="139"/>
      <c r="D165"/>
      <c r="E165"/>
      <c r="F165"/>
      <c r="G165"/>
      <c r="H165"/>
      <c r="I165"/>
    </row>
    <row r="166" spans="1:9" s="118" customFormat="1" ht="15" x14ac:dyDescent="0.25">
      <c r="A166" s="139"/>
      <c r="B166" s="139"/>
      <c r="C166" s="139"/>
      <c r="D166"/>
      <c r="E166"/>
      <c r="F166"/>
      <c r="G166"/>
      <c r="H166"/>
      <c r="I166"/>
    </row>
    <row r="167" spans="1:9" s="118" customFormat="1" ht="15" x14ac:dyDescent="0.25">
      <c r="A167" s="139"/>
      <c r="B167" s="139"/>
      <c r="C167" s="139"/>
      <c r="D167"/>
      <c r="E167"/>
      <c r="F167"/>
      <c r="G167"/>
      <c r="H167"/>
      <c r="I167"/>
    </row>
  </sheetData>
  <mergeCells count="19">
    <mergeCell ref="X2:AA2"/>
    <mergeCell ref="H27:K27"/>
    <mergeCell ref="L27:O27"/>
    <mergeCell ref="P27:S27"/>
    <mergeCell ref="T27:W27"/>
    <mergeCell ref="X27:AA27"/>
    <mergeCell ref="D2:G2"/>
    <mergeCell ref="H2:K2"/>
    <mergeCell ref="L2:O2"/>
    <mergeCell ref="P2:S2"/>
    <mergeCell ref="T2:W2"/>
    <mergeCell ref="AN2:AO2"/>
    <mergeCell ref="AN27:AO27"/>
    <mergeCell ref="AF27:AI27"/>
    <mergeCell ref="AB27:AD27"/>
    <mergeCell ref="AB2:AD2"/>
    <mergeCell ref="AF2:AI2"/>
    <mergeCell ref="AJ2:AM2"/>
    <mergeCell ref="AJ27:AM27"/>
  </mergeCells>
  <phoneticPr fontId="17" type="noConversion"/>
  <conditionalFormatting sqref="A1:XFD1048576">
    <cfRule type="cellIs" dxfId="0" priority="1" operator="lessThan">
      <formula>0</formula>
    </cfRule>
  </conditionalFormatting>
  <printOptions horizontalCentered="1" gridLines="1" gridLinesSet="0"/>
  <pageMargins left="0" right="0" top="0.78740157480314965" bottom="0.59055118110236227" header="0.51181102362204722" footer="0.31496062992125984"/>
  <pageSetup paperSize="9" scale="56" orientation="landscape" blackAndWhite="1" r:id="rId1"/>
  <headerFooter alignWithMargins="0">
    <oddHeader>&amp;L&amp;F&amp;C&amp;A&amp;R&amp;D</oddHeader>
    <oddFooter>Page &amp;P of &amp;N</oddFooter>
  </headerFooter>
  <rowBreaks count="1" manualBreakCount="1">
    <brk id="26" max="16383" man="1"/>
  </rowBreaks>
  <colBreaks count="1" manualBreakCount="1">
    <brk id="14" max="5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2:AD37"/>
  <sheetViews>
    <sheetView workbookViewId="0">
      <pane xSplit="2" ySplit="4" topLeftCell="T5" activePane="bottomRight" state="frozen"/>
      <selection pane="topRight" activeCell="C1" sqref="C1"/>
      <selection pane="bottomLeft" activeCell="A5" sqref="A5"/>
      <selection pane="bottomRight" activeCell="AC1" sqref="AC1:AD1048576"/>
    </sheetView>
  </sheetViews>
  <sheetFormatPr defaultRowHeight="15" x14ac:dyDescent="0.25"/>
  <cols>
    <col min="1" max="1" width="35.85546875" customWidth="1"/>
    <col min="2" max="2" width="6.7109375" customWidth="1"/>
    <col min="3" max="8" width="7.5703125" customWidth="1"/>
    <col min="9" max="9" width="8.140625" customWidth="1"/>
    <col min="10" max="11" width="7.5703125" customWidth="1"/>
    <col min="12" max="12" width="8.140625" customWidth="1"/>
    <col min="13" max="14" width="8" customWidth="1"/>
    <col min="15" max="15" width="8.140625" customWidth="1"/>
    <col min="16" max="16" width="8" customWidth="1"/>
    <col min="17" max="20" width="7.85546875" customWidth="1"/>
    <col min="21" max="21" width="8" customWidth="1"/>
    <col min="22" max="22" width="7.85546875" customWidth="1"/>
    <col min="23" max="23" width="7.7109375" customWidth="1"/>
    <col min="24" max="26" width="8" customWidth="1"/>
    <col min="27" max="28" width="8.140625" customWidth="1"/>
    <col min="29" max="29" width="7.5703125" customWidth="1"/>
  </cols>
  <sheetData>
    <row r="2" spans="1:30" x14ac:dyDescent="0.25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</row>
    <row r="3" spans="1:30" s="8" customFormat="1" x14ac:dyDescent="0.25">
      <c r="C3" s="153">
        <v>2008</v>
      </c>
      <c r="D3" s="153"/>
      <c r="E3" s="153"/>
      <c r="F3" s="153"/>
      <c r="G3" s="153">
        <v>2009</v>
      </c>
      <c r="H3" s="153"/>
      <c r="I3" s="153"/>
      <c r="J3" s="153"/>
      <c r="K3" s="153">
        <v>2010</v>
      </c>
      <c r="L3" s="153"/>
      <c r="M3" s="153"/>
      <c r="N3" s="153"/>
      <c r="O3" s="153">
        <v>2011</v>
      </c>
      <c r="P3" s="153"/>
      <c r="Q3" s="153"/>
      <c r="R3" s="153"/>
      <c r="S3" s="153">
        <v>2012</v>
      </c>
      <c r="T3" s="153"/>
      <c r="U3" s="153"/>
      <c r="V3" s="153"/>
      <c r="W3" s="153">
        <v>2013</v>
      </c>
      <c r="X3" s="153"/>
      <c r="Y3" s="153"/>
      <c r="Z3" s="153"/>
      <c r="AA3" s="153">
        <v>2014</v>
      </c>
      <c r="AB3" s="153"/>
    </row>
    <row r="4" spans="1:30" ht="15.75" thickBot="1" x14ac:dyDescent="0.3">
      <c r="C4" s="5" t="s">
        <v>57</v>
      </c>
      <c r="D4" s="5" t="s">
        <v>58</v>
      </c>
      <c r="E4" s="5" t="s">
        <v>59</v>
      </c>
      <c r="F4" s="5" t="s">
        <v>60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57</v>
      </c>
      <c r="P4" s="5" t="s">
        <v>58</v>
      </c>
      <c r="Q4" s="5" t="s">
        <v>59</v>
      </c>
      <c r="R4" s="5" t="s">
        <v>60</v>
      </c>
      <c r="S4" s="5" t="s">
        <v>57</v>
      </c>
      <c r="T4" s="5" t="s">
        <v>58</v>
      </c>
      <c r="U4" s="5" t="s">
        <v>59</v>
      </c>
      <c r="V4" s="5" t="s">
        <v>60</v>
      </c>
      <c r="W4" s="5" t="s">
        <v>57</v>
      </c>
      <c r="X4" s="5" t="s">
        <v>58</v>
      </c>
      <c r="Y4" s="5" t="s">
        <v>59</v>
      </c>
      <c r="Z4" s="5" t="s">
        <v>60</v>
      </c>
      <c r="AA4" s="5" t="s">
        <v>57</v>
      </c>
      <c r="AB4" s="5" t="s">
        <v>58</v>
      </c>
      <c r="AC4" s="5"/>
      <c r="AD4" s="5"/>
    </row>
    <row r="5" spans="1:30" s="8" customFormat="1" ht="28.5" customHeight="1" x14ac:dyDescent="0.25">
      <c r="A5" s="1" t="s">
        <v>0</v>
      </c>
      <c r="B5" s="1"/>
      <c r="C5" s="7"/>
      <c r="D5" s="10"/>
      <c r="E5" s="7"/>
      <c r="F5" s="7"/>
      <c r="G5" s="11" t="e">
        <f>(Original_VA!#REF!/Original_VA!#REF!-1)*100</f>
        <v>#REF!</v>
      </c>
      <c r="H5" s="11" t="e">
        <f>(Original_VA!#REF!/Original_VA!#REF!-1)*100</f>
        <v>#REF!</v>
      </c>
      <c r="I5" s="11" t="e">
        <f>(Original_VA!#REF!/Original_VA!#REF!-1)*100</f>
        <v>#REF!</v>
      </c>
      <c r="J5" s="11" t="e">
        <f>(Original_VA!#REF!/Original_VA!#REF!-1)*100</f>
        <v>#REF!</v>
      </c>
      <c r="K5" s="11" t="e">
        <f>(Original_VA!#REF!/Original_VA!#REF!-1)*100</f>
        <v>#REF!</v>
      </c>
      <c r="L5" s="11" t="e">
        <f>(Original_VA!#REF!/Original_VA!#REF!-1)*100</f>
        <v>#REF!</v>
      </c>
      <c r="M5" s="11" t="e">
        <f>(Original_VA!#REF!/Original_VA!#REF!-1)*100</f>
        <v>#REF!</v>
      </c>
      <c r="N5" s="11" t="e">
        <f>(Original_VA!#REF!/Original_VA!#REF!-1)*100</f>
        <v>#REF!</v>
      </c>
      <c r="O5" s="11" t="e">
        <f>(Original_VA!#REF!/Original_VA!#REF!-1)*100</f>
        <v>#REF!</v>
      </c>
      <c r="P5" s="11" t="e">
        <f>(Original_VA!#REF!/Original_VA!#REF!-1)*100</f>
        <v>#REF!</v>
      </c>
      <c r="Q5" s="11" t="e">
        <f>(Original_VA!#REF!/Original_VA!#REF!-1)*100</f>
        <v>#REF!</v>
      </c>
      <c r="R5" s="11" t="e">
        <f>(Original_VA!#REF!/Original_VA!#REF!-1)*100</f>
        <v>#REF!</v>
      </c>
      <c r="S5" s="11" t="e">
        <f>(Original_VA!#REF!/Original_VA!#REF!-1)*100</f>
        <v>#REF!</v>
      </c>
      <c r="T5" s="11" t="e">
        <f>(Original_VA!#REF!/Original_VA!#REF!-1)*100</f>
        <v>#REF!</v>
      </c>
      <c r="U5" s="11" t="e">
        <f>(Original_VA!#REF!/Original_VA!#REF!-1)*100</f>
        <v>#REF!</v>
      </c>
      <c r="V5" s="11" t="e">
        <f>(Original_VA!#REF!/Original_VA!#REF!-1)*100</f>
        <v>#REF!</v>
      </c>
      <c r="W5" s="11" t="e">
        <f>(Original_VA!#REF!/Original_VA!#REF!-1)*100</f>
        <v>#REF!</v>
      </c>
      <c r="X5" s="11" t="e">
        <f>(Original_VA!#REF!/Original_VA!#REF!-1)*100</f>
        <v>#REF!</v>
      </c>
      <c r="Y5" s="11" t="e">
        <f>(Original_VA!#REF!/Original_VA!#REF!-1)*100</f>
        <v>#REF!</v>
      </c>
      <c r="Z5" s="11" t="e">
        <f>(Original_VA!#REF!/Original_VA!#REF!-1)*100</f>
        <v>#REF!</v>
      </c>
      <c r="AA5" s="11" t="e">
        <f>(Original_VA!#REF!/Original_VA!#REF!-1)*100</f>
        <v>#REF!</v>
      </c>
      <c r="AB5" s="11" t="e">
        <f>(Original_VA!#REF!/Original_VA!#REF!-1)*100</f>
        <v>#REF!</v>
      </c>
      <c r="AD5" s="7"/>
    </row>
    <row r="6" spans="1:30" s="8" customFormat="1" ht="26.25" customHeight="1" x14ac:dyDescent="0.25">
      <c r="A6" s="1" t="s">
        <v>1</v>
      </c>
      <c r="C6" s="9"/>
      <c r="D6" s="10"/>
      <c r="E6" s="9"/>
      <c r="F6" s="9"/>
      <c r="G6" s="11" t="e">
        <f>(Original_VA!#REF!/Original_VA!#REF!-1)*100</f>
        <v>#REF!</v>
      </c>
      <c r="H6" s="11" t="e">
        <f>(Original_VA!#REF!/Original_VA!#REF!-1)*100</f>
        <v>#REF!</v>
      </c>
      <c r="I6" s="11" t="e">
        <f>(Original_VA!#REF!/Original_VA!#REF!-1)*100</f>
        <v>#REF!</v>
      </c>
      <c r="J6" s="11" t="e">
        <f>(Original_VA!#REF!/Original_VA!#REF!-1)*100</f>
        <v>#REF!</v>
      </c>
      <c r="K6" s="11" t="e">
        <f>(Original_VA!#REF!/Original_VA!#REF!-1)*100</f>
        <v>#REF!</v>
      </c>
      <c r="L6" s="11" t="e">
        <f>(Original_VA!#REF!/Original_VA!#REF!-1)*100</f>
        <v>#REF!</v>
      </c>
      <c r="M6" s="11" t="e">
        <f>(Original_VA!#REF!/Original_VA!#REF!-1)*100</f>
        <v>#REF!</v>
      </c>
      <c r="N6" s="11" t="e">
        <f>(Original_VA!#REF!/Original_VA!#REF!-1)*100</f>
        <v>#REF!</v>
      </c>
      <c r="O6" s="11" t="e">
        <f>(Original_VA!#REF!/Original_VA!#REF!-1)*100</f>
        <v>#REF!</v>
      </c>
      <c r="P6" s="11" t="e">
        <f>(Original_VA!#REF!/Original_VA!#REF!-1)*100</f>
        <v>#REF!</v>
      </c>
      <c r="Q6" s="11" t="e">
        <f>(Original_VA!#REF!/Original_VA!#REF!-1)*100</f>
        <v>#REF!</v>
      </c>
      <c r="R6" s="11" t="e">
        <f>(Original_VA!#REF!/Original_VA!#REF!-1)*100</f>
        <v>#REF!</v>
      </c>
      <c r="S6" s="11" t="e">
        <f>(Original_VA!#REF!/Original_VA!#REF!-1)*100</f>
        <v>#REF!</v>
      </c>
      <c r="T6" s="11" t="e">
        <f>(Original_VA!#REF!/Original_VA!#REF!-1)*100</f>
        <v>#REF!</v>
      </c>
      <c r="U6" s="11" t="e">
        <f>(Original_VA!#REF!/Original_VA!#REF!-1)*100</f>
        <v>#REF!</v>
      </c>
      <c r="V6" s="11" t="e">
        <f>(Original_VA!#REF!/Original_VA!#REF!-1)*100</f>
        <v>#REF!</v>
      </c>
      <c r="W6" s="11" t="e">
        <f>(Original_VA!#REF!/Original_VA!#REF!-1)*100</f>
        <v>#REF!</v>
      </c>
      <c r="X6" s="11" t="e">
        <f>(Original_VA!#REF!/Original_VA!#REF!-1)*100</f>
        <v>#REF!</v>
      </c>
      <c r="Y6" s="11" t="e">
        <f>(Original_VA!#REF!/Original_VA!#REF!-1)*100</f>
        <v>#REF!</v>
      </c>
      <c r="Z6" s="11" t="e">
        <f>(Original_VA!#REF!/Original_VA!#REF!-1)*100</f>
        <v>#REF!</v>
      </c>
      <c r="AA6" s="11" t="e">
        <f>(Original_VA!#REF!/Original_VA!#REF!-1)*100</f>
        <v>#REF!</v>
      </c>
      <c r="AB6" s="11" t="e">
        <f>(Original_VA!#REF!/Original_VA!#REF!-1)*100</f>
        <v>#REF!</v>
      </c>
      <c r="AD6" s="7"/>
    </row>
    <row r="7" spans="1:30" ht="15" customHeight="1" x14ac:dyDescent="0.25">
      <c r="A7" s="2" t="s">
        <v>2</v>
      </c>
      <c r="C7" s="6"/>
      <c r="D7" s="10"/>
      <c r="E7" s="6"/>
      <c r="F7" s="6"/>
      <c r="G7" s="12" t="e">
        <f>(Original_VA!#REF!/Original_VA!#REF!-1)*100</f>
        <v>#REF!</v>
      </c>
      <c r="H7" s="12" t="e">
        <f>(Original_VA!#REF!/Original_VA!#REF!-1)*100</f>
        <v>#REF!</v>
      </c>
      <c r="I7" s="12" t="e">
        <f>(Original_VA!#REF!/Original_VA!#REF!-1)*100</f>
        <v>#REF!</v>
      </c>
      <c r="J7" s="12" t="e">
        <f>(Original_VA!#REF!/Original_VA!#REF!-1)*100</f>
        <v>#REF!</v>
      </c>
      <c r="K7" s="12" t="e">
        <f>(Original_VA!#REF!/Original_VA!#REF!-1)*100</f>
        <v>#REF!</v>
      </c>
      <c r="L7" s="12" t="e">
        <f>(Original_VA!#REF!/Original_VA!#REF!-1)*100</f>
        <v>#REF!</v>
      </c>
      <c r="M7" s="12" t="e">
        <f>(Original_VA!#REF!/Original_VA!#REF!-1)*100</f>
        <v>#REF!</v>
      </c>
      <c r="N7" s="12" t="e">
        <f>(Original_VA!#REF!/Original_VA!#REF!-1)*100</f>
        <v>#REF!</v>
      </c>
      <c r="O7" s="12" t="e">
        <f>(Original_VA!#REF!/Original_VA!#REF!-1)*100</f>
        <v>#REF!</v>
      </c>
      <c r="P7" s="12" t="e">
        <f>(Original_VA!#REF!/Original_VA!#REF!-1)*100</f>
        <v>#REF!</v>
      </c>
      <c r="Q7" s="12" t="e">
        <f>(Original_VA!#REF!/Original_VA!#REF!-1)*100</f>
        <v>#REF!</v>
      </c>
      <c r="R7" s="12" t="e">
        <f>(Original_VA!#REF!/Original_VA!#REF!-1)*100</f>
        <v>#REF!</v>
      </c>
      <c r="S7" s="12" t="e">
        <f>(Original_VA!#REF!/Original_VA!#REF!-1)*100</f>
        <v>#REF!</v>
      </c>
      <c r="T7" s="12" t="e">
        <f>(Original_VA!#REF!/Original_VA!#REF!-1)*100</f>
        <v>#REF!</v>
      </c>
      <c r="U7" s="12" t="e">
        <f>(Original_VA!#REF!/Original_VA!#REF!-1)*100</f>
        <v>#REF!</v>
      </c>
      <c r="V7" s="12" t="e">
        <f>(Original_VA!#REF!/Original_VA!#REF!-1)*100</f>
        <v>#REF!</v>
      </c>
      <c r="W7" s="12" t="e">
        <f>(Original_VA!#REF!/Original_VA!#REF!-1)*100</f>
        <v>#REF!</v>
      </c>
      <c r="X7" s="12" t="e">
        <f>(Original_VA!#REF!/Original_VA!#REF!-1)*100</f>
        <v>#REF!</v>
      </c>
      <c r="Y7" s="12" t="e">
        <f>(Original_VA!#REF!/Original_VA!#REF!-1)*100</f>
        <v>#REF!</v>
      </c>
      <c r="Z7" s="12" t="e">
        <f>(Original_VA!#REF!/Original_VA!#REF!-1)*100</f>
        <v>#REF!</v>
      </c>
      <c r="AA7" s="12" t="e">
        <f>(Original_VA!#REF!/Original_VA!#REF!-1)*100</f>
        <v>#REF!</v>
      </c>
      <c r="AB7" s="12" t="e">
        <f>(Original_VA!#REF!/Original_VA!#REF!-1)*100</f>
        <v>#REF!</v>
      </c>
      <c r="AD7" s="7"/>
    </row>
    <row r="8" spans="1:30" ht="15" customHeight="1" x14ac:dyDescent="0.25">
      <c r="A8" s="2" t="s">
        <v>3</v>
      </c>
      <c r="C8" s="6"/>
      <c r="D8" s="6"/>
      <c r="E8" s="6"/>
      <c r="F8" s="6"/>
      <c r="G8" s="12" t="e">
        <f>(Original_VA!#REF!/Original_VA!#REF!-1)*100</f>
        <v>#REF!</v>
      </c>
      <c r="H8" s="12" t="e">
        <f>(Original_VA!#REF!/Original_VA!#REF!-1)*100</f>
        <v>#REF!</v>
      </c>
      <c r="I8" s="12" t="e">
        <f>(Original_VA!#REF!/Original_VA!#REF!-1)*100</f>
        <v>#REF!</v>
      </c>
      <c r="J8" s="12" t="e">
        <f>(Original_VA!#REF!/Original_VA!#REF!-1)*100</f>
        <v>#REF!</v>
      </c>
      <c r="K8" s="12" t="e">
        <f>(Original_VA!#REF!/Original_VA!#REF!-1)*100</f>
        <v>#REF!</v>
      </c>
      <c r="L8" s="12" t="e">
        <f>(Original_VA!#REF!/Original_VA!#REF!-1)*100</f>
        <v>#REF!</v>
      </c>
      <c r="M8" s="12" t="e">
        <f>(Original_VA!#REF!/Original_VA!#REF!-1)*100</f>
        <v>#REF!</v>
      </c>
      <c r="N8" s="12" t="e">
        <f>(Original_VA!#REF!/Original_VA!#REF!-1)*100</f>
        <v>#REF!</v>
      </c>
      <c r="O8" s="12" t="e">
        <f>(Original_VA!#REF!/Original_VA!#REF!-1)*100</f>
        <v>#REF!</v>
      </c>
      <c r="P8" s="12" t="e">
        <f>(Original_VA!#REF!/Original_VA!#REF!-1)*100</f>
        <v>#REF!</v>
      </c>
      <c r="Q8" s="12" t="e">
        <f>(Original_VA!#REF!/Original_VA!#REF!-1)*100</f>
        <v>#REF!</v>
      </c>
      <c r="R8" s="12" t="e">
        <f>(Original_VA!#REF!/Original_VA!#REF!-1)*100</f>
        <v>#REF!</v>
      </c>
      <c r="S8" s="12" t="e">
        <f>(Original_VA!#REF!/Original_VA!#REF!-1)*100</f>
        <v>#REF!</v>
      </c>
      <c r="T8" s="12" t="e">
        <f>(Original_VA!#REF!/Original_VA!#REF!-1)*100</f>
        <v>#REF!</v>
      </c>
      <c r="U8" s="12" t="e">
        <f>(Original_VA!#REF!/Original_VA!#REF!-1)*100</f>
        <v>#REF!</v>
      </c>
      <c r="V8" s="12" t="e">
        <f>(Original_VA!#REF!/Original_VA!#REF!-1)*100</f>
        <v>#REF!</v>
      </c>
      <c r="W8" s="12" t="e">
        <f>(Original_VA!#REF!/Original_VA!#REF!-1)*100</f>
        <v>#REF!</v>
      </c>
      <c r="X8" s="12" t="e">
        <f>(Original_VA!#REF!/Original_VA!#REF!-1)*100</f>
        <v>#REF!</v>
      </c>
      <c r="Y8" s="12" t="e">
        <f>(Original_VA!#REF!/Original_VA!#REF!-1)*100</f>
        <v>#REF!</v>
      </c>
      <c r="Z8" s="12" t="e">
        <f>(Original_VA!#REF!/Original_VA!#REF!-1)*100</f>
        <v>#REF!</v>
      </c>
      <c r="AA8" s="12" t="e">
        <f>(Original_VA!#REF!/Original_VA!#REF!-1)*100</f>
        <v>#REF!</v>
      </c>
      <c r="AB8" s="12" t="e">
        <f>(Original_VA!#REF!/Original_VA!#REF!-1)*100</f>
        <v>#REF!</v>
      </c>
      <c r="AD8" s="7"/>
    </row>
    <row r="9" spans="1:30" ht="15" customHeight="1" x14ac:dyDescent="0.25">
      <c r="A9" s="2" t="s">
        <v>4</v>
      </c>
      <c r="C9" s="6"/>
      <c r="D9" s="6"/>
      <c r="E9" s="6"/>
      <c r="F9" s="6"/>
      <c r="G9" s="12" t="e">
        <f>(Original_VA!#REF!/Original_VA!#REF!-1)*100</f>
        <v>#REF!</v>
      </c>
      <c r="H9" s="12" t="e">
        <f>(Original_VA!#REF!/Original_VA!#REF!-1)*100</f>
        <v>#REF!</v>
      </c>
      <c r="I9" s="12" t="e">
        <f>(Original_VA!#REF!/Original_VA!#REF!-1)*100</f>
        <v>#REF!</v>
      </c>
      <c r="J9" s="12" t="e">
        <f>(Original_VA!#REF!/Original_VA!#REF!-1)*100</f>
        <v>#REF!</v>
      </c>
      <c r="K9" s="12" t="e">
        <f>(Original_VA!#REF!/Original_VA!#REF!-1)*100</f>
        <v>#REF!</v>
      </c>
      <c r="L9" s="12" t="e">
        <f>(Original_VA!#REF!/Original_VA!#REF!-1)*100</f>
        <v>#REF!</v>
      </c>
      <c r="M9" s="12" t="e">
        <f>(Original_VA!#REF!/Original_VA!#REF!-1)*100</f>
        <v>#REF!</v>
      </c>
      <c r="N9" s="12" t="e">
        <f>(Original_VA!#REF!/Original_VA!#REF!-1)*100</f>
        <v>#REF!</v>
      </c>
      <c r="O9" s="12" t="e">
        <f>(Original_VA!#REF!/Original_VA!#REF!-1)*100</f>
        <v>#REF!</v>
      </c>
      <c r="P9" s="12" t="e">
        <f>(Original_VA!#REF!/Original_VA!#REF!-1)*100</f>
        <v>#REF!</v>
      </c>
      <c r="Q9" s="12" t="e">
        <f>(Original_VA!#REF!/Original_VA!#REF!-1)*100</f>
        <v>#REF!</v>
      </c>
      <c r="R9" s="12" t="e">
        <f>(Original_VA!#REF!/Original_VA!#REF!-1)*100</f>
        <v>#REF!</v>
      </c>
      <c r="S9" s="12" t="e">
        <f>(Original_VA!#REF!/Original_VA!#REF!-1)*100</f>
        <v>#REF!</v>
      </c>
      <c r="T9" s="12" t="e">
        <f>(Original_VA!#REF!/Original_VA!#REF!-1)*100</f>
        <v>#REF!</v>
      </c>
      <c r="U9" s="12" t="e">
        <f>(Original_VA!#REF!/Original_VA!#REF!-1)*100</f>
        <v>#REF!</v>
      </c>
      <c r="V9" s="12" t="e">
        <f>(Original_VA!#REF!/Original_VA!#REF!-1)*100</f>
        <v>#REF!</v>
      </c>
      <c r="W9" s="12" t="e">
        <f>(Original_VA!#REF!/Original_VA!#REF!-1)*100</f>
        <v>#REF!</v>
      </c>
      <c r="X9" s="12" t="e">
        <f>(Original_VA!#REF!/Original_VA!#REF!-1)*100</f>
        <v>#REF!</v>
      </c>
      <c r="Y9" s="12" t="e">
        <f>(Original_VA!#REF!/Original_VA!#REF!-1)*100</f>
        <v>#REF!</v>
      </c>
      <c r="Z9" s="12" t="e">
        <f>(Original_VA!#REF!/Original_VA!#REF!-1)*100</f>
        <v>#REF!</v>
      </c>
      <c r="AA9" s="12" t="e">
        <f>(Original_VA!#REF!/Original_VA!#REF!-1)*100</f>
        <v>#REF!</v>
      </c>
      <c r="AB9" s="12" t="e">
        <f>(Original_VA!#REF!/Original_VA!#REF!-1)*100</f>
        <v>#REF!</v>
      </c>
      <c r="AD9" s="7"/>
    </row>
    <row r="10" spans="1:30" ht="15" customHeight="1" x14ac:dyDescent="0.25">
      <c r="A10" s="2" t="s">
        <v>5</v>
      </c>
      <c r="C10" s="6"/>
      <c r="D10" s="6"/>
      <c r="E10" s="6"/>
      <c r="F10" s="6"/>
      <c r="G10" s="12" t="e">
        <f>(Original_VA!#REF!/Original_VA!#REF!-1)*100</f>
        <v>#REF!</v>
      </c>
      <c r="H10" s="12" t="e">
        <f>(Original_VA!#REF!/Original_VA!#REF!-1)*100</f>
        <v>#REF!</v>
      </c>
      <c r="I10" s="12" t="e">
        <f>(Original_VA!#REF!/Original_VA!#REF!-1)*100</f>
        <v>#REF!</v>
      </c>
      <c r="J10" s="12" t="e">
        <f>(Original_VA!#REF!/Original_VA!#REF!-1)*100</f>
        <v>#REF!</v>
      </c>
      <c r="K10" s="12" t="e">
        <f>(Original_VA!#REF!/Original_VA!#REF!-1)*100</f>
        <v>#REF!</v>
      </c>
      <c r="L10" s="12" t="e">
        <f>(Original_VA!#REF!/Original_VA!#REF!-1)*100</f>
        <v>#REF!</v>
      </c>
      <c r="M10" s="12" t="e">
        <f>(Original_VA!#REF!/Original_VA!#REF!-1)*100</f>
        <v>#REF!</v>
      </c>
      <c r="N10" s="12" t="e">
        <f>(Original_VA!#REF!/Original_VA!#REF!-1)*100</f>
        <v>#REF!</v>
      </c>
      <c r="O10" s="12" t="e">
        <f>(Original_VA!#REF!/Original_VA!#REF!-1)*100</f>
        <v>#REF!</v>
      </c>
      <c r="P10" s="12" t="e">
        <f>(Original_VA!#REF!/Original_VA!#REF!-1)*100</f>
        <v>#REF!</v>
      </c>
      <c r="Q10" s="12" t="e">
        <f>(Original_VA!#REF!/Original_VA!#REF!-1)*100</f>
        <v>#REF!</v>
      </c>
      <c r="R10" s="12" t="e">
        <f>(Original_VA!#REF!/Original_VA!#REF!-1)*100</f>
        <v>#REF!</v>
      </c>
      <c r="S10" s="12" t="e">
        <f>(Original_VA!#REF!/Original_VA!#REF!-1)*100</f>
        <v>#REF!</v>
      </c>
      <c r="T10" s="12" t="e">
        <f>(Original_VA!#REF!/Original_VA!#REF!-1)*100</f>
        <v>#REF!</v>
      </c>
      <c r="U10" s="12" t="e">
        <f>(Original_VA!#REF!/Original_VA!#REF!-1)*100</f>
        <v>#REF!</v>
      </c>
      <c r="V10" s="12" t="e">
        <f>(Original_VA!#REF!/Original_VA!#REF!-1)*100</f>
        <v>#REF!</v>
      </c>
      <c r="W10" s="12" t="e">
        <f>(Original_VA!#REF!/Original_VA!#REF!-1)*100</f>
        <v>#REF!</v>
      </c>
      <c r="X10" s="12" t="e">
        <f>(Original_VA!#REF!/Original_VA!#REF!-1)*100</f>
        <v>#REF!</v>
      </c>
      <c r="Y10" s="12" t="e">
        <f>(Original_VA!#REF!/Original_VA!#REF!-1)*100</f>
        <v>#REF!</v>
      </c>
      <c r="Z10" s="12" t="e">
        <f>(Original_VA!#REF!/Original_VA!#REF!-1)*100</f>
        <v>#REF!</v>
      </c>
      <c r="AA10" s="12" t="e">
        <f>(Original_VA!#REF!/Original_VA!#REF!-1)*100</f>
        <v>#REF!</v>
      </c>
      <c r="AB10" s="12" t="e">
        <f>(Original_VA!#REF!/Original_VA!#REF!-1)*100</f>
        <v>#REF!</v>
      </c>
      <c r="AD10" s="7"/>
    </row>
    <row r="11" spans="1:30" ht="15" customHeight="1" x14ac:dyDescent="0.25">
      <c r="A11" s="2" t="s">
        <v>6</v>
      </c>
      <c r="C11" s="6"/>
      <c r="D11" s="6"/>
      <c r="E11" s="6"/>
      <c r="F11" s="6"/>
      <c r="G11" s="12" t="e">
        <f>(Original_VA!#REF!/Original_VA!#REF!-1)*100</f>
        <v>#REF!</v>
      </c>
      <c r="H11" s="12" t="e">
        <f>(Original_VA!#REF!/Original_VA!#REF!-1)*100</f>
        <v>#REF!</v>
      </c>
      <c r="I11" s="12" t="e">
        <f>(Original_VA!#REF!/Original_VA!#REF!-1)*100</f>
        <v>#REF!</v>
      </c>
      <c r="J11" s="12" t="e">
        <f>(Original_VA!#REF!/Original_VA!#REF!-1)*100</f>
        <v>#REF!</v>
      </c>
      <c r="K11" s="12" t="e">
        <f>(Original_VA!#REF!/Original_VA!#REF!-1)*100</f>
        <v>#REF!</v>
      </c>
      <c r="L11" s="12" t="e">
        <f>(Original_VA!#REF!/Original_VA!#REF!-1)*100</f>
        <v>#REF!</v>
      </c>
      <c r="M11" s="12" t="e">
        <f>(Original_VA!#REF!/Original_VA!#REF!-1)*100</f>
        <v>#REF!</v>
      </c>
      <c r="N11" s="12" t="e">
        <f>(Original_VA!#REF!/Original_VA!#REF!-1)*100</f>
        <v>#REF!</v>
      </c>
      <c r="O11" s="12" t="e">
        <f>(Original_VA!#REF!/Original_VA!#REF!-1)*100</f>
        <v>#REF!</v>
      </c>
      <c r="P11" s="12" t="e">
        <f>(Original_VA!#REF!/Original_VA!#REF!-1)*100</f>
        <v>#REF!</v>
      </c>
      <c r="Q11" s="12" t="e">
        <f>(Original_VA!#REF!/Original_VA!#REF!-1)*100</f>
        <v>#REF!</v>
      </c>
      <c r="R11" s="12" t="e">
        <f>(Original_VA!#REF!/Original_VA!#REF!-1)*100</f>
        <v>#REF!</v>
      </c>
      <c r="S11" s="12" t="e">
        <f>(Original_VA!#REF!/Original_VA!#REF!-1)*100</f>
        <v>#REF!</v>
      </c>
      <c r="T11" s="12" t="e">
        <f>(Original_VA!#REF!/Original_VA!#REF!-1)*100</f>
        <v>#REF!</v>
      </c>
      <c r="U11" s="12" t="e">
        <f>(Original_VA!#REF!/Original_VA!#REF!-1)*100</f>
        <v>#REF!</v>
      </c>
      <c r="V11" s="12" t="e">
        <f>(Original_VA!#REF!/Original_VA!#REF!-1)*100</f>
        <v>#REF!</v>
      </c>
      <c r="W11" s="12" t="e">
        <f>(Original_VA!#REF!/Original_VA!#REF!-1)*100</f>
        <v>#REF!</v>
      </c>
      <c r="X11" s="12" t="e">
        <f>(Original_VA!#REF!/Original_VA!#REF!-1)*100</f>
        <v>#REF!</v>
      </c>
      <c r="Y11" s="12" t="e">
        <f>(Original_VA!#REF!/Original_VA!#REF!-1)*100</f>
        <v>#REF!</v>
      </c>
      <c r="Z11" s="12" t="e">
        <f>(Original_VA!#REF!/Original_VA!#REF!-1)*100</f>
        <v>#REF!</v>
      </c>
      <c r="AA11" s="12" t="e">
        <f>(Original_VA!#REF!/Original_VA!#REF!-1)*100</f>
        <v>#REF!</v>
      </c>
      <c r="AB11" s="12" t="e">
        <f>(Original_VA!#REF!/Original_VA!#REF!-1)*100</f>
        <v>#REF!</v>
      </c>
      <c r="AD11" s="7"/>
    </row>
    <row r="12" spans="1:30" ht="15" customHeight="1" x14ac:dyDescent="0.25">
      <c r="A12" s="2" t="s">
        <v>7</v>
      </c>
      <c r="C12" s="6"/>
      <c r="D12" s="6"/>
      <c r="E12" s="6"/>
      <c r="F12" s="6"/>
      <c r="G12" s="12" t="e">
        <f>(Original_VA!#REF!/Original_VA!#REF!-1)*100</f>
        <v>#REF!</v>
      </c>
      <c r="H12" s="12" t="e">
        <f>(Original_VA!#REF!/Original_VA!#REF!-1)*100</f>
        <v>#REF!</v>
      </c>
      <c r="I12" s="12" t="e">
        <f>(Original_VA!#REF!/Original_VA!#REF!-1)*100</f>
        <v>#REF!</v>
      </c>
      <c r="J12" s="12" t="e">
        <f>(Original_VA!#REF!/Original_VA!#REF!-1)*100</f>
        <v>#REF!</v>
      </c>
      <c r="K12" s="12" t="e">
        <f>(Original_VA!#REF!/Original_VA!#REF!-1)*100</f>
        <v>#REF!</v>
      </c>
      <c r="L12" s="12" t="e">
        <f>(Original_VA!#REF!/Original_VA!#REF!-1)*100</f>
        <v>#REF!</v>
      </c>
      <c r="M12" s="12" t="e">
        <f>(Original_VA!#REF!/Original_VA!#REF!-1)*100</f>
        <v>#REF!</v>
      </c>
      <c r="N12" s="12" t="e">
        <f>(Original_VA!#REF!/Original_VA!#REF!-1)*100</f>
        <v>#REF!</v>
      </c>
      <c r="O12" s="12" t="e">
        <f>(Original_VA!#REF!/Original_VA!#REF!-1)*100</f>
        <v>#REF!</v>
      </c>
      <c r="P12" s="12" t="e">
        <f>(Original_VA!#REF!/Original_VA!#REF!-1)*100</f>
        <v>#REF!</v>
      </c>
      <c r="Q12" s="12" t="e">
        <f>(Original_VA!#REF!/Original_VA!#REF!-1)*100</f>
        <v>#REF!</v>
      </c>
      <c r="R12" s="12" t="e">
        <f>(Original_VA!#REF!/Original_VA!#REF!-1)*100</f>
        <v>#REF!</v>
      </c>
      <c r="S12" s="12" t="e">
        <f>(Original_VA!#REF!/Original_VA!#REF!-1)*100</f>
        <v>#REF!</v>
      </c>
      <c r="T12" s="12" t="e">
        <f>(Original_VA!#REF!/Original_VA!#REF!-1)*100</f>
        <v>#REF!</v>
      </c>
      <c r="U12" s="12" t="e">
        <f>(Original_VA!#REF!/Original_VA!#REF!-1)*100</f>
        <v>#REF!</v>
      </c>
      <c r="V12" s="12" t="e">
        <f>(Original_VA!#REF!/Original_VA!#REF!-1)*100</f>
        <v>#REF!</v>
      </c>
      <c r="W12" s="12" t="e">
        <f>(Original_VA!#REF!/Original_VA!#REF!-1)*100</f>
        <v>#REF!</v>
      </c>
      <c r="X12" s="12" t="e">
        <f>(Original_VA!#REF!/Original_VA!#REF!-1)*100</f>
        <v>#REF!</v>
      </c>
      <c r="Y12" s="12" t="e">
        <f>(Original_VA!#REF!/Original_VA!#REF!-1)*100</f>
        <v>#REF!</v>
      </c>
      <c r="Z12" s="12" t="e">
        <f>(Original_VA!#REF!/Original_VA!#REF!-1)*100</f>
        <v>#REF!</v>
      </c>
      <c r="AA12" s="12" t="e">
        <f>(Original_VA!#REF!/Original_VA!#REF!-1)*100</f>
        <v>#REF!</v>
      </c>
      <c r="AB12" s="12" t="e">
        <f>(Original_VA!#REF!/Original_VA!#REF!-1)*100</f>
        <v>#REF!</v>
      </c>
      <c r="AD12" s="7"/>
    </row>
    <row r="13" spans="1:30" s="8" customFormat="1" ht="30" customHeight="1" x14ac:dyDescent="0.25">
      <c r="A13" s="1" t="s">
        <v>8</v>
      </c>
      <c r="C13" s="9"/>
      <c r="D13" s="9"/>
      <c r="E13" s="9"/>
      <c r="F13" s="9"/>
      <c r="G13" s="11" t="e">
        <f>(Original_VA!#REF!/Original_VA!#REF!-1)*100</f>
        <v>#REF!</v>
      </c>
      <c r="H13" s="11" t="e">
        <f>(Original_VA!#REF!/Original_VA!#REF!-1)*100</f>
        <v>#REF!</v>
      </c>
      <c r="I13" s="11" t="e">
        <f>(Original_VA!#REF!/Original_VA!#REF!-1)*100</f>
        <v>#REF!</v>
      </c>
      <c r="J13" s="11" t="e">
        <f>(Original_VA!#REF!/Original_VA!#REF!-1)*100</f>
        <v>#REF!</v>
      </c>
      <c r="K13" s="11" t="e">
        <f>(Original_VA!#REF!/Original_VA!#REF!-1)*100</f>
        <v>#REF!</v>
      </c>
      <c r="L13" s="11" t="e">
        <f>(Original_VA!#REF!/Original_VA!#REF!-1)*100</f>
        <v>#REF!</v>
      </c>
      <c r="M13" s="11" t="e">
        <f>(Original_VA!#REF!/Original_VA!#REF!-1)*100</f>
        <v>#REF!</v>
      </c>
      <c r="N13" s="11" t="e">
        <f>(Original_VA!#REF!/Original_VA!#REF!-1)*100</f>
        <v>#REF!</v>
      </c>
      <c r="O13" s="11" t="e">
        <f>(Original_VA!#REF!/Original_VA!#REF!-1)*100</f>
        <v>#REF!</v>
      </c>
      <c r="P13" s="11" t="e">
        <f>(Original_VA!#REF!/Original_VA!#REF!-1)*100</f>
        <v>#REF!</v>
      </c>
      <c r="Q13" s="11" t="e">
        <f>(Original_VA!#REF!/Original_VA!#REF!-1)*100</f>
        <v>#REF!</v>
      </c>
      <c r="R13" s="11" t="e">
        <f>(Original_VA!#REF!/Original_VA!#REF!-1)*100</f>
        <v>#REF!</v>
      </c>
      <c r="S13" s="11" t="e">
        <f>(Original_VA!#REF!/Original_VA!#REF!-1)*100</f>
        <v>#REF!</v>
      </c>
      <c r="T13" s="11" t="e">
        <f>(Original_VA!#REF!/Original_VA!#REF!-1)*100</f>
        <v>#REF!</v>
      </c>
      <c r="U13" s="11" t="e">
        <f>(Original_VA!#REF!/Original_VA!#REF!-1)*100</f>
        <v>#REF!</v>
      </c>
      <c r="V13" s="11" t="e">
        <f>(Original_VA!#REF!/Original_VA!#REF!-1)*100</f>
        <v>#REF!</v>
      </c>
      <c r="W13" s="11" t="e">
        <f>(Original_VA!#REF!/Original_VA!#REF!-1)*100</f>
        <v>#REF!</v>
      </c>
      <c r="X13" s="11" t="e">
        <f>(Original_VA!#REF!/Original_VA!#REF!-1)*100</f>
        <v>#REF!</v>
      </c>
      <c r="Y13" s="11" t="e">
        <f>(Original_VA!#REF!/Original_VA!#REF!-1)*100</f>
        <v>#REF!</v>
      </c>
      <c r="Z13" s="11" t="e">
        <f>(Original_VA!#REF!/Original_VA!#REF!-1)*100</f>
        <v>#REF!</v>
      </c>
      <c r="AA13" s="11" t="e">
        <f>(Original_VA!#REF!/Original_VA!#REF!-1)*100</f>
        <v>#REF!</v>
      </c>
      <c r="AB13" s="11" t="e">
        <f>(Original_VA!#REF!/Original_VA!#REF!-1)*100</f>
        <v>#REF!</v>
      </c>
      <c r="AD13" s="7"/>
    </row>
    <row r="14" spans="1:30" ht="15" customHeight="1" x14ac:dyDescent="0.25">
      <c r="A14" s="2" t="s">
        <v>9</v>
      </c>
      <c r="B14" s="8"/>
      <c r="C14" s="6"/>
      <c r="D14" s="6"/>
      <c r="E14" s="6"/>
      <c r="F14" s="6"/>
      <c r="G14" s="12" t="e">
        <f>(Original_VA!#REF!/Original_VA!#REF!-1)*100</f>
        <v>#REF!</v>
      </c>
      <c r="H14" s="12" t="e">
        <f>(Original_VA!#REF!/Original_VA!#REF!-1)*100</f>
        <v>#REF!</v>
      </c>
      <c r="I14" s="12" t="e">
        <f>(Original_VA!#REF!/Original_VA!#REF!-1)*100</f>
        <v>#REF!</v>
      </c>
      <c r="J14" s="12" t="e">
        <f>(Original_VA!#REF!/Original_VA!#REF!-1)*100</f>
        <v>#REF!</v>
      </c>
      <c r="K14" s="12" t="e">
        <f>(Original_VA!#REF!/Original_VA!#REF!-1)*100</f>
        <v>#REF!</v>
      </c>
      <c r="L14" s="12" t="e">
        <f>(Original_VA!#REF!/Original_VA!#REF!-1)*100</f>
        <v>#REF!</v>
      </c>
      <c r="M14" s="12" t="e">
        <f>(Original_VA!#REF!/Original_VA!#REF!-1)*100</f>
        <v>#REF!</v>
      </c>
      <c r="N14" s="12" t="e">
        <f>(Original_VA!#REF!/Original_VA!#REF!-1)*100</f>
        <v>#REF!</v>
      </c>
      <c r="O14" s="12" t="e">
        <f>(Original_VA!#REF!/Original_VA!#REF!-1)*100</f>
        <v>#REF!</v>
      </c>
      <c r="P14" s="12" t="e">
        <f>(Original_VA!#REF!/Original_VA!#REF!-1)*100</f>
        <v>#REF!</v>
      </c>
      <c r="Q14" s="12" t="e">
        <f>(Original_VA!#REF!/Original_VA!#REF!-1)*100</f>
        <v>#REF!</v>
      </c>
      <c r="R14" s="12" t="e">
        <f>(Original_VA!#REF!/Original_VA!#REF!-1)*100</f>
        <v>#REF!</v>
      </c>
      <c r="S14" s="12" t="e">
        <f>(Original_VA!#REF!/Original_VA!#REF!-1)*100</f>
        <v>#REF!</v>
      </c>
      <c r="T14" s="12" t="e">
        <f>(Original_VA!#REF!/Original_VA!#REF!-1)*100</f>
        <v>#REF!</v>
      </c>
      <c r="U14" s="12" t="e">
        <f>(Original_VA!#REF!/Original_VA!#REF!-1)*100</f>
        <v>#REF!</v>
      </c>
      <c r="V14" s="12" t="e">
        <f>(Original_VA!#REF!/Original_VA!#REF!-1)*100</f>
        <v>#REF!</v>
      </c>
      <c r="W14" s="12" t="e">
        <f>(Original_VA!#REF!/Original_VA!#REF!-1)*100</f>
        <v>#REF!</v>
      </c>
      <c r="X14" s="12" t="e">
        <f>(Original_VA!#REF!/Original_VA!#REF!-1)*100</f>
        <v>#REF!</v>
      </c>
      <c r="Y14" s="12" t="e">
        <f>(Original_VA!#REF!/Original_VA!#REF!-1)*100</f>
        <v>#REF!</v>
      </c>
      <c r="Z14" s="12" t="e">
        <f>(Original_VA!#REF!/Original_VA!#REF!-1)*100</f>
        <v>#REF!</v>
      </c>
      <c r="AA14" s="12" t="e">
        <f>(Original_VA!#REF!/Original_VA!#REF!-1)*100</f>
        <v>#REF!</v>
      </c>
      <c r="AB14" s="12" t="e">
        <f>(Original_VA!#REF!/Original_VA!#REF!-1)*100</f>
        <v>#REF!</v>
      </c>
      <c r="AD14" s="7"/>
    </row>
    <row r="15" spans="1:30" ht="15" customHeight="1" x14ac:dyDescent="0.25">
      <c r="A15" s="3" t="s">
        <v>10</v>
      </c>
      <c r="C15" s="6"/>
      <c r="D15" s="6"/>
      <c r="E15" s="6"/>
      <c r="F15" s="6"/>
      <c r="G15" s="12" t="e">
        <f>(Original_VA!#REF!/Original_VA!#REF!-1)*100</f>
        <v>#REF!</v>
      </c>
      <c r="H15" s="12" t="e">
        <f>(Original_VA!#REF!/Original_VA!#REF!-1)*100</f>
        <v>#REF!</v>
      </c>
      <c r="I15" s="12" t="e">
        <f>(Original_VA!#REF!/Original_VA!#REF!-1)*100</f>
        <v>#REF!</v>
      </c>
      <c r="J15" s="12" t="e">
        <f>(Original_VA!#REF!/Original_VA!#REF!-1)*100</f>
        <v>#REF!</v>
      </c>
      <c r="K15" s="12" t="e">
        <f>(Original_VA!#REF!/Original_VA!#REF!-1)*100</f>
        <v>#REF!</v>
      </c>
      <c r="L15" s="12" t="e">
        <f>(Original_VA!#REF!/Original_VA!#REF!-1)*100</f>
        <v>#REF!</v>
      </c>
      <c r="M15" s="12" t="e">
        <f>(Original_VA!#REF!/Original_VA!#REF!-1)*100</f>
        <v>#REF!</v>
      </c>
      <c r="N15" s="12" t="e">
        <f>(Original_VA!#REF!/Original_VA!#REF!-1)*100</f>
        <v>#REF!</v>
      </c>
      <c r="O15" s="12" t="e">
        <f>(Original_VA!#REF!/Original_VA!#REF!-1)*100</f>
        <v>#REF!</v>
      </c>
      <c r="P15" s="12" t="e">
        <f>(Original_VA!#REF!/Original_VA!#REF!-1)*100</f>
        <v>#REF!</v>
      </c>
      <c r="Q15" s="12" t="e">
        <f>(Original_VA!#REF!/Original_VA!#REF!-1)*100</f>
        <v>#REF!</v>
      </c>
      <c r="R15" s="12" t="e">
        <f>(Original_VA!#REF!/Original_VA!#REF!-1)*100</f>
        <v>#REF!</v>
      </c>
      <c r="S15" s="12" t="e">
        <f>(Original_VA!#REF!/Original_VA!#REF!-1)*100</f>
        <v>#REF!</v>
      </c>
      <c r="T15" s="12" t="e">
        <f>(Original_VA!#REF!/Original_VA!#REF!-1)*100</f>
        <v>#REF!</v>
      </c>
      <c r="U15" s="12" t="e">
        <f>(Original_VA!#REF!/Original_VA!#REF!-1)*100</f>
        <v>#REF!</v>
      </c>
      <c r="V15" s="12" t="e">
        <f>(Original_VA!#REF!/Original_VA!#REF!-1)*100</f>
        <v>#REF!</v>
      </c>
      <c r="W15" s="12" t="e">
        <f>(Original_VA!#REF!/Original_VA!#REF!-1)*100</f>
        <v>#REF!</v>
      </c>
      <c r="X15" s="12" t="e">
        <f>(Original_VA!#REF!/Original_VA!#REF!-1)*100</f>
        <v>#REF!</v>
      </c>
      <c r="Y15" s="12" t="e">
        <f>(Original_VA!#REF!/Original_VA!#REF!-1)*100</f>
        <v>#REF!</v>
      </c>
      <c r="Z15" s="12" t="e">
        <f>(Original_VA!#REF!/Original_VA!#REF!-1)*100</f>
        <v>#REF!</v>
      </c>
      <c r="AA15" s="12" t="e">
        <f>(Original_VA!#REF!/Original_VA!#REF!-1)*100</f>
        <v>#REF!</v>
      </c>
      <c r="AB15" s="12" t="e">
        <f>(Original_VA!#REF!/Original_VA!#REF!-1)*100</f>
        <v>#REF!</v>
      </c>
      <c r="AD15" s="7"/>
    </row>
    <row r="16" spans="1:30" ht="15" customHeight="1" x14ac:dyDescent="0.25">
      <c r="A16" s="3" t="s">
        <v>11</v>
      </c>
      <c r="C16" s="6"/>
      <c r="D16" s="6"/>
      <c r="E16" s="6"/>
      <c r="F16" s="6"/>
      <c r="G16" s="12" t="e">
        <f>(Original_VA!#REF!/Original_VA!#REF!-1)*100</f>
        <v>#REF!</v>
      </c>
      <c r="H16" s="12" t="e">
        <f>(Original_VA!#REF!/Original_VA!#REF!-1)*100</f>
        <v>#REF!</v>
      </c>
      <c r="I16" s="12" t="e">
        <f>(Original_VA!#REF!/Original_VA!#REF!-1)*100</f>
        <v>#REF!</v>
      </c>
      <c r="J16" s="12" t="e">
        <f>(Original_VA!#REF!/Original_VA!#REF!-1)*100</f>
        <v>#REF!</v>
      </c>
      <c r="K16" s="12" t="e">
        <f>(Original_VA!#REF!/Original_VA!#REF!-1)*100</f>
        <v>#REF!</v>
      </c>
      <c r="L16" s="12" t="e">
        <f>(Original_VA!#REF!/Original_VA!#REF!-1)*100</f>
        <v>#REF!</v>
      </c>
      <c r="M16" s="12" t="e">
        <f>(Original_VA!#REF!/Original_VA!#REF!-1)*100</f>
        <v>#REF!</v>
      </c>
      <c r="N16" s="12" t="e">
        <f>(Original_VA!#REF!/Original_VA!#REF!-1)*100</f>
        <v>#REF!</v>
      </c>
      <c r="O16" s="12" t="e">
        <f>(Original_VA!#REF!/Original_VA!#REF!-1)*100</f>
        <v>#REF!</v>
      </c>
      <c r="P16" s="12" t="e">
        <f>(Original_VA!#REF!/Original_VA!#REF!-1)*100</f>
        <v>#REF!</v>
      </c>
      <c r="Q16" s="12" t="e">
        <f>(Original_VA!#REF!/Original_VA!#REF!-1)*100</f>
        <v>#REF!</v>
      </c>
      <c r="R16" s="12" t="e">
        <f>(Original_VA!#REF!/Original_VA!#REF!-1)*100</f>
        <v>#REF!</v>
      </c>
      <c r="S16" s="12" t="e">
        <f>(Original_VA!#REF!/Original_VA!#REF!-1)*100</f>
        <v>#REF!</v>
      </c>
      <c r="T16" s="12" t="e">
        <f>(Original_VA!#REF!/Original_VA!#REF!-1)*100</f>
        <v>#REF!</v>
      </c>
      <c r="U16" s="12" t="e">
        <f>(Original_VA!#REF!/Original_VA!#REF!-1)*100</f>
        <v>#REF!</v>
      </c>
      <c r="V16" s="12" t="e">
        <f>(Original_VA!#REF!/Original_VA!#REF!-1)*100</f>
        <v>#REF!</v>
      </c>
      <c r="W16" s="12" t="e">
        <f>(Original_VA!#REF!/Original_VA!#REF!-1)*100</f>
        <v>#REF!</v>
      </c>
      <c r="X16" s="12" t="e">
        <f>(Original_VA!#REF!/Original_VA!#REF!-1)*100</f>
        <v>#REF!</v>
      </c>
      <c r="Y16" s="12" t="e">
        <f>(Original_VA!#REF!/Original_VA!#REF!-1)*100</f>
        <v>#REF!</v>
      </c>
      <c r="Z16" s="12" t="e">
        <f>(Original_VA!#REF!/Original_VA!#REF!-1)*100</f>
        <v>#REF!</v>
      </c>
      <c r="AA16" s="12" t="e">
        <f>(Original_VA!#REF!/Original_VA!#REF!-1)*100</f>
        <v>#REF!</v>
      </c>
      <c r="AB16" s="12" t="e">
        <f>(Original_VA!#REF!/Original_VA!#REF!-1)*100</f>
        <v>#REF!</v>
      </c>
      <c r="AD16" s="7"/>
    </row>
    <row r="17" spans="1:30" ht="15" customHeight="1" x14ac:dyDescent="0.25">
      <c r="A17" s="3" t="s">
        <v>12</v>
      </c>
      <c r="C17" s="6"/>
      <c r="D17" s="6"/>
      <c r="E17" s="6"/>
      <c r="F17" s="6"/>
      <c r="G17" s="12" t="e">
        <f>(Original_VA!#REF!/Original_VA!#REF!-1)*100</f>
        <v>#REF!</v>
      </c>
      <c r="H17" s="12" t="e">
        <f>(Original_VA!#REF!/Original_VA!#REF!-1)*100</f>
        <v>#REF!</v>
      </c>
      <c r="I17" s="12" t="e">
        <f>(Original_VA!#REF!/Original_VA!#REF!-1)*100</f>
        <v>#REF!</v>
      </c>
      <c r="J17" s="12" t="e">
        <f>(Original_VA!#REF!/Original_VA!#REF!-1)*100</f>
        <v>#REF!</v>
      </c>
      <c r="K17" s="12" t="e">
        <f>(Original_VA!#REF!/Original_VA!#REF!-1)*100</f>
        <v>#REF!</v>
      </c>
      <c r="L17" s="12" t="e">
        <f>(Original_VA!#REF!/Original_VA!#REF!-1)*100</f>
        <v>#REF!</v>
      </c>
      <c r="M17" s="12" t="e">
        <f>(Original_VA!#REF!/Original_VA!#REF!-1)*100</f>
        <v>#REF!</v>
      </c>
      <c r="N17" s="12" t="e">
        <f>(Original_VA!#REF!/Original_VA!#REF!-1)*100</f>
        <v>#REF!</v>
      </c>
      <c r="O17" s="12" t="e">
        <f>(Original_VA!#REF!/Original_VA!#REF!-1)*100</f>
        <v>#REF!</v>
      </c>
      <c r="P17" s="12" t="e">
        <f>(Original_VA!#REF!/Original_VA!#REF!-1)*100</f>
        <v>#REF!</v>
      </c>
      <c r="Q17" s="12" t="e">
        <f>(Original_VA!#REF!/Original_VA!#REF!-1)*100</f>
        <v>#REF!</v>
      </c>
      <c r="R17" s="12" t="e">
        <f>(Original_VA!#REF!/Original_VA!#REF!-1)*100</f>
        <v>#REF!</v>
      </c>
      <c r="S17" s="12" t="e">
        <f>(Original_VA!#REF!/Original_VA!#REF!-1)*100</f>
        <v>#REF!</v>
      </c>
      <c r="T17" s="12" t="e">
        <f>(Original_VA!#REF!/Original_VA!#REF!-1)*100</f>
        <v>#REF!</v>
      </c>
      <c r="U17" s="12" t="e">
        <f>(Original_VA!#REF!/Original_VA!#REF!-1)*100</f>
        <v>#REF!</v>
      </c>
      <c r="V17" s="12" t="e">
        <f>(Original_VA!#REF!/Original_VA!#REF!-1)*100</f>
        <v>#REF!</v>
      </c>
      <c r="W17" s="12" t="e">
        <f>(Original_VA!#REF!/Original_VA!#REF!-1)*100</f>
        <v>#REF!</v>
      </c>
      <c r="X17" s="12" t="e">
        <f>(Original_VA!#REF!/Original_VA!#REF!-1)*100</f>
        <v>#REF!</v>
      </c>
      <c r="Y17" s="12" t="e">
        <f>(Original_VA!#REF!/Original_VA!#REF!-1)*100</f>
        <v>#REF!</v>
      </c>
      <c r="Z17" s="12" t="e">
        <f>(Original_VA!#REF!/Original_VA!#REF!-1)*100</f>
        <v>#REF!</v>
      </c>
      <c r="AA17" s="12" t="e">
        <f>(Original_VA!#REF!/Original_VA!#REF!-1)*100</f>
        <v>#REF!</v>
      </c>
      <c r="AB17" s="12" t="e">
        <f>(Original_VA!#REF!/Original_VA!#REF!-1)*100</f>
        <v>#REF!</v>
      </c>
      <c r="AD17" s="7"/>
    </row>
    <row r="18" spans="1:30" ht="15" customHeight="1" x14ac:dyDescent="0.25">
      <c r="A18" s="2" t="s">
        <v>13</v>
      </c>
      <c r="C18" s="6"/>
      <c r="D18" s="6"/>
      <c r="E18" s="6"/>
      <c r="F18" s="6"/>
      <c r="G18" s="12" t="e">
        <f>(Original_VA!#REF!/Original_VA!#REF!-1)*100</f>
        <v>#REF!</v>
      </c>
      <c r="H18" s="12" t="e">
        <f>(Original_VA!#REF!/Original_VA!#REF!-1)*100</f>
        <v>#REF!</v>
      </c>
      <c r="I18" s="12" t="e">
        <f>(Original_VA!#REF!/Original_VA!#REF!-1)*100</f>
        <v>#REF!</v>
      </c>
      <c r="J18" s="12" t="e">
        <f>(Original_VA!#REF!/Original_VA!#REF!-1)*100</f>
        <v>#REF!</v>
      </c>
      <c r="K18" s="12" t="e">
        <f>(Original_VA!#REF!/Original_VA!#REF!-1)*100</f>
        <v>#REF!</v>
      </c>
      <c r="L18" s="12" t="e">
        <f>(Original_VA!#REF!/Original_VA!#REF!-1)*100</f>
        <v>#REF!</v>
      </c>
      <c r="M18" s="12" t="e">
        <f>(Original_VA!#REF!/Original_VA!#REF!-1)*100</f>
        <v>#REF!</v>
      </c>
      <c r="N18" s="12" t="e">
        <f>(Original_VA!#REF!/Original_VA!#REF!-1)*100</f>
        <v>#REF!</v>
      </c>
      <c r="O18" s="12" t="e">
        <f>(Original_VA!#REF!/Original_VA!#REF!-1)*100</f>
        <v>#REF!</v>
      </c>
      <c r="P18" s="12" t="e">
        <f>(Original_VA!#REF!/Original_VA!#REF!-1)*100</f>
        <v>#REF!</v>
      </c>
      <c r="Q18" s="12" t="e">
        <f>(Original_VA!#REF!/Original_VA!#REF!-1)*100</f>
        <v>#REF!</v>
      </c>
      <c r="R18" s="12" t="e">
        <f>(Original_VA!#REF!/Original_VA!#REF!-1)*100</f>
        <v>#REF!</v>
      </c>
      <c r="S18" s="12" t="e">
        <f>(Original_VA!#REF!/Original_VA!#REF!-1)*100</f>
        <v>#REF!</v>
      </c>
      <c r="T18" s="12" t="e">
        <f>(Original_VA!#REF!/Original_VA!#REF!-1)*100</f>
        <v>#REF!</v>
      </c>
      <c r="U18" s="12" t="e">
        <f>(Original_VA!#REF!/Original_VA!#REF!-1)*100</f>
        <v>#REF!</v>
      </c>
      <c r="V18" s="12" t="e">
        <f>(Original_VA!#REF!/Original_VA!#REF!-1)*100</f>
        <v>#REF!</v>
      </c>
      <c r="W18" s="12" t="e">
        <f>(Original_VA!#REF!/Original_VA!#REF!-1)*100</f>
        <v>#REF!</v>
      </c>
      <c r="X18" s="12" t="e">
        <f>(Original_VA!#REF!/Original_VA!#REF!-1)*100</f>
        <v>#REF!</v>
      </c>
      <c r="Y18" s="12" t="e">
        <f>(Original_VA!#REF!/Original_VA!#REF!-1)*100</f>
        <v>#REF!</v>
      </c>
      <c r="Z18" s="12" t="e">
        <f>(Original_VA!#REF!/Original_VA!#REF!-1)*100</f>
        <v>#REF!</v>
      </c>
      <c r="AA18" s="12" t="e">
        <f>(Original_VA!#REF!/Original_VA!#REF!-1)*100</f>
        <v>#REF!</v>
      </c>
      <c r="AB18" s="12" t="e">
        <f>(Original_VA!#REF!/Original_VA!#REF!-1)*100</f>
        <v>#REF!</v>
      </c>
      <c r="AD18" s="7"/>
    </row>
    <row r="19" spans="1:30" s="8" customFormat="1" ht="27.75" customHeight="1" x14ac:dyDescent="0.25">
      <c r="A19" s="1" t="s">
        <v>14</v>
      </c>
      <c r="C19" s="9"/>
      <c r="D19" s="9"/>
      <c r="E19" s="9"/>
      <c r="F19" s="9"/>
      <c r="G19" s="11" t="e">
        <f>(Original_VA!#REF!/Original_VA!#REF!-1)*100</f>
        <v>#REF!</v>
      </c>
      <c r="H19" s="11" t="e">
        <f>(Original_VA!#REF!/Original_VA!#REF!-1)*100</f>
        <v>#REF!</v>
      </c>
      <c r="I19" s="11" t="e">
        <f>(Original_VA!#REF!/Original_VA!#REF!-1)*100</f>
        <v>#REF!</v>
      </c>
      <c r="J19" s="11" t="e">
        <f>(Original_VA!#REF!/Original_VA!#REF!-1)*100</f>
        <v>#REF!</v>
      </c>
      <c r="K19" s="11" t="e">
        <f>(Original_VA!#REF!/Original_VA!#REF!-1)*100</f>
        <v>#REF!</v>
      </c>
      <c r="L19" s="11" t="e">
        <f>(Original_VA!#REF!/Original_VA!#REF!-1)*100</f>
        <v>#REF!</v>
      </c>
      <c r="M19" s="11" t="e">
        <f>(Original_VA!#REF!/Original_VA!#REF!-1)*100</f>
        <v>#REF!</v>
      </c>
      <c r="N19" s="11" t="e">
        <f>(Original_VA!#REF!/Original_VA!#REF!-1)*100</f>
        <v>#REF!</v>
      </c>
      <c r="O19" s="11" t="e">
        <f>(Original_VA!#REF!/Original_VA!#REF!-1)*100</f>
        <v>#REF!</v>
      </c>
      <c r="P19" s="11" t="e">
        <f>(Original_VA!#REF!/Original_VA!#REF!-1)*100</f>
        <v>#REF!</v>
      </c>
      <c r="Q19" s="11" t="e">
        <f>(Original_VA!#REF!/Original_VA!#REF!-1)*100</f>
        <v>#REF!</v>
      </c>
      <c r="R19" s="11" t="e">
        <f>(Original_VA!#REF!/Original_VA!#REF!-1)*100</f>
        <v>#REF!</v>
      </c>
      <c r="S19" s="11" t="e">
        <f>(Original_VA!#REF!/Original_VA!#REF!-1)*100</f>
        <v>#REF!</v>
      </c>
      <c r="T19" s="11" t="e">
        <f>(Original_VA!#REF!/Original_VA!#REF!-1)*100</f>
        <v>#REF!</v>
      </c>
      <c r="U19" s="11" t="e">
        <f>(Original_VA!#REF!/Original_VA!#REF!-1)*100</f>
        <v>#REF!</v>
      </c>
      <c r="V19" s="11" t="e">
        <f>(Original_VA!#REF!/Original_VA!#REF!-1)*100</f>
        <v>#REF!</v>
      </c>
      <c r="W19" s="11" t="e">
        <f>(Original_VA!#REF!/Original_VA!#REF!-1)*100</f>
        <v>#REF!</v>
      </c>
      <c r="X19" s="11" t="e">
        <f>(Original_VA!#REF!/Original_VA!#REF!-1)*100</f>
        <v>#REF!</v>
      </c>
      <c r="Y19" s="11" t="e">
        <f>(Original_VA!#REF!/Original_VA!#REF!-1)*100</f>
        <v>#REF!</v>
      </c>
      <c r="Z19" s="11" t="e">
        <f>(Original_VA!#REF!/Original_VA!#REF!-1)*100</f>
        <v>#REF!</v>
      </c>
      <c r="AA19" s="11" t="e">
        <f>(Original_VA!#REF!/Original_VA!#REF!-1)*100</f>
        <v>#REF!</v>
      </c>
      <c r="AB19" s="11" t="e">
        <f>(Original_VA!#REF!/Original_VA!#REF!-1)*100</f>
        <v>#REF!</v>
      </c>
      <c r="AD19" s="7"/>
    </row>
    <row r="20" spans="1:30" ht="15" customHeight="1" x14ac:dyDescent="0.25">
      <c r="A20" s="4" t="s">
        <v>15</v>
      </c>
      <c r="C20" s="6"/>
      <c r="D20" s="6"/>
      <c r="E20" s="6"/>
      <c r="F20" s="6"/>
      <c r="G20" s="12" t="e">
        <f>(Original_VA!#REF!/Original_VA!#REF!-1)*100</f>
        <v>#REF!</v>
      </c>
      <c r="H20" s="12" t="e">
        <f>(Original_VA!#REF!/Original_VA!#REF!-1)*100</f>
        <v>#REF!</v>
      </c>
      <c r="I20" s="12" t="e">
        <f>(Original_VA!#REF!/Original_VA!#REF!-1)*100</f>
        <v>#REF!</v>
      </c>
      <c r="J20" s="12" t="e">
        <f>(Original_VA!#REF!/Original_VA!#REF!-1)*100</f>
        <v>#REF!</v>
      </c>
      <c r="K20" s="12" t="e">
        <f>(Original_VA!#REF!/Original_VA!#REF!-1)*100</f>
        <v>#REF!</v>
      </c>
      <c r="L20" s="12" t="e">
        <f>(Original_VA!#REF!/Original_VA!#REF!-1)*100</f>
        <v>#REF!</v>
      </c>
      <c r="M20" s="12" t="e">
        <f>(Original_VA!#REF!/Original_VA!#REF!-1)*100</f>
        <v>#REF!</v>
      </c>
      <c r="N20" s="12" t="e">
        <f>(Original_VA!#REF!/Original_VA!#REF!-1)*100</f>
        <v>#REF!</v>
      </c>
      <c r="O20" s="12" t="e">
        <f>(Original_VA!#REF!/Original_VA!#REF!-1)*100</f>
        <v>#REF!</v>
      </c>
      <c r="P20" s="12" t="e">
        <f>(Original_VA!#REF!/Original_VA!#REF!-1)*100</f>
        <v>#REF!</v>
      </c>
      <c r="Q20" s="12" t="e">
        <f>(Original_VA!#REF!/Original_VA!#REF!-1)*100</f>
        <v>#REF!</v>
      </c>
      <c r="R20" s="12" t="e">
        <f>(Original_VA!#REF!/Original_VA!#REF!-1)*100</f>
        <v>#REF!</v>
      </c>
      <c r="S20" s="12" t="e">
        <f>(Original_VA!#REF!/Original_VA!#REF!-1)*100</f>
        <v>#REF!</v>
      </c>
      <c r="T20" s="12" t="e">
        <f>(Original_VA!#REF!/Original_VA!#REF!-1)*100</f>
        <v>#REF!</v>
      </c>
      <c r="U20" s="12" t="e">
        <f>(Original_VA!#REF!/Original_VA!#REF!-1)*100</f>
        <v>#REF!</v>
      </c>
      <c r="V20" s="12" t="e">
        <f>(Original_VA!#REF!/Original_VA!#REF!-1)*100</f>
        <v>#REF!</v>
      </c>
      <c r="W20" s="12" t="e">
        <f>(Original_VA!#REF!/Original_VA!#REF!-1)*100</f>
        <v>#REF!</v>
      </c>
      <c r="X20" s="12" t="e">
        <f>(Original_VA!#REF!/Original_VA!#REF!-1)*100</f>
        <v>#REF!</v>
      </c>
      <c r="Y20" s="12" t="e">
        <f>(Original_VA!#REF!/Original_VA!#REF!-1)*100</f>
        <v>#REF!</v>
      </c>
      <c r="Z20" s="12" t="e">
        <f>(Original_VA!#REF!/Original_VA!#REF!-1)*100</f>
        <v>#REF!</v>
      </c>
      <c r="AA20" s="12" t="e">
        <f>(Original_VA!#REF!/Original_VA!#REF!-1)*100</f>
        <v>#REF!</v>
      </c>
      <c r="AB20" s="12" t="e">
        <f>(Original_VA!#REF!/Original_VA!#REF!-1)*100</f>
        <v>#REF!</v>
      </c>
      <c r="AD20" s="7"/>
    </row>
    <row r="21" spans="1:30" ht="15" customHeight="1" x14ac:dyDescent="0.25">
      <c r="A21" s="4" t="s">
        <v>16</v>
      </c>
      <c r="B21" s="8"/>
      <c r="C21" s="6"/>
      <c r="D21" s="6"/>
      <c r="E21" s="6"/>
      <c r="F21" s="6"/>
      <c r="G21" s="12" t="e">
        <f>(Original_VA!#REF!/Original_VA!#REF!-1)*100</f>
        <v>#REF!</v>
      </c>
      <c r="H21" s="12" t="e">
        <f>(Original_VA!#REF!/Original_VA!#REF!-1)*100</f>
        <v>#REF!</v>
      </c>
      <c r="I21" s="12" t="e">
        <f>(Original_VA!#REF!/Original_VA!#REF!-1)*100</f>
        <v>#REF!</v>
      </c>
      <c r="J21" s="12" t="e">
        <f>(Original_VA!#REF!/Original_VA!#REF!-1)*100</f>
        <v>#REF!</v>
      </c>
      <c r="K21" s="12" t="e">
        <f>(Original_VA!#REF!/Original_VA!#REF!-1)*100</f>
        <v>#REF!</v>
      </c>
      <c r="L21" s="12" t="e">
        <f>(Original_VA!#REF!/Original_VA!#REF!-1)*100</f>
        <v>#REF!</v>
      </c>
      <c r="M21" s="12" t="e">
        <f>(Original_VA!#REF!/Original_VA!#REF!-1)*100</f>
        <v>#REF!</v>
      </c>
      <c r="N21" s="12" t="e">
        <f>(Original_VA!#REF!/Original_VA!#REF!-1)*100</f>
        <v>#REF!</v>
      </c>
      <c r="O21" s="12" t="e">
        <f>(Original_VA!#REF!/Original_VA!#REF!-1)*100</f>
        <v>#REF!</v>
      </c>
      <c r="P21" s="12" t="e">
        <f>(Original_VA!#REF!/Original_VA!#REF!-1)*100</f>
        <v>#REF!</v>
      </c>
      <c r="Q21" s="12" t="e">
        <f>(Original_VA!#REF!/Original_VA!#REF!-1)*100</f>
        <v>#REF!</v>
      </c>
      <c r="R21" s="12" t="e">
        <f>(Original_VA!#REF!/Original_VA!#REF!-1)*100</f>
        <v>#REF!</v>
      </c>
      <c r="S21" s="12" t="e">
        <f>(Original_VA!#REF!/Original_VA!#REF!-1)*100</f>
        <v>#REF!</v>
      </c>
      <c r="T21" s="12" t="e">
        <f>(Original_VA!#REF!/Original_VA!#REF!-1)*100</f>
        <v>#REF!</v>
      </c>
      <c r="U21" s="12" t="e">
        <f>(Original_VA!#REF!/Original_VA!#REF!-1)*100</f>
        <v>#REF!</v>
      </c>
      <c r="V21" s="12" t="e">
        <f>(Original_VA!#REF!/Original_VA!#REF!-1)*100</f>
        <v>#REF!</v>
      </c>
      <c r="W21" s="12" t="e">
        <f>(Original_VA!#REF!/Original_VA!#REF!-1)*100</f>
        <v>#REF!</v>
      </c>
      <c r="X21" s="12" t="e">
        <f>(Original_VA!#REF!/Original_VA!#REF!-1)*100</f>
        <v>#REF!</v>
      </c>
      <c r="Y21" s="12" t="e">
        <f>(Original_VA!#REF!/Original_VA!#REF!-1)*100</f>
        <v>#REF!</v>
      </c>
      <c r="Z21" s="12" t="e">
        <f>(Original_VA!#REF!/Original_VA!#REF!-1)*100</f>
        <v>#REF!</v>
      </c>
      <c r="AA21" s="12" t="e">
        <f>(Original_VA!#REF!/Original_VA!#REF!-1)*100</f>
        <v>#REF!</v>
      </c>
      <c r="AB21" s="12" t="e">
        <f>(Original_VA!#REF!/Original_VA!#REF!-1)*100</f>
        <v>#REF!</v>
      </c>
      <c r="AD21" s="7"/>
    </row>
    <row r="22" spans="1:30" ht="15" customHeight="1" x14ac:dyDescent="0.25">
      <c r="A22" s="4" t="s">
        <v>17</v>
      </c>
      <c r="C22" s="6"/>
      <c r="D22" s="6"/>
      <c r="E22" s="6"/>
      <c r="F22" s="6"/>
      <c r="G22" s="12" t="e">
        <f>(Original_VA!#REF!/Original_VA!#REF!-1)*100</f>
        <v>#REF!</v>
      </c>
      <c r="H22" s="12" t="e">
        <f>(Original_VA!#REF!/Original_VA!#REF!-1)*100</f>
        <v>#REF!</v>
      </c>
      <c r="I22" s="12" t="e">
        <f>(Original_VA!#REF!/Original_VA!#REF!-1)*100</f>
        <v>#REF!</v>
      </c>
      <c r="J22" s="12" t="e">
        <f>(Original_VA!#REF!/Original_VA!#REF!-1)*100</f>
        <v>#REF!</v>
      </c>
      <c r="K22" s="12" t="e">
        <f>(Original_VA!#REF!/Original_VA!#REF!-1)*100</f>
        <v>#REF!</v>
      </c>
      <c r="L22" s="12" t="e">
        <f>(Original_VA!#REF!/Original_VA!#REF!-1)*100</f>
        <v>#REF!</v>
      </c>
      <c r="M22" s="12" t="e">
        <f>(Original_VA!#REF!/Original_VA!#REF!-1)*100</f>
        <v>#REF!</v>
      </c>
      <c r="N22" s="12" t="e">
        <f>(Original_VA!#REF!/Original_VA!#REF!-1)*100</f>
        <v>#REF!</v>
      </c>
      <c r="O22" s="12" t="e">
        <f>(Original_VA!#REF!/Original_VA!#REF!-1)*100</f>
        <v>#REF!</v>
      </c>
      <c r="P22" s="12" t="e">
        <f>(Original_VA!#REF!/Original_VA!#REF!-1)*100</f>
        <v>#REF!</v>
      </c>
      <c r="Q22" s="12" t="e">
        <f>(Original_VA!#REF!/Original_VA!#REF!-1)*100</f>
        <v>#REF!</v>
      </c>
      <c r="R22" s="12" t="e">
        <f>(Original_VA!#REF!/Original_VA!#REF!-1)*100</f>
        <v>#REF!</v>
      </c>
      <c r="S22" s="12" t="e">
        <f>(Original_VA!#REF!/Original_VA!#REF!-1)*100</f>
        <v>#REF!</v>
      </c>
      <c r="T22" s="12" t="e">
        <f>(Original_VA!#REF!/Original_VA!#REF!-1)*100</f>
        <v>#REF!</v>
      </c>
      <c r="U22" s="12" t="e">
        <f>(Original_VA!#REF!/Original_VA!#REF!-1)*100</f>
        <v>#REF!</v>
      </c>
      <c r="V22" s="12" t="e">
        <f>(Original_VA!#REF!/Original_VA!#REF!-1)*100</f>
        <v>#REF!</v>
      </c>
      <c r="W22" s="12" t="e">
        <f>(Original_VA!#REF!/Original_VA!#REF!-1)*100</f>
        <v>#REF!</v>
      </c>
      <c r="X22" s="12" t="e">
        <f>(Original_VA!#REF!/Original_VA!#REF!-1)*100</f>
        <v>#REF!</v>
      </c>
      <c r="Y22" s="12" t="e">
        <f>(Original_VA!#REF!/Original_VA!#REF!-1)*100</f>
        <v>#REF!</v>
      </c>
      <c r="Z22" s="12" t="e">
        <f>(Original_VA!#REF!/Original_VA!#REF!-1)*100</f>
        <v>#REF!</v>
      </c>
      <c r="AA22" s="12" t="e">
        <f>(Original_VA!#REF!/Original_VA!#REF!-1)*100</f>
        <v>#REF!</v>
      </c>
      <c r="AB22" s="12" t="e">
        <f>(Original_VA!#REF!/Original_VA!#REF!-1)*100</f>
        <v>#REF!</v>
      </c>
      <c r="AD22" s="7"/>
    </row>
    <row r="23" spans="1:30" ht="15" customHeight="1" x14ac:dyDescent="0.25">
      <c r="A23" s="4" t="s">
        <v>18</v>
      </c>
      <c r="C23" s="6"/>
      <c r="D23" s="6"/>
      <c r="E23" s="6"/>
      <c r="F23" s="6"/>
      <c r="G23" s="12" t="e">
        <f>(Original_VA!#REF!/Original_VA!#REF!-1)*100</f>
        <v>#REF!</v>
      </c>
      <c r="H23" s="12" t="e">
        <f>(Original_VA!#REF!/Original_VA!#REF!-1)*100</f>
        <v>#REF!</v>
      </c>
      <c r="I23" s="12" t="e">
        <f>(Original_VA!#REF!/Original_VA!#REF!-1)*100</f>
        <v>#REF!</v>
      </c>
      <c r="J23" s="12" t="e">
        <f>(Original_VA!#REF!/Original_VA!#REF!-1)*100</f>
        <v>#REF!</v>
      </c>
      <c r="K23" s="12" t="e">
        <f>(Original_VA!#REF!/Original_VA!#REF!-1)*100</f>
        <v>#REF!</v>
      </c>
      <c r="L23" s="12" t="e">
        <f>(Original_VA!#REF!/Original_VA!#REF!-1)*100</f>
        <v>#REF!</v>
      </c>
      <c r="M23" s="12" t="e">
        <f>(Original_VA!#REF!/Original_VA!#REF!-1)*100</f>
        <v>#REF!</v>
      </c>
      <c r="N23" s="12" t="e">
        <f>(Original_VA!#REF!/Original_VA!#REF!-1)*100</f>
        <v>#REF!</v>
      </c>
      <c r="O23" s="12" t="e">
        <f>(Original_VA!#REF!/Original_VA!#REF!-1)*100</f>
        <v>#REF!</v>
      </c>
      <c r="P23" s="12" t="e">
        <f>(Original_VA!#REF!/Original_VA!#REF!-1)*100</f>
        <v>#REF!</v>
      </c>
      <c r="Q23" s="12" t="e">
        <f>(Original_VA!#REF!/Original_VA!#REF!-1)*100</f>
        <v>#REF!</v>
      </c>
      <c r="R23" s="12" t="e">
        <f>(Original_VA!#REF!/Original_VA!#REF!-1)*100</f>
        <v>#REF!</v>
      </c>
      <c r="S23" s="12" t="e">
        <f>(Original_VA!#REF!/Original_VA!#REF!-1)*100</f>
        <v>#REF!</v>
      </c>
      <c r="T23" s="12" t="e">
        <f>(Original_VA!#REF!/Original_VA!#REF!-1)*100</f>
        <v>#REF!</v>
      </c>
      <c r="U23" s="12" t="e">
        <f>(Original_VA!#REF!/Original_VA!#REF!-1)*100</f>
        <v>#REF!</v>
      </c>
      <c r="V23" s="12" t="e">
        <f>(Original_VA!#REF!/Original_VA!#REF!-1)*100</f>
        <v>#REF!</v>
      </c>
      <c r="W23" s="12" t="e">
        <f>(Original_VA!#REF!/Original_VA!#REF!-1)*100</f>
        <v>#REF!</v>
      </c>
      <c r="X23" s="12" t="e">
        <f>(Original_VA!#REF!/Original_VA!#REF!-1)*100</f>
        <v>#REF!</v>
      </c>
      <c r="Y23" s="12" t="e">
        <f>(Original_VA!#REF!/Original_VA!#REF!-1)*100</f>
        <v>#REF!</v>
      </c>
      <c r="Z23" s="12" t="e">
        <f>(Original_VA!#REF!/Original_VA!#REF!-1)*100</f>
        <v>#REF!</v>
      </c>
      <c r="AA23" s="12" t="e">
        <f>(Original_VA!#REF!/Original_VA!#REF!-1)*100</f>
        <v>#REF!</v>
      </c>
      <c r="AB23" s="12" t="e">
        <f>(Original_VA!#REF!/Original_VA!#REF!-1)*100</f>
        <v>#REF!</v>
      </c>
      <c r="AD23" s="7"/>
    </row>
    <row r="24" spans="1:30" ht="15" customHeight="1" x14ac:dyDescent="0.25">
      <c r="A24" s="4" t="s">
        <v>19</v>
      </c>
      <c r="C24" s="6"/>
      <c r="D24" s="6"/>
      <c r="E24" s="6"/>
      <c r="F24" s="6"/>
      <c r="G24" s="12" t="e">
        <f>(Original_VA!#REF!/Original_VA!#REF!-1)*100</f>
        <v>#REF!</v>
      </c>
      <c r="H24" s="12" t="e">
        <f>(Original_VA!#REF!/Original_VA!#REF!-1)*100</f>
        <v>#REF!</v>
      </c>
      <c r="I24" s="12" t="e">
        <f>(Original_VA!#REF!/Original_VA!#REF!-1)*100</f>
        <v>#REF!</v>
      </c>
      <c r="J24" s="12" t="e">
        <f>(Original_VA!#REF!/Original_VA!#REF!-1)*100</f>
        <v>#REF!</v>
      </c>
      <c r="K24" s="12" t="e">
        <f>(Original_VA!#REF!/Original_VA!#REF!-1)*100</f>
        <v>#REF!</v>
      </c>
      <c r="L24" s="12" t="e">
        <f>(Original_VA!#REF!/Original_VA!#REF!-1)*100</f>
        <v>#REF!</v>
      </c>
      <c r="M24" s="12" t="e">
        <f>(Original_VA!#REF!/Original_VA!#REF!-1)*100</f>
        <v>#REF!</v>
      </c>
      <c r="N24" s="12" t="e">
        <f>(Original_VA!#REF!/Original_VA!#REF!-1)*100</f>
        <v>#REF!</v>
      </c>
      <c r="O24" s="12" t="e">
        <f>(Original_VA!#REF!/Original_VA!#REF!-1)*100</f>
        <v>#REF!</v>
      </c>
      <c r="P24" s="12" t="e">
        <f>(Original_VA!#REF!/Original_VA!#REF!-1)*100</f>
        <v>#REF!</v>
      </c>
      <c r="Q24" s="12" t="e">
        <f>(Original_VA!#REF!/Original_VA!#REF!-1)*100</f>
        <v>#REF!</v>
      </c>
      <c r="R24" s="12" t="e">
        <f>(Original_VA!#REF!/Original_VA!#REF!-1)*100</f>
        <v>#REF!</v>
      </c>
      <c r="S24" s="12" t="e">
        <f>(Original_VA!#REF!/Original_VA!#REF!-1)*100</f>
        <v>#REF!</v>
      </c>
      <c r="T24" s="12" t="e">
        <f>(Original_VA!#REF!/Original_VA!#REF!-1)*100</f>
        <v>#REF!</v>
      </c>
      <c r="U24" s="12" t="e">
        <f>(Original_VA!#REF!/Original_VA!#REF!-1)*100</f>
        <v>#REF!</v>
      </c>
      <c r="V24" s="12" t="e">
        <f>(Original_VA!#REF!/Original_VA!#REF!-1)*100</f>
        <v>#REF!</v>
      </c>
      <c r="W24" s="12" t="e">
        <f>(Original_VA!#REF!/Original_VA!#REF!-1)*100</f>
        <v>#REF!</v>
      </c>
      <c r="X24" s="12" t="e">
        <f>(Original_VA!#REF!/Original_VA!#REF!-1)*100</f>
        <v>#REF!</v>
      </c>
      <c r="Y24" s="12" t="e">
        <f>(Original_VA!#REF!/Original_VA!#REF!-1)*100</f>
        <v>#REF!</v>
      </c>
      <c r="Z24" s="12" t="e">
        <f>(Original_VA!#REF!/Original_VA!#REF!-1)*100</f>
        <v>#REF!</v>
      </c>
      <c r="AA24" s="12" t="e">
        <f>(Original_VA!#REF!/Original_VA!#REF!-1)*100</f>
        <v>#REF!</v>
      </c>
      <c r="AB24" s="12" t="e">
        <f>(Original_VA!#REF!/Original_VA!#REF!-1)*100</f>
        <v>#REF!</v>
      </c>
      <c r="AD24" s="7"/>
    </row>
    <row r="25" spans="1:30" ht="15" customHeight="1" x14ac:dyDescent="0.25">
      <c r="A25" s="4" t="s">
        <v>20</v>
      </c>
      <c r="C25" s="6"/>
      <c r="D25" s="6"/>
      <c r="E25" s="6"/>
      <c r="F25" s="6"/>
      <c r="G25" s="12" t="e">
        <f>(Original_VA!#REF!/Original_VA!#REF!-1)*100</f>
        <v>#REF!</v>
      </c>
      <c r="H25" s="12" t="e">
        <f>(Original_VA!#REF!/Original_VA!#REF!-1)*100</f>
        <v>#REF!</v>
      </c>
      <c r="I25" s="12" t="e">
        <f>(Original_VA!#REF!/Original_VA!#REF!-1)*100</f>
        <v>#REF!</v>
      </c>
      <c r="J25" s="12" t="e">
        <f>(Original_VA!#REF!/Original_VA!#REF!-1)*100</f>
        <v>#REF!</v>
      </c>
      <c r="K25" s="12" t="e">
        <f>(Original_VA!#REF!/Original_VA!#REF!-1)*100</f>
        <v>#REF!</v>
      </c>
      <c r="L25" s="12" t="e">
        <f>(Original_VA!#REF!/Original_VA!#REF!-1)*100</f>
        <v>#REF!</v>
      </c>
      <c r="M25" s="12" t="e">
        <f>(Original_VA!#REF!/Original_VA!#REF!-1)*100</f>
        <v>#REF!</v>
      </c>
      <c r="N25" s="12" t="e">
        <f>(Original_VA!#REF!/Original_VA!#REF!-1)*100</f>
        <v>#REF!</v>
      </c>
      <c r="O25" s="12" t="e">
        <f>(Original_VA!#REF!/Original_VA!#REF!-1)*100</f>
        <v>#REF!</v>
      </c>
      <c r="P25" s="12" t="e">
        <f>(Original_VA!#REF!/Original_VA!#REF!-1)*100</f>
        <v>#REF!</v>
      </c>
      <c r="Q25" s="12" t="e">
        <f>(Original_VA!#REF!/Original_VA!#REF!-1)*100</f>
        <v>#REF!</v>
      </c>
      <c r="R25" s="12" t="e">
        <f>(Original_VA!#REF!/Original_VA!#REF!-1)*100</f>
        <v>#REF!</v>
      </c>
      <c r="S25" s="12" t="e">
        <f>(Original_VA!#REF!/Original_VA!#REF!-1)*100</f>
        <v>#REF!</v>
      </c>
      <c r="T25" s="12" t="e">
        <f>(Original_VA!#REF!/Original_VA!#REF!-1)*100</f>
        <v>#REF!</v>
      </c>
      <c r="U25" s="12" t="e">
        <f>(Original_VA!#REF!/Original_VA!#REF!-1)*100</f>
        <v>#REF!</v>
      </c>
      <c r="V25" s="12" t="e">
        <f>(Original_VA!#REF!/Original_VA!#REF!-1)*100</f>
        <v>#REF!</v>
      </c>
      <c r="W25" s="12" t="e">
        <f>(Original_VA!#REF!/Original_VA!#REF!-1)*100</f>
        <v>#REF!</v>
      </c>
      <c r="X25" s="12" t="e">
        <f>(Original_VA!#REF!/Original_VA!#REF!-1)*100</f>
        <v>#REF!</v>
      </c>
      <c r="Y25" s="12" t="e">
        <f>(Original_VA!#REF!/Original_VA!#REF!-1)*100</f>
        <v>#REF!</v>
      </c>
      <c r="Z25" s="12" t="e">
        <f>(Original_VA!#REF!/Original_VA!#REF!-1)*100</f>
        <v>#REF!</v>
      </c>
      <c r="AA25" s="12" t="e">
        <f>(Original_VA!#REF!/Original_VA!#REF!-1)*100</f>
        <v>#REF!</v>
      </c>
      <c r="AB25" s="12" t="e">
        <f>(Original_VA!#REF!/Original_VA!#REF!-1)*100</f>
        <v>#REF!</v>
      </c>
      <c r="AD25" s="7"/>
    </row>
    <row r="26" spans="1:30" ht="15" customHeight="1" x14ac:dyDescent="0.25">
      <c r="A26" s="4" t="s">
        <v>21</v>
      </c>
      <c r="C26" s="6"/>
      <c r="D26" s="6"/>
      <c r="E26" s="6"/>
      <c r="F26" s="6"/>
      <c r="G26" s="12" t="e">
        <f>(Original_VA!#REF!/Original_VA!#REF!-1)*100</f>
        <v>#REF!</v>
      </c>
      <c r="H26" s="12" t="e">
        <f>(Original_VA!#REF!/Original_VA!#REF!-1)*100</f>
        <v>#REF!</v>
      </c>
      <c r="I26" s="12" t="e">
        <f>(Original_VA!#REF!/Original_VA!#REF!-1)*100</f>
        <v>#REF!</v>
      </c>
      <c r="J26" s="12" t="e">
        <f>(Original_VA!#REF!/Original_VA!#REF!-1)*100</f>
        <v>#REF!</v>
      </c>
      <c r="K26" s="12" t="e">
        <f>(Original_VA!#REF!/Original_VA!#REF!-1)*100</f>
        <v>#REF!</v>
      </c>
      <c r="L26" s="12" t="e">
        <f>(Original_VA!#REF!/Original_VA!#REF!-1)*100</f>
        <v>#REF!</v>
      </c>
      <c r="M26" s="12" t="e">
        <f>(Original_VA!#REF!/Original_VA!#REF!-1)*100</f>
        <v>#REF!</v>
      </c>
      <c r="N26" s="12" t="e">
        <f>(Original_VA!#REF!/Original_VA!#REF!-1)*100</f>
        <v>#REF!</v>
      </c>
      <c r="O26" s="12" t="e">
        <f>(Original_VA!#REF!/Original_VA!#REF!-1)*100</f>
        <v>#REF!</v>
      </c>
      <c r="P26" s="12" t="e">
        <f>(Original_VA!#REF!/Original_VA!#REF!-1)*100</f>
        <v>#REF!</v>
      </c>
      <c r="Q26" s="12" t="e">
        <f>(Original_VA!#REF!/Original_VA!#REF!-1)*100</f>
        <v>#REF!</v>
      </c>
      <c r="R26" s="12" t="e">
        <f>(Original_VA!#REF!/Original_VA!#REF!-1)*100</f>
        <v>#REF!</v>
      </c>
      <c r="S26" s="12" t="e">
        <f>(Original_VA!#REF!/Original_VA!#REF!-1)*100</f>
        <v>#REF!</v>
      </c>
      <c r="T26" s="12" t="e">
        <f>(Original_VA!#REF!/Original_VA!#REF!-1)*100</f>
        <v>#REF!</v>
      </c>
      <c r="U26" s="12" t="e">
        <f>(Original_VA!#REF!/Original_VA!#REF!-1)*100</f>
        <v>#REF!</v>
      </c>
      <c r="V26" s="12" t="e">
        <f>(Original_VA!#REF!/Original_VA!#REF!-1)*100</f>
        <v>#REF!</v>
      </c>
      <c r="W26" s="12" t="e">
        <f>(Original_VA!#REF!/Original_VA!#REF!-1)*100</f>
        <v>#REF!</v>
      </c>
      <c r="X26" s="12" t="e">
        <f>(Original_VA!#REF!/Original_VA!#REF!-1)*100</f>
        <v>#REF!</v>
      </c>
      <c r="Y26" s="12" t="e">
        <f>(Original_VA!#REF!/Original_VA!#REF!-1)*100</f>
        <v>#REF!</v>
      </c>
      <c r="Z26" s="12" t="e">
        <f>(Original_VA!#REF!/Original_VA!#REF!-1)*100</f>
        <v>#REF!</v>
      </c>
      <c r="AA26" s="12" t="e">
        <f>(Original_VA!#REF!/Original_VA!#REF!-1)*100</f>
        <v>#REF!</v>
      </c>
      <c r="AB26" s="12" t="e">
        <f>(Original_VA!#REF!/Original_VA!#REF!-1)*100</f>
        <v>#REF!</v>
      </c>
      <c r="AD26" s="7"/>
    </row>
    <row r="27" spans="1:30" ht="15" customHeight="1" x14ac:dyDescent="0.25">
      <c r="A27" s="4" t="s">
        <v>22</v>
      </c>
      <c r="C27" s="6"/>
      <c r="D27" s="6"/>
      <c r="E27" s="6"/>
      <c r="F27" s="6"/>
      <c r="G27" s="12" t="e">
        <f>(Original_VA!#REF!/Original_VA!#REF!-1)*100</f>
        <v>#REF!</v>
      </c>
      <c r="H27" s="12" t="e">
        <f>(Original_VA!#REF!/Original_VA!#REF!-1)*100</f>
        <v>#REF!</v>
      </c>
      <c r="I27" s="12" t="e">
        <f>(Original_VA!#REF!/Original_VA!#REF!-1)*100</f>
        <v>#REF!</v>
      </c>
      <c r="J27" s="12" t="e">
        <f>(Original_VA!#REF!/Original_VA!#REF!-1)*100</f>
        <v>#REF!</v>
      </c>
      <c r="K27" s="12" t="e">
        <f>(Original_VA!#REF!/Original_VA!#REF!-1)*100</f>
        <v>#REF!</v>
      </c>
      <c r="L27" s="12" t="e">
        <f>(Original_VA!#REF!/Original_VA!#REF!-1)*100</f>
        <v>#REF!</v>
      </c>
      <c r="M27" s="12" t="e">
        <f>(Original_VA!#REF!/Original_VA!#REF!-1)*100</f>
        <v>#REF!</v>
      </c>
      <c r="N27" s="12" t="e">
        <f>(Original_VA!#REF!/Original_VA!#REF!-1)*100</f>
        <v>#REF!</v>
      </c>
      <c r="O27" s="12" t="e">
        <f>(Original_VA!#REF!/Original_VA!#REF!-1)*100</f>
        <v>#REF!</v>
      </c>
      <c r="P27" s="12" t="e">
        <f>(Original_VA!#REF!/Original_VA!#REF!-1)*100</f>
        <v>#REF!</v>
      </c>
      <c r="Q27" s="12" t="e">
        <f>(Original_VA!#REF!/Original_VA!#REF!-1)*100</f>
        <v>#REF!</v>
      </c>
      <c r="R27" s="12" t="e">
        <f>(Original_VA!#REF!/Original_VA!#REF!-1)*100</f>
        <v>#REF!</v>
      </c>
      <c r="S27" s="12" t="e">
        <f>(Original_VA!#REF!/Original_VA!#REF!-1)*100</f>
        <v>#REF!</v>
      </c>
      <c r="T27" s="12" t="e">
        <f>(Original_VA!#REF!/Original_VA!#REF!-1)*100</f>
        <v>#REF!</v>
      </c>
      <c r="U27" s="12" t="e">
        <f>(Original_VA!#REF!/Original_VA!#REF!-1)*100</f>
        <v>#REF!</v>
      </c>
      <c r="V27" s="12" t="e">
        <f>(Original_VA!#REF!/Original_VA!#REF!-1)*100</f>
        <v>#REF!</v>
      </c>
      <c r="W27" s="12" t="e">
        <f>(Original_VA!#REF!/Original_VA!#REF!-1)*100</f>
        <v>#REF!</v>
      </c>
      <c r="X27" s="12" t="e">
        <f>(Original_VA!#REF!/Original_VA!#REF!-1)*100</f>
        <v>#REF!</v>
      </c>
      <c r="Y27" s="12" t="e">
        <f>(Original_VA!#REF!/Original_VA!#REF!-1)*100</f>
        <v>#REF!</v>
      </c>
      <c r="Z27" s="12" t="e">
        <f>(Original_VA!#REF!/Original_VA!#REF!-1)*100</f>
        <v>#REF!</v>
      </c>
      <c r="AA27" s="12" t="e">
        <f>(Original_VA!#REF!/Original_VA!#REF!-1)*100</f>
        <v>#REF!</v>
      </c>
      <c r="AB27" s="12" t="e">
        <f>(Original_VA!#REF!/Original_VA!#REF!-1)*100</f>
        <v>#REF!</v>
      </c>
      <c r="AD27" s="7"/>
    </row>
    <row r="28" spans="1:30" ht="15" customHeight="1" x14ac:dyDescent="0.25">
      <c r="A28" s="4" t="s">
        <v>23</v>
      </c>
      <c r="C28" s="6"/>
      <c r="D28" s="6"/>
      <c r="E28" s="6"/>
      <c r="F28" s="6"/>
      <c r="G28" s="12" t="e">
        <f>(Original_VA!#REF!/Original_VA!#REF!-1)*100</f>
        <v>#REF!</v>
      </c>
      <c r="H28" s="12" t="e">
        <f>(Original_VA!#REF!/Original_VA!#REF!-1)*100</f>
        <v>#REF!</v>
      </c>
      <c r="I28" s="12" t="e">
        <f>(Original_VA!#REF!/Original_VA!#REF!-1)*100</f>
        <v>#REF!</v>
      </c>
      <c r="J28" s="12" t="e">
        <f>(Original_VA!#REF!/Original_VA!#REF!-1)*100</f>
        <v>#REF!</v>
      </c>
      <c r="K28" s="12" t="e">
        <f>(Original_VA!#REF!/Original_VA!#REF!-1)*100</f>
        <v>#REF!</v>
      </c>
      <c r="L28" s="12" t="e">
        <f>(Original_VA!#REF!/Original_VA!#REF!-1)*100</f>
        <v>#REF!</v>
      </c>
      <c r="M28" s="12" t="e">
        <f>(Original_VA!#REF!/Original_VA!#REF!-1)*100</f>
        <v>#REF!</v>
      </c>
      <c r="N28" s="12" t="e">
        <f>(Original_VA!#REF!/Original_VA!#REF!-1)*100</f>
        <v>#REF!</v>
      </c>
      <c r="O28" s="12" t="e">
        <f>(Original_VA!#REF!/Original_VA!#REF!-1)*100</f>
        <v>#REF!</v>
      </c>
      <c r="P28" s="12" t="e">
        <f>(Original_VA!#REF!/Original_VA!#REF!-1)*100</f>
        <v>#REF!</v>
      </c>
      <c r="Q28" s="12" t="e">
        <f>(Original_VA!#REF!/Original_VA!#REF!-1)*100</f>
        <v>#REF!</v>
      </c>
      <c r="R28" s="12" t="e">
        <f>(Original_VA!#REF!/Original_VA!#REF!-1)*100</f>
        <v>#REF!</v>
      </c>
      <c r="S28" s="12" t="e">
        <f>(Original_VA!#REF!/Original_VA!#REF!-1)*100</f>
        <v>#REF!</v>
      </c>
      <c r="T28" s="12" t="e">
        <f>(Original_VA!#REF!/Original_VA!#REF!-1)*100</f>
        <v>#REF!</v>
      </c>
      <c r="U28" s="12" t="e">
        <f>(Original_VA!#REF!/Original_VA!#REF!-1)*100</f>
        <v>#REF!</v>
      </c>
      <c r="V28" s="12" t="e">
        <f>(Original_VA!#REF!/Original_VA!#REF!-1)*100</f>
        <v>#REF!</v>
      </c>
      <c r="W28" s="12" t="e">
        <f>(Original_VA!#REF!/Original_VA!#REF!-1)*100</f>
        <v>#REF!</v>
      </c>
      <c r="X28" s="12" t="e">
        <f>(Original_VA!#REF!/Original_VA!#REF!-1)*100</f>
        <v>#REF!</v>
      </c>
      <c r="Y28" s="12" t="e">
        <f>(Original_VA!#REF!/Original_VA!#REF!-1)*100</f>
        <v>#REF!</v>
      </c>
      <c r="Z28" s="12" t="e">
        <f>(Original_VA!#REF!/Original_VA!#REF!-1)*100</f>
        <v>#REF!</v>
      </c>
      <c r="AA28" s="12" t="e">
        <f>(Original_VA!#REF!/Original_VA!#REF!-1)*100</f>
        <v>#REF!</v>
      </c>
      <c r="AB28" s="12" t="e">
        <f>(Original_VA!#REF!/Original_VA!#REF!-1)*100</f>
        <v>#REF!</v>
      </c>
      <c r="AD28" s="7"/>
    </row>
    <row r="29" spans="1:30" ht="15" customHeight="1" x14ac:dyDescent="0.25">
      <c r="A29" s="4" t="s">
        <v>24</v>
      </c>
      <c r="C29" s="6"/>
      <c r="D29" s="6"/>
      <c r="E29" s="6"/>
      <c r="F29" s="6"/>
      <c r="G29" s="12" t="e">
        <f>(Original_VA!#REF!/Original_VA!#REF!-1)*100</f>
        <v>#REF!</v>
      </c>
      <c r="H29" s="12" t="e">
        <f>(Original_VA!#REF!/Original_VA!#REF!-1)*100</f>
        <v>#REF!</v>
      </c>
      <c r="I29" s="12" t="e">
        <f>(Original_VA!#REF!/Original_VA!#REF!-1)*100</f>
        <v>#REF!</v>
      </c>
      <c r="J29" s="12" t="e">
        <f>(Original_VA!#REF!/Original_VA!#REF!-1)*100</f>
        <v>#REF!</v>
      </c>
      <c r="K29" s="12" t="e">
        <f>(Original_VA!#REF!/Original_VA!#REF!-1)*100</f>
        <v>#REF!</v>
      </c>
      <c r="L29" s="12" t="e">
        <f>(Original_VA!#REF!/Original_VA!#REF!-1)*100</f>
        <v>#REF!</v>
      </c>
      <c r="M29" s="12" t="e">
        <f>(Original_VA!#REF!/Original_VA!#REF!-1)*100</f>
        <v>#REF!</v>
      </c>
      <c r="N29" s="12" t="e">
        <f>(Original_VA!#REF!/Original_VA!#REF!-1)*100</f>
        <v>#REF!</v>
      </c>
      <c r="O29" s="12" t="e">
        <f>(Original_VA!#REF!/Original_VA!#REF!-1)*100</f>
        <v>#REF!</v>
      </c>
      <c r="P29" s="12" t="e">
        <f>(Original_VA!#REF!/Original_VA!#REF!-1)*100</f>
        <v>#REF!</v>
      </c>
      <c r="Q29" s="12" t="e">
        <f>(Original_VA!#REF!/Original_VA!#REF!-1)*100</f>
        <v>#REF!</v>
      </c>
      <c r="R29" s="12" t="e">
        <f>(Original_VA!#REF!/Original_VA!#REF!-1)*100</f>
        <v>#REF!</v>
      </c>
      <c r="S29" s="12" t="e">
        <f>(Original_VA!#REF!/Original_VA!#REF!-1)*100</f>
        <v>#REF!</v>
      </c>
      <c r="T29" s="12" t="e">
        <f>(Original_VA!#REF!/Original_VA!#REF!-1)*100</f>
        <v>#REF!</v>
      </c>
      <c r="U29" s="12" t="e">
        <f>(Original_VA!#REF!/Original_VA!#REF!-1)*100</f>
        <v>#REF!</v>
      </c>
      <c r="V29" s="12" t="e">
        <f>(Original_VA!#REF!/Original_VA!#REF!-1)*100</f>
        <v>#REF!</v>
      </c>
      <c r="W29" s="12" t="e">
        <f>(Original_VA!#REF!/Original_VA!#REF!-1)*100</f>
        <v>#REF!</v>
      </c>
      <c r="X29" s="12" t="e">
        <f>(Original_VA!#REF!/Original_VA!#REF!-1)*100</f>
        <v>#REF!</v>
      </c>
      <c r="Y29" s="12" t="e">
        <f>(Original_VA!#REF!/Original_VA!#REF!-1)*100</f>
        <v>#REF!</v>
      </c>
      <c r="Z29" s="12" t="e">
        <f>(Original_VA!#REF!/Original_VA!#REF!-1)*100</f>
        <v>#REF!</v>
      </c>
      <c r="AA29" s="12" t="e">
        <f>(Original_VA!#REF!/Original_VA!#REF!-1)*100</f>
        <v>#REF!</v>
      </c>
      <c r="AB29" s="12" t="e">
        <f>(Original_VA!#REF!/Original_VA!#REF!-1)*100</f>
        <v>#REF!</v>
      </c>
      <c r="AD29" s="7"/>
    </row>
    <row r="30" spans="1:30" ht="15" customHeight="1" x14ac:dyDescent="0.25">
      <c r="A30" s="4" t="s">
        <v>25</v>
      </c>
      <c r="C30" s="6"/>
      <c r="D30" s="6"/>
      <c r="E30" s="6"/>
      <c r="F30" s="6"/>
      <c r="G30" s="12" t="e">
        <f>(Original_VA!#REF!/Original_VA!#REF!-1)*100</f>
        <v>#REF!</v>
      </c>
      <c r="H30" s="12" t="e">
        <f>(Original_VA!#REF!/Original_VA!#REF!-1)*100</f>
        <v>#REF!</v>
      </c>
      <c r="I30" s="12" t="e">
        <f>(Original_VA!#REF!/Original_VA!#REF!-1)*100</f>
        <v>#REF!</v>
      </c>
      <c r="J30" s="12" t="e">
        <f>(Original_VA!#REF!/Original_VA!#REF!-1)*100</f>
        <v>#REF!</v>
      </c>
      <c r="K30" s="12" t="e">
        <f>(Original_VA!#REF!/Original_VA!#REF!-1)*100</f>
        <v>#REF!</v>
      </c>
      <c r="L30" s="12" t="e">
        <f>(Original_VA!#REF!/Original_VA!#REF!-1)*100</f>
        <v>#REF!</v>
      </c>
      <c r="M30" s="12" t="e">
        <f>(Original_VA!#REF!/Original_VA!#REF!-1)*100</f>
        <v>#REF!</v>
      </c>
      <c r="N30" s="12" t="e">
        <f>(Original_VA!#REF!/Original_VA!#REF!-1)*100</f>
        <v>#REF!</v>
      </c>
      <c r="O30" s="12" t="e">
        <f>(Original_VA!#REF!/Original_VA!#REF!-1)*100</f>
        <v>#REF!</v>
      </c>
      <c r="P30" s="12" t="e">
        <f>(Original_VA!#REF!/Original_VA!#REF!-1)*100</f>
        <v>#REF!</v>
      </c>
      <c r="Q30" s="12" t="e">
        <f>(Original_VA!#REF!/Original_VA!#REF!-1)*100</f>
        <v>#REF!</v>
      </c>
      <c r="R30" s="12" t="e">
        <f>(Original_VA!#REF!/Original_VA!#REF!-1)*100</f>
        <v>#REF!</v>
      </c>
      <c r="S30" s="12" t="e">
        <f>(Original_VA!#REF!/Original_VA!#REF!-1)*100</f>
        <v>#REF!</v>
      </c>
      <c r="T30" s="12" t="e">
        <f>(Original_VA!#REF!/Original_VA!#REF!-1)*100</f>
        <v>#REF!</v>
      </c>
      <c r="U30" s="12" t="e">
        <f>(Original_VA!#REF!/Original_VA!#REF!-1)*100</f>
        <v>#REF!</v>
      </c>
      <c r="V30" s="12" t="e">
        <f>(Original_VA!#REF!/Original_VA!#REF!-1)*100</f>
        <v>#REF!</v>
      </c>
      <c r="W30" s="12" t="e">
        <f>(Original_VA!#REF!/Original_VA!#REF!-1)*100</f>
        <v>#REF!</v>
      </c>
      <c r="X30" s="12" t="e">
        <f>(Original_VA!#REF!/Original_VA!#REF!-1)*100</f>
        <v>#REF!</v>
      </c>
      <c r="Y30" s="12" t="e">
        <f>(Original_VA!#REF!/Original_VA!#REF!-1)*100</f>
        <v>#REF!</v>
      </c>
      <c r="Z30" s="12" t="e">
        <f>(Original_VA!#REF!/Original_VA!#REF!-1)*100</f>
        <v>#REF!</v>
      </c>
      <c r="AA30" s="12" t="e">
        <f>(Original_VA!#REF!/Original_VA!#REF!-1)*100</f>
        <v>#REF!</v>
      </c>
      <c r="AB30" s="12" t="e">
        <f>(Original_VA!#REF!/Original_VA!#REF!-1)*100</f>
        <v>#REF!</v>
      </c>
      <c r="AD30" s="7"/>
    </row>
    <row r="31" spans="1:30" ht="15" customHeight="1" x14ac:dyDescent="0.25">
      <c r="A31" s="4" t="s">
        <v>26</v>
      </c>
      <c r="C31" s="6"/>
      <c r="D31" s="6"/>
      <c r="E31" s="6"/>
      <c r="F31" s="6"/>
      <c r="G31" s="12" t="e">
        <f>(Original_VA!#REF!/Original_VA!#REF!-1)*100</f>
        <v>#REF!</v>
      </c>
      <c r="H31" s="12" t="e">
        <f>(Original_VA!#REF!/Original_VA!#REF!-1)*100</f>
        <v>#REF!</v>
      </c>
      <c r="I31" s="12" t="e">
        <f>(Original_VA!#REF!/Original_VA!#REF!-1)*100</f>
        <v>#REF!</v>
      </c>
      <c r="J31" s="12" t="e">
        <f>(Original_VA!#REF!/Original_VA!#REF!-1)*100</f>
        <v>#REF!</v>
      </c>
      <c r="K31" s="12" t="e">
        <f>(Original_VA!#REF!/Original_VA!#REF!-1)*100</f>
        <v>#REF!</v>
      </c>
      <c r="L31" s="12" t="e">
        <f>(Original_VA!#REF!/Original_VA!#REF!-1)*100</f>
        <v>#REF!</v>
      </c>
      <c r="M31" s="12" t="e">
        <f>(Original_VA!#REF!/Original_VA!#REF!-1)*100</f>
        <v>#REF!</v>
      </c>
      <c r="N31" s="12" t="e">
        <f>(Original_VA!#REF!/Original_VA!#REF!-1)*100</f>
        <v>#REF!</v>
      </c>
      <c r="O31" s="12" t="e">
        <f>(Original_VA!#REF!/Original_VA!#REF!-1)*100</f>
        <v>#REF!</v>
      </c>
      <c r="P31" s="12" t="e">
        <f>(Original_VA!#REF!/Original_VA!#REF!-1)*100</f>
        <v>#REF!</v>
      </c>
      <c r="Q31" s="12" t="e">
        <f>(Original_VA!#REF!/Original_VA!#REF!-1)*100</f>
        <v>#REF!</v>
      </c>
      <c r="R31" s="12" t="e">
        <f>(Original_VA!#REF!/Original_VA!#REF!-1)*100</f>
        <v>#REF!</v>
      </c>
      <c r="S31" s="12" t="e">
        <f>(Original_VA!#REF!/Original_VA!#REF!-1)*100</f>
        <v>#REF!</v>
      </c>
      <c r="T31" s="12" t="e">
        <f>(Original_VA!#REF!/Original_VA!#REF!-1)*100</f>
        <v>#REF!</v>
      </c>
      <c r="U31" s="12" t="e">
        <f>(Original_VA!#REF!/Original_VA!#REF!-1)*100</f>
        <v>#REF!</v>
      </c>
      <c r="V31" s="12" t="e">
        <f>(Original_VA!#REF!/Original_VA!#REF!-1)*100</f>
        <v>#REF!</v>
      </c>
      <c r="W31" s="12" t="e">
        <f>(Original_VA!#REF!/Original_VA!#REF!-1)*100</f>
        <v>#REF!</v>
      </c>
      <c r="X31" s="12" t="e">
        <f>(Original_VA!#REF!/Original_VA!#REF!-1)*100</f>
        <v>#REF!</v>
      </c>
      <c r="Y31" s="12" t="e">
        <f>(Original_VA!#REF!/Original_VA!#REF!-1)*100</f>
        <v>#REF!</v>
      </c>
      <c r="Z31" s="12" t="e">
        <f>(Original_VA!#REF!/Original_VA!#REF!-1)*100</f>
        <v>#REF!</v>
      </c>
      <c r="AA31" s="12" t="e">
        <f>(Original_VA!#REF!/Original_VA!#REF!-1)*100</f>
        <v>#REF!</v>
      </c>
      <c r="AB31" s="12" t="e">
        <f>(Original_VA!#REF!/Original_VA!#REF!-1)*100</f>
        <v>#REF!</v>
      </c>
      <c r="AD31" s="7"/>
    </row>
    <row r="32" spans="1:30" ht="15" customHeight="1" x14ac:dyDescent="0.25">
      <c r="A32" s="4" t="s">
        <v>27</v>
      </c>
      <c r="B32" s="4"/>
      <c r="C32" s="6"/>
      <c r="D32" s="6"/>
      <c r="E32" s="6"/>
      <c r="F32" s="6"/>
      <c r="G32" s="12" t="e">
        <f>(Original_VA!#REF!/Original_VA!#REF!-1)*100</f>
        <v>#REF!</v>
      </c>
      <c r="H32" s="12" t="e">
        <f>(Original_VA!#REF!/Original_VA!#REF!-1)*100</f>
        <v>#REF!</v>
      </c>
      <c r="I32" s="12" t="e">
        <f>(Original_VA!#REF!/Original_VA!#REF!-1)*100</f>
        <v>#REF!</v>
      </c>
      <c r="J32" s="12" t="e">
        <f>(Original_VA!#REF!/Original_VA!#REF!-1)*100</f>
        <v>#REF!</v>
      </c>
      <c r="K32" s="12" t="e">
        <f>(Original_VA!#REF!/Original_VA!#REF!-1)*100</f>
        <v>#REF!</v>
      </c>
      <c r="L32" s="12" t="e">
        <f>(Original_VA!#REF!/Original_VA!#REF!-1)*100</f>
        <v>#REF!</v>
      </c>
      <c r="M32" s="12" t="e">
        <f>(Original_VA!#REF!/Original_VA!#REF!-1)*100</f>
        <v>#REF!</v>
      </c>
      <c r="N32" s="12" t="e">
        <f>(Original_VA!#REF!/Original_VA!#REF!-1)*100</f>
        <v>#REF!</v>
      </c>
      <c r="O32" s="12" t="e">
        <f>(Original_VA!#REF!/Original_VA!#REF!-1)*100</f>
        <v>#REF!</v>
      </c>
      <c r="P32" s="12" t="e">
        <f>(Original_VA!#REF!/Original_VA!#REF!-1)*100</f>
        <v>#REF!</v>
      </c>
      <c r="Q32" s="12" t="e">
        <f>(Original_VA!#REF!/Original_VA!#REF!-1)*100</f>
        <v>#REF!</v>
      </c>
      <c r="R32" s="12" t="e">
        <f>(Original_VA!#REF!/Original_VA!#REF!-1)*100</f>
        <v>#REF!</v>
      </c>
      <c r="S32" s="12" t="e">
        <f>(Original_VA!#REF!/Original_VA!#REF!-1)*100</f>
        <v>#REF!</v>
      </c>
      <c r="T32" s="12" t="e">
        <f>(Original_VA!#REF!/Original_VA!#REF!-1)*100</f>
        <v>#REF!</v>
      </c>
      <c r="U32" s="12" t="e">
        <f>(Original_VA!#REF!/Original_VA!#REF!-1)*100</f>
        <v>#REF!</v>
      </c>
      <c r="V32" s="12" t="e">
        <f>(Original_VA!#REF!/Original_VA!#REF!-1)*100</f>
        <v>#REF!</v>
      </c>
      <c r="W32" s="12" t="e">
        <f>(Original_VA!#REF!/Original_VA!#REF!-1)*100</f>
        <v>#REF!</v>
      </c>
      <c r="X32" s="12" t="e">
        <f>(Original_VA!#REF!/Original_VA!#REF!-1)*100</f>
        <v>#REF!</v>
      </c>
      <c r="Y32" s="12" t="e">
        <f>(Original_VA!#REF!/Original_VA!#REF!-1)*100</f>
        <v>#REF!</v>
      </c>
      <c r="Z32" s="12" t="e">
        <f>(Original_VA!#REF!/Original_VA!#REF!-1)*100</f>
        <v>#REF!</v>
      </c>
      <c r="AA32" s="12" t="e">
        <f>(Original_VA!#REF!/Original_VA!#REF!-1)*100</f>
        <v>#REF!</v>
      </c>
      <c r="AB32" s="12" t="e">
        <f>(Original_VA!#REF!/Original_VA!#REF!-1)*100</f>
        <v>#REF!</v>
      </c>
      <c r="AD32" s="7"/>
    </row>
    <row r="33" spans="1:30" ht="15" customHeight="1" x14ac:dyDescent="0.25">
      <c r="A33" s="4" t="s">
        <v>28</v>
      </c>
      <c r="B33" s="4"/>
      <c r="C33" s="6"/>
      <c r="D33" s="6"/>
      <c r="E33" s="6"/>
      <c r="F33" s="6"/>
      <c r="G33" s="12" t="e">
        <f>(Original_VA!#REF!/Original_VA!#REF!-1)*100</f>
        <v>#REF!</v>
      </c>
      <c r="H33" s="12" t="e">
        <f>(Original_VA!#REF!/Original_VA!#REF!-1)*100</f>
        <v>#REF!</v>
      </c>
      <c r="I33" s="12" t="e">
        <f>(Original_VA!#REF!/Original_VA!#REF!-1)*100</f>
        <v>#REF!</v>
      </c>
      <c r="J33" s="12" t="e">
        <f>(Original_VA!#REF!/Original_VA!#REF!-1)*100</f>
        <v>#REF!</v>
      </c>
      <c r="K33" s="12" t="e">
        <f>(Original_VA!#REF!/Original_VA!#REF!-1)*100</f>
        <v>#REF!</v>
      </c>
      <c r="L33" s="12" t="e">
        <f>(Original_VA!#REF!/Original_VA!#REF!-1)*100</f>
        <v>#REF!</v>
      </c>
      <c r="M33" s="12" t="e">
        <f>(Original_VA!#REF!/Original_VA!#REF!-1)*100</f>
        <v>#REF!</v>
      </c>
      <c r="N33" s="12" t="e">
        <f>(Original_VA!#REF!/Original_VA!#REF!-1)*100</f>
        <v>#REF!</v>
      </c>
      <c r="O33" s="12" t="e">
        <f>(Original_VA!#REF!/Original_VA!#REF!-1)*100</f>
        <v>#REF!</v>
      </c>
      <c r="P33" s="12" t="e">
        <f>(Original_VA!#REF!/Original_VA!#REF!-1)*100</f>
        <v>#REF!</v>
      </c>
      <c r="Q33" s="12" t="e">
        <f>(Original_VA!#REF!/Original_VA!#REF!-1)*100</f>
        <v>#REF!</v>
      </c>
      <c r="R33" s="12" t="e">
        <f>(Original_VA!#REF!/Original_VA!#REF!-1)*100</f>
        <v>#REF!</v>
      </c>
      <c r="S33" s="12" t="e">
        <f>(Original_VA!#REF!/Original_VA!#REF!-1)*100</f>
        <v>#REF!</v>
      </c>
      <c r="T33" s="12" t="e">
        <f>(Original_VA!#REF!/Original_VA!#REF!-1)*100</f>
        <v>#REF!</v>
      </c>
      <c r="U33" s="12" t="e">
        <f>(Original_VA!#REF!/Original_VA!#REF!-1)*100</f>
        <v>#REF!</v>
      </c>
      <c r="V33" s="12" t="e">
        <f>(Original_VA!#REF!/Original_VA!#REF!-1)*100</f>
        <v>#REF!</v>
      </c>
      <c r="W33" s="12" t="e">
        <f>(Original_VA!#REF!/Original_VA!#REF!-1)*100</f>
        <v>#REF!</v>
      </c>
      <c r="X33" s="12" t="e">
        <f>(Original_VA!#REF!/Original_VA!#REF!-1)*100</f>
        <v>#REF!</v>
      </c>
      <c r="Y33" s="12" t="e">
        <f>(Original_VA!#REF!/Original_VA!#REF!-1)*100</f>
        <v>#REF!</v>
      </c>
      <c r="Z33" s="12" t="e">
        <f>(Original_VA!#REF!/Original_VA!#REF!-1)*100</f>
        <v>#REF!</v>
      </c>
      <c r="AA33" s="12" t="e">
        <f>(Original_VA!#REF!/Original_VA!#REF!-1)*100</f>
        <v>#REF!</v>
      </c>
      <c r="AB33" s="12" t="e">
        <f>(Original_VA!#REF!/Original_VA!#REF!-1)*100</f>
        <v>#REF!</v>
      </c>
      <c r="AD33" s="7"/>
    </row>
    <row r="34" spans="1:30" ht="6" customHeight="1" x14ac:dyDescent="0.25">
      <c r="A34" s="4"/>
      <c r="B34" s="4"/>
      <c r="C34" s="6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D34" s="7"/>
    </row>
    <row r="35" spans="1:30" ht="21.75" customHeight="1" x14ac:dyDescent="0.25">
      <c r="A35" s="1" t="s">
        <v>29</v>
      </c>
      <c r="B35" s="1"/>
      <c r="C35" s="6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D35" s="7"/>
    </row>
    <row r="36" spans="1:30" ht="15" customHeight="1" x14ac:dyDescent="0.25">
      <c r="A36" s="3" t="s">
        <v>30</v>
      </c>
      <c r="B36" s="3"/>
      <c r="C36" s="6"/>
      <c r="D36" s="6"/>
      <c r="E36" s="6"/>
      <c r="F36" s="6"/>
      <c r="G36" s="12" t="e">
        <f>(Original_VA!#REF!/Original_VA!#REF!-1)*100</f>
        <v>#REF!</v>
      </c>
      <c r="H36" s="12" t="e">
        <f>(Original_VA!#REF!/Original_VA!#REF!-1)*100</f>
        <v>#REF!</v>
      </c>
      <c r="I36" s="12" t="e">
        <f>(Original_VA!#REF!/Original_VA!#REF!-1)*100</f>
        <v>#REF!</v>
      </c>
      <c r="J36" s="12" t="e">
        <f>(Original_VA!#REF!/Original_VA!#REF!-1)*100</f>
        <v>#REF!</v>
      </c>
      <c r="K36" s="12" t="e">
        <f>(Original_VA!#REF!/Original_VA!#REF!-1)*100</f>
        <v>#REF!</v>
      </c>
      <c r="L36" s="12" t="e">
        <f>(Original_VA!#REF!/Original_VA!#REF!-1)*100</f>
        <v>#REF!</v>
      </c>
      <c r="M36" s="12" t="e">
        <f>(Original_VA!#REF!/Original_VA!#REF!-1)*100</f>
        <v>#REF!</v>
      </c>
      <c r="N36" s="12" t="e">
        <f>(Original_VA!#REF!/Original_VA!#REF!-1)*100</f>
        <v>#REF!</v>
      </c>
      <c r="O36" s="12" t="e">
        <f>(Original_VA!#REF!/Original_VA!#REF!-1)*100</f>
        <v>#REF!</v>
      </c>
      <c r="P36" s="12" t="e">
        <f>(Original_VA!#REF!/Original_VA!#REF!-1)*100</f>
        <v>#REF!</v>
      </c>
      <c r="Q36" s="12" t="e">
        <f>(Original_VA!#REF!/Original_VA!#REF!-1)*100</f>
        <v>#REF!</v>
      </c>
      <c r="R36" s="12" t="e">
        <f>(Original_VA!#REF!/Original_VA!#REF!-1)*100</f>
        <v>#REF!</v>
      </c>
      <c r="S36" s="12" t="e">
        <f>(Original_VA!#REF!/Original_VA!#REF!-1)*100</f>
        <v>#REF!</v>
      </c>
      <c r="T36" s="12" t="e">
        <f>(Original_VA!#REF!/Original_VA!#REF!-1)*100</f>
        <v>#REF!</v>
      </c>
      <c r="U36" s="12" t="e">
        <f>(Original_VA!#REF!/Original_VA!#REF!-1)*100</f>
        <v>#REF!</v>
      </c>
      <c r="V36" s="12" t="e">
        <f>(Original_VA!#REF!/Original_VA!#REF!-1)*100</f>
        <v>#REF!</v>
      </c>
      <c r="W36" s="12" t="e">
        <f>(Original_VA!#REF!/Original_VA!#REF!-1)*100</f>
        <v>#REF!</v>
      </c>
      <c r="X36" s="12" t="e">
        <f>(Original_VA!#REF!/Original_VA!#REF!-1)*100</f>
        <v>#REF!</v>
      </c>
      <c r="Y36" s="12" t="e">
        <f>(Original_VA!#REF!/Original_VA!#REF!-1)*100</f>
        <v>#REF!</v>
      </c>
      <c r="Z36" s="12" t="e">
        <f>(Original_VA!#REF!/Original_VA!#REF!-1)*100</f>
        <v>#REF!</v>
      </c>
      <c r="AA36" s="12" t="e">
        <f>(Original_VA!#REF!/Original_VA!#REF!-1)*100</f>
        <v>#REF!</v>
      </c>
      <c r="AB36" s="12" t="e">
        <f>(Original_VA!#REF!/Original_VA!#REF!-1)*100</f>
        <v>#REF!</v>
      </c>
      <c r="AD36" s="7"/>
    </row>
    <row r="37" spans="1:30" x14ac:dyDescent="0.25">
      <c r="C37" s="6"/>
    </row>
  </sheetData>
  <mergeCells count="7">
    <mergeCell ref="AA3:AB3"/>
    <mergeCell ref="W3:Z3"/>
    <mergeCell ref="C3:F3"/>
    <mergeCell ref="G3:J3"/>
    <mergeCell ref="K3:N3"/>
    <mergeCell ref="O3:R3"/>
    <mergeCell ref="S3:V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2:AD37"/>
  <sheetViews>
    <sheetView workbookViewId="0">
      <selection activeCell="D5" sqref="D5"/>
    </sheetView>
  </sheetViews>
  <sheetFormatPr defaultRowHeight="15" x14ac:dyDescent="0.25"/>
  <cols>
    <col min="1" max="1" width="35.85546875" customWidth="1"/>
    <col min="2" max="2" width="6.7109375" customWidth="1"/>
    <col min="3" max="29" width="7.5703125" customWidth="1"/>
  </cols>
  <sheetData>
    <row r="2" spans="1:30" x14ac:dyDescent="0.25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</row>
    <row r="3" spans="1:30" s="8" customFormat="1" x14ac:dyDescent="0.25">
      <c r="C3" s="153">
        <v>2008</v>
      </c>
      <c r="D3" s="153"/>
      <c r="E3" s="153"/>
      <c r="F3" s="153"/>
      <c r="G3" s="153">
        <v>2009</v>
      </c>
      <c r="H3" s="153"/>
      <c r="I3" s="153"/>
      <c r="J3" s="153"/>
      <c r="K3" s="153">
        <v>2010</v>
      </c>
      <c r="L3" s="153"/>
      <c r="M3" s="153"/>
      <c r="N3" s="153"/>
      <c r="O3" s="153">
        <v>2011</v>
      </c>
      <c r="P3" s="153"/>
      <c r="Q3" s="153"/>
      <c r="R3" s="153"/>
      <c r="S3" s="153">
        <v>2012</v>
      </c>
      <c r="T3" s="153"/>
      <c r="U3" s="153"/>
      <c r="V3" s="153"/>
      <c r="W3" s="153">
        <v>2013</v>
      </c>
      <c r="X3" s="153"/>
      <c r="Y3" s="153"/>
      <c r="Z3" s="153"/>
      <c r="AA3" s="8">
        <v>2014</v>
      </c>
    </row>
    <row r="4" spans="1:30" ht="15.75" thickBot="1" x14ac:dyDescent="0.3">
      <c r="C4" s="5" t="s">
        <v>57</v>
      </c>
      <c r="D4" s="5" t="s">
        <v>58</v>
      </c>
      <c r="E4" s="5" t="s">
        <v>59</v>
      </c>
      <c r="F4" s="5" t="s">
        <v>60</v>
      </c>
      <c r="G4" s="5" t="s">
        <v>57</v>
      </c>
      <c r="H4" s="5" t="s">
        <v>58</v>
      </c>
      <c r="I4" s="5" t="s">
        <v>59</v>
      </c>
      <c r="J4" s="5" t="s">
        <v>60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57</v>
      </c>
      <c r="P4" s="5" t="s">
        <v>58</v>
      </c>
      <c r="Q4" s="5" t="s">
        <v>59</v>
      </c>
      <c r="R4" s="5" t="s">
        <v>60</v>
      </c>
      <c r="S4" s="5" t="s">
        <v>57</v>
      </c>
      <c r="T4" s="5" t="s">
        <v>58</v>
      </c>
      <c r="U4" s="5" t="s">
        <v>59</v>
      </c>
      <c r="V4" s="5" t="s">
        <v>60</v>
      </c>
      <c r="W4" s="5" t="s">
        <v>57</v>
      </c>
      <c r="X4" s="5" t="s">
        <v>58</v>
      </c>
      <c r="Y4" s="5" t="s">
        <v>59</v>
      </c>
      <c r="Z4" s="5" t="s">
        <v>60</v>
      </c>
      <c r="AA4" s="5" t="s">
        <v>57</v>
      </c>
      <c r="AB4" s="5" t="s">
        <v>58</v>
      </c>
      <c r="AC4" s="5" t="s">
        <v>59</v>
      </c>
      <c r="AD4" s="5" t="s">
        <v>60</v>
      </c>
    </row>
    <row r="5" spans="1:30" s="8" customFormat="1" ht="28.5" customHeight="1" x14ac:dyDescent="0.25">
      <c r="A5" s="1" t="s">
        <v>0</v>
      </c>
      <c r="B5" s="1"/>
      <c r="C5" s="7" t="e">
        <f>C6+C13+C19+C35</f>
        <v>#REF!</v>
      </c>
      <c r="D5" s="7" t="e">
        <f t="shared" ref="D5:X5" si="0">D6+D13+D19+D35</f>
        <v>#REF!</v>
      </c>
      <c r="E5" s="7" t="e">
        <f t="shared" si="0"/>
        <v>#REF!</v>
      </c>
      <c r="F5" s="7" t="e">
        <f t="shared" si="0"/>
        <v>#REF!</v>
      </c>
      <c r="G5" s="7" t="e">
        <f t="shared" si="0"/>
        <v>#REF!</v>
      </c>
      <c r="H5" s="7" t="e">
        <f t="shared" si="0"/>
        <v>#REF!</v>
      </c>
      <c r="I5" s="7" t="e">
        <f t="shared" si="0"/>
        <v>#REF!</v>
      </c>
      <c r="J5" s="7" t="e">
        <f t="shared" si="0"/>
        <v>#REF!</v>
      </c>
      <c r="K5" s="7" t="e">
        <f t="shared" si="0"/>
        <v>#REF!</v>
      </c>
      <c r="L5" s="7" t="e">
        <f t="shared" si="0"/>
        <v>#REF!</v>
      </c>
      <c r="M5" s="7" t="e">
        <f t="shared" si="0"/>
        <v>#REF!</v>
      </c>
      <c r="N5" s="7" t="e">
        <f t="shared" si="0"/>
        <v>#REF!</v>
      </c>
      <c r="O5" s="7" t="e">
        <f t="shared" si="0"/>
        <v>#REF!</v>
      </c>
      <c r="P5" s="7" t="e">
        <f t="shared" si="0"/>
        <v>#REF!</v>
      </c>
      <c r="Q5" s="7" t="e">
        <f t="shared" si="0"/>
        <v>#REF!</v>
      </c>
      <c r="R5" s="7" t="e">
        <f t="shared" si="0"/>
        <v>#REF!</v>
      </c>
      <c r="S5" s="7" t="e">
        <f t="shared" si="0"/>
        <v>#REF!</v>
      </c>
      <c r="T5" s="7" t="e">
        <f t="shared" si="0"/>
        <v>#REF!</v>
      </c>
      <c r="U5" s="7" t="e">
        <f t="shared" si="0"/>
        <v>#REF!</v>
      </c>
      <c r="V5" s="7" t="e">
        <f t="shared" si="0"/>
        <v>#REF!</v>
      </c>
      <c r="W5" s="7" t="e">
        <f t="shared" si="0"/>
        <v>#REF!</v>
      </c>
      <c r="X5" s="7" t="e">
        <f t="shared" si="0"/>
        <v>#REF!</v>
      </c>
      <c r="Y5" s="7" t="e">
        <f>Y6+Y13+Y19+Y35</f>
        <v>#REF!</v>
      </c>
      <c r="Z5" s="7" t="e">
        <f>Z6+Z13+Z19+Z35</f>
        <v>#REF!</v>
      </c>
      <c r="AA5" s="7" t="e">
        <f>AA6+AA13+AA19+AA35</f>
        <v>#REF!</v>
      </c>
      <c r="AB5" s="7" t="e">
        <f>AB6+AB13+AB19+AB35</f>
        <v>#REF!</v>
      </c>
    </row>
    <row r="6" spans="1:30" s="8" customFormat="1" ht="26.25" customHeight="1" x14ac:dyDescent="0.25">
      <c r="A6" s="1" t="s">
        <v>1</v>
      </c>
      <c r="C6" s="9" t="e">
        <f>SUM(C7:C12)</f>
        <v>#REF!</v>
      </c>
      <c r="D6" s="9" t="e">
        <f t="shared" ref="D6:X6" si="1">SUM(D7:D12)</f>
        <v>#REF!</v>
      </c>
      <c r="E6" s="9" t="e">
        <f t="shared" si="1"/>
        <v>#REF!</v>
      </c>
      <c r="F6" s="9" t="e">
        <f t="shared" si="1"/>
        <v>#REF!</v>
      </c>
      <c r="G6" s="9" t="e">
        <f t="shared" si="1"/>
        <v>#REF!</v>
      </c>
      <c r="H6" s="9" t="e">
        <f t="shared" si="1"/>
        <v>#REF!</v>
      </c>
      <c r="I6" s="9" t="e">
        <f t="shared" si="1"/>
        <v>#REF!</v>
      </c>
      <c r="J6" s="9" t="e">
        <f t="shared" si="1"/>
        <v>#REF!</v>
      </c>
      <c r="K6" s="9" t="e">
        <f t="shared" si="1"/>
        <v>#REF!</v>
      </c>
      <c r="L6" s="9" t="e">
        <f t="shared" si="1"/>
        <v>#REF!</v>
      </c>
      <c r="M6" s="9" t="e">
        <f t="shared" si="1"/>
        <v>#REF!</v>
      </c>
      <c r="N6" s="9" t="e">
        <f t="shared" si="1"/>
        <v>#REF!</v>
      </c>
      <c r="O6" s="9" t="e">
        <f t="shared" si="1"/>
        <v>#REF!</v>
      </c>
      <c r="P6" s="9" t="e">
        <f t="shared" si="1"/>
        <v>#REF!</v>
      </c>
      <c r="Q6" s="9" t="e">
        <f t="shared" si="1"/>
        <v>#REF!</v>
      </c>
      <c r="R6" s="9" t="e">
        <f t="shared" si="1"/>
        <v>#REF!</v>
      </c>
      <c r="S6" s="9" t="e">
        <f t="shared" si="1"/>
        <v>#REF!</v>
      </c>
      <c r="T6" s="9" t="e">
        <f t="shared" si="1"/>
        <v>#REF!</v>
      </c>
      <c r="U6" s="9" t="e">
        <f t="shared" si="1"/>
        <v>#REF!</v>
      </c>
      <c r="V6" s="9" t="e">
        <f t="shared" si="1"/>
        <v>#REF!</v>
      </c>
      <c r="W6" s="9" t="e">
        <f t="shared" si="1"/>
        <v>#REF!</v>
      </c>
      <c r="X6" s="9" t="e">
        <f t="shared" si="1"/>
        <v>#REF!</v>
      </c>
      <c r="Y6" s="9" t="e">
        <f>SUM(Y7:Y12)</f>
        <v>#REF!</v>
      </c>
      <c r="Z6" s="9" t="e">
        <f>SUM(Z7:Z12)</f>
        <v>#REF!</v>
      </c>
      <c r="AA6" s="9" t="e">
        <f>SUM(AA7:AA12)</f>
        <v>#REF!</v>
      </c>
      <c r="AB6" s="9" t="e">
        <f>SUM(AB7:AB12)</f>
        <v>#REF!</v>
      </c>
    </row>
    <row r="7" spans="1:30" ht="15" customHeight="1" x14ac:dyDescent="0.25">
      <c r="A7" s="2" t="s">
        <v>2</v>
      </c>
      <c r="B7" t="s">
        <v>61</v>
      </c>
      <c r="C7" s="6" t="e">
        <f>SUMIF(#REF!,$2:$2,#REF!)</f>
        <v>#REF!</v>
      </c>
      <c r="D7" s="6" t="e">
        <f>SUMIF(#REF!,$2:$2,#REF!)</f>
        <v>#REF!</v>
      </c>
      <c r="E7" s="6" t="e">
        <f>SUMIF(#REF!,$2:$2,#REF!)</f>
        <v>#REF!</v>
      </c>
      <c r="F7" s="6" t="e">
        <f>SUMIF(#REF!,$2:$2,#REF!)</f>
        <v>#REF!</v>
      </c>
      <c r="G7" s="6" t="e">
        <f>SUMIF(#REF!,$2:$2,#REF!)</f>
        <v>#REF!</v>
      </c>
      <c r="H7" s="6" t="e">
        <f>SUMIF(#REF!,$2:$2,#REF!)</f>
        <v>#REF!</v>
      </c>
      <c r="I7" s="6" t="e">
        <f>SUMIF(#REF!,$2:$2,#REF!)</f>
        <v>#REF!</v>
      </c>
      <c r="J7" s="6" t="e">
        <f>SUMIF(#REF!,$2:$2,#REF!)</f>
        <v>#REF!</v>
      </c>
      <c r="K7" s="6" t="e">
        <f>SUMIF(#REF!,$2:$2,#REF!)</f>
        <v>#REF!</v>
      </c>
      <c r="L7" s="6" t="e">
        <f>SUMIF(#REF!,$2:$2,#REF!)</f>
        <v>#REF!</v>
      </c>
      <c r="M7" s="6" t="e">
        <f>SUMIF(#REF!,$2:$2,#REF!)</f>
        <v>#REF!</v>
      </c>
      <c r="N7" s="6" t="e">
        <f>SUMIF(#REF!,$2:$2,#REF!)</f>
        <v>#REF!</v>
      </c>
      <c r="O7" s="6" t="e">
        <f>SUMIF(#REF!,$2:$2,#REF!)</f>
        <v>#REF!</v>
      </c>
      <c r="P7" s="6" t="e">
        <f>SUMIF(#REF!,$2:$2,#REF!)</f>
        <v>#REF!</v>
      </c>
      <c r="Q7" s="6" t="e">
        <f>SUMIF(#REF!,$2:$2,#REF!)</f>
        <v>#REF!</v>
      </c>
      <c r="R7" s="6" t="e">
        <f>SUMIF(#REF!,$2:$2,#REF!)</f>
        <v>#REF!</v>
      </c>
      <c r="S7" s="6" t="e">
        <f>SUMIF(#REF!,$2:$2,#REF!)</f>
        <v>#REF!</v>
      </c>
      <c r="T7" s="6" t="e">
        <f>SUMIF(#REF!,$2:$2,#REF!)</f>
        <v>#REF!</v>
      </c>
      <c r="U7" s="6" t="e">
        <f>SUMIF(#REF!,$2:$2,#REF!)</f>
        <v>#REF!</v>
      </c>
      <c r="V7" s="6" t="e">
        <f>SUMIF(#REF!,$2:$2,#REF!)</f>
        <v>#REF!</v>
      </c>
      <c r="W7" s="6" t="e">
        <f>SUMIF(#REF!,$2:$2,#REF!)</f>
        <v>#REF!</v>
      </c>
      <c r="X7" s="6" t="e">
        <f>SUMIF(#REF!,$2:$2,#REF!)</f>
        <v>#REF!</v>
      </c>
      <c r="Y7" s="6" t="e">
        <f>SUMIF(#REF!,$2:$2,#REF!)</f>
        <v>#REF!</v>
      </c>
      <c r="Z7" s="6" t="e">
        <f>SUMIF(#REF!,$2:$2,#REF!)</f>
        <v>#REF!</v>
      </c>
      <c r="AA7" s="6" t="e">
        <f>SUMIF(#REF!,$2:$2,#REF!)</f>
        <v>#REF!</v>
      </c>
      <c r="AB7" s="6" t="e">
        <f>SUMIF(#REF!,$2:$2,#REF!)</f>
        <v>#REF!</v>
      </c>
    </row>
    <row r="8" spans="1:30" ht="15" customHeight="1" x14ac:dyDescent="0.25">
      <c r="A8" s="2" t="s">
        <v>3</v>
      </c>
      <c r="B8" t="s">
        <v>61</v>
      </c>
      <c r="C8" s="6" t="e">
        <f>SUMIF(#REF!,$2:$2,#REF!)</f>
        <v>#REF!</v>
      </c>
      <c r="D8" s="6" t="e">
        <f>SUMIF(#REF!,$2:$2,#REF!)</f>
        <v>#REF!</v>
      </c>
      <c r="E8" s="6" t="e">
        <f>SUMIF(#REF!,$2:$2,#REF!)</f>
        <v>#REF!</v>
      </c>
      <c r="F8" s="6" t="e">
        <f>SUMIF(#REF!,$2:$2,#REF!)</f>
        <v>#REF!</v>
      </c>
      <c r="G8" s="6" t="e">
        <f>SUMIF(#REF!,$2:$2,#REF!)</f>
        <v>#REF!</v>
      </c>
      <c r="H8" s="6" t="e">
        <f>SUMIF(#REF!,$2:$2,#REF!)</f>
        <v>#REF!</v>
      </c>
      <c r="I8" s="6" t="e">
        <f>SUMIF(#REF!,$2:$2,#REF!)</f>
        <v>#REF!</v>
      </c>
      <c r="J8" s="6" t="e">
        <f>SUMIF(#REF!,$2:$2,#REF!)</f>
        <v>#REF!</v>
      </c>
      <c r="K8" s="6" t="e">
        <f>SUMIF(#REF!,$2:$2,#REF!)</f>
        <v>#REF!</v>
      </c>
      <c r="L8" s="6" t="e">
        <f>SUMIF(#REF!,$2:$2,#REF!)</f>
        <v>#REF!</v>
      </c>
      <c r="M8" s="6" t="e">
        <f>SUMIF(#REF!,$2:$2,#REF!)</f>
        <v>#REF!</v>
      </c>
      <c r="N8" s="6" t="e">
        <f>SUMIF(#REF!,$2:$2,#REF!)</f>
        <v>#REF!</v>
      </c>
      <c r="O8" s="6" t="e">
        <f>SUMIF(#REF!,$2:$2,#REF!)</f>
        <v>#REF!</v>
      </c>
      <c r="P8" s="6" t="e">
        <f>SUMIF(#REF!,$2:$2,#REF!)</f>
        <v>#REF!</v>
      </c>
      <c r="Q8" s="6" t="e">
        <f>SUMIF(#REF!,$2:$2,#REF!)</f>
        <v>#REF!</v>
      </c>
      <c r="R8" s="6" t="e">
        <f>SUMIF(#REF!,$2:$2,#REF!)</f>
        <v>#REF!</v>
      </c>
      <c r="S8" s="6" t="e">
        <f>SUMIF(#REF!,$2:$2,#REF!)</f>
        <v>#REF!</v>
      </c>
      <c r="T8" s="6" t="e">
        <f>SUMIF(#REF!,$2:$2,#REF!)</f>
        <v>#REF!</v>
      </c>
      <c r="U8" s="6" t="e">
        <f>SUMIF(#REF!,$2:$2,#REF!)</f>
        <v>#REF!</v>
      </c>
      <c r="V8" s="6" t="e">
        <f>SUMIF(#REF!,$2:$2,#REF!)</f>
        <v>#REF!</v>
      </c>
      <c r="W8" s="6" t="e">
        <f>SUMIF(#REF!,$2:$2,#REF!)</f>
        <v>#REF!</v>
      </c>
      <c r="X8" s="6" t="e">
        <f>SUMIF(#REF!,$2:$2,#REF!)</f>
        <v>#REF!</v>
      </c>
      <c r="Y8" s="6" t="e">
        <f>SUMIF(#REF!,$2:$2,#REF!)</f>
        <v>#REF!</v>
      </c>
      <c r="Z8" s="6" t="e">
        <f>SUMIF(#REF!,$2:$2,#REF!)</f>
        <v>#REF!</v>
      </c>
      <c r="AA8" s="6" t="e">
        <f>SUMIF(#REF!,$2:$2,#REF!)</f>
        <v>#REF!</v>
      </c>
      <c r="AB8" s="6" t="e">
        <f>SUMIF(#REF!,$2:$2,#REF!)</f>
        <v>#REF!</v>
      </c>
    </row>
    <row r="9" spans="1:30" ht="15" customHeight="1" x14ac:dyDescent="0.25">
      <c r="A9" s="2" t="s">
        <v>4</v>
      </c>
      <c r="B9" t="s">
        <v>62</v>
      </c>
      <c r="C9" s="6" t="e">
        <f>SUMIF([1]IndData!$C:$C,$2:$2,[1]IndData!$F:$F)</f>
        <v>#VALUE!</v>
      </c>
      <c r="D9" s="6" t="e">
        <f>SUMIF([1]IndData!$C:$C,$2:$2,[1]IndData!$F:$F)</f>
        <v>#VALUE!</v>
      </c>
      <c r="E9" s="6" t="e">
        <f>SUMIF([1]IndData!$C:$C,$2:$2,[1]IndData!$F:$F)</f>
        <v>#VALUE!</v>
      </c>
      <c r="F9" s="6" t="e">
        <f>SUMIF([1]IndData!$C:$C,$2:$2,[1]IndData!$F:$F)</f>
        <v>#VALUE!</v>
      </c>
      <c r="G9" s="6" t="e">
        <f>SUMIF([1]IndData!$C:$C,$2:$2,[1]IndData!$F:$F)</f>
        <v>#VALUE!</v>
      </c>
      <c r="H9" s="6" t="e">
        <f>SUMIF([1]IndData!$C:$C,$2:$2,[1]IndData!$F:$F)</f>
        <v>#VALUE!</v>
      </c>
      <c r="I9" s="6" t="e">
        <f>SUMIF([1]IndData!$C:$C,$2:$2,[1]IndData!$F:$F)</f>
        <v>#VALUE!</v>
      </c>
      <c r="J9" s="6" t="e">
        <f>SUMIF([1]IndData!$C:$C,$2:$2,[1]IndData!$F:$F)</f>
        <v>#VALUE!</v>
      </c>
      <c r="K9" s="6" t="e">
        <f>SUMIF([1]IndData!$C:$C,$2:$2,[1]IndData!$F:$F)</f>
        <v>#VALUE!</v>
      </c>
      <c r="L9" s="6" t="e">
        <f>SUMIF([1]IndData!$C:$C,$2:$2,[1]IndData!$F:$F)</f>
        <v>#VALUE!</v>
      </c>
      <c r="M9" s="6" t="e">
        <f>SUMIF([1]IndData!$C:$C,$2:$2,[1]IndData!$F:$F)</f>
        <v>#VALUE!</v>
      </c>
      <c r="N9" s="6" t="e">
        <f>SUMIF([1]IndData!$C:$C,$2:$2,[1]IndData!$F:$F)</f>
        <v>#VALUE!</v>
      </c>
      <c r="O9" s="6" t="e">
        <f>SUMIF([1]IndData!$C:$C,$2:$2,[1]IndData!$F:$F)</f>
        <v>#VALUE!</v>
      </c>
      <c r="P9" s="6" t="e">
        <f>SUMIF([1]IndData!$C:$C,$2:$2,[1]IndData!$F:$F)</f>
        <v>#VALUE!</v>
      </c>
      <c r="Q9" s="6" t="e">
        <f>SUMIF([1]IndData!$C:$C,$2:$2,[1]IndData!$F:$F)</f>
        <v>#VALUE!</v>
      </c>
      <c r="R9" s="6" t="e">
        <f>SUMIF([1]IndData!$C:$C,$2:$2,[1]IndData!$F:$F)</f>
        <v>#VALUE!</v>
      </c>
      <c r="S9" s="6" t="e">
        <f>SUMIF([1]IndData!$C:$C,$2:$2,[1]IndData!$F:$F)</f>
        <v>#VALUE!</v>
      </c>
      <c r="T9" s="6" t="e">
        <f>SUMIF([1]IndData!$C:$C,$2:$2,[1]IndData!$F:$F)</f>
        <v>#VALUE!</v>
      </c>
      <c r="U9" s="6" t="e">
        <f>SUMIF([1]IndData!$C:$C,$2:$2,[1]IndData!$F:$F)</f>
        <v>#VALUE!</v>
      </c>
      <c r="V9" s="6" t="e">
        <f>SUMIF([1]IndData!$C:$C,$2:$2,[1]IndData!$F:$F)</f>
        <v>#VALUE!</v>
      </c>
      <c r="W9" s="6" t="e">
        <f>SUMIF([1]IndData!$C:$C,$2:$2,[1]IndData!$F:$F)</f>
        <v>#VALUE!</v>
      </c>
      <c r="X9" s="6" t="e">
        <f>SUMIF([1]IndData!$C:$C,$2:$2,[1]IndData!$F:$F)</f>
        <v>#VALUE!</v>
      </c>
      <c r="Y9" s="6" t="e">
        <f>SUMIF([1]IndData!$C:$C,$2:$2,[1]IndData!$F:$F)</f>
        <v>#VALUE!</v>
      </c>
      <c r="Z9" s="6" t="e">
        <f>SUMIF([1]IndData!$C:$C,$2:$2,[1]IndData!$F:$F)</f>
        <v>#VALUE!</v>
      </c>
      <c r="AA9" s="6" t="e">
        <f>SUMIF([1]IndData!$C:$C,$2:$2,[1]IndData!$F:$F)</f>
        <v>#VALUE!</v>
      </c>
      <c r="AB9" s="6" t="e">
        <f>SUMIF([1]IndData!$C:$C,$2:$2,[1]IndData!$F:$F)</f>
        <v>#VALUE!</v>
      </c>
    </row>
    <row r="10" spans="1:30" ht="15" customHeight="1" x14ac:dyDescent="0.25">
      <c r="A10" s="2" t="s">
        <v>5</v>
      </c>
      <c r="B10" t="s">
        <v>61</v>
      </c>
      <c r="C10" s="6" t="e">
        <f>SUMIF(#REF!,$2:$2,#REF!)</f>
        <v>#REF!</v>
      </c>
      <c r="D10" s="6" t="e">
        <f>SUMIF(#REF!,$2:$2,#REF!)</f>
        <v>#REF!</v>
      </c>
      <c r="E10" s="6" t="e">
        <f>SUMIF(#REF!,$2:$2,#REF!)</f>
        <v>#REF!</v>
      </c>
      <c r="F10" s="6" t="e">
        <f>SUMIF(#REF!,$2:$2,#REF!)</f>
        <v>#REF!</v>
      </c>
      <c r="G10" s="6" t="e">
        <f>SUMIF(#REF!,$2:$2,#REF!)</f>
        <v>#REF!</v>
      </c>
      <c r="H10" s="6" t="e">
        <f>SUMIF(#REF!,$2:$2,#REF!)</f>
        <v>#REF!</v>
      </c>
      <c r="I10" s="6" t="e">
        <f>SUMIF(#REF!,$2:$2,#REF!)</f>
        <v>#REF!</v>
      </c>
      <c r="J10" s="6" t="e">
        <f>SUMIF(#REF!,$2:$2,#REF!)</f>
        <v>#REF!</v>
      </c>
      <c r="K10" s="6" t="e">
        <f>SUMIF(#REF!,$2:$2,#REF!)</f>
        <v>#REF!</v>
      </c>
      <c r="L10" s="6" t="e">
        <f>SUMIF(#REF!,$2:$2,#REF!)</f>
        <v>#REF!</v>
      </c>
      <c r="M10" s="6" t="e">
        <f>SUMIF(#REF!,$2:$2,#REF!)</f>
        <v>#REF!</v>
      </c>
      <c r="N10" s="6" t="e">
        <f>SUMIF(#REF!,$2:$2,#REF!)</f>
        <v>#REF!</v>
      </c>
      <c r="O10" s="6" t="e">
        <f>SUMIF(#REF!,$2:$2,#REF!)</f>
        <v>#REF!</v>
      </c>
      <c r="P10" s="6" t="e">
        <f>SUMIF(#REF!,$2:$2,#REF!)</f>
        <v>#REF!</v>
      </c>
      <c r="Q10" s="6" t="e">
        <f>SUMIF(#REF!,$2:$2,#REF!)</f>
        <v>#REF!</v>
      </c>
      <c r="R10" s="6" t="e">
        <f>SUMIF(#REF!,$2:$2,#REF!)</f>
        <v>#REF!</v>
      </c>
      <c r="S10" s="6" t="e">
        <f>SUMIF(#REF!,$2:$2,#REF!)</f>
        <v>#REF!</v>
      </c>
      <c r="T10" s="6" t="e">
        <f>SUMIF(#REF!,$2:$2,#REF!)</f>
        <v>#REF!</v>
      </c>
      <c r="U10" s="6" t="e">
        <f>SUMIF(#REF!,$2:$2,#REF!)</f>
        <v>#REF!</v>
      </c>
      <c r="V10" s="6" t="e">
        <f>SUMIF(#REF!,$2:$2,#REF!)</f>
        <v>#REF!</v>
      </c>
      <c r="W10" s="6" t="e">
        <f>SUMIF(#REF!,$2:$2,#REF!)</f>
        <v>#REF!</v>
      </c>
      <c r="X10" s="6" t="e">
        <f>SUMIF(#REF!,$2:$2,#REF!)</f>
        <v>#REF!</v>
      </c>
      <c r="Y10" s="6" t="e">
        <f>SUMIF(#REF!,$2:$2,#REF!)</f>
        <v>#REF!</v>
      </c>
      <c r="Z10" s="6" t="e">
        <f>SUMIF(#REF!,$2:$2,#REF!)</f>
        <v>#REF!</v>
      </c>
      <c r="AA10" s="6" t="e">
        <f>SUMIF(#REF!,$2:$2,#REF!)</f>
        <v>#REF!</v>
      </c>
      <c r="AB10" s="6" t="e">
        <f>SUMIF(#REF!,$2:$2,#REF!)</f>
        <v>#REF!</v>
      </c>
    </row>
    <row r="11" spans="1:30" ht="15" customHeight="1" x14ac:dyDescent="0.25">
      <c r="A11" s="2" t="s">
        <v>6</v>
      </c>
      <c r="B11" t="s">
        <v>61</v>
      </c>
      <c r="C11" s="6" t="e">
        <f>SUMIF(#REF!,$2:$2,#REF!)</f>
        <v>#REF!</v>
      </c>
      <c r="D11" s="6" t="e">
        <f>SUMIF(#REF!,$2:$2,#REF!)</f>
        <v>#REF!</v>
      </c>
      <c r="E11" s="6" t="e">
        <f>SUMIF(#REF!,$2:$2,#REF!)</f>
        <v>#REF!</v>
      </c>
      <c r="F11" s="6" t="e">
        <f>SUMIF(#REF!,$2:$2,#REF!)</f>
        <v>#REF!</v>
      </c>
      <c r="G11" s="6" t="e">
        <f>SUMIF(#REF!,$2:$2,#REF!)</f>
        <v>#REF!</v>
      </c>
      <c r="H11" s="6" t="e">
        <f>SUMIF(#REF!,$2:$2,#REF!)</f>
        <v>#REF!</v>
      </c>
      <c r="I11" s="6" t="e">
        <f>SUMIF(#REF!,$2:$2,#REF!)</f>
        <v>#REF!</v>
      </c>
      <c r="J11" s="6" t="e">
        <f>SUMIF(#REF!,$2:$2,#REF!)</f>
        <v>#REF!</v>
      </c>
      <c r="K11" s="6" t="e">
        <f>SUMIF(#REF!,$2:$2,#REF!)</f>
        <v>#REF!</v>
      </c>
      <c r="L11" s="6" t="e">
        <f>SUMIF(#REF!,$2:$2,#REF!)</f>
        <v>#REF!</v>
      </c>
      <c r="M11" s="6" t="e">
        <f>SUMIF(#REF!,$2:$2,#REF!)</f>
        <v>#REF!</v>
      </c>
      <c r="N11" s="6" t="e">
        <f>SUMIF(#REF!,$2:$2,#REF!)</f>
        <v>#REF!</v>
      </c>
      <c r="O11" s="6" t="e">
        <f>SUMIF(#REF!,$2:$2,#REF!)</f>
        <v>#REF!</v>
      </c>
      <c r="P11" s="6" t="e">
        <f>SUMIF(#REF!,$2:$2,#REF!)</f>
        <v>#REF!</v>
      </c>
      <c r="Q11" s="6" t="e">
        <f>SUMIF(#REF!,$2:$2,#REF!)</f>
        <v>#REF!</v>
      </c>
      <c r="R11" s="6" t="e">
        <f>SUMIF(#REF!,$2:$2,#REF!)</f>
        <v>#REF!</v>
      </c>
      <c r="S11" s="6" t="e">
        <f>SUMIF(#REF!,$2:$2,#REF!)</f>
        <v>#REF!</v>
      </c>
      <c r="T11" s="6" t="e">
        <f>SUMIF(#REF!,$2:$2,#REF!)</f>
        <v>#REF!</v>
      </c>
      <c r="U11" s="6" t="e">
        <f>SUMIF(#REF!,$2:$2,#REF!)</f>
        <v>#REF!</v>
      </c>
      <c r="V11" s="6" t="e">
        <f>SUMIF(#REF!,$2:$2,#REF!)</f>
        <v>#REF!</v>
      </c>
      <c r="W11" s="6" t="e">
        <f>SUMIF(#REF!,$2:$2,#REF!)</f>
        <v>#REF!</v>
      </c>
      <c r="X11" s="6" t="e">
        <f>SUMIF(#REF!,$2:$2,#REF!)</f>
        <v>#REF!</v>
      </c>
      <c r="Y11" s="6" t="e">
        <f>SUMIF(#REF!,$2:$2,#REF!)</f>
        <v>#REF!</v>
      </c>
      <c r="Z11" s="6" t="e">
        <f>SUMIF(#REF!,$2:$2,#REF!)</f>
        <v>#REF!</v>
      </c>
      <c r="AA11" s="6" t="e">
        <f>SUMIF(#REF!,$2:$2,#REF!)</f>
        <v>#REF!</v>
      </c>
      <c r="AB11" s="6" t="e">
        <f>SUMIF(#REF!,$2:$2,#REF!)</f>
        <v>#REF!</v>
      </c>
    </row>
    <row r="12" spans="1:30" ht="15" customHeight="1" x14ac:dyDescent="0.25">
      <c r="A12" s="2" t="s">
        <v>7</v>
      </c>
      <c r="B12" t="s">
        <v>61</v>
      </c>
      <c r="C12" s="6" t="e">
        <f>SUMIF(#REF!,$2:$2,#REF!)</f>
        <v>#REF!</v>
      </c>
      <c r="D12" s="6" t="e">
        <f>SUMIF(#REF!,$2:$2,#REF!)</f>
        <v>#REF!</v>
      </c>
      <c r="E12" s="6" t="e">
        <f>SUMIF(#REF!,$2:$2,#REF!)</f>
        <v>#REF!</v>
      </c>
      <c r="F12" s="6" t="e">
        <f>SUMIF(#REF!,$2:$2,#REF!)</f>
        <v>#REF!</v>
      </c>
      <c r="G12" s="6" t="e">
        <f>SUMIF(#REF!,$2:$2,#REF!)</f>
        <v>#REF!</v>
      </c>
      <c r="H12" s="6" t="e">
        <f>SUMIF(#REF!,$2:$2,#REF!)</f>
        <v>#REF!</v>
      </c>
      <c r="I12" s="6" t="e">
        <f>SUMIF(#REF!,$2:$2,#REF!)</f>
        <v>#REF!</v>
      </c>
      <c r="J12" s="6" t="e">
        <f>SUMIF(#REF!,$2:$2,#REF!)</f>
        <v>#REF!</v>
      </c>
      <c r="K12" s="6" t="e">
        <f>SUMIF(#REF!,$2:$2,#REF!)</f>
        <v>#REF!</v>
      </c>
      <c r="L12" s="6" t="e">
        <f>SUMIF(#REF!,$2:$2,#REF!)</f>
        <v>#REF!</v>
      </c>
      <c r="M12" s="6" t="e">
        <f>SUMIF(#REF!,$2:$2,#REF!)</f>
        <v>#REF!</v>
      </c>
      <c r="N12" s="6" t="e">
        <f>SUMIF(#REF!,$2:$2,#REF!)</f>
        <v>#REF!</v>
      </c>
      <c r="O12" s="6" t="e">
        <f>SUMIF(#REF!,$2:$2,#REF!)</f>
        <v>#REF!</v>
      </c>
      <c r="P12" s="6" t="e">
        <f>SUMIF(#REF!,$2:$2,#REF!)</f>
        <v>#REF!</v>
      </c>
      <c r="Q12" s="6" t="e">
        <f>SUMIF(#REF!,$2:$2,#REF!)</f>
        <v>#REF!</v>
      </c>
      <c r="R12" s="6" t="e">
        <f>SUMIF(#REF!,$2:$2,#REF!)</f>
        <v>#REF!</v>
      </c>
      <c r="S12" s="6" t="e">
        <f>SUMIF(#REF!,$2:$2,#REF!)</f>
        <v>#REF!</v>
      </c>
      <c r="T12" s="6" t="e">
        <f>SUMIF(#REF!,$2:$2,#REF!)</f>
        <v>#REF!</v>
      </c>
      <c r="U12" s="6" t="e">
        <f>SUMIF(#REF!,$2:$2,#REF!)</f>
        <v>#REF!</v>
      </c>
      <c r="V12" s="6" t="e">
        <f>SUMIF(#REF!,$2:$2,#REF!)</f>
        <v>#REF!</v>
      </c>
      <c r="W12" s="6" t="e">
        <f>SUMIF(#REF!,$2:$2,#REF!)</f>
        <v>#REF!</v>
      </c>
      <c r="X12" s="6" t="e">
        <f>SUMIF(#REF!,$2:$2,#REF!)</f>
        <v>#REF!</v>
      </c>
      <c r="Y12" s="6" t="e">
        <f>SUMIF(#REF!,$2:$2,#REF!)</f>
        <v>#REF!</v>
      </c>
      <c r="Z12" s="6" t="e">
        <f>SUMIF(#REF!,$2:$2,#REF!)</f>
        <v>#REF!</v>
      </c>
      <c r="AA12" s="6" t="e">
        <f>SUMIF(#REF!,$2:$2,#REF!)</f>
        <v>#REF!</v>
      </c>
      <c r="AB12" s="6" t="e">
        <f>SUMIF(#REF!,$2:$2,#REF!)</f>
        <v>#REF!</v>
      </c>
    </row>
    <row r="13" spans="1:30" s="8" customFormat="1" ht="30" customHeight="1" x14ac:dyDescent="0.25">
      <c r="A13" s="1" t="s">
        <v>8</v>
      </c>
      <c r="C13" s="9" t="e">
        <f>SUM(C14:C18)</f>
        <v>#REF!</v>
      </c>
      <c r="D13" s="9" t="e">
        <f t="shared" ref="D13:AB13" si="2">SUM(D14:D18)</f>
        <v>#REF!</v>
      </c>
      <c r="E13" s="9" t="e">
        <f t="shared" si="2"/>
        <v>#REF!</v>
      </c>
      <c r="F13" s="9" t="e">
        <f t="shared" si="2"/>
        <v>#REF!</v>
      </c>
      <c r="G13" s="9" t="e">
        <f t="shared" si="2"/>
        <v>#REF!</v>
      </c>
      <c r="H13" s="9" t="e">
        <f t="shared" si="2"/>
        <v>#REF!</v>
      </c>
      <c r="I13" s="9" t="e">
        <f t="shared" si="2"/>
        <v>#REF!</v>
      </c>
      <c r="J13" s="9" t="e">
        <f t="shared" si="2"/>
        <v>#REF!</v>
      </c>
      <c r="K13" s="9" t="e">
        <f t="shared" si="2"/>
        <v>#REF!</v>
      </c>
      <c r="L13" s="9" t="e">
        <f t="shared" si="2"/>
        <v>#REF!</v>
      </c>
      <c r="M13" s="9" t="e">
        <f t="shared" si="2"/>
        <v>#REF!</v>
      </c>
      <c r="N13" s="9" t="e">
        <f t="shared" si="2"/>
        <v>#REF!</v>
      </c>
      <c r="O13" s="9" t="e">
        <f t="shared" si="2"/>
        <v>#REF!</v>
      </c>
      <c r="P13" s="9" t="e">
        <f t="shared" si="2"/>
        <v>#REF!</v>
      </c>
      <c r="Q13" s="9" t="e">
        <f t="shared" si="2"/>
        <v>#REF!</v>
      </c>
      <c r="R13" s="9" t="e">
        <f t="shared" si="2"/>
        <v>#REF!</v>
      </c>
      <c r="S13" s="9" t="e">
        <f t="shared" si="2"/>
        <v>#REF!</v>
      </c>
      <c r="T13" s="9" t="e">
        <f t="shared" si="2"/>
        <v>#REF!</v>
      </c>
      <c r="U13" s="9" t="e">
        <f t="shared" si="2"/>
        <v>#REF!</v>
      </c>
      <c r="V13" s="9" t="e">
        <f t="shared" si="2"/>
        <v>#REF!</v>
      </c>
      <c r="W13" s="9" t="e">
        <f t="shared" si="2"/>
        <v>#REF!</v>
      </c>
      <c r="X13" s="9" t="e">
        <f t="shared" si="2"/>
        <v>#REF!</v>
      </c>
      <c r="Y13" s="9" t="e">
        <f t="shared" si="2"/>
        <v>#REF!</v>
      </c>
      <c r="Z13" s="9" t="e">
        <f t="shared" si="2"/>
        <v>#REF!</v>
      </c>
      <c r="AA13" s="9" t="e">
        <f t="shared" si="2"/>
        <v>#REF!</v>
      </c>
      <c r="AB13" s="9" t="e">
        <f t="shared" si="2"/>
        <v>#REF!</v>
      </c>
    </row>
    <row r="14" spans="1:30" ht="15" customHeight="1" x14ac:dyDescent="0.25">
      <c r="A14" s="2" t="s">
        <v>9</v>
      </c>
      <c r="B14" s="8" t="s">
        <v>62</v>
      </c>
      <c r="C14" s="6" t="e">
        <f>SUMIF(#REF!,$2:$2,#REF!)</f>
        <v>#REF!</v>
      </c>
      <c r="D14" s="6" t="e">
        <f>SUMIF(#REF!,$2:$2,#REF!)</f>
        <v>#REF!</v>
      </c>
      <c r="E14" s="6" t="e">
        <f>SUMIF(#REF!,$2:$2,#REF!)</f>
        <v>#REF!</v>
      </c>
      <c r="F14" s="6" t="e">
        <f>SUMIF(#REF!,$2:$2,#REF!)</f>
        <v>#REF!</v>
      </c>
      <c r="G14" s="6" t="e">
        <f>SUMIF(#REF!,$2:$2,#REF!)</f>
        <v>#REF!</v>
      </c>
      <c r="H14" s="6" t="e">
        <f>SUMIF(#REF!,$2:$2,#REF!)</f>
        <v>#REF!</v>
      </c>
      <c r="I14" s="6" t="e">
        <f>SUMIF(#REF!,$2:$2,#REF!)</f>
        <v>#REF!</v>
      </c>
      <c r="J14" s="6" t="e">
        <f>SUMIF(#REF!,$2:$2,#REF!)</f>
        <v>#REF!</v>
      </c>
      <c r="K14" s="6" t="e">
        <f>SUMIF(#REF!,$2:$2,#REF!)</f>
        <v>#REF!</v>
      </c>
      <c r="L14" s="6" t="e">
        <f>SUMIF(#REF!,$2:$2,#REF!)</f>
        <v>#REF!</v>
      </c>
      <c r="M14" s="6" t="e">
        <f>SUMIF(#REF!,$2:$2,#REF!)</f>
        <v>#REF!</v>
      </c>
      <c r="N14" s="6" t="e">
        <f>SUMIF(#REF!,$2:$2,#REF!)</f>
        <v>#REF!</v>
      </c>
      <c r="O14" s="6" t="e">
        <f>SUMIF(#REF!,$2:$2,#REF!)</f>
        <v>#REF!</v>
      </c>
      <c r="P14" s="6" t="e">
        <f>SUMIF(#REF!,$2:$2,#REF!)</f>
        <v>#REF!</v>
      </c>
      <c r="Q14" s="6" t="e">
        <f>SUMIF(#REF!,$2:$2,#REF!)</f>
        <v>#REF!</v>
      </c>
      <c r="R14" s="6" t="e">
        <f>SUMIF(#REF!,$2:$2,#REF!)</f>
        <v>#REF!</v>
      </c>
      <c r="S14" s="6" t="e">
        <f>SUMIF(#REF!,$2:$2,#REF!)</f>
        <v>#REF!</v>
      </c>
      <c r="T14" s="6" t="e">
        <f>SUMIF(#REF!,$2:$2,#REF!)</f>
        <v>#REF!</v>
      </c>
      <c r="U14" s="6" t="e">
        <f>SUMIF(#REF!,$2:$2,#REF!)</f>
        <v>#REF!</v>
      </c>
      <c r="V14" s="6" t="e">
        <f>SUMIF(#REF!,$2:$2,#REF!)</f>
        <v>#REF!</v>
      </c>
      <c r="W14" s="6" t="e">
        <f>SUMIF(#REF!,$2:$2,#REF!)</f>
        <v>#REF!</v>
      </c>
      <c r="X14" s="6" t="e">
        <f>SUMIF(#REF!,$2:$2,#REF!)</f>
        <v>#REF!</v>
      </c>
      <c r="Y14" s="6" t="e">
        <f>SUMIF(#REF!,$2:$2,#REF!)</f>
        <v>#REF!</v>
      </c>
      <c r="Z14" s="6" t="e">
        <f>SUMIF(#REF!,$2:$2,#REF!)</f>
        <v>#REF!</v>
      </c>
      <c r="AA14" s="6" t="e">
        <f>SUMIF(#REF!,$2:$2,#REF!)</f>
        <v>#REF!</v>
      </c>
      <c r="AB14" s="6" t="e">
        <f>SUMIF(#REF!,$2:$2,#REF!)</f>
        <v>#REF!</v>
      </c>
    </row>
    <row r="15" spans="1:30" ht="15" customHeight="1" x14ac:dyDescent="0.25">
      <c r="A15" s="3" t="s">
        <v>10</v>
      </c>
      <c r="B15" t="s">
        <v>62</v>
      </c>
      <c r="C15" s="6" t="e">
        <f>SUMIF([1]IndData!$C:$C,$2:$2,[1]IndData!$K:$K)</f>
        <v>#VALUE!</v>
      </c>
      <c r="D15" s="6" t="e">
        <f>SUMIF([1]IndData!$C:$C,$2:$2,[1]IndData!$K:$K)</f>
        <v>#VALUE!</v>
      </c>
      <c r="E15" s="6" t="e">
        <f>SUMIF([1]IndData!$C:$C,$2:$2,[1]IndData!$K:$K)</f>
        <v>#VALUE!</v>
      </c>
      <c r="F15" s="6" t="e">
        <f>SUMIF([1]IndData!$C:$C,$2:$2,[1]IndData!$K:$K)</f>
        <v>#VALUE!</v>
      </c>
      <c r="G15" s="6" t="e">
        <f>SUMIF([1]IndData!$C:$C,$2:$2,[1]IndData!$K:$K)</f>
        <v>#VALUE!</v>
      </c>
      <c r="H15" s="6" t="e">
        <f>SUMIF([1]IndData!$C:$C,$2:$2,[1]IndData!$K:$K)</f>
        <v>#VALUE!</v>
      </c>
      <c r="I15" s="6" t="e">
        <f>SUMIF([1]IndData!$C:$C,$2:$2,[1]IndData!$K:$K)</f>
        <v>#VALUE!</v>
      </c>
      <c r="J15" s="6" t="e">
        <f>SUMIF([1]IndData!$C:$C,$2:$2,[1]IndData!$K:$K)</f>
        <v>#VALUE!</v>
      </c>
      <c r="K15" s="6" t="e">
        <f>SUMIF([1]IndData!$C:$C,$2:$2,[1]IndData!$K:$K)</f>
        <v>#VALUE!</v>
      </c>
      <c r="L15" s="6" t="e">
        <f>SUMIF([1]IndData!$C:$C,$2:$2,[1]IndData!$K:$K)</f>
        <v>#VALUE!</v>
      </c>
      <c r="M15" s="6" t="e">
        <f>SUMIF([1]IndData!$C:$C,$2:$2,[1]IndData!$K:$K)</f>
        <v>#VALUE!</v>
      </c>
      <c r="N15" s="6" t="e">
        <f>SUMIF([1]IndData!$C:$C,$2:$2,[1]IndData!$K:$K)</f>
        <v>#VALUE!</v>
      </c>
      <c r="O15" s="6" t="e">
        <f>SUMIF([1]IndData!$C:$C,$2:$2,[1]IndData!$K:$K)</f>
        <v>#VALUE!</v>
      </c>
      <c r="P15" s="6" t="e">
        <f>SUMIF([1]IndData!$C:$C,$2:$2,[1]IndData!$K:$K)</f>
        <v>#VALUE!</v>
      </c>
      <c r="Q15" s="6" t="e">
        <f>SUMIF([1]IndData!$C:$C,$2:$2,[1]IndData!$K:$K)</f>
        <v>#VALUE!</v>
      </c>
      <c r="R15" s="6" t="e">
        <f>SUMIF([1]IndData!$C:$C,$2:$2,[1]IndData!$K:$K)</f>
        <v>#VALUE!</v>
      </c>
      <c r="S15" s="6" t="e">
        <f>SUMIF([1]IndData!$C:$C,$2:$2,[1]IndData!$K:$K)</f>
        <v>#VALUE!</v>
      </c>
      <c r="T15" s="6" t="e">
        <f>SUMIF([1]IndData!$C:$C,$2:$2,[1]IndData!$K:$K)</f>
        <v>#VALUE!</v>
      </c>
      <c r="U15" s="6" t="e">
        <f>SUMIF([1]IndData!$C:$C,$2:$2,[1]IndData!$K:$K)</f>
        <v>#VALUE!</v>
      </c>
      <c r="V15" s="6" t="e">
        <f>SUMIF([1]IndData!$C:$C,$2:$2,[1]IndData!$K:$K)</f>
        <v>#VALUE!</v>
      </c>
      <c r="W15" s="6" t="e">
        <f>SUMIF([1]IndData!$C:$C,$2:$2,[1]IndData!$K:$K)</f>
        <v>#VALUE!</v>
      </c>
      <c r="X15" s="6" t="e">
        <f>SUMIF([1]IndData!$C:$C,$2:$2,[1]IndData!$K:$K)</f>
        <v>#VALUE!</v>
      </c>
      <c r="Y15" s="6" t="e">
        <f>SUMIF([1]IndData!$C:$C,$2:$2,[1]IndData!$K:$K)</f>
        <v>#VALUE!</v>
      </c>
      <c r="Z15" s="6" t="e">
        <f>SUMIF([1]IndData!$C:$C,$2:$2,[1]IndData!$K:$K)</f>
        <v>#VALUE!</v>
      </c>
      <c r="AA15" s="6" t="e">
        <f>SUMIF([1]IndData!$C:$C,$2:$2,[1]IndData!$K:$K)</f>
        <v>#VALUE!</v>
      </c>
      <c r="AB15" s="6" t="e">
        <f>SUMIF([1]IndData!$C:$C,$2:$2,[1]IndData!$K:$K)</f>
        <v>#VALUE!</v>
      </c>
    </row>
    <row r="16" spans="1:30" ht="15" customHeight="1" x14ac:dyDescent="0.25">
      <c r="A16" s="3" t="s">
        <v>11</v>
      </c>
      <c r="B16" t="s">
        <v>62</v>
      </c>
      <c r="C16" s="6" t="e">
        <f>SUMIF([1]IndData!$C:$C,$2:$2,[1]IndData!$L:$L)</f>
        <v>#VALUE!</v>
      </c>
      <c r="D16" s="6" t="e">
        <f>SUMIF([1]IndData!$C:$C,$2:$2,[1]IndData!$L:$L)</f>
        <v>#VALUE!</v>
      </c>
      <c r="E16" s="6" t="e">
        <f>SUMIF([1]IndData!$C:$C,$2:$2,[1]IndData!$L:$L)</f>
        <v>#VALUE!</v>
      </c>
      <c r="F16" s="6" t="e">
        <f>SUMIF([1]IndData!$C:$C,$2:$2,[1]IndData!$L:$L)</f>
        <v>#VALUE!</v>
      </c>
      <c r="G16" s="6" t="e">
        <f>SUMIF([1]IndData!$C:$C,$2:$2,[1]IndData!$L:$L)</f>
        <v>#VALUE!</v>
      </c>
      <c r="H16" s="6" t="e">
        <f>SUMIF([1]IndData!$C:$C,$2:$2,[1]IndData!$L:$L)</f>
        <v>#VALUE!</v>
      </c>
      <c r="I16" s="6" t="e">
        <f>SUMIF([1]IndData!$C:$C,$2:$2,[1]IndData!$L:$L)</f>
        <v>#VALUE!</v>
      </c>
      <c r="J16" s="6" t="e">
        <f>SUMIF([1]IndData!$C:$C,$2:$2,[1]IndData!$L:$L)</f>
        <v>#VALUE!</v>
      </c>
      <c r="K16" s="6" t="e">
        <f>SUMIF([1]IndData!$C:$C,$2:$2,[1]IndData!$L:$L)</f>
        <v>#VALUE!</v>
      </c>
      <c r="L16" s="6" t="e">
        <f>SUMIF([1]IndData!$C:$C,$2:$2,[1]IndData!$L:$L)</f>
        <v>#VALUE!</v>
      </c>
      <c r="M16" s="6" t="e">
        <f>SUMIF([1]IndData!$C:$C,$2:$2,[1]IndData!$L:$L)</f>
        <v>#VALUE!</v>
      </c>
      <c r="N16" s="6" t="e">
        <f>SUMIF([1]IndData!$C:$C,$2:$2,[1]IndData!$L:$L)</f>
        <v>#VALUE!</v>
      </c>
      <c r="O16" s="6" t="e">
        <f>SUMIF([1]IndData!$C:$C,$2:$2,[1]IndData!$L:$L)</f>
        <v>#VALUE!</v>
      </c>
      <c r="P16" s="6" t="e">
        <f>SUMIF([1]IndData!$C:$C,$2:$2,[1]IndData!$L:$L)</f>
        <v>#VALUE!</v>
      </c>
      <c r="Q16" s="6" t="e">
        <f>SUMIF([1]IndData!$C:$C,$2:$2,[1]IndData!$L:$L)</f>
        <v>#VALUE!</v>
      </c>
      <c r="R16" s="6" t="e">
        <f>SUMIF([1]IndData!$C:$C,$2:$2,[1]IndData!$L:$L)</f>
        <v>#VALUE!</v>
      </c>
      <c r="S16" s="6" t="e">
        <f>SUMIF([1]IndData!$C:$C,$2:$2,[1]IndData!$L:$L)</f>
        <v>#VALUE!</v>
      </c>
      <c r="T16" s="6" t="e">
        <f>SUMIF([1]IndData!$C:$C,$2:$2,[1]IndData!$L:$L)</f>
        <v>#VALUE!</v>
      </c>
      <c r="U16" s="6" t="e">
        <f>SUMIF([1]IndData!$C:$C,$2:$2,[1]IndData!$L:$L)</f>
        <v>#VALUE!</v>
      </c>
      <c r="V16" s="6" t="e">
        <f>SUMIF([1]IndData!$C:$C,$2:$2,[1]IndData!$L:$L)</f>
        <v>#VALUE!</v>
      </c>
      <c r="W16" s="6" t="e">
        <f>SUMIF([1]IndData!$C:$C,$2:$2,[1]IndData!$L:$L)</f>
        <v>#VALUE!</v>
      </c>
      <c r="X16" s="6" t="e">
        <f>SUMIF([1]IndData!$C:$C,$2:$2,[1]IndData!$L:$L)</f>
        <v>#VALUE!</v>
      </c>
      <c r="Y16" s="6" t="e">
        <f>SUMIF([1]IndData!$C:$C,$2:$2,[1]IndData!$L:$L)</f>
        <v>#VALUE!</v>
      </c>
      <c r="Z16" s="6" t="e">
        <f>SUMIF([1]IndData!$C:$C,$2:$2,[1]IndData!$L:$L)</f>
        <v>#VALUE!</v>
      </c>
      <c r="AA16" s="6" t="e">
        <f>SUMIF([1]IndData!$C:$C,$2:$2,[1]IndData!$L:$L)</f>
        <v>#VALUE!</v>
      </c>
      <c r="AB16" s="6" t="e">
        <f>SUMIF([1]IndData!$C:$C,$2:$2,[1]IndData!$L:$L)</f>
        <v>#VALUE!</v>
      </c>
    </row>
    <row r="17" spans="1:28" ht="15" customHeight="1" x14ac:dyDescent="0.25">
      <c r="A17" s="3" t="s">
        <v>12</v>
      </c>
      <c r="B17" t="s">
        <v>62</v>
      </c>
      <c r="C17" s="6" t="e">
        <f>SUMIF([1]IndData!$C:$C,$2:$2,[1]IndData!$M:$M)</f>
        <v>#VALUE!</v>
      </c>
      <c r="D17" s="6" t="e">
        <f>SUMIF([1]IndData!$C:$C,$2:$2,[1]IndData!$M:$M)</f>
        <v>#VALUE!</v>
      </c>
      <c r="E17" s="6" t="e">
        <f>SUMIF([1]IndData!$C:$C,$2:$2,[1]IndData!$M:$M)</f>
        <v>#VALUE!</v>
      </c>
      <c r="F17" s="6" t="e">
        <f>SUMIF([1]IndData!$C:$C,$2:$2,[1]IndData!$M:$M)</f>
        <v>#VALUE!</v>
      </c>
      <c r="G17" s="6" t="e">
        <f>SUMIF([1]IndData!$C:$C,$2:$2,[1]IndData!$M:$M)</f>
        <v>#VALUE!</v>
      </c>
      <c r="H17" s="6" t="e">
        <f>SUMIF([1]IndData!$C:$C,$2:$2,[1]IndData!$M:$M)</f>
        <v>#VALUE!</v>
      </c>
      <c r="I17" s="6" t="e">
        <f>SUMIF([1]IndData!$C:$C,$2:$2,[1]IndData!$M:$M)</f>
        <v>#VALUE!</v>
      </c>
      <c r="J17" s="6" t="e">
        <f>SUMIF([1]IndData!$C:$C,$2:$2,[1]IndData!$M:$M)</f>
        <v>#VALUE!</v>
      </c>
      <c r="K17" s="6" t="e">
        <f>SUMIF([1]IndData!$C:$C,$2:$2,[1]IndData!$M:$M)</f>
        <v>#VALUE!</v>
      </c>
      <c r="L17" s="6" t="e">
        <f>SUMIF([1]IndData!$C:$C,$2:$2,[1]IndData!$M:$M)</f>
        <v>#VALUE!</v>
      </c>
      <c r="M17" s="6" t="e">
        <f>SUMIF([1]IndData!$C:$C,$2:$2,[1]IndData!$M:$M)</f>
        <v>#VALUE!</v>
      </c>
      <c r="N17" s="6" t="e">
        <f>SUMIF([1]IndData!$C:$C,$2:$2,[1]IndData!$M:$M)</f>
        <v>#VALUE!</v>
      </c>
      <c r="O17" s="6" t="e">
        <f>SUMIF([1]IndData!$C:$C,$2:$2,[1]IndData!$M:$M)</f>
        <v>#VALUE!</v>
      </c>
      <c r="P17" s="6" t="e">
        <f>SUMIF([1]IndData!$C:$C,$2:$2,[1]IndData!$M:$M)</f>
        <v>#VALUE!</v>
      </c>
      <c r="Q17" s="6" t="e">
        <f>SUMIF([1]IndData!$C:$C,$2:$2,[1]IndData!$M:$M)</f>
        <v>#VALUE!</v>
      </c>
      <c r="R17" s="6" t="e">
        <f>SUMIF([1]IndData!$C:$C,$2:$2,[1]IndData!$M:$M)</f>
        <v>#VALUE!</v>
      </c>
      <c r="S17" s="6" t="e">
        <f>SUMIF([1]IndData!$C:$C,$2:$2,[1]IndData!$M:$M)</f>
        <v>#VALUE!</v>
      </c>
      <c r="T17" s="6" t="e">
        <f>SUMIF([1]IndData!$C:$C,$2:$2,[1]IndData!$M:$M)</f>
        <v>#VALUE!</v>
      </c>
      <c r="U17" s="6" t="e">
        <f>SUMIF([1]IndData!$C:$C,$2:$2,[1]IndData!$M:$M)</f>
        <v>#VALUE!</v>
      </c>
      <c r="V17" s="6" t="e">
        <f>SUMIF([1]IndData!$C:$C,$2:$2,[1]IndData!$M:$M)</f>
        <v>#VALUE!</v>
      </c>
      <c r="W17" s="6" t="e">
        <f>SUMIF([1]IndData!$C:$C,$2:$2,[1]IndData!$M:$M)</f>
        <v>#VALUE!</v>
      </c>
      <c r="X17" s="6" t="e">
        <f>SUMIF([1]IndData!$C:$C,$2:$2,[1]IndData!$M:$M)</f>
        <v>#VALUE!</v>
      </c>
      <c r="Y17" s="6" t="e">
        <f>SUMIF([1]IndData!$C:$C,$2:$2,[1]IndData!$M:$M)</f>
        <v>#VALUE!</v>
      </c>
      <c r="Z17" s="6" t="e">
        <f>SUMIF([1]IndData!$C:$C,$2:$2,[1]IndData!$M:$M)</f>
        <v>#VALUE!</v>
      </c>
      <c r="AA17" s="6" t="e">
        <f>SUMIF([1]IndData!$C:$C,$2:$2,[1]IndData!$M:$M)</f>
        <v>#VALUE!</v>
      </c>
      <c r="AB17" s="6" t="e">
        <f>SUMIF([1]IndData!$C:$C,$2:$2,[1]IndData!$M:$M)</f>
        <v>#VALUE!</v>
      </c>
    </row>
    <row r="18" spans="1:28" ht="15" customHeight="1" x14ac:dyDescent="0.25">
      <c r="A18" s="2" t="s">
        <v>13</v>
      </c>
      <c r="B18" t="s">
        <v>61</v>
      </c>
      <c r="C18" s="6" t="e">
        <f>SUMIF(#REF!,$2:$2,#REF!)</f>
        <v>#REF!</v>
      </c>
      <c r="D18" s="6" t="e">
        <f>SUMIF(#REF!,$2:$2,#REF!)</f>
        <v>#REF!</v>
      </c>
      <c r="E18" s="6" t="e">
        <f>SUMIF(#REF!,$2:$2,#REF!)</f>
        <v>#REF!</v>
      </c>
      <c r="F18" s="6" t="e">
        <f>SUMIF(#REF!,$2:$2,#REF!)</f>
        <v>#REF!</v>
      </c>
      <c r="G18" s="6" t="e">
        <f>SUMIF(#REF!,$2:$2,#REF!)</f>
        <v>#REF!</v>
      </c>
      <c r="H18" s="6" t="e">
        <f>SUMIF(#REF!,$2:$2,#REF!)</f>
        <v>#REF!</v>
      </c>
      <c r="I18" s="6" t="e">
        <f>SUMIF(#REF!,$2:$2,#REF!)</f>
        <v>#REF!</v>
      </c>
      <c r="J18" s="6" t="e">
        <f>SUMIF(#REF!,$2:$2,#REF!)</f>
        <v>#REF!</v>
      </c>
      <c r="K18" s="6" t="e">
        <f>SUMIF(#REF!,$2:$2,#REF!)</f>
        <v>#REF!</v>
      </c>
      <c r="L18" s="6" t="e">
        <f>SUMIF(#REF!,$2:$2,#REF!)</f>
        <v>#REF!</v>
      </c>
      <c r="M18" s="6" t="e">
        <f>SUMIF(#REF!,$2:$2,#REF!)</f>
        <v>#REF!</v>
      </c>
      <c r="N18" s="6" t="e">
        <f>SUMIF(#REF!,$2:$2,#REF!)</f>
        <v>#REF!</v>
      </c>
      <c r="O18" s="6" t="e">
        <f>SUMIF(#REF!,$2:$2,#REF!)</f>
        <v>#REF!</v>
      </c>
      <c r="P18" s="6" t="e">
        <f>SUMIF(#REF!,$2:$2,#REF!)</f>
        <v>#REF!</v>
      </c>
      <c r="Q18" s="6" t="e">
        <f>SUMIF(#REF!,$2:$2,#REF!)</f>
        <v>#REF!</v>
      </c>
      <c r="R18" s="6" t="e">
        <f>SUMIF(#REF!,$2:$2,#REF!)</f>
        <v>#REF!</v>
      </c>
      <c r="S18" s="6" t="e">
        <f>SUMIF(#REF!,$2:$2,#REF!)</f>
        <v>#REF!</v>
      </c>
      <c r="T18" s="6" t="e">
        <f>SUMIF(#REF!,$2:$2,#REF!)</f>
        <v>#REF!</v>
      </c>
      <c r="U18" s="6" t="e">
        <f>SUMIF(#REF!,$2:$2,#REF!)</f>
        <v>#REF!</v>
      </c>
      <c r="V18" s="6" t="e">
        <f>SUMIF(#REF!,$2:$2,#REF!)</f>
        <v>#REF!</v>
      </c>
      <c r="W18" s="6" t="e">
        <f>SUMIF(#REF!,$2:$2,#REF!)</f>
        <v>#REF!</v>
      </c>
      <c r="X18" s="6" t="e">
        <f>SUMIF(#REF!,$2:$2,#REF!)</f>
        <v>#REF!</v>
      </c>
      <c r="Y18" s="6" t="e">
        <f>SUMIF(#REF!,$2:$2,#REF!)</f>
        <v>#REF!</v>
      </c>
      <c r="Z18" s="6" t="e">
        <f>SUMIF(#REF!,$2:$2,#REF!)</f>
        <v>#REF!</v>
      </c>
      <c r="AA18" s="6" t="e">
        <f>SUMIF(#REF!,$2:$2,#REF!)</f>
        <v>#REF!</v>
      </c>
      <c r="AB18" s="6" t="e">
        <f>SUMIF(#REF!,$2:$2,#REF!)</f>
        <v>#REF!</v>
      </c>
    </row>
    <row r="19" spans="1:28" s="8" customFormat="1" ht="27.75" customHeight="1" x14ac:dyDescent="0.25">
      <c r="A19" s="1" t="s">
        <v>14</v>
      </c>
      <c r="C19" s="9" t="e">
        <f>SUMIF(#REF!,$2:$2,#REF!)</f>
        <v>#REF!</v>
      </c>
      <c r="D19" s="9" t="e">
        <f>SUMIF(#REF!,$2:$2,#REF!)</f>
        <v>#REF!</v>
      </c>
      <c r="E19" s="9" t="e">
        <f>SUMIF(#REF!,$2:$2,#REF!)</f>
        <v>#REF!</v>
      </c>
      <c r="F19" s="9" t="e">
        <f>SUMIF(#REF!,$2:$2,#REF!)</f>
        <v>#REF!</v>
      </c>
      <c r="G19" s="9" t="e">
        <f>SUMIF(#REF!,$2:$2,#REF!)</f>
        <v>#REF!</v>
      </c>
      <c r="H19" s="9" t="e">
        <f>SUMIF(#REF!,$2:$2,#REF!)</f>
        <v>#REF!</v>
      </c>
      <c r="I19" s="9" t="e">
        <f>SUMIF(#REF!,$2:$2,#REF!)</f>
        <v>#REF!</v>
      </c>
      <c r="J19" s="9" t="e">
        <f>SUMIF(#REF!,$2:$2,#REF!)</f>
        <v>#REF!</v>
      </c>
      <c r="K19" s="9" t="e">
        <f>SUMIF(#REF!,$2:$2,#REF!)</f>
        <v>#REF!</v>
      </c>
      <c r="L19" s="9" t="e">
        <f>SUMIF(#REF!,$2:$2,#REF!)</f>
        <v>#REF!</v>
      </c>
      <c r="M19" s="9" t="e">
        <f>SUMIF(#REF!,$2:$2,#REF!)</f>
        <v>#REF!</v>
      </c>
      <c r="N19" s="9" t="e">
        <f>SUMIF(#REF!,$2:$2,#REF!)</f>
        <v>#REF!</v>
      </c>
      <c r="O19" s="9" t="e">
        <f>SUMIF(#REF!,$2:$2,#REF!)</f>
        <v>#REF!</v>
      </c>
      <c r="P19" s="9" t="e">
        <f>SUMIF(#REF!,$2:$2,#REF!)</f>
        <v>#REF!</v>
      </c>
      <c r="Q19" s="9" t="e">
        <f>SUMIF(#REF!,$2:$2,#REF!)</f>
        <v>#REF!</v>
      </c>
      <c r="R19" s="9" t="e">
        <f>SUMIF(#REF!,$2:$2,#REF!)</f>
        <v>#REF!</v>
      </c>
      <c r="S19" s="9" t="e">
        <f>SUMIF(#REF!,$2:$2,#REF!)</f>
        <v>#REF!</v>
      </c>
      <c r="T19" s="9" t="e">
        <f>SUMIF(#REF!,$2:$2,#REF!)</f>
        <v>#REF!</v>
      </c>
      <c r="U19" s="9" t="e">
        <f>SUMIF(#REF!,$2:$2,#REF!)</f>
        <v>#REF!</v>
      </c>
      <c r="V19" s="9" t="e">
        <f>SUMIF(#REF!,$2:$2,#REF!)</f>
        <v>#REF!</v>
      </c>
      <c r="W19" s="9" t="e">
        <f>SUMIF(#REF!,$2:$2,#REF!)</f>
        <v>#REF!</v>
      </c>
      <c r="X19" s="9" t="e">
        <f>SUMIF(#REF!,$2:$2,#REF!)</f>
        <v>#REF!</v>
      </c>
      <c r="Y19" s="9" t="e">
        <f>SUMIF(#REF!,$2:$2,#REF!)</f>
        <v>#REF!</v>
      </c>
      <c r="Z19" s="9" t="e">
        <f>SUMIF(#REF!,$2:$2,#REF!)</f>
        <v>#REF!</v>
      </c>
      <c r="AA19" s="9" t="e">
        <f>SUMIF(#REF!,$2:$2,#REF!)</f>
        <v>#REF!</v>
      </c>
      <c r="AB19" s="9" t="e">
        <f>SUMIF(#REF!,$2:$2,#REF!)</f>
        <v>#REF!</v>
      </c>
    </row>
    <row r="20" spans="1:28" ht="15" customHeight="1" x14ac:dyDescent="0.25">
      <c r="A20" s="4" t="s">
        <v>15</v>
      </c>
      <c r="B20" t="s">
        <v>61</v>
      </c>
      <c r="C20" s="6" t="e">
        <f>SUMIF(#REF!,$2:$2,#REF!)</f>
        <v>#REF!</v>
      </c>
      <c r="D20" s="6" t="e">
        <f>SUMIF(#REF!,$2:$2,#REF!)</f>
        <v>#REF!</v>
      </c>
      <c r="E20" s="6" t="e">
        <f>SUMIF(#REF!,$2:$2,#REF!)</f>
        <v>#REF!</v>
      </c>
      <c r="F20" s="6" t="e">
        <f>SUMIF(#REF!,$2:$2,#REF!)</f>
        <v>#REF!</v>
      </c>
      <c r="G20" s="6" t="e">
        <f>SUMIF(#REF!,$2:$2,#REF!)</f>
        <v>#REF!</v>
      </c>
      <c r="H20" s="6" t="e">
        <f>SUMIF(#REF!,$2:$2,#REF!)</f>
        <v>#REF!</v>
      </c>
      <c r="I20" s="6" t="e">
        <f>SUMIF(#REF!,$2:$2,#REF!)</f>
        <v>#REF!</v>
      </c>
      <c r="J20" s="6" t="e">
        <f>SUMIF(#REF!,$2:$2,#REF!)</f>
        <v>#REF!</v>
      </c>
      <c r="K20" s="6" t="e">
        <f>SUMIF(#REF!,$2:$2,#REF!)</f>
        <v>#REF!</v>
      </c>
      <c r="L20" s="6" t="e">
        <f>SUMIF(#REF!,$2:$2,#REF!)</f>
        <v>#REF!</v>
      </c>
      <c r="M20" s="6" t="e">
        <f>SUMIF(#REF!,$2:$2,#REF!)</f>
        <v>#REF!</v>
      </c>
      <c r="N20" s="6" t="e">
        <f>SUMIF(#REF!,$2:$2,#REF!)</f>
        <v>#REF!</v>
      </c>
      <c r="O20" s="6" t="e">
        <f>SUMIF(#REF!,$2:$2,#REF!)</f>
        <v>#REF!</v>
      </c>
      <c r="P20" s="6" t="e">
        <f>SUMIF(#REF!,$2:$2,#REF!)</f>
        <v>#REF!</v>
      </c>
      <c r="Q20" s="6" t="e">
        <f>SUMIF(#REF!,$2:$2,#REF!)</f>
        <v>#REF!</v>
      </c>
      <c r="R20" s="6" t="e">
        <f>SUMIF(#REF!,$2:$2,#REF!)</f>
        <v>#REF!</v>
      </c>
      <c r="S20" s="6" t="e">
        <f>SUMIF(#REF!,$2:$2,#REF!)</f>
        <v>#REF!</v>
      </c>
      <c r="T20" s="6" t="e">
        <f>SUMIF(#REF!,$2:$2,#REF!)</f>
        <v>#REF!</v>
      </c>
      <c r="U20" s="6" t="e">
        <f>SUMIF(#REF!,$2:$2,#REF!)</f>
        <v>#REF!</v>
      </c>
      <c r="V20" s="6" t="e">
        <f>SUMIF(#REF!,$2:$2,#REF!)</f>
        <v>#REF!</v>
      </c>
      <c r="W20" s="6" t="e">
        <f>SUMIF(#REF!,$2:$2,#REF!)</f>
        <v>#REF!</v>
      </c>
      <c r="X20" s="6" t="e">
        <f>SUMIF(#REF!,$2:$2,#REF!)</f>
        <v>#REF!</v>
      </c>
      <c r="Y20" s="6" t="e">
        <f>SUMIF(#REF!,$2:$2,#REF!)</f>
        <v>#REF!</v>
      </c>
      <c r="Z20" s="6" t="e">
        <f>SUMIF(#REF!,$2:$2,#REF!)</f>
        <v>#REF!</v>
      </c>
      <c r="AA20" s="6" t="e">
        <f>SUMIF(#REF!,$2:$2,#REF!)</f>
        <v>#REF!</v>
      </c>
      <c r="AB20" s="6" t="e">
        <f>SUMIF(#REF!,$2:$2,#REF!)</f>
        <v>#REF!</v>
      </c>
    </row>
    <row r="21" spans="1:28" ht="15" customHeight="1" x14ac:dyDescent="0.25">
      <c r="A21" s="4" t="s">
        <v>16</v>
      </c>
      <c r="B21" s="8" t="s">
        <v>61</v>
      </c>
      <c r="C21" s="6" t="e">
        <f>SUMIF(#REF!,$2:$2,#REF!)</f>
        <v>#REF!</v>
      </c>
      <c r="D21" s="6" t="e">
        <f>SUMIF(#REF!,$2:$2,#REF!)</f>
        <v>#REF!</v>
      </c>
      <c r="E21" s="6" t="e">
        <f>SUMIF(#REF!,$2:$2,#REF!)</f>
        <v>#REF!</v>
      </c>
      <c r="F21" s="6" t="e">
        <f>SUMIF(#REF!,$2:$2,#REF!)</f>
        <v>#REF!</v>
      </c>
      <c r="G21" s="6" t="e">
        <f>SUMIF(#REF!,$2:$2,#REF!)</f>
        <v>#REF!</v>
      </c>
      <c r="H21" s="6" t="e">
        <f>SUMIF(#REF!,$2:$2,#REF!)</f>
        <v>#REF!</v>
      </c>
      <c r="I21" s="6" t="e">
        <f>SUMIF(#REF!,$2:$2,#REF!)</f>
        <v>#REF!</v>
      </c>
      <c r="J21" s="6" t="e">
        <f>SUMIF(#REF!,$2:$2,#REF!)</f>
        <v>#REF!</v>
      </c>
      <c r="K21" s="6" t="e">
        <f>SUMIF(#REF!,$2:$2,#REF!)</f>
        <v>#REF!</v>
      </c>
      <c r="L21" s="6" t="e">
        <f>SUMIF(#REF!,$2:$2,#REF!)</f>
        <v>#REF!</v>
      </c>
      <c r="M21" s="6" t="e">
        <f>SUMIF(#REF!,$2:$2,#REF!)</f>
        <v>#REF!</v>
      </c>
      <c r="N21" s="6" t="e">
        <f>SUMIF(#REF!,$2:$2,#REF!)</f>
        <v>#REF!</v>
      </c>
      <c r="O21" s="6" t="e">
        <f>SUMIF(#REF!,$2:$2,#REF!)</f>
        <v>#REF!</v>
      </c>
      <c r="P21" s="6" t="e">
        <f>SUMIF(#REF!,$2:$2,#REF!)</f>
        <v>#REF!</v>
      </c>
      <c r="Q21" s="6" t="e">
        <f>SUMIF(#REF!,$2:$2,#REF!)</f>
        <v>#REF!</v>
      </c>
      <c r="R21" s="6" t="e">
        <f>SUMIF(#REF!,$2:$2,#REF!)</f>
        <v>#REF!</v>
      </c>
      <c r="S21" s="6" t="e">
        <f>SUMIF(#REF!,$2:$2,#REF!)</f>
        <v>#REF!</v>
      </c>
      <c r="T21" s="6" t="e">
        <f>SUMIF(#REF!,$2:$2,#REF!)</f>
        <v>#REF!</v>
      </c>
      <c r="U21" s="6" t="e">
        <f>SUMIF(#REF!,$2:$2,#REF!)</f>
        <v>#REF!</v>
      </c>
      <c r="V21" s="6" t="e">
        <f>SUMIF(#REF!,$2:$2,#REF!)</f>
        <v>#REF!</v>
      </c>
      <c r="W21" s="6" t="e">
        <f>SUMIF(#REF!,$2:$2,#REF!)</f>
        <v>#REF!</v>
      </c>
      <c r="X21" s="6" t="e">
        <f>SUMIF(#REF!,$2:$2,#REF!)</f>
        <v>#REF!</v>
      </c>
      <c r="Y21" s="6" t="e">
        <f>SUMIF(#REF!,$2:$2,#REF!)</f>
        <v>#REF!</v>
      </c>
      <c r="Z21" s="6" t="e">
        <f>SUMIF(#REF!,$2:$2,#REF!)</f>
        <v>#REF!</v>
      </c>
      <c r="AA21" s="6" t="e">
        <f>SUMIF(#REF!,$2:$2,#REF!)</f>
        <v>#REF!</v>
      </c>
      <c r="AB21" s="6" t="e">
        <f>SUMIF(#REF!,$2:$2,#REF!)</f>
        <v>#REF!</v>
      </c>
    </row>
    <row r="22" spans="1:28" ht="15" customHeight="1" x14ac:dyDescent="0.25">
      <c r="A22" s="4" t="s">
        <v>17</v>
      </c>
      <c r="B22" t="s">
        <v>62</v>
      </c>
      <c r="C22" s="6" t="e">
        <f>SUMIF([1]IndData!$C:$C,$2:$2,[1]IndData!$Q:$Q)</f>
        <v>#VALUE!</v>
      </c>
      <c r="D22" s="6" t="e">
        <f>SUMIF([1]IndData!$C:$C,$2:$2,[1]IndData!$Q:$Q)</f>
        <v>#VALUE!</v>
      </c>
      <c r="E22" s="6" t="e">
        <f>SUMIF([1]IndData!$C:$C,$2:$2,[1]IndData!$Q:$Q)</f>
        <v>#VALUE!</v>
      </c>
      <c r="F22" s="6" t="e">
        <f>SUMIF([1]IndData!$C:$C,$2:$2,[1]IndData!$Q:$Q)</f>
        <v>#VALUE!</v>
      </c>
      <c r="G22" s="6" t="e">
        <f>SUMIF([1]IndData!$C:$C,$2:$2,[1]IndData!$Q:$Q)</f>
        <v>#VALUE!</v>
      </c>
      <c r="H22" s="6" t="e">
        <f>SUMIF([1]IndData!$C:$C,$2:$2,[1]IndData!$Q:$Q)</f>
        <v>#VALUE!</v>
      </c>
      <c r="I22" s="6" t="e">
        <f>SUMIF([1]IndData!$C:$C,$2:$2,[1]IndData!$Q:$Q)</f>
        <v>#VALUE!</v>
      </c>
      <c r="J22" s="6" t="e">
        <f>SUMIF([1]IndData!$C:$C,$2:$2,[1]IndData!$Q:$Q)</f>
        <v>#VALUE!</v>
      </c>
      <c r="K22" s="6" t="e">
        <f>SUMIF([1]IndData!$C:$C,$2:$2,[1]IndData!$Q:$Q)</f>
        <v>#VALUE!</v>
      </c>
      <c r="L22" s="6" t="e">
        <f>SUMIF([1]IndData!$C:$C,$2:$2,[1]IndData!$Q:$Q)</f>
        <v>#VALUE!</v>
      </c>
      <c r="M22" s="6" t="e">
        <f>SUMIF([1]IndData!$C:$C,$2:$2,[1]IndData!$Q:$Q)</f>
        <v>#VALUE!</v>
      </c>
      <c r="N22" s="6" t="e">
        <f>SUMIF([1]IndData!$C:$C,$2:$2,[1]IndData!$Q:$Q)</f>
        <v>#VALUE!</v>
      </c>
      <c r="O22" s="6" t="e">
        <f>SUMIF([1]IndData!$C:$C,$2:$2,[1]IndData!$Q:$Q)</f>
        <v>#VALUE!</v>
      </c>
      <c r="P22" s="6" t="e">
        <f>SUMIF([1]IndData!$C:$C,$2:$2,[1]IndData!$Q:$Q)</f>
        <v>#VALUE!</v>
      </c>
      <c r="Q22" s="6" t="e">
        <f>SUMIF([1]IndData!$C:$C,$2:$2,[1]IndData!$Q:$Q)</f>
        <v>#VALUE!</v>
      </c>
      <c r="R22" s="6" t="e">
        <f>SUMIF([1]IndData!$C:$C,$2:$2,[1]IndData!$Q:$Q)</f>
        <v>#VALUE!</v>
      </c>
      <c r="S22" s="6" t="e">
        <f>SUMIF([1]IndData!$C:$C,$2:$2,[1]IndData!$Q:$Q)</f>
        <v>#VALUE!</v>
      </c>
      <c r="T22" s="6" t="e">
        <f>SUMIF([1]IndData!$C:$C,$2:$2,[1]IndData!$Q:$Q)</f>
        <v>#VALUE!</v>
      </c>
      <c r="U22" s="6" t="e">
        <f>SUMIF([1]IndData!$C:$C,$2:$2,[1]IndData!$Q:$Q)</f>
        <v>#VALUE!</v>
      </c>
      <c r="V22" s="6" t="e">
        <f>SUMIF([1]IndData!$C:$C,$2:$2,[1]IndData!$Q:$Q)</f>
        <v>#VALUE!</v>
      </c>
      <c r="W22" s="6" t="e">
        <f>SUMIF([1]IndData!$C:$C,$2:$2,[1]IndData!$Q:$Q)</f>
        <v>#VALUE!</v>
      </c>
      <c r="X22" s="6" t="e">
        <f>SUMIF([1]IndData!$C:$C,$2:$2,[1]IndData!$Q:$Q)</f>
        <v>#VALUE!</v>
      </c>
      <c r="Y22" s="6" t="e">
        <f>SUMIF([1]IndData!$C:$C,$2:$2,[1]IndData!$Q:$Q)</f>
        <v>#VALUE!</v>
      </c>
      <c r="Z22" s="6" t="e">
        <f>SUMIF([1]IndData!$C:$C,$2:$2,[1]IndData!$Q:$Q)</f>
        <v>#VALUE!</v>
      </c>
      <c r="AA22" s="6" t="e">
        <f>SUMIF([1]IndData!$C:$C,$2:$2,[1]IndData!$Q:$Q)</f>
        <v>#VALUE!</v>
      </c>
      <c r="AB22" s="6" t="e">
        <f>SUMIF([1]IndData!$C:$C,$2:$2,[1]IndData!$Q:$Q)</f>
        <v>#VALUE!</v>
      </c>
    </row>
    <row r="23" spans="1:28" ht="15" customHeight="1" x14ac:dyDescent="0.25">
      <c r="A23" s="4" t="s">
        <v>18</v>
      </c>
      <c r="B23" t="s">
        <v>62</v>
      </c>
      <c r="C23" s="6" t="e">
        <f>SUMIF([1]IndData!$C:$C,$2:$2,[1]IndData!$R:$R)</f>
        <v>#VALUE!</v>
      </c>
      <c r="D23" s="6" t="e">
        <f>SUMIF([1]IndData!$C:$C,$2:$2,[1]IndData!$R:$R)</f>
        <v>#VALUE!</v>
      </c>
      <c r="E23" s="6" t="e">
        <f>SUMIF([1]IndData!$C:$C,$2:$2,[1]IndData!$R:$R)</f>
        <v>#VALUE!</v>
      </c>
      <c r="F23" s="6" t="e">
        <f>SUMIF([1]IndData!$C:$C,$2:$2,[1]IndData!$R:$R)</f>
        <v>#VALUE!</v>
      </c>
      <c r="G23" s="6" t="e">
        <f>SUMIF([1]IndData!$C:$C,$2:$2,[1]IndData!$R:$R)</f>
        <v>#VALUE!</v>
      </c>
      <c r="H23" s="6" t="e">
        <f>SUMIF([1]IndData!$C:$C,$2:$2,[1]IndData!$R:$R)</f>
        <v>#VALUE!</v>
      </c>
      <c r="I23" s="6" t="e">
        <f>SUMIF([1]IndData!$C:$C,$2:$2,[1]IndData!$R:$R)</f>
        <v>#VALUE!</v>
      </c>
      <c r="J23" s="6" t="e">
        <f>SUMIF([1]IndData!$C:$C,$2:$2,[1]IndData!$R:$R)</f>
        <v>#VALUE!</v>
      </c>
      <c r="K23" s="6" t="e">
        <f>SUMIF([1]IndData!$C:$C,$2:$2,[1]IndData!$R:$R)</f>
        <v>#VALUE!</v>
      </c>
      <c r="L23" s="6" t="e">
        <f>SUMIF([1]IndData!$C:$C,$2:$2,[1]IndData!$R:$R)</f>
        <v>#VALUE!</v>
      </c>
      <c r="M23" s="6" t="e">
        <f>SUMIF([1]IndData!$C:$C,$2:$2,[1]IndData!$R:$R)</f>
        <v>#VALUE!</v>
      </c>
      <c r="N23" s="6" t="e">
        <f>SUMIF([1]IndData!$C:$C,$2:$2,[1]IndData!$R:$R)</f>
        <v>#VALUE!</v>
      </c>
      <c r="O23" s="6" t="e">
        <f>SUMIF([1]IndData!$C:$C,$2:$2,[1]IndData!$R:$R)</f>
        <v>#VALUE!</v>
      </c>
      <c r="P23" s="6" t="e">
        <f>SUMIF([1]IndData!$C:$C,$2:$2,[1]IndData!$R:$R)</f>
        <v>#VALUE!</v>
      </c>
      <c r="Q23" s="6" t="e">
        <f>SUMIF([1]IndData!$C:$C,$2:$2,[1]IndData!$R:$R)</f>
        <v>#VALUE!</v>
      </c>
      <c r="R23" s="6" t="e">
        <f>SUMIF([1]IndData!$C:$C,$2:$2,[1]IndData!$R:$R)</f>
        <v>#VALUE!</v>
      </c>
      <c r="S23" s="6" t="e">
        <f>SUMIF([1]IndData!$C:$C,$2:$2,[1]IndData!$R:$R)</f>
        <v>#VALUE!</v>
      </c>
      <c r="T23" s="6" t="e">
        <f>SUMIF([1]IndData!$C:$C,$2:$2,[1]IndData!$R:$R)</f>
        <v>#VALUE!</v>
      </c>
      <c r="U23" s="6" t="e">
        <f>SUMIF([1]IndData!$C:$C,$2:$2,[1]IndData!$R:$R)</f>
        <v>#VALUE!</v>
      </c>
      <c r="V23" s="6" t="e">
        <f>SUMIF([1]IndData!$C:$C,$2:$2,[1]IndData!$R:$R)</f>
        <v>#VALUE!</v>
      </c>
      <c r="W23" s="6" t="e">
        <f>SUMIF([1]IndData!$C:$C,$2:$2,[1]IndData!$R:$R)</f>
        <v>#VALUE!</v>
      </c>
      <c r="X23" s="6" t="e">
        <f>SUMIF([1]IndData!$C:$C,$2:$2,[1]IndData!$R:$R)</f>
        <v>#VALUE!</v>
      </c>
      <c r="Y23" s="6" t="e">
        <f>SUMIF([1]IndData!$C:$C,$2:$2,[1]IndData!$R:$R)</f>
        <v>#VALUE!</v>
      </c>
      <c r="Z23" s="6" t="e">
        <f>SUMIF([1]IndData!$C:$C,$2:$2,[1]IndData!$R:$R)</f>
        <v>#VALUE!</v>
      </c>
      <c r="AA23" s="6" t="e">
        <f>SUMIF([1]IndData!$C:$C,$2:$2,[1]IndData!$R:$R)</f>
        <v>#VALUE!</v>
      </c>
      <c r="AB23" s="6" t="e">
        <f>SUMIF([1]IndData!$C:$C,$2:$2,[1]IndData!$R:$R)</f>
        <v>#VALUE!</v>
      </c>
    </row>
    <row r="24" spans="1:28" ht="15" customHeight="1" x14ac:dyDescent="0.25">
      <c r="A24" s="4" t="s">
        <v>19</v>
      </c>
      <c r="B24" t="s">
        <v>62</v>
      </c>
      <c r="C24" s="6" t="e">
        <f>SUMIF([1]IndData!$C:$C,$2:$2,[1]IndData!$S:$S)</f>
        <v>#VALUE!</v>
      </c>
      <c r="D24" s="6" t="e">
        <f>SUMIF([1]IndData!$C:$C,$2:$2,[1]IndData!$S:$S)</f>
        <v>#VALUE!</v>
      </c>
      <c r="E24" s="6" t="e">
        <f>SUMIF([1]IndData!$C:$C,$2:$2,[1]IndData!$S:$S)</f>
        <v>#VALUE!</v>
      </c>
      <c r="F24" s="6" t="e">
        <f>SUMIF([1]IndData!$C:$C,$2:$2,[1]IndData!$S:$S)</f>
        <v>#VALUE!</v>
      </c>
      <c r="G24" s="6" t="e">
        <f>SUMIF([1]IndData!$C:$C,$2:$2,[1]IndData!$S:$S)</f>
        <v>#VALUE!</v>
      </c>
      <c r="H24" s="6" t="e">
        <f>SUMIF([1]IndData!$C:$C,$2:$2,[1]IndData!$S:$S)</f>
        <v>#VALUE!</v>
      </c>
      <c r="I24" s="6" t="e">
        <f>SUMIF([1]IndData!$C:$C,$2:$2,[1]IndData!$S:$S)</f>
        <v>#VALUE!</v>
      </c>
      <c r="J24" s="6" t="e">
        <f>SUMIF([1]IndData!$C:$C,$2:$2,[1]IndData!$S:$S)</f>
        <v>#VALUE!</v>
      </c>
      <c r="K24" s="6" t="e">
        <f>SUMIF([1]IndData!$C:$C,$2:$2,[1]IndData!$S:$S)</f>
        <v>#VALUE!</v>
      </c>
      <c r="L24" s="6" t="e">
        <f>SUMIF([1]IndData!$C:$C,$2:$2,[1]IndData!$S:$S)</f>
        <v>#VALUE!</v>
      </c>
      <c r="M24" s="6" t="e">
        <f>SUMIF([1]IndData!$C:$C,$2:$2,[1]IndData!$S:$S)</f>
        <v>#VALUE!</v>
      </c>
      <c r="N24" s="6" t="e">
        <f>SUMIF([1]IndData!$C:$C,$2:$2,[1]IndData!$S:$S)</f>
        <v>#VALUE!</v>
      </c>
      <c r="O24" s="6" t="e">
        <f>SUMIF([1]IndData!$C:$C,$2:$2,[1]IndData!$S:$S)</f>
        <v>#VALUE!</v>
      </c>
      <c r="P24" s="6" t="e">
        <f>SUMIF([1]IndData!$C:$C,$2:$2,[1]IndData!$S:$S)</f>
        <v>#VALUE!</v>
      </c>
      <c r="Q24" s="6" t="e">
        <f>SUMIF([1]IndData!$C:$C,$2:$2,[1]IndData!$S:$S)</f>
        <v>#VALUE!</v>
      </c>
      <c r="R24" s="6" t="e">
        <f>SUMIF([1]IndData!$C:$C,$2:$2,[1]IndData!$S:$S)</f>
        <v>#VALUE!</v>
      </c>
      <c r="S24" s="6" t="e">
        <f>SUMIF([1]IndData!$C:$C,$2:$2,[1]IndData!$S:$S)</f>
        <v>#VALUE!</v>
      </c>
      <c r="T24" s="6" t="e">
        <f>SUMIF([1]IndData!$C:$C,$2:$2,[1]IndData!$S:$S)</f>
        <v>#VALUE!</v>
      </c>
      <c r="U24" s="6" t="e">
        <f>SUMIF([1]IndData!$C:$C,$2:$2,[1]IndData!$S:$S)</f>
        <v>#VALUE!</v>
      </c>
      <c r="V24" s="6" t="e">
        <f>SUMIF([1]IndData!$C:$C,$2:$2,[1]IndData!$S:$S)</f>
        <v>#VALUE!</v>
      </c>
      <c r="W24" s="6" t="e">
        <f>SUMIF([1]IndData!$C:$C,$2:$2,[1]IndData!$S:$S)</f>
        <v>#VALUE!</v>
      </c>
      <c r="X24" s="6" t="e">
        <f>SUMIF([1]IndData!$C:$C,$2:$2,[1]IndData!$S:$S)</f>
        <v>#VALUE!</v>
      </c>
      <c r="Y24" s="6" t="e">
        <f>SUMIF([1]IndData!$C:$C,$2:$2,[1]IndData!$S:$S)</f>
        <v>#VALUE!</v>
      </c>
      <c r="Z24" s="6" t="e">
        <f>SUMIF([1]IndData!$C:$C,$2:$2,[1]IndData!$S:$S)</f>
        <v>#VALUE!</v>
      </c>
      <c r="AA24" s="6" t="e">
        <f>SUMIF([1]IndData!$C:$C,$2:$2,[1]IndData!$S:$S)</f>
        <v>#VALUE!</v>
      </c>
      <c r="AB24" s="6" t="e">
        <f>SUMIF([1]IndData!$C:$C,$2:$2,[1]IndData!$S:$S)</f>
        <v>#VALUE!</v>
      </c>
    </row>
    <row r="25" spans="1:28" ht="15" customHeight="1" x14ac:dyDescent="0.25">
      <c r="A25" s="4" t="s">
        <v>20</v>
      </c>
      <c r="B25" t="s">
        <v>62</v>
      </c>
      <c r="C25" s="6" t="e">
        <f>SUMIF([1]IndData!$C:$C,$2:$2,[1]IndData!$T:$T)</f>
        <v>#VALUE!</v>
      </c>
      <c r="D25" s="6" t="e">
        <f>SUMIF([1]IndData!$C:$C,$2:$2,[1]IndData!$T:$T)</f>
        <v>#VALUE!</v>
      </c>
      <c r="E25" s="6" t="e">
        <f>SUMIF([1]IndData!$C:$C,$2:$2,[1]IndData!$T:$T)</f>
        <v>#VALUE!</v>
      </c>
      <c r="F25" s="6" t="e">
        <f>SUMIF([1]IndData!$C:$C,$2:$2,[1]IndData!$T:$T)</f>
        <v>#VALUE!</v>
      </c>
      <c r="G25" s="6" t="e">
        <f>SUMIF([1]IndData!$C:$C,$2:$2,[1]IndData!$T:$T)</f>
        <v>#VALUE!</v>
      </c>
      <c r="H25" s="6" t="e">
        <f>SUMIF([1]IndData!$C:$C,$2:$2,[1]IndData!$T:$T)</f>
        <v>#VALUE!</v>
      </c>
      <c r="I25" s="6" t="e">
        <f>SUMIF([1]IndData!$C:$C,$2:$2,[1]IndData!$T:$T)</f>
        <v>#VALUE!</v>
      </c>
      <c r="J25" s="6" t="e">
        <f>SUMIF([1]IndData!$C:$C,$2:$2,[1]IndData!$T:$T)</f>
        <v>#VALUE!</v>
      </c>
      <c r="K25" s="6" t="e">
        <f>SUMIF([1]IndData!$C:$C,$2:$2,[1]IndData!$T:$T)</f>
        <v>#VALUE!</v>
      </c>
      <c r="L25" s="6" t="e">
        <f>SUMIF([1]IndData!$C:$C,$2:$2,[1]IndData!$T:$T)</f>
        <v>#VALUE!</v>
      </c>
      <c r="M25" s="6" t="e">
        <f>SUMIF([1]IndData!$C:$C,$2:$2,[1]IndData!$T:$T)</f>
        <v>#VALUE!</v>
      </c>
      <c r="N25" s="6" t="e">
        <f>SUMIF([1]IndData!$C:$C,$2:$2,[1]IndData!$T:$T)</f>
        <v>#VALUE!</v>
      </c>
      <c r="O25" s="6" t="e">
        <f>SUMIF([1]IndData!$C:$C,$2:$2,[1]IndData!$T:$T)</f>
        <v>#VALUE!</v>
      </c>
      <c r="P25" s="6" t="e">
        <f>SUMIF([1]IndData!$C:$C,$2:$2,[1]IndData!$T:$T)</f>
        <v>#VALUE!</v>
      </c>
      <c r="Q25" s="6" t="e">
        <f>SUMIF([1]IndData!$C:$C,$2:$2,[1]IndData!$T:$T)</f>
        <v>#VALUE!</v>
      </c>
      <c r="R25" s="6" t="e">
        <f>SUMIF([1]IndData!$C:$C,$2:$2,[1]IndData!$T:$T)</f>
        <v>#VALUE!</v>
      </c>
      <c r="S25" s="6" t="e">
        <f>SUMIF([1]IndData!$C:$C,$2:$2,[1]IndData!$T:$T)</f>
        <v>#VALUE!</v>
      </c>
      <c r="T25" s="6" t="e">
        <f>SUMIF([1]IndData!$C:$C,$2:$2,[1]IndData!$T:$T)</f>
        <v>#VALUE!</v>
      </c>
      <c r="U25" s="6" t="e">
        <f>SUMIF([1]IndData!$C:$C,$2:$2,[1]IndData!$T:$T)</f>
        <v>#VALUE!</v>
      </c>
      <c r="V25" s="6" t="e">
        <f>SUMIF([1]IndData!$C:$C,$2:$2,[1]IndData!$T:$T)</f>
        <v>#VALUE!</v>
      </c>
      <c r="W25" s="6" t="e">
        <f>SUMIF([1]IndData!$C:$C,$2:$2,[1]IndData!$T:$T)</f>
        <v>#VALUE!</v>
      </c>
      <c r="X25" s="6" t="e">
        <f>SUMIF([1]IndData!$C:$C,$2:$2,[1]IndData!$T:$T)</f>
        <v>#VALUE!</v>
      </c>
      <c r="Y25" s="6" t="e">
        <f>SUMIF([1]IndData!$C:$C,$2:$2,[1]IndData!$T:$T)</f>
        <v>#VALUE!</v>
      </c>
      <c r="Z25" s="6" t="e">
        <f>SUMIF([1]IndData!$C:$C,$2:$2,[1]IndData!$T:$T)</f>
        <v>#VALUE!</v>
      </c>
      <c r="AA25" s="6" t="e">
        <f>SUMIF([1]IndData!$C:$C,$2:$2,[1]IndData!$T:$T)</f>
        <v>#VALUE!</v>
      </c>
      <c r="AB25" s="6" t="e">
        <f>SUMIF([1]IndData!$C:$C,$2:$2,[1]IndData!$T:$T)</f>
        <v>#VALUE!</v>
      </c>
    </row>
    <row r="26" spans="1:28" ht="15" customHeight="1" x14ac:dyDescent="0.25">
      <c r="A26" s="4" t="s">
        <v>21</v>
      </c>
      <c r="B26" t="s">
        <v>61</v>
      </c>
      <c r="C26" s="6" t="e">
        <f>SUMIF(#REF!,$2:$2,#REF!)</f>
        <v>#REF!</v>
      </c>
      <c r="D26" s="6" t="e">
        <f>SUMIF(#REF!,$2:$2,#REF!)</f>
        <v>#REF!</v>
      </c>
      <c r="E26" s="6" t="e">
        <f>SUMIF(#REF!,$2:$2,#REF!)</f>
        <v>#REF!</v>
      </c>
      <c r="F26" s="6" t="e">
        <f>SUMIF(#REF!,$2:$2,#REF!)</f>
        <v>#REF!</v>
      </c>
      <c r="G26" s="6" t="e">
        <f>SUMIF(#REF!,$2:$2,#REF!)</f>
        <v>#REF!</v>
      </c>
      <c r="H26" s="6" t="e">
        <f>SUMIF(#REF!,$2:$2,#REF!)</f>
        <v>#REF!</v>
      </c>
      <c r="I26" s="6" t="e">
        <f>SUMIF(#REF!,$2:$2,#REF!)</f>
        <v>#REF!</v>
      </c>
      <c r="J26" s="6" t="e">
        <f>SUMIF(#REF!,$2:$2,#REF!)</f>
        <v>#REF!</v>
      </c>
      <c r="K26" s="6" t="e">
        <f>SUMIF(#REF!,$2:$2,#REF!)</f>
        <v>#REF!</v>
      </c>
      <c r="L26" s="6" t="e">
        <f>SUMIF(#REF!,$2:$2,#REF!)</f>
        <v>#REF!</v>
      </c>
      <c r="M26" s="6" t="e">
        <f>SUMIF(#REF!,$2:$2,#REF!)</f>
        <v>#REF!</v>
      </c>
      <c r="N26" s="6" t="e">
        <f>SUMIF(#REF!,$2:$2,#REF!)</f>
        <v>#REF!</v>
      </c>
      <c r="O26" s="6" t="e">
        <f>SUMIF(#REF!,$2:$2,#REF!)</f>
        <v>#REF!</v>
      </c>
      <c r="P26" s="6" t="e">
        <f>SUMIF(#REF!,$2:$2,#REF!)</f>
        <v>#REF!</v>
      </c>
      <c r="Q26" s="6" t="e">
        <f>SUMIF(#REF!,$2:$2,#REF!)</f>
        <v>#REF!</v>
      </c>
      <c r="R26" s="6" t="e">
        <f>SUMIF(#REF!,$2:$2,#REF!)</f>
        <v>#REF!</v>
      </c>
      <c r="S26" s="6" t="e">
        <f>SUMIF(#REF!,$2:$2,#REF!)</f>
        <v>#REF!</v>
      </c>
      <c r="T26" s="6" t="e">
        <f>SUMIF(#REF!,$2:$2,#REF!)</f>
        <v>#REF!</v>
      </c>
      <c r="U26" s="6" t="e">
        <f>SUMIF(#REF!,$2:$2,#REF!)</f>
        <v>#REF!</v>
      </c>
      <c r="V26" s="6" t="e">
        <f>SUMIF(#REF!,$2:$2,#REF!)</f>
        <v>#REF!</v>
      </c>
      <c r="W26" s="6" t="e">
        <f>SUMIF(#REF!,$2:$2,#REF!)</f>
        <v>#REF!</v>
      </c>
      <c r="X26" s="6" t="e">
        <f>SUMIF(#REF!,$2:$2,#REF!)</f>
        <v>#REF!</v>
      </c>
      <c r="Y26" s="6" t="e">
        <f>SUMIF(#REF!,$2:$2,#REF!)</f>
        <v>#REF!</v>
      </c>
      <c r="Z26" s="6" t="e">
        <f>SUMIF(#REF!,$2:$2,#REF!)</f>
        <v>#REF!</v>
      </c>
      <c r="AA26" s="6" t="e">
        <f>SUMIF(#REF!,$2:$2,#REF!)</f>
        <v>#REF!</v>
      </c>
      <c r="AB26" s="6" t="e">
        <f>SUMIF(#REF!,$2:$2,#REF!)</f>
        <v>#REF!</v>
      </c>
    </row>
    <row r="27" spans="1:28" ht="15" customHeight="1" x14ac:dyDescent="0.25">
      <c r="A27" s="4" t="s">
        <v>22</v>
      </c>
      <c r="B27" t="s">
        <v>62</v>
      </c>
      <c r="C27" s="6" t="e">
        <f>SUMIF([1]IndData!$C:$C,$2:$2,[1]IndData!$V:$V)</f>
        <v>#VALUE!</v>
      </c>
      <c r="D27" s="6" t="e">
        <f>SUMIF([1]IndData!$C:$C,$2:$2,[1]IndData!$V:$V)</f>
        <v>#VALUE!</v>
      </c>
      <c r="E27" s="6" t="e">
        <f>SUMIF([1]IndData!$C:$C,$2:$2,[1]IndData!$V:$V)</f>
        <v>#VALUE!</v>
      </c>
      <c r="F27" s="6" t="e">
        <f>SUMIF([1]IndData!$C:$C,$2:$2,[1]IndData!$V:$V)</f>
        <v>#VALUE!</v>
      </c>
      <c r="G27" s="6" t="e">
        <f>SUMIF([1]IndData!$C:$C,$2:$2,[1]IndData!$V:$V)</f>
        <v>#VALUE!</v>
      </c>
      <c r="H27" s="6" t="e">
        <f>SUMIF([1]IndData!$C:$C,$2:$2,[1]IndData!$V:$V)</f>
        <v>#VALUE!</v>
      </c>
      <c r="I27" s="6" t="e">
        <f>SUMIF([1]IndData!$C:$C,$2:$2,[1]IndData!$V:$V)</f>
        <v>#VALUE!</v>
      </c>
      <c r="J27" s="6" t="e">
        <f>SUMIF([1]IndData!$C:$C,$2:$2,[1]IndData!$V:$V)</f>
        <v>#VALUE!</v>
      </c>
      <c r="K27" s="6" t="e">
        <f>SUMIF([1]IndData!$C:$C,$2:$2,[1]IndData!$V:$V)</f>
        <v>#VALUE!</v>
      </c>
      <c r="L27" s="6" t="e">
        <f>SUMIF([1]IndData!$C:$C,$2:$2,[1]IndData!$V:$V)</f>
        <v>#VALUE!</v>
      </c>
      <c r="M27" s="6" t="e">
        <f>SUMIF([1]IndData!$C:$C,$2:$2,[1]IndData!$V:$V)</f>
        <v>#VALUE!</v>
      </c>
      <c r="N27" s="6" t="e">
        <f>SUMIF([1]IndData!$C:$C,$2:$2,[1]IndData!$V:$V)</f>
        <v>#VALUE!</v>
      </c>
      <c r="O27" s="6" t="e">
        <f>SUMIF([1]IndData!$C:$C,$2:$2,[1]IndData!$V:$V)</f>
        <v>#VALUE!</v>
      </c>
      <c r="P27" s="6" t="e">
        <f>SUMIF([1]IndData!$C:$C,$2:$2,[1]IndData!$V:$V)</f>
        <v>#VALUE!</v>
      </c>
      <c r="Q27" s="6" t="e">
        <f>SUMIF([1]IndData!$C:$C,$2:$2,[1]IndData!$V:$V)</f>
        <v>#VALUE!</v>
      </c>
      <c r="R27" s="6" t="e">
        <f>SUMIF([1]IndData!$C:$C,$2:$2,[1]IndData!$V:$V)</f>
        <v>#VALUE!</v>
      </c>
      <c r="S27" s="6" t="e">
        <f>SUMIF([1]IndData!$C:$C,$2:$2,[1]IndData!$V:$V)</f>
        <v>#VALUE!</v>
      </c>
      <c r="T27" s="6" t="e">
        <f>SUMIF([1]IndData!$C:$C,$2:$2,[1]IndData!$V:$V)</f>
        <v>#VALUE!</v>
      </c>
      <c r="U27" s="6" t="e">
        <f>SUMIF([1]IndData!$C:$C,$2:$2,[1]IndData!$V:$V)</f>
        <v>#VALUE!</v>
      </c>
      <c r="V27" s="6" t="e">
        <f>SUMIF([1]IndData!$C:$C,$2:$2,[1]IndData!$V:$V)</f>
        <v>#VALUE!</v>
      </c>
      <c r="W27" s="6" t="e">
        <f>SUMIF([1]IndData!$C:$C,$2:$2,[1]IndData!$V:$V)</f>
        <v>#VALUE!</v>
      </c>
      <c r="X27" s="6" t="e">
        <f>SUMIF([1]IndData!$C:$C,$2:$2,[1]IndData!$V:$V)</f>
        <v>#VALUE!</v>
      </c>
      <c r="Y27" s="6" t="e">
        <f>SUMIF([1]IndData!$C:$C,$2:$2,[1]IndData!$V:$V)</f>
        <v>#VALUE!</v>
      </c>
      <c r="Z27" s="6" t="e">
        <f>SUMIF([1]IndData!$C:$C,$2:$2,[1]IndData!$V:$V)</f>
        <v>#VALUE!</v>
      </c>
      <c r="AA27" s="6" t="e">
        <f>SUMIF([1]IndData!$C:$C,$2:$2,[1]IndData!$V:$V)</f>
        <v>#VALUE!</v>
      </c>
      <c r="AB27" s="6" t="e">
        <f>SUMIF([1]IndData!$C:$C,$2:$2,[1]IndData!$V:$V)</f>
        <v>#VALUE!</v>
      </c>
    </row>
    <row r="28" spans="1:28" ht="15" customHeight="1" x14ac:dyDescent="0.25">
      <c r="A28" s="4" t="s">
        <v>23</v>
      </c>
      <c r="B28" t="s">
        <v>62</v>
      </c>
      <c r="C28" s="6" t="e">
        <f>SUMIF([1]IndData!$C:$C,$2:$2,[1]IndData!$W:$W)</f>
        <v>#VALUE!</v>
      </c>
      <c r="D28" s="6" t="e">
        <f>SUMIF([1]IndData!$C:$C,$2:$2,[1]IndData!$W:$W)</f>
        <v>#VALUE!</v>
      </c>
      <c r="E28" s="6" t="e">
        <f>SUMIF([1]IndData!$C:$C,$2:$2,[1]IndData!$W:$W)</f>
        <v>#VALUE!</v>
      </c>
      <c r="F28" s="6" t="e">
        <f>SUMIF([1]IndData!$C:$C,$2:$2,[1]IndData!$W:$W)</f>
        <v>#VALUE!</v>
      </c>
      <c r="G28" s="6" t="e">
        <f>SUMIF([1]IndData!$C:$C,$2:$2,[1]IndData!$W:$W)</f>
        <v>#VALUE!</v>
      </c>
      <c r="H28" s="6" t="e">
        <f>SUMIF([1]IndData!$C:$C,$2:$2,[1]IndData!$W:$W)</f>
        <v>#VALUE!</v>
      </c>
      <c r="I28" s="6" t="e">
        <f>SUMIF([1]IndData!$C:$C,$2:$2,[1]IndData!$W:$W)</f>
        <v>#VALUE!</v>
      </c>
      <c r="J28" s="6" t="e">
        <f>SUMIF([1]IndData!$C:$C,$2:$2,[1]IndData!$W:$W)</f>
        <v>#VALUE!</v>
      </c>
      <c r="K28" s="6" t="e">
        <f>SUMIF([1]IndData!$C:$C,$2:$2,[1]IndData!$W:$W)</f>
        <v>#VALUE!</v>
      </c>
      <c r="L28" s="6" t="e">
        <f>SUMIF([1]IndData!$C:$C,$2:$2,[1]IndData!$W:$W)</f>
        <v>#VALUE!</v>
      </c>
      <c r="M28" s="6" t="e">
        <f>SUMIF([1]IndData!$C:$C,$2:$2,[1]IndData!$W:$W)</f>
        <v>#VALUE!</v>
      </c>
      <c r="N28" s="6" t="e">
        <f>SUMIF([1]IndData!$C:$C,$2:$2,[1]IndData!$W:$W)</f>
        <v>#VALUE!</v>
      </c>
      <c r="O28" s="6" t="e">
        <f>SUMIF([1]IndData!$C:$C,$2:$2,[1]IndData!$W:$W)</f>
        <v>#VALUE!</v>
      </c>
      <c r="P28" s="6" t="e">
        <f>SUMIF([1]IndData!$C:$C,$2:$2,[1]IndData!$W:$W)</f>
        <v>#VALUE!</v>
      </c>
      <c r="Q28" s="6" t="e">
        <f>SUMIF([1]IndData!$C:$C,$2:$2,[1]IndData!$W:$W)</f>
        <v>#VALUE!</v>
      </c>
      <c r="R28" s="6" t="e">
        <f>SUMIF([1]IndData!$C:$C,$2:$2,[1]IndData!$W:$W)</f>
        <v>#VALUE!</v>
      </c>
      <c r="S28" s="6" t="e">
        <f>SUMIF([1]IndData!$C:$C,$2:$2,[1]IndData!$W:$W)</f>
        <v>#VALUE!</v>
      </c>
      <c r="T28" s="6" t="e">
        <f>SUMIF([1]IndData!$C:$C,$2:$2,[1]IndData!$W:$W)</f>
        <v>#VALUE!</v>
      </c>
      <c r="U28" s="6" t="e">
        <f>SUMIF([1]IndData!$C:$C,$2:$2,[1]IndData!$W:$W)</f>
        <v>#VALUE!</v>
      </c>
      <c r="V28" s="6" t="e">
        <f>SUMIF([1]IndData!$C:$C,$2:$2,[1]IndData!$W:$W)</f>
        <v>#VALUE!</v>
      </c>
      <c r="W28" s="6" t="e">
        <f>SUMIF([1]IndData!$C:$C,$2:$2,[1]IndData!$W:$W)</f>
        <v>#VALUE!</v>
      </c>
      <c r="X28" s="6" t="e">
        <f>SUMIF([1]IndData!$C:$C,$2:$2,[1]IndData!$W:$W)</f>
        <v>#VALUE!</v>
      </c>
      <c r="Y28" s="6" t="e">
        <f>SUMIF([1]IndData!$C:$C,$2:$2,[1]IndData!$W:$W)</f>
        <v>#VALUE!</v>
      </c>
      <c r="Z28" s="6" t="e">
        <f>SUMIF([1]IndData!$C:$C,$2:$2,[1]IndData!$W:$W)</f>
        <v>#VALUE!</v>
      </c>
      <c r="AA28" s="6" t="e">
        <f>SUMIF([1]IndData!$C:$C,$2:$2,[1]IndData!$W:$W)</f>
        <v>#VALUE!</v>
      </c>
      <c r="AB28" s="6" t="e">
        <f>SUMIF([1]IndData!$C:$C,$2:$2,[1]IndData!$W:$W)</f>
        <v>#VALUE!</v>
      </c>
    </row>
    <row r="29" spans="1:28" ht="15" customHeight="1" x14ac:dyDescent="0.25">
      <c r="A29" s="4" t="s">
        <v>24</v>
      </c>
      <c r="B29" t="s">
        <v>62</v>
      </c>
      <c r="C29" s="6" t="e">
        <f>SUMIF([1]IndData!$C:$C,$2:$2,[1]IndData!$X:$X)</f>
        <v>#VALUE!</v>
      </c>
      <c r="D29" s="6" t="e">
        <f>SUMIF([1]IndData!$C:$C,$2:$2,[1]IndData!$X:$X)</f>
        <v>#VALUE!</v>
      </c>
      <c r="E29" s="6" t="e">
        <f>SUMIF([1]IndData!$C:$C,$2:$2,[1]IndData!$X:$X)</f>
        <v>#VALUE!</v>
      </c>
      <c r="F29" s="6" t="e">
        <f>SUMIF([1]IndData!$C:$C,$2:$2,[1]IndData!$X:$X)</f>
        <v>#VALUE!</v>
      </c>
      <c r="G29" s="6" t="e">
        <f>SUMIF([1]IndData!$C:$C,$2:$2,[1]IndData!$X:$X)</f>
        <v>#VALUE!</v>
      </c>
      <c r="H29" s="6" t="e">
        <f>SUMIF([1]IndData!$C:$C,$2:$2,[1]IndData!$X:$X)</f>
        <v>#VALUE!</v>
      </c>
      <c r="I29" s="6" t="e">
        <f>SUMIF([1]IndData!$C:$C,$2:$2,[1]IndData!$X:$X)</f>
        <v>#VALUE!</v>
      </c>
      <c r="J29" s="6" t="e">
        <f>SUMIF([1]IndData!$C:$C,$2:$2,[1]IndData!$X:$X)</f>
        <v>#VALUE!</v>
      </c>
      <c r="K29" s="6" t="e">
        <f>SUMIF([1]IndData!$C:$C,$2:$2,[1]IndData!$X:$X)</f>
        <v>#VALUE!</v>
      </c>
      <c r="L29" s="6" t="e">
        <f>SUMIF([1]IndData!$C:$C,$2:$2,[1]IndData!$X:$X)</f>
        <v>#VALUE!</v>
      </c>
      <c r="M29" s="6" t="e">
        <f>SUMIF([1]IndData!$C:$C,$2:$2,[1]IndData!$X:$X)</f>
        <v>#VALUE!</v>
      </c>
      <c r="N29" s="6" t="e">
        <f>SUMIF([1]IndData!$C:$C,$2:$2,[1]IndData!$X:$X)</f>
        <v>#VALUE!</v>
      </c>
      <c r="O29" s="6" t="e">
        <f>SUMIF([1]IndData!$C:$C,$2:$2,[1]IndData!$X:$X)</f>
        <v>#VALUE!</v>
      </c>
      <c r="P29" s="6" t="e">
        <f>SUMIF([1]IndData!$C:$C,$2:$2,[1]IndData!$X:$X)</f>
        <v>#VALUE!</v>
      </c>
      <c r="Q29" s="6" t="e">
        <f>SUMIF([1]IndData!$C:$C,$2:$2,[1]IndData!$X:$X)</f>
        <v>#VALUE!</v>
      </c>
      <c r="R29" s="6" t="e">
        <f>SUMIF([1]IndData!$C:$C,$2:$2,[1]IndData!$X:$X)</f>
        <v>#VALUE!</v>
      </c>
      <c r="S29" s="6" t="e">
        <f>SUMIF([1]IndData!$C:$C,$2:$2,[1]IndData!$X:$X)</f>
        <v>#VALUE!</v>
      </c>
      <c r="T29" s="6" t="e">
        <f>SUMIF([1]IndData!$C:$C,$2:$2,[1]IndData!$X:$X)</f>
        <v>#VALUE!</v>
      </c>
      <c r="U29" s="6" t="e">
        <f>SUMIF([1]IndData!$C:$C,$2:$2,[1]IndData!$X:$X)</f>
        <v>#VALUE!</v>
      </c>
      <c r="V29" s="6" t="e">
        <f>SUMIF([1]IndData!$C:$C,$2:$2,[1]IndData!$X:$X)</f>
        <v>#VALUE!</v>
      </c>
      <c r="W29" s="6" t="e">
        <f>SUMIF([1]IndData!$C:$C,$2:$2,[1]IndData!$X:$X)</f>
        <v>#VALUE!</v>
      </c>
      <c r="X29" s="6" t="e">
        <f>SUMIF([1]IndData!$C:$C,$2:$2,[1]IndData!$X:$X)</f>
        <v>#VALUE!</v>
      </c>
      <c r="Y29" s="6" t="e">
        <f>SUMIF([1]IndData!$C:$C,$2:$2,[1]IndData!$X:$X)</f>
        <v>#VALUE!</v>
      </c>
      <c r="Z29" s="6" t="e">
        <f>SUMIF([1]IndData!$C:$C,$2:$2,[1]IndData!$X:$X)</f>
        <v>#VALUE!</v>
      </c>
      <c r="AA29" s="6" t="e">
        <f>SUMIF([1]IndData!$C:$C,$2:$2,[1]IndData!$X:$X)</f>
        <v>#VALUE!</v>
      </c>
      <c r="AB29" s="6" t="e">
        <f>SUMIF([1]IndData!$C:$C,$2:$2,[1]IndData!$X:$X)</f>
        <v>#VALUE!</v>
      </c>
    </row>
    <row r="30" spans="1:28" ht="15" customHeight="1" x14ac:dyDescent="0.25">
      <c r="A30" s="4" t="s">
        <v>25</v>
      </c>
      <c r="B30" t="s">
        <v>62</v>
      </c>
      <c r="C30" s="6" t="e">
        <f>SUMIF([1]IndData!$C:$C,$2:$2,[1]IndData!$Y:$Y)</f>
        <v>#VALUE!</v>
      </c>
      <c r="D30" s="6" t="e">
        <f>SUMIF([1]IndData!$C:$C,$2:$2,[1]IndData!$Y:$Y)</f>
        <v>#VALUE!</v>
      </c>
      <c r="E30" s="6" t="e">
        <f>SUMIF([1]IndData!$C:$C,$2:$2,[1]IndData!$Y:$Y)</f>
        <v>#VALUE!</v>
      </c>
      <c r="F30" s="6" t="e">
        <f>SUMIF([1]IndData!$C:$C,$2:$2,[1]IndData!$Y:$Y)</f>
        <v>#VALUE!</v>
      </c>
      <c r="G30" s="6" t="e">
        <f>SUMIF([1]IndData!$C:$C,$2:$2,[1]IndData!$Y:$Y)</f>
        <v>#VALUE!</v>
      </c>
      <c r="H30" s="6" t="e">
        <f>SUMIF([1]IndData!$C:$C,$2:$2,[1]IndData!$Y:$Y)</f>
        <v>#VALUE!</v>
      </c>
      <c r="I30" s="6" t="e">
        <f>SUMIF([1]IndData!$C:$C,$2:$2,[1]IndData!$Y:$Y)</f>
        <v>#VALUE!</v>
      </c>
      <c r="J30" s="6" t="e">
        <f>SUMIF([1]IndData!$C:$C,$2:$2,[1]IndData!$Y:$Y)</f>
        <v>#VALUE!</v>
      </c>
      <c r="K30" s="6" t="e">
        <f>SUMIF([1]IndData!$C:$C,$2:$2,[1]IndData!$Y:$Y)</f>
        <v>#VALUE!</v>
      </c>
      <c r="L30" s="6" t="e">
        <f>SUMIF([1]IndData!$C:$C,$2:$2,[1]IndData!$Y:$Y)</f>
        <v>#VALUE!</v>
      </c>
      <c r="M30" s="6" t="e">
        <f>SUMIF([1]IndData!$C:$C,$2:$2,[1]IndData!$Y:$Y)</f>
        <v>#VALUE!</v>
      </c>
      <c r="N30" s="6" t="e">
        <f>SUMIF([1]IndData!$C:$C,$2:$2,[1]IndData!$Y:$Y)</f>
        <v>#VALUE!</v>
      </c>
      <c r="O30" s="6" t="e">
        <f>SUMIF([1]IndData!$C:$C,$2:$2,[1]IndData!$Y:$Y)</f>
        <v>#VALUE!</v>
      </c>
      <c r="P30" s="6" t="e">
        <f>SUMIF([1]IndData!$C:$C,$2:$2,[1]IndData!$Y:$Y)</f>
        <v>#VALUE!</v>
      </c>
      <c r="Q30" s="6" t="e">
        <f>SUMIF([1]IndData!$C:$C,$2:$2,[1]IndData!$Y:$Y)</f>
        <v>#VALUE!</v>
      </c>
      <c r="R30" s="6" t="e">
        <f>SUMIF([1]IndData!$C:$C,$2:$2,[1]IndData!$Y:$Y)</f>
        <v>#VALUE!</v>
      </c>
      <c r="S30" s="6" t="e">
        <f>SUMIF([1]IndData!$C:$C,$2:$2,[1]IndData!$Y:$Y)</f>
        <v>#VALUE!</v>
      </c>
      <c r="T30" s="6" t="e">
        <f>SUMIF([1]IndData!$C:$C,$2:$2,[1]IndData!$Y:$Y)</f>
        <v>#VALUE!</v>
      </c>
      <c r="U30" s="6" t="e">
        <f>SUMIF([1]IndData!$C:$C,$2:$2,[1]IndData!$Y:$Y)</f>
        <v>#VALUE!</v>
      </c>
      <c r="V30" s="6" t="e">
        <f>SUMIF([1]IndData!$C:$C,$2:$2,[1]IndData!$Y:$Y)</f>
        <v>#VALUE!</v>
      </c>
      <c r="W30" s="6" t="e">
        <f>SUMIF([1]IndData!$C:$C,$2:$2,[1]IndData!$Y:$Y)</f>
        <v>#VALUE!</v>
      </c>
      <c r="X30" s="6" t="e">
        <f>SUMIF([1]IndData!$C:$C,$2:$2,[1]IndData!$Y:$Y)</f>
        <v>#VALUE!</v>
      </c>
      <c r="Y30" s="6" t="e">
        <f>SUMIF([1]IndData!$C:$C,$2:$2,[1]IndData!$Y:$Y)</f>
        <v>#VALUE!</v>
      </c>
      <c r="Z30" s="6" t="e">
        <f>SUMIF([1]IndData!$C:$C,$2:$2,[1]IndData!$Y:$Y)</f>
        <v>#VALUE!</v>
      </c>
      <c r="AA30" s="6" t="e">
        <f>SUMIF([1]IndData!$C:$C,$2:$2,[1]IndData!$Y:$Y)</f>
        <v>#VALUE!</v>
      </c>
      <c r="AB30" s="6" t="e">
        <f>SUMIF([1]IndData!$C:$C,$2:$2,[1]IndData!$Y:$Y)</f>
        <v>#VALUE!</v>
      </c>
    </row>
    <row r="31" spans="1:28" ht="15" customHeight="1" x14ac:dyDescent="0.25">
      <c r="A31" s="4" t="s">
        <v>26</v>
      </c>
      <c r="B31" t="s">
        <v>62</v>
      </c>
      <c r="C31" s="6" t="e">
        <f>SUMIF([1]IndData!$C:$C,$2:$2,[1]IndData!$Z:$Z)</f>
        <v>#VALUE!</v>
      </c>
      <c r="D31" s="6" t="e">
        <f>SUMIF([1]IndData!$C:$C,$2:$2,[1]IndData!$Z:$Z)</f>
        <v>#VALUE!</v>
      </c>
      <c r="E31" s="6" t="e">
        <f>SUMIF([1]IndData!$C:$C,$2:$2,[1]IndData!$Z:$Z)</f>
        <v>#VALUE!</v>
      </c>
      <c r="F31" s="6" t="e">
        <f>SUMIF([1]IndData!$C:$C,$2:$2,[1]IndData!$Z:$Z)</f>
        <v>#VALUE!</v>
      </c>
      <c r="G31" s="6" t="e">
        <f>SUMIF([1]IndData!$C:$C,$2:$2,[1]IndData!$Z:$Z)</f>
        <v>#VALUE!</v>
      </c>
      <c r="H31" s="6" t="e">
        <f>SUMIF([1]IndData!$C:$C,$2:$2,[1]IndData!$Z:$Z)</f>
        <v>#VALUE!</v>
      </c>
      <c r="I31" s="6" t="e">
        <f>SUMIF([1]IndData!$C:$C,$2:$2,[1]IndData!$Z:$Z)</f>
        <v>#VALUE!</v>
      </c>
      <c r="J31" s="6" t="e">
        <f>SUMIF([1]IndData!$C:$C,$2:$2,[1]IndData!$Z:$Z)</f>
        <v>#VALUE!</v>
      </c>
      <c r="K31" s="6" t="e">
        <f>SUMIF([1]IndData!$C:$C,$2:$2,[1]IndData!$Z:$Z)</f>
        <v>#VALUE!</v>
      </c>
      <c r="L31" s="6" t="e">
        <f>SUMIF([1]IndData!$C:$C,$2:$2,[1]IndData!$Z:$Z)</f>
        <v>#VALUE!</v>
      </c>
      <c r="M31" s="6" t="e">
        <f>SUMIF([1]IndData!$C:$C,$2:$2,[1]IndData!$Z:$Z)</f>
        <v>#VALUE!</v>
      </c>
      <c r="N31" s="6" t="e">
        <f>SUMIF([1]IndData!$C:$C,$2:$2,[1]IndData!$Z:$Z)</f>
        <v>#VALUE!</v>
      </c>
      <c r="O31" s="6" t="e">
        <f>SUMIF([1]IndData!$C:$C,$2:$2,[1]IndData!$Z:$Z)</f>
        <v>#VALUE!</v>
      </c>
      <c r="P31" s="6" t="e">
        <f>SUMIF([1]IndData!$C:$C,$2:$2,[1]IndData!$Z:$Z)</f>
        <v>#VALUE!</v>
      </c>
      <c r="Q31" s="6" t="e">
        <f>SUMIF([1]IndData!$C:$C,$2:$2,[1]IndData!$Z:$Z)</f>
        <v>#VALUE!</v>
      </c>
      <c r="R31" s="6" t="e">
        <f>SUMIF([1]IndData!$C:$C,$2:$2,[1]IndData!$Z:$Z)</f>
        <v>#VALUE!</v>
      </c>
      <c r="S31" s="6" t="e">
        <f>SUMIF([1]IndData!$C:$C,$2:$2,[1]IndData!$Z:$Z)</f>
        <v>#VALUE!</v>
      </c>
      <c r="T31" s="6" t="e">
        <f>SUMIF([1]IndData!$C:$C,$2:$2,[1]IndData!$Z:$Z)</f>
        <v>#VALUE!</v>
      </c>
      <c r="U31" s="6" t="e">
        <f>SUMIF([1]IndData!$C:$C,$2:$2,[1]IndData!$Z:$Z)</f>
        <v>#VALUE!</v>
      </c>
      <c r="V31" s="6" t="e">
        <f>SUMIF([1]IndData!$C:$C,$2:$2,[1]IndData!$Z:$Z)</f>
        <v>#VALUE!</v>
      </c>
      <c r="W31" s="6" t="e">
        <f>SUMIF([1]IndData!$C:$C,$2:$2,[1]IndData!$Z:$Z)</f>
        <v>#VALUE!</v>
      </c>
      <c r="X31" s="6" t="e">
        <f>SUMIF([1]IndData!$C:$C,$2:$2,[1]IndData!$Z:$Z)</f>
        <v>#VALUE!</v>
      </c>
      <c r="Y31" s="6" t="e">
        <f>SUMIF([1]IndData!$C:$C,$2:$2,[1]IndData!$Z:$Z)</f>
        <v>#VALUE!</v>
      </c>
      <c r="Z31" s="6" t="e">
        <f>SUMIF([1]IndData!$C:$C,$2:$2,[1]IndData!$Z:$Z)</f>
        <v>#VALUE!</v>
      </c>
      <c r="AA31" s="6" t="e">
        <f>SUMIF([1]IndData!$C:$C,$2:$2,[1]IndData!$Z:$Z)</f>
        <v>#VALUE!</v>
      </c>
      <c r="AB31" s="6" t="e">
        <f>SUMIF([1]IndData!$C:$C,$2:$2,[1]IndData!$Z:$Z)</f>
        <v>#VALUE!</v>
      </c>
    </row>
    <row r="32" spans="1:28" ht="15" customHeight="1" x14ac:dyDescent="0.25">
      <c r="A32" s="4" t="s">
        <v>27</v>
      </c>
      <c r="B32" s="4" t="s">
        <v>62</v>
      </c>
      <c r="C32" s="6" t="e">
        <f>SUMIF([1]IndData!$C:$C,$2:$2,[1]IndData!$AA:$AA)</f>
        <v>#VALUE!</v>
      </c>
      <c r="D32" s="6" t="e">
        <f>SUMIF([1]IndData!$C:$C,$2:$2,[1]IndData!$AA:$AA)</f>
        <v>#VALUE!</v>
      </c>
      <c r="E32" s="6" t="e">
        <f>SUMIF([1]IndData!$C:$C,$2:$2,[1]IndData!$AA:$AA)</f>
        <v>#VALUE!</v>
      </c>
      <c r="F32" s="6" t="e">
        <f>SUMIF([1]IndData!$C:$C,$2:$2,[1]IndData!$AA:$AA)</f>
        <v>#VALUE!</v>
      </c>
      <c r="G32" s="6" t="e">
        <f>SUMIF([1]IndData!$C:$C,$2:$2,[1]IndData!$AA:$AA)</f>
        <v>#VALUE!</v>
      </c>
      <c r="H32" s="6" t="e">
        <f>SUMIF([1]IndData!$C:$C,$2:$2,[1]IndData!$AA:$AA)</f>
        <v>#VALUE!</v>
      </c>
      <c r="I32" s="6" t="e">
        <f>SUMIF([1]IndData!$C:$C,$2:$2,[1]IndData!$AA:$AA)</f>
        <v>#VALUE!</v>
      </c>
      <c r="J32" s="6" t="e">
        <f>SUMIF([1]IndData!$C:$C,$2:$2,[1]IndData!$AA:$AA)</f>
        <v>#VALUE!</v>
      </c>
      <c r="K32" s="6" t="e">
        <f>SUMIF([1]IndData!$C:$C,$2:$2,[1]IndData!$AA:$AA)</f>
        <v>#VALUE!</v>
      </c>
      <c r="L32" s="6" t="e">
        <f>SUMIF([1]IndData!$C:$C,$2:$2,[1]IndData!$AA:$AA)</f>
        <v>#VALUE!</v>
      </c>
      <c r="M32" s="6" t="e">
        <f>SUMIF([1]IndData!$C:$C,$2:$2,[1]IndData!$AA:$AA)</f>
        <v>#VALUE!</v>
      </c>
      <c r="N32" s="6" t="e">
        <f>SUMIF([1]IndData!$C:$C,$2:$2,[1]IndData!$AA:$AA)</f>
        <v>#VALUE!</v>
      </c>
      <c r="O32" s="6" t="e">
        <f>SUMIF([1]IndData!$C:$C,$2:$2,[1]IndData!$AA:$AA)</f>
        <v>#VALUE!</v>
      </c>
      <c r="P32" s="6" t="e">
        <f>SUMIF([1]IndData!$C:$C,$2:$2,[1]IndData!$AA:$AA)</f>
        <v>#VALUE!</v>
      </c>
      <c r="Q32" s="6" t="e">
        <f>SUMIF([1]IndData!$C:$C,$2:$2,[1]IndData!$AA:$AA)</f>
        <v>#VALUE!</v>
      </c>
      <c r="R32" s="6" t="e">
        <f>SUMIF([1]IndData!$C:$C,$2:$2,[1]IndData!$AA:$AA)</f>
        <v>#VALUE!</v>
      </c>
      <c r="S32" s="6" t="e">
        <f>SUMIF([1]IndData!$C:$C,$2:$2,[1]IndData!$AA:$AA)</f>
        <v>#VALUE!</v>
      </c>
      <c r="T32" s="6" t="e">
        <f>SUMIF([1]IndData!$C:$C,$2:$2,[1]IndData!$AA:$AA)</f>
        <v>#VALUE!</v>
      </c>
      <c r="U32" s="6" t="e">
        <f>SUMIF([1]IndData!$C:$C,$2:$2,[1]IndData!$AA:$AA)</f>
        <v>#VALUE!</v>
      </c>
      <c r="V32" s="6" t="e">
        <f>SUMIF([1]IndData!$C:$C,$2:$2,[1]IndData!$AA:$AA)</f>
        <v>#VALUE!</v>
      </c>
      <c r="W32" s="6" t="e">
        <f>SUMIF([1]IndData!$C:$C,$2:$2,[1]IndData!$AA:$AA)</f>
        <v>#VALUE!</v>
      </c>
      <c r="X32" s="6" t="e">
        <f>SUMIF([1]IndData!$C:$C,$2:$2,[1]IndData!$AA:$AA)</f>
        <v>#VALUE!</v>
      </c>
      <c r="Y32" s="6" t="e">
        <f>SUMIF([1]IndData!$C:$C,$2:$2,[1]IndData!$AA:$AA)</f>
        <v>#VALUE!</v>
      </c>
      <c r="Z32" s="6" t="e">
        <f>SUMIF([1]IndData!$C:$C,$2:$2,[1]IndData!$AA:$AA)</f>
        <v>#VALUE!</v>
      </c>
      <c r="AA32" s="6" t="e">
        <f>SUMIF([1]IndData!$C:$C,$2:$2,[1]IndData!$AA:$AA)</f>
        <v>#VALUE!</v>
      </c>
      <c r="AB32" s="6" t="e">
        <f>SUMIF([1]IndData!$C:$C,$2:$2,[1]IndData!$AA:$AA)</f>
        <v>#VALUE!</v>
      </c>
    </row>
    <row r="33" spans="1:3" ht="15" customHeight="1" x14ac:dyDescent="0.25">
      <c r="A33" s="4" t="s">
        <v>28</v>
      </c>
      <c r="B33" s="4"/>
      <c r="C33" s="6"/>
    </row>
    <row r="34" spans="1:3" ht="6" customHeight="1" x14ac:dyDescent="0.25">
      <c r="A34" s="4"/>
      <c r="B34" s="4"/>
      <c r="C34" s="6"/>
    </row>
    <row r="35" spans="1:3" ht="21.75" customHeight="1" x14ac:dyDescent="0.25">
      <c r="A35" s="1" t="s">
        <v>29</v>
      </c>
      <c r="B35" s="1"/>
      <c r="C35" s="6"/>
    </row>
    <row r="36" spans="1:3" ht="15" customHeight="1" x14ac:dyDescent="0.25">
      <c r="A36" s="3" t="s">
        <v>30</v>
      </c>
      <c r="B36" s="3"/>
      <c r="C36" s="6"/>
    </row>
    <row r="37" spans="1:3" x14ac:dyDescent="0.25">
      <c r="C37" s="6"/>
    </row>
  </sheetData>
  <mergeCells count="6">
    <mergeCell ref="W3:Z3"/>
    <mergeCell ref="C3:F3"/>
    <mergeCell ref="G3:J3"/>
    <mergeCell ref="K3:N3"/>
    <mergeCell ref="O3:R3"/>
    <mergeCell ref="S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Summary</vt:lpstr>
      <vt:lpstr>Original_VA</vt:lpstr>
      <vt:lpstr>Original_%share</vt:lpstr>
      <vt:lpstr>Deseason_VA</vt:lpstr>
      <vt:lpstr>Deseason_%share</vt:lpstr>
      <vt:lpstr>Trend_VA</vt:lpstr>
      <vt:lpstr>Trend_%share</vt:lpstr>
      <vt:lpstr>Original_Expenditure</vt:lpstr>
      <vt:lpstr>Deseason_Exp</vt:lpstr>
      <vt:lpstr>OS VA CP Growth</vt:lpstr>
      <vt:lpstr>SA VA CKP growth</vt:lpstr>
      <vt:lpstr>'Deseason_%share'!Print_Area</vt:lpstr>
      <vt:lpstr>Deseason_Exp!Print_Area</vt:lpstr>
      <vt:lpstr>Deseason_VA!Print_Area</vt:lpstr>
      <vt:lpstr>'Original_%share'!Print_Area</vt:lpstr>
      <vt:lpstr>Original_Expenditure!Print_Area</vt:lpstr>
      <vt:lpstr>Original_VA!Print_Area</vt:lpstr>
      <vt:lpstr>Summary!Print_Area</vt:lpstr>
      <vt:lpstr>'Trend_%share'!Print_Area</vt:lpstr>
      <vt:lpstr>Trend_VA!Print_Area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Bwambale, Ezra</cp:lastModifiedBy>
  <cp:lastPrinted>2023-03-24T13:30:02Z</cp:lastPrinted>
  <dcterms:created xsi:type="dcterms:W3CDTF">2014-11-20T08:31:08Z</dcterms:created>
  <dcterms:modified xsi:type="dcterms:W3CDTF">2026-04-09T13:52:52Z</dcterms:modified>
</cp:coreProperties>
</file>