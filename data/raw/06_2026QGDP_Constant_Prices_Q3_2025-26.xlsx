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charts/chart21.xml" ContentType="application/vnd.openxmlformats-officedocument.drawingml.chart+xml"/>
  <Override PartName="/xl/charts/style14.xml" ContentType="application/vnd.ms-office.chartstyle+xml"/>
  <Override PartName="/xl/charts/colors14.xml" ContentType="application/vnd.ms-office.chartcolorstyle+xml"/>
  <Override PartName="/xl/charts/chart22.xml" ContentType="application/vnd.openxmlformats-officedocument.drawingml.chart+xml"/>
  <Override PartName="/xl/charts/style15.xml" ContentType="application/vnd.ms-office.chartstyle+xml"/>
  <Override PartName="/xl/charts/colors15.xml" ContentType="application/vnd.ms-office.chartcolorstyle+xml"/>
  <Override PartName="/xl/charts/chart2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24.xml" ContentType="application/vnd.openxmlformats-officedocument.drawingml.chart+xml"/>
  <Override PartName="/xl/charts/style17.xml" ContentType="application/vnd.ms-office.chartstyle+xml"/>
  <Override PartName="/xl/charts/colors17.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style18.xml" ContentType="application/vnd.ms-office.chartstyle+xml"/>
  <Override PartName="/xl/charts/colors18.xml" ContentType="application/vnd.ms-office.chartcolorstyle+xml"/>
  <Override PartName="/xl/charts/chart34.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QGDP Q32025_26\QGDP_Dissem Tables\Q3 2025-26\"/>
    </mc:Choice>
  </mc:AlternateContent>
  <xr:revisionPtr revIDLastSave="0" documentId="13_ncr:1_{E5196985-FAA0-40D0-8BC4-D8C1AF341833}" xr6:coauthVersionLast="47" xr6:coauthVersionMax="47" xr10:uidLastSave="{00000000-0000-0000-0000-000000000000}"/>
  <bookViews>
    <workbookView xWindow="-120" yWindow="-120" windowWidth="29040" windowHeight="15720" tabRatio="819" firstSheet="5" activeTab="16" xr2:uid="{00000000-000D-0000-FFFF-FFFF00000000}"/>
  </bookViews>
  <sheets>
    <sheet name="USE OF DATA" sheetId="25" r:id="rId1"/>
    <sheet name="Summary" sheetId="2" r:id="rId2"/>
    <sheet name="Summary IPD" sheetId="15" state="hidden" r:id="rId3"/>
    <sheet name="Original_VA" sheetId="4" r:id="rId4"/>
    <sheet name="Original_Growth" sheetId="5" r:id="rId5"/>
    <sheet name="Original_IPD" sheetId="18" r:id="rId6"/>
    <sheet name="Deseason_VA" sheetId="1" r:id="rId7"/>
    <sheet name="Deseason_Growth" sheetId="7" r:id="rId8"/>
    <sheet name="Deseason_Growth_Decomp" sheetId="22" r:id="rId9"/>
    <sheet name="Deseason" sheetId="8" state="hidden" r:id="rId10"/>
    <sheet name="Trend_VA" sheetId="9" r:id="rId11"/>
    <sheet name="Trend_Growth" sheetId="11" r:id="rId12"/>
    <sheet name="TS IPD" sheetId="17" state="hidden" r:id="rId13"/>
    <sheet name="Graphs (2)" sheetId="26" r:id="rId14"/>
    <sheet name="Graphs" sheetId="19" r:id="rId15"/>
    <sheet name="Original_Expenditure" sheetId="28" r:id="rId16"/>
    <sheet name="Deseason_Exp" sheetId="29" r:id="rId17"/>
    <sheet name="Graphs Original" sheetId="24" state="hidden" r:id="rId18"/>
  </sheets>
  <externalReferences>
    <externalReference r:id="rId19"/>
  </externalReferences>
  <definedNames>
    <definedName name="_xlnm.Print_Area" localSheetId="9">Deseason!$A$1:$AQ$37</definedName>
    <definedName name="_xlnm.Print_Area" localSheetId="16">Deseason_Exp!$A$1:$BX$50</definedName>
    <definedName name="_xlnm.Print_Area" localSheetId="7">Deseason_Growth!$A$1:$BV$37</definedName>
    <definedName name="_xlnm.Print_Area" localSheetId="8">Deseason_Growth_Decomp!$A$1:$BV$37</definedName>
    <definedName name="_xlnm.Print_Area" localSheetId="6">Deseason_VA!$A$1:$BV$37</definedName>
    <definedName name="_xlnm.Print_Area" localSheetId="15">Original_Expenditure!$A$1:$BX$50</definedName>
    <definedName name="_xlnm.Print_Area" localSheetId="4">Original_Growth!$A$1:$CB$37</definedName>
    <definedName name="_xlnm.Print_Area" localSheetId="5">Original_IPD!$A$1:$CC$37</definedName>
    <definedName name="_xlnm.Print_Area" localSheetId="3">Original_VA!$A$1:$CC$37</definedName>
    <definedName name="_xlnm.Print_Area" localSheetId="1">Summary!$A$1:$BV$57</definedName>
    <definedName name="_xlnm.Print_Area" localSheetId="2">'Summary IPD'!$A$1:$AQ$56</definedName>
    <definedName name="_xlnm.Print_Area" localSheetId="11">Trend_Growth!$A$1:$BV$37</definedName>
    <definedName name="_xlnm.Print_Area" localSheetId="10">Trend_VA!$A$1:$BV$37</definedName>
    <definedName name="_xlnm.Print_Area" localSheetId="12">'TS IPD'!$A$1:$AQ$37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7" l="1"/>
  <c r="B36" i="17"/>
  <c r="C33" i="17"/>
  <c r="B33" i="17"/>
  <c r="C32" i="17"/>
  <c r="B32" i="17"/>
  <c r="C31" i="17"/>
  <c r="B31" i="17"/>
  <c r="C30" i="17"/>
  <c r="B30" i="17"/>
  <c r="C29" i="17"/>
  <c r="B29" i="17"/>
  <c r="C28" i="17"/>
  <c r="B28" i="17"/>
  <c r="C27" i="17"/>
  <c r="B27" i="17"/>
  <c r="C26" i="17"/>
  <c r="B26" i="17"/>
  <c r="C25" i="17"/>
  <c r="B25" i="17"/>
  <c r="C24" i="17"/>
  <c r="B24" i="17"/>
  <c r="C23" i="17"/>
  <c r="B23" i="17"/>
  <c r="C22" i="17"/>
  <c r="B22" i="17"/>
  <c r="C21" i="17"/>
  <c r="B21" i="17"/>
  <c r="C20" i="17"/>
  <c r="B20" i="17"/>
  <c r="C19" i="17"/>
  <c r="B19" i="17"/>
  <c r="C18" i="17"/>
  <c r="B18" i="17"/>
  <c r="C17" i="17"/>
  <c r="B17" i="17"/>
  <c r="C16" i="17"/>
  <c r="B16" i="17"/>
  <c r="C15" i="17"/>
  <c r="B15" i="17"/>
  <c r="C14" i="17"/>
  <c r="B14" i="17"/>
  <c r="C13" i="17"/>
  <c r="B13" i="17"/>
  <c r="C12" i="17"/>
  <c r="B12" i="17"/>
  <c r="C11" i="17"/>
  <c r="B11" i="17"/>
  <c r="C10" i="17"/>
  <c r="B10" i="17"/>
  <c r="C9" i="17"/>
  <c r="B9" i="17"/>
  <c r="C8" i="17"/>
  <c r="B8" i="17"/>
  <c r="C7" i="17"/>
  <c r="B7" i="17"/>
  <c r="C6" i="17"/>
  <c r="B6" i="17"/>
  <c r="C5" i="17"/>
  <c r="B5" i="17"/>
  <c r="C36" i="8"/>
  <c r="B36" i="8"/>
  <c r="C33" i="8"/>
  <c r="B33" i="8"/>
  <c r="C32" i="8"/>
  <c r="B32" i="8"/>
  <c r="C31" i="8"/>
  <c r="B31" i="8"/>
  <c r="C30" i="8"/>
  <c r="B30" i="8"/>
  <c r="C29" i="8"/>
  <c r="B29" i="8"/>
  <c r="C28" i="8"/>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C13" i="8"/>
  <c r="B13" i="8"/>
  <c r="C12" i="8"/>
  <c r="B12" i="8"/>
  <c r="C11" i="8"/>
  <c r="B11" i="8"/>
  <c r="C10" i="8"/>
  <c r="B10" i="8"/>
  <c r="C9" i="8"/>
  <c r="B9" i="8"/>
  <c r="C8" i="8"/>
  <c r="B8" i="8"/>
  <c r="C7" i="8"/>
  <c r="B7" i="8"/>
  <c r="C6" i="8"/>
  <c r="B6" i="8"/>
  <c r="C5" i="8"/>
  <c r="B5" i="8"/>
  <c r="C27" i="15" l="1"/>
  <c r="B27" i="15"/>
  <c r="C19" i="15" l="1"/>
  <c r="B19" i="15"/>
  <c r="C9" i="15" l="1"/>
  <c r="B8" i="15"/>
  <c r="C8" i="15"/>
  <c r="B9" i="15"/>
  <c r="B7" i="15"/>
  <c r="C7" i="15"/>
  <c r="B15" i="15" l="1"/>
  <c r="C17" i="15"/>
  <c r="B16" i="15"/>
  <c r="C16" i="15"/>
  <c r="B17" i="15"/>
  <c r="C15" i="15"/>
  <c r="B14" i="15" l="1"/>
  <c r="C14" i="15"/>
  <c r="B43" i="15" l="1"/>
  <c r="B47" i="15"/>
  <c r="B42" i="15"/>
  <c r="B44" i="15"/>
  <c r="B45" i="15"/>
  <c r="C44" i="15"/>
  <c r="C45" i="15"/>
  <c r="C43" i="15"/>
  <c r="C47" i="15"/>
  <c r="C42" i="15"/>
  <c r="B25" i="15" l="1"/>
  <c r="B23" i="15"/>
  <c r="C24" i="15"/>
  <c r="C23" i="15"/>
  <c r="B24" i="15"/>
  <c r="C25" i="15"/>
  <c r="C22" i="15" l="1"/>
  <c r="B22" i="15"/>
  <c r="B53" i="15" l="1"/>
  <c r="C53" i="15"/>
  <c r="C55" i="15"/>
  <c r="C50" i="15"/>
  <c r="B51" i="15"/>
  <c r="B50" i="15"/>
  <c r="B55" i="15"/>
  <c r="C52" i="15"/>
  <c r="C51" i="15"/>
  <c r="B52" i="15"/>
  <c r="G36" i="8" l="1"/>
  <c r="G28" i="8"/>
  <c r="G33" i="8"/>
  <c r="F30" i="8"/>
  <c r="E28" i="8"/>
  <c r="G12" i="8"/>
  <c r="D24" i="8"/>
  <c r="F14" i="8"/>
  <c r="D17" i="8"/>
  <c r="D15" i="8"/>
  <c r="F17" i="8"/>
  <c r="E9" i="8"/>
  <c r="D9" i="8"/>
  <c r="E36" i="8"/>
  <c r="D27" i="8"/>
  <c r="E32" i="8"/>
  <c r="E29" i="8"/>
  <c r="D23" i="8"/>
  <c r="D32" i="8"/>
  <c r="D14" i="8"/>
  <c r="D30" i="8"/>
  <c r="D31" i="8"/>
  <c r="F33" i="8"/>
  <c r="F15" i="8"/>
  <c r="E31" i="8"/>
  <c r="G9" i="8"/>
  <c r="G27" i="8"/>
  <c r="F27" i="8"/>
  <c r="G23" i="8"/>
  <c r="G31" i="8"/>
  <c r="E24" i="8"/>
  <c r="F9" i="8"/>
  <c r="E27" i="8"/>
  <c r="G17" i="8"/>
  <c r="F36" i="8"/>
  <c r="D12" i="8"/>
  <c r="F28" i="8"/>
  <c r="F29" i="8"/>
  <c r="G30" i="8"/>
  <c r="F12" i="8"/>
  <c r="D33" i="8"/>
  <c r="G14" i="8"/>
  <c r="E16" i="8"/>
  <c r="D16" i="8"/>
  <c r="F24" i="8"/>
  <c r="E33" i="8"/>
  <c r="G29" i="8"/>
  <c r="G32" i="8"/>
  <c r="E14" i="8"/>
  <c r="G24" i="8"/>
  <c r="E12" i="8"/>
  <c r="F16" i="8"/>
  <c r="E30" i="8"/>
  <c r="F23" i="8"/>
  <c r="G15" i="8"/>
  <c r="E15" i="8"/>
  <c r="G16" i="8"/>
  <c r="E17" i="8"/>
  <c r="F31" i="8"/>
  <c r="D29" i="8"/>
  <c r="E23" i="8"/>
  <c r="D28" i="8"/>
  <c r="F32" i="8"/>
  <c r="D36" i="8"/>
  <c r="D19" i="15" l="1"/>
  <c r="G19" i="15"/>
  <c r="F19" i="15"/>
  <c r="E19" i="15"/>
  <c r="E16" i="17" l="1"/>
  <c r="G25" i="17"/>
  <c r="G32" i="17"/>
  <c r="G16" i="17"/>
  <c r="F28" i="17"/>
  <c r="E24" i="17"/>
  <c r="E22" i="17"/>
  <c r="G28" i="17"/>
  <c r="E30" i="17"/>
  <c r="G22" i="17"/>
  <c r="F33" i="17"/>
  <c r="G23" i="17"/>
  <c r="D24" i="17"/>
  <c r="D31" i="17"/>
  <c r="D28" i="17"/>
  <c r="D25" i="17"/>
  <c r="D23" i="17"/>
  <c r="D17" i="17"/>
  <c r="D16" i="17"/>
  <c r="D15" i="17"/>
  <c r="D9" i="17"/>
  <c r="D8" i="8"/>
  <c r="E10" i="17"/>
  <c r="E9" i="17"/>
  <c r="F18" i="17"/>
  <c r="G7" i="17"/>
  <c r="E25" i="8"/>
  <c r="G27" i="17"/>
  <c r="E18" i="17"/>
  <c r="F27" i="17"/>
  <c r="G24" i="17"/>
  <c r="D26" i="17"/>
  <c r="D18" i="8"/>
  <c r="G18" i="8"/>
  <c r="G17" i="17"/>
  <c r="F7" i="8"/>
  <c r="E31" i="17"/>
  <c r="F24" i="17"/>
  <c r="E14" i="17"/>
  <c r="G20" i="17"/>
  <c r="E8" i="17"/>
  <c r="F20" i="8"/>
  <c r="D12" i="17"/>
  <c r="F9" i="17"/>
  <c r="F25" i="8"/>
  <c r="G29" i="17"/>
  <c r="F10" i="8"/>
  <c r="G11" i="8"/>
  <c r="G8" i="8"/>
  <c r="D21" i="17"/>
  <c r="G10" i="17"/>
  <c r="D18" i="17"/>
  <c r="G22" i="8"/>
  <c r="G21" i="8"/>
  <c r="E18" i="8"/>
  <c r="G20" i="8"/>
  <c r="E20" i="8"/>
  <c r="F20" i="17"/>
  <c r="G14" i="17"/>
  <c r="E12" i="17"/>
  <c r="E33" i="17"/>
  <c r="E10" i="8"/>
  <c r="F22" i="8"/>
  <c r="D20" i="8"/>
  <c r="E8" i="8"/>
  <c r="F21" i="8"/>
  <c r="G31" i="17"/>
  <c r="G8" i="17"/>
  <c r="D36" i="17"/>
  <c r="F8" i="8"/>
  <c r="D22" i="8"/>
  <c r="E11" i="8"/>
  <c r="E7" i="8"/>
  <c r="G10" i="8"/>
  <c r="G11" i="17"/>
  <c r="G12" i="17"/>
  <c r="D29" i="17"/>
  <c r="E25" i="17"/>
  <c r="D14" i="17"/>
  <c r="F25" i="17"/>
  <c r="F21" i="17"/>
  <c r="E23" i="17"/>
  <c r="F31" i="17"/>
  <c r="F11" i="17"/>
  <c r="E28" i="17"/>
  <c r="E27" i="17"/>
  <c r="D10" i="17"/>
  <c r="F15" i="17"/>
  <c r="F26" i="17"/>
  <c r="G9" i="17"/>
  <c r="E17" i="17"/>
  <c r="D22" i="17"/>
  <c r="G7" i="8"/>
  <c r="D11" i="8"/>
  <c r="F8" i="17"/>
  <c r="F23" i="17"/>
  <c r="G18" i="17"/>
  <c r="F17" i="17"/>
  <c r="E20" i="17"/>
  <c r="F36" i="17"/>
  <c r="E29" i="17"/>
  <c r="D30" i="17"/>
  <c r="F22" i="17"/>
  <c r="F10" i="17"/>
  <c r="D20" i="17"/>
  <c r="D7" i="17"/>
  <c r="F18" i="8"/>
  <c r="G26" i="8"/>
  <c r="E22" i="8"/>
  <c r="D10" i="8"/>
  <c r="F26" i="8"/>
  <c r="D21" i="8"/>
  <c r="G26" i="17"/>
  <c r="E21" i="17"/>
  <c r="G33" i="17"/>
  <c r="G36" i="17"/>
  <c r="F32" i="17"/>
  <c r="F7" i="17"/>
  <c r="F14" i="17"/>
  <c r="G21" i="17"/>
  <c r="E36" i="17"/>
  <c r="F16" i="17"/>
  <c r="F30" i="17"/>
  <c r="D11" i="17"/>
  <c r="D26" i="8"/>
  <c r="E26" i="8"/>
  <c r="G25" i="8"/>
  <c r="D25" i="8"/>
  <c r="E21" i="8"/>
  <c r="F11" i="8"/>
  <c r="E26" i="17"/>
  <c r="E32" i="17"/>
  <c r="F12" i="17"/>
  <c r="F29" i="17"/>
  <c r="E15" i="17"/>
  <c r="E11" i="17"/>
  <c r="D8" i="17"/>
  <c r="G30" i="17"/>
  <c r="D27" i="17"/>
  <c r="D32" i="17"/>
  <c r="D33" i="17"/>
  <c r="G15" i="17"/>
  <c r="E7" i="17"/>
  <c r="D7" i="8" l="1"/>
  <c r="E27" i="15"/>
  <c r="F6" i="17"/>
  <c r="D19" i="17"/>
  <c r="E13" i="17"/>
  <c r="F27" i="15"/>
  <c r="G6" i="8"/>
  <c r="E6" i="17"/>
  <c r="D6" i="17"/>
  <c r="D19" i="8"/>
  <c r="E19" i="17"/>
  <c r="G6" i="17"/>
  <c r="G27" i="15"/>
  <c r="F13" i="8"/>
  <c r="E6" i="8"/>
  <c r="E19" i="8"/>
  <c r="E13" i="8"/>
  <c r="D13" i="8"/>
  <c r="F6" i="8"/>
  <c r="F13" i="17"/>
  <c r="F19" i="8"/>
  <c r="G13" i="8"/>
  <c r="G13" i="17"/>
  <c r="G19" i="8"/>
  <c r="D13" i="17"/>
  <c r="D27" i="15"/>
  <c r="F19" i="17"/>
  <c r="G19" i="17"/>
  <c r="D6" i="8" l="1"/>
  <c r="E17" i="15"/>
  <c r="D44" i="15"/>
  <c r="D15" i="15"/>
  <c r="G17" i="15"/>
  <c r="D5" i="17"/>
  <c r="E24" i="15"/>
  <c r="G24" i="15"/>
  <c r="D16" i="15"/>
  <c r="E45" i="15"/>
  <c r="E15" i="15"/>
  <c r="F5" i="8"/>
  <c r="F16" i="15"/>
  <c r="G52" i="15"/>
  <c r="G23" i="15"/>
  <c r="D17" i="15"/>
  <c r="D25" i="15"/>
  <c r="E5" i="8"/>
  <c r="D51" i="15"/>
  <c r="D23" i="15"/>
  <c r="D24" i="15"/>
  <c r="F24" i="15"/>
  <c r="E5" i="17"/>
  <c r="G15" i="15"/>
  <c r="G43" i="15"/>
  <c r="E23" i="15"/>
  <c r="E52" i="15"/>
  <c r="F5" i="17"/>
  <c r="G25" i="15"/>
  <c r="F25" i="15"/>
  <c r="E16" i="15"/>
  <c r="G5" i="17"/>
  <c r="E25" i="15"/>
  <c r="G5" i="8"/>
  <c r="G16" i="15"/>
  <c r="F17" i="15"/>
  <c r="F15" i="15"/>
  <c r="F44" i="15"/>
  <c r="D5" i="8"/>
  <c r="F23" i="15"/>
  <c r="F51" i="15"/>
  <c r="G44" i="15" l="1"/>
  <c r="E43" i="15"/>
  <c r="F43" i="15"/>
  <c r="G53" i="15"/>
  <c r="D53" i="15"/>
  <c r="G45" i="15"/>
  <c r="G42" i="15"/>
  <c r="G47" i="15"/>
  <c r="G14" i="15"/>
  <c r="G51" i="15"/>
  <c r="G50" i="15"/>
  <c r="G22" i="15"/>
  <c r="G55" i="15"/>
  <c r="D43" i="15"/>
  <c r="D42" i="15"/>
  <c r="D14" i="15"/>
  <c r="D47" i="15"/>
  <c r="F52" i="15"/>
  <c r="F22" i="15"/>
  <c r="F50" i="15"/>
  <c r="F55" i="15"/>
  <c r="D45" i="15"/>
  <c r="D52" i="15"/>
  <c r="D50" i="15"/>
  <c r="D22" i="15"/>
  <c r="D55" i="15"/>
  <c r="E51" i="15"/>
  <c r="E50" i="15"/>
  <c r="E22" i="15"/>
  <c r="E55" i="15"/>
  <c r="F45" i="15"/>
  <c r="F42" i="15"/>
  <c r="F14" i="15"/>
  <c r="F47" i="15"/>
  <c r="E53" i="15"/>
  <c r="F53" i="15"/>
  <c r="E44" i="15"/>
  <c r="E42" i="15"/>
  <c r="E14" i="15"/>
  <c r="E47" i="15"/>
  <c r="B11" i="15" l="1"/>
  <c r="B39" i="15"/>
  <c r="C11" i="15"/>
  <c r="C39" i="15"/>
  <c r="B6" i="15" l="1"/>
  <c r="B35" i="15"/>
  <c r="B34" i="15"/>
  <c r="B37" i="15"/>
  <c r="B36" i="15"/>
  <c r="C6" i="15"/>
  <c r="C35" i="15"/>
  <c r="C36" i="15"/>
  <c r="C34" i="15"/>
  <c r="C37" i="15"/>
  <c r="AB12" i="8" l="1"/>
  <c r="AK18" i="8"/>
  <c r="AM11" i="8"/>
  <c r="AL24" i="8"/>
  <c r="AL18" i="8"/>
  <c r="AQ20" i="8"/>
  <c r="AC11" i="8"/>
  <c r="X18" i="8"/>
  <c r="T27" i="8"/>
  <c r="AE26" i="8"/>
  <c r="P18" i="8"/>
  <c r="Q12" i="8"/>
  <c r="X25" i="8"/>
  <c r="AH23" i="8"/>
  <c r="AH18" i="8"/>
  <c r="AP27" i="8"/>
  <c r="AI28" i="8"/>
  <c r="N14" i="8"/>
  <c r="AO32" i="8"/>
  <c r="H12" i="8"/>
  <c r="AE27" i="8"/>
  <c r="L20" i="8"/>
  <c r="O11" i="8"/>
  <c r="AQ27" i="8"/>
  <c r="AN21" i="8"/>
  <c r="AC24" i="8"/>
  <c r="K26" i="8"/>
  <c r="AD24" i="8"/>
  <c r="H28" i="8"/>
  <c r="AG17" i="8"/>
  <c r="AJ16" i="8"/>
  <c r="AG16" i="8"/>
  <c r="AE16" i="8"/>
  <c r="J7" i="8"/>
  <c r="AJ12" i="8"/>
  <c r="AD7" i="8"/>
  <c r="V28" i="8"/>
  <c r="AB28" i="8"/>
  <c r="AB18" i="8"/>
  <c r="AH30" i="8"/>
  <c r="AG30" i="8"/>
  <c r="AE30" i="8"/>
  <c r="P15" i="8"/>
  <c r="Q27" i="8"/>
  <c r="I21" i="8"/>
  <c r="AK23" i="8"/>
  <c r="AK21" i="8"/>
  <c r="AP18" i="8"/>
  <c r="R17" i="8"/>
  <c r="S36" i="8"/>
  <c r="AL26" i="8"/>
  <c r="AP14" i="8"/>
  <c r="R12" i="8"/>
  <c r="Z24" i="8"/>
  <c r="AB11" i="8"/>
  <c r="AK36" i="8"/>
  <c r="AQ36" i="8"/>
  <c r="Z30" i="8"/>
  <c r="AC33" i="8"/>
  <c r="K27" i="8"/>
  <c r="J14" i="8"/>
  <c r="V21" i="8"/>
  <c r="AH10" i="8"/>
  <c r="Y9" i="8"/>
  <c r="AM15" i="8"/>
  <c r="Y26" i="8"/>
  <c r="Z26" i="8"/>
  <c r="R29" i="8"/>
  <c r="Y18" i="8"/>
  <c r="AB26" i="8"/>
  <c r="AE32" i="8"/>
  <c r="L28" i="8"/>
  <c r="R28" i="8"/>
  <c r="I26" i="8"/>
  <c r="AI33" i="8"/>
  <c r="U12" i="8"/>
  <c r="AN18" i="8"/>
  <c r="AJ25" i="8"/>
  <c r="AC25" i="8"/>
  <c r="AN22" i="8"/>
  <c r="AA20" i="8"/>
  <c r="AA17" i="8"/>
  <c r="AA27" i="8"/>
  <c r="AF17" i="8"/>
  <c r="V26" i="8"/>
  <c r="Z8" i="8"/>
  <c r="AC18" i="8"/>
  <c r="U16" i="8"/>
  <c r="AC10" i="8"/>
  <c r="N18" i="8"/>
  <c r="AN12" i="8"/>
  <c r="H11" i="8"/>
  <c r="Z9" i="8"/>
  <c r="H32" i="8"/>
  <c r="N24" i="8"/>
  <c r="AB10" i="8"/>
  <c r="T26" i="8"/>
  <c r="AH36" i="8"/>
  <c r="Z10" i="8"/>
  <c r="Q20" i="8"/>
  <c r="H24" i="8"/>
  <c r="H22" i="8"/>
  <c r="M16" i="8"/>
  <c r="AF12" i="8"/>
  <c r="I14" i="8"/>
  <c r="AH28" i="8"/>
  <c r="AG28" i="8"/>
  <c r="AF28" i="8"/>
  <c r="AH11" i="8"/>
  <c r="AO25" i="8"/>
  <c r="AO22" i="8"/>
  <c r="AG20" i="8"/>
  <c r="AH12" i="8"/>
  <c r="T11" i="8"/>
  <c r="AN11" i="8"/>
  <c r="Z23" i="8"/>
  <c r="U10" i="8"/>
  <c r="AO20" i="8"/>
  <c r="J23" i="8"/>
  <c r="AI12" i="8"/>
  <c r="I25" i="8"/>
  <c r="W12" i="8"/>
  <c r="AN31" i="8"/>
  <c r="O7" i="8"/>
  <c r="L25" i="8"/>
  <c r="AN17" i="8"/>
  <c r="V10" i="8"/>
  <c r="Q22" i="8"/>
  <c r="AP8" i="8"/>
  <c r="AN9" i="8"/>
  <c r="AM9" i="8"/>
  <c r="AH9" i="8"/>
  <c r="AL25" i="8"/>
  <c r="AD9" i="8"/>
  <c r="Y22" i="8"/>
  <c r="M9" i="8"/>
  <c r="O22" i="8"/>
  <c r="AA16" i="8"/>
  <c r="I11" i="8"/>
  <c r="AB9" i="8"/>
  <c r="AA11" i="8"/>
  <c r="X10" i="8"/>
  <c r="U15" i="8"/>
  <c r="AI9" i="8"/>
  <c r="AB14" i="8"/>
  <c r="J11" i="8"/>
  <c r="AP31" i="8"/>
  <c r="AO23" i="8"/>
  <c r="AC9" i="8"/>
  <c r="O10" i="8"/>
  <c r="M10" i="8"/>
  <c r="L10" i="8"/>
  <c r="H36" i="8"/>
  <c r="AC30" i="8"/>
  <c r="AO9" i="8"/>
  <c r="N21" i="8"/>
  <c r="R11" i="8"/>
  <c r="AG10" i="8"/>
  <c r="AK30" i="8"/>
  <c r="S27" i="8"/>
  <c r="R27" i="8"/>
  <c r="P27" i="8"/>
  <c r="AF24" i="8"/>
  <c r="AK9" i="8"/>
  <c r="AQ21" i="8"/>
  <c r="K9" i="8"/>
  <c r="AF18" i="8"/>
  <c r="I12" i="8"/>
  <c r="K8" i="8"/>
  <c r="J8" i="8"/>
  <c r="I8" i="8"/>
  <c r="AG8" i="8"/>
  <c r="AI29" i="8"/>
  <c r="AH8" i="8"/>
  <c r="AD8" i="8"/>
  <c r="X22" i="8"/>
  <c r="AM32" i="8"/>
  <c r="AG36" i="8"/>
  <c r="M33" i="8"/>
  <c r="S30" i="8"/>
  <c r="J22" i="8"/>
  <c r="AA31" i="8"/>
  <c r="AL33" i="8"/>
  <c r="AC36" i="8"/>
  <c r="J27" i="8"/>
  <c r="X29" i="8"/>
  <c r="AD31" i="8"/>
  <c r="AE8" i="8"/>
  <c r="AQ16" i="8"/>
  <c r="AM7" i="8"/>
  <c r="AB27" i="8"/>
  <c r="Z12" i="8"/>
  <c r="AP29" i="8"/>
  <c r="P31" i="8"/>
  <c r="AK27" i="8"/>
  <c r="AM18" i="8"/>
  <c r="W26" i="8"/>
  <c r="O15" i="8"/>
  <c r="AI23" i="8"/>
  <c r="Q29" i="8"/>
  <c r="AQ9" i="8"/>
  <c r="M17" i="8"/>
  <c r="U8" i="8"/>
  <c r="T14" i="8"/>
  <c r="R7" i="8"/>
  <c r="Q8" i="8"/>
  <c r="AJ29" i="8"/>
  <c r="AL11" i="8"/>
  <c r="S33" i="8"/>
  <c r="P25" i="8"/>
  <c r="H33" i="8"/>
  <c r="AO28" i="8"/>
  <c r="N33" i="8"/>
  <c r="W7" i="8"/>
  <c r="AA25" i="8"/>
  <c r="U33" i="8"/>
  <c r="V24" i="8"/>
  <c r="AM12" i="8"/>
  <c r="X16" i="8"/>
  <c r="AA23" i="8"/>
  <c r="Y23" i="8"/>
  <c r="X23" i="8"/>
  <c r="X17" i="8"/>
  <c r="Y33" i="8"/>
  <c r="U26" i="8"/>
  <c r="Z17" i="8"/>
  <c r="W27" i="8"/>
  <c r="K32" i="8"/>
  <c r="AF15" i="8"/>
  <c r="J33" i="8"/>
  <c r="W32" i="8"/>
  <c r="AQ11" i="8"/>
  <c r="N20" i="8"/>
  <c r="V11" i="8"/>
  <c r="L36" i="8"/>
  <c r="V29" i="8"/>
  <c r="AJ28" i="8"/>
  <c r="AM27" i="8"/>
  <c r="AB32" i="8"/>
  <c r="Z11" i="8"/>
  <c r="AH33" i="8"/>
  <c r="AF33" i="8"/>
  <c r="AE33" i="8"/>
  <c r="H20" i="8"/>
  <c r="AC26" i="8"/>
  <c r="J21" i="8"/>
  <c r="Z31" i="8"/>
  <c r="O29" i="8"/>
  <c r="W28" i="8"/>
  <c r="AI24" i="8"/>
  <c r="AE22" i="8"/>
  <c r="AD22" i="8"/>
  <c r="AB22" i="8"/>
  <c r="S10" i="8"/>
  <c r="AA33" i="8"/>
  <c r="T29" i="8"/>
  <c r="X28" i="8"/>
  <c r="H25" i="8"/>
  <c r="M12" i="8"/>
  <c r="V16" i="8"/>
  <c r="X24" i="8"/>
  <c r="AH21" i="8"/>
  <c r="Q15" i="8"/>
  <c r="M32" i="8"/>
  <c r="AP30" i="8"/>
  <c r="U29" i="8"/>
  <c r="AD28" i="8"/>
  <c r="AL27" i="8"/>
  <c r="AQ31" i="8"/>
  <c r="R18" i="8"/>
  <c r="AE10" i="8"/>
  <c r="P16" i="8"/>
  <c r="AQ32" i="8"/>
  <c r="Y29" i="8"/>
  <c r="Y31" i="8"/>
  <c r="T23" i="8"/>
  <c r="AG9" i="8"/>
  <c r="Q23" i="8"/>
  <c r="AJ20" i="8"/>
  <c r="W14" i="8"/>
  <c r="AM17" i="8"/>
  <c r="AF11" i="8"/>
  <c r="Q16" i="8"/>
  <c r="AM26" i="8"/>
  <c r="N25" i="8"/>
  <c r="AN29" i="8"/>
  <c r="AK32" i="8"/>
  <c r="AB30" i="8"/>
  <c r="AC31" i="8"/>
  <c r="L32" i="8"/>
  <c r="V36" i="8"/>
  <c r="L24" i="8"/>
  <c r="AA26" i="8"/>
  <c r="AE9" i="8"/>
  <c r="AQ25" i="8"/>
  <c r="H17" i="8"/>
  <c r="J29" i="8"/>
  <c r="AG24" i="8"/>
  <c r="N15" i="8"/>
  <c r="AO18" i="8"/>
  <c r="AL9" i="8"/>
  <c r="K12" i="8"/>
  <c r="O16" i="8"/>
  <c r="AC17" i="8"/>
  <c r="P23" i="8"/>
  <c r="AO7" i="8"/>
  <c r="S21" i="8"/>
  <c r="AL36" i="8"/>
  <c r="M25" i="8"/>
  <c r="AP7" i="8"/>
  <c r="AB8" i="8"/>
  <c r="AL32" i="8"/>
  <c r="AI32" i="8"/>
  <c r="R36" i="8"/>
  <c r="AJ17" i="8"/>
  <c r="Z21" i="8"/>
  <c r="AO36" i="8"/>
  <c r="H26" i="8"/>
  <c r="AE28" i="8"/>
  <c r="AJ31" i="8"/>
  <c r="AL30" i="8"/>
  <c r="N9" i="8"/>
  <c r="O32" i="8"/>
  <c r="AJ15" i="8"/>
  <c r="Z27" i="8"/>
  <c r="J26" i="8"/>
  <c r="M28" i="8"/>
  <c r="AD29" i="8"/>
  <c r="O8" i="8"/>
  <c r="AQ28" i="8"/>
  <c r="U21" i="8"/>
  <c r="I22" i="8"/>
  <c r="AC27" i="8"/>
  <c r="AD15" i="8"/>
  <c r="AJ36" i="8"/>
  <c r="AD27" i="8"/>
  <c r="AJ27" i="8"/>
  <c r="I16" i="8"/>
  <c r="AD26" i="8"/>
  <c r="N16" i="8"/>
  <c r="AC32" i="8"/>
  <c r="V20" i="8"/>
  <c r="I17" i="8"/>
  <c r="AL23" i="8"/>
  <c r="Y15" i="8"/>
  <c r="Y12" i="8"/>
  <c r="U11" i="8"/>
  <c r="AH16" i="8"/>
  <c r="AO10" i="8"/>
  <c r="AG15" i="8"/>
  <c r="AJ33" i="8"/>
  <c r="AQ12" i="8"/>
  <c r="AP12" i="8"/>
  <c r="M27" i="8"/>
  <c r="AO11" i="8"/>
  <c r="AI31" i="8"/>
  <c r="AH20" i="8"/>
  <c r="AA14" i="8"/>
  <c r="R10" i="8"/>
  <c r="U31" i="8"/>
  <c r="W17" i="8"/>
  <c r="AH15" i="8"/>
  <c r="S31" i="8"/>
  <c r="Y11" i="8"/>
  <c r="M31" i="8"/>
  <c r="K36" i="8"/>
  <c r="H23" i="8"/>
  <c r="AO14" i="8"/>
  <c r="X12" i="8"/>
  <c r="N10" i="8"/>
  <c r="AC15" i="8"/>
  <c r="Z32" i="8"/>
  <c r="AM28" i="8"/>
  <c r="N32" i="8"/>
  <c r="Q33" i="8"/>
  <c r="AQ14" i="8"/>
  <c r="V30" i="8"/>
  <c r="AJ26" i="8"/>
  <c r="N29" i="8"/>
  <c r="AO12" i="8"/>
  <c r="O14" i="8"/>
  <c r="AK29" i="8"/>
  <c r="V17" i="8"/>
  <c r="S20" i="8"/>
  <c r="N12" i="8"/>
  <c r="S29" i="8"/>
  <c r="K23" i="8"/>
  <c r="U22" i="8"/>
  <c r="AG26" i="8"/>
  <c r="AO8" i="8"/>
  <c r="X8" i="8"/>
  <c r="J36" i="8"/>
  <c r="AD20" i="8"/>
  <c r="U27" i="8"/>
  <c r="AP36" i="8"/>
  <c r="W24" i="8"/>
  <c r="X27" i="8"/>
  <c r="AF31" i="8"/>
  <c r="N36" i="8"/>
  <c r="L12" i="8"/>
  <c r="AK33" i="8"/>
  <c r="L21" i="8"/>
  <c r="AK28" i="8"/>
  <c r="AE21" i="8"/>
  <c r="AL28" i="8"/>
  <c r="T16" i="8"/>
  <c r="AP9" i="8"/>
  <c r="AJ30" i="8"/>
  <c r="M14" i="8"/>
  <c r="J20" i="8"/>
  <c r="J25" i="8"/>
  <c r="AQ18" i="8"/>
  <c r="S22" i="8"/>
  <c r="AJ11" i="8"/>
  <c r="L23" i="8"/>
  <c r="AC14" i="8"/>
  <c r="Y24" i="8"/>
  <c r="AN16" i="8"/>
  <c r="R22" i="8"/>
  <c r="AD17" i="8"/>
  <c r="W33" i="8"/>
  <c r="AF21" i="8"/>
  <c r="Y10" i="8"/>
  <c r="AI11" i="8"/>
  <c r="AA22" i="8"/>
  <c r="T7" i="8"/>
  <c r="X21" i="8"/>
  <c r="J16" i="8"/>
  <c r="L26" i="8"/>
  <c r="R16" i="8"/>
  <c r="P9" i="8"/>
  <c r="V27" i="8"/>
  <c r="AJ21" i="8"/>
  <c r="AK20" i="8"/>
  <c r="AA15" i="8"/>
  <c r="AL12" i="8"/>
  <c r="AH24" i="8"/>
  <c r="AN14" i="8"/>
  <c r="AL21" i="8"/>
  <c r="I23" i="8"/>
  <c r="K31" i="8"/>
  <c r="AO21" i="8"/>
  <c r="L18" i="8"/>
  <c r="Y14" i="8"/>
  <c r="AH25" i="8"/>
  <c r="S28" i="8"/>
  <c r="P28" i="8"/>
  <c r="O28" i="8"/>
  <c r="AJ7" i="8"/>
  <c r="M11" i="8"/>
  <c r="Z25" i="8"/>
  <c r="AK10" i="8"/>
  <c r="AC22" i="8"/>
  <c r="N22" i="8"/>
  <c r="Y16" i="8"/>
  <c r="Z14" i="8"/>
  <c r="P10" i="8"/>
  <c r="AA32" i="8"/>
  <c r="AJ24" i="8"/>
  <c r="Q11" i="8"/>
  <c r="P11" i="8"/>
  <c r="L11" i="8"/>
  <c r="AH26" i="8"/>
  <c r="M23" i="8"/>
  <c r="AC20" i="8"/>
  <c r="AD14" i="8"/>
  <c r="AQ10" i="8"/>
  <c r="M30" i="8"/>
  <c r="AJ9" i="8"/>
  <c r="P24" i="8"/>
  <c r="AF16" i="8"/>
  <c r="U9" i="8"/>
  <c r="AD21" i="8"/>
  <c r="P33" i="8"/>
  <c r="J31" i="8"/>
  <c r="AD30" i="8"/>
  <c r="AQ22" i="8"/>
  <c r="N31" i="8"/>
  <c r="AF36" i="8"/>
  <c r="AN23" i="8"/>
  <c r="T22" i="8"/>
  <c r="W15" i="8"/>
  <c r="J32" i="8"/>
  <c r="L27" i="8"/>
  <c r="AP28" i="8"/>
  <c r="U18" i="8"/>
  <c r="U32" i="8"/>
  <c r="AH32" i="8"/>
  <c r="W20" i="8"/>
  <c r="N30" i="8"/>
  <c r="AN30" i="8"/>
  <c r="L15" i="8"/>
  <c r="AL29" i="8"/>
  <c r="R31" i="8"/>
  <c r="V18" i="8"/>
  <c r="M36" i="8"/>
  <c r="M15" i="8"/>
  <c r="AM21" i="8"/>
  <c r="O12" i="8"/>
  <c r="I33" i="8"/>
  <c r="AK11" i="8"/>
  <c r="AC29" i="8"/>
  <c r="AM16" i="8"/>
  <c r="Z15" i="8"/>
  <c r="AE7" i="8"/>
  <c r="AK7" i="8"/>
  <c r="AA28" i="8"/>
  <c r="I36" i="8"/>
  <c r="T18" i="8"/>
  <c r="AD32" i="8"/>
  <c r="AD33" i="8"/>
  <c r="V33" i="8"/>
  <c r="AA18" i="8"/>
  <c r="AN8" i="8"/>
  <c r="M26" i="8"/>
  <c r="AF30" i="8"/>
  <c r="R23" i="8"/>
  <c r="J30" i="8"/>
  <c r="AD10" i="8"/>
  <c r="AE29" i="8"/>
  <c r="S32" i="8"/>
  <c r="AK15" i="8"/>
  <c r="K24" i="8"/>
  <c r="L30" i="8"/>
  <c r="R21" i="8"/>
  <c r="Z16" i="8"/>
  <c r="AA29" i="8"/>
  <c r="M29" i="8"/>
  <c r="M8" i="8"/>
  <c r="R8" i="8"/>
  <c r="O23" i="8"/>
  <c r="AE31" i="8"/>
  <c r="AJ18" i="8"/>
  <c r="V23" i="8"/>
  <c r="AB17" i="8"/>
  <c r="AC23" i="8"/>
  <c r="P21" i="8"/>
  <c r="AL15" i="8"/>
  <c r="AM22" i="8"/>
  <c r="AB33" i="8"/>
  <c r="O20" i="8"/>
  <c r="AI15" i="8"/>
  <c r="AJ23" i="8"/>
  <c r="AM36" i="8"/>
  <c r="X26" i="8"/>
  <c r="Q10" i="8"/>
  <c r="X15" i="8"/>
  <c r="S14" i="8"/>
  <c r="N11" i="8"/>
  <c r="AE15" i="8"/>
  <c r="Q14" i="8"/>
  <c r="T10" i="8"/>
  <c r="AN10" i="8"/>
  <c r="AM10" i="8"/>
  <c r="AL10" i="8"/>
  <c r="U36" i="8"/>
  <c r="I10" i="8"/>
  <c r="AO30" i="8"/>
  <c r="O18" i="8"/>
  <c r="W10" i="8"/>
  <c r="R24" i="8"/>
  <c r="AH27" i="8"/>
  <c r="AG27" i="8"/>
  <c r="AF27" i="8"/>
  <c r="H15" i="8"/>
  <c r="W9" i="8"/>
  <c r="AB16" i="8"/>
  <c r="AP10" i="8"/>
  <c r="X31" i="8"/>
  <c r="S23" i="8"/>
  <c r="AL22" i="8"/>
  <c r="Q30" i="8"/>
  <c r="AA9" i="8"/>
  <c r="AM14" i="8"/>
  <c r="Y7" i="8"/>
  <c r="Z22" i="8"/>
  <c r="L8" i="8"/>
  <c r="I29" i="8"/>
  <c r="S26" i="8"/>
  <c r="R26" i="8"/>
  <c r="O26" i="8"/>
  <c r="Y8" i="8"/>
  <c r="AF23" i="8"/>
  <c r="AQ15" i="8"/>
  <c r="AK8" i="8"/>
  <c r="AC8" i="8"/>
  <c r="X9" i="8"/>
  <c r="AK26" i="8"/>
  <c r="W16" i="8"/>
  <c r="T36" i="8"/>
  <c r="AA30" i="8"/>
  <c r="T31" i="8"/>
  <c r="AE36" i="8"/>
  <c r="I30" i="8"/>
  <c r="AG25" i="8"/>
  <c r="T17" i="8"/>
  <c r="AB20" i="8"/>
  <c r="K30" i="8"/>
  <c r="O24" i="8"/>
  <c r="AK16" i="8"/>
  <c r="AI14" i="8"/>
  <c r="AJ8" i="8"/>
  <c r="AP25" i="8"/>
  <c r="AK31" i="8"/>
  <c r="W25" i="8"/>
  <c r="K33" i="8"/>
  <c r="W22" i="8"/>
  <c r="S16" i="8"/>
  <c r="W11" i="8"/>
  <c r="AE12" i="8"/>
  <c r="W18" i="8"/>
  <c r="S9" i="8"/>
  <c r="AG32" i="8"/>
  <c r="V8" i="8"/>
  <c r="AA7" i="8"/>
  <c r="AG7" i="8"/>
  <c r="K29" i="8"/>
  <c r="W21" i="8"/>
  <c r="AH7" i="8"/>
  <c r="AA12" i="8"/>
  <c r="Q28" i="8"/>
  <c r="AF22" i="8"/>
  <c r="AD23" i="8"/>
  <c r="AE18" i="8"/>
  <c r="K10" i="8"/>
  <c r="AP22" i="8"/>
  <c r="K21" i="8"/>
  <c r="H29" i="8"/>
  <c r="O36" i="8"/>
  <c r="O31" i="8"/>
  <c r="AM33" i="8"/>
  <c r="U17" i="8"/>
  <c r="AK22" i="8"/>
  <c r="K28" i="8"/>
  <c r="R20" i="8"/>
  <c r="I15" i="8"/>
  <c r="P32" i="8"/>
  <c r="AI25" i="8"/>
  <c r="AB23" i="8"/>
  <c r="AO24" i="8"/>
  <c r="R25" i="8"/>
  <c r="P8" i="8"/>
  <c r="AH31" i="8"/>
  <c r="AA24" i="8"/>
  <c r="AE17" i="8"/>
  <c r="AE24" i="8"/>
  <c r="R30" i="8"/>
  <c r="T28" i="8"/>
  <c r="Z28" i="8"/>
  <c r="AG23" i="8"/>
  <c r="Y21" i="8"/>
  <c r="AF14" i="8"/>
  <c r="Q7" i="8"/>
  <c r="AF29" i="8"/>
  <c r="W23" i="8"/>
  <c r="AI21" i="8"/>
  <c r="AN15" i="8"/>
  <c r="H27" i="8"/>
  <c r="AE20" i="8"/>
  <c r="H16" i="8"/>
  <c r="V14" i="8"/>
  <c r="M24" i="8"/>
  <c r="H18" i="8"/>
  <c r="AI10" i="8"/>
  <c r="AD11" i="8"/>
  <c r="AJ10" i="8"/>
  <c r="J9" i="8"/>
  <c r="I9" i="8"/>
  <c r="V25" i="8"/>
  <c r="L9" i="8"/>
  <c r="L22" i="8"/>
  <c r="AI18" i="8"/>
  <c r="AG18" i="8"/>
  <c r="V7" i="8"/>
  <c r="AG14" i="8"/>
  <c r="AL16" i="8"/>
  <c r="X7" i="8"/>
  <c r="T30" i="8"/>
  <c r="AM8" i="8"/>
  <c r="AL8" i="8"/>
  <c r="AF8" i="8"/>
  <c r="T33" i="8"/>
  <c r="K18" i="8"/>
  <c r="N17" i="8"/>
  <c r="AC7" i="8"/>
  <c r="AA36" i="8"/>
  <c r="AN33" i="8"/>
  <c r="AF25" i="8"/>
  <c r="AE25" i="8"/>
  <c r="AD25" i="8"/>
  <c r="X36" i="8"/>
  <c r="N7" i="8"/>
  <c r="AG12" i="8"/>
  <c r="W36" i="8"/>
  <c r="Z33" i="8"/>
  <c r="AF10" i="8"/>
  <c r="AB15" i="8"/>
  <c r="AB25" i="8"/>
  <c r="J17" i="8"/>
  <c r="I27" i="8"/>
  <c r="AA10" i="8"/>
  <c r="AI30" i="8"/>
  <c r="AO16" i="8"/>
  <c r="AP32" i="8"/>
  <c r="K22" i="8"/>
  <c r="AO26" i="8"/>
  <c r="AM25" i="8"/>
  <c r="AF9" i="8"/>
  <c r="AQ30" i="8"/>
  <c r="O33" i="8"/>
  <c r="H21" i="8"/>
  <c r="AE23" i="8"/>
  <c r="AF32" i="8"/>
  <c r="K14" i="8"/>
  <c r="AP21" i="8"/>
  <c r="V22" i="8"/>
  <c r="T15" i="8"/>
  <c r="T25" i="8"/>
  <c r="AK14" i="8"/>
  <c r="AK17" i="8"/>
  <c r="O17" i="8"/>
  <c r="P17" i="8"/>
  <c r="L14" i="8"/>
  <c r="L33" i="8"/>
  <c r="X11" i="8"/>
  <c r="P26" i="8"/>
  <c r="AC16" i="8"/>
  <c r="Q21" i="8"/>
  <c r="AM30" i="8"/>
  <c r="AG33" i="8"/>
  <c r="K15" i="8"/>
  <c r="AI26" i="8"/>
  <c r="S8" i="8"/>
  <c r="U24" i="8"/>
  <c r="V15" i="8"/>
  <c r="Y28" i="8"/>
  <c r="AH17" i="8"/>
  <c r="AJ14" i="8"/>
  <c r="Z7" i="8"/>
  <c r="V32" i="8"/>
  <c r="V9" i="8"/>
  <c r="K16" i="8"/>
  <c r="AM31" i="8"/>
  <c r="AI16" i="8"/>
  <c r="L17" i="8"/>
  <c r="AN32" i="8"/>
  <c r="P36" i="8"/>
  <c r="AO15" i="8"/>
  <c r="AB31" i="8"/>
  <c r="AO31" i="8"/>
  <c r="J10" i="8"/>
  <c r="R9" i="8"/>
  <c r="Q25" i="8"/>
  <c r="K25" i="8"/>
  <c r="U20" i="8"/>
  <c r="H9" i="8"/>
  <c r="AN28" i="8"/>
  <c r="AQ8" i="8"/>
  <c r="I24" i="8"/>
  <c r="H30" i="8"/>
  <c r="AB24" i="8"/>
  <c r="U14" i="8"/>
  <c r="AP26" i="8"/>
  <c r="AL20" i="8"/>
  <c r="X30" i="8"/>
  <c r="AC12" i="8"/>
  <c r="P7" i="8"/>
  <c r="AM29" i="8"/>
  <c r="J28" i="8"/>
  <c r="O30" i="8"/>
  <c r="AI17" i="8"/>
  <c r="O21" i="8"/>
  <c r="AQ7" i="8"/>
  <c r="AG22" i="8"/>
  <c r="AH22" i="8"/>
  <c r="Z20" i="8"/>
  <c r="AH29" i="8"/>
  <c r="AP15" i="8"/>
  <c r="X20" i="8"/>
  <c r="AM24" i="8"/>
  <c r="Y32" i="8"/>
  <c r="X14" i="8"/>
  <c r="AQ17" i="8"/>
  <c r="M21" i="8"/>
  <c r="S15" i="8"/>
  <c r="W8" i="8"/>
  <c r="AK24" i="8"/>
  <c r="N8" i="8"/>
  <c r="AG21" i="8"/>
  <c r="W29" i="8"/>
  <c r="T8" i="8"/>
  <c r="J12" i="8"/>
  <c r="Q9" i="8"/>
  <c r="Y36" i="8"/>
  <c r="M7" i="8"/>
  <c r="J15" i="8"/>
  <c r="Y20" i="8"/>
  <c r="Z36" i="8"/>
  <c r="L29" i="8"/>
  <c r="AN20" i="8"/>
  <c r="I7" i="8"/>
  <c r="H7" i="8"/>
  <c r="AO17" i="8"/>
  <c r="AD18" i="8"/>
  <c r="AQ24" i="8"/>
  <c r="AP24" i="8"/>
  <c r="AN24" i="8"/>
  <c r="P14" i="8"/>
  <c r="Q18" i="8"/>
  <c r="K7" i="8"/>
  <c r="I31" i="8"/>
  <c r="AA21" i="8"/>
  <c r="AN25" i="8"/>
  <c r="AQ29" i="8"/>
  <c r="I32" i="8"/>
  <c r="AI27" i="8"/>
  <c r="AF20" i="8"/>
  <c r="AO29" i="8"/>
  <c r="AC21" i="8"/>
  <c r="M22" i="8"/>
  <c r="AD16" i="8"/>
  <c r="J24" i="8"/>
  <c r="O27" i="8"/>
  <c r="AP20" i="8"/>
  <c r="R33" i="8"/>
  <c r="Q26" i="8"/>
  <c r="V31" i="8"/>
  <c r="AP17" i="8"/>
  <c r="N27" i="8"/>
  <c r="Z18" i="8"/>
  <c r="AI8" i="8"/>
  <c r="AL14" i="8"/>
  <c r="Z29" i="8"/>
  <c r="H8" i="8"/>
  <c r="Y17" i="8"/>
  <c r="W30" i="8"/>
  <c r="N28" i="8"/>
  <c r="AJ22" i="8"/>
  <c r="Q32" i="8"/>
  <c r="Y27" i="8"/>
  <c r="AQ26" i="8"/>
  <c r="J18" i="8"/>
  <c r="P12" i="8"/>
  <c r="W31" i="8"/>
  <c r="S17" i="8"/>
  <c r="P29" i="8"/>
  <c r="U23" i="8"/>
  <c r="O9" i="8"/>
  <c r="AE14" i="8"/>
  <c r="AE11" i="8"/>
  <c r="AF26" i="8"/>
  <c r="AL7" i="8"/>
  <c r="AM20" i="8"/>
  <c r="AF7" i="8"/>
  <c r="K20" i="8"/>
  <c r="X32" i="8"/>
  <c r="O25" i="8"/>
  <c r="T12" i="8"/>
  <c r="S18" i="8"/>
  <c r="AI20" i="8"/>
  <c r="AN36" i="8"/>
  <c r="AL31" i="8"/>
  <c r="T24" i="8"/>
  <c r="AJ32" i="8"/>
  <c r="S11" i="8"/>
  <c r="H14" i="8"/>
  <c r="AB21" i="8"/>
  <c r="R15" i="8"/>
  <c r="U30" i="8"/>
  <c r="P20" i="8"/>
  <c r="Q36" i="8"/>
  <c r="R32" i="8"/>
  <c r="H31" i="8"/>
  <c r="I18" i="8"/>
  <c r="S24" i="8"/>
  <c r="S25" i="8"/>
  <c r="AG31" i="8"/>
  <c r="AB29" i="8"/>
  <c r="AI22" i="8"/>
  <c r="P30" i="8"/>
  <c r="AK12" i="8"/>
  <c r="AB7" i="8"/>
  <c r="U25" i="8"/>
  <c r="Q24" i="8"/>
  <c r="L16" i="8"/>
  <c r="V12" i="8"/>
  <c r="AG29" i="8"/>
  <c r="U28" i="8"/>
  <c r="Y25" i="8"/>
  <c r="K17" i="8"/>
  <c r="AH14" i="8"/>
  <c r="K11" i="8"/>
  <c r="AP16" i="8"/>
  <c r="AP11" i="8"/>
  <c r="M18" i="8"/>
  <c r="N26" i="8"/>
  <c r="AO27" i="8"/>
  <c r="AK25" i="8"/>
  <c r="AN26" i="8"/>
  <c r="AM23" i="8"/>
  <c r="AG11" i="8"/>
  <c r="T21" i="8"/>
  <c r="AA8" i="8"/>
  <c r="AB36" i="8"/>
  <c r="AO33" i="8"/>
  <c r="T32" i="8"/>
  <c r="S7" i="8"/>
  <c r="AN7" i="8"/>
  <c r="Q17" i="8"/>
  <c r="AD12" i="8"/>
  <c r="T9" i="8"/>
  <c r="AD36" i="8"/>
  <c r="AP33" i="8"/>
  <c r="M20" i="8"/>
  <c r="AN27" i="8"/>
  <c r="P22" i="8"/>
  <c r="R14" i="8"/>
  <c r="U7" i="8"/>
  <c r="AI7" i="8"/>
  <c r="H10" i="8"/>
  <c r="AI36" i="8"/>
  <c r="AQ33" i="8"/>
  <c r="I28" i="8"/>
  <c r="I20" i="8"/>
  <c r="N23" i="8"/>
  <c r="T20" i="8"/>
  <c r="AC28" i="8"/>
  <c r="L7" i="8"/>
  <c r="X33" i="8"/>
  <c r="L31" i="8"/>
  <c r="Y30" i="8"/>
  <c r="AQ23" i="8"/>
  <c r="AP23" i="8"/>
  <c r="S12" i="8"/>
  <c r="AL17" i="8"/>
  <c r="Y6" i="8" l="1"/>
  <c r="Y19" i="8"/>
  <c r="L19" i="15"/>
  <c r="AI6" i="8"/>
  <c r="AN19" i="15"/>
  <c r="AA6" i="8"/>
  <c r="AK19" i="15"/>
  <c r="H6" i="8"/>
  <c r="AE13" i="8"/>
  <c r="AK13" i="8"/>
  <c r="AD13" i="8"/>
  <c r="V19" i="15"/>
  <c r="I13" i="8"/>
  <c r="AJ19" i="8"/>
  <c r="AC19" i="8"/>
  <c r="AJ19" i="15"/>
  <c r="AF19" i="15"/>
  <c r="AL19" i="8"/>
  <c r="AB6" i="8"/>
  <c r="AD19" i="8"/>
  <c r="AB19" i="8"/>
  <c r="AF6" i="8"/>
  <c r="O19" i="15"/>
  <c r="I6" i="8"/>
  <c r="AB19" i="15"/>
  <c r="R19" i="8"/>
  <c r="K13" i="8"/>
  <c r="AM19" i="15"/>
  <c r="U13" i="8"/>
  <c r="X19" i="15"/>
  <c r="X19" i="8"/>
  <c r="AI19" i="8"/>
  <c r="AC13" i="8"/>
  <c r="K6" i="8"/>
  <c r="J19" i="15"/>
  <c r="AG13" i="8"/>
  <c r="AL13" i="8"/>
  <c r="AG19" i="15"/>
  <c r="AH6" i="8"/>
  <c r="U19" i="15"/>
  <c r="Y19" i="15"/>
  <c r="L13" i="8"/>
  <c r="AC19" i="15"/>
  <c r="Z6" i="8"/>
  <c r="AP19" i="8"/>
  <c r="Z19" i="8"/>
  <c r="Z17" i="15"/>
  <c r="AL19" i="15"/>
  <c r="V13" i="8"/>
  <c r="I19" i="15"/>
  <c r="AE19" i="15"/>
  <c r="AD6" i="8"/>
  <c r="AO13" i="8"/>
  <c r="M19" i="8"/>
  <c r="S6" i="8"/>
  <c r="P6" i="8"/>
  <c r="AO19" i="15"/>
  <c r="AG6" i="8"/>
  <c r="AK6" i="8"/>
  <c r="AP19" i="15"/>
  <c r="S19" i="8"/>
  <c r="AI19" i="15"/>
  <c r="AA19" i="15"/>
  <c r="V6" i="8"/>
  <c r="AM6" i="8"/>
  <c r="L6" i="8"/>
  <c r="P13" i="8"/>
  <c r="W19" i="8"/>
  <c r="X13" i="8"/>
  <c r="N13" i="8"/>
  <c r="AO19" i="8"/>
  <c r="AN6" i="8"/>
  <c r="H19" i="15"/>
  <c r="AA19" i="8"/>
  <c r="K19" i="8"/>
  <c r="W19" i="15"/>
  <c r="X6" i="8"/>
  <c r="AA13" i="8"/>
  <c r="N19" i="8"/>
  <c r="O6" i="8"/>
  <c r="AQ19" i="8"/>
  <c r="S19" i="15"/>
  <c r="L19" i="8"/>
  <c r="AH13" i="8"/>
  <c r="H13" i="8"/>
  <c r="AJ13" i="8"/>
  <c r="AE6" i="8"/>
  <c r="M19" i="15"/>
  <c r="O13" i="8"/>
  <c r="V19" i="8"/>
  <c r="AQ13" i="8"/>
  <c r="K19" i="15"/>
  <c r="R6" i="8"/>
  <c r="AB13" i="8"/>
  <c r="T19" i="8"/>
  <c r="AN19" i="8"/>
  <c r="U19" i="8"/>
  <c r="Q13" i="8"/>
  <c r="AH19" i="8"/>
  <c r="H19" i="8"/>
  <c r="AG19" i="8"/>
  <c r="Q19" i="8"/>
  <c r="AK19" i="8"/>
  <c r="N19" i="15"/>
  <c r="AO6" i="8"/>
  <c r="T13" i="8"/>
  <c r="I19" i="8"/>
  <c r="U6" i="8"/>
  <c r="AE19" i="8"/>
  <c r="Q6" i="8"/>
  <c r="J19" i="8"/>
  <c r="W6" i="8"/>
  <c r="AD19" i="15"/>
  <c r="Q19" i="15"/>
  <c r="AM19" i="8"/>
  <c r="Z19" i="15"/>
  <c r="T19" i="15"/>
  <c r="Y13" i="8"/>
  <c r="J13" i="8"/>
  <c r="AM13" i="8"/>
  <c r="S13" i="8"/>
  <c r="AP13" i="8"/>
  <c r="R13" i="8"/>
  <c r="AF19" i="8"/>
  <c r="AN13" i="8"/>
  <c r="M13" i="8"/>
  <c r="AP6" i="8"/>
  <c r="AH19" i="15"/>
  <c r="AF13" i="8"/>
  <c r="T6" i="8"/>
  <c r="P19" i="8"/>
  <c r="AC6" i="8"/>
  <c r="AI13" i="8"/>
  <c r="AQ6" i="8"/>
  <c r="AQ19" i="15"/>
  <c r="M6" i="8"/>
  <c r="AL6" i="8"/>
  <c r="P19" i="15"/>
  <c r="N6" i="8"/>
  <c r="O19" i="8"/>
  <c r="Z13" i="8"/>
  <c r="AJ6" i="8"/>
  <c r="R19" i="15"/>
  <c r="W13" i="8"/>
  <c r="J6" i="8"/>
  <c r="AG16" i="15" l="1"/>
  <c r="V45" i="15"/>
  <c r="V15" i="15"/>
  <c r="S5" i="8"/>
  <c r="X17" i="15"/>
  <c r="AE16" i="15"/>
  <c r="AG43" i="15"/>
  <c r="AG15" i="15"/>
  <c r="O16" i="15"/>
  <c r="V16" i="15"/>
  <c r="Q15" i="15"/>
  <c r="Q45" i="15"/>
  <c r="AO15" i="15"/>
  <c r="AO45" i="15"/>
  <c r="AA17" i="15"/>
  <c r="P16" i="15"/>
  <c r="U16" i="15"/>
  <c r="AJ5" i="8"/>
  <c r="S16" i="15"/>
  <c r="AO5" i="8"/>
  <c r="AH17" i="15"/>
  <c r="L17" i="15"/>
  <c r="N16" i="15"/>
  <c r="AG5" i="8"/>
  <c r="AL15" i="15"/>
  <c r="AI16" i="15"/>
  <c r="AM17" i="15"/>
  <c r="R15" i="15"/>
  <c r="L15" i="15"/>
  <c r="L45" i="15"/>
  <c r="M17" i="15"/>
  <c r="AL17" i="15"/>
  <c r="AE17" i="15"/>
  <c r="L5" i="8"/>
  <c r="AF5" i="8"/>
  <c r="I5" i="8"/>
  <c r="AJ15" i="15"/>
  <c r="I44" i="15"/>
  <c r="I15" i="15"/>
  <c r="AQ15" i="15"/>
  <c r="AQ44" i="15"/>
  <c r="T5" i="8"/>
  <c r="Z16" i="15"/>
  <c r="M16" i="15"/>
  <c r="R5" i="8"/>
  <c r="AA16" i="15"/>
  <c r="K5" i="8"/>
  <c r="H15" i="15"/>
  <c r="H45" i="15"/>
  <c r="K45" i="15"/>
  <c r="K15" i="15"/>
  <c r="AJ17" i="15"/>
  <c r="AB16" i="15"/>
  <c r="AP17" i="15"/>
  <c r="AK17" i="15"/>
  <c r="I16" i="15"/>
  <c r="W17" i="15"/>
  <c r="AP15" i="15"/>
  <c r="AP45" i="15"/>
  <c r="T43" i="15"/>
  <c r="T15" i="15"/>
  <c r="V5" i="8"/>
  <c r="AL5" i="8"/>
  <c r="AF16" i="15"/>
  <c r="H5" i="8"/>
  <c r="AN5" i="8"/>
  <c r="AQ5" i="8"/>
  <c r="N17" i="15"/>
  <c r="K17" i="15"/>
  <c r="AO17" i="15"/>
  <c r="Q16" i="15"/>
  <c r="AN16" i="15"/>
  <c r="AE5" i="8"/>
  <c r="AF15" i="15"/>
  <c r="AF44" i="15"/>
  <c r="Y17" i="15"/>
  <c r="M15" i="15"/>
  <c r="M43" i="15"/>
  <c r="AJ16" i="15"/>
  <c r="X15" i="15"/>
  <c r="X44" i="15"/>
  <c r="P5" i="8"/>
  <c r="Z5" i="8"/>
  <c r="AC16" i="15"/>
  <c r="J5" i="8"/>
  <c r="R16" i="15"/>
  <c r="U44" i="15"/>
  <c r="U15" i="15"/>
  <c r="AH5" i="8"/>
  <c r="Y15" i="15"/>
  <c r="Y43" i="15"/>
  <c r="J16" i="15"/>
  <c r="W44" i="15"/>
  <c r="W15" i="15"/>
  <c r="AM5" i="8"/>
  <c r="AH15" i="15"/>
  <c r="AH43" i="15"/>
  <c r="AI17" i="15"/>
  <c r="AD16" i="15"/>
  <c r="AA5" i="8"/>
  <c r="AP5" i="8"/>
  <c r="AM16" i="15"/>
  <c r="AB17" i="15"/>
  <c r="Y5" i="8"/>
  <c r="AC15" i="15"/>
  <c r="AC44" i="15"/>
  <c r="U5" i="8"/>
  <c r="AD15" i="15"/>
  <c r="AD43" i="15"/>
  <c r="M5" i="8"/>
  <c r="Q17" i="15"/>
  <c r="AD5" i="8"/>
  <c r="AA15" i="15"/>
  <c r="AA43" i="15"/>
  <c r="X5" i="8"/>
  <c r="X16" i="15"/>
  <c r="AE15" i="15"/>
  <c r="AE43" i="15"/>
  <c r="AC5" i="8"/>
  <c r="AD17" i="15"/>
  <c r="AG17" i="15"/>
  <c r="AN17" i="15"/>
  <c r="AM43" i="15"/>
  <c r="AM15" i="15"/>
  <c r="L16" i="15"/>
  <c r="AC17" i="15"/>
  <c r="AB5" i="8"/>
  <c r="AF17" i="15"/>
  <c r="AQ16" i="15"/>
  <c r="S17" i="15"/>
  <c r="N5" i="8"/>
  <c r="V17" i="15"/>
  <c r="AK16" i="15"/>
  <c r="T16" i="15"/>
  <c r="O5" i="8"/>
  <c r="AN44" i="15"/>
  <c r="AN15" i="15"/>
  <c r="AK45" i="15"/>
  <c r="AK15" i="15"/>
  <c r="Q5" i="8"/>
  <c r="H17" i="15"/>
  <c r="P15" i="15"/>
  <c r="P43" i="15"/>
  <c r="J43" i="15"/>
  <c r="J15" i="15"/>
  <c r="Y16" i="15"/>
  <c r="W5" i="8"/>
  <c r="I17" i="15"/>
  <c r="H16" i="15"/>
  <c r="J17" i="15"/>
  <c r="O43" i="15"/>
  <c r="O15" i="15"/>
  <c r="AK5" i="8"/>
  <c r="AB15" i="15"/>
  <c r="AB43" i="15"/>
  <c r="S45" i="15"/>
  <c r="S15" i="15"/>
  <c r="AI43" i="15"/>
  <c r="AI15" i="15"/>
  <c r="AI5" i="8"/>
  <c r="AO16" i="15"/>
  <c r="O17" i="15"/>
  <c r="U17" i="15"/>
  <c r="AQ17" i="15"/>
  <c r="Z15" i="15"/>
  <c r="Z44" i="15"/>
  <c r="K16" i="15"/>
  <c r="AL16" i="15"/>
  <c r="R17" i="15"/>
  <c r="AP16" i="15"/>
  <c r="N45" i="15"/>
  <c r="N15" i="15"/>
  <c r="P17" i="15"/>
  <c r="W16" i="15"/>
  <c r="T17" i="15"/>
  <c r="AH16" i="15"/>
  <c r="Y44" i="15" l="1"/>
  <c r="AO44" i="15"/>
  <c r="H43" i="15"/>
  <c r="T44" i="15"/>
  <c r="Q44" i="15"/>
  <c r="AC45" i="15"/>
  <c r="L44" i="15"/>
  <c r="AQ45" i="15"/>
  <c r="U43" i="15"/>
  <c r="V43" i="15"/>
  <c r="Z43" i="15"/>
  <c r="AK44" i="15"/>
  <c r="W43" i="15"/>
  <c r="N43" i="15"/>
  <c r="AH44" i="15"/>
  <c r="S43" i="15"/>
  <c r="AI45" i="15"/>
  <c r="AP43" i="15"/>
  <c r="X45" i="15"/>
  <c r="N44" i="15"/>
  <c r="P45" i="15"/>
  <c r="AE44" i="15"/>
  <c r="AE14" i="15"/>
  <c r="AE47" i="15"/>
  <c r="AM44" i="15"/>
  <c r="K44" i="15"/>
  <c r="K14" i="15"/>
  <c r="K47" i="15"/>
  <c r="AJ43" i="15"/>
  <c r="AJ14" i="15"/>
  <c r="AJ47" i="15"/>
  <c r="AA44" i="15"/>
  <c r="AA14" i="15"/>
  <c r="AA47" i="15"/>
  <c r="I43" i="15"/>
  <c r="I14" i="15"/>
  <c r="I42" i="15"/>
  <c r="I47" i="15"/>
  <c r="R44" i="15"/>
  <c r="R14" i="15"/>
  <c r="R47" i="15"/>
  <c r="AB44" i="15"/>
  <c r="AB14" i="15"/>
  <c r="AB47" i="15"/>
  <c r="Y45" i="15"/>
  <c r="Y14" i="15"/>
  <c r="Y47" i="15"/>
  <c r="M45" i="15"/>
  <c r="M14" i="15"/>
  <c r="M47" i="15"/>
  <c r="AG45" i="15"/>
  <c r="AG14" i="15"/>
  <c r="AG47" i="15"/>
  <c r="AL43" i="15"/>
  <c r="AL14" i="15"/>
  <c r="AL47" i="15"/>
  <c r="H44" i="15"/>
  <c r="H14" i="15"/>
  <c r="H42" i="15"/>
  <c r="H47" i="15"/>
  <c r="N14" i="15"/>
  <c r="N47" i="15"/>
  <c r="J45" i="15"/>
  <c r="J42" i="15"/>
  <c r="J14" i="15"/>
  <c r="J47" i="15"/>
  <c r="P44" i="15"/>
  <c r="P14" i="15"/>
  <c r="P47" i="15"/>
  <c r="AA45" i="15"/>
  <c r="AD44" i="15"/>
  <c r="AD14" i="15"/>
  <c r="AD47" i="15"/>
  <c r="AH14" i="15"/>
  <c r="AH47" i="15"/>
  <c r="U45" i="15"/>
  <c r="U14" i="15"/>
  <c r="U47" i="15"/>
  <c r="AF43" i="15"/>
  <c r="AF14" i="15"/>
  <c r="AF47" i="15"/>
  <c r="T45" i="15"/>
  <c r="T14" i="15"/>
  <c r="T47" i="15"/>
  <c r="AE45" i="15"/>
  <c r="AO43" i="15"/>
  <c r="AO14" i="15"/>
  <c r="AO47" i="15"/>
  <c r="AM45" i="15"/>
  <c r="AM14" i="15"/>
  <c r="AM47" i="15"/>
  <c r="AL45" i="15"/>
  <c r="V44" i="15"/>
  <c r="V14" i="15"/>
  <c r="V47" i="15"/>
  <c r="AP44" i="15"/>
  <c r="AP14" i="15"/>
  <c r="AP47" i="15"/>
  <c r="AL44" i="15"/>
  <c r="AI44" i="15"/>
  <c r="AI14" i="15"/>
  <c r="AI47" i="15"/>
  <c r="AF45" i="15"/>
  <c r="AB45" i="15"/>
  <c r="Q43" i="15"/>
  <c r="Q14" i="15"/>
  <c r="Q47" i="15"/>
  <c r="AG44" i="15"/>
  <c r="M44" i="15"/>
  <c r="AD45" i="15"/>
  <c r="AC43" i="15"/>
  <c r="AC14" i="15"/>
  <c r="AC47" i="15"/>
  <c r="AN45" i="15"/>
  <c r="AN14" i="15"/>
  <c r="AN47" i="15"/>
  <c r="AJ45" i="15"/>
  <c r="S44" i="15"/>
  <c r="S14" i="15"/>
  <c r="S47" i="15"/>
  <c r="W45" i="15"/>
  <c r="W14" i="15"/>
  <c r="W47" i="15"/>
  <c r="X43" i="15"/>
  <c r="X14" i="15"/>
  <c r="X47" i="15"/>
  <c r="AH45" i="15"/>
  <c r="AK43" i="15"/>
  <c r="AK14" i="15"/>
  <c r="AK47" i="15"/>
  <c r="AQ43" i="15"/>
  <c r="AQ14" i="15"/>
  <c r="AQ47" i="15"/>
  <c r="O45" i="15"/>
  <c r="O14" i="15"/>
  <c r="O47" i="15"/>
  <c r="AN43" i="15"/>
  <c r="I45" i="15"/>
  <c r="J44" i="15"/>
  <c r="R43" i="15"/>
  <c r="O44" i="15"/>
  <c r="R45" i="15"/>
  <c r="L43" i="15"/>
  <c r="L14" i="15"/>
  <c r="L47" i="15"/>
  <c r="Z45" i="15"/>
  <c r="Z14" i="15"/>
  <c r="Z47" i="15"/>
  <c r="AJ44" i="15"/>
  <c r="K43" i="15"/>
  <c r="V42" i="15" l="1"/>
  <c r="N42" i="15"/>
  <c r="AH42" i="15"/>
  <c r="Y42" i="15"/>
  <c r="AE42" i="15"/>
  <c r="U42" i="15"/>
  <c r="W42" i="15"/>
  <c r="AD42" i="15"/>
  <c r="S42" i="15"/>
  <c r="Q42" i="15"/>
  <c r="O42" i="15"/>
  <c r="AA42" i="15"/>
  <c r="AI42" i="15"/>
  <c r="AG42" i="15"/>
  <c r="AM42" i="15"/>
  <c r="Z42" i="15"/>
  <c r="P42" i="15"/>
  <c r="M42" i="15"/>
  <c r="AB42" i="15"/>
  <c r="T42" i="15"/>
  <c r="AP42" i="15"/>
  <c r="R42" i="15"/>
  <c r="AK42" i="15"/>
  <c r="AO42" i="15"/>
  <c r="AL42" i="15"/>
  <c r="K42" i="15"/>
  <c r="AC42" i="15"/>
  <c r="AN42" i="15"/>
  <c r="AF42" i="15"/>
  <c r="L42" i="15"/>
  <c r="AJ42" i="15"/>
  <c r="X42" i="15"/>
  <c r="AQ42" i="15"/>
  <c r="S32" i="17" l="1"/>
  <c r="V32" i="17"/>
  <c r="J32" i="17"/>
  <c r="Z32" i="17"/>
  <c r="T10" i="17" l="1"/>
  <c r="AA24" i="17"/>
  <c r="AD17" i="17"/>
  <c r="AK17" i="17"/>
  <c r="AA18" i="17"/>
  <c r="AC29" i="17"/>
  <c r="I17" i="17"/>
  <c r="AF36" i="17"/>
  <c r="P9" i="17"/>
  <c r="Q28" i="17"/>
  <c r="H29" i="17"/>
  <c r="V10" i="17"/>
  <c r="R15" i="17"/>
  <c r="W29" i="17"/>
  <c r="T30" i="17"/>
  <c r="AB15" i="17"/>
  <c r="AL27" i="17"/>
  <c r="K32" i="17"/>
  <c r="AD21" i="17"/>
  <c r="O16" i="17"/>
  <c r="AJ30" i="17"/>
  <c r="AH32" i="17"/>
  <c r="M7" i="17"/>
  <c r="AA29" i="17"/>
  <c r="U31" i="17"/>
  <c r="AE33" i="17"/>
  <c r="AB9" i="17"/>
  <c r="R14" i="17"/>
  <c r="X25" i="17"/>
  <c r="AK12" i="17"/>
  <c r="AE31" i="17"/>
  <c r="Y10" i="17"/>
  <c r="AA26" i="17"/>
  <c r="Y18" i="17"/>
  <c r="O29" i="17"/>
  <c r="AM12" i="17"/>
  <c r="AC18" i="17"/>
  <c r="AC28" i="17"/>
  <c r="N15" i="17"/>
  <c r="AD30" i="17"/>
  <c r="J8" i="17"/>
  <c r="P16" i="17"/>
  <c r="I15" i="17"/>
  <c r="O36" i="17"/>
  <c r="V36" i="17"/>
  <c r="Z30" i="17"/>
  <c r="R33" i="17"/>
  <c r="AH15" i="17"/>
  <c r="AA33" i="17"/>
  <c r="K12" i="17"/>
  <c r="P14" i="17"/>
  <c r="W22" i="17"/>
  <c r="H18" i="17"/>
  <c r="AM8" i="17"/>
  <c r="AG26" i="17"/>
  <c r="AK15" i="17"/>
  <c r="P22" i="17"/>
  <c r="W20" i="17"/>
  <c r="R16" i="17"/>
  <c r="S21" i="17"/>
  <c r="AA30" i="17"/>
  <c r="AJ18" i="17"/>
  <c r="W11" i="17"/>
  <c r="AJ10" i="17"/>
  <c r="AK23" i="17"/>
  <c r="R7" i="17"/>
  <c r="O14" i="17"/>
  <c r="H24" i="17"/>
  <c r="W18" i="17"/>
  <c r="AF14" i="17"/>
  <c r="Z14" i="17"/>
  <c r="AG9" i="17"/>
  <c r="Z27" i="17"/>
  <c r="AB20" i="17"/>
  <c r="AE24" i="17"/>
  <c r="Z9" i="17"/>
  <c r="AC16" i="17"/>
  <c r="V22" i="17"/>
  <c r="I29" i="17"/>
  <c r="AL7" i="17"/>
  <c r="H31" i="17"/>
  <c r="W24" i="17"/>
  <c r="S17" i="17"/>
  <c r="AK11" i="17"/>
  <c r="AF17" i="17"/>
  <c r="N26" i="17"/>
  <c r="AI11" i="17"/>
  <c r="AD32" i="17"/>
  <c r="AE25" i="17"/>
  <c r="X11" i="17"/>
  <c r="AG22" i="17"/>
  <c r="AL33" i="17"/>
  <c r="Z8" i="17"/>
  <c r="AA10" i="17"/>
  <c r="T11" i="17"/>
  <c r="AO21" i="17"/>
  <c r="M32" i="17"/>
  <c r="J31" i="17"/>
  <c r="H21" i="17"/>
  <c r="K33" i="17"/>
  <c r="Y12" i="17"/>
  <c r="W23" i="17"/>
  <c r="X26" i="17"/>
  <c r="K14" i="17"/>
  <c r="V16" i="17"/>
  <c r="AQ12" i="17"/>
  <c r="AB28" i="17"/>
  <c r="Z28" i="17"/>
  <c r="AO8" i="17"/>
  <c r="Y17" i="17"/>
  <c r="V31" i="17"/>
  <c r="AI20" i="17"/>
  <c r="AH28" i="17"/>
  <c r="AB12" i="17"/>
  <c r="P32" i="17"/>
  <c r="Z17" i="17"/>
  <c r="X21" i="17"/>
  <c r="AL22" i="17"/>
  <c r="R27" i="17"/>
  <c r="N17" i="17"/>
  <c r="H22" i="17"/>
  <c r="U15" i="17"/>
  <c r="S26" i="17"/>
  <c r="I20" i="17"/>
  <c r="AN16" i="17"/>
  <c r="J27" i="17"/>
  <c r="W30" i="17"/>
  <c r="AP24" i="17"/>
  <c r="Z25" i="17"/>
  <c r="AE28" i="17"/>
  <c r="O26" i="17"/>
  <c r="Z33" i="17"/>
  <c r="H10" i="17"/>
  <c r="AD10" i="17"/>
  <c r="AM18" i="17"/>
  <c r="J14" i="17"/>
  <c r="AP8" i="17"/>
  <c r="U29" i="17"/>
  <c r="L14" i="17"/>
  <c r="R18" i="17"/>
  <c r="X33" i="17"/>
  <c r="T18" i="17"/>
  <c r="AQ8" i="17"/>
  <c r="I32" i="17"/>
  <c r="X32" i="17"/>
  <c r="AG24" i="17"/>
  <c r="W16" i="17"/>
  <c r="N10" i="17"/>
  <c r="AB16" i="17"/>
  <c r="V11" i="17"/>
  <c r="V33" i="17"/>
  <c r="AN28" i="17"/>
  <c r="AF20" i="17"/>
  <c r="K23" i="17"/>
  <c r="AD7" i="17"/>
  <c r="Q7" i="17"/>
  <c r="AI23" i="17"/>
  <c r="M21" i="17"/>
  <c r="M31" i="17"/>
  <c r="AF18" i="17"/>
  <c r="AN11" i="17"/>
  <c r="K16" i="17"/>
  <c r="AP25" i="17"/>
  <c r="S31" i="17"/>
  <c r="AB33" i="17"/>
  <c r="T33" i="17"/>
  <c r="AA25" i="17"/>
  <c r="AK14" i="17"/>
  <c r="Q14" i="17"/>
  <c r="AO12" i="17"/>
  <c r="S8" i="17"/>
  <c r="AI31" i="17"/>
  <c r="AH21" i="17"/>
  <c r="AK25" i="17"/>
  <c r="M17" i="17"/>
  <c r="S10" i="17"/>
  <c r="AF8" i="17"/>
  <c r="AN9" i="17"/>
  <c r="AC26" i="17"/>
  <c r="O20" i="17"/>
  <c r="U9" i="17"/>
  <c r="Z12" i="17"/>
  <c r="L22" i="17"/>
  <c r="Z10" i="17"/>
  <c r="AN27" i="17"/>
  <c r="AK24" i="17"/>
  <c r="L9" i="17"/>
  <c r="M22" i="17"/>
  <c r="AP33" i="17"/>
  <c r="AL11" i="17"/>
  <c r="T25" i="17"/>
  <c r="AE32" i="17"/>
  <c r="U23" i="17"/>
  <c r="AQ9" i="17"/>
  <c r="T24" i="17"/>
  <c r="AE14" i="17"/>
  <c r="N30" i="17"/>
  <c r="S11" i="17"/>
  <c r="X9" i="17"/>
  <c r="K31" i="17"/>
  <c r="AH9" i="17"/>
  <c r="AC15" i="17"/>
  <c r="M30" i="17"/>
  <c r="AJ23" i="17"/>
  <c r="H32" i="17"/>
  <c r="AA7" i="17"/>
  <c r="AD27" i="17"/>
  <c r="AQ22" i="17"/>
  <c r="X28" i="17"/>
  <c r="S15" i="17"/>
  <c r="J26" i="17"/>
  <c r="U36" i="17"/>
  <c r="Q22" i="17"/>
  <c r="AH24" i="17"/>
  <c r="U30" i="17"/>
  <c r="Z22" i="17"/>
  <c r="K7" i="17"/>
  <c r="P8" i="17"/>
  <c r="AB23" i="17"/>
  <c r="AL16" i="17"/>
  <c r="AP26" i="17"/>
  <c r="W7" i="17"/>
  <c r="AL25" i="17"/>
  <c r="U24" i="17"/>
  <c r="AQ18" i="17"/>
  <c r="R21" i="17"/>
  <c r="X10" i="17"/>
  <c r="AD18" i="17"/>
  <c r="AP7" i="17"/>
  <c r="Y25" i="17"/>
  <c r="AP12" i="17"/>
  <c r="Q32" i="17"/>
  <c r="AJ9" i="17"/>
  <c r="N11" i="17"/>
  <c r="V12" i="17"/>
  <c r="P23" i="17"/>
  <c r="AQ32" i="17"/>
  <c r="AD14" i="17"/>
  <c r="AA21" i="17"/>
  <c r="AA31" i="17"/>
  <c r="AQ30" i="17"/>
  <c r="W31" i="17"/>
  <c r="S28" i="17"/>
  <c r="X18" i="17"/>
  <c r="V15" i="17"/>
  <c r="H28" i="17"/>
  <c r="V14" i="17"/>
  <c r="AO28" i="17"/>
  <c r="J11" i="17"/>
  <c r="AB22" i="17"/>
  <c r="AO17" i="17"/>
  <c r="Q12" i="17"/>
  <c r="S7" i="17"/>
  <c r="AM24" i="17"/>
  <c r="AH12" i="17"/>
  <c r="AG8" i="17"/>
  <c r="Z11" i="17"/>
  <c r="O31" i="17"/>
  <c r="AF31" i="17"/>
  <c r="AG10" i="17"/>
  <c r="AP21" i="17"/>
  <c r="H26" i="17"/>
  <c r="V9" i="17"/>
  <c r="AB26" i="17"/>
  <c r="Y9" i="17"/>
  <c r="AG36" i="17"/>
  <c r="AH23" i="17"/>
  <c r="I30" i="17"/>
  <c r="AF24" i="17"/>
  <c r="AH29" i="17"/>
  <c r="AG31" i="17"/>
  <c r="AD16" i="17"/>
  <c r="AO32" i="17"/>
  <c r="AN33" i="17"/>
  <c r="Z20" i="17"/>
  <c r="Q25" i="17"/>
  <c r="P21" i="17"/>
  <c r="AH14" i="17"/>
  <c r="L28" i="17"/>
  <c r="T8" i="17"/>
  <c r="AK8" i="17"/>
  <c r="AQ7" i="17"/>
  <c r="H8" i="17"/>
  <c r="AM28" i="17"/>
  <c r="AJ8" i="17"/>
  <c r="Q11" i="17"/>
  <c r="AO22" i="17"/>
  <c r="AN10" i="17"/>
  <c r="AB29" i="17"/>
  <c r="AA20" i="17"/>
  <c r="AL12" i="17"/>
  <c r="AD23" i="17"/>
  <c r="Q8" i="17"/>
  <c r="AJ25" i="17"/>
  <c r="AK31" i="17"/>
  <c r="X17" i="17"/>
  <c r="AJ12" i="17"/>
  <c r="Y27" i="17"/>
  <c r="K26" i="17"/>
  <c r="P30" i="17"/>
  <c r="X14" i="17"/>
  <c r="P26" i="17"/>
  <c r="AG18" i="17"/>
  <c r="AI21" i="17"/>
  <c r="V23" i="17"/>
  <c r="N29" i="17"/>
  <c r="AG27" i="17"/>
  <c r="X8" i="17"/>
  <c r="L18" i="17"/>
  <c r="X15" i="17"/>
  <c r="AM26" i="17"/>
  <c r="AI29" i="17"/>
  <c r="AN21" i="17"/>
  <c r="L17" i="17"/>
  <c r="AL26" i="17"/>
  <c r="AF11" i="17"/>
  <c r="U27" i="17"/>
  <c r="AN20" i="17"/>
  <c r="Z15" i="17"/>
  <c r="M18" i="17"/>
  <c r="AC8" i="17"/>
  <c r="AH33" i="17"/>
  <c r="AH11" i="17"/>
  <c r="Q21" i="17"/>
  <c r="K18" i="17"/>
  <c r="AF16" i="17"/>
  <c r="AA8" i="17"/>
  <c r="U11" i="17"/>
  <c r="S23" i="17"/>
  <c r="T23" i="17"/>
  <c r="AE30" i="17"/>
  <c r="AN15" i="17"/>
  <c r="AF23" i="17"/>
  <c r="K17" i="17"/>
  <c r="AA9" i="17"/>
  <c r="AK30" i="17"/>
  <c r="X36" i="17"/>
  <c r="I18" i="17"/>
  <c r="AQ20" i="17"/>
  <c r="AP27" i="17"/>
  <c r="N9" i="17"/>
  <c r="AL17" i="17"/>
  <c r="L29" i="17"/>
  <c r="AJ33" i="17"/>
  <c r="Y24" i="17"/>
  <c r="AK7" i="17"/>
  <c r="AC9" i="17"/>
  <c r="L23" i="17"/>
  <c r="T29" i="17"/>
  <c r="M25" i="17"/>
  <c r="AP22" i="17"/>
  <c r="AK26" i="17"/>
  <c r="Q24" i="17"/>
  <c r="AI27" i="17"/>
  <c r="AQ36" i="17"/>
  <c r="Z21" i="17"/>
  <c r="S22" i="17"/>
  <c r="Y26" i="17"/>
  <c r="T31" i="17"/>
  <c r="AQ10" i="17"/>
  <c r="R23" i="17"/>
  <c r="Y15" i="17"/>
  <c r="R9" i="17"/>
  <c r="H11" i="17"/>
  <c r="AL10" i="17"/>
  <c r="AN18" i="17"/>
  <c r="Y29" i="17"/>
  <c r="H20" i="17"/>
  <c r="AC31" i="17"/>
  <c r="M15" i="17"/>
  <c r="AF26" i="17"/>
  <c r="AK27" i="17"/>
  <c r="L10" i="17"/>
  <c r="AL30" i="17"/>
  <c r="AH22" i="17"/>
  <c r="N36" i="17"/>
  <c r="AJ15" i="17"/>
  <c r="Z26" i="17"/>
  <c r="M9" i="17"/>
  <c r="AD15" i="17"/>
  <c r="AG33" i="17"/>
  <c r="AI32" i="17"/>
  <c r="AK22" i="17"/>
  <c r="AJ17" i="17"/>
  <c r="L32" i="17"/>
  <c r="I25" i="17"/>
  <c r="AE36" i="17"/>
  <c r="AC36" i="17"/>
  <c r="AH30" i="17"/>
  <c r="K25" i="17"/>
  <c r="K15" i="17"/>
  <c r="AM16" i="17"/>
  <c r="AF25" i="17"/>
  <c r="L21" i="17"/>
  <c r="AN14" i="17"/>
  <c r="P24" i="17"/>
  <c r="P18" i="17"/>
  <c r="T22" i="17"/>
  <c r="Z31" i="17"/>
  <c r="AN8" i="17"/>
  <c r="S24" i="17"/>
  <c r="S30" i="17"/>
  <c r="W15" i="17"/>
  <c r="AL20" i="17"/>
  <c r="Y32" i="17"/>
  <c r="AG21" i="17"/>
  <c r="AK18" i="17"/>
  <c r="AQ17" i="17"/>
  <c r="AN36" i="17"/>
  <c r="AO18" i="17"/>
  <c r="AQ31" i="17"/>
  <c r="S18" i="17"/>
  <c r="R25" i="17"/>
  <c r="AL23" i="17"/>
  <c r="S27" i="17"/>
  <c r="V29" i="17"/>
  <c r="H23" i="17"/>
  <c r="AB24" i="17"/>
  <c r="T9" i="17"/>
  <c r="O18" i="17"/>
  <c r="AP11" i="17"/>
  <c r="R8" i="17"/>
  <c r="AB14" i="17"/>
  <c r="X23" i="17"/>
  <c r="W32" i="17"/>
  <c r="AL24" i="17"/>
  <c r="L31" i="17"/>
  <c r="Z18" i="17"/>
  <c r="I12" i="17"/>
  <c r="AJ16" i="17"/>
  <c r="AA14" i="17"/>
  <c r="AB30" i="17"/>
  <c r="AP14" i="17"/>
  <c r="AB25" i="17"/>
  <c r="H14" i="17"/>
  <c r="AL32" i="17"/>
  <c r="AE22" i="17"/>
  <c r="L25" i="17"/>
  <c r="AB27" i="17"/>
  <c r="AN26" i="17"/>
  <c r="I27" i="17"/>
  <c r="J12" i="17"/>
  <c r="P7" i="17"/>
  <c r="S14" i="17"/>
  <c r="AN22" i="17"/>
  <c r="W27" i="17"/>
  <c r="AI7" i="17"/>
  <c r="O7" i="17"/>
  <c r="AI26" i="17"/>
  <c r="X30" i="17"/>
  <c r="AD26" i="17"/>
  <c r="AQ16" i="17"/>
  <c r="AK29" i="17"/>
  <c r="AM25" i="17"/>
  <c r="AB32" i="17"/>
  <c r="AH7" i="17"/>
  <c r="Z36" i="17"/>
  <c r="V18" i="17"/>
  <c r="T7" i="17"/>
  <c r="S25" i="17"/>
  <c r="AP15" i="17"/>
  <c r="AI10" i="17"/>
  <c r="AE18" i="17"/>
  <c r="U7" i="17"/>
  <c r="AJ31" i="17"/>
  <c r="M12" i="17"/>
  <c r="Z23" i="17"/>
  <c r="V7" i="17"/>
  <c r="O21" i="17"/>
  <c r="I7" i="17"/>
  <c r="I28" i="17"/>
  <c r="O15" i="17"/>
  <c r="O12" i="17"/>
  <c r="AP16" i="17"/>
  <c r="N14" i="17"/>
  <c r="K8" i="17"/>
  <c r="AG7" i="17"/>
  <c r="AO25" i="17"/>
  <c r="H17" i="17"/>
  <c r="AF28" i="17"/>
  <c r="U28" i="17"/>
  <c r="AL29" i="17"/>
  <c r="AM22" i="17"/>
  <c r="Q9" i="17"/>
  <c r="H15" i="17"/>
  <c r="AM23" i="17"/>
  <c r="AQ29" i="17"/>
  <c r="T17" i="17"/>
  <c r="AI25" i="17"/>
  <c r="L26" i="17"/>
  <c r="AP20" i="17"/>
  <c r="AC11" i="17"/>
  <c r="R32" i="17"/>
  <c r="Q29" i="17"/>
  <c r="U25" i="17"/>
  <c r="M26" i="17"/>
  <c r="AJ32" i="17"/>
  <c r="U32" i="17"/>
  <c r="T27" i="17"/>
  <c r="R20" i="17"/>
  <c r="AG14" i="17"/>
  <c r="AN25" i="17"/>
  <c r="P20" i="17"/>
  <c r="Q36" i="17"/>
  <c r="AE8" i="17"/>
  <c r="AJ28" i="17"/>
  <c r="AJ29" i="17"/>
  <c r="U12" i="17"/>
  <c r="AM9" i="17"/>
  <c r="X27" i="17"/>
  <c r="R29" i="17"/>
  <c r="AA32" i="17"/>
  <c r="AO27" i="17"/>
  <c r="AM27" i="17"/>
  <c r="AD36" i="17"/>
  <c r="N33" i="17"/>
  <c r="K9" i="17"/>
  <c r="AC25" i="17"/>
  <c r="AF9" i="17"/>
  <c r="AE17" i="17"/>
  <c r="AD25" i="17"/>
  <c r="X22" i="17"/>
  <c r="AI33" i="17"/>
  <c r="AD33" i="17"/>
  <c r="J15" i="17"/>
  <c r="AQ23" i="17"/>
  <c r="J33" i="17"/>
  <c r="P25" i="17"/>
  <c r="Y23" i="17"/>
  <c r="AF30" i="17"/>
  <c r="H36" i="17"/>
  <c r="AF33" i="17"/>
  <c r="AI15" i="17"/>
  <c r="AC30" i="17"/>
  <c r="N27" i="17"/>
  <c r="R31" i="17"/>
  <c r="Y33" i="17"/>
  <c r="AN30" i="17"/>
  <c r="I36" i="17"/>
  <c r="P11" i="17"/>
  <c r="J23" i="17"/>
  <c r="P28" i="17"/>
  <c r="N28" i="17"/>
  <c r="S9" i="17"/>
  <c r="AJ21" i="17"/>
  <c r="I24" i="17"/>
  <c r="L11" i="17"/>
  <c r="Q26" i="17"/>
  <c r="AQ28" i="17"/>
  <c r="R12" i="17"/>
  <c r="AP23" i="17"/>
  <c r="AD9" i="17"/>
  <c r="AL31" i="17"/>
  <c r="N20" i="17"/>
  <c r="AP36" i="17"/>
  <c r="X12" i="17"/>
  <c r="AD22" i="17"/>
  <c r="O10" i="17"/>
  <c r="U8" i="17"/>
  <c r="AD12" i="17"/>
  <c r="M14" i="17"/>
  <c r="AB36" i="17"/>
  <c r="AF21" i="17"/>
  <c r="V28" i="17"/>
  <c r="Y36" i="17"/>
  <c r="AJ22" i="17"/>
  <c r="AI24" i="17"/>
  <c r="AC32" i="17"/>
  <c r="AA27" i="17"/>
  <c r="AO14" i="17"/>
  <c r="J29" i="17"/>
  <c r="AH26" i="17"/>
  <c r="H12" i="17"/>
  <c r="K36" i="17"/>
  <c r="P36" i="17"/>
  <c r="AN31" i="17"/>
  <c r="AD24" i="17"/>
  <c r="V17" i="17"/>
  <c r="AH16" i="17"/>
  <c r="AM29" i="17"/>
  <c r="AM14" i="17"/>
  <c r="AM10" i="17"/>
  <c r="AD28" i="17"/>
  <c r="AA22" i="17"/>
  <c r="AC33" i="17"/>
  <c r="AI9" i="17"/>
  <c r="AJ36" i="17"/>
  <c r="AN32" i="17"/>
  <c r="P33" i="17"/>
  <c r="X7" i="17"/>
  <c r="AP17" i="17"/>
  <c r="P15" i="17"/>
  <c r="P31" i="17"/>
  <c r="AK21" i="17"/>
  <c r="AM21" i="17"/>
  <c r="AK36" i="17"/>
  <c r="I26" i="17"/>
  <c r="Y11" i="17"/>
  <c r="X20" i="17"/>
  <c r="V8" i="17"/>
  <c r="AP31" i="17"/>
  <c r="AF15" i="17"/>
  <c r="AI12" i="17"/>
  <c r="K10" i="17"/>
  <c r="W28" i="17"/>
  <c r="N22" i="17"/>
  <c r="O11" i="17"/>
  <c r="AP30" i="17"/>
  <c r="AL8" i="17"/>
  <c r="AC24" i="17"/>
  <c r="AO30" i="17"/>
  <c r="AD20" i="17"/>
  <c r="M36" i="17"/>
  <c r="AM36" i="17"/>
  <c r="T36" i="17"/>
  <c r="Q27" i="17"/>
  <c r="S20" i="17"/>
  <c r="U10" i="17"/>
  <c r="U16" i="17"/>
  <c r="AE7" i="17"/>
  <c r="Y30" i="17"/>
  <c r="N32" i="17"/>
  <c r="P17" i="17"/>
  <c r="P27" i="17"/>
  <c r="L24" i="17"/>
  <c r="U26" i="17"/>
  <c r="R28" i="17"/>
  <c r="M8" i="17"/>
  <c r="AO24" i="17"/>
  <c r="K24" i="17"/>
  <c r="Y16" i="17"/>
  <c r="Y14" i="17"/>
  <c r="AO9" i="17"/>
  <c r="T21" i="17"/>
  <c r="I14" i="17"/>
  <c r="I23" i="17"/>
  <c r="AK32" i="17"/>
  <c r="AC10" i="17"/>
  <c r="AI8" i="17"/>
  <c r="AI36" i="17"/>
  <c r="AL9" i="17"/>
  <c r="AI17" i="17"/>
  <c r="P10" i="17"/>
  <c r="AI22" i="17"/>
  <c r="AM30" i="17"/>
  <c r="S12" i="17"/>
  <c r="AO11" i="17"/>
  <c r="AB8" i="17"/>
  <c r="AC21" i="17"/>
  <c r="O32" i="17"/>
  <c r="T16" i="17"/>
  <c r="AL28" i="17"/>
  <c r="K28" i="17"/>
  <c r="AQ25" i="17"/>
  <c r="Z7" i="17"/>
  <c r="W17" i="17"/>
  <c r="L33" i="17"/>
  <c r="K21" i="17"/>
  <c r="J20" i="17"/>
  <c r="Z24" i="17"/>
  <c r="AL15" i="17"/>
  <c r="AN23" i="17"/>
  <c r="U17" i="17"/>
  <c r="J24" i="17"/>
  <c r="AJ11" i="17"/>
  <c r="H33" i="17"/>
  <c r="S16" i="17"/>
  <c r="H9" i="17"/>
  <c r="AE29" i="17"/>
  <c r="M28" i="17"/>
  <c r="AG30" i="17"/>
  <c r="AM20" i="17"/>
  <c r="H30" i="17"/>
  <c r="AP10" i="17"/>
  <c r="AO10" i="17"/>
  <c r="AQ14" i="17"/>
  <c r="AL36" i="17"/>
  <c r="AA12" i="17"/>
  <c r="AO15" i="17"/>
  <c r="N24" i="17"/>
  <c r="AF32" i="17"/>
  <c r="O8" i="17"/>
  <c r="AL14" i="17"/>
  <c r="AG32" i="17"/>
  <c r="V24" i="17"/>
  <c r="AK16" i="17"/>
  <c r="N7" i="17"/>
  <c r="M20" i="17"/>
  <c r="X31" i="17"/>
  <c r="Y22" i="17"/>
  <c r="L36" i="17"/>
  <c r="L8" i="17"/>
  <c r="AE21" i="17"/>
  <c r="K11" i="17"/>
  <c r="Q17" i="17"/>
  <c r="AG28" i="17"/>
  <c r="T28" i="17"/>
  <c r="R30" i="17"/>
  <c r="AI14" i="17"/>
  <c r="AN24" i="17"/>
  <c r="AA36" i="17"/>
  <c r="AQ15" i="17"/>
  <c r="H7" i="17"/>
  <c r="AA23" i="17"/>
  <c r="N16" i="17"/>
  <c r="J7" i="17"/>
  <c r="AK10" i="17"/>
  <c r="AC22" i="17"/>
  <c r="H16" i="17"/>
  <c r="Q16" i="17"/>
  <c r="AQ24" i="17"/>
  <c r="M10" i="17"/>
  <c r="AA16" i="17"/>
  <c r="AD29" i="17"/>
  <c r="W12" i="17"/>
  <c r="AF12" i="17"/>
  <c r="S36" i="17"/>
  <c r="J25" i="17"/>
  <c r="AN29" i="17"/>
  <c r="AB31" i="17"/>
  <c r="AG15" i="17"/>
  <c r="AE9" i="17"/>
  <c r="AQ26" i="17"/>
  <c r="J30" i="17"/>
  <c r="L16" i="17"/>
  <c r="J18" i="17"/>
  <c r="R24" i="17"/>
  <c r="AH20" i="17"/>
  <c r="AC27" i="17"/>
  <c r="Y28" i="17"/>
  <c r="AJ27" i="17"/>
  <c r="AE11" i="17"/>
  <c r="AN7" i="17"/>
  <c r="AH10" i="17"/>
  <c r="AK9" i="17"/>
  <c r="U18" i="17"/>
  <c r="AO16" i="17"/>
  <c r="AM11" i="17"/>
  <c r="K20" i="17"/>
  <c r="AO20" i="17"/>
  <c r="M33" i="17"/>
  <c r="AL18" i="17"/>
  <c r="AJ20" i="17"/>
  <c r="X24" i="17"/>
  <c r="AG25" i="17"/>
  <c r="R26" i="17"/>
  <c r="AA15" i="17"/>
  <c r="O25" i="17"/>
  <c r="AB17" i="17"/>
  <c r="AL21" i="17"/>
  <c r="Z16" i="17"/>
  <c r="M24" i="17"/>
  <c r="O28" i="17"/>
  <c r="AI30" i="17"/>
  <c r="AA17" i="17"/>
  <c r="AM33" i="17"/>
  <c r="J9" i="17"/>
  <c r="I21" i="17"/>
  <c r="AC12" i="17"/>
  <c r="AO31" i="17"/>
  <c r="AE16" i="17"/>
  <c r="R36" i="17"/>
  <c r="T32" i="17"/>
  <c r="AA11" i="17"/>
  <c r="AH27" i="17"/>
  <c r="N21" i="17"/>
  <c r="AG17" i="17"/>
  <c r="AO23" i="17"/>
  <c r="Y20" i="17"/>
  <c r="W14" i="17"/>
  <c r="T26" i="17"/>
  <c r="V25" i="17"/>
  <c r="Y8" i="17"/>
  <c r="AB21" i="17"/>
  <c r="O33" i="17"/>
  <c r="O24" i="17"/>
  <c r="U21" i="17"/>
  <c r="AC7" i="17"/>
  <c r="Q10" i="17"/>
  <c r="H27" i="17"/>
  <c r="R10" i="17"/>
  <c r="AH25" i="17"/>
  <c r="AI16" i="17"/>
  <c r="AG12" i="17"/>
  <c r="AP9" i="17"/>
  <c r="AC23" i="17"/>
  <c r="W9" i="17"/>
  <c r="AQ33" i="17"/>
  <c r="AO36" i="17"/>
  <c r="AN12" i="17"/>
  <c r="U20" i="17"/>
  <c r="Y31" i="17"/>
  <c r="AK28" i="17"/>
  <c r="AP32" i="17"/>
  <c r="AH18" i="17"/>
  <c r="AF22" i="17"/>
  <c r="M27" i="17"/>
  <c r="AM31" i="17"/>
  <c r="O27" i="17"/>
  <c r="P29" i="17"/>
  <c r="T14" i="17"/>
  <c r="AH36" i="17"/>
  <c r="AC17" i="17"/>
  <c r="R17" i="17"/>
  <c r="J10" i="17"/>
  <c r="J21" i="17"/>
  <c r="AD8" i="17"/>
  <c r="AO33" i="17"/>
  <c r="J16" i="17"/>
  <c r="AM32" i="17"/>
  <c r="W21" i="17"/>
  <c r="AG29" i="17"/>
  <c r="AE10" i="17"/>
  <c r="AP29" i="17"/>
  <c r="AB7" i="17"/>
  <c r="AD31" i="17"/>
  <c r="AJ26" i="17"/>
  <c r="AG11" i="17"/>
  <c r="AJ24" i="17"/>
  <c r="L20" i="17"/>
  <c r="AD11" i="17"/>
  <c r="AE20" i="17"/>
  <c r="AB11" i="17"/>
  <c r="K29" i="17"/>
  <c r="I9" i="17"/>
  <c r="J17" i="17"/>
  <c r="Q20" i="17"/>
  <c r="AE15" i="17"/>
  <c r="W10" i="17"/>
  <c r="I10" i="17"/>
  <c r="M29" i="17"/>
  <c r="AK33" i="17"/>
  <c r="AG23" i="17"/>
  <c r="AP28" i="17"/>
  <c r="I22" i="17"/>
  <c r="AG16" i="17"/>
  <c r="O9" i="17"/>
  <c r="Y21" i="17"/>
  <c r="M23" i="17"/>
  <c r="Q33" i="17"/>
  <c r="AP18" i="17"/>
  <c r="U33" i="17"/>
  <c r="N31" i="17"/>
  <c r="L30" i="17"/>
  <c r="N23" i="17"/>
  <c r="Y7" i="17"/>
  <c r="AN17" i="17"/>
  <c r="X16" i="17"/>
  <c r="W26" i="17"/>
  <c r="AM15" i="17"/>
  <c r="R22" i="17"/>
  <c r="J22" i="17"/>
  <c r="AF29" i="17"/>
  <c r="AQ27" i="17"/>
  <c r="AI18" i="17"/>
  <c r="AG20" i="17"/>
  <c r="K22" i="17"/>
  <c r="W36" i="17"/>
  <c r="I16" i="17"/>
  <c r="AQ21" i="17"/>
  <c r="O30" i="17"/>
  <c r="K30" i="17"/>
  <c r="W8" i="17"/>
  <c r="AO29" i="17"/>
  <c r="N25" i="17"/>
  <c r="N8" i="17"/>
  <c r="AE26" i="17"/>
  <c r="N18" i="17"/>
  <c r="M11" i="17"/>
  <c r="P12" i="17"/>
  <c r="AJ14" i="17"/>
  <c r="I31" i="17"/>
  <c r="AM7" i="17"/>
  <c r="T12" i="17"/>
  <c r="O17" i="17"/>
  <c r="J36" i="17"/>
  <c r="AO26" i="17"/>
  <c r="M16" i="17"/>
  <c r="W25" i="17"/>
  <c r="X29" i="17"/>
  <c r="AF10" i="17"/>
  <c r="Q18" i="17"/>
  <c r="L15" i="17"/>
  <c r="U22" i="17"/>
  <c r="W33" i="17"/>
  <c r="R11" i="17"/>
  <c r="V20" i="17"/>
  <c r="AH17" i="17"/>
  <c r="AO7" i="17"/>
  <c r="V30" i="17"/>
  <c r="AA28" i="17"/>
  <c r="Q23" i="17"/>
  <c r="Q30" i="17"/>
  <c r="AH31" i="17"/>
  <c r="N12" i="17"/>
  <c r="I11" i="17"/>
  <c r="AM17" i="17"/>
  <c r="O23" i="17"/>
  <c r="AB10" i="17"/>
  <c r="S33" i="17"/>
  <c r="AC20" i="17"/>
  <c r="AE27" i="17"/>
  <c r="Q15" i="17"/>
  <c r="T20" i="17"/>
  <c r="AQ11" i="17"/>
  <c r="L27" i="17"/>
  <c r="AF7" i="17"/>
  <c r="V26" i="17"/>
  <c r="AC14" i="17"/>
  <c r="I33" i="17"/>
  <c r="O22" i="17"/>
  <c r="I8" i="17"/>
  <c r="AK20" i="17"/>
  <c r="AI28" i="17"/>
  <c r="U14" i="17"/>
  <c r="S29" i="17"/>
  <c r="AF27" i="17"/>
  <c r="Z29" i="17"/>
  <c r="T15" i="17"/>
  <c r="J28" i="17"/>
  <c r="H25" i="17"/>
  <c r="AE12" i="17"/>
  <c r="L7" i="17"/>
  <c r="AE23" i="17"/>
  <c r="V27" i="17"/>
  <c r="V21" i="17"/>
  <c r="K27" i="17"/>
  <c r="L12" i="17"/>
  <c r="AJ7" i="17"/>
  <c r="AB18" i="17"/>
  <c r="AH8" i="17"/>
  <c r="P13" i="17" l="1"/>
  <c r="N6" i="17"/>
  <c r="N13" i="17"/>
  <c r="AQ6" i="17"/>
  <c r="S6" i="17"/>
  <c r="AD6" i="17"/>
  <c r="AL27" i="15"/>
  <c r="R27" i="15"/>
  <c r="AN13" i="17"/>
  <c r="W6" i="17"/>
  <c r="I13" i="17"/>
  <c r="X6" i="17"/>
  <c r="K6" i="17"/>
  <c r="M6" i="17"/>
  <c r="Y6" i="17"/>
  <c r="W13" i="17"/>
  <c r="Z6" i="17"/>
  <c r="P6" i="17"/>
  <c r="X13" i="17"/>
  <c r="AF19" i="17"/>
  <c r="X19" i="17"/>
  <c r="H13" i="17"/>
  <c r="L6" i="17"/>
  <c r="AO19" i="17"/>
  <c r="AQ13" i="17"/>
  <c r="Z13" i="17"/>
  <c r="U19" i="17"/>
  <c r="V19" i="17"/>
  <c r="H6" i="17"/>
  <c r="S13" i="17"/>
  <c r="AB6" i="17"/>
  <c r="AQ19" i="17"/>
  <c r="AA19" i="17"/>
  <c r="U13" i="17"/>
  <c r="J27" i="15"/>
  <c r="S19" i="17"/>
  <c r="AP13" i="17"/>
  <c r="AL19" i="17"/>
  <c r="AA6" i="17"/>
  <c r="W19" i="17"/>
  <c r="AF27" i="15"/>
  <c r="AG19" i="17"/>
  <c r="K19" i="17"/>
  <c r="AD27" i="15"/>
  <c r="Q27" i="15"/>
  <c r="AF13" i="17"/>
  <c r="AO13" i="17"/>
  <c r="T19" i="17"/>
  <c r="AO27" i="15"/>
  <c r="AE19" i="17"/>
  <c r="Y19" i="17"/>
  <c r="AN19" i="17"/>
  <c r="AP6" i="17"/>
  <c r="O19" i="17"/>
  <c r="X27" i="15"/>
  <c r="V27" i="15"/>
  <c r="AJ27" i="15"/>
  <c r="Y27" i="15"/>
  <c r="AP27" i="15"/>
  <c r="I6" i="17"/>
  <c r="AH13" i="17"/>
  <c r="AG27" i="15"/>
  <c r="K13" i="17"/>
  <c r="AM13" i="17"/>
  <c r="P19" i="17"/>
  <c r="H19" i="17"/>
  <c r="AK6" i="17"/>
  <c r="AL6" i="17"/>
  <c r="W27" i="15"/>
  <c r="AC6" i="17"/>
  <c r="AK27" i="15"/>
  <c r="AM19" i="17"/>
  <c r="T27" i="15"/>
  <c r="T6" i="17"/>
  <c r="AB13" i="17"/>
  <c r="AG13" i="17"/>
  <c r="N19" i="17"/>
  <c r="O13" i="17"/>
  <c r="AK19" i="17"/>
  <c r="AM6" i="17"/>
  <c r="V13" i="17"/>
  <c r="AI27" i="15"/>
  <c r="AG6" i="17"/>
  <c r="AA13" i="17"/>
  <c r="AK13" i="17"/>
  <c r="J13" i="17"/>
  <c r="AE13" i="17"/>
  <c r="AB27" i="15"/>
  <c r="I27" i="15"/>
  <c r="AH19" i="17"/>
  <c r="J6" i="17"/>
  <c r="Y13" i="17"/>
  <c r="M27" i="15"/>
  <c r="K27" i="15"/>
  <c r="R19" i="17"/>
  <c r="O6" i="17"/>
  <c r="AC27" i="15"/>
  <c r="Z19" i="17"/>
  <c r="R6" i="17"/>
  <c r="R13" i="17"/>
  <c r="AP19" i="17"/>
  <c r="AL13" i="17"/>
  <c r="AD13" i="17"/>
  <c r="AC19" i="17"/>
  <c r="S27" i="15"/>
  <c r="AI13" i="17"/>
  <c r="Z27" i="15"/>
  <c r="AQ27" i="15"/>
  <c r="AA27" i="15"/>
  <c r="AJ6" i="17"/>
  <c r="P27" i="15"/>
  <c r="I19" i="17"/>
  <c r="AJ13" i="17"/>
  <c r="AH27" i="15"/>
  <c r="M19" i="17"/>
  <c r="H27" i="15"/>
  <c r="AF6" i="17"/>
  <c r="L13" i="17"/>
  <c r="L27" i="15"/>
  <c r="U27" i="15"/>
  <c r="AI6" i="17"/>
  <c r="AN27" i="15"/>
  <c r="AE27" i="15"/>
  <c r="AI19" i="17"/>
  <c r="Q13" i="17"/>
  <c r="J19" i="17"/>
  <c r="AE6" i="17"/>
  <c r="AD19" i="17"/>
  <c r="M13" i="17"/>
  <c r="N27" i="15"/>
  <c r="Q6" i="17"/>
  <c r="U6" i="17"/>
  <c r="AM27" i="15"/>
  <c r="O27" i="15"/>
  <c r="L19" i="17"/>
  <c r="Q19" i="17"/>
  <c r="T13" i="17"/>
  <c r="AH6" i="17"/>
  <c r="AB19" i="17"/>
  <c r="V6" i="17"/>
  <c r="AO6" i="17"/>
  <c r="AC13" i="17"/>
  <c r="AJ19" i="17"/>
  <c r="AN6" i="17"/>
  <c r="AI24" i="15" l="1"/>
  <c r="O25" i="15"/>
  <c r="W5" i="17"/>
  <c r="S23" i="15"/>
  <c r="S52" i="15"/>
  <c r="AN5" i="17"/>
  <c r="Q51" i="15"/>
  <c r="Q23" i="15"/>
  <c r="T5" i="17"/>
  <c r="I5" i="17"/>
  <c r="Y5" i="17"/>
  <c r="S5" i="17"/>
  <c r="R52" i="15"/>
  <c r="R23" i="15"/>
  <c r="AP5" i="17"/>
  <c r="W25" i="15"/>
  <c r="AN24" i="15"/>
  <c r="AQ23" i="15"/>
  <c r="I23" i="15"/>
  <c r="I51" i="15"/>
  <c r="Z24" i="15"/>
  <c r="AQ5" i="17"/>
  <c r="U24" i="15"/>
  <c r="AF24" i="15"/>
  <c r="Q25" i="15"/>
  <c r="AK53" i="15"/>
  <c r="AK23" i="15"/>
  <c r="AP52" i="15"/>
  <c r="AP23" i="15"/>
  <c r="AE53" i="15"/>
  <c r="AE23" i="15"/>
  <c r="AJ25" i="15"/>
  <c r="AI5" i="17"/>
  <c r="AJ5" i="17"/>
  <c r="AK24" i="15"/>
  <c r="AK25" i="15"/>
  <c r="AA25" i="15"/>
  <c r="AF5" i="17"/>
  <c r="I25" i="15"/>
  <c r="W23" i="15"/>
  <c r="W53" i="15"/>
  <c r="AE5" i="17"/>
  <c r="J23" i="15"/>
  <c r="J51" i="15"/>
  <c r="AM5" i="17"/>
  <c r="M5" i="17"/>
  <c r="J25" i="15"/>
  <c r="AF53" i="15"/>
  <c r="AF23" i="15"/>
  <c r="AM25" i="15"/>
  <c r="AF25" i="15"/>
  <c r="M53" i="15"/>
  <c r="M23" i="15"/>
  <c r="AJ23" i="15"/>
  <c r="AJ53" i="15"/>
  <c r="J5" i="17"/>
  <c r="AK5" i="17"/>
  <c r="AI23" i="15"/>
  <c r="AH25" i="15"/>
  <c r="AN25" i="15"/>
  <c r="N24" i="15"/>
  <c r="L25" i="15"/>
  <c r="Z25" i="15"/>
  <c r="AA24" i="15"/>
  <c r="AA23" i="15"/>
  <c r="AQ25" i="15"/>
  <c r="AQ24" i="15"/>
  <c r="X24" i="15"/>
  <c r="O24" i="15"/>
  <c r="AA5" i="17"/>
  <c r="K52" i="15"/>
  <c r="K23" i="15"/>
  <c r="R5" i="17"/>
  <c r="AM52" i="15"/>
  <c r="AM23" i="15"/>
  <c r="AB5" i="17"/>
  <c r="N25" i="15"/>
  <c r="AB53" i="15"/>
  <c r="AB23" i="15"/>
  <c r="N23" i="15"/>
  <c r="N51" i="15"/>
  <c r="L24" i="15"/>
  <c r="AC25" i="15"/>
  <c r="AO25" i="15"/>
  <c r="P23" i="15"/>
  <c r="P53" i="15"/>
  <c r="AG5" i="17"/>
  <c r="AL25" i="15"/>
  <c r="N5" i="17"/>
  <c r="AH23" i="15"/>
  <c r="AH51" i="15"/>
  <c r="AD24" i="15"/>
  <c r="L51" i="15"/>
  <c r="L23" i="15"/>
  <c r="K24" i="15"/>
  <c r="AP24" i="15"/>
  <c r="O5" i="17"/>
  <c r="H5" i="17"/>
  <c r="X5" i="17"/>
  <c r="M25" i="15"/>
  <c r="AP25" i="15"/>
  <c r="R25" i="15"/>
  <c r="AG24" i="15"/>
  <c r="T25" i="15"/>
  <c r="Z53" i="15"/>
  <c r="Z23" i="15"/>
  <c r="AD5" i="17"/>
  <c r="P24" i="15"/>
  <c r="U25" i="15"/>
  <c r="K5" i="17"/>
  <c r="P5" i="17"/>
  <c r="AM24" i="15"/>
  <c r="S24" i="15"/>
  <c r="AO23" i="15"/>
  <c r="AO53" i="15"/>
  <c r="V5" i="17"/>
  <c r="K25" i="15"/>
  <c r="W24" i="15"/>
  <c r="X53" i="15"/>
  <c r="X23" i="15"/>
  <c r="AN23" i="15"/>
  <c r="AN51" i="15"/>
  <c r="Q24" i="15"/>
  <c r="Y25" i="15"/>
  <c r="AG23" i="15"/>
  <c r="AG51" i="15"/>
  <c r="AC23" i="15"/>
  <c r="AC53" i="15"/>
  <c r="O23" i="15"/>
  <c r="O53" i="15"/>
  <c r="Y24" i="15"/>
  <c r="J24" i="15"/>
  <c r="P25" i="15"/>
  <c r="AO5" i="17"/>
  <c r="Z5" i="17"/>
  <c r="AD23" i="15"/>
  <c r="AD51" i="15"/>
  <c r="I24" i="15"/>
  <c r="Q5" i="17"/>
  <c r="H25" i="15"/>
  <c r="AC24" i="15"/>
  <c r="AH5" i="17"/>
  <c r="U5" i="17"/>
  <c r="V23" i="15"/>
  <c r="V52" i="15"/>
  <c r="T24" i="15"/>
  <c r="M24" i="15"/>
  <c r="AJ24" i="15"/>
  <c r="AG25" i="15"/>
  <c r="V25" i="15"/>
  <c r="H24" i="15"/>
  <c r="AC5" i="17"/>
  <c r="AL24" i="15"/>
  <c r="U51" i="15"/>
  <c r="U23" i="15"/>
  <c r="V24" i="15"/>
  <c r="AB24" i="15"/>
  <c r="AL23" i="15"/>
  <c r="AL51" i="15"/>
  <c r="S25" i="15"/>
  <c r="X25" i="15"/>
  <c r="AI25" i="15"/>
  <c r="AE24" i="15"/>
  <c r="T23" i="15"/>
  <c r="T52" i="15"/>
  <c r="AL5" i="17"/>
  <c r="AO24" i="15"/>
  <c r="AE25" i="15"/>
  <c r="L5" i="17"/>
  <c r="H23" i="15"/>
  <c r="H53" i="15"/>
  <c r="AB25" i="15"/>
  <c r="AD25" i="15"/>
  <c r="R24" i="15"/>
  <c r="AH24" i="15"/>
  <c r="Y52" i="15"/>
  <c r="Y23" i="15"/>
  <c r="Z51" i="15" l="1"/>
  <c r="AF51" i="15"/>
  <c r="S51" i="15"/>
  <c r="AC51" i="15"/>
  <c r="N52" i="15"/>
  <c r="M51" i="15"/>
  <c r="AD53" i="15"/>
  <c r="L53" i="15"/>
  <c r="Y53" i="15"/>
  <c r="T53" i="15"/>
  <c r="J53" i="15"/>
  <c r="H52" i="15"/>
  <c r="V53" i="15"/>
  <c r="AB52" i="15"/>
  <c r="AG53" i="15"/>
  <c r="R51" i="15"/>
  <c r="I52" i="15"/>
  <c r="O52" i="15"/>
  <c r="W52" i="15"/>
  <c r="AK52" i="15"/>
  <c r="AM51" i="15"/>
  <c r="AJ51" i="15"/>
  <c r="AI53" i="15"/>
  <c r="AI22" i="15"/>
  <c r="AI55" i="15"/>
  <c r="AO52" i="15"/>
  <c r="I53" i="15"/>
  <c r="I22" i="15"/>
  <c r="I50" i="15"/>
  <c r="I55" i="15"/>
  <c r="K51" i="15"/>
  <c r="K22" i="15"/>
  <c r="K55" i="15"/>
  <c r="Q52" i="15"/>
  <c r="Q22" i="15"/>
  <c r="Q55" i="15"/>
  <c r="AN52" i="15"/>
  <c r="AN22" i="15"/>
  <c r="AN55" i="15"/>
  <c r="AA53" i="15"/>
  <c r="AA22" i="15"/>
  <c r="AA55" i="15"/>
  <c r="AQ51" i="15"/>
  <c r="AQ22" i="15"/>
  <c r="AQ55" i="15"/>
  <c r="U52" i="15"/>
  <c r="U22" i="15"/>
  <c r="U55" i="15"/>
  <c r="H51" i="15"/>
  <c r="H22" i="15"/>
  <c r="H50" i="15"/>
  <c r="H55" i="15"/>
  <c r="AC52" i="15"/>
  <c r="AC22" i="15"/>
  <c r="AC55" i="15"/>
  <c r="L52" i="15"/>
  <c r="L22" i="15"/>
  <c r="L55" i="15"/>
  <c r="W51" i="15"/>
  <c r="W22" i="15"/>
  <c r="W55" i="15"/>
  <c r="V51" i="15"/>
  <c r="V22" i="15"/>
  <c r="V55" i="15"/>
  <c r="K53" i="15"/>
  <c r="AQ52" i="15"/>
  <c r="AN53" i="15"/>
  <c r="M52" i="15"/>
  <c r="M22" i="15"/>
  <c r="M55" i="15"/>
  <c r="AK51" i="15"/>
  <c r="AK22" i="15"/>
  <c r="AK55" i="15"/>
  <c r="AL53" i="15"/>
  <c r="AL22" i="15"/>
  <c r="AL55" i="15"/>
  <c r="AM22" i="15"/>
  <c r="AM55" i="15"/>
  <c r="AH52" i="15"/>
  <c r="AH22" i="15"/>
  <c r="AH55" i="15"/>
  <c r="AE52" i="15"/>
  <c r="AP51" i="15"/>
  <c r="AP22" i="15"/>
  <c r="AP55" i="15"/>
  <c r="AP53" i="15"/>
  <c r="AG52" i="15"/>
  <c r="AG22" i="15"/>
  <c r="AG55" i="15"/>
  <c r="U53" i="15"/>
  <c r="AB51" i="15"/>
  <c r="AB22" i="15"/>
  <c r="AB55" i="15"/>
  <c r="AQ53" i="15"/>
  <c r="AH53" i="15"/>
  <c r="Q53" i="15"/>
  <c r="R53" i="15"/>
  <c r="R22" i="15"/>
  <c r="R55" i="15"/>
  <c r="AA52" i="15"/>
  <c r="AF52" i="15"/>
  <c r="AF22" i="15"/>
  <c r="AF55" i="15"/>
  <c r="P51" i="15"/>
  <c r="P22" i="15"/>
  <c r="P55" i="15"/>
  <c r="AO51" i="15"/>
  <c r="AO22" i="15"/>
  <c r="AO55" i="15"/>
  <c r="Z52" i="15"/>
  <c r="Z22" i="15"/>
  <c r="Z55" i="15"/>
  <c r="J52" i="15"/>
  <c r="J22" i="15"/>
  <c r="J50" i="15"/>
  <c r="J55" i="15"/>
  <c r="AE51" i="15"/>
  <c r="AE22" i="15"/>
  <c r="AE55" i="15"/>
  <c r="AL52" i="15"/>
  <c r="AD52" i="15"/>
  <c r="AD22" i="15"/>
  <c r="AD55" i="15"/>
  <c r="AI52" i="15"/>
  <c r="O51" i="15"/>
  <c r="O22" i="15"/>
  <c r="O55" i="15"/>
  <c r="S22" i="15"/>
  <c r="S55" i="15"/>
  <c r="S50" i="15" s="1"/>
  <c r="T51" i="15"/>
  <c r="T22" i="15"/>
  <c r="T55" i="15"/>
  <c r="X51" i="15"/>
  <c r="X22" i="15"/>
  <c r="X55" i="15"/>
  <c r="AJ52" i="15"/>
  <c r="AJ22" i="15"/>
  <c r="AJ55" i="15"/>
  <c r="AM53" i="15"/>
  <c r="AI51" i="15"/>
  <c r="X52" i="15"/>
  <c r="N53" i="15"/>
  <c r="N22" i="15"/>
  <c r="N55" i="15"/>
  <c r="Y51" i="15"/>
  <c r="Y22" i="15"/>
  <c r="Y55" i="15"/>
  <c r="S53" i="15"/>
  <c r="P52" i="15"/>
  <c r="AA51" i="15"/>
  <c r="AL50" i="15" l="1"/>
  <c r="L50" i="15"/>
  <c r="AJ50" i="15"/>
  <c r="R50" i="15"/>
  <c r="AM50" i="15"/>
  <c r="AH50" i="15"/>
  <c r="Q50" i="15"/>
  <c r="AA50" i="15"/>
  <c r="N50" i="15"/>
  <c r="Z50" i="15"/>
  <c r="AG50" i="15"/>
  <c r="U50" i="15"/>
  <c r="AF50" i="15"/>
  <c r="AN50" i="15"/>
  <c r="M50" i="15"/>
  <c r="AC50" i="15"/>
  <c r="AD50" i="15"/>
  <c r="X50" i="15"/>
  <c r="K50" i="15"/>
  <c r="P50" i="15"/>
  <c r="AO50" i="15"/>
  <c r="V50" i="15"/>
  <c r="T50" i="15"/>
  <c r="Y50" i="15"/>
  <c r="O50" i="15"/>
  <c r="AP50" i="15"/>
  <c r="AI50" i="15"/>
  <c r="AE50" i="15"/>
  <c r="AB50" i="15"/>
  <c r="AK50" i="15"/>
  <c r="AQ50" i="15"/>
  <c r="W50" i="15"/>
  <c r="D11" i="15" l="1"/>
  <c r="E11" i="15"/>
  <c r="D9" i="15"/>
  <c r="R11" i="15" l="1"/>
  <c r="AN11" i="15"/>
  <c r="S11" i="15"/>
  <c r="F11" i="15"/>
  <c r="AL11" i="15"/>
  <c r="AJ11" i="15"/>
  <c r="J11" i="15"/>
  <c r="AI11" i="15"/>
  <c r="K11" i="15"/>
  <c r="AM11" i="15"/>
  <c r="E8" i="15"/>
  <c r="AG11" i="15"/>
  <c r="T11" i="15"/>
  <c r="E9" i="15"/>
  <c r="L11" i="15"/>
  <c r="O11" i="15"/>
  <c r="G11" i="15"/>
  <c r="AA11" i="15"/>
  <c r="P11" i="15"/>
  <c r="D8" i="15"/>
  <c r="AK11" i="15"/>
  <c r="AB11" i="15"/>
  <c r="V11" i="15"/>
  <c r="AQ11" i="15"/>
  <c r="Q11" i="15"/>
  <c r="M11" i="15"/>
  <c r="AF11" i="15"/>
  <c r="AE11" i="15"/>
  <c r="U11" i="15"/>
  <c r="AD11" i="15"/>
  <c r="AC11" i="15"/>
  <c r="AH11" i="15"/>
  <c r="I11" i="15"/>
  <c r="AO11" i="15"/>
  <c r="Y11" i="15"/>
  <c r="Z11" i="15"/>
  <c r="AP11" i="15"/>
  <c r="X11" i="15"/>
  <c r="N11" i="15"/>
  <c r="H11" i="15"/>
  <c r="W11" i="15"/>
  <c r="H9" i="15" l="1"/>
  <c r="AM9" i="15"/>
  <c r="T35" i="15"/>
  <c r="T7" i="15"/>
  <c r="AG9" i="15"/>
  <c r="W8" i="15"/>
  <c r="J9" i="15"/>
  <c r="AK35" i="15"/>
  <c r="AK7" i="15"/>
  <c r="L35" i="15"/>
  <c r="L7" i="15"/>
  <c r="AN35" i="15"/>
  <c r="AN7" i="15"/>
  <c r="I9" i="15"/>
  <c r="AD7" i="15"/>
  <c r="AD36" i="15"/>
  <c r="X8" i="15"/>
  <c r="AG7" i="15"/>
  <c r="AG36" i="15"/>
  <c r="W9" i="15"/>
  <c r="K9" i="15"/>
  <c r="Q8" i="15"/>
  <c r="AL7" i="15"/>
  <c r="AL35" i="15"/>
  <c r="V9" i="15"/>
  <c r="U8" i="15"/>
  <c r="Q35" i="15"/>
  <c r="Q7" i="15"/>
  <c r="T9" i="15"/>
  <c r="T37" i="15"/>
  <c r="Y9" i="15"/>
  <c r="S8" i="15"/>
  <c r="AO8" i="15"/>
  <c r="N8" i="15"/>
  <c r="H7" i="15"/>
  <c r="H35" i="15"/>
  <c r="I8" i="15"/>
  <c r="M9" i="15"/>
  <c r="N9" i="15"/>
  <c r="F7" i="15"/>
  <c r="F35" i="15"/>
  <c r="AL8" i="15"/>
  <c r="U7" i="15"/>
  <c r="U35" i="15"/>
  <c r="Z7" i="15"/>
  <c r="Z36" i="15"/>
  <c r="I35" i="15"/>
  <c r="I7" i="15"/>
  <c r="R37" i="15"/>
  <c r="R7" i="15"/>
  <c r="Y7" i="15"/>
  <c r="Y37" i="15"/>
  <c r="AN9" i="15"/>
  <c r="F8" i="15"/>
  <c r="AA8" i="15"/>
  <c r="G9" i="15"/>
  <c r="Y8" i="15"/>
  <c r="R9" i="15"/>
  <c r="P9" i="15"/>
  <c r="AJ9" i="15"/>
  <c r="AN8" i="15"/>
  <c r="AD9" i="15"/>
  <c r="M36" i="15"/>
  <c r="M7" i="15"/>
  <c r="M35" i="15"/>
  <c r="AQ9" i="15"/>
  <c r="AF8" i="15"/>
  <c r="U9" i="15"/>
  <c r="K8" i="15"/>
  <c r="K7" i="15"/>
  <c r="K37" i="15"/>
  <c r="AM8" i="15"/>
  <c r="AC9" i="15"/>
  <c r="G8" i="15"/>
  <c r="X37" i="15"/>
  <c r="X7" i="15"/>
  <c r="W35" i="15"/>
  <c r="W7" i="15"/>
  <c r="AE9" i="15"/>
  <c r="S35" i="15"/>
  <c r="S7" i="15"/>
  <c r="AH7" i="15"/>
  <c r="AH35" i="15"/>
  <c r="S9" i="15"/>
  <c r="AI7" i="15"/>
  <c r="AI35" i="15"/>
  <c r="AJ8" i="15"/>
  <c r="AA7" i="15"/>
  <c r="AA35" i="15"/>
  <c r="J8" i="15"/>
  <c r="AF9" i="15"/>
  <c r="R8" i="15"/>
  <c r="AH8" i="15"/>
  <c r="Z9" i="15"/>
  <c r="Z37" i="15"/>
  <c r="P7" i="15"/>
  <c r="P36" i="15"/>
  <c r="P35" i="15"/>
  <c r="F9" i="15"/>
  <c r="P8" i="15"/>
  <c r="AB8" i="15"/>
  <c r="Z8" i="15"/>
  <c r="N7" i="15"/>
  <c r="H8" i="15"/>
  <c r="V8" i="15"/>
  <c r="AQ8" i="15"/>
  <c r="X9" i="15"/>
  <c r="M8" i="15"/>
  <c r="AC7" i="15"/>
  <c r="AC35" i="15"/>
  <c r="V37" i="15"/>
  <c r="V7" i="15"/>
  <c r="AJ36" i="15"/>
  <c r="AJ7" i="15"/>
  <c r="AI9" i="15"/>
  <c r="L9" i="15"/>
  <c r="D7" i="15"/>
  <c r="AQ7" i="15"/>
  <c r="AQ35" i="15"/>
  <c r="AC8" i="15"/>
  <c r="AK8" i="15"/>
  <c r="AM7" i="15"/>
  <c r="AM35" i="15"/>
  <c r="AE8" i="15"/>
  <c r="J7" i="15"/>
  <c r="AO9" i="15"/>
  <c r="AH9" i="15"/>
  <c r="L8" i="15"/>
  <c r="E7" i="15"/>
  <c r="AB9" i="15"/>
  <c r="AP7" i="15"/>
  <c r="AP37" i="15"/>
  <c r="AB35" i="15"/>
  <c r="AB7" i="15"/>
  <c r="AE7" i="15"/>
  <c r="AE36" i="15"/>
  <c r="O7" i="15"/>
  <c r="O36" i="15"/>
  <c r="AF7" i="15"/>
  <c r="AF36" i="15"/>
  <c r="O9" i="15"/>
  <c r="AP9" i="15"/>
  <c r="G7" i="15"/>
  <c r="G35" i="15"/>
  <c r="Q9" i="15"/>
  <c r="AL9" i="15"/>
  <c r="O8" i="15"/>
  <c r="AA9" i="15"/>
  <c r="AK9" i="15"/>
  <c r="AD8" i="15"/>
  <c r="AP8" i="15"/>
  <c r="T8" i="15"/>
  <c r="AO35" i="15"/>
  <c r="AO7" i="15"/>
  <c r="AI8" i="15"/>
  <c r="AI36" i="15"/>
  <c r="AG8" i="15"/>
  <c r="X35" i="15" l="1"/>
  <c r="AP35" i="15"/>
  <c r="L37" i="15"/>
  <c r="K35" i="15"/>
  <c r="AJ35" i="15"/>
  <c r="AK37" i="15"/>
  <c r="AN37" i="15"/>
  <c r="AD35" i="15"/>
  <c r="AL37" i="15"/>
  <c r="R36" i="15"/>
  <c r="Q37" i="15"/>
  <c r="AB37" i="15"/>
  <c r="O37" i="15"/>
  <c r="V35" i="15"/>
  <c r="S36" i="15"/>
  <c r="Q36" i="15"/>
  <c r="AD37" i="15"/>
  <c r="AH37" i="15"/>
  <c r="U37" i="15"/>
  <c r="AG35" i="15"/>
  <c r="J37" i="15"/>
  <c r="J6" i="15"/>
  <c r="J34" i="15"/>
  <c r="J39" i="15"/>
  <c r="AC37" i="15"/>
  <c r="AC6" i="15"/>
  <c r="AC39" i="15"/>
  <c r="AL36" i="15"/>
  <c r="AL6" i="15"/>
  <c r="AL39" i="15"/>
  <c r="AA36" i="15"/>
  <c r="AA6" i="15"/>
  <c r="AA39" i="15"/>
  <c r="AK36" i="15"/>
  <c r="AK6" i="15"/>
  <c r="AK39" i="15"/>
  <c r="AA37" i="15"/>
  <c r="S37" i="15"/>
  <c r="S6" i="15"/>
  <c r="S39" i="15"/>
  <c r="Y35" i="15"/>
  <c r="Y6" i="15"/>
  <c r="Y39" i="15"/>
  <c r="AO37" i="15"/>
  <c r="AO6" i="15"/>
  <c r="AO39" i="15"/>
  <c r="E35" i="15"/>
  <c r="E6" i="15"/>
  <c r="E34" i="15"/>
  <c r="E39" i="15"/>
  <c r="E36" i="15"/>
  <c r="E37" i="15"/>
  <c r="AD6" i="15"/>
  <c r="AD39" i="15"/>
  <c r="AE37" i="15"/>
  <c r="AQ36" i="15"/>
  <c r="AQ6" i="15"/>
  <c r="AQ39" i="15"/>
  <c r="D35" i="15"/>
  <c r="D34" i="15"/>
  <c r="D6" i="15"/>
  <c r="D39" i="15"/>
  <c r="D37" i="15"/>
  <c r="D36" i="15"/>
  <c r="AF35" i="15"/>
  <c r="AF6" i="15"/>
  <c r="AF39" i="15"/>
  <c r="W36" i="15"/>
  <c r="AQ37" i="15"/>
  <c r="N35" i="15"/>
  <c r="N6" i="15"/>
  <c r="N39" i="15"/>
  <c r="Y36" i="15"/>
  <c r="R35" i="15"/>
  <c r="R6" i="15"/>
  <c r="R39" i="15"/>
  <c r="H37" i="15"/>
  <c r="H6" i="15"/>
  <c r="H34" i="15"/>
  <c r="H39" i="15"/>
  <c r="O35" i="15"/>
  <c r="O6" i="15"/>
  <c r="O39" i="15"/>
  <c r="AI37" i="15"/>
  <c r="AI6" i="15"/>
  <c r="AI39" i="15"/>
  <c r="W6" i="15"/>
  <c r="W39" i="15"/>
  <c r="I37" i="15"/>
  <c r="F37" i="15"/>
  <c r="F6" i="15"/>
  <c r="F34" i="15"/>
  <c r="F39" i="15"/>
  <c r="N36" i="15"/>
  <c r="Q6" i="15"/>
  <c r="Q39" i="15"/>
  <c r="W37" i="15"/>
  <c r="AE35" i="15"/>
  <c r="AE6" i="15"/>
  <c r="AE39" i="15"/>
  <c r="AM37" i="15"/>
  <c r="AM6" i="15"/>
  <c r="AM39" i="15"/>
  <c r="AM36" i="15"/>
  <c r="I36" i="15"/>
  <c r="I6" i="15"/>
  <c r="I34" i="15"/>
  <c r="I39" i="15"/>
  <c r="AJ37" i="15"/>
  <c r="AJ6" i="15"/>
  <c r="AJ39" i="15"/>
  <c r="N37" i="15"/>
  <c r="AO36" i="15"/>
  <c r="Z35" i="15"/>
  <c r="Z6" i="15"/>
  <c r="Z39" i="15"/>
  <c r="AN36" i="15"/>
  <c r="AN6" i="15"/>
  <c r="AN39" i="15"/>
  <c r="T36" i="15"/>
  <c r="T6" i="15"/>
  <c r="T39" i="15"/>
  <c r="P37" i="15"/>
  <c r="P6" i="15"/>
  <c r="P39" i="15"/>
  <c r="AF37" i="15"/>
  <c r="X6" i="15"/>
  <c r="X39" i="15"/>
  <c r="K36" i="15"/>
  <c r="K6" i="15"/>
  <c r="K39" i="15"/>
  <c r="AG37" i="15"/>
  <c r="AG6" i="15"/>
  <c r="AG39" i="15"/>
  <c r="G37" i="15"/>
  <c r="G34" i="15"/>
  <c r="G6" i="15"/>
  <c r="G39" i="15"/>
  <c r="H36" i="15"/>
  <c r="AB36" i="15"/>
  <c r="AB6" i="15"/>
  <c r="AB39" i="15"/>
  <c r="M37" i="15"/>
  <c r="M6" i="15"/>
  <c r="M39" i="15"/>
  <c r="AC36" i="15"/>
  <c r="G36" i="15"/>
  <c r="AP36" i="15"/>
  <c r="AP6" i="15"/>
  <c r="AP39" i="15"/>
  <c r="J35" i="15"/>
  <c r="V36" i="15"/>
  <c r="V6" i="15"/>
  <c r="V39" i="15"/>
  <c r="V34" i="15" s="1"/>
  <c r="F36" i="15"/>
  <c r="U36" i="15"/>
  <c r="U6" i="15"/>
  <c r="U39" i="15"/>
  <c r="L36" i="15"/>
  <c r="L6" i="15"/>
  <c r="L39" i="15"/>
  <c r="J36" i="15"/>
  <c r="AH36" i="15"/>
  <c r="AH6" i="15"/>
  <c r="AH39" i="15"/>
  <c r="X36" i="15"/>
  <c r="L34" i="15" l="1"/>
  <c r="Q34" i="15"/>
  <c r="AP34" i="15"/>
  <c r="AH34" i="15"/>
  <c r="AG34" i="15"/>
  <c r="AJ34" i="15"/>
  <c r="T34" i="15"/>
  <c r="R34" i="15"/>
  <c r="Z34" i="15"/>
  <c r="AC34" i="15"/>
  <c r="O34" i="15"/>
  <c r="AM34" i="15"/>
  <c r="AD34" i="15"/>
  <c r="X34" i="15"/>
  <c r="P34" i="15"/>
  <c r="K34" i="15"/>
  <c r="AE34" i="15"/>
  <c r="U34" i="15"/>
  <c r="AA34" i="15"/>
  <c r="S34" i="15"/>
  <c r="AO34" i="15"/>
  <c r="AK34" i="15"/>
  <c r="AL34" i="15"/>
  <c r="W34" i="15"/>
  <c r="AN34" i="15"/>
  <c r="AQ34" i="15"/>
  <c r="M34" i="15"/>
  <c r="AB34" i="15"/>
  <c r="AI34" i="15"/>
  <c r="N34" i="15"/>
  <c r="Y34" i="15"/>
  <c r="AF34" i="15"/>
</calcChain>
</file>

<file path=xl/sharedStrings.xml><?xml version="1.0" encoding="utf-8"?>
<sst xmlns="http://schemas.openxmlformats.org/spreadsheetml/2006/main" count="2361" uniqueCount="190">
  <si>
    <t>GDP at market prices</t>
  </si>
  <si>
    <t>Cash crops</t>
  </si>
  <si>
    <t>Food crops</t>
  </si>
  <si>
    <t>Livestock</t>
  </si>
  <si>
    <t>Agriculture Support Services</t>
  </si>
  <si>
    <t>Forestry</t>
  </si>
  <si>
    <t>Fishing</t>
  </si>
  <si>
    <t>Industry</t>
  </si>
  <si>
    <t>Mining &amp; quarrying</t>
  </si>
  <si>
    <t>Manufacturing</t>
  </si>
  <si>
    <t>Electricity</t>
  </si>
  <si>
    <t>Water</t>
  </si>
  <si>
    <t>Construction</t>
  </si>
  <si>
    <t>Services</t>
  </si>
  <si>
    <t>Real Estate Activities</t>
  </si>
  <si>
    <t xml:space="preserve">Public Administration </t>
  </si>
  <si>
    <t>Education</t>
  </si>
  <si>
    <t>Other Service Activities</t>
  </si>
  <si>
    <t>Adjustments</t>
  </si>
  <si>
    <t>Taxes on products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</si>
  <si>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</si>
  <si>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</si>
  <si>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</si>
  <si>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</si>
  <si>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</si>
  <si>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</si>
  <si>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</si>
  <si>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</si>
  <si>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</si>
  <si>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</si>
  <si>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</si>
  <si>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</si>
  <si>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</si>
  <si>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</si>
  <si>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</si>
  <si>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</si>
  <si>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</si>
  <si>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</si>
  <si>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</si>
  <si>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</si>
  <si>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</si>
  <si>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</si>
  <si>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</si>
  <si>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</si>
  <si>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</si>
  <si>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</si>
  <si>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Q1</t>
  </si>
  <si>
    <t>Q2</t>
  </si>
  <si>
    <t>Q3</t>
  </si>
  <si>
    <t>Q4</t>
  </si>
  <si>
    <t>Source: Uganda Bureau of Statistics</t>
  </si>
  <si>
    <t>2014Q3</t>
  </si>
  <si>
    <t>Trade &amp; Repairs</t>
  </si>
  <si>
    <t>Transportation &amp; Storage</t>
  </si>
  <si>
    <t>Information &amp; Communication</t>
  </si>
  <si>
    <t xml:space="preserve">Accommodation &amp; Food Service </t>
  </si>
  <si>
    <t xml:space="preserve">Professional, Scientific &amp; Technical </t>
  </si>
  <si>
    <t xml:space="preserve">Administrative &amp; Support Service </t>
  </si>
  <si>
    <t xml:space="preserve">Human Health &amp; Social Work </t>
  </si>
  <si>
    <t>Activities of Households</t>
  </si>
  <si>
    <t>2009/10</t>
  </si>
  <si>
    <t>2010/11</t>
  </si>
  <si>
    <t>2011/12</t>
  </si>
  <si>
    <t>2012/13</t>
  </si>
  <si>
    <t>2013/14</t>
  </si>
  <si>
    <t>2014/15</t>
  </si>
  <si>
    <t>2008/09</t>
  </si>
  <si>
    <t>2007/08</t>
  </si>
  <si>
    <t>Activity</t>
  </si>
  <si>
    <t>Uganda Bureau of Statistics</t>
  </si>
  <si>
    <t>Agriculture, Forestry &amp; Fishing</t>
  </si>
  <si>
    <t>Arts, Entertainment &amp; Recreation</t>
  </si>
  <si>
    <t xml:space="preserve">Financial &amp; Insurance </t>
  </si>
  <si>
    <t>2014Q4</t>
  </si>
  <si>
    <t>2015Q1</t>
  </si>
  <si>
    <t>2015Q2</t>
  </si>
  <si>
    <t>Taxes on Products</t>
  </si>
  <si>
    <t>2015/16</t>
  </si>
  <si>
    <t>2015Q3</t>
  </si>
  <si>
    <t>Table 10: Summary of QGDP at constant 2009/10 prices, percentage change, 2010/11-2015/16</t>
  </si>
  <si>
    <t>2016/17</t>
  </si>
  <si>
    <t>WHAT DO USERS WANT?</t>
  </si>
  <si>
    <t>The original unadjusted series and all components</t>
  </si>
  <si>
    <t>Policy Formulations</t>
  </si>
  <si>
    <t>Macro-economic model building</t>
  </si>
  <si>
    <t>To determine what actually happened</t>
  </si>
  <si>
    <t>The original unadjusted series</t>
  </si>
  <si>
    <t>Analysis of the effect of particular events such as a strike</t>
  </si>
  <si>
    <t>The irregular component</t>
  </si>
  <si>
    <t>Trend-cycle and irregular component</t>
  </si>
  <si>
    <t>Long-term forecasting</t>
  </si>
  <si>
    <t>The trend cycle component</t>
  </si>
  <si>
    <t>2017/18</t>
  </si>
  <si>
    <t>INDUSTRY</t>
  </si>
  <si>
    <t>SERVICES</t>
  </si>
  <si>
    <t>ADJUSTMENTS</t>
  </si>
  <si>
    <t>AGRICULTURE,FORESTRY&amp;FISHING</t>
  </si>
  <si>
    <t>GDP AT MARKET PRICES</t>
  </si>
  <si>
    <t>ADJUSTMENT</t>
  </si>
  <si>
    <t>ACTIVITY</t>
  </si>
  <si>
    <t>TREND CYCLE ESTIMATES</t>
  </si>
  <si>
    <t>ORIGINAL ESTIMATES</t>
  </si>
  <si>
    <t>SEASONALLY ADJUSTED ESTIMATES</t>
  </si>
  <si>
    <t>MAIN USE OF DATA</t>
  </si>
  <si>
    <t>WHAT DATA SHOULD I USE?</t>
  </si>
  <si>
    <t>WORKSHEET</t>
  </si>
  <si>
    <t>Could be Unadjusted, adjusted, trend-cycle or all components depending on the main purpose of the model</t>
  </si>
  <si>
    <t>Business Cycle analysis &amp; detection of turning points</t>
  </si>
  <si>
    <t>Short-term and medium term forecasting</t>
  </si>
  <si>
    <t>Original unadjusted series and all its components</t>
  </si>
  <si>
    <t>Table 3: Summary of QGDP at constant 2009/10 prices, IMPLICIT PRICE DEFLATORS, 2013/14-2017/18</t>
  </si>
  <si>
    <t>Table 4: Summary of QGDP at constant prices, PERCENTAGE SHARE, 2013/14-2017/18</t>
  </si>
  <si>
    <t>Table 11: SEASONALLY ADJUSTED Value Added at constant 2009/10 prices, IMPLICIT PRICE DEFLATORS, 2013/14-2017/18</t>
  </si>
  <si>
    <t>Table 15: TREND-CYCLE Value Added at constant 2009/10 prices, IMPLICIT PRICE DEFLATORS, 2013/14-2017/18</t>
  </si>
  <si>
    <t>Notes:</t>
  </si>
  <si>
    <t>a</t>
  </si>
  <si>
    <t>Seasonally adjusted data are subject to revisions as future data become available, even when the original data are not revised.</t>
  </si>
  <si>
    <t>b</t>
  </si>
  <si>
    <t>c</t>
  </si>
  <si>
    <t>d</t>
  </si>
  <si>
    <t>e</t>
  </si>
  <si>
    <t>Original (Unadjusted) data are useful in their own right. They show the actual economic events that have occurred and therefore Seasonally adjusted data should not replace the unadjusted data.</t>
  </si>
  <si>
    <t>Seasonally adjusted data is the sum of the Trend-cycle component and the Irregular component. When the Irregular component is strong, the Seasonally adjusted series may not present a smooth pattern.</t>
  </si>
  <si>
    <t>Year</t>
  </si>
  <si>
    <t>Period</t>
  </si>
  <si>
    <t xml:space="preserve">        Agriculture, Forestry &amp; Fishing</t>
  </si>
  <si>
    <t xml:space="preserve">        Industry</t>
  </si>
  <si>
    <t xml:space="preserve">        Services</t>
  </si>
  <si>
    <t xml:space="preserve">        Taxes on products</t>
  </si>
  <si>
    <t>Original_VA</t>
  </si>
  <si>
    <t>Original_VA, Deseason_VA, Trend_VA</t>
  </si>
  <si>
    <t>Deseason_VA and Trend_VA</t>
  </si>
  <si>
    <t>Trend_VA</t>
  </si>
  <si>
    <t>Seasonally adjusted and Trend-cycle estimates represent an analytical elaboration of the data designed to show the underlying movements that may be hidden by the seasonal variations.</t>
  </si>
  <si>
    <t>2018/19</t>
  </si>
  <si>
    <t xml:space="preserve"> </t>
  </si>
  <si>
    <t>2019/20</t>
  </si>
  <si>
    <t>2020/21</t>
  </si>
  <si>
    <t>2021/22</t>
  </si>
  <si>
    <t>2022/23</t>
  </si>
  <si>
    <t>2023/24</t>
  </si>
  <si>
    <t>GDP at Market Prices</t>
  </si>
  <si>
    <t>Statistical Discrepancy</t>
  </si>
  <si>
    <t xml:space="preserve">       Services</t>
  </si>
  <si>
    <t xml:space="preserve">       Goods</t>
  </si>
  <si>
    <t xml:space="preserve">   Less Imports</t>
  </si>
  <si>
    <t xml:space="preserve">   Exports</t>
  </si>
  <si>
    <t>Exports less Imports of Goods and Services</t>
  </si>
  <si>
    <t>Changes in Inventories</t>
  </si>
  <si>
    <t xml:space="preserve">   Other Asset Types</t>
  </si>
  <si>
    <t xml:space="preserve">   Other Machinery and Equipment</t>
  </si>
  <si>
    <t xml:space="preserve">   ICT Equipment</t>
  </si>
  <si>
    <t xml:space="preserve">   Transport Equipment</t>
  </si>
  <si>
    <t xml:space="preserve">   Other Structures</t>
  </si>
  <si>
    <t xml:space="preserve">   Other Buildings</t>
  </si>
  <si>
    <t xml:space="preserve">   Dwellings</t>
  </si>
  <si>
    <t>Gross Fixed Capital Formation</t>
  </si>
  <si>
    <t xml:space="preserve">   Household FCE</t>
  </si>
  <si>
    <t xml:space="preserve">   NPISH FCE</t>
  </si>
  <si>
    <t xml:space="preserve">   General Government FCE</t>
  </si>
  <si>
    <t>Final Consumption Expenditure</t>
  </si>
  <si>
    <t>QUARTERLY CHANGES  Constant prices</t>
  </si>
  <si>
    <t>EXPENDITURE  Constant prices</t>
  </si>
  <si>
    <t>Accounts for</t>
  </si>
  <si>
    <t>2015</t>
  </si>
  <si>
    <t>2014</t>
  </si>
  <si>
    <t>2013</t>
  </si>
  <si>
    <t>2012</t>
  </si>
  <si>
    <t>2011</t>
  </si>
  <si>
    <t>2010</t>
  </si>
  <si>
    <t>2009</t>
  </si>
  <si>
    <t>2008</t>
  </si>
  <si>
    <t>Updated:</t>
  </si>
  <si>
    <t>f</t>
  </si>
  <si>
    <t>2024/25</t>
  </si>
  <si>
    <t>2025/26</t>
  </si>
  <si>
    <t>TABLE 1: SUMMARY OF QGDP AT CONSTANT 2016/17 PRICES, BILLION SHILLINGS, 2016/17-2025/26</t>
  </si>
  <si>
    <t>TABLE 2: SUMMARY OF QGDP AT CONSTANT 2016/17 PRICES, PERCENTAGE CHANGE, 2016/17-2025/26</t>
  </si>
  <si>
    <t>Table 3: ORIGINAL UNADJUSTED Value Added by activity at constant 2016/17 prices, BILLION SHILLINGS, 2016/17-2025/26</t>
  </si>
  <si>
    <t>Table 4: ORIGINAL UNADJUSTED Value Added at constant 2016/17 prices, PERCENTAGE CHANGE, 2016/17-2025/26</t>
  </si>
  <si>
    <t>Table 5: ORIGINAL UNADJUSTED Value Added by activity at constant 2016/17 prices, IMPLICIT PRICE DEFLATORS, 2016/17-2025/26</t>
  </si>
  <si>
    <t>Table 6: SEASONALLY ADJUSTED Value Added at constant 2016/17 prices, BILLION SHILLINGS, 2016/17-2025/26</t>
  </si>
  <si>
    <t>Table 7: SEASONALLY ADJUSTED Value Added at constant 2016/17 prices,PERCENTAGE CHANGE, 2016/17-2025/26</t>
  </si>
  <si>
    <t>Table 8: SEASONALLY ADJUSTED Value Added at constant 2016/17 prices, DECOMPOSITION OF GROWTH, 2016/17-2025/26</t>
  </si>
  <si>
    <t>Table 9: TREND-CYCLE Value Added at constant 2016/17 prices, BILLION SHILLINGS, 2016/17-2025/26</t>
  </si>
  <si>
    <t>Table 10: TREND-CYCLE Value Added at constant 2016/17 prices, PERCENTAGE CHANGE, 2016/17-2025/26</t>
  </si>
  <si>
    <t>Original (Unadjusted) estimates have been benchmarked to the 2024/25 Annual GDP estimates (October release 2025) due to quarterly differences in source data for selected economic activities. The Denton benchmarking method revises quarterly estimates whenever new annual benchmarks are produced.</t>
  </si>
  <si>
    <t>Therefore, there were no revisions in series because the benchmarks and input data have not been revised over the period. Quarterly input data includes Government Finance statistics (GFS), Customs data, Sales data, Electricity, water and Central bank data among others.</t>
  </si>
  <si>
    <t>In terms of interpretation, original series consider year on year similar quarter changes due to seasonal effects while adjusted series consider quarter to quarter changes.</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</si>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</sst>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164" formatCode="_(* #,##0.00_);_(* \(#,##0.00\);_(* &quot;-&quot;??_);_(@_)"/>
    <numFmt numFmtId="165" formatCode="0.0"/>
    <numFmt numFmtId="166" formatCode="_(* #,##0_);_(* \(#,##0\);_(* &quot;-&quot;??_);_(@_)"/>
    <numFmt numFmtId="167" formatCode="_(* #,##0.0_);_(* \(#,##0.0\);_(* &quot;-&quot;??_);_(@_)"/>
    <numFmt numFmtId="168" formatCode="#,##0.0"/>
    <numFmt numFmtId="169" formatCode="0.0;[Red]0.0"/>
    <numFmt numFmtId="170" formatCode="#,##0.0000"/>
    <numFmt numFmtId="171" formatCode="0.0%"/>
    <numFmt numFmtId="172" formatCode="#,##0.0_);[Red]\(#,##0.0\)"/>
    <numFmt numFmtId="173" formatCode="_-* #,##0.0_-;\-* #,##0.0_-;_-* &quot;-&quot;_-;_-@_-"/>
  </numFmts>
  <fonts count="34" x14ac:knownFonts="1">
    <font>
      <sz val="11"/>
      <color theme="1"/>
      <name val="Calibri"/>
      <family val="2"/>
      <scheme val="minor"/>
    </font>
    <font>
      <sz val="11"/>
      <color theme="1"/>
      <name val="Calibri"/>
      <family val="2"/>
      <scheme val="minor"/>
    </font>
    <font>
      <b/>
      <sz val="8"/>
      <name val="Arial"/>
      <family val="2"/>
    </font>
    <font>
      <b/>
      <sz val="9"/>
      <color theme="1"/>
      <name val="Arial"/>
      <family val="2"/>
    </font>
    <font>
      <b/>
      <sz val="8"/>
      <color theme="1"/>
      <name val="Arial"/>
      <family val="2"/>
    </font>
    <font>
      <sz val="8"/>
      <color theme="1"/>
      <name val="Arial"/>
      <family val="2"/>
    </font>
    <font>
      <sz val="8"/>
      <name val="Arial"/>
      <family val="2"/>
    </font>
    <font>
      <i/>
      <sz val="8"/>
      <color theme="1"/>
      <name val="Arial"/>
      <family val="2"/>
    </font>
    <font>
      <sz val="8.5"/>
      <color theme="1"/>
      <name val="Arial"/>
      <family val="2"/>
    </font>
    <font>
      <b/>
      <sz val="8.5"/>
      <color theme="1"/>
      <name val="Arial"/>
      <family val="2"/>
    </font>
    <font>
      <b/>
      <sz val="8.5"/>
      <name val="Arial"/>
      <family val="2"/>
    </font>
    <font>
      <sz val="8.5"/>
      <name val="Arial"/>
      <family val="2"/>
    </font>
    <font>
      <i/>
      <sz val="8.5"/>
      <color theme="1"/>
      <name val="Arial"/>
      <family val="2"/>
    </font>
    <font>
      <sz val="8"/>
      <color rgb="FFFF0000"/>
      <name val="Arial"/>
      <family val="2"/>
    </font>
    <font>
      <i/>
      <sz val="8.5"/>
      <name val="Arial"/>
      <family val="2"/>
    </font>
    <font>
      <sz val="12"/>
      <color theme="1"/>
      <name val="Arial"/>
      <family val="2"/>
    </font>
    <font>
      <b/>
      <sz val="12"/>
      <color theme="1"/>
      <name val="Arial"/>
      <family val="2"/>
    </font>
    <font>
      <sz val="14"/>
      <color theme="1"/>
      <name val="Arial"/>
      <family val="2"/>
    </font>
    <font>
      <sz val="11"/>
      <color theme="1"/>
      <name val="Arial"/>
      <family val="2"/>
    </font>
    <font>
      <sz val="12"/>
      <color theme="1"/>
      <name val="Times New Roman"/>
      <family val="1"/>
    </font>
    <font>
      <b/>
      <sz val="11"/>
      <color theme="1"/>
      <name val="Arial"/>
      <family val="2"/>
    </font>
    <font>
      <sz val="9"/>
      <name val="Arial"/>
      <family val="2"/>
    </font>
    <font>
      <sz val="9"/>
      <color theme="1"/>
      <name val="Arial"/>
      <family val="2"/>
    </font>
    <font>
      <sz val="8.5"/>
      <color rgb="FFFF0000"/>
      <name val="Arial"/>
      <family val="2"/>
    </font>
    <font>
      <b/>
      <sz val="9"/>
      <name val="Arial"/>
      <family val="2"/>
    </font>
    <font>
      <sz val="10"/>
      <name val="Arial"/>
      <family val="2"/>
    </font>
    <font>
      <b/>
      <sz val="10"/>
      <name val="Arial"/>
      <family val="2"/>
    </font>
    <font>
      <b/>
      <i/>
      <sz val="10"/>
      <name val="Arial"/>
      <family val="2"/>
    </font>
    <font>
      <sz val="10"/>
      <name val="MS Sans Serif"/>
      <family val="2"/>
    </font>
    <font>
      <sz val="10"/>
      <color rgb="FFC00000"/>
      <name val="Arial"/>
      <family val="2"/>
    </font>
    <font>
      <sz val="10"/>
      <color indexed="12"/>
      <name val="Arial"/>
      <family val="2"/>
    </font>
    <font>
      <sz val="8"/>
      <name val="Calibri"/>
      <family val="2"/>
      <scheme val="minor"/>
    </font>
    <font>
      <b/>
      <sz val="11"/>
      <color theme="1"/>
      <name val="Calibri"/>
      <family val="2"/>
      <scheme val="minor"/>
    </font>
    <font>
      <sz val="12"/>
      <color rgb="FF000000"/>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4">
    <border>
      <left/>
      <right/>
      <top/>
      <bottom/>
      <diagonal/>
    </border>
    <border>
      <left/>
      <right/>
      <top/>
      <bottom style="medium">
        <color indexed="64"/>
      </bottom>
      <diagonal/>
    </border>
    <border>
      <left/>
      <right/>
      <top style="medium">
        <color auto="1"/>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indexed="64"/>
      </right>
      <top style="thin">
        <color auto="1"/>
      </top>
      <bottom/>
      <diagonal/>
    </border>
    <border>
      <left/>
      <right style="thin">
        <color indexed="64"/>
      </right>
      <top/>
      <bottom style="thin">
        <color auto="1"/>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top/>
      <bottom/>
      <diagonal/>
    </border>
    <border>
      <left style="thin">
        <color indexed="64"/>
      </left>
      <right/>
      <top/>
      <bottom style="medium">
        <color indexed="64"/>
      </bottom>
      <diagonal/>
    </border>
  </borders>
  <cellStyleXfs count="7">
    <xf numFmtId="0" fontId="0" fillId="0" borderId="0"/>
    <xf numFmtId="164" fontId="1" fillId="0" borderId="0" applyFont="0" applyFill="0" applyBorder="0" applyAlignment="0" applyProtection="0"/>
    <xf numFmtId="165" fontId="25" fillId="0" borderId="0"/>
    <xf numFmtId="40" fontId="28" fillId="0" borderId="0" applyFont="0" applyFill="0" applyBorder="0" applyAlignment="0" applyProtection="0"/>
    <xf numFmtId="9" fontId="28"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cellStyleXfs>
  <cellXfs count="274">
    <xf numFmtId="0" fontId="0" fillId="0" borderId="0" xfId="0"/>
    <xf numFmtId="0" fontId="5" fillId="0" borderId="0" xfId="0" applyFont="1"/>
    <xf numFmtId="165" fontId="2" fillId="0" borderId="0" xfId="0" applyNumberFormat="1" applyFont="1"/>
    <xf numFmtId="165" fontId="6" fillId="0" borderId="0" xfId="0" applyNumberFormat="1" applyFont="1"/>
    <xf numFmtId="3" fontId="6" fillId="0" borderId="0" xfId="0" applyNumberFormat="1" applyFont="1"/>
    <xf numFmtId="167" fontId="5" fillId="0" borderId="0" xfId="1" applyNumberFormat="1" applyFont="1"/>
    <xf numFmtId="166" fontId="5" fillId="0" borderId="0" xfId="1" applyNumberFormat="1" applyFont="1"/>
    <xf numFmtId="0" fontId="4" fillId="0" borderId="2" xfId="0" applyFont="1" applyBorder="1"/>
    <xf numFmtId="0" fontId="4" fillId="0" borderId="0" xfId="0" applyFont="1"/>
    <xf numFmtId="166" fontId="5" fillId="0" borderId="0" xfId="1" applyNumberFormat="1" applyFont="1" applyBorder="1"/>
    <xf numFmtId="166" fontId="4" fillId="0" borderId="0" xfId="1" applyNumberFormat="1" applyFont="1" applyBorder="1"/>
    <xf numFmtId="0" fontId="5" fillId="0" borderId="1" xfId="0" applyFont="1" applyBorder="1"/>
    <xf numFmtId="0" fontId="2" fillId="0" borderId="3" xfId="0" applyFont="1" applyBorder="1" applyAlignment="1">
      <alignment horizontal="right"/>
    </xf>
    <xf numFmtId="0" fontId="7" fillId="0" borderId="0" xfId="0" applyFont="1"/>
    <xf numFmtId="167" fontId="5" fillId="0" borderId="0" xfId="1" applyNumberFormat="1" applyFont="1" applyBorder="1"/>
    <xf numFmtId="168" fontId="5" fillId="0" borderId="0" xfId="0" applyNumberFormat="1" applyFont="1"/>
    <xf numFmtId="3" fontId="6" fillId="0" borderId="0" xfId="0" applyNumberFormat="1" applyFont="1" applyAlignment="1">
      <alignment wrapText="1"/>
    </xf>
    <xf numFmtId="0" fontId="5" fillId="0" borderId="0" xfId="0" applyFont="1" applyAlignment="1">
      <alignment horizontal="left" vertical="top" wrapText="1"/>
    </xf>
    <xf numFmtId="168" fontId="4" fillId="0" borderId="0" xfId="0" applyNumberFormat="1" applyFont="1"/>
    <xf numFmtId="168" fontId="5" fillId="0" borderId="1" xfId="0" applyNumberFormat="1" applyFont="1" applyBorder="1"/>
    <xf numFmtId="167" fontId="4" fillId="0" borderId="0" xfId="0" applyNumberFormat="1" applyFont="1"/>
    <xf numFmtId="0" fontId="4" fillId="0" borderId="3" xfId="0" applyFont="1" applyBorder="1" applyAlignment="1">
      <alignment horizontal="center"/>
    </xf>
    <xf numFmtId="167" fontId="2" fillId="0" borderId="3" xfId="1" applyNumberFormat="1" applyFont="1" applyBorder="1" applyAlignment="1">
      <alignment horizontal="right"/>
    </xf>
    <xf numFmtId="167" fontId="5" fillId="0" borderId="0" xfId="0" applyNumberFormat="1" applyFont="1"/>
    <xf numFmtId="167" fontId="5" fillId="0" borderId="1" xfId="0" applyNumberFormat="1" applyFont="1" applyBorder="1"/>
    <xf numFmtId="167" fontId="4" fillId="0" borderId="0" xfId="1" applyNumberFormat="1" applyFont="1" applyBorder="1" applyAlignment="1">
      <alignment horizontal="right"/>
    </xf>
    <xf numFmtId="167" fontId="5" fillId="0" borderId="0" xfId="1" applyNumberFormat="1" applyFont="1" applyBorder="1" applyAlignment="1">
      <alignment horizontal="right"/>
    </xf>
    <xf numFmtId="167" fontId="5" fillId="0" borderId="1" xfId="1" applyNumberFormat="1" applyFont="1" applyBorder="1" applyAlignment="1">
      <alignment horizontal="right"/>
    </xf>
    <xf numFmtId="167" fontId="5" fillId="0" borderId="1" xfId="1" applyNumberFormat="1" applyFont="1" applyBorder="1" applyAlignment="1">
      <alignment horizontal="left"/>
    </xf>
    <xf numFmtId="164" fontId="0" fillId="0" borderId="0" xfId="1" applyFont="1"/>
    <xf numFmtId="164" fontId="0" fillId="0" borderId="0" xfId="0" applyNumberFormat="1"/>
    <xf numFmtId="0" fontId="3" fillId="0" borderId="0" xfId="0" applyFont="1"/>
    <xf numFmtId="167" fontId="3" fillId="0" borderId="0" xfId="1" applyNumberFormat="1" applyFont="1"/>
    <xf numFmtId="168" fontId="5" fillId="0" borderId="0" xfId="1" applyNumberFormat="1" applyFont="1" applyBorder="1" applyAlignment="1">
      <alignment horizontal="right"/>
    </xf>
    <xf numFmtId="168" fontId="5" fillId="0" borderId="1" xfId="1" applyNumberFormat="1" applyFont="1" applyBorder="1" applyAlignment="1">
      <alignment horizontal="right"/>
    </xf>
    <xf numFmtId="0" fontId="8" fillId="0" borderId="0" xfId="0" applyFont="1"/>
    <xf numFmtId="0" fontId="9" fillId="0" borderId="2" xfId="0" applyFont="1" applyBorder="1"/>
    <xf numFmtId="0" fontId="9" fillId="0" borderId="0" xfId="0" applyFont="1"/>
    <xf numFmtId="0" fontId="10" fillId="0" borderId="3" xfId="0" applyFont="1" applyBorder="1" applyAlignment="1">
      <alignment horizontal="right"/>
    </xf>
    <xf numFmtId="165" fontId="10" fillId="0" borderId="0" xfId="0" applyNumberFormat="1" applyFont="1"/>
    <xf numFmtId="165" fontId="11" fillId="0" borderId="0" xfId="0" applyNumberFormat="1" applyFont="1"/>
    <xf numFmtId="168" fontId="8" fillId="0" borderId="0" xfId="1" applyNumberFormat="1" applyFont="1" applyBorder="1"/>
    <xf numFmtId="3" fontId="11" fillId="0" borderId="0" xfId="0" applyNumberFormat="1" applyFont="1"/>
    <xf numFmtId="0" fontId="8" fillId="0" borderId="1" xfId="0" applyFont="1" applyBorder="1"/>
    <xf numFmtId="168" fontId="8" fillId="0" borderId="1" xfId="1" applyNumberFormat="1" applyFont="1" applyBorder="1"/>
    <xf numFmtId="168" fontId="8" fillId="0" borderId="0" xfId="0" applyNumberFormat="1" applyFont="1"/>
    <xf numFmtId="167" fontId="9" fillId="0" borderId="0" xfId="1" applyNumberFormat="1" applyFont="1" applyBorder="1"/>
    <xf numFmtId="167" fontId="8" fillId="0" borderId="0" xfId="1" applyNumberFormat="1" applyFont="1" applyBorder="1"/>
    <xf numFmtId="167" fontId="8" fillId="0" borderId="1" xfId="1" applyNumberFormat="1" applyFont="1" applyBorder="1"/>
    <xf numFmtId="168" fontId="4" fillId="0" borderId="0" xfId="1" applyNumberFormat="1" applyFont="1" applyBorder="1" applyAlignment="1">
      <alignment horizontal="right"/>
    </xf>
    <xf numFmtId="0" fontId="9" fillId="0" borderId="3" xfId="0" applyFont="1" applyBorder="1" applyAlignment="1">
      <alignment horizontal="right"/>
    </xf>
    <xf numFmtId="3" fontId="11" fillId="0" borderId="1" xfId="0" applyNumberFormat="1" applyFont="1" applyBorder="1"/>
    <xf numFmtId="165" fontId="14" fillId="0" borderId="0" xfId="0" applyNumberFormat="1" applyFont="1"/>
    <xf numFmtId="0" fontId="9" fillId="0" borderId="1" xfId="0" applyFont="1" applyBorder="1"/>
    <xf numFmtId="168" fontId="9" fillId="0" borderId="0" xfId="1" applyNumberFormat="1" applyFont="1" applyBorder="1"/>
    <xf numFmtId="0" fontId="5" fillId="0" borderId="0" xfId="0" applyFont="1" applyAlignment="1">
      <alignment horizontal="left" wrapText="1"/>
    </xf>
    <xf numFmtId="0" fontId="4" fillId="0" borderId="0" xfId="0" applyFont="1" applyAlignment="1">
      <alignment horizontal="right"/>
    </xf>
    <xf numFmtId="0" fontId="4" fillId="0" borderId="0" xfId="0" applyFont="1" applyAlignment="1">
      <alignment horizontal="center"/>
    </xf>
    <xf numFmtId="0" fontId="10" fillId="0" borderId="0" xfId="0" applyFont="1" applyAlignment="1">
      <alignment horizontal="right"/>
    </xf>
    <xf numFmtId="0" fontId="9" fillId="0" borderId="0" xfId="0" applyFont="1" applyAlignment="1">
      <alignment horizontal="right"/>
    </xf>
    <xf numFmtId="0" fontId="15" fillId="0" borderId="0" xfId="0" applyFont="1"/>
    <xf numFmtId="0" fontId="16" fillId="0" borderId="0" xfId="0" applyFont="1"/>
    <xf numFmtId="0" fontId="15" fillId="0" borderId="4" xfId="0" applyFont="1" applyBorder="1"/>
    <xf numFmtId="0" fontId="16" fillId="0" borderId="4" xfId="0" applyFont="1" applyBorder="1"/>
    <xf numFmtId="0" fontId="15" fillId="0" borderId="4" xfId="0" applyFont="1" applyBorder="1" applyAlignment="1">
      <alignment wrapText="1"/>
    </xf>
    <xf numFmtId="0" fontId="17" fillId="0" borderId="0" xfId="0" applyFont="1"/>
    <xf numFmtId="0" fontId="18" fillId="0" borderId="0" xfId="0" applyFont="1"/>
    <xf numFmtId="0" fontId="19" fillId="0" borderId="0" xfId="0" applyFont="1" applyAlignment="1">
      <alignment wrapText="1"/>
    </xf>
    <xf numFmtId="0" fontId="20" fillId="0" borderId="0" xfId="0" applyFont="1" applyAlignment="1">
      <alignment vertical="center"/>
    </xf>
    <xf numFmtId="167" fontId="8" fillId="0" borderId="0" xfId="0" applyNumberFormat="1" applyFont="1" applyAlignment="1">
      <alignment horizontal="right"/>
    </xf>
    <xf numFmtId="168" fontId="8" fillId="0" borderId="0" xfId="1" applyNumberFormat="1" applyFont="1" applyFill="1" applyBorder="1"/>
    <xf numFmtId="165" fontId="8" fillId="0" borderId="0" xfId="1" applyNumberFormat="1" applyFont="1" applyFill="1" applyBorder="1"/>
    <xf numFmtId="3" fontId="11" fillId="0" borderId="0" xfId="0" applyNumberFormat="1" applyFont="1" applyAlignment="1">
      <alignment wrapText="1"/>
    </xf>
    <xf numFmtId="166" fontId="24" fillId="0" borderId="0" xfId="1" applyNumberFormat="1" applyFont="1" applyFill="1" applyBorder="1"/>
    <xf numFmtId="166" fontId="24" fillId="0" borderId="8" xfId="1" applyNumberFormat="1" applyFont="1" applyFill="1" applyBorder="1"/>
    <xf numFmtId="165" fontId="24" fillId="0" borderId="0" xfId="0" applyNumberFormat="1" applyFont="1"/>
    <xf numFmtId="166" fontId="24" fillId="0" borderId="12" xfId="1" applyNumberFormat="1" applyFont="1" applyFill="1" applyBorder="1"/>
    <xf numFmtId="166" fontId="22" fillId="0" borderId="0" xfId="1" applyNumberFormat="1" applyFont="1" applyFill="1" applyBorder="1"/>
    <xf numFmtId="166" fontId="3" fillId="0" borderId="0" xfId="0" applyNumberFormat="1" applyFont="1"/>
    <xf numFmtId="166" fontId="9" fillId="0" borderId="0" xfId="0" applyNumberFormat="1" applyFont="1"/>
    <xf numFmtId="166" fontId="9" fillId="0" borderId="0" xfId="1" applyNumberFormat="1" applyFont="1" applyFill="1" applyBorder="1"/>
    <xf numFmtId="166" fontId="8" fillId="0" borderId="0" xfId="1" applyNumberFormat="1" applyFont="1" applyFill="1" applyBorder="1"/>
    <xf numFmtId="0" fontId="8" fillId="0" borderId="0" xfId="0" applyFont="1" applyAlignment="1">
      <alignment horizontal="left" wrapText="1"/>
    </xf>
    <xf numFmtId="0" fontId="8" fillId="0" borderId="0" xfId="0" applyFont="1" applyAlignment="1">
      <alignment horizontal="left" vertical="top" wrapText="1"/>
    </xf>
    <xf numFmtId="166" fontId="8" fillId="0" borderId="1" xfId="1" applyNumberFormat="1" applyFont="1" applyFill="1" applyBorder="1"/>
    <xf numFmtId="166" fontId="5" fillId="0" borderId="0" xfId="1" applyNumberFormat="1" applyFont="1" applyFill="1"/>
    <xf numFmtId="0" fontId="9" fillId="2" borderId="2" xfId="0" applyFont="1" applyFill="1" applyBorder="1"/>
    <xf numFmtId="0" fontId="4" fillId="2" borderId="2" xfId="0" applyFont="1" applyFill="1" applyBorder="1"/>
    <xf numFmtId="0" fontId="9" fillId="2" borderId="3" xfId="0" applyFont="1" applyFill="1" applyBorder="1" applyAlignment="1">
      <alignment horizontal="center"/>
    </xf>
    <xf numFmtId="0" fontId="10" fillId="2" borderId="3" xfId="0" applyFont="1" applyFill="1" applyBorder="1" applyAlignment="1">
      <alignment horizontal="right"/>
    </xf>
    <xf numFmtId="0" fontId="9" fillId="2" borderId="3" xfId="0" applyFont="1" applyFill="1" applyBorder="1" applyAlignment="1">
      <alignment horizontal="right"/>
    </xf>
    <xf numFmtId="0" fontId="5" fillId="2" borderId="0" xfId="0" applyFont="1" applyFill="1"/>
    <xf numFmtId="166" fontId="8" fillId="0" borderId="0" xfId="1" applyNumberFormat="1" applyFont="1" applyFill="1"/>
    <xf numFmtId="166" fontId="9" fillId="0" borderId="0" xfId="1" applyNumberFormat="1" applyFont="1" applyFill="1"/>
    <xf numFmtId="0" fontId="22" fillId="0" borderId="0" xfId="0" applyFont="1"/>
    <xf numFmtId="166" fontId="22" fillId="0" borderId="0" xfId="1" applyNumberFormat="1" applyFont="1" applyFill="1"/>
    <xf numFmtId="166" fontId="3" fillId="0" borderId="0" xfId="1" applyNumberFormat="1" applyFont="1" applyFill="1"/>
    <xf numFmtId="3" fontId="8" fillId="0" borderId="0" xfId="1" applyNumberFormat="1" applyFont="1" applyFill="1" applyBorder="1"/>
    <xf numFmtId="3" fontId="9" fillId="0" borderId="0" xfId="1" applyNumberFormat="1" applyFont="1" applyFill="1" applyBorder="1"/>
    <xf numFmtId="3" fontId="11" fillId="0" borderId="3" xfId="0" applyNumberFormat="1" applyFont="1" applyBorder="1"/>
    <xf numFmtId="166" fontId="8" fillId="0" borderId="3" xfId="1" applyNumberFormat="1" applyFont="1" applyFill="1" applyBorder="1"/>
    <xf numFmtId="3" fontId="8" fillId="0" borderId="3" xfId="1" applyNumberFormat="1" applyFont="1" applyFill="1" applyBorder="1"/>
    <xf numFmtId="168" fontId="8" fillId="0" borderId="1" xfId="1" applyNumberFormat="1" applyFont="1" applyFill="1" applyBorder="1"/>
    <xf numFmtId="0" fontId="12" fillId="0" borderId="0" xfId="0" applyFont="1"/>
    <xf numFmtId="166" fontId="3" fillId="0" borderId="0" xfId="1" applyNumberFormat="1" applyFont="1" applyFill="1" applyBorder="1" applyAlignment="1"/>
    <xf numFmtId="168" fontId="22" fillId="0" borderId="0" xfId="0" applyNumberFormat="1" applyFont="1"/>
    <xf numFmtId="169" fontId="8" fillId="0" borderId="0" xfId="1" applyNumberFormat="1" applyFont="1" applyFill="1" applyBorder="1"/>
    <xf numFmtId="165" fontId="8" fillId="0" borderId="3" xfId="1" applyNumberFormat="1" applyFont="1" applyFill="1" applyBorder="1"/>
    <xf numFmtId="167" fontId="8" fillId="0" borderId="0" xfId="1" applyNumberFormat="1" applyFont="1" applyFill="1" applyBorder="1"/>
    <xf numFmtId="165" fontId="5" fillId="0" borderId="0" xfId="1" applyNumberFormat="1" applyFont="1" applyFill="1" applyBorder="1"/>
    <xf numFmtId="165" fontId="8" fillId="0" borderId="1" xfId="1" applyNumberFormat="1" applyFont="1" applyFill="1" applyBorder="1"/>
    <xf numFmtId="167" fontId="8" fillId="0" borderId="0" xfId="1" applyNumberFormat="1" applyFont="1" applyFill="1"/>
    <xf numFmtId="168" fontId="9" fillId="0" borderId="0" xfId="0" applyNumberFormat="1" applyFont="1"/>
    <xf numFmtId="168" fontId="8" fillId="0" borderId="1" xfId="0" applyNumberFormat="1" applyFont="1" applyBorder="1"/>
    <xf numFmtId="166" fontId="23" fillId="0" borderId="0" xfId="1" applyNumberFormat="1" applyFont="1" applyFill="1" applyBorder="1"/>
    <xf numFmtId="0" fontId="13" fillId="0" borderId="0" xfId="0" applyFont="1"/>
    <xf numFmtId="170" fontId="5" fillId="0" borderId="0" xfId="0" applyNumberFormat="1" applyFont="1"/>
    <xf numFmtId="168" fontId="8" fillId="0" borderId="0" xfId="1" applyNumberFormat="1" applyFont="1" applyFill="1" applyBorder="1" applyAlignment="1"/>
    <xf numFmtId="167" fontId="5" fillId="0" borderId="0" xfId="1" applyNumberFormat="1" applyFont="1" applyFill="1"/>
    <xf numFmtId="165" fontId="9" fillId="0" borderId="0" xfId="1" applyNumberFormat="1" applyFont="1" applyFill="1" applyBorder="1"/>
    <xf numFmtId="165" fontId="8" fillId="0" borderId="0" xfId="0" applyNumberFormat="1" applyFont="1"/>
    <xf numFmtId="165" fontId="8" fillId="0" borderId="1" xfId="0" applyNumberFormat="1" applyFont="1" applyBorder="1"/>
    <xf numFmtId="167" fontId="9" fillId="0" borderId="0" xfId="0" applyNumberFormat="1" applyFont="1" applyAlignment="1">
      <alignment horizontal="right"/>
    </xf>
    <xf numFmtId="166" fontId="8" fillId="0" borderId="0" xfId="0" applyNumberFormat="1" applyFont="1"/>
    <xf numFmtId="168" fontId="11" fillId="0" borderId="1" xfId="0" applyNumberFormat="1" applyFont="1" applyBorder="1"/>
    <xf numFmtId="165" fontId="21" fillId="0" borderId="0" xfId="1" applyNumberFormat="1" applyFont="1" applyFill="1"/>
    <xf numFmtId="165" fontId="11" fillId="0" borderId="0" xfId="1" applyNumberFormat="1" applyFont="1" applyFill="1"/>
    <xf numFmtId="168" fontId="11" fillId="0" borderId="0" xfId="1" applyNumberFormat="1" applyFont="1" applyFill="1" applyBorder="1"/>
    <xf numFmtId="0" fontId="6" fillId="0" borderId="0" xfId="0" applyFont="1"/>
    <xf numFmtId="166" fontId="3" fillId="0" borderId="12" xfId="0" applyNumberFormat="1" applyFont="1" applyBorder="1"/>
    <xf numFmtId="166" fontId="3" fillId="0" borderId="8" xfId="0" applyNumberFormat="1" applyFont="1" applyBorder="1"/>
    <xf numFmtId="3" fontId="21" fillId="0" borderId="0" xfId="0" applyNumberFormat="1" applyFont="1" applyAlignment="1">
      <alignment wrapText="1"/>
    </xf>
    <xf numFmtId="3" fontId="21" fillId="0" borderId="0" xfId="0" applyNumberFormat="1" applyFont="1"/>
    <xf numFmtId="0" fontId="22" fillId="0" borderId="0" xfId="0" applyFont="1" applyAlignment="1">
      <alignment horizontal="left" wrapText="1"/>
    </xf>
    <xf numFmtId="0" fontId="22" fillId="0" borderId="0" xfId="0" applyFont="1" applyAlignment="1">
      <alignment horizontal="left" vertical="top" wrapText="1"/>
    </xf>
    <xf numFmtId="3" fontId="21" fillId="0" borderId="1" xfId="0" applyNumberFormat="1" applyFont="1" applyBorder="1"/>
    <xf numFmtId="166" fontId="22" fillId="0" borderId="13" xfId="1" applyNumberFormat="1" applyFont="1" applyFill="1" applyBorder="1"/>
    <xf numFmtId="166" fontId="22" fillId="0" borderId="1" xfId="1" applyNumberFormat="1" applyFont="1" applyFill="1" applyBorder="1"/>
    <xf numFmtId="166" fontId="22" fillId="0" borderId="9" xfId="1" applyNumberFormat="1" applyFont="1" applyFill="1" applyBorder="1"/>
    <xf numFmtId="166" fontId="4" fillId="0" borderId="0" xfId="0" applyNumberFormat="1" applyFont="1"/>
    <xf numFmtId="0" fontId="9" fillId="2" borderId="5" xfId="0" applyFont="1" applyFill="1" applyBorder="1"/>
    <xf numFmtId="0" fontId="9" fillId="2" borderId="0" xfId="0" applyFont="1" applyFill="1"/>
    <xf numFmtId="0" fontId="9" fillId="2" borderId="3" xfId="0" applyFont="1" applyFill="1" applyBorder="1"/>
    <xf numFmtId="0" fontId="8" fillId="2" borderId="0" xfId="0" applyFont="1" applyFill="1"/>
    <xf numFmtId="14" fontId="9" fillId="2" borderId="5" xfId="0" applyNumberFormat="1" applyFont="1" applyFill="1" applyBorder="1"/>
    <xf numFmtId="14" fontId="9" fillId="2" borderId="3" xfId="0" applyNumberFormat="1" applyFont="1" applyFill="1" applyBorder="1"/>
    <xf numFmtId="14" fontId="10" fillId="2" borderId="3" xfId="0" applyNumberFormat="1" applyFont="1" applyFill="1" applyBorder="1" applyAlignment="1">
      <alignment horizontal="right"/>
    </xf>
    <xf numFmtId="14" fontId="9" fillId="2" borderId="3" xfId="0" applyNumberFormat="1" applyFont="1" applyFill="1" applyBorder="1" applyAlignment="1">
      <alignment horizontal="right"/>
    </xf>
    <xf numFmtId="0" fontId="3" fillId="2" borderId="5" xfId="0" applyFont="1" applyFill="1" applyBorder="1"/>
    <xf numFmtId="0" fontId="3" fillId="2" borderId="10" xfId="0" applyFont="1" applyFill="1" applyBorder="1"/>
    <xf numFmtId="0" fontId="3" fillId="2" borderId="6" xfId="0" applyFont="1" applyFill="1" applyBorder="1"/>
    <xf numFmtId="0" fontId="3" fillId="2" borderId="3" xfId="0" applyFont="1" applyFill="1" applyBorder="1"/>
    <xf numFmtId="0" fontId="3" fillId="2" borderId="11" xfId="0" quotePrefix="1" applyFont="1" applyFill="1" applyBorder="1" applyAlignment="1">
      <alignment horizontal="center"/>
    </xf>
    <xf numFmtId="0" fontId="3" fillId="2" borderId="3" xfId="0" quotePrefix="1" applyFont="1" applyFill="1" applyBorder="1" applyAlignment="1">
      <alignment horizontal="center"/>
    </xf>
    <xf numFmtId="0" fontId="3" fillId="2" borderId="7" xfId="0" quotePrefix="1" applyFont="1" applyFill="1" applyBorder="1" applyAlignment="1">
      <alignment horizontal="center"/>
    </xf>
    <xf numFmtId="0" fontId="3" fillId="2" borderId="3" xfId="0" applyFont="1" applyFill="1" applyBorder="1" applyAlignment="1">
      <alignment horizontal="center"/>
    </xf>
    <xf numFmtId="0" fontId="24" fillId="2" borderId="3" xfId="0" applyFont="1" applyFill="1" applyBorder="1" applyAlignment="1">
      <alignment horizontal="right"/>
    </xf>
    <xf numFmtId="0" fontId="3" fillId="2" borderId="3" xfId="0" applyFont="1" applyFill="1" applyBorder="1" applyAlignment="1">
      <alignment horizontal="right"/>
    </xf>
    <xf numFmtId="0" fontId="9" fillId="2" borderId="3" xfId="0" quotePrefix="1" applyFont="1" applyFill="1" applyBorder="1" applyAlignment="1">
      <alignment horizontal="center"/>
    </xf>
    <xf numFmtId="0" fontId="10" fillId="2" borderId="0" xfId="0" applyFont="1" applyFill="1" applyAlignment="1">
      <alignment horizontal="right"/>
    </xf>
    <xf numFmtId="165" fontId="10" fillId="2" borderId="0" xfId="0" applyNumberFormat="1" applyFont="1" applyFill="1"/>
    <xf numFmtId="166" fontId="9" fillId="2" borderId="0" xfId="1" applyNumberFormat="1" applyFont="1" applyFill="1" applyBorder="1"/>
    <xf numFmtId="165" fontId="9" fillId="2" borderId="0" xfId="1" applyNumberFormat="1" applyFont="1" applyFill="1" applyBorder="1"/>
    <xf numFmtId="0" fontId="4" fillId="2" borderId="0" xfId="0" applyFont="1" applyFill="1"/>
    <xf numFmtId="165" fontId="24" fillId="2" borderId="0" xfId="0" applyNumberFormat="1" applyFont="1" applyFill="1"/>
    <xf numFmtId="166" fontId="24" fillId="2" borderId="12" xfId="1" applyNumberFormat="1" applyFont="1" applyFill="1" applyBorder="1"/>
    <xf numFmtId="166" fontId="24" fillId="2" borderId="0" xfId="1" applyNumberFormat="1" applyFont="1" applyFill="1" applyBorder="1"/>
    <xf numFmtId="166" fontId="24" fillId="2" borderId="8" xfId="1" applyNumberFormat="1" applyFont="1" applyFill="1" applyBorder="1"/>
    <xf numFmtId="166" fontId="3" fillId="2" borderId="0" xfId="1" applyNumberFormat="1" applyFont="1" applyFill="1" applyBorder="1"/>
    <xf numFmtId="166" fontId="22" fillId="2" borderId="0" xfId="1" applyNumberFormat="1" applyFont="1" applyFill="1" applyBorder="1"/>
    <xf numFmtId="168" fontId="9" fillId="2" borderId="0" xfId="1" applyNumberFormat="1" applyFont="1" applyFill="1" applyBorder="1"/>
    <xf numFmtId="168" fontId="10" fillId="2" borderId="0" xfId="1" applyNumberFormat="1" applyFont="1" applyFill="1" applyBorder="1"/>
    <xf numFmtId="166" fontId="8" fillId="2" borderId="0" xfId="1" applyNumberFormat="1" applyFont="1" applyFill="1" applyBorder="1"/>
    <xf numFmtId="168" fontId="8" fillId="2" borderId="0" xfId="0" applyNumberFormat="1" applyFont="1" applyFill="1"/>
    <xf numFmtId="168" fontId="8" fillId="2" borderId="0" xfId="1" applyNumberFormat="1" applyFont="1" applyFill="1" applyBorder="1"/>
    <xf numFmtId="166" fontId="8" fillId="2" borderId="0" xfId="0" applyNumberFormat="1" applyFont="1" applyFill="1"/>
    <xf numFmtId="167" fontId="9" fillId="2" borderId="0" xfId="0" applyNumberFormat="1" applyFont="1" applyFill="1" applyAlignment="1">
      <alignment horizontal="right"/>
    </xf>
    <xf numFmtId="165" fontId="8" fillId="2" borderId="0" xfId="0" applyNumberFormat="1" applyFont="1" applyFill="1"/>
    <xf numFmtId="165" fontId="23" fillId="2" borderId="0" xfId="0" applyNumberFormat="1" applyFont="1" applyFill="1"/>
    <xf numFmtId="165" fontId="23" fillId="2" borderId="0" xfId="1" applyNumberFormat="1" applyFont="1" applyFill="1" applyBorder="1"/>
    <xf numFmtId="165" fontId="8" fillId="2" borderId="0" xfId="1" applyNumberFormat="1" applyFont="1" applyFill="1" applyBorder="1"/>
    <xf numFmtId="168" fontId="9" fillId="2" borderId="0" xfId="0" applyNumberFormat="1" applyFont="1" applyFill="1"/>
    <xf numFmtId="3" fontId="11" fillId="3" borderId="1" xfId="0" applyNumberFormat="1" applyFont="1" applyFill="1" applyBorder="1"/>
    <xf numFmtId="165" fontId="11" fillId="3" borderId="1" xfId="0" applyNumberFormat="1" applyFont="1" applyFill="1" applyBorder="1"/>
    <xf numFmtId="166" fontId="8" fillId="3" borderId="1" xfId="1" applyNumberFormat="1" applyFont="1" applyFill="1" applyBorder="1"/>
    <xf numFmtId="168" fontId="8" fillId="3" borderId="1" xfId="1" applyNumberFormat="1" applyFont="1" applyFill="1" applyBorder="1"/>
    <xf numFmtId="0" fontId="8" fillId="3" borderId="1" xfId="0" applyFont="1" applyFill="1" applyBorder="1"/>
    <xf numFmtId="165" fontId="25" fillId="0" borderId="0" xfId="2"/>
    <xf numFmtId="171" fontId="25" fillId="0" borderId="0" xfId="2" applyNumberFormat="1"/>
    <xf numFmtId="171" fontId="26" fillId="0" borderId="0" xfId="2" applyNumberFormat="1" applyFont="1"/>
    <xf numFmtId="168" fontId="25" fillId="0" borderId="0" xfId="2" applyNumberFormat="1"/>
    <xf numFmtId="168" fontId="26" fillId="0" borderId="0" xfId="2" applyNumberFormat="1" applyFont="1"/>
    <xf numFmtId="3" fontId="25" fillId="0" borderId="0" xfId="2" applyNumberFormat="1"/>
    <xf numFmtId="3" fontId="25" fillId="0" borderId="0" xfId="2" applyNumberFormat="1" applyAlignment="1">
      <alignment wrapText="1"/>
    </xf>
    <xf numFmtId="3" fontId="26" fillId="0" borderId="0" xfId="2" applyNumberFormat="1" applyFont="1" applyAlignment="1">
      <alignment wrapText="1"/>
    </xf>
    <xf numFmtId="3" fontId="26" fillId="0" borderId="0" xfId="2" applyNumberFormat="1" applyFont="1"/>
    <xf numFmtId="165" fontId="26" fillId="0" borderId="0" xfId="2" applyFont="1"/>
    <xf numFmtId="1" fontId="26" fillId="0" borderId="0" xfId="2" applyNumberFormat="1" applyFont="1" applyAlignment="1">
      <alignment horizontal="left"/>
    </xf>
    <xf numFmtId="14" fontId="25" fillId="0" borderId="0" xfId="2" applyNumberFormat="1"/>
    <xf numFmtId="14" fontId="26" fillId="0" borderId="0" xfId="2" applyNumberFormat="1" applyFont="1"/>
    <xf numFmtId="17" fontId="24" fillId="0" borderId="0" xfId="2" applyNumberFormat="1" applyFont="1"/>
    <xf numFmtId="3" fontId="27" fillId="0" borderId="0" xfId="2" applyNumberFormat="1" applyFont="1" applyAlignment="1">
      <alignment wrapText="1"/>
    </xf>
    <xf numFmtId="3" fontId="25" fillId="0" borderId="0" xfId="2" applyNumberFormat="1" applyAlignment="1">
      <alignment horizontal="left" wrapText="1"/>
    </xf>
    <xf numFmtId="17" fontId="24" fillId="0" borderId="3" xfId="2" applyNumberFormat="1" applyFont="1" applyBorder="1" applyAlignment="1">
      <alignment horizontal="center"/>
    </xf>
    <xf numFmtId="168" fontId="25" fillId="0" borderId="3" xfId="2" applyNumberFormat="1" applyBorder="1"/>
    <xf numFmtId="3" fontId="25" fillId="0" borderId="3" xfId="2" applyNumberFormat="1" applyBorder="1" applyAlignment="1">
      <alignment wrapText="1"/>
    </xf>
    <xf numFmtId="40" fontId="25" fillId="0" borderId="0" xfId="3" applyFont="1" applyBorder="1" applyProtection="1"/>
    <xf numFmtId="172" fontId="25" fillId="0" borderId="3" xfId="3" applyNumberFormat="1" applyFont="1" applyBorder="1" applyProtection="1"/>
    <xf numFmtId="3" fontId="25" fillId="0" borderId="3" xfId="2" applyNumberFormat="1" applyBorder="1"/>
    <xf numFmtId="38" fontId="26" fillId="0" borderId="0" xfId="3" applyNumberFormat="1" applyFont="1" applyBorder="1" applyProtection="1"/>
    <xf numFmtId="172" fontId="26" fillId="0" borderId="0" xfId="3" applyNumberFormat="1" applyFont="1" applyBorder="1" applyProtection="1"/>
    <xf numFmtId="3" fontId="27" fillId="0" borderId="0" xfId="2" applyNumberFormat="1" applyFont="1"/>
    <xf numFmtId="38" fontId="27" fillId="0" borderId="0" xfId="3" applyNumberFormat="1" applyFont="1" applyBorder="1" applyProtection="1"/>
    <xf numFmtId="172" fontId="27" fillId="0" borderId="0" xfId="3" applyNumberFormat="1" applyFont="1" applyBorder="1" applyProtection="1"/>
    <xf numFmtId="38" fontId="25" fillId="0" borderId="0" xfId="3" applyNumberFormat="1" applyFont="1" applyBorder="1" applyProtection="1"/>
    <xf numFmtId="172" fontId="25" fillId="0" borderId="0" xfId="3" applyNumberFormat="1" applyFont="1" applyBorder="1" applyProtection="1"/>
    <xf numFmtId="38" fontId="29" fillId="0" borderId="0" xfId="3" applyNumberFormat="1" applyFont="1" applyBorder="1" applyProtection="1"/>
    <xf numFmtId="38" fontId="25" fillId="0" borderId="0" xfId="2" applyNumberFormat="1"/>
    <xf numFmtId="38" fontId="30" fillId="0" borderId="0" xfId="2" applyNumberFormat="1" applyFont="1"/>
    <xf numFmtId="14" fontId="25" fillId="0" borderId="6" xfId="2" applyNumberFormat="1" applyBorder="1"/>
    <xf numFmtId="14" fontId="26" fillId="0" borderId="5" xfId="2" applyNumberFormat="1" applyFont="1" applyBorder="1"/>
    <xf numFmtId="14" fontId="26" fillId="0" borderId="10" xfId="2" applyNumberFormat="1" applyFont="1" applyBorder="1"/>
    <xf numFmtId="1" fontId="25" fillId="0" borderId="0" xfId="2" applyNumberFormat="1"/>
    <xf numFmtId="165" fontId="0" fillId="0" borderId="0" xfId="0" applyNumberFormat="1"/>
    <xf numFmtId="165" fontId="26" fillId="0" borderId="0" xfId="0" applyNumberFormat="1" applyFont="1"/>
    <xf numFmtId="165" fontId="25" fillId="0" borderId="0" xfId="0" applyNumberFormat="1" applyFont="1"/>
    <xf numFmtId="1" fontId="0" fillId="0" borderId="0" xfId="0" applyNumberFormat="1"/>
    <xf numFmtId="14" fontId="26" fillId="0" borderId="10" xfId="0" applyNumberFormat="1" applyFont="1" applyBorder="1"/>
    <xf numFmtId="14" fontId="26" fillId="0" borderId="5" xfId="0" applyNumberFormat="1" applyFont="1" applyBorder="1"/>
    <xf numFmtId="14" fontId="25" fillId="0" borderId="6" xfId="0" applyNumberFormat="1" applyFont="1" applyBorder="1"/>
    <xf numFmtId="14" fontId="25" fillId="0" borderId="0" xfId="0" applyNumberFormat="1" applyFont="1"/>
    <xf numFmtId="14" fontId="0" fillId="0" borderId="0" xfId="0" applyNumberFormat="1"/>
    <xf numFmtId="17" fontId="24" fillId="0" borderId="3" xfId="0" applyNumberFormat="1" applyFont="1" applyBorder="1" applyAlignment="1">
      <alignment horizontal="center"/>
    </xf>
    <xf numFmtId="3" fontId="25" fillId="0" borderId="0" xfId="0" applyNumberFormat="1" applyFont="1"/>
    <xf numFmtId="3" fontId="0" fillId="0" borderId="0" xfId="0" applyNumberFormat="1"/>
    <xf numFmtId="3" fontId="26" fillId="0" borderId="0" xfId="0" applyNumberFormat="1" applyFont="1"/>
    <xf numFmtId="3" fontId="26" fillId="0" borderId="0" xfId="0" applyNumberFormat="1" applyFont="1" applyAlignment="1">
      <alignment wrapText="1"/>
    </xf>
    <xf numFmtId="3" fontId="0" fillId="0" borderId="0" xfId="0" applyNumberFormat="1" applyAlignment="1">
      <alignment wrapText="1"/>
    </xf>
    <xf numFmtId="3" fontId="0" fillId="0" borderId="0" xfId="0" applyNumberFormat="1" applyAlignment="1">
      <alignment horizontal="left" wrapText="1"/>
    </xf>
    <xf numFmtId="3" fontId="27" fillId="0" borderId="0" xfId="0" applyNumberFormat="1" applyFont="1" applyAlignment="1">
      <alignment wrapText="1"/>
    </xf>
    <xf numFmtId="3" fontId="27" fillId="0" borderId="0" xfId="0" applyNumberFormat="1" applyFont="1"/>
    <xf numFmtId="3" fontId="25" fillId="0" borderId="3" xfId="0" applyNumberFormat="1" applyFont="1" applyBorder="1"/>
    <xf numFmtId="38" fontId="30" fillId="0" borderId="0" xfId="0" applyNumberFormat="1" applyFont="1"/>
    <xf numFmtId="38" fontId="0" fillId="0" borderId="0" xfId="0" applyNumberFormat="1"/>
    <xf numFmtId="3" fontId="0" fillId="0" borderId="3" xfId="0" applyNumberFormat="1" applyBorder="1" applyAlignment="1">
      <alignment wrapText="1"/>
    </xf>
    <xf numFmtId="171" fontId="25" fillId="0" borderId="0" xfId="0" applyNumberFormat="1" applyFont="1"/>
    <xf numFmtId="171" fontId="26" fillId="0" borderId="0" xfId="0" applyNumberFormat="1" applyFont="1"/>
    <xf numFmtId="168" fontId="25" fillId="0" borderId="3" xfId="0" applyNumberFormat="1" applyFont="1" applyBorder="1"/>
    <xf numFmtId="168" fontId="25" fillId="0" borderId="0" xfId="0" applyNumberFormat="1" applyFont="1"/>
    <xf numFmtId="168" fontId="26" fillId="0" borderId="0" xfId="0" applyNumberFormat="1" applyFont="1"/>
    <xf numFmtId="14" fontId="26" fillId="0" borderId="0" xfId="0" applyNumberFormat="1" applyFont="1"/>
    <xf numFmtId="1" fontId="26" fillId="0" borderId="0" xfId="0" applyNumberFormat="1" applyFont="1" applyAlignment="1">
      <alignment horizontal="left"/>
    </xf>
    <xf numFmtId="17" fontId="24" fillId="0" borderId="0" xfId="0" applyNumberFormat="1" applyFont="1"/>
    <xf numFmtId="3" fontId="25" fillId="0" borderId="0" xfId="0" applyNumberFormat="1" applyFont="1" applyAlignment="1">
      <alignment wrapText="1"/>
    </xf>
    <xf numFmtId="0" fontId="32" fillId="0" borderId="0" xfId="0" applyFont="1"/>
    <xf numFmtId="173" fontId="9" fillId="0" borderId="0" xfId="5" applyNumberFormat="1" applyFont="1"/>
    <xf numFmtId="0" fontId="33" fillId="0" borderId="0" xfId="0" applyFont="1" applyAlignment="1">
      <alignment horizontal="justify" vertical="center"/>
    </xf>
    <xf numFmtId="0" fontId="19" fillId="0" borderId="0" xfId="0" applyFont="1" applyAlignment="1">
      <alignment vertical="top" wrapText="1"/>
    </xf>
    <xf numFmtId="171" fontId="9" fillId="0" borderId="0" xfId="6" applyNumberFormat="1" applyFont="1"/>
    <xf numFmtId="173" fontId="9" fillId="0" borderId="0" xfId="5" applyNumberFormat="1" applyFont="1" applyAlignment="1">
      <alignment horizontal="right"/>
    </xf>
    <xf numFmtId="0" fontId="9" fillId="2" borderId="2" xfId="0" applyFont="1" applyFill="1" applyBorder="1" applyAlignment="1">
      <alignment horizontal="center"/>
    </xf>
    <xf numFmtId="0" fontId="4" fillId="2" borderId="2" xfId="0" applyFont="1" applyFill="1" applyBorder="1" applyAlignment="1">
      <alignment horizontal="center"/>
    </xf>
    <xf numFmtId="0" fontId="10" fillId="2" borderId="2" xfId="0" applyFont="1" applyFill="1" applyBorder="1" applyAlignment="1">
      <alignment horizontal="center"/>
    </xf>
    <xf numFmtId="14" fontId="9" fillId="2" borderId="5" xfId="0" applyNumberFormat="1" applyFont="1" applyFill="1" applyBorder="1" applyAlignment="1">
      <alignment horizontal="center"/>
    </xf>
    <xf numFmtId="0" fontId="9" fillId="2" borderId="5" xfId="0" applyFont="1" applyFill="1" applyBorder="1" applyAlignment="1">
      <alignment horizontal="center"/>
    </xf>
    <xf numFmtId="0" fontId="9" fillId="0" borderId="2" xfId="0" applyFont="1" applyBorder="1" applyAlignment="1">
      <alignment horizontal="center"/>
    </xf>
    <xf numFmtId="0" fontId="3" fillId="2" borderId="5" xfId="0" applyFont="1" applyFill="1" applyBorder="1" applyAlignment="1">
      <alignment horizontal="center"/>
    </xf>
    <xf numFmtId="0" fontId="4" fillId="0" borderId="2" xfId="0" applyFont="1" applyBorder="1" applyAlignment="1">
      <alignment horizontal="center"/>
    </xf>
    <xf numFmtId="167" fontId="4" fillId="0" borderId="2" xfId="1" applyNumberFormat="1" applyFont="1" applyBorder="1" applyAlignment="1">
      <alignment horizontal="center"/>
    </xf>
    <xf numFmtId="3" fontId="25" fillId="0" borderId="0" xfId="2" applyNumberFormat="1" applyAlignment="1">
      <alignment horizontal="center"/>
    </xf>
    <xf numFmtId="14" fontId="25" fillId="0" borderId="0" xfId="2" applyNumberFormat="1" applyAlignment="1">
      <alignment horizontal="center"/>
    </xf>
    <xf numFmtId="14" fontId="0" fillId="0" borderId="0" xfId="0" applyNumberFormat="1" applyAlignment="1">
      <alignment horizontal="center"/>
    </xf>
    <xf numFmtId="3" fontId="25" fillId="0" borderId="0" xfId="0" applyNumberFormat="1" applyFont="1" applyAlignment="1">
      <alignment horizontal="center"/>
    </xf>
    <xf numFmtId="14" fontId="25" fillId="0" borderId="0" xfId="0" applyNumberFormat="1" applyFont="1" applyAlignment="1">
      <alignment horizontal="center"/>
    </xf>
  </cellXfs>
  <cellStyles count="7">
    <cellStyle name="Comma" xfId="1" builtinId="3"/>
    <cellStyle name="Comma [0]" xfId="5" builtinId="6"/>
    <cellStyle name="Comma 2" xfId="3" xr:uid="{00000000-0005-0000-0000-000002000000}"/>
    <cellStyle name="Normal" xfId="0" builtinId="0"/>
    <cellStyle name="Normal 2" xfId="2" xr:uid="{00000000-0005-0000-0000-000004000000}"/>
    <cellStyle name="Percent" xfId="6" builtinId="5"/>
    <cellStyle name="Percent 2" xfId="4" xr:uid="{00000000-0005-0000-0000-000006000000}"/>
  </cellStyles>
  <dxfs count="1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dxf>
    <dxf>
      <font>
        <color rgb="FFFF0000"/>
      </font>
    </dxf>
    <dxf>
      <font>
        <color rgb="FFFF0000"/>
      </font>
    </dxf>
  </dxfs>
  <tableStyles count="0" defaultTableStyle="TableStyleMedium9" defaultPivotStyle="PivotStyleLight16"/>
  <colors>
    <mruColors>
      <color rgb="FFE36D0B"/>
      <color rgb="FFB2912F"/>
      <color rgb="FFF17CB0"/>
      <color rgb="FF60BD68"/>
      <color rgb="FFF0AC00"/>
      <color rgb="FFF5C708"/>
      <color rgb="FF60B4CC"/>
      <color rgb="FF02B9A7"/>
      <color rgb="FF616A6F"/>
      <color rgb="FF928B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1" Type="http://schemas.openxmlformats.org/officeDocument/2006/relationships/image" Target="../media/image1.png"/></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2016/17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64365890433904"/>
          <c:y val="0.14514145141451415"/>
          <c:w val="0.79081923270229515"/>
          <c:h val="0.48554842083853911"/>
        </c:manualLayout>
      </c:layout>
      <c:barChart>
        <c:barDir val="col"/>
        <c:grouping val="clustered"/>
        <c:varyColors val="0"/>
        <c:ser>
          <c:idx val="2"/>
          <c:order val="0"/>
          <c:tx>
            <c:strRef>
              <c:f>Summary!$A$5</c:f>
              <c:strCache>
                <c:ptCount val="1"/>
                <c:pt idx="0">
                  <c:v>ORIGINAL ESTIMATES</c:v>
                </c:pt>
              </c:strCache>
            </c:strRef>
          </c:tx>
          <c:spPr>
            <a:solidFill>
              <a:schemeClr val="accent4"/>
            </a:solidFill>
            <a:ln>
              <a:noFill/>
            </a:ln>
            <a:effectLst/>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Summary!$AO$6:$BV$6</c15:sqref>
                  </c15:fullRef>
                </c:ext>
              </c:extLst>
              <c:f>Summary!$BH$6:$BV$6</c:f>
              <c:numCache>
                <c:formatCode>#,##0</c:formatCode>
                <c:ptCount val="15"/>
                <c:pt idx="0">
                  <c:v>38746.737026853109</c:v>
                </c:pt>
                <c:pt idx="1">
                  <c:v>35492.012708280527</c:v>
                </c:pt>
                <c:pt idx="2">
                  <c:v>33446.227975016081</c:v>
                </c:pt>
                <c:pt idx="3">
                  <c:v>36506.451755519171</c:v>
                </c:pt>
                <c:pt idx="4">
                  <c:v>41068.072476131187</c:v>
                </c:pt>
                <c:pt idx="5">
                  <c:v>37544.310138874716</c:v>
                </c:pt>
                <c:pt idx="6">
                  <c:v>35728.791475472033</c:v>
                </c:pt>
                <c:pt idx="7">
                  <c:v>38581.883833767082</c:v>
                </c:pt>
                <c:pt idx="8">
                  <c:v>43605.835576599486</c:v>
                </c:pt>
                <c:pt idx="9">
                  <c:v>39557.990842081461</c:v>
                </c:pt>
                <c:pt idx="10">
                  <c:v>38727.98734077152</c:v>
                </c:pt>
                <c:pt idx="11">
                  <c:v>40714.044049908181</c:v>
                </c:pt>
                <c:pt idx="12">
                  <c:v>45718.883622849549</c:v>
                </c:pt>
                <c:pt idx="13">
                  <c:v>42903.876010157692</c:v>
                </c:pt>
                <c:pt idx="14">
                  <c:v>40970.226756517841</c:v>
                </c:pt>
              </c:numCache>
            </c:numRef>
          </c:val>
          <c:extLst>
            <c:ext xmlns:c16="http://schemas.microsoft.com/office/drawing/2014/chart" uri="{C3380CC4-5D6E-409C-BE32-E72D297353CC}">
              <c16:uniqueId val="{00000000-8ABD-4AD4-9528-D6BF8EF8563B}"/>
            </c:ext>
          </c:extLst>
        </c:ser>
        <c:ser>
          <c:idx val="0"/>
          <c:order val="1"/>
          <c:tx>
            <c:strRef>
              <c:f>Summary!$A$13</c:f>
              <c:strCache>
                <c:ptCount val="1"/>
                <c:pt idx="0">
                  <c:v>SEASONALLY ADJUSTED ESTIMATES</c:v>
                </c:pt>
              </c:strCache>
            </c:strRef>
          </c:tx>
          <c:spPr>
            <a:solidFill>
              <a:srgbClr val="F0AC00"/>
            </a:solidFill>
            <a:ln>
              <a:noFill/>
            </a:ln>
            <a:effectLst/>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Summary!$AO$14:$BV$14</c15:sqref>
                  </c15:fullRef>
                </c:ext>
              </c:extLst>
              <c:f>Summary!$BH$14:$BV$14</c:f>
              <c:numCache>
                <c:formatCode>#,##0</c:formatCode>
                <c:ptCount val="15"/>
                <c:pt idx="0">
                  <c:v>35487.5132429605</c:v>
                </c:pt>
                <c:pt idx="1">
                  <c:v>35824.548176188408</c:v>
                </c:pt>
                <c:pt idx="2">
                  <c:v>35816.890574382145</c:v>
                </c:pt>
                <c:pt idx="3">
                  <c:v>36991.392379874153</c:v>
                </c:pt>
                <c:pt idx="4">
                  <c:v>37471.978536521594</c:v>
                </c:pt>
                <c:pt idx="5">
                  <c:v>37983.242769868986</c:v>
                </c:pt>
                <c:pt idx="6">
                  <c:v>38376.531763283529</c:v>
                </c:pt>
                <c:pt idx="7">
                  <c:v>39004.919336065686</c:v>
                </c:pt>
                <c:pt idx="8">
                  <c:v>39841.908182691936</c:v>
                </c:pt>
                <c:pt idx="9">
                  <c:v>40048.472188510088</c:v>
                </c:pt>
                <c:pt idx="10">
                  <c:v>41537.21599002595</c:v>
                </c:pt>
                <c:pt idx="11">
                  <c:v>41152.310114500797</c:v>
                </c:pt>
                <c:pt idx="12">
                  <c:v>41956.65709860163</c:v>
                </c:pt>
                <c:pt idx="13">
                  <c:v>43451.337501280766</c:v>
                </c:pt>
                <c:pt idx="14">
                  <c:v>43978.86125157628</c:v>
                </c:pt>
              </c:numCache>
            </c:numRef>
          </c:val>
          <c:extLst>
            <c:ext xmlns:c16="http://schemas.microsoft.com/office/drawing/2014/chart" uri="{C3380CC4-5D6E-409C-BE32-E72D297353CC}">
              <c16:uniqueId val="{00000001-8ABD-4AD4-9528-D6BF8EF8563B}"/>
            </c:ext>
          </c:extLst>
        </c:ser>
        <c:ser>
          <c:idx val="1"/>
          <c:order val="2"/>
          <c:tx>
            <c:strRef>
              <c:f>Summary!$A$21</c:f>
              <c:strCache>
                <c:ptCount val="1"/>
                <c:pt idx="0">
                  <c:v>TREND CYCLE ESTIMATES</c:v>
                </c:pt>
              </c:strCache>
            </c:strRef>
          </c:tx>
          <c:spPr>
            <a:solidFill>
              <a:srgbClr val="60B4CC"/>
            </a:solidFill>
            <a:ln>
              <a:noFill/>
            </a:ln>
            <a:effectLst/>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Summary!$AO$22:$BV$22</c15:sqref>
                  </c15:fullRef>
                </c:ext>
              </c:extLst>
              <c:f>Summary!$BH$22:$BV$22</c:f>
              <c:numCache>
                <c:formatCode>#,##0</c:formatCode>
                <c:ptCount val="15"/>
                <c:pt idx="0">
                  <c:v>35413.009187546275</c:v>
                </c:pt>
                <c:pt idx="1">
                  <c:v>35619.048489236433</c:v>
                </c:pt>
                <c:pt idx="2">
                  <c:v>36075.371849674208</c:v>
                </c:pt>
                <c:pt idx="3">
                  <c:v>36783.200840873811</c:v>
                </c:pt>
                <c:pt idx="4">
                  <c:v>37156.070309953189</c:v>
                </c:pt>
                <c:pt idx="5">
                  <c:v>37436.947479931849</c:v>
                </c:pt>
                <c:pt idx="6">
                  <c:v>38261.276301601814</c:v>
                </c:pt>
                <c:pt idx="7">
                  <c:v>39229.273049812662</c:v>
                </c:pt>
                <c:pt idx="8">
                  <c:v>39773.916947054669</c:v>
                </c:pt>
                <c:pt idx="9">
                  <c:v>40187.24501451946</c:v>
                </c:pt>
                <c:pt idx="10">
                  <c:v>40669.909058481877</c:v>
                </c:pt>
                <c:pt idx="11">
                  <c:v>41354.613019678902</c:v>
                </c:pt>
                <c:pt idx="12">
                  <c:v>42247.595036309904</c:v>
                </c:pt>
                <c:pt idx="13">
                  <c:v>43299.342185174901</c:v>
                </c:pt>
                <c:pt idx="14">
                  <c:v>43749.46109859732</c:v>
                </c:pt>
              </c:numCache>
            </c:numRef>
          </c:val>
          <c:extLst>
            <c:ext xmlns:c16="http://schemas.microsoft.com/office/drawing/2014/chart" uri="{C3380CC4-5D6E-409C-BE32-E72D297353CC}">
              <c16:uniqueId val="{00000002-8ABD-4AD4-9528-D6BF8EF8563B}"/>
            </c:ext>
          </c:extLst>
        </c:ser>
        <c:dLbls>
          <c:showLegendKey val="0"/>
          <c:showVal val="0"/>
          <c:showCatName val="0"/>
          <c:showSerName val="0"/>
          <c:showPercent val="0"/>
          <c:showBubbleSize val="0"/>
        </c:dLbls>
        <c:gapWidth val="132"/>
        <c:axId val="424804456"/>
        <c:axId val="424804848"/>
      </c:barChart>
      <c:catAx>
        <c:axId val="424804456"/>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24804848"/>
        <c:crosses val="autoZero"/>
        <c:auto val="1"/>
        <c:lblAlgn val="ctr"/>
        <c:lblOffset val="100"/>
        <c:noMultiLvlLbl val="0"/>
      </c:catAx>
      <c:valAx>
        <c:axId val="424804848"/>
        <c:scaling>
          <c:orientation val="minMax"/>
          <c:min val="3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4804456"/>
        <c:crosses val="autoZero"/>
        <c:crossBetween val="between"/>
        <c:maj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 in QGDP estimates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Summary!$AO$32:$BV$33</c15:sqref>
                  </c15:fullRef>
                </c:ext>
              </c:extLst>
              <c:f>Summary!$BD$32:$BV$33</c:f>
              <c:multiLvlStrCache>
                <c:ptCount val="1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Summary!$AO$43:$BV$43</c15:sqref>
                  </c15:fullRef>
                </c:ext>
              </c:extLst>
              <c:f>Summary!$BD$43:$BV$43</c:f>
              <c:numCache>
                <c:formatCode>#,##0.0</c:formatCode>
                <c:ptCount val="19"/>
                <c:pt idx="0">
                  <c:v>-1.9991801601972448</c:v>
                </c:pt>
                <c:pt idx="1">
                  <c:v>4.9359917178984913</c:v>
                </c:pt>
                <c:pt idx="2">
                  <c:v>2.2192564974707008</c:v>
                </c:pt>
                <c:pt idx="3">
                  <c:v>0.38232369925883525</c:v>
                </c:pt>
                <c:pt idx="4">
                  <c:v>0.97334385089125064</c:v>
                </c:pt>
                <c:pt idx="5">
                  <c:v>0.94972823516947802</c:v>
                </c:pt>
                <c:pt idx="6">
                  <c:v>-2.1375292072356444E-2</c:v>
                </c:pt>
                <c:pt idx="7">
                  <c:v>3.2791841688570855</c:v>
                </c:pt>
                <c:pt idx="8">
                  <c:v>1.299183744456478</c:v>
                </c:pt>
                <c:pt idx="9">
                  <c:v>1.3643908149901796</c:v>
                </c:pt>
                <c:pt idx="10">
                  <c:v>1.0354276379122895</c:v>
                </c:pt>
                <c:pt idx="11">
                  <c:v>1.6374266873781629</c:v>
                </c:pt>
                <c:pt idx="12">
                  <c:v>2.1458545764824422</c:v>
                </c:pt>
                <c:pt idx="13">
                  <c:v>0.51845911815009416</c:v>
                </c:pt>
                <c:pt idx="14">
                  <c:v>3.7173547957292108</c:v>
                </c:pt>
                <c:pt idx="15">
                  <c:v>-0.92665304197946385</c:v>
                </c:pt>
                <c:pt idx="16">
                  <c:v>1.9545609514091566</c:v>
                </c:pt>
                <c:pt idx="17">
                  <c:v>3.5624392076006206</c:v>
                </c:pt>
                <c:pt idx="18">
                  <c:v>1.2140564149031308</c:v>
                </c:pt>
              </c:numCache>
            </c:numRef>
          </c:val>
          <c:smooth val="1"/>
          <c:extLst>
            <c:ext xmlns:c16="http://schemas.microsoft.com/office/drawing/2014/chart" uri="{C3380CC4-5D6E-409C-BE32-E72D297353CC}">
              <c16:uniqueId val="{00000000-2E73-4C74-BB24-8EB7DF9FFF88}"/>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Summary!$AO$32:$BV$33</c15:sqref>
                  </c15:fullRef>
                </c:ext>
              </c:extLst>
              <c:f>Summary!$BD$32:$BV$33</c:f>
              <c:multiLvlStrCache>
                <c:ptCount val="1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Summary!$AO$51:$BV$51</c15:sqref>
                  </c15:fullRef>
                </c:ext>
              </c:extLst>
              <c:f>Summary!$BD$51:$BV$51</c:f>
              <c:numCache>
                <c:formatCode>0.0</c:formatCode>
                <c:ptCount val="19"/>
                <c:pt idx="0">
                  <c:v>0.81251267628670298</c:v>
                </c:pt>
                <c:pt idx="1">
                  <c:v>2.6801433443866873</c:v>
                </c:pt>
                <c:pt idx="2">
                  <c:v>2.1926708306412745</c:v>
                </c:pt>
                <c:pt idx="3">
                  <c:v>0.79620017147543631</c:v>
                </c:pt>
                <c:pt idx="4">
                  <c:v>0.83354556784380751</c:v>
                </c:pt>
                <c:pt idx="5">
                  <c:v>0.58181811265736183</c:v>
                </c:pt>
                <c:pt idx="6">
                  <c:v>1.2811217025510135</c:v>
                </c:pt>
                <c:pt idx="7">
                  <c:v>1.9620837011718795</c:v>
                </c:pt>
                <c:pt idx="8">
                  <c:v>1.0136950035763093</c:v>
                </c:pt>
                <c:pt idx="9">
                  <c:v>0.75593884831093305</c:v>
                </c:pt>
                <c:pt idx="10">
                  <c:v>2.2019124879555152</c:v>
                </c:pt>
                <c:pt idx="11">
                  <c:v>2.5299646059384617</c:v>
                </c:pt>
                <c:pt idx="12">
                  <c:v>1.3883609225957994</c:v>
                </c:pt>
                <c:pt idx="13">
                  <c:v>1.0391937711716759</c:v>
                </c:pt>
                <c:pt idx="14">
                  <c:v>1.2010379009261163</c:v>
                </c:pt>
                <c:pt idx="15">
                  <c:v>1.6835640330851165</c:v>
                </c:pt>
                <c:pt idx="16">
                  <c:v>2.159328673214933</c:v>
                </c:pt>
                <c:pt idx="17">
                  <c:v>2.4894840711313204</c:v>
                </c:pt>
                <c:pt idx="18">
                  <c:v>1.0395513897126341</c:v>
                </c:pt>
              </c:numCache>
            </c:numRef>
          </c:val>
          <c:smooth val="1"/>
          <c:extLst>
            <c:ext xmlns:c16="http://schemas.microsoft.com/office/drawing/2014/chart" uri="{C3380CC4-5D6E-409C-BE32-E72D297353CC}">
              <c16:uniqueId val="{00000001-2E73-4C74-BB24-8EB7DF9FFF88}"/>
            </c:ext>
          </c:extLst>
        </c:ser>
        <c:dLbls>
          <c:showLegendKey val="0"/>
          <c:showVal val="0"/>
          <c:showCatName val="0"/>
          <c:showSerName val="0"/>
          <c:showPercent val="0"/>
          <c:showBubbleSize val="0"/>
        </c:dLbls>
        <c:smooth val="0"/>
        <c:axId val="620836104"/>
        <c:axId val="620838456"/>
      </c:lineChart>
      <c:catAx>
        <c:axId val="6208361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20838456"/>
        <c:crosses val="autoZero"/>
        <c:auto val="1"/>
        <c:lblAlgn val="ctr"/>
        <c:lblOffset val="100"/>
        <c:noMultiLvlLbl val="0"/>
      </c:catAx>
      <c:valAx>
        <c:axId val="62083845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083610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900">
                <a:latin typeface="Arial" pitchFamily="34" charset="0"/>
                <a:cs typeface="Arial" pitchFamily="34" charset="0"/>
              </a:rPr>
              <a:t>Agriculture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Summary!$AO$15:$BV$15</c15:sqref>
                  </c15:fullRef>
                </c:ext>
              </c:extLst>
              <c:f>Summary!$BH$15:$BV$15</c:f>
              <c:numCache>
                <c:formatCode>#,##0</c:formatCode>
                <c:ptCount val="15"/>
                <c:pt idx="0">
                  <c:v>8143.4332870703565</c:v>
                </c:pt>
                <c:pt idx="1">
                  <c:v>8514.0709378945357</c:v>
                </c:pt>
                <c:pt idx="2">
                  <c:v>8384.5547403293785</c:v>
                </c:pt>
                <c:pt idx="3">
                  <c:v>8258.2818211595168</c:v>
                </c:pt>
                <c:pt idx="4">
                  <c:v>8594.2364487785544</c:v>
                </c:pt>
                <c:pt idx="5">
                  <c:v>8663.201464922211</c:v>
                </c:pt>
                <c:pt idx="6">
                  <c:v>8847.9761894068397</c:v>
                </c:pt>
                <c:pt idx="7">
                  <c:v>9132.1583150450097</c:v>
                </c:pt>
                <c:pt idx="8">
                  <c:v>9180.7150023564427</c:v>
                </c:pt>
                <c:pt idx="9">
                  <c:v>9290.6771484296314</c:v>
                </c:pt>
                <c:pt idx="10">
                  <c:v>9645.6266393689821</c:v>
                </c:pt>
                <c:pt idx="11">
                  <c:v>9451.6368909583998</c:v>
                </c:pt>
                <c:pt idx="12">
                  <c:v>9588.3203925332764</c:v>
                </c:pt>
                <c:pt idx="13">
                  <c:v>10082.951351835829</c:v>
                </c:pt>
                <c:pt idx="14">
                  <c:v>9947.820589964851</c:v>
                </c:pt>
              </c:numCache>
            </c:numRef>
          </c:val>
          <c:extLst>
            <c:ext xmlns:c16="http://schemas.microsoft.com/office/drawing/2014/chart" uri="{C3380CC4-5D6E-409C-BE32-E72D297353CC}">
              <c16:uniqueId val="{00000000-0220-4502-AD73-A3984CB2DED8}"/>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Summary!$AO$23:$BV$23</c15:sqref>
                  </c15:fullRef>
                </c:ext>
              </c:extLst>
              <c:f>Summary!$BH$23:$BV$23</c:f>
              <c:numCache>
                <c:formatCode>#,##0</c:formatCode>
                <c:ptCount val="15"/>
                <c:pt idx="0">
                  <c:v>8461.1523503424942</c:v>
                </c:pt>
                <c:pt idx="1">
                  <c:v>8405.3814852559026</c:v>
                </c:pt>
                <c:pt idx="2">
                  <c:v>8326.4781071667312</c:v>
                </c:pt>
                <c:pt idx="3">
                  <c:v>8334.9072418107389</c:v>
                </c:pt>
                <c:pt idx="4">
                  <c:v>8409.8466551095789</c:v>
                </c:pt>
                <c:pt idx="5">
                  <c:v>8569.3642616028155</c:v>
                </c:pt>
                <c:pt idx="6">
                  <c:v>8758.1031554755955</c:v>
                </c:pt>
                <c:pt idx="7">
                  <c:v>8937.1503140503337</c:v>
                </c:pt>
                <c:pt idx="8">
                  <c:v>9086.2922472556365</c:v>
                </c:pt>
                <c:pt idx="9">
                  <c:v>9214.9187869640245</c:v>
                </c:pt>
                <c:pt idx="10">
                  <c:v>9307.5553500473543</c:v>
                </c:pt>
                <c:pt idx="11">
                  <c:v>9438.1407808499516</c:v>
                </c:pt>
                <c:pt idx="12">
                  <c:v>9615.1067094342561</c:v>
                </c:pt>
                <c:pt idx="13">
                  <c:v>9828.6601020394974</c:v>
                </c:pt>
                <c:pt idx="14">
                  <c:v>9969.3844888333442</c:v>
                </c:pt>
              </c:numCache>
            </c:numRef>
          </c:val>
          <c:extLst>
            <c:ext xmlns:c16="http://schemas.microsoft.com/office/drawing/2014/chart" uri="{C3380CC4-5D6E-409C-BE32-E72D297353CC}">
              <c16:uniqueId val="{00000001-0220-4502-AD73-A3984CB2DED8}"/>
            </c:ext>
          </c:extLst>
        </c:ser>
        <c:dLbls>
          <c:showLegendKey val="0"/>
          <c:showVal val="0"/>
          <c:showCatName val="0"/>
          <c:showSerName val="0"/>
          <c:showPercent val="0"/>
          <c:showBubbleSize val="0"/>
        </c:dLbls>
        <c:gapWidth val="132"/>
        <c:axId val="620838064"/>
        <c:axId val="620834928"/>
      </c:barChart>
      <c:catAx>
        <c:axId val="62083806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620834928"/>
        <c:crosses val="autoZero"/>
        <c:auto val="1"/>
        <c:lblAlgn val="ctr"/>
        <c:lblOffset val="100"/>
        <c:noMultiLvlLbl val="0"/>
      </c:catAx>
      <c:valAx>
        <c:axId val="62083492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8064"/>
        <c:crosses val="autoZero"/>
        <c:crossBetween val="between"/>
      </c:valAx>
    </c:plotArea>
    <c:legend>
      <c:legendPos val="b"/>
      <c:layout>
        <c:manualLayout>
          <c:xMode val="edge"/>
          <c:yMode val="edge"/>
          <c:x val="1.770093774077763E-2"/>
          <c:y val="0.90557844476082561"/>
          <c:w val="0.9645980837761133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Industry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Summary!$AO$16:$BV$16</c15:sqref>
                  </c15:fullRef>
                </c:ext>
              </c:extLst>
              <c:f>Summary!$BH$16:$BV$16</c:f>
              <c:numCache>
                <c:formatCode>#,##0</c:formatCode>
                <c:ptCount val="15"/>
                <c:pt idx="0">
                  <c:v>9255.5266773015537</c:v>
                </c:pt>
                <c:pt idx="1">
                  <c:v>9203.2317993531669</c:v>
                </c:pt>
                <c:pt idx="2">
                  <c:v>9383.2861788229384</c:v>
                </c:pt>
                <c:pt idx="3">
                  <c:v>9914.281329215768</c:v>
                </c:pt>
                <c:pt idx="4">
                  <c:v>10037.899294761148</c:v>
                </c:pt>
                <c:pt idx="5">
                  <c:v>9663.0934325953986</c:v>
                </c:pt>
                <c:pt idx="6">
                  <c:v>10040.640848556062</c:v>
                </c:pt>
                <c:pt idx="7">
                  <c:v>10001.921743957731</c:v>
                </c:pt>
                <c:pt idx="8">
                  <c:v>10540.581781730485</c:v>
                </c:pt>
                <c:pt idx="9">
                  <c:v>10422.667245846475</c:v>
                </c:pt>
                <c:pt idx="10">
                  <c:v>10795.035660796511</c:v>
                </c:pt>
                <c:pt idx="11">
                  <c:v>10752.744433217173</c:v>
                </c:pt>
                <c:pt idx="12">
                  <c:v>11182.706565223467</c:v>
                </c:pt>
                <c:pt idx="13">
                  <c:v>11713.264400701746</c:v>
                </c:pt>
                <c:pt idx="14">
                  <c:v>11447.732188872542</c:v>
                </c:pt>
              </c:numCache>
            </c:numRef>
          </c:val>
          <c:extLst>
            <c:ext xmlns:c16="http://schemas.microsoft.com/office/drawing/2014/chart" uri="{C3380CC4-5D6E-409C-BE32-E72D297353CC}">
              <c16:uniqueId val="{00000000-AC38-48A1-9424-1470FFD23884}"/>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Summary!$AO$24:$BV$24</c15:sqref>
                  </c15:fullRef>
                </c:ext>
              </c:extLst>
              <c:f>Summary!$BH$24:$BV$24</c:f>
              <c:numCache>
                <c:formatCode>#,##0</c:formatCode>
                <c:ptCount val="15"/>
                <c:pt idx="0">
                  <c:v>9253.2017875850324</c:v>
                </c:pt>
                <c:pt idx="1">
                  <c:v>9209.0996134498273</c:v>
                </c:pt>
                <c:pt idx="2">
                  <c:v>9459.2939937748197</c:v>
                </c:pt>
                <c:pt idx="3">
                  <c:v>9815.7914424506071</c:v>
                </c:pt>
                <c:pt idx="4">
                  <c:v>9862.9133814511406</c:v>
                </c:pt>
                <c:pt idx="5">
                  <c:v>9801.110308872132</c:v>
                </c:pt>
                <c:pt idx="6">
                  <c:v>9971.7822718592452</c:v>
                </c:pt>
                <c:pt idx="7">
                  <c:v>10274.475254982066</c:v>
                </c:pt>
                <c:pt idx="8">
                  <c:v>10441.687661755985</c:v>
                </c:pt>
                <c:pt idx="9">
                  <c:v>10556.827017777492</c:v>
                </c:pt>
                <c:pt idx="10">
                  <c:v>10626.762458731599</c:v>
                </c:pt>
                <c:pt idx="11">
                  <c:v>10832.182532881205</c:v>
                </c:pt>
                <c:pt idx="12">
                  <c:v>11262.805981345595</c:v>
                </c:pt>
                <c:pt idx="13">
                  <c:v>11552.607488386588</c:v>
                </c:pt>
                <c:pt idx="14">
                  <c:v>11582.379886314662</c:v>
                </c:pt>
              </c:numCache>
            </c:numRef>
          </c:val>
          <c:extLst>
            <c:ext xmlns:c16="http://schemas.microsoft.com/office/drawing/2014/chart" uri="{C3380CC4-5D6E-409C-BE32-E72D297353CC}">
              <c16:uniqueId val="{00000001-AC38-48A1-9424-1470FFD23884}"/>
            </c:ext>
          </c:extLst>
        </c:ser>
        <c:dLbls>
          <c:showLegendKey val="0"/>
          <c:showVal val="0"/>
          <c:showCatName val="0"/>
          <c:showSerName val="0"/>
          <c:showPercent val="0"/>
          <c:showBubbleSize val="0"/>
        </c:dLbls>
        <c:gapWidth val="132"/>
        <c:axId val="620836888"/>
        <c:axId val="620837672"/>
      </c:barChart>
      <c:catAx>
        <c:axId val="620836888"/>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620837672"/>
        <c:crosses val="autoZero"/>
        <c:auto val="1"/>
        <c:lblAlgn val="ctr"/>
        <c:lblOffset val="100"/>
        <c:noMultiLvlLbl val="0"/>
      </c:catAx>
      <c:valAx>
        <c:axId val="620837672"/>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6888"/>
        <c:crosses val="autoZero"/>
        <c:crossBetween val="between"/>
      </c:valAx>
    </c:plotArea>
    <c:legend>
      <c:legendPos val="b"/>
      <c:layout>
        <c:manualLayout>
          <c:xMode val="edge"/>
          <c:yMode val="edge"/>
          <c:x val="6.6441335120879675E-3"/>
          <c:y val="0.90557844476082561"/>
          <c:w val="0.9724132204654042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Services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Summary!$AO$17:$BV$17</c15:sqref>
                  </c15:fullRef>
                </c:ext>
              </c:extLst>
              <c:f>Summary!$BH$17:$BV$17</c:f>
              <c:numCache>
                <c:formatCode>#,##0</c:formatCode>
                <c:ptCount val="15"/>
                <c:pt idx="0">
                  <c:v>15676.092686250831</c:v>
                </c:pt>
                <c:pt idx="1">
                  <c:v>15605.012731317576</c:v>
                </c:pt>
                <c:pt idx="2">
                  <c:v>15449.460479071306</c:v>
                </c:pt>
                <c:pt idx="3">
                  <c:v>16108.64940338901</c:v>
                </c:pt>
                <c:pt idx="4">
                  <c:v>16111.275193363286</c:v>
                </c:pt>
                <c:pt idx="5">
                  <c:v>16963.042060138148</c:v>
                </c:pt>
                <c:pt idx="6">
                  <c:v>16708.755744885682</c:v>
                </c:pt>
                <c:pt idx="7">
                  <c:v>17056.080839700004</c:v>
                </c:pt>
                <c:pt idx="8">
                  <c:v>17116.937317695159</c:v>
                </c:pt>
                <c:pt idx="9">
                  <c:v>17379.740017756561</c:v>
                </c:pt>
                <c:pt idx="10">
                  <c:v>18163.327167978528</c:v>
                </c:pt>
                <c:pt idx="11">
                  <c:v>17910.007535502835</c:v>
                </c:pt>
                <c:pt idx="12">
                  <c:v>18088.758294998075</c:v>
                </c:pt>
                <c:pt idx="13">
                  <c:v>18487.026394894703</c:v>
                </c:pt>
                <c:pt idx="14">
                  <c:v>19235.410114725852</c:v>
                </c:pt>
              </c:numCache>
            </c:numRef>
          </c:val>
          <c:extLst>
            <c:ext xmlns:c16="http://schemas.microsoft.com/office/drawing/2014/chart" uri="{C3380CC4-5D6E-409C-BE32-E72D297353CC}">
              <c16:uniqueId val="{00000000-3E06-4776-B198-7CBF1D648EA3}"/>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Summary!$AO$3:$BV$4</c15:sqref>
                  </c15:fullRef>
                </c:ext>
              </c:extLst>
              <c:f>Summary!$BH$3:$BV$4</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Summary!$AO$25:$BV$25</c15:sqref>
                  </c15:fullRef>
                </c:ext>
              </c:extLst>
              <c:f>Summary!$BH$25:$BV$25</c:f>
              <c:numCache>
                <c:formatCode>#,##0</c:formatCode>
                <c:ptCount val="15"/>
                <c:pt idx="0">
                  <c:v>15273.056251106984</c:v>
                </c:pt>
                <c:pt idx="1">
                  <c:v>15510.480481271725</c:v>
                </c:pt>
                <c:pt idx="2">
                  <c:v>15681.853843180726</c:v>
                </c:pt>
                <c:pt idx="3">
                  <c:v>15932.939106170879</c:v>
                </c:pt>
                <c:pt idx="4">
                  <c:v>16164.567971750332</c:v>
                </c:pt>
                <c:pt idx="5">
                  <c:v>16347.416059297166</c:v>
                </c:pt>
                <c:pt idx="6">
                  <c:v>16777.867343721849</c:v>
                </c:pt>
                <c:pt idx="7">
                  <c:v>17166.186372400967</c:v>
                </c:pt>
                <c:pt idx="8">
                  <c:v>17303.36803443536</c:v>
                </c:pt>
                <c:pt idx="9">
                  <c:v>17455.047683334029</c:v>
                </c:pt>
                <c:pt idx="10">
                  <c:v>17780.576183753925</c:v>
                </c:pt>
                <c:pt idx="11">
                  <c:v>18063.30188103882</c:v>
                </c:pt>
                <c:pt idx="12">
                  <c:v>18275.621967956453</c:v>
                </c:pt>
                <c:pt idx="13">
                  <c:v>18726.511956090471</c:v>
                </c:pt>
                <c:pt idx="14">
                  <c:v>18869.729934400919</c:v>
                </c:pt>
              </c:numCache>
            </c:numRef>
          </c:val>
          <c:extLst>
            <c:ext xmlns:c16="http://schemas.microsoft.com/office/drawing/2014/chart" uri="{C3380CC4-5D6E-409C-BE32-E72D297353CC}">
              <c16:uniqueId val="{00000001-3E06-4776-B198-7CBF1D648EA3}"/>
            </c:ext>
          </c:extLst>
        </c:ser>
        <c:dLbls>
          <c:showLegendKey val="0"/>
          <c:showVal val="0"/>
          <c:showCatName val="0"/>
          <c:showSerName val="0"/>
          <c:showPercent val="0"/>
          <c:showBubbleSize val="0"/>
        </c:dLbls>
        <c:gapWidth val="132"/>
        <c:axId val="620837280"/>
        <c:axId val="163897968"/>
      </c:barChart>
      <c:catAx>
        <c:axId val="620837280"/>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163897968"/>
        <c:crosses val="autoZero"/>
        <c:auto val="1"/>
        <c:lblAlgn val="ctr"/>
        <c:lblOffset val="100"/>
        <c:noMultiLvlLbl val="0"/>
      </c:catAx>
      <c:valAx>
        <c:axId val="16389796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7280"/>
        <c:crosses val="autoZero"/>
        <c:crossBetween val="between"/>
      </c:valAx>
    </c:plotArea>
    <c:legend>
      <c:legendPos val="b"/>
      <c:layout>
        <c:manualLayout>
          <c:xMode val="edge"/>
          <c:yMode val="edge"/>
          <c:x val="1.2486351709489496E-2"/>
          <c:y val="0.88589824795885752"/>
          <c:w val="0.96427454632687049"/>
          <c:h val="0.11410175204114247"/>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b="1">
                <a:solidFill>
                  <a:sysClr val="windowText" lastClr="000000"/>
                </a:solidFill>
                <a:latin typeface="Arial" panose="020B0604020202020204" pitchFamily="34" charset="0"/>
                <a:cs typeface="Arial" panose="020B0604020202020204" pitchFamily="34" charset="0"/>
              </a:rPr>
              <a:t>Quarter to Quarter percentage changes in Agriculture sector Value Added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Summary!$AO$32:$BV$33</c15:sqref>
                  </c15:fullRef>
                </c:ext>
              </c:extLst>
              <c:f>Summary!$BD$32:$BV$33</c:f>
              <c:multiLvlStrCache>
                <c:ptCount val="1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Summary!$AO$44:$BV$44</c15:sqref>
                  </c15:fullRef>
                </c:ext>
              </c:extLst>
              <c:f>Summary!$BD$44:$BV$44</c:f>
              <c:numCache>
                <c:formatCode>#,##0.0</c:formatCode>
                <c:ptCount val="19"/>
                <c:pt idx="0">
                  <c:v>3.5159819290816019</c:v>
                </c:pt>
                <c:pt idx="1">
                  <c:v>-3.5118845268345189</c:v>
                </c:pt>
                <c:pt idx="2">
                  <c:v>5.2949332199087706</c:v>
                </c:pt>
                <c:pt idx="3">
                  <c:v>5.1913246348964881</c:v>
                </c:pt>
                <c:pt idx="4">
                  <c:v>-3.6972831751256319</c:v>
                </c:pt>
                <c:pt idx="5">
                  <c:v>4.5513684186822667</c:v>
                </c:pt>
                <c:pt idx="6">
                  <c:v>-1.5212017671676237</c:v>
                </c:pt>
                <c:pt idx="7">
                  <c:v>-1.5060181855870547</c:v>
                </c:pt>
                <c:pt idx="8">
                  <c:v>4.0680935198681212</c:v>
                </c:pt>
                <c:pt idx="9">
                  <c:v>0.80245658302149359</c:v>
                </c:pt>
                <c:pt idx="10">
                  <c:v>2.1328688387634909</c:v>
                </c:pt>
                <c:pt idx="11">
                  <c:v>3.2118319438789289</c:v>
                </c:pt>
                <c:pt idx="12">
                  <c:v>0.53171096729058842</c:v>
                </c:pt>
                <c:pt idx="13">
                  <c:v>1.1977514392393696</c:v>
                </c:pt>
                <c:pt idx="14">
                  <c:v>3.8204910715183615</c:v>
                </c:pt>
                <c:pt idx="15">
                  <c:v>-2.0111679174767749</c:v>
                </c:pt>
                <c:pt idx="16">
                  <c:v>1.44613576623569</c:v>
                </c:pt>
                <c:pt idx="17">
                  <c:v>5.1586820115829379</c:v>
                </c:pt>
                <c:pt idx="18">
                  <c:v>-1.3401905568687922</c:v>
                </c:pt>
              </c:numCache>
            </c:numRef>
          </c:val>
          <c:smooth val="1"/>
          <c:extLst>
            <c:ext xmlns:c16="http://schemas.microsoft.com/office/drawing/2014/chart" uri="{C3380CC4-5D6E-409C-BE32-E72D297353CC}">
              <c16:uniqueId val="{00000000-0F22-4B61-A019-FEBC80B9656E}"/>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Summary!$AO$32:$BV$33</c15:sqref>
                  </c15:fullRef>
                </c:ext>
              </c:extLst>
              <c:f>Summary!$BD$32:$BV$33</c:f>
              <c:multiLvlStrCache>
                <c:ptCount val="1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Summary!$AO$52:$BV$52</c15:sqref>
                  </c15:fullRef>
                </c:ext>
              </c:extLst>
              <c:f>Summary!$BD$52:$BV$52</c:f>
              <c:numCache>
                <c:formatCode>0.0</c:formatCode>
                <c:ptCount val="19"/>
                <c:pt idx="0">
                  <c:v>0.79553337131936797</c:v>
                </c:pt>
                <c:pt idx="1">
                  <c:v>3.0414403598455042</c:v>
                </c:pt>
                <c:pt idx="2">
                  <c:v>3.3822201308108646</c:v>
                </c:pt>
                <c:pt idx="3">
                  <c:v>3.2253370990700247</c:v>
                </c:pt>
                <c:pt idx="4">
                  <c:v>1.6829261281875008</c:v>
                </c:pt>
                <c:pt idx="5">
                  <c:v>-0.65914030119471612</c:v>
                </c:pt>
                <c:pt idx="6">
                  <c:v>-0.93872453293853964</c:v>
                </c:pt>
                <c:pt idx="7">
                  <c:v>0.10123289265304702</c:v>
                </c:pt>
                <c:pt idx="8">
                  <c:v>0.89910314685828219</c:v>
                </c:pt>
                <c:pt idx="9">
                  <c:v>1.8967956615037584</c:v>
                </c:pt>
                <c:pt idx="10">
                  <c:v>2.2024841996561184</c:v>
                </c:pt>
                <c:pt idx="11">
                  <c:v>2.0443600103385196</c:v>
                </c:pt>
                <c:pt idx="12">
                  <c:v>1.6687862233986772</c:v>
                </c:pt>
                <c:pt idx="13">
                  <c:v>1.4156108587332517</c:v>
                </c:pt>
                <c:pt idx="14">
                  <c:v>1.0052889800220344</c:v>
                </c:pt>
                <c:pt idx="15">
                  <c:v>1.4030046117526673</c:v>
                </c:pt>
                <c:pt idx="16">
                  <c:v>1.8750083590972633</c:v>
                </c:pt>
                <c:pt idx="17">
                  <c:v>2.2210194754854307</c:v>
                </c:pt>
                <c:pt idx="18">
                  <c:v>1.4317759016271747</c:v>
                </c:pt>
              </c:numCache>
            </c:numRef>
          </c:val>
          <c:smooth val="1"/>
          <c:extLst>
            <c:ext xmlns:c16="http://schemas.microsoft.com/office/drawing/2014/chart" uri="{C3380CC4-5D6E-409C-BE32-E72D297353CC}">
              <c16:uniqueId val="{00000001-0F22-4B61-A019-FEBC80B9656E}"/>
            </c:ext>
          </c:extLst>
        </c:ser>
        <c:dLbls>
          <c:showLegendKey val="0"/>
          <c:showVal val="0"/>
          <c:showCatName val="0"/>
          <c:showSerName val="0"/>
          <c:showPercent val="0"/>
          <c:showBubbleSize val="0"/>
        </c:dLbls>
        <c:smooth val="0"/>
        <c:axId val="163897184"/>
        <c:axId val="163898360"/>
      </c:lineChart>
      <c:catAx>
        <c:axId val="16389718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3898360"/>
        <c:crosses val="autoZero"/>
        <c:auto val="1"/>
        <c:lblAlgn val="ctr"/>
        <c:lblOffset val="100"/>
        <c:noMultiLvlLbl val="0"/>
      </c:catAx>
      <c:valAx>
        <c:axId val="163898360"/>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89718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88" l="0.70000000000000062" r="0.70000000000000062" t="0.7500000000000048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Industry sector Value Added</a:t>
            </a:r>
          </a:p>
        </c:rich>
      </c:tx>
      <c:layout>
        <c:manualLayout>
          <c:xMode val="edge"/>
          <c:yMode val="edge"/>
          <c:x val="0.10274221818710702"/>
          <c:y val="1.476014760147601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Summary!$AO$32:$BV$33</c15:sqref>
                  </c15:fullRef>
                </c:ext>
              </c:extLst>
              <c:f>Summary!$BE$32:$BV$33</c:f>
              <c:multiLvlStrCache>
                <c:ptCount val="18"/>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lvl>
                <c:lvl>
                  <c:pt idx="3">
                    <c:v>2022/23</c:v>
                  </c:pt>
                  <c:pt idx="7">
                    <c:v>2023/24</c:v>
                  </c:pt>
                  <c:pt idx="11">
                    <c:v>2024/25</c:v>
                  </c:pt>
                  <c:pt idx="15">
                    <c:v>2025/26</c:v>
                  </c:pt>
                </c:lvl>
              </c:multiLvlStrCache>
            </c:multiLvlStrRef>
          </c:cat>
          <c:val>
            <c:numRef>
              <c:extLst>
                <c:ext xmlns:c15="http://schemas.microsoft.com/office/drawing/2012/chart" uri="{02D57815-91ED-43cb-92C2-25804820EDAC}">
                  <c15:fullRef>
                    <c15:sqref>Summary!$AO$45:$BV$45</c15:sqref>
                  </c15:fullRef>
                </c:ext>
              </c:extLst>
              <c:f>Summary!$BE$45:$BV$45</c:f>
              <c:numCache>
                <c:formatCode>0.0</c:formatCode>
                <c:ptCount val="18"/>
                <c:pt idx="0">
                  <c:v>13.105954808994724</c:v>
                </c:pt>
                <c:pt idx="1">
                  <c:v>-1.0647003048489201</c:v>
                </c:pt>
                <c:pt idx="2">
                  <c:v>0.50415779463401922</c:v>
                </c:pt>
                <c:pt idx="3">
                  <c:v>-0.92209022552264264</c:v>
                </c:pt>
                <c:pt idx="4">
                  <c:v>-0.56501244901207004</c:v>
                </c:pt>
                <c:pt idx="5">
                  <c:v>1.9564255621859594</c:v>
                </c:pt>
                <c:pt idx="6">
                  <c:v>5.6589465595883404</c:v>
                </c:pt>
                <c:pt idx="7">
                  <c:v>1.246867639120719</c:v>
                </c:pt>
                <c:pt idx="8">
                  <c:v>-3.7339073760319863</c:v>
                </c:pt>
                <c:pt idx="9">
                  <c:v>3.9071071659839918</c:v>
                </c:pt>
                <c:pt idx="10">
                  <c:v>-0.38562383798339539</c:v>
                </c:pt>
                <c:pt idx="11">
                  <c:v>5.3855654099489891</c:v>
                </c:pt>
                <c:pt idx="12">
                  <c:v>-1.11867198913429</c:v>
                </c:pt>
                <c:pt idx="13">
                  <c:v>3.5726787219310774</c:v>
                </c:pt>
                <c:pt idx="14">
                  <c:v>-0.39176551989470454</c:v>
                </c:pt>
                <c:pt idx="15">
                  <c:v>3.9986269056861756</c:v>
                </c:pt>
                <c:pt idx="16">
                  <c:v>4.7444492295651841</c:v>
                </c:pt>
                <c:pt idx="17">
                  <c:v>-2.266936037175904</c:v>
                </c:pt>
              </c:numCache>
            </c:numRef>
          </c:val>
          <c:smooth val="1"/>
          <c:extLst>
            <c:ext xmlns:c16="http://schemas.microsoft.com/office/drawing/2014/chart" uri="{C3380CC4-5D6E-409C-BE32-E72D297353CC}">
              <c16:uniqueId val="{00000000-7423-4B70-9C5E-4EDC3B65450C}"/>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Summary!$AO$32:$BV$33</c15:sqref>
                  </c15:fullRef>
                </c:ext>
              </c:extLst>
              <c:f>Summary!$BE$32:$BV$33</c:f>
              <c:multiLvlStrCache>
                <c:ptCount val="18"/>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lvl>
                <c:lvl>
                  <c:pt idx="3">
                    <c:v>2022/23</c:v>
                  </c:pt>
                  <c:pt idx="7">
                    <c:v>2023/24</c:v>
                  </c:pt>
                  <c:pt idx="11">
                    <c:v>2024/25</c:v>
                  </c:pt>
                  <c:pt idx="15">
                    <c:v>2025/26</c:v>
                  </c:pt>
                </c:lvl>
              </c:multiLvlStrCache>
            </c:multiLvlStrRef>
          </c:cat>
          <c:val>
            <c:numRef>
              <c:extLst>
                <c:ext xmlns:c15="http://schemas.microsoft.com/office/drawing/2012/chart" uri="{02D57815-91ED-43cb-92C2-25804820EDAC}">
                  <c15:fullRef>
                    <c15:sqref>Summary!$AO$53:$BV$53</c15:sqref>
                  </c15:fullRef>
                </c:ext>
              </c:extLst>
              <c:f>Summary!$BE$53:$BV$53</c:f>
              <c:numCache>
                <c:formatCode>0.0</c:formatCode>
                <c:ptCount val="18"/>
                <c:pt idx="0">
                  <c:v>3.3427847731826166</c:v>
                </c:pt>
                <c:pt idx="1">
                  <c:v>1.7081177161601957</c:v>
                </c:pt>
                <c:pt idx="2">
                  <c:v>-0.48591220500096011</c:v>
                </c:pt>
                <c:pt idx="3">
                  <c:v>-0.64847965951719821</c:v>
                </c:pt>
                <c:pt idx="4">
                  <c:v>-0.47661528568820888</c:v>
                </c:pt>
                <c:pt idx="5">
                  <c:v>2.7168169617753479</c:v>
                </c:pt>
                <c:pt idx="6">
                  <c:v>3.7687532379308442</c:v>
                </c:pt>
                <c:pt idx="7">
                  <c:v>0.48006255304837708</c:v>
                </c:pt>
                <c:pt idx="8">
                  <c:v>-0.62662085926090683</c:v>
                </c:pt>
                <c:pt idx="9">
                  <c:v>1.7413533529218483</c:v>
                </c:pt>
                <c:pt idx="10">
                  <c:v>3.0354953093694403</c:v>
                </c:pt>
                <c:pt idx="11">
                  <c:v>1.6274544696853299</c:v>
                </c:pt>
                <c:pt idx="12">
                  <c:v>1.1026891413657092</c:v>
                </c:pt>
                <c:pt idx="13">
                  <c:v>0.66246648577585887</c:v>
                </c:pt>
                <c:pt idx="14">
                  <c:v>1.9330447532571071</c:v>
                </c:pt>
                <c:pt idx="15">
                  <c:v>3.975407976714096</c:v>
                </c:pt>
                <c:pt idx="16">
                  <c:v>2.573084429590522</c:v>
                </c:pt>
                <c:pt idx="17">
                  <c:v>0.25771149896682832</c:v>
                </c:pt>
              </c:numCache>
            </c:numRef>
          </c:val>
          <c:smooth val="1"/>
          <c:extLst>
            <c:ext xmlns:c16="http://schemas.microsoft.com/office/drawing/2014/chart" uri="{C3380CC4-5D6E-409C-BE32-E72D297353CC}">
              <c16:uniqueId val="{00000001-7423-4B70-9C5E-4EDC3B65450C}"/>
            </c:ext>
          </c:extLst>
        </c:ser>
        <c:dLbls>
          <c:showLegendKey val="0"/>
          <c:showVal val="0"/>
          <c:showCatName val="0"/>
          <c:showSerName val="0"/>
          <c:showPercent val="0"/>
          <c:showBubbleSize val="0"/>
        </c:dLbls>
        <c:smooth val="0"/>
        <c:axId val="963663048"/>
        <c:axId val="963662656"/>
      </c:lineChart>
      <c:catAx>
        <c:axId val="96366304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3662656"/>
        <c:crosses val="autoZero"/>
        <c:auto val="1"/>
        <c:lblAlgn val="ctr"/>
        <c:lblOffset val="100"/>
        <c:noMultiLvlLbl val="0"/>
      </c:catAx>
      <c:valAx>
        <c:axId val="96366265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3663048"/>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47985417989346E-2"/>
          <c:y val="0.91697358863352418"/>
          <c:w val="0.89999985108240754"/>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Services Value Added</a:t>
            </a:r>
          </a:p>
        </c:rich>
      </c:tx>
      <c:layout>
        <c:manualLayout>
          <c:xMode val="edge"/>
          <c:yMode val="edge"/>
          <c:x val="0.11097014281665496"/>
          <c:y val="1.96801968019680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Summary!$AO$46:$BV$46</c15:sqref>
                  </c15:fullRef>
                </c:ext>
              </c:extLst>
              <c:f>Summary!$BH$46:$BV$46</c:f>
              <c:numCache>
                <c:formatCode>0.0</c:formatCode>
                <c:ptCount val="15"/>
                <c:pt idx="0">
                  <c:v>5.1231474401534083</c:v>
                </c:pt>
                <c:pt idx="1">
                  <c:v>-0.45342902951573949</c:v>
                </c:pt>
                <c:pt idx="2">
                  <c:v>-0.99680951835492415</c:v>
                </c:pt>
                <c:pt idx="3">
                  <c:v>4.2667439760157189</c:v>
                </c:pt>
                <c:pt idx="4">
                  <c:v>1.6300497382015777E-2</c:v>
                </c:pt>
                <c:pt idx="5">
                  <c:v>5.2867749855438628</c:v>
                </c:pt>
                <c:pt idx="6">
                  <c:v>-1.4990608073183975</c:v>
                </c:pt>
                <c:pt idx="7">
                  <c:v>2.0787011320135607</c:v>
                </c:pt>
                <c:pt idx="8">
                  <c:v>0.35680223708547398</c:v>
                </c:pt>
                <c:pt idx="9">
                  <c:v>1.5353371644921676</c:v>
                </c:pt>
                <c:pt idx="10">
                  <c:v>4.5086241187807685</c:v>
                </c:pt>
                <c:pt idx="11">
                  <c:v>-1.3946763725221523</c:v>
                </c:pt>
                <c:pt idx="12">
                  <c:v>0.99804960517690944</c:v>
                </c:pt>
                <c:pt idx="13">
                  <c:v>2.201743720611038</c:v>
                </c:pt>
                <c:pt idx="14">
                  <c:v>4.0481562791397252</c:v>
                </c:pt>
              </c:numCache>
            </c:numRef>
          </c:val>
          <c:smooth val="1"/>
          <c:extLst>
            <c:ext xmlns:c16="http://schemas.microsoft.com/office/drawing/2014/chart" uri="{C3380CC4-5D6E-409C-BE32-E72D297353CC}">
              <c16:uniqueId val="{00000000-6BA9-4D4D-8981-E76156725738}"/>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Summary!$AO$54:$BV$54</c15:sqref>
                  </c15:fullRef>
                </c:ext>
              </c:extLst>
              <c:f>Summary!$BH$54:$BV$54</c:f>
              <c:numCache>
                <c:formatCode>0.0</c:formatCode>
                <c:ptCount val="15"/>
                <c:pt idx="0">
                  <c:v>1.5652077754927385</c:v>
                </c:pt>
                <c:pt idx="1">
                  <c:v>1.5545299268280521</c:v>
                </c:pt>
                <c:pt idx="2">
                  <c:v>1.104887512130448</c:v>
                </c:pt>
                <c:pt idx="3">
                  <c:v>1.6011197751300221</c:v>
                </c:pt>
                <c:pt idx="4">
                  <c:v>1.453773619769505</c:v>
                </c:pt>
                <c:pt idx="5">
                  <c:v>1.1311659418697939</c:v>
                </c:pt>
                <c:pt idx="6">
                  <c:v>2.6331457085529753</c:v>
                </c:pt>
                <c:pt idx="7">
                  <c:v>2.314471921393646</c:v>
                </c:pt>
                <c:pt idx="8">
                  <c:v>0.79913883642173111</c:v>
                </c:pt>
                <c:pt idx="9">
                  <c:v>0.87659031812079569</c:v>
                </c:pt>
                <c:pt idx="10">
                  <c:v>1.8649533723744005</c:v>
                </c:pt>
                <c:pt idx="11">
                  <c:v>1.5900817519244548</c:v>
                </c:pt>
                <c:pt idx="12">
                  <c:v>1.1754223470101355</c:v>
                </c:pt>
                <c:pt idx="13">
                  <c:v>2.4671663099870678</c:v>
                </c:pt>
                <c:pt idx="14">
                  <c:v>0.76478726335296177</c:v>
                </c:pt>
              </c:numCache>
            </c:numRef>
          </c:val>
          <c:smooth val="1"/>
          <c:extLst>
            <c:ext xmlns:c16="http://schemas.microsoft.com/office/drawing/2014/chart" uri="{C3380CC4-5D6E-409C-BE32-E72D297353CC}">
              <c16:uniqueId val="{00000001-6BA9-4D4D-8981-E76156725738}"/>
            </c:ext>
          </c:extLst>
        </c:ser>
        <c:dLbls>
          <c:showLegendKey val="0"/>
          <c:showVal val="0"/>
          <c:showCatName val="0"/>
          <c:showSerName val="0"/>
          <c:showPercent val="0"/>
          <c:showBubbleSize val="0"/>
        </c:dLbls>
        <c:smooth val="0"/>
        <c:axId val="963661872"/>
        <c:axId val="963662264"/>
      </c:lineChart>
      <c:catAx>
        <c:axId val="96366187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3662264"/>
        <c:crosses val="autoZero"/>
        <c:auto val="1"/>
        <c:lblAlgn val="ctr"/>
        <c:lblOffset val="100"/>
        <c:noMultiLvlLbl val="0"/>
      </c:catAx>
      <c:valAx>
        <c:axId val="96366226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3661872"/>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69986322132268E-2"/>
          <c:y val="0.91697358863352418"/>
          <c:w val="0.9"/>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Year on Year percentage change in QGDP estimates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[1]Summary!$A$6</c:f>
              <c:strCache>
                <c:ptCount val="1"/>
                <c:pt idx="0">
                  <c:v>GDP at market prices</c:v>
                </c:pt>
              </c:strCache>
            </c:strRef>
          </c:tx>
          <c:spPr>
            <a:solidFill>
              <a:schemeClr val="accent1"/>
            </a:solidFill>
            <a:ln w="23495">
              <a:solidFill>
                <a:srgbClr val="00B050"/>
              </a:solidFill>
            </a:ln>
            <a:effectLst/>
          </c:spPr>
          <c:invertIfNegative val="0"/>
          <c:cat>
            <c:multiLvlStrRef>
              <c:f>[1]Summary!$AH$3:$AS$4</c:f>
              <c:multiLvlStrCache>
                <c:ptCount val="12"/>
                <c:lvl>
                  <c:pt idx="0">
                    <c:v>Q3</c:v>
                  </c:pt>
                  <c:pt idx="1">
                    <c:v>Q4</c:v>
                  </c:pt>
                  <c:pt idx="2">
                    <c:v>Q1</c:v>
                  </c:pt>
                  <c:pt idx="3">
                    <c:v>Q2</c:v>
                  </c:pt>
                  <c:pt idx="4">
                    <c:v>Q3</c:v>
                  </c:pt>
                  <c:pt idx="5">
                    <c:v>Q4</c:v>
                  </c:pt>
                  <c:pt idx="6">
                    <c:v>Q1</c:v>
                  </c:pt>
                  <c:pt idx="7">
                    <c:v>Q2</c:v>
                  </c:pt>
                  <c:pt idx="8">
                    <c:v>Q3</c:v>
                  </c:pt>
                  <c:pt idx="9">
                    <c:v>Q4</c:v>
                  </c:pt>
                  <c:pt idx="10">
                    <c:v>Q1</c:v>
                  </c:pt>
                  <c:pt idx="11">
                    <c:v>Q2</c:v>
                  </c:pt>
                </c:lvl>
                <c:lvl>
                  <c:pt idx="0">
                    <c:v>0</c:v>
                  </c:pt>
                  <c:pt idx="1">
                    <c:v>0</c:v>
                  </c:pt>
                  <c:pt idx="2">
                    <c:v>2016/17</c:v>
                  </c:pt>
                  <c:pt idx="3">
                    <c:v>0</c:v>
                  </c:pt>
                  <c:pt idx="4">
                    <c:v>0</c:v>
                  </c:pt>
                  <c:pt idx="5">
                    <c:v>0</c:v>
                  </c:pt>
                  <c:pt idx="6">
                    <c:v>2017/18</c:v>
                  </c:pt>
                  <c:pt idx="7">
                    <c:v>0</c:v>
                  </c:pt>
                  <c:pt idx="8">
                    <c:v>0</c:v>
                  </c:pt>
                  <c:pt idx="9">
                    <c:v>0</c:v>
                  </c:pt>
                  <c:pt idx="10">
                    <c:v>2018/19</c:v>
                  </c:pt>
                  <c:pt idx="11">
                    <c:v>0</c:v>
                  </c:pt>
                </c:lvl>
              </c:multiLvlStrCache>
            </c:multiLvlStrRef>
          </c:cat>
          <c:val>
            <c:numRef>
              <c:f>[1]Summary!$AH$6:$AS$6</c:f>
              <c:numCache>
                <c:formatCode>General</c:formatCode>
                <c:ptCount val="12"/>
                <c:pt idx="0">
                  <c:v>24503.419395209567</c:v>
                </c:pt>
                <c:pt idx="1">
                  <c:v>25303.518800953687</c:v>
                </c:pt>
                <c:pt idx="2">
                  <c:v>28485.584832809574</c:v>
                </c:pt>
                <c:pt idx="3">
                  <c:v>26556.753963649604</c:v>
                </c:pt>
                <c:pt idx="4">
                  <c:v>26359.326436509386</c:v>
                </c:pt>
                <c:pt idx="5">
                  <c:v>27116.375688504559</c:v>
                </c:pt>
                <c:pt idx="6">
                  <c:v>30721.310112236315</c:v>
                </c:pt>
                <c:pt idx="7">
                  <c:v>28185.425203876759</c:v>
                </c:pt>
                <c:pt idx="8">
                  <c:v>27567.514433735043</c:v>
                </c:pt>
                <c:pt idx="9">
                  <c:v>28723.158899795002</c:v>
                </c:pt>
                <c:pt idx="10">
                  <c:v>32675.490735636398</c:v>
                </c:pt>
                <c:pt idx="11">
                  <c:v>30235.225030860365</c:v>
                </c:pt>
              </c:numCache>
            </c:numRef>
          </c:val>
          <c:extLst>
            <c:ext xmlns:c16="http://schemas.microsoft.com/office/drawing/2014/chart" uri="{C3380CC4-5D6E-409C-BE32-E72D297353CC}">
              <c16:uniqueId val="{00000000-4288-47FA-BDE6-3BCE2D0D28CA}"/>
            </c:ext>
          </c:extLst>
        </c:ser>
        <c:ser>
          <c:idx val="1"/>
          <c:order val="1"/>
          <c:tx>
            <c:strRef>
              <c:f>[1]Summary!$A$7</c:f>
              <c:strCache>
                <c:ptCount val="1"/>
                <c:pt idx="0">
                  <c:v>        Agriculture, Forestry &amp; Fishing</c:v>
                </c:pt>
              </c:strCache>
            </c:strRef>
          </c:tx>
          <c:spPr>
            <a:solidFill>
              <a:schemeClr val="accent2"/>
            </a:solidFill>
            <a:ln>
              <a:noFill/>
            </a:ln>
            <a:effectLst/>
          </c:spPr>
          <c:invertIfNegative val="0"/>
          <c:cat>
            <c:multiLvlStrRef>
              <c:f>[1]Summary!$AH$3:$AS$4</c:f>
              <c:multiLvlStrCache>
                <c:ptCount val="12"/>
                <c:lvl>
                  <c:pt idx="0">
                    <c:v>Q3</c:v>
                  </c:pt>
                  <c:pt idx="1">
                    <c:v>Q4</c:v>
                  </c:pt>
                  <c:pt idx="2">
                    <c:v>Q1</c:v>
                  </c:pt>
                  <c:pt idx="3">
                    <c:v>Q2</c:v>
                  </c:pt>
                  <c:pt idx="4">
                    <c:v>Q3</c:v>
                  </c:pt>
                  <c:pt idx="5">
                    <c:v>Q4</c:v>
                  </c:pt>
                  <c:pt idx="6">
                    <c:v>Q1</c:v>
                  </c:pt>
                  <c:pt idx="7">
                    <c:v>Q2</c:v>
                  </c:pt>
                  <c:pt idx="8">
                    <c:v>Q3</c:v>
                  </c:pt>
                  <c:pt idx="9">
                    <c:v>Q4</c:v>
                  </c:pt>
                  <c:pt idx="10">
                    <c:v>Q1</c:v>
                  </c:pt>
                  <c:pt idx="11">
                    <c:v>Q2</c:v>
                  </c:pt>
                </c:lvl>
                <c:lvl>
                  <c:pt idx="0">
                    <c:v>0</c:v>
                  </c:pt>
                  <c:pt idx="1">
                    <c:v>0</c:v>
                  </c:pt>
                  <c:pt idx="2">
                    <c:v>2016/17</c:v>
                  </c:pt>
                  <c:pt idx="3">
                    <c:v>0</c:v>
                  </c:pt>
                  <c:pt idx="4">
                    <c:v>0</c:v>
                  </c:pt>
                  <c:pt idx="5">
                    <c:v>0</c:v>
                  </c:pt>
                  <c:pt idx="6">
                    <c:v>2017/18</c:v>
                  </c:pt>
                  <c:pt idx="7">
                    <c:v>0</c:v>
                  </c:pt>
                  <c:pt idx="8">
                    <c:v>0</c:v>
                  </c:pt>
                  <c:pt idx="9">
                    <c:v>0</c:v>
                  </c:pt>
                  <c:pt idx="10">
                    <c:v>2018/19</c:v>
                  </c:pt>
                  <c:pt idx="11">
                    <c:v>0</c:v>
                  </c:pt>
                </c:lvl>
              </c:multiLvlStrCache>
            </c:multiLvlStrRef>
          </c:cat>
          <c:val>
            <c:numRef>
              <c:f>[1]Summary!$AH$7:$AS$7</c:f>
              <c:numCache>
                <c:formatCode>General</c:formatCode>
                <c:ptCount val="12"/>
                <c:pt idx="0">
                  <c:v>5306.676183325786</c:v>
                </c:pt>
                <c:pt idx="1">
                  <c:v>5631.0089619161381</c:v>
                </c:pt>
                <c:pt idx="2">
                  <c:v>8026.0129412255374</c:v>
                </c:pt>
                <c:pt idx="3">
                  <c:v>6117.3269176169879</c:v>
                </c:pt>
                <c:pt idx="4">
                  <c:v>5355.5905302653164</c:v>
                </c:pt>
                <c:pt idx="5">
                  <c:v>5958.1381910121781</c:v>
                </c:pt>
                <c:pt idx="6">
                  <c:v>8717.2948238839308</c:v>
                </c:pt>
                <c:pt idx="7">
                  <c:v>6155.8184834220701</c:v>
                </c:pt>
                <c:pt idx="8">
                  <c:v>5454.4137644730508</c:v>
                </c:pt>
                <c:pt idx="9">
                  <c:v>6096.2492813545196</c:v>
                </c:pt>
                <c:pt idx="10">
                  <c:v>9065.4997520035176</c:v>
                </c:pt>
                <c:pt idx="11">
                  <c:v>6490.8610878690024</c:v>
                </c:pt>
              </c:numCache>
            </c:numRef>
          </c:val>
          <c:extLst>
            <c:ext xmlns:c16="http://schemas.microsoft.com/office/drawing/2014/chart" uri="{C3380CC4-5D6E-409C-BE32-E72D297353CC}">
              <c16:uniqueId val="{00000001-4288-47FA-BDE6-3BCE2D0D28CA}"/>
            </c:ext>
          </c:extLst>
        </c:ser>
        <c:ser>
          <c:idx val="2"/>
          <c:order val="2"/>
          <c:tx>
            <c:strRef>
              <c:f>[1]Summary!$A$8</c:f>
              <c:strCache>
                <c:ptCount val="1"/>
                <c:pt idx="0">
                  <c:v>        Industry</c:v>
                </c:pt>
              </c:strCache>
            </c:strRef>
          </c:tx>
          <c:spPr>
            <a:solidFill>
              <a:schemeClr val="accent3"/>
            </a:solidFill>
            <a:ln>
              <a:noFill/>
            </a:ln>
            <a:effectLst/>
          </c:spPr>
          <c:invertIfNegative val="0"/>
          <c:cat>
            <c:multiLvlStrRef>
              <c:f>[1]Summary!$AH$3:$AS$4</c:f>
              <c:multiLvlStrCache>
                <c:ptCount val="12"/>
                <c:lvl>
                  <c:pt idx="0">
                    <c:v>Q3</c:v>
                  </c:pt>
                  <c:pt idx="1">
                    <c:v>Q4</c:v>
                  </c:pt>
                  <c:pt idx="2">
                    <c:v>Q1</c:v>
                  </c:pt>
                  <c:pt idx="3">
                    <c:v>Q2</c:v>
                  </c:pt>
                  <c:pt idx="4">
                    <c:v>Q3</c:v>
                  </c:pt>
                  <c:pt idx="5">
                    <c:v>Q4</c:v>
                  </c:pt>
                  <c:pt idx="6">
                    <c:v>Q1</c:v>
                  </c:pt>
                  <c:pt idx="7">
                    <c:v>Q2</c:v>
                  </c:pt>
                  <c:pt idx="8">
                    <c:v>Q3</c:v>
                  </c:pt>
                  <c:pt idx="9">
                    <c:v>Q4</c:v>
                  </c:pt>
                  <c:pt idx="10">
                    <c:v>Q1</c:v>
                  </c:pt>
                  <c:pt idx="11">
                    <c:v>Q2</c:v>
                  </c:pt>
                </c:lvl>
                <c:lvl>
                  <c:pt idx="0">
                    <c:v>0</c:v>
                  </c:pt>
                  <c:pt idx="1">
                    <c:v>0</c:v>
                  </c:pt>
                  <c:pt idx="2">
                    <c:v>2016/17</c:v>
                  </c:pt>
                  <c:pt idx="3">
                    <c:v>0</c:v>
                  </c:pt>
                  <c:pt idx="4">
                    <c:v>0</c:v>
                  </c:pt>
                  <c:pt idx="5">
                    <c:v>0</c:v>
                  </c:pt>
                  <c:pt idx="6">
                    <c:v>2017/18</c:v>
                  </c:pt>
                  <c:pt idx="7">
                    <c:v>0</c:v>
                  </c:pt>
                  <c:pt idx="8">
                    <c:v>0</c:v>
                  </c:pt>
                  <c:pt idx="9">
                    <c:v>0</c:v>
                  </c:pt>
                  <c:pt idx="10">
                    <c:v>2018/19</c:v>
                  </c:pt>
                  <c:pt idx="11">
                    <c:v>0</c:v>
                  </c:pt>
                </c:lvl>
              </c:multiLvlStrCache>
            </c:multiLvlStrRef>
          </c:cat>
          <c:val>
            <c:numRef>
              <c:f>[1]Summary!$AH$8:$AS$8</c:f>
              <c:numCache>
                <c:formatCode>General</c:formatCode>
                <c:ptCount val="12"/>
                <c:pt idx="0">
                  <c:v>6342.9869177342634</c:v>
                </c:pt>
                <c:pt idx="1">
                  <c:v>6523.848444939993</c:v>
                </c:pt>
                <c:pt idx="2">
                  <c:v>6754.5974074643782</c:v>
                </c:pt>
                <c:pt idx="3">
                  <c:v>7105.9577448816881</c:v>
                </c:pt>
                <c:pt idx="4">
                  <c:v>7322.4136952581921</c:v>
                </c:pt>
                <c:pt idx="5">
                  <c:v>7065.3567573903538</c:v>
                </c:pt>
                <c:pt idx="6">
                  <c:v>7287.5716451882163</c:v>
                </c:pt>
                <c:pt idx="7">
                  <c:v>7434.4387634631785</c:v>
                </c:pt>
                <c:pt idx="8">
                  <c:v>7795.8843185656006</c:v>
                </c:pt>
                <c:pt idx="9">
                  <c:v>7988.2964069367745</c:v>
                </c:pt>
                <c:pt idx="10">
                  <c:v>8197.0451156972176</c:v>
                </c:pt>
                <c:pt idx="11">
                  <c:v>8524.8597975982684</c:v>
                </c:pt>
              </c:numCache>
            </c:numRef>
          </c:val>
          <c:extLst>
            <c:ext xmlns:c16="http://schemas.microsoft.com/office/drawing/2014/chart" uri="{C3380CC4-5D6E-409C-BE32-E72D297353CC}">
              <c16:uniqueId val="{00000002-4288-47FA-BDE6-3BCE2D0D28CA}"/>
            </c:ext>
          </c:extLst>
        </c:ser>
        <c:ser>
          <c:idx val="3"/>
          <c:order val="3"/>
          <c:tx>
            <c:strRef>
              <c:f>[1]Summary!$A$9</c:f>
              <c:strCache>
                <c:ptCount val="1"/>
                <c:pt idx="0">
                  <c:v>        Services</c:v>
                </c:pt>
              </c:strCache>
            </c:strRef>
          </c:tx>
          <c:spPr>
            <a:solidFill>
              <a:srgbClr val="E36D0B"/>
            </a:solidFill>
            <a:ln>
              <a:noFill/>
            </a:ln>
            <a:effectLst/>
          </c:spPr>
          <c:invertIfNegative val="0"/>
          <c:cat>
            <c:multiLvlStrRef>
              <c:f>[1]Summary!$AH$3:$AS$4</c:f>
              <c:multiLvlStrCache>
                <c:ptCount val="12"/>
                <c:lvl>
                  <c:pt idx="0">
                    <c:v>Q3</c:v>
                  </c:pt>
                  <c:pt idx="1">
                    <c:v>Q4</c:v>
                  </c:pt>
                  <c:pt idx="2">
                    <c:v>Q1</c:v>
                  </c:pt>
                  <c:pt idx="3">
                    <c:v>Q2</c:v>
                  </c:pt>
                  <c:pt idx="4">
                    <c:v>Q3</c:v>
                  </c:pt>
                  <c:pt idx="5">
                    <c:v>Q4</c:v>
                  </c:pt>
                  <c:pt idx="6">
                    <c:v>Q1</c:v>
                  </c:pt>
                  <c:pt idx="7">
                    <c:v>Q2</c:v>
                  </c:pt>
                  <c:pt idx="8">
                    <c:v>Q3</c:v>
                  </c:pt>
                  <c:pt idx="9">
                    <c:v>Q4</c:v>
                  </c:pt>
                  <c:pt idx="10">
                    <c:v>Q1</c:v>
                  </c:pt>
                  <c:pt idx="11">
                    <c:v>Q2</c:v>
                  </c:pt>
                </c:lvl>
                <c:lvl>
                  <c:pt idx="0">
                    <c:v>0</c:v>
                  </c:pt>
                  <c:pt idx="1">
                    <c:v>0</c:v>
                  </c:pt>
                  <c:pt idx="2">
                    <c:v>2016/17</c:v>
                  </c:pt>
                  <c:pt idx="3">
                    <c:v>0</c:v>
                  </c:pt>
                  <c:pt idx="4">
                    <c:v>0</c:v>
                  </c:pt>
                  <c:pt idx="5">
                    <c:v>0</c:v>
                  </c:pt>
                  <c:pt idx="6">
                    <c:v>2017/18</c:v>
                  </c:pt>
                  <c:pt idx="7">
                    <c:v>0</c:v>
                  </c:pt>
                  <c:pt idx="8">
                    <c:v>0</c:v>
                  </c:pt>
                  <c:pt idx="9">
                    <c:v>0</c:v>
                  </c:pt>
                  <c:pt idx="10">
                    <c:v>2018/19</c:v>
                  </c:pt>
                  <c:pt idx="11">
                    <c:v>0</c:v>
                  </c:pt>
                </c:lvl>
              </c:multiLvlStrCache>
            </c:multiLvlStrRef>
          </c:cat>
          <c:val>
            <c:numRef>
              <c:f>[1]Summary!$AH$9:$AS$9</c:f>
              <c:numCache>
                <c:formatCode>General</c:formatCode>
                <c:ptCount val="12"/>
                <c:pt idx="0">
                  <c:v>11186.957054334862</c:v>
                </c:pt>
                <c:pt idx="1">
                  <c:v>11366.044635403869</c:v>
                </c:pt>
                <c:pt idx="2">
                  <c:v>11873.876376670412</c:v>
                </c:pt>
                <c:pt idx="3">
                  <c:v>11586.159187295236</c:v>
                </c:pt>
                <c:pt idx="4">
                  <c:v>11698.707822157248</c:v>
                </c:pt>
                <c:pt idx="5">
                  <c:v>12023.272390294898</c:v>
                </c:pt>
                <c:pt idx="6">
                  <c:v>12747.340764294264</c:v>
                </c:pt>
                <c:pt idx="7">
                  <c:v>12604.938844282253</c:v>
                </c:pt>
                <c:pt idx="8">
                  <c:v>12466.952378877446</c:v>
                </c:pt>
                <c:pt idx="9">
                  <c:v>12656.924322546936</c:v>
                </c:pt>
                <c:pt idx="10">
                  <c:v>13531.096857121407</c:v>
                </c:pt>
                <c:pt idx="11">
                  <c:v>13183.525518588534</c:v>
                </c:pt>
              </c:numCache>
            </c:numRef>
          </c:val>
          <c:extLst>
            <c:ext xmlns:c16="http://schemas.microsoft.com/office/drawing/2014/chart" uri="{C3380CC4-5D6E-409C-BE32-E72D297353CC}">
              <c16:uniqueId val="{00000003-4288-47FA-BDE6-3BCE2D0D28CA}"/>
            </c:ext>
          </c:extLst>
        </c:ser>
        <c:dLbls>
          <c:showLegendKey val="0"/>
          <c:showVal val="0"/>
          <c:showCatName val="0"/>
          <c:showSerName val="0"/>
          <c:showPercent val="0"/>
          <c:showBubbleSize val="0"/>
        </c:dLbls>
        <c:gapWidth val="150"/>
        <c:axId val="497898800"/>
        <c:axId val="497897624"/>
      </c:barChart>
      <c:catAx>
        <c:axId val="49789880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7897624"/>
        <c:crosses val="autoZero"/>
        <c:auto val="1"/>
        <c:lblAlgn val="ctr"/>
        <c:lblOffset val="100"/>
        <c:noMultiLvlLbl val="0"/>
      </c:catAx>
      <c:valAx>
        <c:axId val="49789762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789880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GDP and Sectoral Value Added Year on Year percentage change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Summary!$A$35</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Summary!$AO$35:$BV$35</c15:sqref>
                  </c15:fullRef>
                </c:ext>
              </c:extLst>
              <c:f>Summary!$BH$35:$BV$35</c:f>
              <c:numCache>
                <c:formatCode>0.0</c:formatCode>
                <c:ptCount val="15"/>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6.17940640370509</c:v>
                </c:pt>
                <c:pt idx="9">
                  <c:v>5.3634777034342385</c:v>
                </c:pt>
                <c:pt idx="10">
                  <c:v>8.3943389671000901</c:v>
                </c:pt>
                <c:pt idx="11">
                  <c:v>5.5263248039615354</c:v>
                </c:pt>
                <c:pt idx="12">
                  <c:v>4.8457918953031198</c:v>
                </c:pt>
                <c:pt idx="13">
                  <c:v>8.4581777204844943</c:v>
                </c:pt>
                <c:pt idx="14">
                  <c:v>5.7897132531484985</c:v>
                </c:pt>
              </c:numCache>
            </c:numRef>
          </c:val>
          <c:smooth val="0"/>
          <c:extLst>
            <c:ext xmlns:c16="http://schemas.microsoft.com/office/drawing/2014/chart" uri="{C3380CC4-5D6E-409C-BE32-E72D297353CC}">
              <c16:uniqueId val="{00000000-97FD-4A86-8F8D-D4E39EEE7FB0}"/>
            </c:ext>
          </c:extLst>
        </c:ser>
        <c:ser>
          <c:idx val="0"/>
          <c:order val="1"/>
          <c:tx>
            <c:strRef>
              <c:f>Summary!$A$36</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Summary!$AO$36:$BV$36</c15:sqref>
                  </c15:fullRef>
                </c:ext>
              </c:extLst>
              <c:f>Summary!$BH$36:$BV$36</c:f>
              <c:numCache>
                <c:formatCode>0.0</c:formatCode>
                <c:ptCount val="15"/>
                <c:pt idx="0">
                  <c:v>4.360614458889045</c:v>
                </c:pt>
                <c:pt idx="1">
                  <c:v>11.82045003135026</c:v>
                </c:pt>
                <c:pt idx="2">
                  <c:v>5.4187896635948585</c:v>
                </c:pt>
                <c:pt idx="3">
                  <c:v>-2.7565253173958748</c:v>
                </c:pt>
                <c:pt idx="4">
                  <c:v>5.6546920383401256</c:v>
                </c:pt>
                <c:pt idx="5">
                  <c:v>2.0542364080081699</c:v>
                </c:pt>
                <c:pt idx="6">
                  <c:v>4.0433084994440316</c:v>
                </c:pt>
                <c:pt idx="7">
                  <c:v>10.576270358409779</c:v>
                </c:pt>
                <c:pt idx="8">
                  <c:v>6.331647981826416</c:v>
                </c:pt>
                <c:pt idx="9">
                  <c:v>7.7962920336269725</c:v>
                </c:pt>
                <c:pt idx="10">
                  <c:v>10.306568787292658</c:v>
                </c:pt>
                <c:pt idx="11">
                  <c:v>3.4652178662333943</c:v>
                </c:pt>
                <c:pt idx="12">
                  <c:v>3.0713610747832076</c:v>
                </c:pt>
                <c:pt idx="13">
                  <c:v>8.7713266407066328</c:v>
                </c:pt>
                <c:pt idx="14">
                  <c:v>2.1375446214841665</c:v>
                </c:pt>
              </c:numCache>
            </c:numRef>
          </c:val>
          <c:smooth val="1"/>
          <c:extLst>
            <c:ext xmlns:c16="http://schemas.microsoft.com/office/drawing/2014/chart" uri="{C3380CC4-5D6E-409C-BE32-E72D297353CC}">
              <c16:uniqueId val="{00000001-97FD-4A86-8F8D-D4E39EEE7FB0}"/>
            </c:ext>
          </c:extLst>
        </c:ser>
        <c:ser>
          <c:idx val="1"/>
          <c:order val="2"/>
          <c:tx>
            <c:strRef>
              <c:f>Summary!$A$37</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Summary!$AO$37:$BV$37</c15:sqref>
                  </c15:fullRef>
                </c:ext>
              </c:extLst>
              <c:f>Summary!$BH$37:$BV$37</c:f>
              <c:numCache>
                <c:formatCode>0.0</c:formatCode>
                <c:ptCount val="15"/>
                <c:pt idx="0">
                  <c:v>12.288975604604691</c:v>
                </c:pt>
                <c:pt idx="1">
                  <c:v>-2.3754988308056668</c:v>
                </c:pt>
                <c:pt idx="2">
                  <c:v>0.71107423556320271</c:v>
                </c:pt>
                <c:pt idx="3">
                  <c:v>6.3594382003911543</c:v>
                </c:pt>
                <c:pt idx="4">
                  <c:v>9.895358882377181</c:v>
                </c:pt>
                <c:pt idx="5">
                  <c:v>4.4842492953972801</c:v>
                </c:pt>
                <c:pt idx="6">
                  <c:v>6.723096500061998</c:v>
                </c:pt>
                <c:pt idx="7">
                  <c:v>1.0980078659702297</c:v>
                </c:pt>
                <c:pt idx="8">
                  <c:v>5.123115237948439</c:v>
                </c:pt>
                <c:pt idx="9">
                  <c:v>7.651402569882837</c:v>
                </c:pt>
                <c:pt idx="10">
                  <c:v>7.3997956869305881</c:v>
                </c:pt>
                <c:pt idx="11">
                  <c:v>7.5685940787426631</c:v>
                </c:pt>
                <c:pt idx="12">
                  <c:v>5.9747365900571614</c:v>
                </c:pt>
                <c:pt idx="13">
                  <c:v>12.25799130679761</c:v>
                </c:pt>
                <c:pt idx="14">
                  <c:v>5.9259192523558379</c:v>
                </c:pt>
              </c:numCache>
            </c:numRef>
          </c:val>
          <c:smooth val="1"/>
          <c:extLst>
            <c:ext xmlns:c16="http://schemas.microsoft.com/office/drawing/2014/chart" uri="{C3380CC4-5D6E-409C-BE32-E72D297353CC}">
              <c16:uniqueId val="{00000002-97FD-4A86-8F8D-D4E39EEE7FB0}"/>
            </c:ext>
          </c:extLst>
        </c:ser>
        <c:ser>
          <c:idx val="2"/>
          <c:order val="3"/>
          <c:tx>
            <c:strRef>
              <c:f>Summary!$A$38</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Summary!$AO$38:$BV$38</c15:sqref>
                  </c15:fullRef>
                </c:ext>
              </c:extLst>
              <c:f>Summary!$BH$38:$BV$38</c:f>
              <c:numCache>
                <c:formatCode>0.0</c:formatCode>
                <c:ptCount val="15"/>
                <c:pt idx="0">
                  <c:v>8.670368818347395</c:v>
                </c:pt>
                <c:pt idx="1">
                  <c:v>4.7269825402485477</c:v>
                </c:pt>
                <c:pt idx="2">
                  <c:v>1.5420013088479401</c:v>
                </c:pt>
                <c:pt idx="3">
                  <c:v>8.9260994726644292</c:v>
                </c:pt>
                <c:pt idx="4">
                  <c:v>2.6713069189930438</c:v>
                </c:pt>
                <c:pt idx="5">
                  <c:v>8.3223193724137232</c:v>
                </c:pt>
                <c:pt idx="6">
                  <c:v>8.0640636430651327</c:v>
                </c:pt>
                <c:pt idx="7">
                  <c:v>6.50508704291759</c:v>
                </c:pt>
                <c:pt idx="8">
                  <c:v>5.9861799343400746</c:v>
                </c:pt>
                <c:pt idx="9">
                  <c:v>2.2328288079326963</c:v>
                </c:pt>
                <c:pt idx="10">
                  <c:v>8.7021832601590798</c:v>
                </c:pt>
                <c:pt idx="11">
                  <c:v>4.9505378057879801</c:v>
                </c:pt>
                <c:pt idx="12">
                  <c:v>5.6881024182068085</c:v>
                </c:pt>
                <c:pt idx="13">
                  <c:v>6.2357551053084048</c:v>
                </c:pt>
                <c:pt idx="14">
                  <c:v>5.865581240278317</c:v>
                </c:pt>
              </c:numCache>
            </c:numRef>
          </c:val>
          <c:smooth val="1"/>
          <c:extLst>
            <c:ext xmlns:c16="http://schemas.microsoft.com/office/drawing/2014/chart" uri="{C3380CC4-5D6E-409C-BE32-E72D297353CC}">
              <c16:uniqueId val="{00000003-97FD-4A86-8F8D-D4E39EEE7FB0}"/>
            </c:ext>
          </c:extLst>
        </c:ser>
        <c:dLbls>
          <c:showLegendKey val="0"/>
          <c:showVal val="0"/>
          <c:showCatName val="0"/>
          <c:showSerName val="0"/>
          <c:showPercent val="0"/>
          <c:showBubbleSize val="0"/>
        </c:dLbls>
        <c:smooth val="0"/>
        <c:axId val="497898016"/>
        <c:axId val="509595744"/>
      </c:lineChart>
      <c:catAx>
        <c:axId val="497898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5744"/>
        <c:crosses val="autoZero"/>
        <c:auto val="1"/>
        <c:lblAlgn val="ctr"/>
        <c:lblOffset val="100"/>
        <c:noMultiLvlLbl val="0"/>
      </c:catAx>
      <c:valAx>
        <c:axId val="5095957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78980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sz="1000">
                <a:solidFill>
                  <a:schemeClr val="tx1"/>
                </a:solidFill>
                <a:latin typeface="Arial" panose="020B0604020202020204" pitchFamily="34" charset="0"/>
                <a:cs typeface="Arial" panose="020B0604020202020204" pitchFamily="34" charset="0"/>
              </a:rPr>
              <a:t>GDP and sectoral value added year on year change, deseasonalized</a:t>
            </a:r>
          </a:p>
        </c:rich>
      </c:tx>
      <c:layout>
        <c:manualLayout>
          <c:xMode val="edge"/>
          <c:yMode val="edge"/>
          <c:x val="0.16936562576531258"/>
          <c:y val="3.041854768153980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Summary!$A$43</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Summary!$AO$43:$BV$43</c15:sqref>
                  </c15:fullRef>
                </c:ext>
              </c:extLst>
              <c:f>Summary!$BH$43:$BV$43</c:f>
              <c:numCache>
                <c:formatCode>#,##0.0</c:formatCode>
                <c:ptCount val="15"/>
                <c:pt idx="0">
                  <c:v>0.97334385089125064</c:v>
                </c:pt>
                <c:pt idx="1">
                  <c:v>0.94972823516947802</c:v>
                </c:pt>
                <c:pt idx="2">
                  <c:v>-2.1375292072356444E-2</c:v>
                </c:pt>
                <c:pt idx="3">
                  <c:v>3.2791841688570855</c:v>
                </c:pt>
                <c:pt idx="4">
                  <c:v>1.299183744456478</c:v>
                </c:pt>
                <c:pt idx="5">
                  <c:v>1.3643908149901796</c:v>
                </c:pt>
                <c:pt idx="6">
                  <c:v>1.0354276379122895</c:v>
                </c:pt>
                <c:pt idx="7">
                  <c:v>1.6374266873781629</c:v>
                </c:pt>
                <c:pt idx="8">
                  <c:v>2.1458545764824422</c:v>
                </c:pt>
                <c:pt idx="9">
                  <c:v>0.51845911815009416</c:v>
                </c:pt>
                <c:pt idx="10">
                  <c:v>3.7173547957292108</c:v>
                </c:pt>
                <c:pt idx="11">
                  <c:v>-0.92665304197946385</c:v>
                </c:pt>
                <c:pt idx="12">
                  <c:v>1.9545609514091566</c:v>
                </c:pt>
                <c:pt idx="13">
                  <c:v>3.5624392076006206</c:v>
                </c:pt>
                <c:pt idx="14">
                  <c:v>1.2140564149031308</c:v>
                </c:pt>
              </c:numCache>
            </c:numRef>
          </c:val>
          <c:smooth val="0"/>
          <c:extLst>
            <c:ext xmlns:c16="http://schemas.microsoft.com/office/drawing/2014/chart" uri="{C3380CC4-5D6E-409C-BE32-E72D297353CC}">
              <c16:uniqueId val="{00000000-97FD-4A86-8F8D-D4E39EEE7FB0}"/>
            </c:ext>
          </c:extLst>
        </c:ser>
        <c:ser>
          <c:idx val="0"/>
          <c:order val="1"/>
          <c:tx>
            <c:strRef>
              <c:f>Summary!$A$44</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Summary!$AO$44:$BV$44</c15:sqref>
                  </c15:fullRef>
                </c:ext>
              </c:extLst>
              <c:f>Summary!$BH$44:$BV$44</c:f>
              <c:numCache>
                <c:formatCode>#,##0.0</c:formatCode>
                <c:ptCount val="15"/>
                <c:pt idx="0">
                  <c:v>-3.6972831751256319</c:v>
                </c:pt>
                <c:pt idx="1">
                  <c:v>4.5513684186822667</c:v>
                </c:pt>
                <c:pt idx="2">
                  <c:v>-1.5212017671676237</c:v>
                </c:pt>
                <c:pt idx="3">
                  <c:v>-1.5060181855870547</c:v>
                </c:pt>
                <c:pt idx="4">
                  <c:v>4.0680935198681212</c:v>
                </c:pt>
                <c:pt idx="5">
                  <c:v>0.80245658302149359</c:v>
                </c:pt>
                <c:pt idx="6">
                  <c:v>2.1328688387634909</c:v>
                </c:pt>
                <c:pt idx="7">
                  <c:v>3.2118319438789289</c:v>
                </c:pt>
                <c:pt idx="8">
                  <c:v>0.53171096729058842</c:v>
                </c:pt>
                <c:pt idx="9">
                  <c:v>1.1977514392393696</c:v>
                </c:pt>
                <c:pt idx="10">
                  <c:v>3.8204910715183615</c:v>
                </c:pt>
                <c:pt idx="11">
                  <c:v>-2.0111679174767749</c:v>
                </c:pt>
                <c:pt idx="12">
                  <c:v>1.44613576623569</c:v>
                </c:pt>
                <c:pt idx="13">
                  <c:v>5.1586820115829379</c:v>
                </c:pt>
                <c:pt idx="14">
                  <c:v>-1.3401905568687922</c:v>
                </c:pt>
              </c:numCache>
            </c:numRef>
          </c:val>
          <c:smooth val="1"/>
          <c:extLst>
            <c:ext xmlns:c16="http://schemas.microsoft.com/office/drawing/2014/chart" uri="{C3380CC4-5D6E-409C-BE32-E72D297353CC}">
              <c16:uniqueId val="{00000001-97FD-4A86-8F8D-D4E39EEE7FB0}"/>
            </c:ext>
          </c:extLst>
        </c:ser>
        <c:ser>
          <c:idx val="1"/>
          <c:order val="2"/>
          <c:tx>
            <c:strRef>
              <c:f>Summary!$A$45</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Summary!$AO$45:$BV$45</c15:sqref>
                  </c15:fullRef>
                </c:ext>
              </c:extLst>
              <c:f>Summary!$BH$45:$BV$45</c:f>
              <c:numCache>
                <c:formatCode>0.0</c:formatCode>
                <c:ptCount val="15"/>
                <c:pt idx="0">
                  <c:v>-0.92209022552264264</c:v>
                </c:pt>
                <c:pt idx="1">
                  <c:v>-0.56501244901207004</c:v>
                </c:pt>
                <c:pt idx="2">
                  <c:v>1.9564255621859594</c:v>
                </c:pt>
                <c:pt idx="3">
                  <c:v>5.6589465595883404</c:v>
                </c:pt>
                <c:pt idx="4">
                  <c:v>1.246867639120719</c:v>
                </c:pt>
                <c:pt idx="5">
                  <c:v>-3.7339073760319863</c:v>
                </c:pt>
                <c:pt idx="6">
                  <c:v>3.9071071659839918</c:v>
                </c:pt>
                <c:pt idx="7">
                  <c:v>-0.38562383798339539</c:v>
                </c:pt>
                <c:pt idx="8">
                  <c:v>5.3855654099489891</c:v>
                </c:pt>
                <c:pt idx="9">
                  <c:v>-1.11867198913429</c:v>
                </c:pt>
                <c:pt idx="10">
                  <c:v>3.5726787219310774</c:v>
                </c:pt>
                <c:pt idx="11">
                  <c:v>-0.39176551989470454</c:v>
                </c:pt>
                <c:pt idx="12">
                  <c:v>3.9986269056861756</c:v>
                </c:pt>
                <c:pt idx="13">
                  <c:v>4.7444492295651841</c:v>
                </c:pt>
                <c:pt idx="14">
                  <c:v>-2.266936037175904</c:v>
                </c:pt>
              </c:numCache>
            </c:numRef>
          </c:val>
          <c:smooth val="1"/>
          <c:extLst>
            <c:ext xmlns:c16="http://schemas.microsoft.com/office/drawing/2014/chart" uri="{C3380CC4-5D6E-409C-BE32-E72D297353CC}">
              <c16:uniqueId val="{00000002-97FD-4A86-8F8D-D4E39EEE7FB0}"/>
            </c:ext>
          </c:extLst>
        </c:ser>
        <c:ser>
          <c:idx val="2"/>
          <c:order val="3"/>
          <c:tx>
            <c:strRef>
              <c:f>Summary!$A$46</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Summary!$AO$32:$BV$33</c15:sqref>
                  </c15:fullRef>
                </c:ext>
              </c:extLst>
              <c:f>Summary!$BH$32:$BV$33</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Summary!$AO$46:$BV$46</c15:sqref>
                  </c15:fullRef>
                </c:ext>
              </c:extLst>
              <c:f>Summary!$BH$46:$BV$46</c:f>
              <c:numCache>
                <c:formatCode>0.0</c:formatCode>
                <c:ptCount val="15"/>
                <c:pt idx="0">
                  <c:v>5.1231474401534083</c:v>
                </c:pt>
                <c:pt idx="1">
                  <c:v>-0.45342902951573949</c:v>
                </c:pt>
                <c:pt idx="2">
                  <c:v>-0.99680951835492415</c:v>
                </c:pt>
                <c:pt idx="3">
                  <c:v>4.2667439760157189</c:v>
                </c:pt>
                <c:pt idx="4">
                  <c:v>1.6300497382015777E-2</c:v>
                </c:pt>
                <c:pt idx="5">
                  <c:v>5.2867749855438628</c:v>
                </c:pt>
                <c:pt idx="6">
                  <c:v>-1.4990608073183975</c:v>
                </c:pt>
                <c:pt idx="7">
                  <c:v>2.0787011320135607</c:v>
                </c:pt>
                <c:pt idx="8">
                  <c:v>0.35680223708547398</c:v>
                </c:pt>
                <c:pt idx="9">
                  <c:v>1.5353371644921676</c:v>
                </c:pt>
                <c:pt idx="10">
                  <c:v>4.5086241187807685</c:v>
                </c:pt>
                <c:pt idx="11">
                  <c:v>-1.3946763725221523</c:v>
                </c:pt>
                <c:pt idx="12">
                  <c:v>0.99804960517690944</c:v>
                </c:pt>
                <c:pt idx="13">
                  <c:v>2.201743720611038</c:v>
                </c:pt>
                <c:pt idx="14">
                  <c:v>4.0481562791397252</c:v>
                </c:pt>
              </c:numCache>
            </c:numRef>
          </c:val>
          <c:smooth val="1"/>
          <c:extLst>
            <c:ext xmlns:c16="http://schemas.microsoft.com/office/drawing/2014/chart" uri="{C3380CC4-5D6E-409C-BE32-E72D297353CC}">
              <c16:uniqueId val="{00000003-97FD-4A86-8F8D-D4E39EEE7FB0}"/>
            </c:ext>
          </c:extLst>
        </c:ser>
        <c:dLbls>
          <c:showLegendKey val="0"/>
          <c:showVal val="0"/>
          <c:showCatName val="0"/>
          <c:showSerName val="0"/>
          <c:showPercent val="0"/>
          <c:showBubbleSize val="0"/>
        </c:dLbls>
        <c:smooth val="0"/>
        <c:axId val="509597312"/>
        <c:axId val="509596136"/>
      </c:lineChart>
      <c:catAx>
        <c:axId val="50959731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6136"/>
        <c:crosses val="autoZero"/>
        <c:auto val="1"/>
        <c:lblAlgn val="ctr"/>
        <c:lblOffset val="100"/>
        <c:noMultiLvlLbl val="0"/>
      </c:catAx>
      <c:valAx>
        <c:axId val="50959613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9597312"/>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19471502425833134"/>
          <c:y val="0.68830964311279275"/>
          <c:w val="0.65501407778573129"/>
          <c:h val="0.285716330913181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Original_Expenditure!$B$28</c:f>
              <c:strCache>
                <c:ptCount val="1"/>
                <c:pt idx="0">
                  <c:v>Final Consumption Expenditure</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Original_Expenditure!$AP$26:$BX$27</c15:sqref>
                  </c15:fullRef>
                </c:ext>
              </c:extLst>
              <c:f>Original_Expenditure!$BJ$26:$BX$27</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Original_Expenditure!$AP$28:$BX$28</c15:sqref>
                  </c15:fullRef>
                </c:ext>
              </c:extLst>
              <c:f>Original_Expenditure!$BJ$28:$BX$28</c:f>
              <c:numCache>
                <c:formatCode>0.0</c:formatCode>
                <c:ptCount val="15"/>
                <c:pt idx="0">
                  <c:v>12.115040496676443</c:v>
                </c:pt>
                <c:pt idx="1">
                  <c:v>6.46455312513321</c:v>
                </c:pt>
                <c:pt idx="2">
                  <c:v>-2.1028846183067218</c:v>
                </c:pt>
                <c:pt idx="3">
                  <c:v>-1.1028759865344795</c:v>
                </c:pt>
                <c:pt idx="4">
                  <c:v>4.9713686603870766</c:v>
                </c:pt>
                <c:pt idx="5">
                  <c:v>3.3229616874974832</c:v>
                </c:pt>
                <c:pt idx="6">
                  <c:v>-0.81517638513308732</c:v>
                </c:pt>
                <c:pt idx="7">
                  <c:v>2.1236513723476236</c:v>
                </c:pt>
                <c:pt idx="8">
                  <c:v>7.7499278901043356</c:v>
                </c:pt>
                <c:pt idx="9">
                  <c:v>4.6019901179588985</c:v>
                </c:pt>
                <c:pt idx="10">
                  <c:v>22.219799791622297</c:v>
                </c:pt>
                <c:pt idx="11">
                  <c:v>8.8581538480662747</c:v>
                </c:pt>
                <c:pt idx="12">
                  <c:v>12.919051147914406</c:v>
                </c:pt>
                <c:pt idx="13">
                  <c:v>17.780094237228884</c:v>
                </c:pt>
                <c:pt idx="14">
                  <c:v>3.2143646422932104</c:v>
                </c:pt>
              </c:numCache>
            </c:numRef>
          </c:val>
          <c:smooth val="1"/>
          <c:extLst>
            <c:ext xmlns:c16="http://schemas.microsoft.com/office/drawing/2014/chart" uri="{C3380CC4-5D6E-409C-BE32-E72D297353CC}">
              <c16:uniqueId val="{00000000-47F0-4C33-ADD8-D571A563ECD9}"/>
            </c:ext>
          </c:extLst>
        </c:ser>
        <c:ser>
          <c:idx val="0"/>
          <c:order val="1"/>
          <c:tx>
            <c:strRef>
              <c:f>Original_Expenditure!$B$32</c:f>
              <c:strCache>
                <c:ptCount val="1"/>
                <c:pt idx="0">
                  <c:v>Gross Fixed Capital Formation</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Original_Expenditure!$AP$26:$BX$27</c15:sqref>
                  </c15:fullRef>
                </c:ext>
              </c:extLst>
              <c:f>Original_Expenditure!$BJ$26:$BX$27</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Original_Expenditure!$AP$32:$BX$32</c15:sqref>
                  </c15:fullRef>
                </c:ext>
              </c:extLst>
              <c:f>Original_Expenditure!$BJ$32:$BX$32</c:f>
              <c:numCache>
                <c:formatCode>0.0</c:formatCode>
                <c:ptCount val="15"/>
                <c:pt idx="0">
                  <c:v>3.3305177208128089</c:v>
                </c:pt>
                <c:pt idx="1">
                  <c:v>-0.40975605273019244</c:v>
                </c:pt>
                <c:pt idx="2">
                  <c:v>4.5133892713624002</c:v>
                </c:pt>
                <c:pt idx="3">
                  <c:v>7.6058135346650069</c:v>
                </c:pt>
                <c:pt idx="4">
                  <c:v>5.8380134800806616</c:v>
                </c:pt>
                <c:pt idx="5">
                  <c:v>1.1749058630949438</c:v>
                </c:pt>
                <c:pt idx="6">
                  <c:v>11.757795045453022</c:v>
                </c:pt>
                <c:pt idx="7">
                  <c:v>7.9527445115193718</c:v>
                </c:pt>
                <c:pt idx="8">
                  <c:v>3.2663763559272363</c:v>
                </c:pt>
                <c:pt idx="9">
                  <c:v>7.3418570382356441</c:v>
                </c:pt>
                <c:pt idx="10">
                  <c:v>8.7402169436859865</c:v>
                </c:pt>
                <c:pt idx="11">
                  <c:v>9.1061252281262597</c:v>
                </c:pt>
                <c:pt idx="12">
                  <c:v>13.161167495650773</c:v>
                </c:pt>
                <c:pt idx="13">
                  <c:v>15.626035927125304</c:v>
                </c:pt>
                <c:pt idx="14">
                  <c:v>6.3153113545182382</c:v>
                </c:pt>
              </c:numCache>
            </c:numRef>
          </c:val>
          <c:smooth val="1"/>
          <c:extLst>
            <c:ext xmlns:c16="http://schemas.microsoft.com/office/drawing/2014/chart" uri="{C3380CC4-5D6E-409C-BE32-E72D297353CC}">
              <c16:uniqueId val="{00000001-47F0-4C33-ADD8-D571A563ECD9}"/>
            </c:ext>
          </c:extLst>
        </c:ser>
        <c:ser>
          <c:idx val="1"/>
          <c:order val="2"/>
          <c:tx>
            <c:strRef>
              <c:f>Original_Expenditure!$B$49</c:f>
              <c:strCache>
                <c:ptCount val="1"/>
                <c:pt idx="0">
                  <c:v>GDP at Market Prices</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Original_Expenditure!$AP$26:$BX$27</c15:sqref>
                  </c15:fullRef>
                </c:ext>
              </c:extLst>
              <c:f>Original_Expenditure!$BJ$26:$BX$27</c:f>
              <c:multiLvlStrCache>
                <c:ptCount val="15"/>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Original_Expenditure!$AP$49:$BX$49</c15:sqref>
                  </c15:fullRef>
                </c:ext>
              </c:extLst>
              <c:f>Original_Expenditure!$BJ$49:$BX$49</c:f>
              <c:numCache>
                <c:formatCode>0.0</c:formatCode>
                <c:ptCount val="15"/>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6.17940640370509</c:v>
                </c:pt>
                <c:pt idx="9">
                  <c:v>5.3634777034342385</c:v>
                </c:pt>
                <c:pt idx="10">
                  <c:v>8.3943389671000901</c:v>
                </c:pt>
                <c:pt idx="11">
                  <c:v>5.5263248039615354</c:v>
                </c:pt>
                <c:pt idx="12">
                  <c:v>4.8457918953031198</c:v>
                </c:pt>
                <c:pt idx="13">
                  <c:v>8.4581777204844943</c:v>
                </c:pt>
                <c:pt idx="14">
                  <c:v>5.7897132531484985</c:v>
                </c:pt>
              </c:numCache>
            </c:numRef>
          </c:val>
          <c:smooth val="1"/>
          <c:extLst>
            <c:ext xmlns:c16="http://schemas.microsoft.com/office/drawing/2014/chart" uri="{C3380CC4-5D6E-409C-BE32-E72D297353CC}">
              <c16:uniqueId val="{00000002-47F0-4C33-ADD8-D571A563ECD9}"/>
            </c:ext>
          </c:extLst>
        </c:ser>
        <c:dLbls>
          <c:showLegendKey val="0"/>
          <c:showVal val="0"/>
          <c:showCatName val="0"/>
          <c:showSerName val="0"/>
          <c:showPercent val="0"/>
          <c:showBubbleSize val="0"/>
        </c:dLbls>
        <c:smooth val="0"/>
        <c:axId val="890365903"/>
        <c:axId val="1"/>
      </c:lineChart>
      <c:catAx>
        <c:axId val="89036590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w="25400">
              <a:noFill/>
            </a:ln>
          </c:spPr>
        </c:title>
        <c:numFmt formatCode="#,##0.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0365903"/>
        <c:crosses val="autoZero"/>
        <c:crossBetween val="between"/>
      </c:valAx>
      <c:spPr>
        <a:blipFill dpi="0" rotWithShape="0">
          <a:blip xmlns:r="http://schemas.openxmlformats.org/officeDocument/2006/relationships" r:embed="rId1"/>
          <a:srcRect/>
          <a:tile tx="0" ty="0" sx="100000" sy="100000" flip="none" algn="tl"/>
        </a:blipFill>
        <a:ln w="25400">
          <a:noFill/>
        </a:ln>
      </c:spPr>
    </c:plotArea>
    <c:legend>
      <c:legendPos val="b"/>
      <c:layout>
        <c:manualLayout>
          <c:xMode val="edge"/>
          <c:yMode val="edge"/>
          <c:x val="0.14018186703040073"/>
          <c:y val="0.8216429525256711"/>
          <c:w val="0.81043317419968175"/>
          <c:h val="0.12005986093843535"/>
        </c:manualLayout>
      </c:layout>
      <c:overlay val="0"/>
      <c:spPr>
        <a:noFill/>
        <a:ln w="25400">
          <a:noFill/>
        </a:ln>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GDP and Sectoral Value Added Year on Year percentage change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Summary!$A$35</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Summary!$AO$32:$BS$33</c15:sqref>
                  </c15:fullRef>
                </c:ext>
              </c:extLst>
              <c:f>Summary!$BH$32:$BS$33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Summary!$AO$35:$BS$35</c15:sqref>
                  </c15:fullRef>
                </c:ext>
              </c:extLst>
              <c:f>Summary!$BH$35:$BS$35</c:f>
              <c:numCache>
                <c:formatCode>0.0</c:formatCode>
                <c:ptCount val="12"/>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6.17940640370509</c:v>
                </c:pt>
                <c:pt idx="9">
                  <c:v>5.3634777034342385</c:v>
                </c:pt>
                <c:pt idx="10">
                  <c:v>8.3943389671000901</c:v>
                </c:pt>
                <c:pt idx="11">
                  <c:v>5.5263248039615354</c:v>
                </c:pt>
              </c:numCache>
            </c:numRef>
          </c:val>
          <c:smooth val="0"/>
          <c:extLst>
            <c:ext xmlns:c16="http://schemas.microsoft.com/office/drawing/2014/chart" uri="{C3380CC4-5D6E-409C-BE32-E72D297353CC}">
              <c16:uniqueId val="{00000000-7563-4DC1-A88F-E9D88E6E08E5}"/>
            </c:ext>
          </c:extLst>
        </c:ser>
        <c:ser>
          <c:idx val="0"/>
          <c:order val="1"/>
          <c:tx>
            <c:strRef>
              <c:f>Summary!$A$36</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Summary!$AO$32:$BS$33</c15:sqref>
                  </c15:fullRef>
                </c:ext>
              </c:extLst>
              <c:f>Summary!$BH$32:$BS$33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Summary!$AO$36:$BS$36</c15:sqref>
                  </c15:fullRef>
                </c:ext>
              </c:extLst>
              <c:f>Summary!$BH$36:$BS$36</c:f>
              <c:numCache>
                <c:formatCode>0.0</c:formatCode>
                <c:ptCount val="12"/>
                <c:pt idx="0">
                  <c:v>4.360614458889045</c:v>
                </c:pt>
                <c:pt idx="1">
                  <c:v>11.82045003135026</c:v>
                </c:pt>
                <c:pt idx="2">
                  <c:v>5.4187896635948585</c:v>
                </c:pt>
                <c:pt idx="3">
                  <c:v>-2.7565253173958748</c:v>
                </c:pt>
                <c:pt idx="4">
                  <c:v>5.6546920383401256</c:v>
                </c:pt>
                <c:pt idx="5">
                  <c:v>2.0542364080081699</c:v>
                </c:pt>
                <c:pt idx="6">
                  <c:v>4.0433084994440316</c:v>
                </c:pt>
                <c:pt idx="7">
                  <c:v>10.576270358409779</c:v>
                </c:pt>
                <c:pt idx="8">
                  <c:v>6.331647981826416</c:v>
                </c:pt>
                <c:pt idx="9">
                  <c:v>7.7962920336269725</c:v>
                </c:pt>
                <c:pt idx="10">
                  <c:v>10.306568787292658</c:v>
                </c:pt>
                <c:pt idx="11">
                  <c:v>3.4652178662333943</c:v>
                </c:pt>
              </c:numCache>
            </c:numRef>
          </c:val>
          <c:smooth val="1"/>
          <c:extLst>
            <c:ext xmlns:c16="http://schemas.microsoft.com/office/drawing/2014/chart" uri="{C3380CC4-5D6E-409C-BE32-E72D297353CC}">
              <c16:uniqueId val="{00000001-7563-4DC1-A88F-E9D88E6E08E5}"/>
            </c:ext>
          </c:extLst>
        </c:ser>
        <c:ser>
          <c:idx val="1"/>
          <c:order val="2"/>
          <c:tx>
            <c:strRef>
              <c:f>Summary!$A$37</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Summary!$AO$32:$BS$33</c15:sqref>
                  </c15:fullRef>
                </c:ext>
              </c:extLst>
              <c:f>Summary!$BH$32:$BS$33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Summary!$AO$37:$BS$37</c15:sqref>
                  </c15:fullRef>
                </c:ext>
              </c:extLst>
              <c:f>Summary!$BH$37:$BS$37</c:f>
              <c:numCache>
                <c:formatCode>0.0</c:formatCode>
                <c:ptCount val="12"/>
                <c:pt idx="0">
                  <c:v>12.288975604604691</c:v>
                </c:pt>
                <c:pt idx="1">
                  <c:v>-2.3754988308056668</c:v>
                </c:pt>
                <c:pt idx="2">
                  <c:v>0.71107423556320271</c:v>
                </c:pt>
                <c:pt idx="3">
                  <c:v>6.3594382003911543</c:v>
                </c:pt>
                <c:pt idx="4">
                  <c:v>9.895358882377181</c:v>
                </c:pt>
                <c:pt idx="5">
                  <c:v>4.4842492953972801</c:v>
                </c:pt>
                <c:pt idx="6">
                  <c:v>6.723096500061998</c:v>
                </c:pt>
                <c:pt idx="7">
                  <c:v>1.0980078659702297</c:v>
                </c:pt>
                <c:pt idx="8">
                  <c:v>5.123115237948439</c:v>
                </c:pt>
                <c:pt idx="9">
                  <c:v>7.651402569882837</c:v>
                </c:pt>
                <c:pt idx="10">
                  <c:v>7.3997956869305881</c:v>
                </c:pt>
                <c:pt idx="11">
                  <c:v>7.5685940787426631</c:v>
                </c:pt>
              </c:numCache>
            </c:numRef>
          </c:val>
          <c:smooth val="1"/>
          <c:extLst>
            <c:ext xmlns:c16="http://schemas.microsoft.com/office/drawing/2014/chart" uri="{C3380CC4-5D6E-409C-BE32-E72D297353CC}">
              <c16:uniqueId val="{00000002-7563-4DC1-A88F-E9D88E6E08E5}"/>
            </c:ext>
          </c:extLst>
        </c:ser>
        <c:ser>
          <c:idx val="2"/>
          <c:order val="3"/>
          <c:tx>
            <c:strRef>
              <c:f>Summary!$A$38</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Summary!$AO$32:$BS$33</c15:sqref>
                  </c15:fullRef>
                </c:ext>
              </c:extLst>
              <c:f>Summary!$BH$32:$BS$33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Summary!$AO$38:$BS$38</c15:sqref>
                  </c15:fullRef>
                </c:ext>
              </c:extLst>
              <c:f>Summary!$BH$38:$BS$38</c:f>
              <c:numCache>
                <c:formatCode>0.0</c:formatCode>
                <c:ptCount val="12"/>
                <c:pt idx="0">
                  <c:v>8.670368818347395</c:v>
                </c:pt>
                <c:pt idx="1">
                  <c:v>4.7269825402485477</c:v>
                </c:pt>
                <c:pt idx="2">
                  <c:v>1.5420013088479401</c:v>
                </c:pt>
                <c:pt idx="3">
                  <c:v>8.9260994726644292</c:v>
                </c:pt>
                <c:pt idx="4">
                  <c:v>2.6713069189930438</c:v>
                </c:pt>
                <c:pt idx="5">
                  <c:v>8.3223193724137232</c:v>
                </c:pt>
                <c:pt idx="6">
                  <c:v>8.0640636430651327</c:v>
                </c:pt>
                <c:pt idx="7">
                  <c:v>6.50508704291759</c:v>
                </c:pt>
                <c:pt idx="8">
                  <c:v>5.9861799343400746</c:v>
                </c:pt>
                <c:pt idx="9">
                  <c:v>2.2328288079326963</c:v>
                </c:pt>
                <c:pt idx="10">
                  <c:v>8.7021832601590798</c:v>
                </c:pt>
                <c:pt idx="11">
                  <c:v>4.9505378057879801</c:v>
                </c:pt>
              </c:numCache>
            </c:numRef>
          </c:val>
          <c:smooth val="1"/>
          <c:extLst>
            <c:ext xmlns:c16="http://schemas.microsoft.com/office/drawing/2014/chart" uri="{C3380CC4-5D6E-409C-BE32-E72D297353CC}">
              <c16:uniqueId val="{00000003-7563-4DC1-A88F-E9D88E6E08E5}"/>
            </c:ext>
          </c:extLst>
        </c:ser>
        <c:dLbls>
          <c:showLegendKey val="0"/>
          <c:showVal val="0"/>
          <c:showCatName val="0"/>
          <c:showSerName val="0"/>
          <c:showPercent val="0"/>
          <c:showBubbleSize val="0"/>
        </c:dLbls>
        <c:smooth val="0"/>
        <c:axId val="497898016"/>
        <c:axId val="509595744"/>
      </c:lineChart>
      <c:catAx>
        <c:axId val="497898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5744"/>
        <c:crosses val="autoZero"/>
        <c:auto val="1"/>
        <c:lblAlgn val="ctr"/>
        <c:lblOffset val="100"/>
        <c:noMultiLvlLbl val="0"/>
      </c:catAx>
      <c:valAx>
        <c:axId val="5095957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78980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64365890433904"/>
          <c:y val="0.14514145141451415"/>
          <c:w val="0.79081923270229515"/>
          <c:h val="0.48554842083853911"/>
        </c:manualLayout>
      </c:layout>
      <c:barChart>
        <c:barDir val="col"/>
        <c:grouping val="clustered"/>
        <c:varyColors val="0"/>
        <c:ser>
          <c:idx val="2"/>
          <c:order val="0"/>
          <c:tx>
            <c:strRef>
              <c:f>Summary!$A$5</c:f>
              <c:strCache>
                <c:ptCount val="1"/>
                <c:pt idx="0">
                  <c:v>ORIGINAL ESTIMATES</c:v>
                </c:pt>
              </c:strCache>
            </c:strRef>
          </c:tx>
          <c:spPr>
            <a:solidFill>
              <a:schemeClr val="accent4"/>
            </a:solidFill>
            <a:ln>
              <a:noFill/>
            </a:ln>
            <a:effectLst/>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Summary!$AF$6:$AU$6</c:f>
              <c:numCache>
                <c:formatCode>#,##0</c:formatCode>
                <c:ptCount val="12"/>
                <c:pt idx="0">
                  <c:v>28577.247355351661</c:v>
                </c:pt>
                <c:pt idx="1">
                  <c:v>26610.180139309006</c:v>
                </c:pt>
                <c:pt idx="2">
                  <c:v>26240.178376213596</c:v>
                </c:pt>
                <c:pt idx="3">
                  <c:v>27090.435050598862</c:v>
                </c:pt>
                <c:pt idx="4">
                  <c:v>30772.237101227405</c:v>
                </c:pt>
                <c:pt idx="5">
                  <c:v>28335.280176173645</c:v>
                </c:pt>
                <c:pt idx="6">
                  <c:v>27653.331335663122</c:v>
                </c:pt>
                <c:pt idx="7">
                  <c:v>28598.086896661713</c:v>
                </c:pt>
                <c:pt idx="8">
                  <c:v>32487.642175718105</c:v>
                </c:pt>
                <c:pt idx="9">
                  <c:v>29958.630874878399</c:v>
                </c:pt>
                <c:pt idx="10">
                  <c:v>29773.235405169889</c:v>
                </c:pt>
                <c:pt idx="11">
                  <c:v>30567.094784970548</c:v>
                </c:pt>
              </c:numCache>
            </c:numRef>
          </c:val>
          <c:extLst>
            <c:ext xmlns:c16="http://schemas.microsoft.com/office/drawing/2014/chart" uri="{C3380CC4-5D6E-409C-BE32-E72D297353CC}">
              <c16:uniqueId val="{00000000-3EFE-424E-B3DB-DA5E2B2A711C}"/>
            </c:ext>
          </c:extLst>
        </c:ser>
        <c:ser>
          <c:idx val="0"/>
          <c:order val="1"/>
          <c:tx>
            <c:strRef>
              <c:f>Summary!$A$13</c:f>
              <c:strCache>
                <c:ptCount val="1"/>
                <c:pt idx="0">
                  <c:v>SEASONALLY ADJUSTED ESTIMATES</c:v>
                </c:pt>
              </c:strCache>
            </c:strRef>
          </c:tx>
          <c:spPr>
            <a:solidFill>
              <a:srgbClr val="F0AC00"/>
            </a:solidFill>
            <a:ln>
              <a:noFill/>
            </a:ln>
            <a:effectLst/>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Summary!$AF$14:$AU$14</c:f>
              <c:numCache>
                <c:formatCode>#,##0</c:formatCode>
                <c:ptCount val="12"/>
                <c:pt idx="0">
                  <c:v>26416.451424884999</c:v>
                </c:pt>
                <c:pt idx="1">
                  <c:v>26812.127049850034</c:v>
                </c:pt>
                <c:pt idx="2">
                  <c:v>27622.084522560148</c:v>
                </c:pt>
                <c:pt idx="3">
                  <c:v>27889.913993062761</c:v>
                </c:pt>
                <c:pt idx="4">
                  <c:v>28283.055090545124</c:v>
                </c:pt>
                <c:pt idx="5">
                  <c:v>28554.154355455663</c:v>
                </c:pt>
                <c:pt idx="6">
                  <c:v>29229.257957474172</c:v>
                </c:pt>
                <c:pt idx="7">
                  <c:v>29445.349585144646</c:v>
                </c:pt>
                <c:pt idx="8">
                  <c:v>29941.016679116874</c:v>
                </c:pt>
                <c:pt idx="9">
                  <c:v>30143.98135587592</c:v>
                </c:pt>
                <c:pt idx="10">
                  <c:v>31566.283040172366</c:v>
                </c:pt>
                <c:pt idx="11">
                  <c:v>31403.381947332262</c:v>
                </c:pt>
              </c:numCache>
            </c:numRef>
          </c:val>
          <c:extLst>
            <c:ext xmlns:c16="http://schemas.microsoft.com/office/drawing/2014/chart" uri="{C3380CC4-5D6E-409C-BE32-E72D297353CC}">
              <c16:uniqueId val="{00000001-3EFE-424E-B3DB-DA5E2B2A711C}"/>
            </c:ext>
          </c:extLst>
        </c:ser>
        <c:ser>
          <c:idx val="1"/>
          <c:order val="2"/>
          <c:tx>
            <c:strRef>
              <c:f>Summary!$A$21</c:f>
              <c:strCache>
                <c:ptCount val="1"/>
                <c:pt idx="0">
                  <c:v>TREND CYCLE ESTIMATES</c:v>
                </c:pt>
              </c:strCache>
            </c:strRef>
          </c:tx>
          <c:spPr>
            <a:solidFill>
              <a:srgbClr val="60B4CC"/>
            </a:solidFill>
            <a:ln>
              <a:noFill/>
            </a:ln>
            <a:effectLst/>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Summary!$AF$22:$AU$22</c:f>
              <c:numCache>
                <c:formatCode>#,##0</c:formatCode>
                <c:ptCount val="12"/>
                <c:pt idx="0">
                  <c:v>26459.002899271636</c:v>
                </c:pt>
                <c:pt idx="1">
                  <c:v>26890.982372318118</c:v>
                </c:pt>
                <c:pt idx="2">
                  <c:v>27386.001153998219</c:v>
                </c:pt>
                <c:pt idx="3">
                  <c:v>27829.696384491599</c:v>
                </c:pt>
                <c:pt idx="4">
                  <c:v>28157.980491201593</c:v>
                </c:pt>
                <c:pt idx="5">
                  <c:v>28505.645975255622</c:v>
                </c:pt>
                <c:pt idx="6">
                  <c:v>28964.892403690726</c:v>
                </c:pt>
                <c:pt idx="7">
                  <c:v>29471.223640955901</c:v>
                </c:pt>
                <c:pt idx="8">
                  <c:v>29869.311563278319</c:v>
                </c:pt>
                <c:pt idx="9">
                  <c:v>30328.589305197231</c:v>
                </c:pt>
                <c:pt idx="10">
                  <c:v>30858.148617235471</c:v>
                </c:pt>
                <c:pt idx="11">
                  <c:v>31484.421049779758</c:v>
                </c:pt>
              </c:numCache>
            </c:numRef>
          </c:val>
          <c:extLst>
            <c:ext xmlns:c16="http://schemas.microsoft.com/office/drawing/2014/chart" uri="{C3380CC4-5D6E-409C-BE32-E72D297353CC}">
              <c16:uniqueId val="{00000002-3EFE-424E-B3DB-DA5E2B2A711C}"/>
            </c:ext>
          </c:extLst>
        </c:ser>
        <c:dLbls>
          <c:showLegendKey val="0"/>
          <c:showVal val="0"/>
          <c:showCatName val="0"/>
          <c:showSerName val="0"/>
          <c:showPercent val="0"/>
          <c:showBubbleSize val="0"/>
        </c:dLbls>
        <c:gapWidth val="132"/>
        <c:axId val="161686928"/>
        <c:axId val="161687320"/>
      </c:barChart>
      <c:catAx>
        <c:axId val="161686928"/>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1687320"/>
        <c:crosses val="autoZero"/>
        <c:auto val="1"/>
        <c:lblAlgn val="ctr"/>
        <c:lblOffset val="100"/>
        <c:noMultiLvlLbl val="0"/>
      </c:catAx>
      <c:valAx>
        <c:axId val="161687320"/>
        <c:scaling>
          <c:orientation val="minMax"/>
          <c:min val="12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686928"/>
        <c:crosses val="autoZero"/>
        <c:crossBetween val="between"/>
        <c:maj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 in QGDP estimates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Summary!$AF$43:$AU$43</c:f>
              <c:numCache>
                <c:formatCode>#,##0.0</c:formatCode>
                <c:ptCount val="12"/>
                <c:pt idx="0">
                  <c:v>0.83239308103602028</c:v>
                </c:pt>
                <c:pt idx="1">
                  <c:v>1.4978379139610531</c:v>
                </c:pt>
                <c:pt idx="2">
                  <c:v>3.0208624299154385</c:v>
                </c:pt>
                <c:pt idx="3">
                  <c:v>0.96962077675153413</c:v>
                </c:pt>
                <c:pt idx="4">
                  <c:v>1.4096174609220746</c:v>
                </c:pt>
                <c:pt idx="5">
                  <c:v>0.95852185714253579</c:v>
                </c:pt>
                <c:pt idx="6">
                  <c:v>2.3642920522684685</c:v>
                </c:pt>
                <c:pt idx="7">
                  <c:v>0.73929905434091392</c:v>
                </c:pt>
                <c:pt idx="8">
                  <c:v>1.6833459305312326</c:v>
                </c:pt>
                <c:pt idx="9">
                  <c:v>0.67788171301681466</c:v>
                </c:pt>
                <c:pt idx="10">
                  <c:v>4.7183604166448179</c:v>
                </c:pt>
                <c:pt idx="11">
                  <c:v>-0.51606042001457464</c:v>
                </c:pt>
              </c:numCache>
            </c:numRef>
          </c:val>
          <c:smooth val="1"/>
          <c:extLst>
            <c:ext xmlns:c16="http://schemas.microsoft.com/office/drawing/2014/chart" uri="{C3380CC4-5D6E-409C-BE32-E72D297353CC}">
              <c16:uniqueId val="{00000000-77D1-45CA-BB28-1A0DC270A5CD}"/>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Summary!$AF$51:$AU$51</c:f>
              <c:numCache>
                <c:formatCode>0.0</c:formatCode>
                <c:ptCount val="12"/>
                <c:pt idx="0">
                  <c:v>1.1241618395501085</c:v>
                </c:pt>
                <c:pt idx="1">
                  <c:v>1.632637007112514</c:v>
                </c:pt>
                <c:pt idx="2">
                  <c:v>1.8408356185219965</c:v>
                </c:pt>
                <c:pt idx="3">
                  <c:v>1.6201534061083711</c:v>
                </c:pt>
                <c:pt idx="4">
                  <c:v>1.1796179957354269</c:v>
                </c:pt>
                <c:pt idx="5">
                  <c:v>1.2346960896668868</c:v>
                </c:pt>
                <c:pt idx="6">
                  <c:v>1.611071816557863</c:v>
                </c:pt>
                <c:pt idx="7">
                  <c:v>1.7480860284523558</c:v>
                </c:pt>
                <c:pt idx="8">
                  <c:v>1.3507682177444469</c:v>
                </c:pt>
                <c:pt idx="9">
                  <c:v>1.5376241295214532</c:v>
                </c:pt>
                <c:pt idx="10">
                  <c:v>1.7460730095596455</c:v>
                </c:pt>
                <c:pt idx="11">
                  <c:v>2.029520436603538</c:v>
                </c:pt>
              </c:numCache>
            </c:numRef>
          </c:val>
          <c:smooth val="1"/>
          <c:extLst>
            <c:ext xmlns:c16="http://schemas.microsoft.com/office/drawing/2014/chart" uri="{C3380CC4-5D6E-409C-BE32-E72D297353CC}">
              <c16:uniqueId val="{00000001-77D1-45CA-BB28-1A0DC270A5CD}"/>
            </c:ext>
          </c:extLst>
        </c:ser>
        <c:dLbls>
          <c:showLegendKey val="0"/>
          <c:showVal val="0"/>
          <c:showCatName val="0"/>
          <c:showSerName val="0"/>
          <c:showPercent val="0"/>
          <c:showBubbleSize val="0"/>
        </c:dLbls>
        <c:smooth val="0"/>
        <c:axId val="161688104"/>
        <c:axId val="161686536"/>
      </c:lineChart>
      <c:catAx>
        <c:axId val="1616881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1686536"/>
        <c:crosses val="autoZero"/>
        <c:auto val="1"/>
        <c:lblAlgn val="ctr"/>
        <c:lblOffset val="100"/>
        <c:noMultiLvlLbl val="0"/>
      </c:catAx>
      <c:valAx>
        <c:axId val="16168653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168810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900">
                <a:latin typeface="Arial" pitchFamily="34" charset="0"/>
                <a:cs typeface="Arial" pitchFamily="34" charset="0"/>
              </a:rPr>
              <a:t>Agriculture sector Value Added at 2009/10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Summary!$AF$15:$AU$15</c:f>
              <c:numCache>
                <c:formatCode>#,##0</c:formatCode>
                <c:ptCount val="12"/>
                <c:pt idx="0">
                  <c:v>6113.4118117958624</c:v>
                </c:pt>
                <c:pt idx="1">
                  <c:v>6365.2951660330173</c:v>
                </c:pt>
                <c:pt idx="2">
                  <c:v>6582.8786020866137</c:v>
                </c:pt>
                <c:pt idx="3">
                  <c:v>6545.6274902718596</c:v>
                </c:pt>
                <c:pt idx="4">
                  <c:v>6624.146365821618</c:v>
                </c:pt>
                <c:pt idx="5">
                  <c:v>6533.1995001801752</c:v>
                </c:pt>
                <c:pt idx="6">
                  <c:v>6887.5131797139957</c:v>
                </c:pt>
                <c:pt idx="7">
                  <c:v>6659.0805578418858</c:v>
                </c:pt>
                <c:pt idx="8">
                  <c:v>6777.8345278834622</c:v>
                </c:pt>
                <c:pt idx="9">
                  <c:v>6778.2823749044037</c:v>
                </c:pt>
                <c:pt idx="10">
                  <c:v>7531.2265462949545</c:v>
                </c:pt>
                <c:pt idx="11">
                  <c:v>7188.4800155681569</c:v>
                </c:pt>
              </c:numCache>
            </c:numRef>
          </c:val>
          <c:extLst>
            <c:ext xmlns:c16="http://schemas.microsoft.com/office/drawing/2014/chart" uri="{C3380CC4-5D6E-409C-BE32-E72D297353CC}">
              <c16:uniqueId val="{00000000-B932-429A-9B2E-6D1811CF8E6C}"/>
            </c:ext>
          </c:extLst>
        </c:ser>
        <c:ser>
          <c:idx val="1"/>
          <c:order val="1"/>
          <c:tx>
            <c:strRef>
              <c:f>Summary!$A$21</c:f>
              <c:strCache>
                <c:ptCount val="1"/>
                <c:pt idx="0">
                  <c:v>TREND CYCLE ESTIMATES</c:v>
                </c:pt>
              </c:strCache>
            </c:strRef>
          </c:tx>
          <c:spPr>
            <a:solidFill>
              <a:srgbClr val="60B4CC"/>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Summary!$AF$23:$AU$23</c:f>
              <c:numCache>
                <c:formatCode>#,##0</c:formatCode>
                <c:ptCount val="12"/>
                <c:pt idx="0">
                  <c:v>6219.0738154760875</c:v>
                </c:pt>
                <c:pt idx="1">
                  <c:v>6294.9720776128388</c:v>
                </c:pt>
                <c:pt idx="2">
                  <c:v>6407.6261672887867</c:v>
                </c:pt>
                <c:pt idx="3">
                  <c:v>6477.4046995613462</c:v>
                </c:pt>
                <c:pt idx="4">
                  <c:v>6491.9933499268782</c:v>
                </c:pt>
                <c:pt idx="5">
                  <c:v>6510.6556329873765</c:v>
                </c:pt>
                <c:pt idx="6">
                  <c:v>6593.2903642584406</c:v>
                </c:pt>
                <c:pt idx="7">
                  <c:v>6679.9109517438092</c:v>
                </c:pt>
                <c:pt idx="8">
                  <c:v>6761.5509759807164</c:v>
                </c:pt>
                <c:pt idx="9">
                  <c:v>6852.1134012734856</c:v>
                </c:pt>
                <c:pt idx="10">
                  <c:v>6975.369160633204</c:v>
                </c:pt>
                <c:pt idx="11">
                  <c:v>7095.5818866754671</c:v>
                </c:pt>
              </c:numCache>
            </c:numRef>
          </c:val>
          <c:extLst>
            <c:ext xmlns:c16="http://schemas.microsoft.com/office/drawing/2014/chart" uri="{C3380CC4-5D6E-409C-BE32-E72D297353CC}">
              <c16:uniqueId val="{00000001-B932-429A-9B2E-6D1811CF8E6C}"/>
            </c:ext>
          </c:extLst>
        </c:ser>
        <c:dLbls>
          <c:showLegendKey val="0"/>
          <c:showVal val="0"/>
          <c:showCatName val="0"/>
          <c:showSerName val="0"/>
          <c:showPercent val="0"/>
          <c:showBubbleSize val="0"/>
        </c:dLbls>
        <c:gapWidth val="132"/>
        <c:axId val="497062096"/>
        <c:axId val="497062488"/>
      </c:barChart>
      <c:catAx>
        <c:axId val="49706209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497062488"/>
        <c:crosses val="autoZero"/>
        <c:auto val="1"/>
        <c:lblAlgn val="ctr"/>
        <c:lblOffset val="100"/>
        <c:noMultiLvlLbl val="0"/>
      </c:catAx>
      <c:valAx>
        <c:axId val="49706248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497062096"/>
        <c:crosses val="autoZero"/>
        <c:crossBetween val="between"/>
      </c:valAx>
    </c:plotArea>
    <c:legend>
      <c:legendPos val="b"/>
      <c:layout>
        <c:manualLayout>
          <c:xMode val="edge"/>
          <c:yMode val="edge"/>
          <c:x val="1.770093774077763E-2"/>
          <c:y val="0.90557844476082561"/>
          <c:w val="0.9645980837761133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Industry sector Value Added at 2009/10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Summary!$AF$16:$AU$16</c:f>
              <c:numCache>
                <c:formatCode>#,##0</c:formatCode>
                <c:ptCount val="12"/>
                <c:pt idx="0">
                  <c:v>6810.0731706743036</c:v>
                </c:pt>
                <c:pt idx="1">
                  <c:v>7061.3088010513238</c:v>
                </c:pt>
                <c:pt idx="2">
                  <c:v>7254.6057887098723</c:v>
                </c:pt>
                <c:pt idx="3">
                  <c:v>7145.5963811189522</c:v>
                </c:pt>
                <c:pt idx="4">
                  <c:v>7163.8099008506551</c:v>
                </c:pt>
                <c:pt idx="5">
                  <c:v>7221.6637044979652</c:v>
                </c:pt>
                <c:pt idx="6">
                  <c:v>7504.2004393131801</c:v>
                </c:pt>
                <c:pt idx="7">
                  <c:v>7734.8303660770325</c:v>
                </c:pt>
                <c:pt idx="8">
                  <c:v>7795.0483605980253</c:v>
                </c:pt>
                <c:pt idx="9">
                  <c:v>7955.7257307010132</c:v>
                </c:pt>
                <c:pt idx="10">
                  <c:v>8235.0953838746664</c:v>
                </c:pt>
                <c:pt idx="11">
                  <c:v>8306.126634881115</c:v>
                </c:pt>
              </c:numCache>
            </c:numRef>
          </c:val>
          <c:extLst>
            <c:ext xmlns:c16="http://schemas.microsoft.com/office/drawing/2014/chart" uri="{C3380CC4-5D6E-409C-BE32-E72D297353CC}">
              <c16:uniqueId val="{00000000-5F92-436F-877D-C9C070397784}"/>
            </c:ext>
          </c:extLst>
        </c:ser>
        <c:ser>
          <c:idx val="1"/>
          <c:order val="1"/>
          <c:tx>
            <c:strRef>
              <c:f>Summary!$A$21</c:f>
              <c:strCache>
                <c:ptCount val="1"/>
                <c:pt idx="0">
                  <c:v>TREND CYCLE ESTIMATES</c:v>
                </c:pt>
              </c:strCache>
            </c:strRef>
          </c:tx>
          <c:spPr>
            <a:solidFill>
              <a:srgbClr val="60B4CC"/>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Summary!$AF$24:$AU$24</c:f>
              <c:numCache>
                <c:formatCode>#,##0</c:formatCode>
                <c:ptCount val="12"/>
                <c:pt idx="0">
                  <c:v>6789.8415623087258</c:v>
                </c:pt>
                <c:pt idx="1">
                  <c:v>7076.0826253265786</c:v>
                </c:pt>
                <c:pt idx="2">
                  <c:v>7201.3268205828454</c:v>
                </c:pt>
                <c:pt idx="3">
                  <c:v>7181.2306014886235</c:v>
                </c:pt>
                <c:pt idx="4">
                  <c:v>7144.0098292272241</c:v>
                </c:pt>
                <c:pt idx="5">
                  <c:v>7255.6217753226319</c:v>
                </c:pt>
                <c:pt idx="6">
                  <c:v>7492.5928277202302</c:v>
                </c:pt>
                <c:pt idx="7">
                  <c:v>7706.2397889010081</c:v>
                </c:pt>
                <c:pt idx="8">
                  <c:v>7813.5987326506838</c:v>
                </c:pt>
                <c:pt idx="9">
                  <c:v>7981.0772532438787</c:v>
                </c:pt>
                <c:pt idx="10">
                  <c:v>8181.5539625552574</c:v>
                </c:pt>
                <c:pt idx="11">
                  <c:v>8353.3749008840896</c:v>
                </c:pt>
              </c:numCache>
            </c:numRef>
          </c:val>
          <c:extLst>
            <c:ext xmlns:c16="http://schemas.microsoft.com/office/drawing/2014/chart" uri="{C3380CC4-5D6E-409C-BE32-E72D297353CC}">
              <c16:uniqueId val="{00000001-5F92-436F-877D-C9C070397784}"/>
            </c:ext>
          </c:extLst>
        </c:ser>
        <c:dLbls>
          <c:showLegendKey val="0"/>
          <c:showVal val="0"/>
          <c:showCatName val="0"/>
          <c:showSerName val="0"/>
          <c:showPercent val="0"/>
          <c:showBubbleSize val="0"/>
        </c:dLbls>
        <c:gapWidth val="132"/>
        <c:axId val="497061312"/>
        <c:axId val="436555408"/>
      </c:barChart>
      <c:catAx>
        <c:axId val="497061312"/>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436555408"/>
        <c:crosses val="autoZero"/>
        <c:auto val="1"/>
        <c:lblAlgn val="ctr"/>
        <c:lblOffset val="100"/>
        <c:noMultiLvlLbl val="0"/>
      </c:catAx>
      <c:valAx>
        <c:axId val="43655540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497061312"/>
        <c:crosses val="autoZero"/>
        <c:crossBetween val="between"/>
      </c:valAx>
    </c:plotArea>
    <c:legend>
      <c:legendPos val="b"/>
      <c:layout>
        <c:manualLayout>
          <c:xMode val="edge"/>
          <c:yMode val="edge"/>
          <c:x val="6.6441335120879675E-3"/>
          <c:y val="0.90557844476082561"/>
          <c:w val="0.9724132204654042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Services sector Value Added at 2009/10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Summary!$AF$17:$AU$17</c:f>
              <c:numCache>
                <c:formatCode>#,##0</c:formatCode>
                <c:ptCount val="12"/>
                <c:pt idx="0">
                  <c:v>11609.621001761832</c:v>
                </c:pt>
                <c:pt idx="1">
                  <c:v>11580.560829364564</c:v>
                </c:pt>
                <c:pt idx="2">
                  <c:v>11815.395456883523</c:v>
                </c:pt>
                <c:pt idx="3">
                  <c:v>12220.120740543669</c:v>
                </c:pt>
                <c:pt idx="4">
                  <c:v>12483.63363985451</c:v>
                </c:pt>
                <c:pt idx="5">
                  <c:v>12810.474117448342</c:v>
                </c:pt>
                <c:pt idx="6">
                  <c:v>12877.387727211428</c:v>
                </c:pt>
                <c:pt idx="7">
                  <c:v>13038.562038800737</c:v>
                </c:pt>
                <c:pt idx="8">
                  <c:v>13373.209130162208</c:v>
                </c:pt>
                <c:pt idx="9">
                  <c:v>13359.0724580018</c:v>
                </c:pt>
                <c:pt idx="10">
                  <c:v>13646.548260634505</c:v>
                </c:pt>
                <c:pt idx="11">
                  <c:v>13787.096284742958</c:v>
                </c:pt>
              </c:numCache>
            </c:numRef>
          </c:val>
          <c:extLst>
            <c:ext xmlns:c16="http://schemas.microsoft.com/office/drawing/2014/chart" uri="{C3380CC4-5D6E-409C-BE32-E72D297353CC}">
              <c16:uniqueId val="{00000000-5204-4FC8-A3D8-3423F04FDF05}"/>
            </c:ext>
          </c:extLst>
        </c:ser>
        <c:ser>
          <c:idx val="1"/>
          <c:order val="1"/>
          <c:tx>
            <c:strRef>
              <c:f>Summary!$A$21</c:f>
              <c:strCache>
                <c:ptCount val="1"/>
                <c:pt idx="0">
                  <c:v>TREND CYCLE ESTIMATES</c:v>
                </c:pt>
              </c:strCache>
            </c:strRef>
          </c:tx>
          <c:spPr>
            <a:solidFill>
              <a:srgbClr val="60B4CC"/>
            </a:solidFill>
          </c:spPr>
          <c:invertIfNegative val="0"/>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Summary!$AF$25:$AU$25</c:f>
              <c:numCache>
                <c:formatCode>#,##0</c:formatCode>
                <c:ptCount val="12"/>
                <c:pt idx="0">
                  <c:v>11587.203320512104</c:v>
                </c:pt>
                <c:pt idx="1">
                  <c:v>11608.683320155511</c:v>
                </c:pt>
                <c:pt idx="2">
                  <c:v>11826.031318523277</c:v>
                </c:pt>
                <c:pt idx="3">
                  <c:v>12179.610401470218</c:v>
                </c:pt>
                <c:pt idx="4">
                  <c:v>12519.955279708574</c:v>
                </c:pt>
                <c:pt idx="5">
                  <c:v>12753.331538765964</c:v>
                </c:pt>
                <c:pt idx="6">
                  <c:v>12901.270966443803</c:v>
                </c:pt>
                <c:pt idx="7">
                  <c:v>13093.978452499976</c:v>
                </c:pt>
                <c:pt idx="8">
                  <c:v>13286.608393677347</c:v>
                </c:pt>
                <c:pt idx="9">
                  <c:v>13433.234981925303</c:v>
                </c:pt>
                <c:pt idx="10">
                  <c:v>13579.646866859997</c:v>
                </c:pt>
                <c:pt idx="11">
                  <c:v>13883.356179178338</c:v>
                </c:pt>
              </c:numCache>
            </c:numRef>
          </c:val>
          <c:extLst>
            <c:ext xmlns:c16="http://schemas.microsoft.com/office/drawing/2014/chart" uri="{C3380CC4-5D6E-409C-BE32-E72D297353CC}">
              <c16:uniqueId val="{00000001-5204-4FC8-A3D8-3423F04FDF05}"/>
            </c:ext>
          </c:extLst>
        </c:ser>
        <c:dLbls>
          <c:showLegendKey val="0"/>
          <c:showVal val="0"/>
          <c:showCatName val="0"/>
          <c:showSerName val="0"/>
          <c:showPercent val="0"/>
          <c:showBubbleSize val="0"/>
        </c:dLbls>
        <c:gapWidth val="132"/>
        <c:axId val="436555016"/>
        <c:axId val="436555800"/>
      </c:barChart>
      <c:catAx>
        <c:axId val="43655501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436555800"/>
        <c:crosses val="autoZero"/>
        <c:auto val="1"/>
        <c:lblAlgn val="ctr"/>
        <c:lblOffset val="100"/>
        <c:noMultiLvlLbl val="0"/>
      </c:catAx>
      <c:valAx>
        <c:axId val="436555800"/>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436555016"/>
        <c:crosses val="autoZero"/>
        <c:crossBetween val="between"/>
      </c:valAx>
    </c:plotArea>
    <c:legend>
      <c:legendPos val="b"/>
      <c:layout>
        <c:manualLayout>
          <c:xMode val="edge"/>
          <c:yMode val="edge"/>
          <c:x val="1.2486351709489496E-2"/>
          <c:y val="0.88589824795885752"/>
          <c:w val="0.96427454632687049"/>
          <c:h val="0.11410175204114247"/>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b="1">
                <a:solidFill>
                  <a:sysClr val="windowText" lastClr="000000"/>
                </a:solidFill>
                <a:latin typeface="Arial" panose="020B0604020202020204" pitchFamily="34" charset="0"/>
                <a:cs typeface="Arial" panose="020B0604020202020204" pitchFamily="34" charset="0"/>
              </a:rPr>
              <a:t>Quarter to Quarter percentage changes in Agriculture sector Value Added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Summary!$AF$44:$AU$44</c:f>
              <c:numCache>
                <c:formatCode>#,##0.0</c:formatCode>
                <c:ptCount val="12"/>
                <c:pt idx="0">
                  <c:v>-0.95375315153649609</c:v>
                </c:pt>
                <c:pt idx="1">
                  <c:v>4.1201764577865507</c:v>
                </c:pt>
                <c:pt idx="2">
                  <c:v>3.418277242109391</c:v>
                </c:pt>
                <c:pt idx="3">
                  <c:v>-0.56587876013612926</c:v>
                </c:pt>
                <c:pt idx="4">
                  <c:v>1.1995622370269743</c:v>
                </c:pt>
                <c:pt idx="5">
                  <c:v>-1.3729597840817398</c:v>
                </c:pt>
                <c:pt idx="6">
                  <c:v>5.4232796583672194</c:v>
                </c:pt>
                <c:pt idx="7">
                  <c:v>-3.3166197423029176</c:v>
                </c:pt>
                <c:pt idx="8">
                  <c:v>1.7833388410015472</c:v>
                </c:pt>
                <c:pt idx="9">
                  <c:v>6.6075236729190578E-3</c:v>
                </c:pt>
                <c:pt idx="10">
                  <c:v>11.10818537419178</c:v>
                </c:pt>
                <c:pt idx="11">
                  <c:v>-4.5510054520324417</c:v>
                </c:pt>
              </c:numCache>
            </c:numRef>
          </c:val>
          <c:smooth val="1"/>
          <c:extLst>
            <c:ext xmlns:c16="http://schemas.microsoft.com/office/drawing/2014/chart" uri="{C3380CC4-5D6E-409C-BE32-E72D297353CC}">
              <c16:uniqueId val="{00000000-F55B-4231-8830-0FAACFD02DC4}"/>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Summary!$AF$52:$AU$52</c:f>
              <c:numCache>
                <c:formatCode>0.0</c:formatCode>
                <c:ptCount val="12"/>
                <c:pt idx="0">
                  <c:v>-0.32745985591747795</c:v>
                </c:pt>
                <c:pt idx="1">
                  <c:v>1.2204110192080231</c:v>
                </c:pt>
                <c:pt idx="2">
                  <c:v>1.7895883935146628</c:v>
                </c:pt>
                <c:pt idx="3">
                  <c:v>1.0889919363395784</c:v>
                </c:pt>
                <c:pt idx="4">
                  <c:v>0.22522369748674276</c:v>
                </c:pt>
                <c:pt idx="5">
                  <c:v>0.28746614567478623</c:v>
                </c:pt>
                <c:pt idx="6">
                  <c:v>1.2692228852096088</c:v>
                </c:pt>
                <c:pt idx="7">
                  <c:v>1.3137687360916139</c:v>
                </c:pt>
                <c:pt idx="8">
                  <c:v>1.222172343713579</c:v>
                </c:pt>
                <c:pt idx="9">
                  <c:v>1.3393735492711167</c:v>
                </c:pt>
                <c:pt idx="10">
                  <c:v>1.7987991754020216</c:v>
                </c:pt>
                <c:pt idx="11">
                  <c:v>1.7233887307456897</c:v>
                </c:pt>
              </c:numCache>
            </c:numRef>
          </c:val>
          <c:smooth val="1"/>
          <c:extLst>
            <c:ext xmlns:c16="http://schemas.microsoft.com/office/drawing/2014/chart" uri="{C3380CC4-5D6E-409C-BE32-E72D297353CC}">
              <c16:uniqueId val="{00000001-F55B-4231-8830-0FAACFD02DC4}"/>
            </c:ext>
          </c:extLst>
        </c:ser>
        <c:dLbls>
          <c:showLegendKey val="0"/>
          <c:showVal val="0"/>
          <c:showCatName val="0"/>
          <c:showSerName val="0"/>
          <c:showPercent val="0"/>
          <c:showBubbleSize val="0"/>
        </c:dLbls>
        <c:smooth val="0"/>
        <c:axId val="608167240"/>
        <c:axId val="608166064"/>
      </c:lineChart>
      <c:catAx>
        <c:axId val="60816724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08166064"/>
        <c:crosses val="autoZero"/>
        <c:auto val="1"/>
        <c:lblAlgn val="ctr"/>
        <c:lblOffset val="100"/>
        <c:noMultiLvlLbl val="0"/>
      </c:catAx>
      <c:valAx>
        <c:axId val="60816606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816724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88" l="0.70000000000000062" r="0.70000000000000062" t="0.75000000000000488"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Industry sector Value Added</a:t>
            </a:r>
          </a:p>
        </c:rich>
      </c:tx>
      <c:layout>
        <c:manualLayout>
          <c:xMode val="edge"/>
          <c:yMode val="edge"/>
          <c:x val="0.10274221818710702"/>
          <c:y val="1.476014760147601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Summary!$AF$45:$AU$45</c:f>
              <c:numCache>
                <c:formatCode>0.0</c:formatCode>
                <c:ptCount val="12"/>
                <c:pt idx="0">
                  <c:v>3.1357490743674221</c:v>
                </c:pt>
                <c:pt idx="1">
                  <c:v>3.6891766663961434</c:v>
                </c:pt>
                <c:pt idx="2">
                  <c:v>2.7374102040371051</c:v>
                </c:pt>
                <c:pt idx="3">
                  <c:v>-1.5026234473080269</c:v>
                </c:pt>
                <c:pt idx="4">
                  <c:v>0.25489152703654927</c:v>
                </c:pt>
                <c:pt idx="5">
                  <c:v>0.80758429450284996</c:v>
                </c:pt>
                <c:pt idx="6">
                  <c:v>3.9123496520509393</c:v>
                </c:pt>
                <c:pt idx="7">
                  <c:v>3.0733444372784025</c:v>
                </c:pt>
                <c:pt idx="8">
                  <c:v>0.77853025432972345</c:v>
                </c:pt>
                <c:pt idx="9">
                  <c:v>2.061274833331006</c:v>
                </c:pt>
                <c:pt idx="10">
                  <c:v>3.5115546039448109</c:v>
                </c:pt>
                <c:pt idx="11">
                  <c:v>0.86254314850482405</c:v>
                </c:pt>
              </c:numCache>
            </c:numRef>
          </c:val>
          <c:smooth val="1"/>
          <c:extLst>
            <c:ext xmlns:c16="http://schemas.microsoft.com/office/drawing/2014/chart" uri="{C3380CC4-5D6E-409C-BE32-E72D297353CC}">
              <c16:uniqueId val="{00000000-025E-4E70-82D2-82F793C2AF39}"/>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Summary!$AF$53:$AU$53</c:f>
              <c:numCache>
                <c:formatCode>0.0</c:formatCode>
                <c:ptCount val="12"/>
                <c:pt idx="0">
                  <c:v>3.856054311403323</c:v>
                </c:pt>
                <c:pt idx="1">
                  <c:v>4.2157252181967531</c:v>
                </c:pt>
                <c:pt idx="2">
                  <c:v>1.7699651330807642</c:v>
                </c:pt>
                <c:pt idx="3">
                  <c:v>-0.27906272822922906</c:v>
                </c:pt>
                <c:pt idx="4">
                  <c:v>-0.51830632278656585</c:v>
                </c:pt>
                <c:pt idx="5">
                  <c:v>1.5623151250266476</c:v>
                </c:pt>
                <c:pt idx="6">
                  <c:v>3.2660337009788654</c:v>
                </c:pt>
                <c:pt idx="7">
                  <c:v>2.8514422989909693</c:v>
                </c:pt>
                <c:pt idx="8">
                  <c:v>1.393143046292189</c:v>
                </c:pt>
                <c:pt idx="9">
                  <c:v>2.1434236172552801</c:v>
                </c:pt>
                <c:pt idx="10">
                  <c:v>2.5119003732221312</c:v>
                </c:pt>
                <c:pt idx="11">
                  <c:v>2.1001015102413367</c:v>
                </c:pt>
              </c:numCache>
            </c:numRef>
          </c:val>
          <c:smooth val="1"/>
          <c:extLst>
            <c:ext xmlns:c16="http://schemas.microsoft.com/office/drawing/2014/chart" uri="{C3380CC4-5D6E-409C-BE32-E72D297353CC}">
              <c16:uniqueId val="{00000001-025E-4E70-82D2-82F793C2AF39}"/>
            </c:ext>
          </c:extLst>
        </c:ser>
        <c:dLbls>
          <c:showLegendKey val="0"/>
          <c:showVal val="0"/>
          <c:showCatName val="0"/>
          <c:showSerName val="0"/>
          <c:showPercent val="0"/>
          <c:showBubbleSize val="0"/>
        </c:dLbls>
        <c:smooth val="0"/>
        <c:axId val="504141144"/>
        <c:axId val="504142712"/>
      </c:lineChart>
      <c:catAx>
        <c:axId val="5041411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4142712"/>
        <c:crosses val="autoZero"/>
        <c:auto val="1"/>
        <c:lblAlgn val="ctr"/>
        <c:lblOffset val="100"/>
        <c:noMultiLvlLbl val="0"/>
      </c:catAx>
      <c:valAx>
        <c:axId val="504142712"/>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4141144"/>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47985417989346E-2"/>
          <c:y val="0.91697358863352418"/>
          <c:w val="0.89999985108240754"/>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Services Value Added</a:t>
            </a:r>
          </a:p>
        </c:rich>
      </c:tx>
      <c:layout>
        <c:manualLayout>
          <c:xMode val="edge"/>
          <c:yMode val="edge"/>
          <c:x val="0.11097014281665496"/>
          <c:y val="1.96801968019680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Summary!$AF$46:$AU$46</c:f>
              <c:numCache>
                <c:formatCode>0.0</c:formatCode>
                <c:ptCount val="12"/>
                <c:pt idx="0">
                  <c:v>-0.29112186129066631</c:v>
                </c:pt>
                <c:pt idx="1">
                  <c:v>-0.2503111203445707</c:v>
                </c:pt>
                <c:pt idx="2">
                  <c:v>2.0278346703511474</c:v>
                </c:pt>
                <c:pt idx="3">
                  <c:v>3.4254061587448259</c:v>
                </c:pt>
                <c:pt idx="4">
                  <c:v>2.1563853983583181</c:v>
                </c:pt>
                <c:pt idx="5">
                  <c:v>2.6181517899594553</c:v>
                </c:pt>
                <c:pt idx="6">
                  <c:v>0.52233515441826306</c:v>
                </c:pt>
                <c:pt idx="7">
                  <c:v>1.2516071970771536</c:v>
                </c:pt>
                <c:pt idx="8">
                  <c:v>2.5665950767087109</c:v>
                </c:pt>
                <c:pt idx="9">
                  <c:v>-0.1057088992089672</c:v>
                </c:pt>
                <c:pt idx="10">
                  <c:v>2.1519143902877236</c:v>
                </c:pt>
                <c:pt idx="11">
                  <c:v>1.0299162940264228</c:v>
                </c:pt>
              </c:numCache>
            </c:numRef>
          </c:val>
          <c:smooth val="1"/>
          <c:extLst>
            <c:ext xmlns:c16="http://schemas.microsoft.com/office/drawing/2014/chart" uri="{C3380CC4-5D6E-409C-BE32-E72D297353CC}">
              <c16:uniqueId val="{00000000-4D76-4ACB-96E9-60EEEDA5D64C}"/>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f>Summary!$AF$3:$AU$4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2016/17</c:v>
                  </c:pt>
                  <c:pt idx="4">
                    <c:v>2017/18</c:v>
                  </c:pt>
                  <c:pt idx="5">
                    <c:v>2017/18</c:v>
                  </c:pt>
                  <c:pt idx="8">
                    <c:v>2018/19</c:v>
                  </c:pt>
                </c:lvl>
              </c:multiLvlStrCache>
            </c:multiLvlStrRef>
          </c:cat>
          <c:val>
            <c:numRef>
              <c:f>Summary!$AF$54:$AU$54</c:f>
              <c:numCache>
                <c:formatCode>0.0</c:formatCode>
                <c:ptCount val="12"/>
                <c:pt idx="0">
                  <c:v>-0.21951689696452226</c:v>
                </c:pt>
                <c:pt idx="1">
                  <c:v>0.18537691148805546</c:v>
                </c:pt>
                <c:pt idx="2">
                  <c:v>1.8722881172096084</c:v>
                </c:pt>
                <c:pt idx="3">
                  <c:v>2.9898371940984436</c:v>
                </c:pt>
                <c:pt idx="4">
                  <c:v>2.7943823079700003</c:v>
                </c:pt>
                <c:pt idx="5">
                  <c:v>1.8640342864133741</c:v>
                </c:pt>
                <c:pt idx="6">
                  <c:v>1.1600061303836728</c:v>
                </c:pt>
                <c:pt idx="7">
                  <c:v>1.4937093140466873</c:v>
                </c:pt>
                <c:pt idx="8">
                  <c:v>1.4711337877648001</c:v>
                </c:pt>
                <c:pt idx="9">
                  <c:v>1.103566718484239</c:v>
                </c:pt>
                <c:pt idx="10">
                  <c:v>1.0899227559980407</c:v>
                </c:pt>
                <c:pt idx="11">
                  <c:v>2.2365037566589363</c:v>
                </c:pt>
              </c:numCache>
            </c:numRef>
          </c:val>
          <c:smooth val="1"/>
          <c:extLst>
            <c:ext xmlns:c16="http://schemas.microsoft.com/office/drawing/2014/chart" uri="{C3380CC4-5D6E-409C-BE32-E72D297353CC}">
              <c16:uniqueId val="{00000001-4D76-4ACB-96E9-60EEEDA5D64C}"/>
            </c:ext>
          </c:extLst>
        </c:ser>
        <c:dLbls>
          <c:showLegendKey val="0"/>
          <c:showVal val="0"/>
          <c:showCatName val="0"/>
          <c:showSerName val="0"/>
          <c:showPercent val="0"/>
          <c:showBubbleSize val="0"/>
        </c:dLbls>
        <c:smooth val="0"/>
        <c:axId val="478498928"/>
        <c:axId val="478499712"/>
      </c:lineChart>
      <c:catAx>
        <c:axId val="4784989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78499712"/>
        <c:crosses val="autoZero"/>
        <c:auto val="1"/>
        <c:lblAlgn val="ctr"/>
        <c:lblOffset val="100"/>
        <c:noMultiLvlLbl val="0"/>
      </c:catAx>
      <c:valAx>
        <c:axId val="478499712"/>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8498928"/>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69986322132268E-2"/>
          <c:y val="0.91697358863352418"/>
          <c:w val="0.9"/>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Year on Year percentage change in QGDP estimates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Summary!$A$6</c:f>
              <c:strCache>
                <c:ptCount val="1"/>
                <c:pt idx="0">
                  <c:v>GDP at market prices</c:v>
                </c:pt>
              </c:strCache>
            </c:strRef>
          </c:tx>
          <c:spPr>
            <a:solidFill>
              <a:schemeClr val="accent1"/>
            </a:solidFill>
            <a:ln w="23495">
              <a:solidFill>
                <a:srgbClr val="00B050"/>
              </a:solidFill>
            </a:ln>
            <a:effectLst/>
          </c:spPr>
          <c:invertIfNegative val="0"/>
          <c:cat>
            <c:multiLvlStrRef>
              <c:f>Summary!$AH$3:$AS$4</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Summary!$AH$6:$AS$6</c:f>
              <c:numCache>
                <c:formatCode>#,##0</c:formatCode>
                <c:ptCount val="10"/>
                <c:pt idx="0">
                  <c:v>28577.247355351661</c:v>
                </c:pt>
                <c:pt idx="1">
                  <c:v>26610.180139309006</c:v>
                </c:pt>
                <c:pt idx="2">
                  <c:v>26240.178376213596</c:v>
                </c:pt>
                <c:pt idx="3">
                  <c:v>27090.435050598862</c:v>
                </c:pt>
                <c:pt idx="4">
                  <c:v>30772.237101227405</c:v>
                </c:pt>
                <c:pt idx="5">
                  <c:v>28335.280176173645</c:v>
                </c:pt>
                <c:pt idx="6">
                  <c:v>27653.331335663122</c:v>
                </c:pt>
                <c:pt idx="7">
                  <c:v>28598.086896661713</c:v>
                </c:pt>
                <c:pt idx="8">
                  <c:v>32487.642175718105</c:v>
                </c:pt>
                <c:pt idx="9">
                  <c:v>29958.630874878399</c:v>
                </c:pt>
              </c:numCache>
            </c:numRef>
          </c:val>
          <c:extLst>
            <c:ext xmlns:c16="http://schemas.microsoft.com/office/drawing/2014/chart" uri="{C3380CC4-5D6E-409C-BE32-E72D297353CC}">
              <c16:uniqueId val="{00000000-B3F4-4B26-8779-1954BADEDCA8}"/>
            </c:ext>
          </c:extLst>
        </c:ser>
        <c:ser>
          <c:idx val="1"/>
          <c:order val="1"/>
          <c:tx>
            <c:strRef>
              <c:f>Summary!$A$7</c:f>
              <c:strCache>
                <c:ptCount val="1"/>
                <c:pt idx="0">
                  <c:v>        Agriculture, Forestry &amp; Fishing</c:v>
                </c:pt>
              </c:strCache>
            </c:strRef>
          </c:tx>
          <c:spPr>
            <a:solidFill>
              <a:schemeClr val="accent2"/>
            </a:solidFill>
            <a:ln>
              <a:noFill/>
            </a:ln>
            <a:effectLst/>
          </c:spPr>
          <c:invertIfNegative val="0"/>
          <c:cat>
            <c:multiLvlStrRef>
              <c:f>Summary!$AH$3:$AS$4</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Summary!$AH$7:$AS$7</c:f>
              <c:numCache>
                <c:formatCode>#,##0</c:formatCode>
                <c:ptCount val="10"/>
                <c:pt idx="0">
                  <c:v>8012.3898438440583</c:v>
                </c:pt>
                <c:pt idx="1">
                  <c:v>6110.5574830010291</c:v>
                </c:pt>
                <c:pt idx="2">
                  <c:v>5359.3297594225651</c:v>
                </c:pt>
                <c:pt idx="3">
                  <c:v>5974.7914938523681</c:v>
                </c:pt>
                <c:pt idx="4">
                  <c:v>8783.75361617198</c:v>
                </c:pt>
                <c:pt idx="5">
                  <c:v>6199.5724243031436</c:v>
                </c:pt>
                <c:pt idx="6">
                  <c:v>5495.0897018703818</c:v>
                </c:pt>
                <c:pt idx="7">
                  <c:v>6096.0101397052103</c:v>
                </c:pt>
                <c:pt idx="8">
                  <c:v>8974.6097339614735</c:v>
                </c:pt>
                <c:pt idx="9">
                  <c:v>6448.4413448819614</c:v>
                </c:pt>
              </c:numCache>
            </c:numRef>
          </c:val>
          <c:extLst>
            <c:ext xmlns:c16="http://schemas.microsoft.com/office/drawing/2014/chart" uri="{C3380CC4-5D6E-409C-BE32-E72D297353CC}">
              <c16:uniqueId val="{00000001-B3F4-4B26-8779-1954BADEDCA8}"/>
            </c:ext>
          </c:extLst>
        </c:ser>
        <c:ser>
          <c:idx val="2"/>
          <c:order val="2"/>
          <c:tx>
            <c:strRef>
              <c:f>Summary!$A$8</c:f>
              <c:strCache>
                <c:ptCount val="1"/>
                <c:pt idx="0">
                  <c:v>        Industry</c:v>
                </c:pt>
              </c:strCache>
            </c:strRef>
          </c:tx>
          <c:spPr>
            <a:solidFill>
              <a:schemeClr val="accent3"/>
            </a:solidFill>
            <a:ln>
              <a:noFill/>
            </a:ln>
            <a:effectLst/>
          </c:spPr>
          <c:invertIfNegative val="0"/>
          <c:cat>
            <c:multiLvlStrRef>
              <c:f>Summary!$AH$3:$AS$4</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Summary!$AH$8:$AS$8</c:f>
              <c:numCache>
                <c:formatCode>#,##0</c:formatCode>
                <c:ptCount val="10"/>
                <c:pt idx="0">
                  <c:v>6768.713051955091</c:v>
                </c:pt>
                <c:pt idx="1">
                  <c:v>7106.8655859703567</c:v>
                </c:pt>
                <c:pt idx="2">
                  <c:v>7305.4210324818123</c:v>
                </c:pt>
                <c:pt idx="3">
                  <c:v>7067.3259345873512</c:v>
                </c:pt>
                <c:pt idx="4">
                  <c:v>7134.9058713826926</c:v>
                </c:pt>
                <c:pt idx="5">
                  <c:v>7312.6317555530877</c:v>
                </c:pt>
                <c:pt idx="6">
                  <c:v>7537.2021354850558</c:v>
                </c:pt>
                <c:pt idx="7">
                  <c:v>7631.5343119097179</c:v>
                </c:pt>
                <c:pt idx="8">
                  <c:v>7779.6917837189712</c:v>
                </c:pt>
                <c:pt idx="9">
                  <c:v>8068.1838305472475</c:v>
                </c:pt>
              </c:numCache>
            </c:numRef>
          </c:val>
          <c:extLst>
            <c:ext xmlns:c16="http://schemas.microsoft.com/office/drawing/2014/chart" uri="{C3380CC4-5D6E-409C-BE32-E72D297353CC}">
              <c16:uniqueId val="{00000002-B3F4-4B26-8779-1954BADEDCA8}"/>
            </c:ext>
          </c:extLst>
        </c:ser>
        <c:ser>
          <c:idx val="3"/>
          <c:order val="3"/>
          <c:tx>
            <c:strRef>
              <c:f>Summary!$A$9</c:f>
              <c:strCache>
                <c:ptCount val="1"/>
                <c:pt idx="0">
                  <c:v>        Services</c:v>
                </c:pt>
              </c:strCache>
            </c:strRef>
          </c:tx>
          <c:spPr>
            <a:solidFill>
              <a:srgbClr val="E36D0B"/>
            </a:solidFill>
            <a:ln>
              <a:noFill/>
            </a:ln>
            <a:effectLst/>
          </c:spPr>
          <c:invertIfNegative val="0"/>
          <c:cat>
            <c:multiLvlStrRef>
              <c:f>Summary!$AH$3:$AS$4</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Summary!$AH$9:$AS$9</c:f>
              <c:numCache>
                <c:formatCode>#,##0</c:formatCode>
                <c:ptCount val="10"/>
                <c:pt idx="0">
                  <c:v>11937.718362657837</c:v>
                </c:pt>
                <c:pt idx="1">
                  <c:v>11574.904273245027</c:v>
                </c:pt>
                <c:pt idx="2">
                  <c:v>11626.766484146794</c:v>
                </c:pt>
                <c:pt idx="3">
                  <c:v>12042.626656368144</c:v>
                </c:pt>
                <c:pt idx="4">
                  <c:v>12862.303229009287</c:v>
                </c:pt>
                <c:pt idx="5">
                  <c:v>12815.187341991386</c:v>
                </c:pt>
                <c:pt idx="6">
                  <c:v>12685.29920931673</c:v>
                </c:pt>
                <c:pt idx="7">
                  <c:v>12837.367728743302</c:v>
                </c:pt>
                <c:pt idx="8">
                  <c:v>13754.228723909151</c:v>
                </c:pt>
                <c:pt idx="9">
                  <c:v>13368.754279977897</c:v>
                </c:pt>
              </c:numCache>
            </c:numRef>
          </c:val>
          <c:extLst>
            <c:ext xmlns:c16="http://schemas.microsoft.com/office/drawing/2014/chart" uri="{C3380CC4-5D6E-409C-BE32-E72D297353CC}">
              <c16:uniqueId val="{00000003-B3F4-4B26-8779-1954BADEDCA8}"/>
            </c:ext>
          </c:extLst>
        </c:ser>
        <c:dLbls>
          <c:showLegendKey val="0"/>
          <c:showVal val="0"/>
          <c:showCatName val="0"/>
          <c:showSerName val="0"/>
          <c:showPercent val="0"/>
          <c:showBubbleSize val="0"/>
        </c:dLbls>
        <c:gapWidth val="150"/>
        <c:axId val="412283232"/>
        <c:axId val="412283624"/>
      </c:barChart>
      <c:catAx>
        <c:axId val="41228323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2283624"/>
        <c:crosses val="autoZero"/>
        <c:auto val="1"/>
        <c:lblAlgn val="ctr"/>
        <c:lblOffset val="100"/>
        <c:noMultiLvlLbl val="0"/>
      </c:catAx>
      <c:valAx>
        <c:axId val="41228362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228323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GDP and Sectoral Value Added Year on Year percentage change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Summary!$A$35</c:f>
              <c:strCache>
                <c:ptCount val="1"/>
                <c:pt idx="0">
                  <c:v>GDP at market prices</c:v>
                </c:pt>
              </c:strCache>
            </c:strRef>
          </c:tx>
          <c:spPr>
            <a:ln w="22225" cap="rnd">
              <a:solidFill>
                <a:schemeClr val="accent4"/>
              </a:solidFill>
              <a:round/>
            </a:ln>
            <a:effectLst/>
          </c:spPr>
          <c:marker>
            <c:symbol val="none"/>
          </c:marker>
          <c:cat>
            <c:multiLvlStrRef>
              <c:f>Summary!$AC$32:$AS$33</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Summary!$AC$35:$AS$35</c:f>
              <c:numCache>
                <c:formatCode>0.0</c:formatCode>
                <c:ptCount val="10"/>
                <c:pt idx="0">
                  <c:v>-0.26122599349414077</c:v>
                </c:pt>
                <c:pt idx="1">
                  <c:v>0.50756396361286704</c:v>
                </c:pt>
                <c:pt idx="2">
                  <c:v>6.7464548438344707</c:v>
                </c:pt>
                <c:pt idx="3">
                  <c:v>6.1811726662669653</c:v>
                </c:pt>
                <c:pt idx="4">
                  <c:v>7.680899838187849</c:v>
                </c:pt>
                <c:pt idx="5">
                  <c:v>6.4828574170991526</c:v>
                </c:pt>
                <c:pt idx="6">
                  <c:v>5.3854548516732992</c:v>
                </c:pt>
                <c:pt idx="7">
                  <c:v>5.5652552026089541</c:v>
                </c:pt>
                <c:pt idx="8">
                  <c:v>5.5745218290362164</c:v>
                </c:pt>
                <c:pt idx="9">
                  <c:v>5.7290793971742193</c:v>
                </c:pt>
              </c:numCache>
            </c:numRef>
          </c:val>
          <c:smooth val="0"/>
          <c:extLst>
            <c:ext xmlns:c16="http://schemas.microsoft.com/office/drawing/2014/chart" uri="{C3380CC4-5D6E-409C-BE32-E72D297353CC}">
              <c16:uniqueId val="{00000000-202E-45AA-B7B0-5E5F0B1572F6}"/>
            </c:ext>
          </c:extLst>
        </c:ser>
        <c:ser>
          <c:idx val="0"/>
          <c:order val="1"/>
          <c:tx>
            <c:strRef>
              <c:f>Summary!$A$36</c:f>
              <c:strCache>
                <c:ptCount val="1"/>
                <c:pt idx="0">
                  <c:v>        Agriculture, Forestry &amp; Fishing</c:v>
                </c:pt>
              </c:strCache>
            </c:strRef>
          </c:tx>
          <c:spPr>
            <a:ln w="22225" cap="rnd">
              <a:solidFill>
                <a:srgbClr val="0070C0"/>
              </a:solidFill>
              <a:round/>
            </a:ln>
            <a:effectLst/>
          </c:spPr>
          <c:marker>
            <c:symbol val="none"/>
          </c:marker>
          <c:cat>
            <c:multiLvlStrRef>
              <c:f>Summary!$AC$32:$AS$33</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Summary!$AC$36:$AS$36</c:f>
              <c:numCache>
                <c:formatCode>0.0</c:formatCode>
                <c:ptCount val="10"/>
                <c:pt idx="0">
                  <c:v>1.1733408264864575</c:v>
                </c:pt>
                <c:pt idx="1">
                  <c:v>3.2296506496494182</c:v>
                </c:pt>
                <c:pt idx="2">
                  <c:v>1.0636812340840684</c:v>
                </c:pt>
                <c:pt idx="3">
                  <c:v>6.0861995034416916</c:v>
                </c:pt>
                <c:pt idx="4">
                  <c:v>9.6271373131021853</c:v>
                </c:pt>
                <c:pt idx="5">
                  <c:v>1.4567401018605208</c:v>
                </c:pt>
                <c:pt idx="6">
                  <c:v>2.5331515047964492</c:v>
                </c:pt>
                <c:pt idx="7">
                  <c:v>2.0288347464102685</c:v>
                </c:pt>
                <c:pt idx="8">
                  <c:v>2.1728309573495252</c:v>
                </c:pt>
                <c:pt idx="9">
                  <c:v>4.0142916889432279</c:v>
                </c:pt>
              </c:numCache>
            </c:numRef>
          </c:val>
          <c:smooth val="1"/>
          <c:extLst>
            <c:ext xmlns:c16="http://schemas.microsoft.com/office/drawing/2014/chart" uri="{C3380CC4-5D6E-409C-BE32-E72D297353CC}">
              <c16:uniqueId val="{00000001-202E-45AA-B7B0-5E5F0B1572F6}"/>
            </c:ext>
          </c:extLst>
        </c:ser>
        <c:ser>
          <c:idx val="1"/>
          <c:order val="2"/>
          <c:tx>
            <c:strRef>
              <c:f>Summary!$A$37</c:f>
              <c:strCache>
                <c:ptCount val="1"/>
                <c:pt idx="0">
                  <c:v>        Industry</c:v>
                </c:pt>
              </c:strCache>
            </c:strRef>
          </c:tx>
          <c:spPr>
            <a:ln w="22225" cap="rnd">
              <a:solidFill>
                <a:srgbClr val="F17CB0"/>
              </a:solidFill>
              <a:round/>
            </a:ln>
            <a:effectLst/>
          </c:spPr>
          <c:marker>
            <c:symbol val="none"/>
          </c:marker>
          <c:cat>
            <c:multiLvlStrRef>
              <c:f>Summary!$AC$32:$AS$33</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Summary!$AC$37:$AS$37</c:f>
              <c:numCache>
                <c:formatCode>0.0</c:formatCode>
                <c:ptCount val="10"/>
                <c:pt idx="0">
                  <c:v>-0.60233731749581576</c:v>
                </c:pt>
                <c:pt idx="1">
                  <c:v>4.5995316602583713</c:v>
                </c:pt>
                <c:pt idx="2">
                  <c:v>16.22566151177449</c:v>
                </c:pt>
                <c:pt idx="3">
                  <c:v>7.9277803032603567</c:v>
                </c:pt>
                <c:pt idx="4">
                  <c:v>5.4100804187855012</c:v>
                </c:pt>
                <c:pt idx="5">
                  <c:v>2.8953153411108934</c:v>
                </c:pt>
                <c:pt idx="6">
                  <c:v>3.1727275125237098</c:v>
                </c:pt>
                <c:pt idx="7">
                  <c:v>7.9833360247493657</c:v>
                </c:pt>
                <c:pt idx="8">
                  <c:v>9.0370626320726011</c:v>
                </c:pt>
                <c:pt idx="9">
                  <c:v>10.332149905133758</c:v>
                </c:pt>
              </c:numCache>
            </c:numRef>
          </c:val>
          <c:smooth val="1"/>
          <c:extLst>
            <c:ext xmlns:c16="http://schemas.microsoft.com/office/drawing/2014/chart" uri="{C3380CC4-5D6E-409C-BE32-E72D297353CC}">
              <c16:uniqueId val="{00000002-202E-45AA-B7B0-5E5F0B1572F6}"/>
            </c:ext>
          </c:extLst>
        </c:ser>
        <c:ser>
          <c:idx val="2"/>
          <c:order val="3"/>
          <c:tx>
            <c:strRef>
              <c:f>Summary!$A$38</c:f>
              <c:strCache>
                <c:ptCount val="1"/>
                <c:pt idx="0">
                  <c:v>        Services</c:v>
                </c:pt>
              </c:strCache>
            </c:strRef>
          </c:tx>
          <c:spPr>
            <a:ln w="22225" cap="rnd">
              <a:solidFill>
                <a:srgbClr val="B2912F"/>
              </a:solidFill>
              <a:round/>
            </a:ln>
            <a:effectLst/>
          </c:spPr>
          <c:marker>
            <c:symbol val="none"/>
          </c:marker>
          <c:cat>
            <c:multiLvlStrRef>
              <c:f>Summary!$AC$32:$AS$33</c:f>
              <c:multiLvlStrCache>
                <c:ptCount val="10"/>
                <c:lvl>
                  <c:pt idx="0">
                    <c:v>Q1</c:v>
                  </c:pt>
                  <c:pt idx="1">
                    <c:v>Q2</c:v>
                  </c:pt>
                  <c:pt idx="2">
                    <c:v>Q3</c:v>
                  </c:pt>
                  <c:pt idx="3">
                    <c:v>Q4</c:v>
                  </c:pt>
                  <c:pt idx="4">
                    <c:v>Q1</c:v>
                  </c:pt>
                  <c:pt idx="5">
                    <c:v>Q2</c:v>
                  </c:pt>
                  <c:pt idx="6">
                    <c:v>Q3</c:v>
                  </c:pt>
                  <c:pt idx="7">
                    <c:v>Q4</c:v>
                  </c:pt>
                  <c:pt idx="8">
                    <c:v>Q1</c:v>
                  </c:pt>
                  <c:pt idx="9">
                    <c:v>Q2</c:v>
                  </c:pt>
                </c:lvl>
                <c:lvl>
                  <c:pt idx="0">
                    <c:v>2016/17</c:v>
                  </c:pt>
                  <c:pt idx="4">
                    <c:v>2017/18</c:v>
                  </c:pt>
                  <c:pt idx="5">
                    <c:v>2017/18</c:v>
                  </c:pt>
                  <c:pt idx="8">
                    <c:v>2018/19</c:v>
                  </c:pt>
                </c:lvl>
              </c:multiLvlStrCache>
            </c:multiLvlStrRef>
          </c:cat>
          <c:val>
            <c:numRef>
              <c:f>Summary!$AC$38:$AS$38</c:f>
              <c:numCache>
                <c:formatCode>0.0</c:formatCode>
                <c:ptCount val="10"/>
                <c:pt idx="0">
                  <c:v>-2.4907341406145034</c:v>
                </c:pt>
                <c:pt idx="1">
                  <c:v>-3.7360090149601177</c:v>
                </c:pt>
                <c:pt idx="2">
                  <c:v>2.5175007417198803</c:v>
                </c:pt>
                <c:pt idx="3">
                  <c:v>4.5088343483790316</c:v>
                </c:pt>
                <c:pt idx="4">
                  <c:v>7.7450718660244666</c:v>
                </c:pt>
                <c:pt idx="5">
                  <c:v>10.715277115623568</c:v>
                </c:pt>
                <c:pt idx="6">
                  <c:v>9.1042744052119318</c:v>
                </c:pt>
                <c:pt idx="7">
                  <c:v>6.5993997410431993</c:v>
                </c:pt>
                <c:pt idx="8">
                  <c:v>6.9344150811826655</c:v>
                </c:pt>
                <c:pt idx="9">
                  <c:v>4.3196164302073292</c:v>
                </c:pt>
              </c:numCache>
            </c:numRef>
          </c:val>
          <c:smooth val="1"/>
          <c:extLst>
            <c:ext xmlns:c16="http://schemas.microsoft.com/office/drawing/2014/chart" uri="{C3380CC4-5D6E-409C-BE32-E72D297353CC}">
              <c16:uniqueId val="{00000003-202E-45AA-B7B0-5E5F0B1572F6}"/>
            </c:ext>
          </c:extLst>
        </c:ser>
        <c:dLbls>
          <c:showLegendKey val="0"/>
          <c:showVal val="0"/>
          <c:showCatName val="0"/>
          <c:showSerName val="0"/>
          <c:showPercent val="0"/>
          <c:showBubbleSize val="0"/>
        </c:dLbls>
        <c:smooth val="0"/>
        <c:axId val="412284016"/>
        <c:axId val="412284408"/>
      </c:lineChart>
      <c:catAx>
        <c:axId val="412284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2284408"/>
        <c:crosses val="autoZero"/>
        <c:auto val="1"/>
        <c:lblAlgn val="ctr"/>
        <c:lblOffset val="100"/>
        <c:noMultiLvlLbl val="0"/>
      </c:catAx>
      <c:valAx>
        <c:axId val="412284408"/>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22840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0"/>
          <c:order val="0"/>
          <c:tx>
            <c:strRef>
              <c:f>Summary!$A$5</c:f>
              <c:strCache>
                <c:ptCount val="1"/>
                <c:pt idx="0">
                  <c:v>ORIGINAL ESTIMATES</c:v>
                </c:pt>
              </c:strCache>
            </c:strRef>
          </c:tx>
          <c:spPr>
            <a:solidFill>
              <a:srgbClr val="62BDB6"/>
            </a:solidFill>
            <a:ln>
              <a:noFill/>
            </a:ln>
            <a:effectLst/>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Summary!$X$6:$AP$6</c:f>
              <c:numCache>
                <c:formatCode>#,##0</c:formatCode>
                <c:ptCount val="7"/>
                <c:pt idx="0">
                  <c:v>28577.247355351661</c:v>
                </c:pt>
                <c:pt idx="1">
                  <c:v>26610.180139309006</c:v>
                </c:pt>
                <c:pt idx="2">
                  <c:v>26240.178376213596</c:v>
                </c:pt>
                <c:pt idx="3">
                  <c:v>27090.435050598862</c:v>
                </c:pt>
                <c:pt idx="4">
                  <c:v>30772.237101227405</c:v>
                </c:pt>
                <c:pt idx="5">
                  <c:v>28335.280176173645</c:v>
                </c:pt>
                <c:pt idx="6">
                  <c:v>27653.331335663122</c:v>
                </c:pt>
              </c:numCache>
            </c:numRef>
          </c:val>
          <c:extLst>
            <c:ext xmlns:c16="http://schemas.microsoft.com/office/drawing/2014/chart" uri="{C3380CC4-5D6E-409C-BE32-E72D297353CC}">
              <c16:uniqueId val="{00000000-AB23-4BD5-8379-E1AAEAEA8CF1}"/>
            </c:ext>
          </c:extLst>
        </c:ser>
        <c:dLbls>
          <c:showLegendKey val="0"/>
          <c:showVal val="0"/>
          <c:showCatName val="0"/>
          <c:showSerName val="0"/>
          <c:showPercent val="0"/>
          <c:showBubbleSize val="0"/>
        </c:dLbls>
        <c:gapWidth val="150"/>
        <c:axId val="221278072"/>
        <c:axId val="221278464"/>
      </c:barChart>
      <c:lineChart>
        <c:grouping val="standard"/>
        <c:varyColors val="0"/>
        <c:ser>
          <c:idx val="1"/>
          <c:order val="1"/>
          <c:tx>
            <c:v>Original series growth</c:v>
          </c:tx>
          <c:spPr>
            <a:ln w="28575" cap="rnd">
              <a:solidFill>
                <a:schemeClr val="accent2"/>
              </a:solidFill>
              <a:round/>
            </a:ln>
            <a:effectLst/>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Summary!$X$35:$AP$35</c:f>
              <c:numCache>
                <c:formatCode>0.0</c:formatCode>
                <c:ptCount val="7"/>
                <c:pt idx="0">
                  <c:v>-0.26122599349414077</c:v>
                </c:pt>
                <c:pt idx="1">
                  <c:v>0.50756396361286704</c:v>
                </c:pt>
                <c:pt idx="2">
                  <c:v>6.7464548438344707</c:v>
                </c:pt>
                <c:pt idx="3">
                  <c:v>6.1811726662669653</c:v>
                </c:pt>
                <c:pt idx="4">
                  <c:v>7.680899838187849</c:v>
                </c:pt>
                <c:pt idx="5">
                  <c:v>6.4828574170991526</c:v>
                </c:pt>
                <c:pt idx="6">
                  <c:v>5.3854548516732992</c:v>
                </c:pt>
              </c:numCache>
            </c:numRef>
          </c:val>
          <c:smooth val="0"/>
          <c:extLst>
            <c:ext xmlns:c16="http://schemas.microsoft.com/office/drawing/2014/chart" uri="{C3380CC4-5D6E-409C-BE32-E72D297353CC}">
              <c16:uniqueId val="{00000001-AB23-4BD5-8379-E1AAEAEA8CF1}"/>
            </c:ext>
          </c:extLst>
        </c:ser>
        <c:dLbls>
          <c:showLegendKey val="0"/>
          <c:showVal val="0"/>
          <c:showCatName val="0"/>
          <c:showSerName val="0"/>
          <c:showPercent val="0"/>
          <c:showBubbleSize val="0"/>
        </c:dLbls>
        <c:marker val="1"/>
        <c:smooth val="0"/>
        <c:axId val="221279248"/>
        <c:axId val="221278856"/>
      </c:lineChart>
      <c:catAx>
        <c:axId val="221278072"/>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1278464"/>
        <c:crosses val="autoZero"/>
        <c:auto val="1"/>
        <c:lblAlgn val="ctr"/>
        <c:lblOffset val="100"/>
        <c:noMultiLvlLbl val="0"/>
      </c:catAx>
      <c:valAx>
        <c:axId val="221278464"/>
        <c:scaling>
          <c:orientation val="minMax"/>
          <c:max val="14000"/>
          <c:min val="5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1278072"/>
        <c:crosses val="autoZero"/>
        <c:crossBetween val="between"/>
        <c:majorUnit val="1000"/>
      </c:valAx>
      <c:valAx>
        <c:axId val="221278856"/>
        <c:scaling>
          <c:orientation val="minMax"/>
        </c:scaling>
        <c:delete val="0"/>
        <c:axPos val="r"/>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279248"/>
        <c:crosses val="max"/>
        <c:crossBetween val="between"/>
      </c:valAx>
      <c:catAx>
        <c:axId val="221279248"/>
        <c:scaling>
          <c:orientation val="minMax"/>
        </c:scaling>
        <c:delete val="1"/>
        <c:axPos val="b"/>
        <c:numFmt formatCode="General" sourceLinked="1"/>
        <c:majorTickMark val="out"/>
        <c:minorTickMark val="none"/>
        <c:tickLblPos val="nextTo"/>
        <c:crossAx val="221278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 in QGDP estimates </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Summary!$X$43:$AP$43</c:f>
              <c:numCache>
                <c:formatCode>#,##0.0</c:formatCode>
                <c:ptCount val="7"/>
                <c:pt idx="0">
                  <c:v>0.83239308103602028</c:v>
                </c:pt>
                <c:pt idx="1">
                  <c:v>1.4978379139610531</c:v>
                </c:pt>
                <c:pt idx="2">
                  <c:v>3.0208624299154385</c:v>
                </c:pt>
                <c:pt idx="3">
                  <c:v>0.96962077675153413</c:v>
                </c:pt>
                <c:pt idx="4">
                  <c:v>1.4096174609220746</c:v>
                </c:pt>
                <c:pt idx="5">
                  <c:v>0.95852185714253579</c:v>
                </c:pt>
                <c:pt idx="6">
                  <c:v>2.3642920522684685</c:v>
                </c:pt>
              </c:numCache>
            </c:numRef>
          </c:val>
          <c:smooth val="0"/>
          <c:extLst>
            <c:ext xmlns:c16="http://schemas.microsoft.com/office/drawing/2014/chart" uri="{C3380CC4-5D6E-409C-BE32-E72D297353CC}">
              <c16:uniqueId val="{00000000-7DEF-4D18-960B-322A6F472181}"/>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Summary!$X$51:$AP$51</c:f>
              <c:numCache>
                <c:formatCode>0.0</c:formatCode>
                <c:ptCount val="7"/>
                <c:pt idx="0">
                  <c:v>1.1241618395501085</c:v>
                </c:pt>
                <c:pt idx="1">
                  <c:v>1.632637007112514</c:v>
                </c:pt>
                <c:pt idx="2">
                  <c:v>1.8408356185219965</c:v>
                </c:pt>
                <c:pt idx="3">
                  <c:v>1.6201534061083711</c:v>
                </c:pt>
                <c:pt idx="4">
                  <c:v>1.1796179957354269</c:v>
                </c:pt>
                <c:pt idx="5">
                  <c:v>1.2346960896668868</c:v>
                </c:pt>
                <c:pt idx="6">
                  <c:v>1.611071816557863</c:v>
                </c:pt>
              </c:numCache>
            </c:numRef>
          </c:val>
          <c:smooth val="0"/>
          <c:extLst>
            <c:ext xmlns:c16="http://schemas.microsoft.com/office/drawing/2014/chart" uri="{C3380CC4-5D6E-409C-BE32-E72D297353CC}">
              <c16:uniqueId val="{00000001-7DEF-4D18-960B-322A6F472181}"/>
            </c:ext>
          </c:extLst>
        </c:ser>
        <c:dLbls>
          <c:showLegendKey val="0"/>
          <c:showVal val="0"/>
          <c:showCatName val="0"/>
          <c:showSerName val="0"/>
          <c:showPercent val="0"/>
          <c:showBubbleSize val="0"/>
        </c:dLbls>
        <c:smooth val="0"/>
        <c:axId val="962413816"/>
        <c:axId val="962412640"/>
      </c:lineChart>
      <c:catAx>
        <c:axId val="96241381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2640"/>
        <c:crosses val="autoZero"/>
        <c:auto val="1"/>
        <c:lblAlgn val="ctr"/>
        <c:lblOffset val="100"/>
        <c:noMultiLvlLbl val="0"/>
      </c:catAx>
      <c:valAx>
        <c:axId val="962412640"/>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3816"/>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Agriculture sector Value Added at 2009/10 Constant prices</a:t>
            </a:r>
          </a:p>
        </c:rich>
      </c:tx>
      <c:overlay val="0"/>
    </c:title>
    <c:autoTitleDeleted val="0"/>
    <c:plotArea>
      <c:layout>
        <c:manualLayout>
          <c:layoutTarget val="inner"/>
          <c:xMode val="edge"/>
          <c:yMode val="edge"/>
          <c:x val="0.15009062546426979"/>
          <c:y val="0.14414543200550115"/>
          <c:w val="0.71653518546030803"/>
          <c:h val="0.57733600643093042"/>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Summary!$X$7:$AP$7</c:f>
              <c:numCache>
                <c:formatCode>#,##0</c:formatCode>
                <c:ptCount val="7"/>
                <c:pt idx="0">
                  <c:v>8012.3898438440583</c:v>
                </c:pt>
                <c:pt idx="1">
                  <c:v>6110.5574830010291</c:v>
                </c:pt>
                <c:pt idx="2">
                  <c:v>5359.3297594225651</c:v>
                </c:pt>
                <c:pt idx="3">
                  <c:v>5974.7914938523681</c:v>
                </c:pt>
                <c:pt idx="4">
                  <c:v>8783.75361617198</c:v>
                </c:pt>
                <c:pt idx="5">
                  <c:v>6199.5724243031436</c:v>
                </c:pt>
                <c:pt idx="6">
                  <c:v>5495.0897018703818</c:v>
                </c:pt>
              </c:numCache>
            </c:numRef>
          </c:val>
          <c:extLst>
            <c:ext xmlns:c16="http://schemas.microsoft.com/office/drawing/2014/chart" uri="{C3380CC4-5D6E-409C-BE32-E72D297353CC}">
              <c16:uniqueId val="{00000000-C5FD-401A-BA64-505EF7608B00}"/>
            </c:ext>
          </c:extLst>
        </c:ser>
        <c:dLbls>
          <c:showLegendKey val="0"/>
          <c:showVal val="0"/>
          <c:showCatName val="0"/>
          <c:showSerName val="0"/>
          <c:showPercent val="0"/>
          <c:showBubbleSize val="0"/>
        </c:dLbls>
        <c:gapWidth val="150"/>
        <c:axId val="962413424"/>
        <c:axId val="962414208"/>
      </c:barChart>
      <c:lineChart>
        <c:grouping val="standard"/>
        <c:varyColors val="0"/>
        <c:ser>
          <c:idx val="1"/>
          <c:order val="1"/>
          <c:tx>
            <c:v>Original series growth</c:v>
          </c:tx>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Summary!$X$36:$AP$36</c:f>
              <c:numCache>
                <c:formatCode>0.0</c:formatCode>
                <c:ptCount val="7"/>
                <c:pt idx="0">
                  <c:v>1.1733408264864575</c:v>
                </c:pt>
                <c:pt idx="1">
                  <c:v>3.2296506496494182</c:v>
                </c:pt>
                <c:pt idx="2">
                  <c:v>1.0636812340840684</c:v>
                </c:pt>
                <c:pt idx="3">
                  <c:v>6.0861995034416916</c:v>
                </c:pt>
                <c:pt idx="4">
                  <c:v>9.6271373131021853</c:v>
                </c:pt>
                <c:pt idx="5">
                  <c:v>1.4567401018605208</c:v>
                </c:pt>
                <c:pt idx="6">
                  <c:v>2.5331515047964492</c:v>
                </c:pt>
              </c:numCache>
            </c:numRef>
          </c:val>
          <c:smooth val="0"/>
          <c:extLst>
            <c:ext xmlns:c16="http://schemas.microsoft.com/office/drawing/2014/chart" uri="{C3380CC4-5D6E-409C-BE32-E72D297353CC}">
              <c16:uniqueId val="{00000001-C5FD-401A-BA64-505EF7608B00}"/>
            </c:ext>
          </c:extLst>
        </c:ser>
        <c:dLbls>
          <c:showLegendKey val="0"/>
          <c:showVal val="0"/>
          <c:showCatName val="0"/>
          <c:showSerName val="0"/>
          <c:showPercent val="0"/>
          <c:showBubbleSize val="0"/>
        </c:dLbls>
        <c:marker val="1"/>
        <c:smooth val="0"/>
        <c:axId val="962405216"/>
        <c:axId val="962411096"/>
      </c:lineChart>
      <c:catAx>
        <c:axId val="96241342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4208"/>
        <c:crosses val="autoZero"/>
        <c:auto val="1"/>
        <c:lblAlgn val="ctr"/>
        <c:lblOffset val="100"/>
        <c:noMultiLvlLbl val="0"/>
      </c:catAx>
      <c:valAx>
        <c:axId val="96241420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3424"/>
        <c:crosses val="autoZero"/>
        <c:crossBetween val="between"/>
      </c:valAx>
      <c:valAx>
        <c:axId val="962411096"/>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5216"/>
        <c:crosses val="max"/>
        <c:crossBetween val="between"/>
      </c:valAx>
      <c:catAx>
        <c:axId val="962405216"/>
        <c:scaling>
          <c:orientation val="minMax"/>
        </c:scaling>
        <c:delete val="1"/>
        <c:axPos val="b"/>
        <c:numFmt formatCode="General" sourceLinked="1"/>
        <c:majorTickMark val="out"/>
        <c:minorTickMark val="none"/>
        <c:tickLblPos val="nextTo"/>
        <c:crossAx val="962411096"/>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Industry sector Value Added at 2009/10 Constant prices</a:t>
            </a:r>
          </a:p>
        </c:rich>
      </c:tx>
      <c:overlay val="0"/>
    </c:title>
    <c:autoTitleDeleted val="0"/>
    <c:plotArea>
      <c:layout>
        <c:manualLayout>
          <c:layoutTarget val="inner"/>
          <c:xMode val="edge"/>
          <c:yMode val="edge"/>
          <c:x val="0.17667756908907606"/>
          <c:y val="0.14414543200550115"/>
          <c:w val="0.70131797033263721"/>
          <c:h val="0.58589689203978657"/>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Summary!$X$8:$AP$8</c:f>
              <c:numCache>
                <c:formatCode>#,##0</c:formatCode>
                <c:ptCount val="7"/>
                <c:pt idx="0">
                  <c:v>6768.713051955091</c:v>
                </c:pt>
                <c:pt idx="1">
                  <c:v>7106.8655859703567</c:v>
                </c:pt>
                <c:pt idx="2">
                  <c:v>7305.4210324818123</c:v>
                </c:pt>
                <c:pt idx="3">
                  <c:v>7067.3259345873512</c:v>
                </c:pt>
                <c:pt idx="4">
                  <c:v>7134.9058713826926</c:v>
                </c:pt>
                <c:pt idx="5">
                  <c:v>7312.6317555530877</c:v>
                </c:pt>
                <c:pt idx="6">
                  <c:v>7537.2021354850558</c:v>
                </c:pt>
              </c:numCache>
            </c:numRef>
          </c:val>
          <c:extLst>
            <c:ext xmlns:c16="http://schemas.microsoft.com/office/drawing/2014/chart" uri="{C3380CC4-5D6E-409C-BE32-E72D297353CC}">
              <c16:uniqueId val="{00000000-FA3F-4C82-A029-7880E2921519}"/>
            </c:ext>
          </c:extLst>
        </c:ser>
        <c:dLbls>
          <c:showLegendKey val="0"/>
          <c:showVal val="0"/>
          <c:showCatName val="0"/>
          <c:showSerName val="0"/>
          <c:showPercent val="0"/>
          <c:showBubbleSize val="0"/>
        </c:dLbls>
        <c:gapWidth val="150"/>
        <c:axId val="962406784"/>
        <c:axId val="962410704"/>
      </c:barChart>
      <c:lineChart>
        <c:grouping val="standard"/>
        <c:varyColors val="0"/>
        <c:ser>
          <c:idx val="1"/>
          <c:order val="1"/>
          <c:tx>
            <c:v>Original series growth</c:v>
          </c:tx>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Summary!$X$53:$AP$53</c:f>
              <c:numCache>
                <c:formatCode>0.0</c:formatCode>
                <c:ptCount val="7"/>
                <c:pt idx="0">
                  <c:v>3.856054311403323</c:v>
                </c:pt>
                <c:pt idx="1">
                  <c:v>4.2157252181967531</c:v>
                </c:pt>
                <c:pt idx="2">
                  <c:v>1.7699651330807642</c:v>
                </c:pt>
                <c:pt idx="3">
                  <c:v>-0.27906272822922906</c:v>
                </c:pt>
                <c:pt idx="4">
                  <c:v>-0.51830632278656585</c:v>
                </c:pt>
                <c:pt idx="5">
                  <c:v>1.5623151250266476</c:v>
                </c:pt>
                <c:pt idx="6">
                  <c:v>3.2660337009788654</c:v>
                </c:pt>
              </c:numCache>
            </c:numRef>
          </c:val>
          <c:smooth val="0"/>
          <c:extLst>
            <c:ext xmlns:c16="http://schemas.microsoft.com/office/drawing/2014/chart" uri="{C3380CC4-5D6E-409C-BE32-E72D297353CC}">
              <c16:uniqueId val="{00000001-FA3F-4C82-A029-7880E2921519}"/>
            </c:ext>
          </c:extLst>
        </c:ser>
        <c:dLbls>
          <c:showLegendKey val="0"/>
          <c:showVal val="0"/>
          <c:showCatName val="0"/>
          <c:showSerName val="0"/>
          <c:showPercent val="0"/>
          <c:showBubbleSize val="0"/>
        </c:dLbls>
        <c:marker val="1"/>
        <c:smooth val="0"/>
        <c:axId val="962406392"/>
        <c:axId val="962408744"/>
      </c:lineChart>
      <c:catAx>
        <c:axId val="96240678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0704"/>
        <c:crosses val="autoZero"/>
        <c:auto val="1"/>
        <c:lblAlgn val="ctr"/>
        <c:lblOffset val="100"/>
        <c:noMultiLvlLbl val="0"/>
      </c:catAx>
      <c:valAx>
        <c:axId val="96241070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6784"/>
        <c:crosses val="autoZero"/>
        <c:crossBetween val="between"/>
      </c:valAx>
      <c:valAx>
        <c:axId val="962408744"/>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6392"/>
        <c:crosses val="max"/>
        <c:crossBetween val="between"/>
      </c:valAx>
      <c:catAx>
        <c:axId val="962406392"/>
        <c:scaling>
          <c:orientation val="minMax"/>
        </c:scaling>
        <c:delete val="1"/>
        <c:axPos val="b"/>
        <c:numFmt formatCode="General" sourceLinked="1"/>
        <c:majorTickMark val="out"/>
        <c:minorTickMark val="none"/>
        <c:tickLblPos val="nextTo"/>
        <c:crossAx val="962408744"/>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Services sector Value Added at 2009/10 Constant prices</a:t>
            </a:r>
          </a:p>
        </c:rich>
      </c:tx>
      <c:overlay val="0"/>
    </c:title>
    <c:autoTitleDeleted val="0"/>
    <c:plotArea>
      <c:layout>
        <c:manualLayout>
          <c:layoutTarget val="inner"/>
          <c:xMode val="edge"/>
          <c:yMode val="edge"/>
          <c:x val="0.1518997413458911"/>
          <c:y val="0.14414543200550115"/>
          <c:w val="0.72979225054495311"/>
          <c:h val="0.58589689203978657"/>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Summary!$X$9:$AP$9</c:f>
              <c:numCache>
                <c:formatCode>#,##0</c:formatCode>
                <c:ptCount val="7"/>
                <c:pt idx="0">
                  <c:v>11937.718362657837</c:v>
                </c:pt>
                <c:pt idx="1">
                  <c:v>11574.904273245027</c:v>
                </c:pt>
                <c:pt idx="2">
                  <c:v>11626.766484146794</c:v>
                </c:pt>
                <c:pt idx="3">
                  <c:v>12042.626656368144</c:v>
                </c:pt>
                <c:pt idx="4">
                  <c:v>12862.303229009287</c:v>
                </c:pt>
                <c:pt idx="5">
                  <c:v>12815.187341991386</c:v>
                </c:pt>
                <c:pt idx="6">
                  <c:v>12685.29920931673</c:v>
                </c:pt>
              </c:numCache>
            </c:numRef>
          </c:val>
          <c:extLst>
            <c:ext xmlns:c16="http://schemas.microsoft.com/office/drawing/2014/chart" uri="{C3380CC4-5D6E-409C-BE32-E72D297353CC}">
              <c16:uniqueId val="{00000000-3D13-49F3-8743-8C1D2B9491E5}"/>
            </c:ext>
          </c:extLst>
        </c:ser>
        <c:dLbls>
          <c:showLegendKey val="0"/>
          <c:showVal val="0"/>
          <c:showCatName val="0"/>
          <c:showSerName val="0"/>
          <c:showPercent val="0"/>
          <c:showBubbleSize val="0"/>
        </c:dLbls>
        <c:gapWidth val="150"/>
        <c:axId val="962409136"/>
        <c:axId val="962407176"/>
      </c:barChart>
      <c:lineChart>
        <c:grouping val="standard"/>
        <c:varyColors val="0"/>
        <c:ser>
          <c:idx val="1"/>
          <c:order val="1"/>
          <c:tx>
            <c:v>Original series growth</c:v>
          </c:tx>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Summary!$X$38:$AP$38</c:f>
              <c:numCache>
                <c:formatCode>0.0</c:formatCode>
                <c:ptCount val="7"/>
                <c:pt idx="0">
                  <c:v>-2.4907341406145034</c:v>
                </c:pt>
                <c:pt idx="1">
                  <c:v>-3.7360090149601177</c:v>
                </c:pt>
                <c:pt idx="2">
                  <c:v>2.5175007417198803</c:v>
                </c:pt>
                <c:pt idx="3">
                  <c:v>4.5088343483790316</c:v>
                </c:pt>
                <c:pt idx="4">
                  <c:v>7.7450718660244666</c:v>
                </c:pt>
                <c:pt idx="5">
                  <c:v>10.715277115623568</c:v>
                </c:pt>
                <c:pt idx="6">
                  <c:v>9.1042744052119318</c:v>
                </c:pt>
              </c:numCache>
            </c:numRef>
          </c:val>
          <c:smooth val="0"/>
          <c:extLst>
            <c:ext xmlns:c16="http://schemas.microsoft.com/office/drawing/2014/chart" uri="{C3380CC4-5D6E-409C-BE32-E72D297353CC}">
              <c16:uniqueId val="{00000001-3D13-49F3-8743-8C1D2B9491E5}"/>
            </c:ext>
          </c:extLst>
        </c:ser>
        <c:dLbls>
          <c:showLegendKey val="0"/>
          <c:showVal val="0"/>
          <c:showCatName val="0"/>
          <c:showSerName val="0"/>
          <c:showPercent val="0"/>
          <c:showBubbleSize val="0"/>
        </c:dLbls>
        <c:marker val="1"/>
        <c:smooth val="0"/>
        <c:axId val="962407568"/>
        <c:axId val="962409528"/>
      </c:lineChart>
      <c:catAx>
        <c:axId val="96240913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7176"/>
        <c:crosses val="autoZero"/>
        <c:auto val="1"/>
        <c:lblAlgn val="ctr"/>
        <c:lblOffset val="100"/>
        <c:noMultiLvlLbl val="0"/>
      </c:catAx>
      <c:valAx>
        <c:axId val="962407176"/>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9136"/>
        <c:crosses val="autoZero"/>
        <c:crossBetween val="between"/>
      </c:valAx>
      <c:valAx>
        <c:axId val="962409528"/>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7568"/>
        <c:crosses val="max"/>
        <c:crossBetween val="between"/>
      </c:valAx>
      <c:catAx>
        <c:axId val="962407568"/>
        <c:scaling>
          <c:orientation val="minMax"/>
        </c:scaling>
        <c:delete val="1"/>
        <c:axPos val="b"/>
        <c:numFmt formatCode="General" sourceLinked="1"/>
        <c:majorTickMark val="out"/>
        <c:minorTickMark val="none"/>
        <c:tickLblPos val="nextTo"/>
        <c:crossAx val="962409528"/>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Agriculture sector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Summary!$X$44:$AP$44</c:f>
              <c:numCache>
                <c:formatCode>#,##0.0</c:formatCode>
                <c:ptCount val="7"/>
                <c:pt idx="0">
                  <c:v>-0.95375315153649609</c:v>
                </c:pt>
                <c:pt idx="1">
                  <c:v>4.1201764577865507</c:v>
                </c:pt>
                <c:pt idx="2">
                  <c:v>3.418277242109391</c:v>
                </c:pt>
                <c:pt idx="3">
                  <c:v>-0.56587876013612926</c:v>
                </c:pt>
                <c:pt idx="4">
                  <c:v>1.1995622370269743</c:v>
                </c:pt>
                <c:pt idx="5">
                  <c:v>-1.3729597840817398</c:v>
                </c:pt>
                <c:pt idx="6">
                  <c:v>5.4232796583672194</c:v>
                </c:pt>
              </c:numCache>
            </c:numRef>
          </c:val>
          <c:smooth val="0"/>
          <c:extLst>
            <c:ext xmlns:c16="http://schemas.microsoft.com/office/drawing/2014/chart" uri="{C3380CC4-5D6E-409C-BE32-E72D297353CC}">
              <c16:uniqueId val="{00000000-C504-4B66-A336-806C50CDAB83}"/>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Summary!$X$52:$AP$52</c:f>
              <c:numCache>
                <c:formatCode>0.0</c:formatCode>
                <c:ptCount val="7"/>
                <c:pt idx="0">
                  <c:v>-0.32745985591747795</c:v>
                </c:pt>
                <c:pt idx="1">
                  <c:v>1.2204110192080231</c:v>
                </c:pt>
                <c:pt idx="2">
                  <c:v>1.7895883935146628</c:v>
                </c:pt>
                <c:pt idx="3">
                  <c:v>1.0889919363395784</c:v>
                </c:pt>
                <c:pt idx="4">
                  <c:v>0.22522369748674276</c:v>
                </c:pt>
                <c:pt idx="5">
                  <c:v>0.28746614567478623</c:v>
                </c:pt>
                <c:pt idx="6">
                  <c:v>1.2692228852096088</c:v>
                </c:pt>
              </c:numCache>
            </c:numRef>
          </c:val>
          <c:smooth val="0"/>
          <c:extLst>
            <c:ext xmlns:c16="http://schemas.microsoft.com/office/drawing/2014/chart" uri="{C3380CC4-5D6E-409C-BE32-E72D297353CC}">
              <c16:uniqueId val="{00000001-C504-4B66-A336-806C50CDAB83}"/>
            </c:ext>
          </c:extLst>
        </c:ser>
        <c:dLbls>
          <c:showLegendKey val="0"/>
          <c:showVal val="0"/>
          <c:showCatName val="0"/>
          <c:showSerName val="0"/>
          <c:showPercent val="0"/>
          <c:showBubbleSize val="0"/>
        </c:dLbls>
        <c:smooth val="0"/>
        <c:axId val="962406000"/>
        <c:axId val="962407960"/>
      </c:lineChart>
      <c:catAx>
        <c:axId val="962406000"/>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7960"/>
        <c:crosses val="autoZero"/>
        <c:auto val="1"/>
        <c:lblAlgn val="ctr"/>
        <c:lblOffset val="100"/>
        <c:noMultiLvlLbl val="0"/>
      </c:catAx>
      <c:valAx>
        <c:axId val="962407960"/>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6000"/>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Industry sector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Summary!$X$45:$AP$45</c:f>
              <c:numCache>
                <c:formatCode>0.0</c:formatCode>
                <c:ptCount val="7"/>
                <c:pt idx="0">
                  <c:v>3.1357490743674221</c:v>
                </c:pt>
                <c:pt idx="1">
                  <c:v>3.6891766663961434</c:v>
                </c:pt>
                <c:pt idx="2">
                  <c:v>2.7374102040371051</c:v>
                </c:pt>
                <c:pt idx="3">
                  <c:v>-1.5026234473080269</c:v>
                </c:pt>
                <c:pt idx="4">
                  <c:v>0.25489152703654927</c:v>
                </c:pt>
                <c:pt idx="5">
                  <c:v>0.80758429450284996</c:v>
                </c:pt>
                <c:pt idx="6">
                  <c:v>3.9123496520509393</c:v>
                </c:pt>
              </c:numCache>
            </c:numRef>
          </c:val>
          <c:smooth val="0"/>
          <c:extLst>
            <c:ext xmlns:c16="http://schemas.microsoft.com/office/drawing/2014/chart" uri="{C3380CC4-5D6E-409C-BE32-E72D297353CC}">
              <c16:uniqueId val="{00000000-8254-4175-A40F-DE5A4D5636A2}"/>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Summary!$X$53:$AP$53</c:f>
              <c:numCache>
                <c:formatCode>0.0</c:formatCode>
                <c:ptCount val="7"/>
                <c:pt idx="0">
                  <c:v>3.856054311403323</c:v>
                </c:pt>
                <c:pt idx="1">
                  <c:v>4.2157252181967531</c:v>
                </c:pt>
                <c:pt idx="2">
                  <c:v>1.7699651330807642</c:v>
                </c:pt>
                <c:pt idx="3">
                  <c:v>-0.27906272822922906</c:v>
                </c:pt>
                <c:pt idx="4">
                  <c:v>-0.51830632278656585</c:v>
                </c:pt>
                <c:pt idx="5">
                  <c:v>1.5623151250266476</c:v>
                </c:pt>
                <c:pt idx="6">
                  <c:v>3.2660337009788654</c:v>
                </c:pt>
              </c:numCache>
            </c:numRef>
          </c:val>
          <c:smooth val="0"/>
          <c:extLst>
            <c:ext xmlns:c16="http://schemas.microsoft.com/office/drawing/2014/chart" uri="{C3380CC4-5D6E-409C-BE32-E72D297353CC}">
              <c16:uniqueId val="{00000001-8254-4175-A40F-DE5A4D5636A2}"/>
            </c:ext>
          </c:extLst>
        </c:ser>
        <c:dLbls>
          <c:showLegendKey val="0"/>
          <c:showVal val="0"/>
          <c:showCatName val="0"/>
          <c:showSerName val="0"/>
          <c:showPercent val="0"/>
          <c:showBubbleSize val="0"/>
        </c:dLbls>
        <c:smooth val="0"/>
        <c:axId val="962411488"/>
        <c:axId val="962404824"/>
      </c:lineChart>
      <c:catAx>
        <c:axId val="962411488"/>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4824"/>
        <c:crosses val="autoZero"/>
        <c:auto val="1"/>
        <c:lblAlgn val="ctr"/>
        <c:lblOffset val="100"/>
        <c:noMultiLvlLbl val="0"/>
      </c:catAx>
      <c:valAx>
        <c:axId val="96240482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1488"/>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Services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Summary!$X$46:$AP$46</c:f>
              <c:numCache>
                <c:formatCode>0.0</c:formatCode>
                <c:ptCount val="7"/>
                <c:pt idx="0">
                  <c:v>-0.29112186129066631</c:v>
                </c:pt>
                <c:pt idx="1">
                  <c:v>-0.2503111203445707</c:v>
                </c:pt>
                <c:pt idx="2">
                  <c:v>2.0278346703511474</c:v>
                </c:pt>
                <c:pt idx="3">
                  <c:v>3.4254061587448259</c:v>
                </c:pt>
                <c:pt idx="4">
                  <c:v>2.1563853983583181</c:v>
                </c:pt>
                <c:pt idx="5">
                  <c:v>2.6181517899594553</c:v>
                </c:pt>
                <c:pt idx="6">
                  <c:v>0.52233515441826306</c:v>
                </c:pt>
              </c:numCache>
            </c:numRef>
          </c:val>
          <c:smooth val="0"/>
          <c:extLst>
            <c:ext xmlns:c16="http://schemas.microsoft.com/office/drawing/2014/chart" uri="{C3380CC4-5D6E-409C-BE32-E72D297353CC}">
              <c16:uniqueId val="{00000000-CFA4-4C97-9BD6-570D7F91C33F}"/>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Summary!$X$54:$AP$54</c:f>
              <c:numCache>
                <c:formatCode>0.0</c:formatCode>
                <c:ptCount val="7"/>
                <c:pt idx="0">
                  <c:v>-0.21951689696452226</c:v>
                </c:pt>
                <c:pt idx="1">
                  <c:v>0.18537691148805546</c:v>
                </c:pt>
                <c:pt idx="2">
                  <c:v>1.8722881172096084</c:v>
                </c:pt>
                <c:pt idx="3">
                  <c:v>2.9898371940984436</c:v>
                </c:pt>
                <c:pt idx="4">
                  <c:v>2.7943823079700003</c:v>
                </c:pt>
                <c:pt idx="5">
                  <c:v>1.8640342864133741</c:v>
                </c:pt>
                <c:pt idx="6">
                  <c:v>1.1600061303836728</c:v>
                </c:pt>
              </c:numCache>
            </c:numRef>
          </c:val>
          <c:smooth val="0"/>
          <c:extLst>
            <c:ext xmlns:c16="http://schemas.microsoft.com/office/drawing/2014/chart" uri="{C3380CC4-5D6E-409C-BE32-E72D297353CC}">
              <c16:uniqueId val="{00000001-CFA4-4C97-9BD6-570D7F91C33F}"/>
            </c:ext>
          </c:extLst>
        </c:ser>
        <c:dLbls>
          <c:showLegendKey val="0"/>
          <c:showVal val="0"/>
          <c:showCatName val="0"/>
          <c:showSerName val="0"/>
          <c:showPercent val="0"/>
          <c:showBubbleSize val="0"/>
        </c:dLbls>
        <c:smooth val="0"/>
        <c:axId val="479643632"/>
        <c:axId val="479642064"/>
      </c:lineChart>
      <c:catAx>
        <c:axId val="479643632"/>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479642064"/>
        <c:crosses val="autoZero"/>
        <c:auto val="1"/>
        <c:lblAlgn val="ctr"/>
        <c:lblOffset val="100"/>
        <c:noMultiLvlLbl val="0"/>
      </c:catAx>
      <c:valAx>
        <c:axId val="47964206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479643632"/>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33" l="0.70000000000000062" r="0.70000000000000062" t="0.75000000000000533"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054713679657969"/>
          <c:y val="3.8821868964492655E-2"/>
          <c:w val="0.87683231813004503"/>
          <c:h val="0.68528251676873719"/>
        </c:manualLayout>
      </c:layout>
      <c:barChart>
        <c:barDir val="col"/>
        <c:grouping val="stacked"/>
        <c:varyColors val="0"/>
        <c:ser>
          <c:idx val="0"/>
          <c:order val="0"/>
          <c:tx>
            <c:strRef>
              <c:f>Deseason_Growth_Decomp!$A$6</c:f>
              <c:strCache>
                <c:ptCount val="1"/>
                <c:pt idx="0">
                  <c:v>AGRICULTURE,FORESTRY&amp;FISHING</c:v>
                </c:pt>
              </c:strCache>
            </c:strRef>
          </c:tx>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Deseason_Growth_Decomp!$X$3:$AE$4</c:f>
            </c:multiLvlStrRef>
          </c:cat>
          <c:val>
            <c:numRef>
              <c:f>Deseason_Growth_Decomp!$X$6:$AE$6</c:f>
            </c:numRef>
          </c:val>
          <c:extLst>
            <c:ext xmlns:c16="http://schemas.microsoft.com/office/drawing/2014/chart" uri="{C3380CC4-5D6E-409C-BE32-E72D297353CC}">
              <c16:uniqueId val="{00000000-0EE0-4092-99AD-1D86CBC9938A}"/>
            </c:ext>
          </c:extLst>
        </c:ser>
        <c:ser>
          <c:idx val="1"/>
          <c:order val="1"/>
          <c:tx>
            <c:strRef>
              <c:f>Deseason_Growth_Decomp!$A$13</c:f>
              <c:strCache>
                <c:ptCount val="1"/>
                <c:pt idx="0">
                  <c:v>INDUSTRY</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Deseason_Growth_Decomp!$X$3:$AE$4</c:f>
            </c:multiLvlStrRef>
          </c:cat>
          <c:val>
            <c:numRef>
              <c:f>Deseason_Growth_Decomp!$X$13:$AE$13</c:f>
            </c:numRef>
          </c:val>
          <c:extLst>
            <c:ext xmlns:c16="http://schemas.microsoft.com/office/drawing/2014/chart" uri="{C3380CC4-5D6E-409C-BE32-E72D297353CC}">
              <c16:uniqueId val="{00000001-0EE0-4092-99AD-1D86CBC9938A}"/>
            </c:ext>
          </c:extLst>
        </c:ser>
        <c:ser>
          <c:idx val="2"/>
          <c:order val="2"/>
          <c:tx>
            <c:strRef>
              <c:f>Deseason_Growth_Decomp!$A$19</c:f>
              <c:strCache>
                <c:ptCount val="1"/>
                <c:pt idx="0">
                  <c:v>SERVICES</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Deseason_Growth_Decomp!$X$3:$AE$4</c:f>
            </c:multiLvlStrRef>
          </c:cat>
          <c:val>
            <c:numRef>
              <c:f>Deseason_Growth_Decomp!$X$19:$AE$19</c:f>
            </c:numRef>
          </c:val>
          <c:extLst>
            <c:ext xmlns:c16="http://schemas.microsoft.com/office/drawing/2014/chart" uri="{C3380CC4-5D6E-409C-BE32-E72D297353CC}">
              <c16:uniqueId val="{00000002-0EE0-4092-99AD-1D86CBC9938A}"/>
            </c:ext>
          </c:extLst>
        </c:ser>
        <c:ser>
          <c:idx val="3"/>
          <c:order val="3"/>
          <c:tx>
            <c:strRef>
              <c:f>Deseason_Growth_Decomp!$A$36</c:f>
              <c:strCache>
                <c:ptCount val="1"/>
                <c:pt idx="0">
                  <c:v>Taxes on products</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Deseason_Growth_Decomp!$X$3:$AE$4</c:f>
            </c:multiLvlStrRef>
          </c:cat>
          <c:val>
            <c:numRef>
              <c:f>Deseason_Growth_Decomp!$X$36:$AE$36</c:f>
            </c:numRef>
          </c:val>
          <c:extLst>
            <c:ext xmlns:c16="http://schemas.microsoft.com/office/drawing/2014/chart" uri="{C3380CC4-5D6E-409C-BE32-E72D297353CC}">
              <c16:uniqueId val="{00000003-0EE0-4092-99AD-1D86CBC9938A}"/>
            </c:ext>
          </c:extLst>
        </c:ser>
        <c:dLbls>
          <c:showLegendKey val="0"/>
          <c:showVal val="0"/>
          <c:showCatName val="0"/>
          <c:showSerName val="0"/>
          <c:showPercent val="0"/>
          <c:showBubbleSize val="0"/>
        </c:dLbls>
        <c:gapWidth val="36"/>
        <c:overlap val="100"/>
        <c:axId val="479644024"/>
        <c:axId val="479641672"/>
      </c:barChart>
      <c:catAx>
        <c:axId val="479644024"/>
        <c:scaling>
          <c:orientation val="minMax"/>
        </c:scaling>
        <c:delete val="0"/>
        <c:axPos val="b"/>
        <c:numFmt formatCode="General" sourceLinked="0"/>
        <c:majorTickMark val="out"/>
        <c:minorTickMark val="none"/>
        <c:tickLblPos val="nextTo"/>
        <c:crossAx val="479641672"/>
        <c:crosses val="autoZero"/>
        <c:auto val="1"/>
        <c:lblAlgn val="ctr"/>
        <c:lblOffset val="700"/>
        <c:noMultiLvlLbl val="0"/>
      </c:catAx>
      <c:valAx>
        <c:axId val="479641672"/>
        <c:scaling>
          <c:orientation val="minMax"/>
          <c:min val="-4"/>
        </c:scaling>
        <c:delete val="0"/>
        <c:axPos val="l"/>
        <c:numFmt formatCode="#,##0.0" sourceLinked="1"/>
        <c:majorTickMark val="out"/>
        <c:minorTickMark val="none"/>
        <c:tickLblPos val="nextTo"/>
        <c:crossAx val="479644024"/>
        <c:crosses val="autoZero"/>
        <c:crossBetween val="between"/>
        <c:majorUnit val="1"/>
      </c:valAx>
    </c:plotArea>
    <c:legend>
      <c:legendPos val="b"/>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1"/>
          <c:order val="0"/>
          <c:tx>
            <c:v>Original series growth</c:v>
          </c:tx>
          <c:spPr>
            <a:solidFill>
              <a:schemeClr val="accent5"/>
            </a:solidFill>
            <a:ln>
              <a:solidFill>
                <a:schemeClr val="accent2"/>
              </a:solidFill>
            </a:ln>
            <a:effectLst/>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Summary!$X$35:$AP$35</c:f>
              <c:numCache>
                <c:formatCode>0.0</c:formatCode>
                <c:ptCount val="7"/>
                <c:pt idx="0">
                  <c:v>-0.26122599349414077</c:v>
                </c:pt>
                <c:pt idx="1">
                  <c:v>0.50756396361286704</c:v>
                </c:pt>
                <c:pt idx="2">
                  <c:v>6.7464548438344707</c:v>
                </c:pt>
                <c:pt idx="3">
                  <c:v>6.1811726662669653</c:v>
                </c:pt>
                <c:pt idx="4">
                  <c:v>7.680899838187849</c:v>
                </c:pt>
                <c:pt idx="5">
                  <c:v>6.4828574170991526</c:v>
                </c:pt>
                <c:pt idx="6">
                  <c:v>5.3854548516732992</c:v>
                </c:pt>
              </c:numCache>
            </c:numRef>
          </c:val>
          <c:extLst>
            <c:ext xmlns:c16="http://schemas.microsoft.com/office/drawing/2014/chart" uri="{C3380CC4-5D6E-409C-BE32-E72D297353CC}">
              <c16:uniqueId val="{00000000-94D4-4DFC-AB0C-55585DFF0FB2}"/>
            </c:ext>
          </c:extLst>
        </c:ser>
        <c:dLbls>
          <c:showLegendKey val="0"/>
          <c:showVal val="0"/>
          <c:showCatName val="0"/>
          <c:showSerName val="0"/>
          <c:showPercent val="0"/>
          <c:showBubbleSize val="0"/>
        </c:dLbls>
        <c:gapWidth val="150"/>
        <c:axId val="479646768"/>
        <c:axId val="479649120"/>
      </c:barChart>
      <c:catAx>
        <c:axId val="479646768"/>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9120"/>
        <c:crosses val="autoZero"/>
        <c:auto val="1"/>
        <c:lblAlgn val="ctr"/>
        <c:lblOffset val="100"/>
        <c:noMultiLvlLbl val="0"/>
      </c:catAx>
      <c:valAx>
        <c:axId val="47964912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1"/>
          <c:order val="0"/>
          <c:tx>
            <c:strRef>
              <c:f>Summary!$A$42</c:f>
              <c:strCache>
                <c:ptCount val="1"/>
                <c:pt idx="0">
                  <c:v>SEASONALLY ADJUSTED ESTIMATES</c:v>
                </c:pt>
              </c:strCache>
            </c:strRef>
          </c:tx>
          <c:spPr>
            <a:solidFill>
              <a:schemeClr val="accent5"/>
            </a:solidFill>
            <a:ln>
              <a:solidFill>
                <a:schemeClr val="accent2"/>
              </a:solidFill>
            </a:ln>
            <a:effectLst/>
          </c:spPr>
          <c:invertIfNegative val="0"/>
          <c:cat>
            <c:multiLvlStrRef>
              <c:f>Summary!$X$3:$AP$4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Summary!$X$43:$AP$43</c:f>
              <c:numCache>
                <c:formatCode>#,##0.0</c:formatCode>
                <c:ptCount val="7"/>
                <c:pt idx="0">
                  <c:v>0.83239308103602028</c:v>
                </c:pt>
                <c:pt idx="1">
                  <c:v>1.4978379139610531</c:v>
                </c:pt>
                <c:pt idx="2">
                  <c:v>3.0208624299154385</c:v>
                </c:pt>
                <c:pt idx="3">
                  <c:v>0.96962077675153413</c:v>
                </c:pt>
                <c:pt idx="4">
                  <c:v>1.4096174609220746</c:v>
                </c:pt>
                <c:pt idx="5">
                  <c:v>0.95852185714253579</c:v>
                </c:pt>
                <c:pt idx="6">
                  <c:v>2.3642920522684685</c:v>
                </c:pt>
              </c:numCache>
            </c:numRef>
          </c:val>
          <c:extLst>
            <c:ext xmlns:c16="http://schemas.microsoft.com/office/drawing/2014/chart" uri="{C3380CC4-5D6E-409C-BE32-E72D297353CC}">
              <c16:uniqueId val="{00000000-1C77-4AC4-8049-4B1FD4FF6345}"/>
            </c:ext>
          </c:extLst>
        </c:ser>
        <c:dLbls>
          <c:showLegendKey val="0"/>
          <c:showVal val="0"/>
          <c:showCatName val="0"/>
          <c:showSerName val="0"/>
          <c:showPercent val="0"/>
          <c:showBubbleSize val="0"/>
        </c:dLbls>
        <c:gapWidth val="150"/>
        <c:axId val="479642848"/>
        <c:axId val="479645200"/>
      </c:barChart>
      <c:catAx>
        <c:axId val="479642848"/>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5200"/>
        <c:crosses val="autoZero"/>
        <c:auto val="1"/>
        <c:lblAlgn val="ctr"/>
        <c:lblOffset val="100"/>
        <c:noMultiLvlLbl val="0"/>
      </c:catAx>
      <c:valAx>
        <c:axId val="47964520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133350</xdr:rowOff>
    </xdr:from>
    <xdr:to>
      <xdr:col>6</xdr:col>
      <xdr:colOff>476251</xdr:colOff>
      <xdr:row>15</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352426</xdr:colOff>
      <xdr:row>0</xdr:row>
      <xdr:rowOff>152400</xdr:rowOff>
    </xdr:from>
    <xdr:to>
      <xdr:col>14</xdr:col>
      <xdr:colOff>85725</xdr:colOff>
      <xdr:row>14</xdr:row>
      <xdr:rowOff>66675</xdr:rowOff>
    </xdr:to>
    <xdr:graphicFrame macro="">
      <xdr:nvGraphicFramePr>
        <xdr:cNvPr id="3" name="Chart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16</xdr:row>
      <xdr:rowOff>0</xdr:rowOff>
    </xdr:from>
    <xdr:to>
      <xdr:col>6</xdr:col>
      <xdr:colOff>466725</xdr:colOff>
      <xdr:row>29</xdr:row>
      <xdr:rowOff>104775</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31</xdr:row>
      <xdr:rowOff>19050</xdr:rowOff>
    </xdr:from>
    <xdr:to>
      <xdr:col>6</xdr:col>
      <xdr:colOff>466725</xdr:colOff>
      <xdr:row>44</xdr:row>
      <xdr:rowOff>123825</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46</xdr:row>
      <xdr:rowOff>0</xdr:rowOff>
    </xdr:from>
    <xdr:to>
      <xdr:col>6</xdr:col>
      <xdr:colOff>495301</xdr:colOff>
      <xdr:row>59</xdr:row>
      <xdr:rowOff>104775</xdr:rowOff>
    </xdr:to>
    <xdr:graphicFrame macro="">
      <xdr:nvGraphicFramePr>
        <xdr:cNvPr id="6" name="Chart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333376</xdr:colOff>
      <xdr:row>16</xdr:row>
      <xdr:rowOff>9525</xdr:rowOff>
    </xdr:from>
    <xdr:to>
      <xdr:col>14</xdr:col>
      <xdr:colOff>104776</xdr:colOff>
      <xdr:row>29</xdr:row>
      <xdr:rowOff>114300</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352426</xdr:colOff>
      <xdr:row>30</xdr:row>
      <xdr:rowOff>171450</xdr:rowOff>
    </xdr:from>
    <xdr:to>
      <xdr:col>14</xdr:col>
      <xdr:colOff>114300</xdr:colOff>
      <xdr:row>44</xdr:row>
      <xdr:rowOff>85725</xdr:rowOff>
    </xdr:to>
    <xdr:graphicFrame macro="">
      <xdr:nvGraphicFramePr>
        <xdr:cNvPr id="8" name="Chart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361951</xdr:colOff>
      <xdr:row>45</xdr:row>
      <xdr:rowOff>171450</xdr:rowOff>
    </xdr:from>
    <xdr:to>
      <xdr:col>14</xdr:col>
      <xdr:colOff>152401</xdr:colOff>
      <xdr:row>59</xdr:row>
      <xdr:rowOff>85725</xdr:rowOff>
    </xdr:to>
    <xdr:graphicFrame macro="">
      <xdr:nvGraphicFramePr>
        <xdr:cNvPr id="9" name="Chart 8">
          <a:extLst>
            <a:ext uri="{FF2B5EF4-FFF2-40B4-BE49-F238E27FC236}">
              <a16:creationId xmlns:a16="http://schemas.microsoft.com/office/drawing/2014/main" id="{00000000-0008-0000-0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xdr:row>
      <xdr:rowOff>0</xdr:rowOff>
    </xdr:from>
    <xdr:to>
      <xdr:col>21</xdr:col>
      <xdr:colOff>342899</xdr:colOff>
      <xdr:row>14</xdr:row>
      <xdr:rowOff>104775</xdr:rowOff>
    </xdr:to>
    <xdr:graphicFrame macro="">
      <xdr:nvGraphicFramePr>
        <xdr:cNvPr id="10" name="Chart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16</xdr:row>
      <xdr:rowOff>0</xdr:rowOff>
    </xdr:from>
    <xdr:to>
      <xdr:col>24</xdr:col>
      <xdr:colOff>0</xdr:colOff>
      <xdr:row>29</xdr:row>
      <xdr:rowOff>104775</xdr:rowOff>
    </xdr:to>
    <xdr:graphicFrame macro="">
      <xdr:nvGraphicFramePr>
        <xdr:cNvPr id="11" name="Chart 10">
          <a:extLst>
            <a:ext uri="{FF2B5EF4-FFF2-40B4-BE49-F238E27FC236}">
              <a16:creationId xmlns:a16="http://schemas.microsoft.com/office/drawing/2014/main" id="{00000000-0008-0000-0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33</xdr:row>
      <xdr:rowOff>0</xdr:rowOff>
    </xdr:from>
    <xdr:to>
      <xdr:col>24</xdr:col>
      <xdr:colOff>542926</xdr:colOff>
      <xdr:row>48</xdr:row>
      <xdr:rowOff>0</xdr:rowOff>
    </xdr:to>
    <xdr:graphicFrame macro="">
      <xdr:nvGraphicFramePr>
        <xdr:cNvPr id="12" name="Chart 11">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64</xdr:row>
      <xdr:rowOff>0</xdr:rowOff>
    </xdr:from>
    <xdr:to>
      <xdr:col>6</xdr:col>
      <xdr:colOff>117475</xdr:colOff>
      <xdr:row>82</xdr:row>
      <xdr:rowOff>12065</xdr:rowOff>
    </xdr:to>
    <xdr:graphicFrame macro="">
      <xdr:nvGraphicFramePr>
        <xdr:cNvPr id="16" name="Chart 15">
          <a:extLst>
            <a:ext uri="{FF2B5EF4-FFF2-40B4-BE49-F238E27FC236}">
              <a16:creationId xmlns:a16="http://schemas.microsoft.com/office/drawing/2014/main" id="{A40D8340-3492-45E1-B347-BC7E1C25B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0</xdr:colOff>
      <xdr:row>16</xdr:row>
      <xdr:rowOff>0</xdr:rowOff>
    </xdr:from>
    <xdr:to>
      <xdr:col>39</xdr:col>
      <xdr:colOff>0</xdr:colOff>
      <xdr:row>29</xdr:row>
      <xdr:rowOff>104775</xdr:rowOff>
    </xdr:to>
    <xdr:graphicFrame macro="">
      <xdr:nvGraphicFramePr>
        <xdr:cNvPr id="13" name="Chart 12">
          <a:extLst>
            <a:ext uri="{FF2B5EF4-FFF2-40B4-BE49-F238E27FC236}">
              <a16:creationId xmlns:a16="http://schemas.microsoft.com/office/drawing/2014/main" id="{4BFD1717-A2D3-4FA9-A5BD-E4919DEF2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133350</xdr:rowOff>
    </xdr:from>
    <xdr:to>
      <xdr:col>6</xdr:col>
      <xdr:colOff>476251</xdr:colOff>
      <xdr:row>14</xdr:row>
      <xdr:rowOff>47625</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352426</xdr:colOff>
      <xdr:row>0</xdr:row>
      <xdr:rowOff>152400</xdr:rowOff>
    </xdr:from>
    <xdr:to>
      <xdr:col>14</xdr:col>
      <xdr:colOff>85725</xdr:colOff>
      <xdr:row>14</xdr:row>
      <xdr:rowOff>66675</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16</xdr:row>
      <xdr:rowOff>0</xdr:rowOff>
    </xdr:from>
    <xdr:to>
      <xdr:col>6</xdr:col>
      <xdr:colOff>466725</xdr:colOff>
      <xdr:row>29</xdr:row>
      <xdr:rowOff>104775</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31</xdr:row>
      <xdr:rowOff>19050</xdr:rowOff>
    </xdr:from>
    <xdr:to>
      <xdr:col>6</xdr:col>
      <xdr:colOff>466725</xdr:colOff>
      <xdr:row>44</xdr:row>
      <xdr:rowOff>123825</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46</xdr:row>
      <xdr:rowOff>0</xdr:rowOff>
    </xdr:from>
    <xdr:to>
      <xdr:col>6</xdr:col>
      <xdr:colOff>495301</xdr:colOff>
      <xdr:row>59</xdr:row>
      <xdr:rowOff>104775</xdr:rowOff>
    </xdr:to>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333376</xdr:colOff>
      <xdr:row>16</xdr:row>
      <xdr:rowOff>9525</xdr:rowOff>
    </xdr:from>
    <xdr:to>
      <xdr:col>14</xdr:col>
      <xdr:colOff>104776</xdr:colOff>
      <xdr:row>29</xdr:row>
      <xdr:rowOff>114300</xdr:rowOff>
    </xdr:to>
    <xdr:graphicFrame macro="">
      <xdr:nvGraphicFramePr>
        <xdr:cNvPr id="8" name="Chart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352426</xdr:colOff>
      <xdr:row>30</xdr:row>
      <xdr:rowOff>171450</xdr:rowOff>
    </xdr:from>
    <xdr:to>
      <xdr:col>14</xdr:col>
      <xdr:colOff>114300</xdr:colOff>
      <xdr:row>44</xdr:row>
      <xdr:rowOff>85725</xdr:rowOff>
    </xdr:to>
    <xdr:graphicFrame macro="">
      <xdr:nvGraphicFramePr>
        <xdr:cNvPr id="9" name="Chart 8">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361951</xdr:colOff>
      <xdr:row>45</xdr:row>
      <xdr:rowOff>171450</xdr:rowOff>
    </xdr:from>
    <xdr:to>
      <xdr:col>14</xdr:col>
      <xdr:colOff>152401</xdr:colOff>
      <xdr:row>59</xdr:row>
      <xdr:rowOff>85725</xdr:rowOff>
    </xdr:to>
    <xdr:graphicFrame macro="">
      <xdr:nvGraphicFramePr>
        <xdr:cNvPr id="10" name="Chart 9">
          <a:extLst>
            <a:ext uri="{FF2B5EF4-FFF2-40B4-BE49-F238E27FC236}">
              <a16:creationId xmlns:a16="http://schemas.microsoft.com/office/drawing/2014/main" id="{00000000-0008-0000-0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xdr:row>
      <xdr:rowOff>0</xdr:rowOff>
    </xdr:from>
    <xdr:to>
      <xdr:col>21</xdr:col>
      <xdr:colOff>342899</xdr:colOff>
      <xdr:row>14</xdr:row>
      <xdr:rowOff>104775</xdr:rowOff>
    </xdr:to>
    <xdr:graphicFrame macro="">
      <xdr:nvGraphicFramePr>
        <xdr:cNvPr id="11" name="Chart 10">
          <a:extLst>
            <a:ext uri="{FF2B5EF4-FFF2-40B4-BE49-F238E27FC236}">
              <a16:creationId xmlns:a16="http://schemas.microsoft.com/office/drawing/2014/main" id="{00000000-0008-0000-0E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16</xdr:row>
      <xdr:rowOff>0</xdr:rowOff>
    </xdr:from>
    <xdr:to>
      <xdr:col>24</xdr:col>
      <xdr:colOff>0</xdr:colOff>
      <xdr:row>29</xdr:row>
      <xdr:rowOff>104775</xdr:rowOff>
    </xdr:to>
    <xdr:graphicFrame macro="">
      <xdr:nvGraphicFramePr>
        <xdr:cNvPr id="12" name="Chart 11">
          <a:extLst>
            <a:ext uri="{FF2B5EF4-FFF2-40B4-BE49-F238E27FC236}">
              <a16:creationId xmlns:a16="http://schemas.microsoft.com/office/drawing/2014/main" id="{00000000-0008-0000-0E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0</xdr:row>
      <xdr:rowOff>133350</xdr:rowOff>
    </xdr:from>
    <xdr:to>
      <xdr:col>7</xdr:col>
      <xdr:colOff>228600</xdr:colOff>
      <xdr:row>14</xdr:row>
      <xdr:rowOff>47625</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9526</xdr:colOff>
      <xdr:row>0</xdr:row>
      <xdr:rowOff>180975</xdr:rowOff>
    </xdr:from>
    <xdr:to>
      <xdr:col>14</xdr:col>
      <xdr:colOff>352425</xdr:colOff>
      <xdr:row>14</xdr:row>
      <xdr:rowOff>95250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16</xdr:row>
      <xdr:rowOff>0</xdr:rowOff>
    </xdr:from>
    <xdr:to>
      <xdr:col>7</xdr:col>
      <xdr:colOff>228600</xdr:colOff>
      <xdr:row>29</xdr:row>
      <xdr:rowOff>104775</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466726</xdr:colOff>
      <xdr:row>31</xdr:row>
      <xdr:rowOff>19050</xdr:rowOff>
    </xdr:from>
    <xdr:to>
      <xdr:col>7</xdr:col>
      <xdr:colOff>228600</xdr:colOff>
      <xdr:row>44</xdr:row>
      <xdr:rowOff>123825</xdr:rowOff>
    </xdr:to>
    <xdr:graphicFrame macro="">
      <xdr:nvGraphicFramePr>
        <xdr:cNvPr id="5" name="Chart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476250</xdr:colOff>
      <xdr:row>46</xdr:row>
      <xdr:rowOff>0</xdr:rowOff>
    </xdr:from>
    <xdr:to>
      <xdr:col>7</xdr:col>
      <xdr:colOff>142875</xdr:colOff>
      <xdr:row>59</xdr:row>
      <xdr:rowOff>104775</xdr:rowOff>
    </xdr:to>
    <xdr:graphicFrame macro="">
      <xdr:nvGraphicFramePr>
        <xdr:cNvPr id="6" name="Chart 5">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28576</xdr:colOff>
      <xdr:row>16</xdr:row>
      <xdr:rowOff>0</xdr:rowOff>
    </xdr:from>
    <xdr:to>
      <xdr:col>14</xdr:col>
      <xdr:colOff>409576</xdr:colOff>
      <xdr:row>29</xdr:row>
      <xdr:rowOff>104775</xdr:rowOff>
    </xdr:to>
    <xdr:graphicFrame macro="">
      <xdr:nvGraphicFramePr>
        <xdr:cNvPr id="7" name="Chart 6">
          <a:extLst>
            <a:ext uri="{FF2B5EF4-FFF2-40B4-BE49-F238E27FC236}">
              <a16:creationId xmlns:a16="http://schemas.microsoft.com/office/drawing/2014/main" id="{00000000-0008-0000-0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28576</xdr:colOff>
      <xdr:row>31</xdr:row>
      <xdr:rowOff>19050</xdr:rowOff>
    </xdr:from>
    <xdr:to>
      <xdr:col>14</xdr:col>
      <xdr:colOff>400050</xdr:colOff>
      <xdr:row>44</xdr:row>
      <xdr:rowOff>123825</xdr:rowOff>
    </xdr:to>
    <xdr:graphicFrame macro="">
      <xdr:nvGraphicFramePr>
        <xdr:cNvPr id="8" name="Chart 7">
          <a:extLst>
            <a:ext uri="{FF2B5EF4-FFF2-40B4-BE49-F238E27FC236}">
              <a16:creationId xmlns:a16="http://schemas.microsoft.com/office/drawing/2014/main" id="{00000000-0008-0000-0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19051</xdr:colOff>
      <xdr:row>46</xdr:row>
      <xdr:rowOff>9525</xdr:rowOff>
    </xdr:from>
    <xdr:to>
      <xdr:col>14</xdr:col>
      <xdr:colOff>419101</xdr:colOff>
      <xdr:row>59</xdr:row>
      <xdr:rowOff>114300</xdr:rowOff>
    </xdr:to>
    <xdr:graphicFrame macro="">
      <xdr:nvGraphicFramePr>
        <xdr:cNvPr id="9" name="Chart 8">
          <a:extLst>
            <a:ext uri="{FF2B5EF4-FFF2-40B4-BE49-F238E27FC236}">
              <a16:creationId xmlns:a16="http://schemas.microsoft.com/office/drawing/2014/main" id="{00000000-0008-0000-0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9525</xdr:colOff>
      <xdr:row>61</xdr:row>
      <xdr:rowOff>9525</xdr:rowOff>
    </xdr:from>
    <xdr:to>
      <xdr:col>8</xdr:col>
      <xdr:colOff>361950</xdr:colOff>
      <xdr:row>71</xdr:row>
      <xdr:rowOff>123825</xdr:rowOff>
    </xdr:to>
    <xdr:graphicFrame macro="">
      <xdr:nvGraphicFramePr>
        <xdr:cNvPr id="10" name="Chart 9">
          <a:extLst>
            <a:ext uri="{FF2B5EF4-FFF2-40B4-BE49-F238E27FC236}">
              <a16:creationId xmlns:a16="http://schemas.microsoft.com/office/drawing/2014/main" id="{00000000-0008-0000-0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0</xdr:colOff>
      <xdr:row>1</xdr:row>
      <xdr:rowOff>0</xdr:rowOff>
    </xdr:from>
    <xdr:to>
      <xdr:col>22</xdr:col>
      <xdr:colOff>400050</xdr:colOff>
      <xdr:row>14</xdr:row>
      <xdr:rowOff>104775</xdr:rowOff>
    </xdr:to>
    <xdr:graphicFrame macro="">
      <xdr:nvGraphicFramePr>
        <xdr:cNvPr id="11" name="Chart 10">
          <a:extLst>
            <a:ext uri="{FF2B5EF4-FFF2-40B4-BE49-F238E27FC236}">
              <a16:creationId xmlns:a16="http://schemas.microsoft.com/office/drawing/2014/main" id="{00000000-0008-0000-0F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0</xdr:colOff>
      <xdr:row>17</xdr:row>
      <xdr:rowOff>0</xdr:rowOff>
    </xdr:from>
    <xdr:to>
      <xdr:col>22</xdr:col>
      <xdr:colOff>400050</xdr:colOff>
      <xdr:row>30</xdr:row>
      <xdr:rowOff>104775</xdr:rowOff>
    </xdr:to>
    <xdr:graphicFrame macro="">
      <xdr:nvGraphicFramePr>
        <xdr:cNvPr id="12" name="Chart 11">
          <a:extLst>
            <a:ext uri="{FF2B5EF4-FFF2-40B4-BE49-F238E27FC236}">
              <a16:creationId xmlns:a16="http://schemas.microsoft.com/office/drawing/2014/main" id="{00000000-0008-0000-0F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Working%20Folders/valuable%20files/QGDP%20201617%20rebase/QGDP%20Q22019_20/QGDP%20Constant%20Prices%20-%20Copy.xlsx" TargetMode="External"/><Relationship Id="rId1" Type="http://schemas.openxmlformats.org/officeDocument/2006/relationships/externalLinkPath" Target="/Working%20Folders/valuable%20files/QGDP%20201617%20rebase/QGDP%20Q22019_20/QGDP%20Constant%20Prices%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E OF DATA"/>
      <sheetName val="Summary"/>
      <sheetName val="Summary IPD"/>
      <sheetName val="Original_VA"/>
      <sheetName val="Original_Growth"/>
      <sheetName val="Original_IPD"/>
      <sheetName val="Deseason_VA"/>
      <sheetName val="Deseason_Growth"/>
      <sheetName val="Deseason_Growth_Decomp"/>
      <sheetName val="Deseason"/>
      <sheetName val="Trend_VA"/>
      <sheetName val="Trend_Growth"/>
      <sheetName val="TS IPD"/>
      <sheetName val="Graphs (2)"/>
      <sheetName val="Graphs"/>
      <sheetName val="Graphs Original"/>
    </sheetNames>
    <sheetDataSet>
      <sheetData sheetId="0"/>
      <sheetData sheetId="1">
        <row r="3">
          <cell r="AH3">
            <v>0</v>
          </cell>
          <cell r="AI3">
            <v>0</v>
          </cell>
          <cell r="AJ3" t="str">
            <v>2016/17</v>
          </cell>
          <cell r="AK3">
            <v>0</v>
          </cell>
          <cell r="AL3">
            <v>0</v>
          </cell>
          <cell r="AM3">
            <v>0</v>
          </cell>
          <cell r="AN3" t="str">
            <v>2017/18</v>
          </cell>
          <cell r="AO3">
            <v>0</v>
          </cell>
          <cell r="AP3">
            <v>0</v>
          </cell>
          <cell r="AQ3">
            <v>0</v>
          </cell>
          <cell r="AR3" t="str">
            <v>2018/19</v>
          </cell>
          <cell r="AS3">
            <v>0</v>
          </cell>
        </row>
        <row r="4">
          <cell r="AH4" t="str">
            <v>Q3</v>
          </cell>
          <cell r="AI4" t="str">
            <v>Q4</v>
          </cell>
          <cell r="AJ4" t="str">
            <v>Q1</v>
          </cell>
          <cell r="AK4" t="str">
            <v>Q2</v>
          </cell>
          <cell r="AL4" t="str">
            <v>Q3</v>
          </cell>
          <cell r="AM4" t="str">
            <v>Q4</v>
          </cell>
          <cell r="AN4" t="str">
            <v>Q1</v>
          </cell>
          <cell r="AO4" t="str">
            <v>Q2</v>
          </cell>
          <cell r="AP4" t="str">
            <v>Q3</v>
          </cell>
          <cell r="AQ4" t="str">
            <v>Q4</v>
          </cell>
          <cell r="AR4" t="str">
            <v>Q1</v>
          </cell>
          <cell r="AS4" t="str">
            <v>Q2</v>
          </cell>
        </row>
        <row r="6">
          <cell r="A6" t="str">
            <v>GDP at market prices</v>
          </cell>
          <cell r="AH6">
            <v>24503.419395209567</v>
          </cell>
          <cell r="AI6">
            <v>25303.518800953687</v>
          </cell>
          <cell r="AJ6">
            <v>28485.584832809574</v>
          </cell>
          <cell r="AK6">
            <v>26556.753963649604</v>
          </cell>
          <cell r="AL6">
            <v>26359.326436509386</v>
          </cell>
          <cell r="AM6">
            <v>27116.375688504559</v>
          </cell>
          <cell r="AN6">
            <v>30721.310112236315</v>
          </cell>
          <cell r="AO6">
            <v>28185.425203876759</v>
          </cell>
          <cell r="AP6">
            <v>27567.514433735043</v>
          </cell>
          <cell r="AQ6">
            <v>28723.158899795002</v>
          </cell>
          <cell r="AR6">
            <v>32675.490735636398</v>
          </cell>
          <cell r="AS6">
            <v>30235.225030860365</v>
          </cell>
        </row>
        <row r="7">
          <cell r="A7" t="str">
            <v xml:space="preserve">        Agriculture, Forestry &amp; Fishing</v>
          </cell>
          <cell r="AH7">
            <v>5306.676183325786</v>
          </cell>
          <cell r="AI7">
            <v>5631.0089619161381</v>
          </cell>
          <cell r="AJ7">
            <v>8026.0129412255374</v>
          </cell>
          <cell r="AK7">
            <v>6117.3269176169879</v>
          </cell>
          <cell r="AL7">
            <v>5355.5905302653164</v>
          </cell>
          <cell r="AM7">
            <v>5958.1381910121781</v>
          </cell>
          <cell r="AN7">
            <v>8717.2948238839308</v>
          </cell>
          <cell r="AO7">
            <v>6155.8184834220701</v>
          </cell>
          <cell r="AP7">
            <v>5454.4137644730508</v>
          </cell>
          <cell r="AQ7">
            <v>6096.2492813545196</v>
          </cell>
          <cell r="AR7">
            <v>9065.4997520035176</v>
          </cell>
          <cell r="AS7">
            <v>6490.8610878690024</v>
          </cell>
        </row>
        <row r="8">
          <cell r="A8" t="str">
            <v xml:space="preserve">        Industry</v>
          </cell>
          <cell r="AH8">
            <v>6342.9869177342634</v>
          </cell>
          <cell r="AI8">
            <v>6523.848444939993</v>
          </cell>
          <cell r="AJ8">
            <v>6754.5974074643782</v>
          </cell>
          <cell r="AK8">
            <v>7105.9577448816881</v>
          </cell>
          <cell r="AL8">
            <v>7322.4136952581921</v>
          </cell>
          <cell r="AM8">
            <v>7065.3567573903538</v>
          </cell>
          <cell r="AN8">
            <v>7287.5716451882163</v>
          </cell>
          <cell r="AO8">
            <v>7434.4387634631785</v>
          </cell>
          <cell r="AP8">
            <v>7795.8843185656006</v>
          </cell>
          <cell r="AQ8">
            <v>7988.2964069367745</v>
          </cell>
          <cell r="AR8">
            <v>8197.0451156972176</v>
          </cell>
          <cell r="AS8">
            <v>8524.8597975982684</v>
          </cell>
        </row>
        <row r="9">
          <cell r="A9" t="str">
            <v xml:space="preserve">        Services</v>
          </cell>
          <cell r="AH9">
            <v>11186.957054334862</v>
          </cell>
          <cell r="AI9">
            <v>11366.044635403869</v>
          </cell>
          <cell r="AJ9">
            <v>11873.876376670412</v>
          </cell>
          <cell r="AK9">
            <v>11586.159187295236</v>
          </cell>
          <cell r="AL9">
            <v>11698.707822157248</v>
          </cell>
          <cell r="AM9">
            <v>12023.272390294898</v>
          </cell>
          <cell r="AN9">
            <v>12747.340764294264</v>
          </cell>
          <cell r="AO9">
            <v>12604.938844282253</v>
          </cell>
          <cell r="AP9">
            <v>12466.952378877446</v>
          </cell>
          <cell r="AQ9">
            <v>12656.924322546936</v>
          </cell>
          <cell r="AR9">
            <v>13531.096857121407</v>
          </cell>
          <cell r="AS9">
            <v>13183.525518588534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tabColor rgb="FF93E5FF"/>
  </sheetPr>
  <dimension ref="B1:E23"/>
  <sheetViews>
    <sheetView workbookViewId="0">
      <selection activeCell="E14" sqref="E14"/>
    </sheetView>
  </sheetViews>
  <sheetFormatPr defaultRowHeight="15" x14ac:dyDescent="0.25"/>
  <cols>
    <col min="1" max="1" width="2.28515625" customWidth="1"/>
    <col min="2" max="2" width="5.5703125" customWidth="1"/>
    <col min="3" max="3" width="64.140625" customWidth="1"/>
    <col min="4" max="4" width="50.28515625" customWidth="1"/>
    <col min="5" max="5" width="39.85546875" customWidth="1"/>
  </cols>
  <sheetData>
    <row r="1" spans="2:5" ht="15.75" x14ac:dyDescent="0.25">
      <c r="B1" s="60"/>
      <c r="C1" s="61" t="s">
        <v>81</v>
      </c>
      <c r="D1" s="60"/>
      <c r="E1" s="60"/>
    </row>
    <row r="2" spans="2:5" ht="15.75" x14ac:dyDescent="0.25">
      <c r="B2" s="62"/>
      <c r="C2" s="63" t="s">
        <v>103</v>
      </c>
      <c r="D2" s="63" t="s">
        <v>104</v>
      </c>
      <c r="E2" s="63" t="s">
        <v>105</v>
      </c>
    </row>
    <row r="3" spans="2:5" ht="18.75" customHeight="1" x14ac:dyDescent="0.25">
      <c r="B3" s="62">
        <v>1</v>
      </c>
      <c r="C3" s="62" t="s">
        <v>83</v>
      </c>
      <c r="D3" s="62" t="s">
        <v>82</v>
      </c>
      <c r="E3" s="62" t="s">
        <v>129</v>
      </c>
    </row>
    <row r="4" spans="2:5" ht="46.5" customHeight="1" x14ac:dyDescent="0.25">
      <c r="B4" s="62">
        <v>2</v>
      </c>
      <c r="C4" s="62" t="s">
        <v>84</v>
      </c>
      <c r="D4" s="64" t="s">
        <v>106</v>
      </c>
      <c r="E4" s="62" t="s">
        <v>130</v>
      </c>
    </row>
    <row r="5" spans="2:5" ht="15.75" x14ac:dyDescent="0.25">
      <c r="B5" s="62">
        <v>3</v>
      </c>
      <c r="C5" s="62" t="s">
        <v>85</v>
      </c>
      <c r="D5" s="62" t="s">
        <v>86</v>
      </c>
      <c r="E5" s="62" t="s">
        <v>129</v>
      </c>
    </row>
    <row r="6" spans="2:5" ht="15.75" x14ac:dyDescent="0.25">
      <c r="B6" s="62">
        <v>4</v>
      </c>
      <c r="C6" s="62" t="s">
        <v>87</v>
      </c>
      <c r="D6" s="62" t="s">
        <v>88</v>
      </c>
      <c r="E6" s="62" t="s">
        <v>131</v>
      </c>
    </row>
    <row r="7" spans="2:5" ht="15.75" x14ac:dyDescent="0.25">
      <c r="B7" s="62">
        <v>5</v>
      </c>
      <c r="C7" s="62" t="s">
        <v>107</v>
      </c>
      <c r="D7" s="62" t="s">
        <v>89</v>
      </c>
      <c r="E7" s="62" t="s">
        <v>132</v>
      </c>
    </row>
    <row r="8" spans="2:5" ht="15.75" x14ac:dyDescent="0.25">
      <c r="B8" s="62">
        <v>6</v>
      </c>
      <c r="C8" s="62" t="s">
        <v>108</v>
      </c>
      <c r="D8" s="62" t="s">
        <v>109</v>
      </c>
      <c r="E8" s="62" t="s">
        <v>129</v>
      </c>
    </row>
    <row r="9" spans="2:5" ht="15.75" x14ac:dyDescent="0.25">
      <c r="B9" s="62">
        <v>7</v>
      </c>
      <c r="C9" s="62" t="s">
        <v>90</v>
      </c>
      <c r="D9" s="62" t="s">
        <v>91</v>
      </c>
      <c r="E9" s="62" t="s">
        <v>132</v>
      </c>
    </row>
    <row r="10" spans="2:5" ht="15.75" x14ac:dyDescent="0.25">
      <c r="B10" s="62"/>
      <c r="C10" s="62"/>
      <c r="D10" s="62"/>
      <c r="E10" s="62"/>
    </row>
    <row r="11" spans="2:5" ht="12" customHeight="1" x14ac:dyDescent="0.25">
      <c r="B11" s="65"/>
      <c r="C11" s="65"/>
      <c r="D11" s="65"/>
      <c r="E11" s="66"/>
    </row>
    <row r="12" spans="2:5" ht="18" x14ac:dyDescent="0.25">
      <c r="B12" s="65"/>
      <c r="C12" s="60" t="s">
        <v>114</v>
      </c>
      <c r="D12" s="65"/>
      <c r="E12" s="66"/>
    </row>
    <row r="13" spans="2:5" ht="78.75" x14ac:dyDescent="0.25">
      <c r="B13" s="68" t="s">
        <v>115</v>
      </c>
      <c r="C13" s="67" t="s">
        <v>186</v>
      </c>
      <c r="D13" s="66"/>
      <c r="E13" s="66"/>
    </row>
    <row r="14" spans="2:5" ht="63" x14ac:dyDescent="0.25">
      <c r="B14" s="68" t="s">
        <v>117</v>
      </c>
      <c r="C14" s="256" t="s">
        <v>187</v>
      </c>
      <c r="D14" s="66"/>
      <c r="E14" s="66"/>
    </row>
    <row r="15" spans="2:5" ht="31.5" x14ac:dyDescent="0.25">
      <c r="B15" s="68" t="s">
        <v>118</v>
      </c>
      <c r="C15" s="257" t="s">
        <v>116</v>
      </c>
      <c r="D15" s="66"/>
      <c r="E15" s="66"/>
    </row>
    <row r="16" spans="2:5" ht="47.25" x14ac:dyDescent="0.25">
      <c r="B16" s="68" t="s">
        <v>119</v>
      </c>
      <c r="C16" s="67" t="s">
        <v>133</v>
      </c>
      <c r="D16" s="65"/>
      <c r="E16" s="66"/>
    </row>
    <row r="17" spans="2:5" ht="47.25" x14ac:dyDescent="0.25">
      <c r="B17" s="68" t="s">
        <v>120</v>
      </c>
      <c r="C17" s="67" t="s">
        <v>122</v>
      </c>
      <c r="D17" s="65"/>
      <c r="E17" s="66"/>
    </row>
    <row r="18" spans="2:5" ht="47.25" x14ac:dyDescent="0.25">
      <c r="B18" s="68" t="s">
        <v>173</v>
      </c>
      <c r="C18" s="67" t="s">
        <v>121</v>
      </c>
      <c r="D18" s="65"/>
      <c r="E18" s="66"/>
    </row>
    <row r="19" spans="2:5" ht="47.25" x14ac:dyDescent="0.25">
      <c r="B19" s="68" t="s">
        <v>189</v>
      </c>
      <c r="C19" s="67" t="s">
        <v>188</v>
      </c>
    </row>
    <row r="21" spans="2:5" x14ac:dyDescent="0.25">
      <c r="B21" s="66"/>
      <c r="C21" s="66"/>
      <c r="D21" s="66"/>
      <c r="E21" s="66"/>
    </row>
    <row r="23" spans="2:5" x14ac:dyDescent="0.25">
      <c r="B23" s="66"/>
      <c r="C23" s="66"/>
      <c r="D23" s="66"/>
      <c r="E23" s="66"/>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BW57"/>
  <sheetViews>
    <sheetView showGridLines="0" view="pageBreakPreview" zoomScale="110" zoomScaleNormal="100" zoomScaleSheetLayoutView="110" workbookViewId="0">
      <pane xSplit="1" ySplit="3" topLeftCell="AT4"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8.140625" style="35" customWidth="1"/>
    <col min="2" max="8" width="7" style="92" hidden="1" customWidth="1"/>
    <col min="9" max="19" width="6.7109375" style="92" hidden="1" customWidth="1"/>
    <col min="20" max="28" width="6.85546875" style="92" hidden="1" customWidth="1"/>
    <col min="29" max="35" width="6.85546875" style="35" hidden="1" customWidth="1"/>
    <col min="36" max="36" width="6.85546875" style="35" customWidth="1"/>
    <col min="37" max="37" width="7.85546875" style="35" customWidth="1"/>
    <col min="38" max="38" width="7.28515625" style="35" customWidth="1"/>
    <col min="39" max="39" width="8.85546875" style="35" customWidth="1"/>
    <col min="40" max="40" width="7.42578125" style="35" customWidth="1"/>
    <col min="41" max="41" width="8.5703125" style="35" customWidth="1"/>
    <col min="42" max="42" width="7.140625" style="35" customWidth="1"/>
    <col min="43" max="43" width="7.42578125" style="35" customWidth="1"/>
    <col min="44" max="44" width="7.85546875" style="35" customWidth="1"/>
    <col min="45" max="45" width="7.42578125" style="35" customWidth="1"/>
    <col min="46" max="47" width="7.7109375" style="35" customWidth="1"/>
    <col min="48" max="48" width="7.42578125" style="35" customWidth="1"/>
    <col min="49" max="49" width="7.28515625" style="35" customWidth="1"/>
    <col min="50" max="50" width="7.140625" style="35" customWidth="1"/>
    <col min="51" max="51" width="7.42578125" style="35" customWidth="1"/>
    <col min="52" max="52" width="7.28515625" style="35" customWidth="1"/>
    <col min="53" max="53" width="7.42578125" style="35" customWidth="1"/>
    <col min="54" max="54" width="7.28515625" style="35" customWidth="1"/>
    <col min="55" max="55" width="7.42578125" style="35" customWidth="1"/>
    <col min="56" max="56" width="7.7109375" style="35" customWidth="1"/>
    <col min="57" max="57" width="7.85546875" style="35" customWidth="1"/>
    <col min="58" max="58" width="7.5703125" style="35" customWidth="1"/>
    <col min="59" max="59" width="6.7109375" style="35" customWidth="1"/>
    <col min="60" max="61" width="6.140625" style="35" customWidth="1"/>
    <col min="62" max="63" width="6.42578125" style="35" customWidth="1"/>
    <col min="64" max="64" width="6.5703125" style="35" customWidth="1"/>
    <col min="65" max="65" width="6.42578125" style="35" customWidth="1"/>
    <col min="66" max="66" width="6.28515625" style="35" customWidth="1"/>
    <col min="67" max="67" width="6.5703125" style="35" customWidth="1"/>
    <col min="68" max="68" width="6.7109375" style="35" bestFit="1" customWidth="1"/>
    <col min="69" max="71" width="5.85546875" style="35" bestFit="1" customWidth="1"/>
    <col min="72" max="74" width="7" style="35" customWidth="1"/>
    <col min="75" max="16384" width="9.140625" style="35"/>
  </cols>
  <sheetData>
    <row r="1" spans="1:75" x14ac:dyDescent="0.2">
      <c r="X1" s="93"/>
      <c r="AC1" s="92"/>
    </row>
    <row r="2" spans="1:75" s="94" customFormat="1" ht="12" x14ac:dyDescent="0.2">
      <c r="A2" s="96" t="s">
        <v>176</v>
      </c>
      <c r="B2" s="95"/>
      <c r="C2" s="95"/>
      <c r="D2" s="95"/>
      <c r="E2" s="95"/>
      <c r="F2" s="95"/>
      <c r="G2" s="95"/>
      <c r="H2" s="95"/>
      <c r="I2" s="95"/>
      <c r="J2" s="95"/>
      <c r="K2" s="95"/>
      <c r="L2" s="95"/>
      <c r="M2" s="95"/>
      <c r="N2" s="95"/>
      <c r="O2" s="95"/>
      <c r="P2" s="95"/>
      <c r="Q2" s="95"/>
      <c r="R2" s="95"/>
      <c r="S2" s="95"/>
      <c r="T2" s="95"/>
      <c r="U2" s="95"/>
      <c r="V2" s="95"/>
      <c r="W2" s="95"/>
    </row>
    <row r="3" spans="1:75" s="141" customFormat="1" ht="12" customHeight="1" x14ac:dyDescent="0.2">
      <c r="A3" s="140" t="s">
        <v>123</v>
      </c>
      <c r="B3" s="264" t="s">
        <v>67</v>
      </c>
      <c r="C3" s="264"/>
      <c r="D3" s="264" t="s">
        <v>66</v>
      </c>
      <c r="E3" s="264"/>
      <c r="F3" s="264"/>
      <c r="G3" s="264"/>
      <c r="H3" s="264" t="s">
        <v>60</v>
      </c>
      <c r="I3" s="264"/>
      <c r="J3" s="264"/>
      <c r="K3" s="264"/>
      <c r="L3" s="264" t="s">
        <v>61</v>
      </c>
      <c r="M3" s="264"/>
      <c r="N3" s="264"/>
      <c r="O3" s="264"/>
      <c r="P3" s="264" t="s">
        <v>62</v>
      </c>
      <c r="Q3" s="264"/>
      <c r="R3" s="264"/>
      <c r="S3" s="264"/>
      <c r="T3" s="264" t="s">
        <v>63</v>
      </c>
      <c r="U3" s="264"/>
      <c r="V3" s="264"/>
      <c r="W3" s="264"/>
      <c r="X3" s="264" t="s">
        <v>64</v>
      </c>
      <c r="Y3" s="264"/>
      <c r="Z3" s="264"/>
      <c r="AA3" s="264"/>
      <c r="AB3" s="264" t="s">
        <v>65</v>
      </c>
      <c r="AC3" s="264"/>
      <c r="AD3" s="264"/>
      <c r="AE3" s="264"/>
      <c r="AF3" s="264" t="s">
        <v>77</v>
      </c>
      <c r="AG3" s="264"/>
      <c r="AH3" s="264"/>
      <c r="AI3" s="264"/>
      <c r="AJ3" s="264" t="s">
        <v>80</v>
      </c>
      <c r="AK3" s="264"/>
      <c r="AL3" s="264"/>
      <c r="AM3" s="264"/>
      <c r="AN3" s="140" t="s">
        <v>92</v>
      </c>
      <c r="AO3" s="264" t="s">
        <v>92</v>
      </c>
      <c r="AP3" s="264"/>
      <c r="AQ3" s="264"/>
      <c r="AR3" s="264" t="s">
        <v>134</v>
      </c>
      <c r="AS3" s="264"/>
      <c r="AT3" s="264"/>
      <c r="AU3" s="264"/>
      <c r="AV3" s="264" t="s">
        <v>136</v>
      </c>
      <c r="AW3" s="264"/>
      <c r="AX3" s="264"/>
      <c r="AY3" s="264"/>
      <c r="AZ3" s="264" t="s">
        <v>137</v>
      </c>
      <c r="BA3" s="264"/>
      <c r="BB3" s="264"/>
      <c r="BC3" s="264"/>
      <c r="BD3" s="264" t="s">
        <v>138</v>
      </c>
      <c r="BE3" s="264"/>
      <c r="BF3" s="264"/>
      <c r="BG3" s="264"/>
      <c r="BH3" s="264" t="s">
        <v>139</v>
      </c>
      <c r="BI3" s="264"/>
      <c r="BJ3" s="264"/>
      <c r="BK3" s="264"/>
      <c r="BL3" s="264" t="s">
        <v>140</v>
      </c>
      <c r="BM3" s="264"/>
      <c r="BN3" s="264"/>
      <c r="BO3" s="264"/>
      <c r="BP3" s="264" t="s">
        <v>174</v>
      </c>
      <c r="BQ3" s="264"/>
      <c r="BR3" s="264"/>
      <c r="BS3" s="264"/>
      <c r="BT3" s="264" t="s">
        <v>175</v>
      </c>
      <c r="BU3" s="264"/>
      <c r="BV3" s="264"/>
      <c r="BW3" s="140"/>
    </row>
    <row r="4" spans="1:75" s="143" customFormat="1" ht="12" customHeight="1" x14ac:dyDescent="0.2">
      <c r="A4" s="142" t="s">
        <v>124</v>
      </c>
      <c r="B4" s="89" t="s">
        <v>48</v>
      </c>
      <c r="C4" s="89" t="s">
        <v>49</v>
      </c>
      <c r="D4" s="89" t="s">
        <v>46</v>
      </c>
      <c r="E4" s="89" t="s">
        <v>47</v>
      </c>
      <c r="F4" s="89" t="s">
        <v>48</v>
      </c>
      <c r="G4" s="89" t="s">
        <v>49</v>
      </c>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90" t="s">
        <v>47</v>
      </c>
      <c r="AP4" s="90" t="s">
        <v>48</v>
      </c>
      <c r="AQ4" s="90" t="s">
        <v>49</v>
      </c>
      <c r="AR4" s="90" t="s">
        <v>46</v>
      </c>
      <c r="AS4" s="90" t="s">
        <v>47</v>
      </c>
      <c r="AT4" s="90" t="s">
        <v>48</v>
      </c>
      <c r="AU4" s="90" t="s">
        <v>49</v>
      </c>
      <c r="AV4" s="90" t="s">
        <v>46</v>
      </c>
      <c r="AW4" s="90" t="s">
        <v>47</v>
      </c>
      <c r="AX4" s="90" t="s">
        <v>48</v>
      </c>
      <c r="AY4" s="90" t="s">
        <v>49</v>
      </c>
      <c r="AZ4" s="90" t="s">
        <v>46</v>
      </c>
      <c r="BA4" s="90" t="s">
        <v>47</v>
      </c>
      <c r="BB4" s="90" t="s">
        <v>48</v>
      </c>
      <c r="BC4" s="90" t="s">
        <v>49</v>
      </c>
      <c r="BD4" s="90" t="s">
        <v>46</v>
      </c>
      <c r="BE4" s="90" t="s">
        <v>47</v>
      </c>
      <c r="BF4" s="90" t="s">
        <v>48</v>
      </c>
      <c r="BG4" s="90" t="s">
        <v>49</v>
      </c>
      <c r="BH4" s="90" t="s">
        <v>46</v>
      </c>
      <c r="BI4" s="90" t="s">
        <v>47</v>
      </c>
      <c r="BJ4" s="90" t="s">
        <v>48</v>
      </c>
      <c r="BK4" s="90" t="s">
        <v>49</v>
      </c>
      <c r="BL4" s="90" t="s">
        <v>46</v>
      </c>
      <c r="BM4" s="90" t="s">
        <v>47</v>
      </c>
      <c r="BN4" s="90" t="s">
        <v>48</v>
      </c>
      <c r="BO4" s="90" t="s">
        <v>49</v>
      </c>
      <c r="BP4" s="90" t="s">
        <v>46</v>
      </c>
      <c r="BQ4" s="90" t="s">
        <v>47</v>
      </c>
      <c r="BR4" s="90" t="s">
        <v>48</v>
      </c>
      <c r="BS4" s="90" t="s">
        <v>49</v>
      </c>
      <c r="BT4" s="90" t="s">
        <v>46</v>
      </c>
      <c r="BU4" s="90" t="s">
        <v>47</v>
      </c>
      <c r="BV4" s="90" t="s">
        <v>48</v>
      </c>
    </row>
    <row r="5" spans="1:75" ht="12" customHeight="1" x14ac:dyDescent="0.2">
      <c r="A5" s="37" t="s">
        <v>101</v>
      </c>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97"/>
      <c r="AH5" s="97"/>
      <c r="AI5" s="97"/>
      <c r="AJ5" s="97"/>
      <c r="AK5" s="97"/>
      <c r="AL5" s="97"/>
      <c r="AM5" s="97"/>
      <c r="AN5" s="97"/>
      <c r="AO5" s="97"/>
      <c r="AP5" s="97"/>
      <c r="AQ5" s="97"/>
      <c r="AR5" s="97"/>
      <c r="AS5" s="97"/>
      <c r="AT5" s="97"/>
      <c r="AU5" s="97"/>
      <c r="AV5" s="97"/>
      <c r="AW5" s="97"/>
      <c r="AX5" s="97"/>
      <c r="AY5" s="97"/>
      <c r="AZ5" s="97"/>
      <c r="BA5" s="97"/>
      <c r="BB5" s="97"/>
      <c r="BC5" s="97"/>
    </row>
    <row r="6" spans="1:75" s="37" customFormat="1" ht="12" customHeight="1" x14ac:dyDescent="0.2">
      <c r="A6" s="39" t="s">
        <v>0</v>
      </c>
      <c r="B6" s="80">
        <v>0</v>
      </c>
      <c r="C6" s="80">
        <v>0</v>
      </c>
      <c r="D6" s="80">
        <v>15766.403368615887</v>
      </c>
      <c r="E6" s="80">
        <v>13927.632412400042</v>
      </c>
      <c r="F6" s="80">
        <v>14022.629484093877</v>
      </c>
      <c r="G6" s="80">
        <v>15998.234460900638</v>
      </c>
      <c r="H6" s="80">
        <v>21078.88190119711</v>
      </c>
      <c r="I6" s="80">
        <v>19122.74815011321</v>
      </c>
      <c r="J6" s="80">
        <v>19608.558624035595</v>
      </c>
      <c r="K6" s="80">
        <v>20695.656467071331</v>
      </c>
      <c r="L6" s="80">
        <v>23193.525636736922</v>
      </c>
      <c r="M6" s="80">
        <v>21456.642924518372</v>
      </c>
      <c r="N6" s="80">
        <v>21240.164712100053</v>
      </c>
      <c r="O6" s="80">
        <v>21202.323991283509</v>
      </c>
      <c r="P6" s="80">
        <v>24535.906399564683</v>
      </c>
      <c r="Q6" s="80">
        <v>21481.557288452175</v>
      </c>
      <c r="R6" s="80">
        <v>21447.287891034335</v>
      </c>
      <c r="S6" s="80">
        <v>22266.798765661355</v>
      </c>
      <c r="T6" s="80">
        <v>26057.999659847072</v>
      </c>
      <c r="U6" s="80">
        <v>22244.278731697261</v>
      </c>
      <c r="V6" s="80">
        <v>21603.992362370307</v>
      </c>
      <c r="W6" s="80">
        <v>21779.635510327214</v>
      </c>
      <c r="X6" s="80">
        <v>25541.077794733435</v>
      </c>
      <c r="Y6" s="80">
        <v>22459.838317436101</v>
      </c>
      <c r="Z6" s="80">
        <v>23000.643542365258</v>
      </c>
      <c r="AA6" s="80">
        <v>24675.99094382146</v>
      </c>
      <c r="AB6" s="80">
        <v>26399.958536451453</v>
      </c>
      <c r="AC6" s="80">
        <v>24996.444052116509</v>
      </c>
      <c r="AD6" s="80">
        <v>24359.381262067185</v>
      </c>
      <c r="AE6" s="80">
        <v>25617.31516952789</v>
      </c>
      <c r="AF6" s="98">
        <v>28652.094072750078</v>
      </c>
      <c r="AG6" s="98">
        <v>26475.798526907674</v>
      </c>
      <c r="AH6" s="98">
        <v>24581.779708377071</v>
      </c>
      <c r="AI6" s="98">
        <v>25513.407292783937</v>
      </c>
      <c r="AJ6" s="98">
        <v>28577.247355351661</v>
      </c>
      <c r="AK6" s="98">
        <v>26610.180139309006</v>
      </c>
      <c r="AL6" s="98">
        <v>26240.178376213596</v>
      </c>
      <c r="AM6" s="98">
        <v>27090.435050598862</v>
      </c>
      <c r="AN6" s="98">
        <v>30772.237101227405</v>
      </c>
      <c r="AO6" s="98">
        <v>28335.280176173645</v>
      </c>
      <c r="AP6" s="98">
        <v>27653.331335663122</v>
      </c>
      <c r="AQ6" s="98">
        <v>28598.086896661713</v>
      </c>
      <c r="AR6" s="98">
        <v>32487.642175718105</v>
      </c>
      <c r="AS6" s="98">
        <v>29958.630874878399</v>
      </c>
      <c r="AT6" s="98">
        <v>29773.235405169889</v>
      </c>
      <c r="AU6" s="98">
        <v>30567.094784970548</v>
      </c>
      <c r="AV6" s="98">
        <v>34943.779208652792</v>
      </c>
      <c r="AW6" s="98">
        <v>32466.458134210301</v>
      </c>
      <c r="AX6" s="98">
        <v>30130.072340548548</v>
      </c>
      <c r="AY6" s="98">
        <v>28870.10246360661</v>
      </c>
      <c r="AZ6" s="98">
        <v>34802.923492478898</v>
      </c>
      <c r="BA6" s="98">
        <v>32477.008349026924</v>
      </c>
      <c r="BB6" s="98">
        <v>30975.023524528337</v>
      </c>
      <c r="BC6" s="98">
        <v>32626.062565576813</v>
      </c>
      <c r="BD6" s="98">
        <v>35622.436290247155</v>
      </c>
      <c r="BE6" s="98">
        <v>34024.489547290636</v>
      </c>
      <c r="BF6" s="98">
        <v>32716.662025108297</v>
      </c>
      <c r="BG6" s="98">
        <v>34522.279863118289</v>
      </c>
      <c r="BH6" s="98">
        <v>38746.737026853109</v>
      </c>
      <c r="BI6" s="98">
        <v>35492.012708280527</v>
      </c>
      <c r="BJ6" s="98">
        <v>33446.227975016081</v>
      </c>
      <c r="BK6" s="98">
        <v>36506.451755519171</v>
      </c>
      <c r="BL6" s="98">
        <v>41068.072476131187</v>
      </c>
      <c r="BM6" s="98">
        <v>37544.310138874716</v>
      </c>
      <c r="BN6" s="98">
        <v>35728.791475472033</v>
      </c>
      <c r="BO6" s="98">
        <v>38581.883833767082</v>
      </c>
      <c r="BP6" s="98">
        <v>43605.835576599486</v>
      </c>
      <c r="BQ6" s="98">
        <v>39557.990842081461</v>
      </c>
      <c r="BR6" s="98">
        <v>38727.98734077152</v>
      </c>
      <c r="BS6" s="98">
        <v>40714.044049908181</v>
      </c>
      <c r="BT6" s="98">
        <v>45718.883622849549</v>
      </c>
      <c r="BU6" s="98">
        <v>42903.876010157692</v>
      </c>
      <c r="BV6" s="98">
        <v>40970.226756517841</v>
      </c>
    </row>
    <row r="7" spans="1:75" ht="12" customHeight="1" x14ac:dyDescent="0.2">
      <c r="A7" s="40" t="s">
        <v>125</v>
      </c>
      <c r="B7" s="81">
        <v>0</v>
      </c>
      <c r="C7" s="81">
        <v>0</v>
      </c>
      <c r="D7" s="81">
        <v>6507.5645417770093</v>
      </c>
      <c r="E7" s="81">
        <v>4895.3188760389567</v>
      </c>
      <c r="F7" s="81">
        <v>4423.945186291654</v>
      </c>
      <c r="G7" s="81">
        <v>5495.5749389700923</v>
      </c>
      <c r="H7" s="81">
        <v>6875.3793203306886</v>
      </c>
      <c r="I7" s="81">
        <v>5088.8483808627734</v>
      </c>
      <c r="J7" s="81">
        <v>4451.0204512514265</v>
      </c>
      <c r="K7" s="81">
        <v>5461.4456005134616</v>
      </c>
      <c r="L7" s="81">
        <v>7007.557350652125</v>
      </c>
      <c r="M7" s="81">
        <v>5267.2451301451565</v>
      </c>
      <c r="N7" s="81">
        <v>4769.9820194119939</v>
      </c>
      <c r="O7" s="81">
        <v>5440.6970408820653</v>
      </c>
      <c r="P7" s="81">
        <v>7871.5671188661754</v>
      </c>
      <c r="Q7" s="81">
        <v>5290.0544173396511</v>
      </c>
      <c r="R7" s="81">
        <v>4412.0205330256922</v>
      </c>
      <c r="S7" s="81">
        <v>5051.4272277824266</v>
      </c>
      <c r="T7" s="81">
        <v>8273.6223523880526</v>
      </c>
      <c r="U7" s="81">
        <v>5294.8848688877097</v>
      </c>
      <c r="V7" s="81">
        <v>4601.826042610438</v>
      </c>
      <c r="W7" s="81">
        <v>4760.2442074871569</v>
      </c>
      <c r="X7" s="81">
        <v>8300.5433360589996</v>
      </c>
      <c r="Y7" s="81">
        <v>5337.7241308180328</v>
      </c>
      <c r="Z7" s="81">
        <v>4567.2362112880755</v>
      </c>
      <c r="AA7" s="81">
        <v>5324.0947211732828</v>
      </c>
      <c r="AB7" s="81">
        <v>7787.9339395324814</v>
      </c>
      <c r="AC7" s="81">
        <v>5886.4232214851872</v>
      </c>
      <c r="AD7" s="81">
        <v>4831.2409199183257</v>
      </c>
      <c r="AE7" s="81">
        <v>5566.2174147255382</v>
      </c>
      <c r="AF7" s="97">
        <v>7919.4674984444837</v>
      </c>
      <c r="AG7" s="97">
        <v>5919.3821199101203</v>
      </c>
      <c r="AH7" s="97">
        <v>5302.9235566922061</v>
      </c>
      <c r="AI7" s="97">
        <v>5632.0157775644811</v>
      </c>
      <c r="AJ7" s="97">
        <v>8012.3898438440583</v>
      </c>
      <c r="AK7" s="97">
        <v>6110.5574830010291</v>
      </c>
      <c r="AL7" s="97">
        <v>5359.3297594225651</v>
      </c>
      <c r="AM7" s="97">
        <v>5974.7914938523681</v>
      </c>
      <c r="AN7" s="97">
        <v>8783.75361617198</v>
      </c>
      <c r="AO7" s="97">
        <v>6199.5724243031436</v>
      </c>
      <c r="AP7" s="97">
        <v>5495.0897018703818</v>
      </c>
      <c r="AQ7" s="97">
        <v>6096.0101397052103</v>
      </c>
      <c r="AR7" s="97">
        <v>8974.6097339614735</v>
      </c>
      <c r="AS7" s="97">
        <v>6448.4413448819614</v>
      </c>
      <c r="AT7" s="97">
        <v>5935.2774332582503</v>
      </c>
      <c r="AU7" s="97">
        <v>6628.7288960305441</v>
      </c>
      <c r="AV7" s="97">
        <v>9517.4184915144997</v>
      </c>
      <c r="AW7" s="97">
        <v>6941.2508425474216</v>
      </c>
      <c r="AX7" s="97">
        <v>5858.4834939906605</v>
      </c>
      <c r="AY7" s="97">
        <v>7019.6668965617291</v>
      </c>
      <c r="AZ7" s="97">
        <v>10178.838113339847</v>
      </c>
      <c r="BA7" s="97">
        <v>7480.051447932221</v>
      </c>
      <c r="BB7" s="97">
        <v>5874.7256772867586</v>
      </c>
      <c r="BC7" s="97">
        <v>7070.5839061785027</v>
      </c>
      <c r="BD7" s="97">
        <v>10624.949712522255</v>
      </c>
      <c r="BE7" s="97">
        <v>7330.8919880440335</v>
      </c>
      <c r="BF7" s="97">
        <v>6120.4466636740835</v>
      </c>
      <c r="BG7" s="97">
        <v>7804.9867663755058</v>
      </c>
      <c r="BH7" s="97">
        <v>11088.26280593619</v>
      </c>
      <c r="BI7" s="97">
        <v>8197.4364123430387</v>
      </c>
      <c r="BJ7" s="97">
        <v>6452.1007948510905</v>
      </c>
      <c r="BK7" s="97">
        <v>7589.8403301409671</v>
      </c>
      <c r="BL7" s="97">
        <v>11715.269920013694</v>
      </c>
      <c r="BM7" s="97">
        <v>8365.8311356487084</v>
      </c>
      <c r="BN7" s="97">
        <v>6712.9791346820011</v>
      </c>
      <c r="BO7" s="97">
        <v>8392.5623632282968</v>
      </c>
      <c r="BP7" s="97">
        <v>12457.039571469759</v>
      </c>
      <c r="BQ7" s="97">
        <v>9018.0557620239742</v>
      </c>
      <c r="BR7" s="97">
        <v>7404.8569468746055</v>
      </c>
      <c r="BS7" s="97">
        <v>8683.3829336736635</v>
      </c>
      <c r="BT7" s="97">
        <v>12839.640235938223</v>
      </c>
      <c r="BU7" s="97">
        <v>9809.0588895521632</v>
      </c>
      <c r="BV7" s="97">
        <v>7563.1390682711199</v>
      </c>
    </row>
    <row r="8" spans="1:75" ht="12" customHeight="1" x14ac:dyDescent="0.2">
      <c r="A8" s="40" t="s">
        <v>126</v>
      </c>
      <c r="B8" s="81">
        <v>0</v>
      </c>
      <c r="C8" s="81">
        <v>0</v>
      </c>
      <c r="D8" s="81">
        <v>1445.2869347782976</v>
      </c>
      <c r="E8" s="81">
        <v>1434.6394149238206</v>
      </c>
      <c r="F8" s="81">
        <v>1255.237557390637</v>
      </c>
      <c r="G8" s="81">
        <v>1878.6357011234131</v>
      </c>
      <c r="H8" s="81">
        <v>4840.8446597133261</v>
      </c>
      <c r="I8" s="81">
        <v>4784.2344723030637</v>
      </c>
      <c r="J8" s="81">
        <v>5112.8414179456431</v>
      </c>
      <c r="K8" s="81">
        <v>5061.3107127372641</v>
      </c>
      <c r="L8" s="81">
        <v>5237.2133837486053</v>
      </c>
      <c r="M8" s="81">
        <v>5571.0615466838744</v>
      </c>
      <c r="N8" s="81">
        <v>5434.2561019158511</v>
      </c>
      <c r="O8" s="81">
        <v>5453.5923860673956</v>
      </c>
      <c r="P8" s="81">
        <v>5456.3647979852685</v>
      </c>
      <c r="Q8" s="81">
        <v>5410.6692725885023</v>
      </c>
      <c r="R8" s="81">
        <v>5788.7735295976508</v>
      </c>
      <c r="S8" s="81">
        <v>5725.9580024370798</v>
      </c>
      <c r="T8" s="81">
        <v>5694.9936681072459</v>
      </c>
      <c r="U8" s="81">
        <v>5636.6936738838576</v>
      </c>
      <c r="V8" s="81">
        <v>5763.6888152349338</v>
      </c>
      <c r="W8" s="81">
        <v>5400.4984560129278</v>
      </c>
      <c r="X8" s="81">
        <v>5623.6031360984371</v>
      </c>
      <c r="Y8" s="81">
        <v>5636.0436854160016</v>
      </c>
      <c r="Z8" s="81">
        <v>6053.0604837031733</v>
      </c>
      <c r="AA8" s="81">
        <v>6236.8022572450873</v>
      </c>
      <c r="AB8" s="81">
        <v>6147.2319965785982</v>
      </c>
      <c r="AC8" s="81">
        <v>6295.2097439862282</v>
      </c>
      <c r="AD8" s="81">
        <v>6521.9150297005808</v>
      </c>
      <c r="AE8" s="81">
        <v>6701.41392104033</v>
      </c>
      <c r="AF8" s="97">
        <v>6809.7306005833361</v>
      </c>
      <c r="AG8" s="97">
        <v>6794.3569853196059</v>
      </c>
      <c r="AH8" s="97">
        <v>6285.549109773594</v>
      </c>
      <c r="AI8" s="97">
        <v>6548.1990964043362</v>
      </c>
      <c r="AJ8" s="97">
        <v>6768.713051955091</v>
      </c>
      <c r="AK8" s="97">
        <v>7106.8655859703567</v>
      </c>
      <c r="AL8" s="97">
        <v>7305.4210324818123</v>
      </c>
      <c r="AM8" s="97">
        <v>7067.3259345873512</v>
      </c>
      <c r="AN8" s="97">
        <v>7134.9058713826926</v>
      </c>
      <c r="AO8" s="97">
        <v>7312.6317555530877</v>
      </c>
      <c r="AP8" s="97">
        <v>7537.2021354850558</v>
      </c>
      <c r="AQ8" s="97">
        <v>7631.5343119097179</v>
      </c>
      <c r="AR8" s="97">
        <v>7779.6917837189712</v>
      </c>
      <c r="AS8" s="97">
        <v>8068.1838305472475</v>
      </c>
      <c r="AT8" s="97">
        <v>8243.5122595824378</v>
      </c>
      <c r="AU8" s="97">
        <v>8201.882353115383</v>
      </c>
      <c r="AV8" s="97">
        <v>8570.2406120602482</v>
      </c>
      <c r="AW8" s="97">
        <v>8886.3355817986849</v>
      </c>
      <c r="AX8" s="97">
        <v>8486.7958188275043</v>
      </c>
      <c r="AY8" s="97">
        <v>7398.8510842539163</v>
      </c>
      <c r="AZ8" s="97">
        <v>8381.1057648712849</v>
      </c>
      <c r="BA8" s="97">
        <v>8755.7883190744851</v>
      </c>
      <c r="BB8" s="97">
        <v>8669.0779163346688</v>
      </c>
      <c r="BC8" s="97">
        <v>8693.4801896502649</v>
      </c>
      <c r="BD8" s="97">
        <v>8370.9466912534372</v>
      </c>
      <c r="BE8" s="97">
        <v>9440.8924954631402</v>
      </c>
      <c r="BF8" s="97">
        <v>9148.3497744816905</v>
      </c>
      <c r="BG8" s="97">
        <v>9308.0376149473814</v>
      </c>
      <c r="BH8" s="97">
        <v>9399.6502880160351</v>
      </c>
      <c r="BI8" s="97">
        <v>9216.6242046157931</v>
      </c>
      <c r="BJ8" s="97">
        <v>9213.4013327072335</v>
      </c>
      <c r="BK8" s="97">
        <v>9899.9765147391226</v>
      </c>
      <c r="BL8" s="97">
        <v>10329.779417703623</v>
      </c>
      <c r="BM8" s="97">
        <v>9629.9206105706926</v>
      </c>
      <c r="BN8" s="97">
        <v>9832.8271952431387</v>
      </c>
      <c r="BO8" s="97">
        <v>10008.679035600164</v>
      </c>
      <c r="BP8" s="97">
        <v>10858.985921098458</v>
      </c>
      <c r="BQ8" s="97">
        <v>10366.744603645575</v>
      </c>
      <c r="BR8" s="97">
        <v>10560.436317940079</v>
      </c>
      <c r="BS8" s="97">
        <v>10766.195324448956</v>
      </c>
      <c r="BT8" s="97">
        <v>11507.781726235484</v>
      </c>
      <c r="BU8" s="97">
        <v>11637.499255958359</v>
      </c>
      <c r="BV8" s="97">
        <v>11186.239246837667</v>
      </c>
    </row>
    <row r="9" spans="1:75" ht="12" customHeight="1" x14ac:dyDescent="0.2">
      <c r="A9" s="40" t="s">
        <v>127</v>
      </c>
      <c r="B9" s="81">
        <v>0</v>
      </c>
      <c r="C9" s="81">
        <v>0</v>
      </c>
      <c r="D9" s="81">
        <v>6828.2242745987996</v>
      </c>
      <c r="E9" s="81">
        <v>6685.4472286579849</v>
      </c>
      <c r="F9" s="81">
        <v>7098.1846083210676</v>
      </c>
      <c r="G9" s="81">
        <v>7433.0483165611104</v>
      </c>
      <c r="H9" s="81">
        <v>8219.4413904038756</v>
      </c>
      <c r="I9" s="81">
        <v>8170.5373286911818</v>
      </c>
      <c r="J9" s="81">
        <v>8965.4911457217931</v>
      </c>
      <c r="K9" s="81">
        <v>9084.0681466742099</v>
      </c>
      <c r="L9" s="81">
        <v>9794.4674671254888</v>
      </c>
      <c r="M9" s="81">
        <v>9376.4752860876833</v>
      </c>
      <c r="N9" s="81">
        <v>9741.7913592443729</v>
      </c>
      <c r="O9" s="81">
        <v>9084.9901543648175</v>
      </c>
      <c r="P9" s="81">
        <v>9902.8733973071885</v>
      </c>
      <c r="Q9" s="81">
        <v>9375.1679916076773</v>
      </c>
      <c r="R9" s="81">
        <v>9745.112551840064</v>
      </c>
      <c r="S9" s="81">
        <v>10034.585218528304</v>
      </c>
      <c r="T9" s="81">
        <v>10681.66720306248</v>
      </c>
      <c r="U9" s="81">
        <v>9953.8775075476642</v>
      </c>
      <c r="V9" s="81">
        <v>9790.6420345367223</v>
      </c>
      <c r="W9" s="81">
        <v>10129.007222228756</v>
      </c>
      <c r="X9" s="81">
        <v>10158.683794149561</v>
      </c>
      <c r="Y9" s="81">
        <v>10046.632959080123</v>
      </c>
      <c r="Z9" s="81">
        <v>10744.273662754727</v>
      </c>
      <c r="AA9" s="81">
        <v>11519.170353744637</v>
      </c>
      <c r="AB9" s="81">
        <v>10904.078157928823</v>
      </c>
      <c r="AC9" s="81">
        <v>11159.15955178341</v>
      </c>
      <c r="AD9" s="81">
        <v>11295.276715412347</v>
      </c>
      <c r="AE9" s="81">
        <v>11541.693402749663</v>
      </c>
      <c r="AF9" s="97">
        <v>12242.650231694677</v>
      </c>
      <c r="AG9" s="97">
        <v>12024.12673191978</v>
      </c>
      <c r="AH9" s="97">
        <v>11341.250420685721</v>
      </c>
      <c r="AI9" s="97">
        <v>11523.070495862754</v>
      </c>
      <c r="AJ9" s="97">
        <v>11937.718362657837</v>
      </c>
      <c r="AK9" s="97">
        <v>11574.904273245027</v>
      </c>
      <c r="AL9" s="97">
        <v>11626.766484146794</v>
      </c>
      <c r="AM9" s="97">
        <v>12042.626656368144</v>
      </c>
      <c r="AN9" s="97">
        <v>12862.303229009287</v>
      </c>
      <c r="AO9" s="97">
        <v>12815.187341991386</v>
      </c>
      <c r="AP9" s="97">
        <v>12685.29920931673</v>
      </c>
      <c r="AQ9" s="97">
        <v>12837.367728743302</v>
      </c>
      <c r="AR9" s="97">
        <v>13754.228723909151</v>
      </c>
      <c r="AS9" s="97">
        <v>13368.754279977897</v>
      </c>
      <c r="AT9" s="97">
        <v>13465.06868516828</v>
      </c>
      <c r="AU9" s="97">
        <v>13600.745668228308</v>
      </c>
      <c r="AV9" s="97">
        <v>14658.783555366852</v>
      </c>
      <c r="AW9" s="97">
        <v>14367.919305260177</v>
      </c>
      <c r="AX9" s="97">
        <v>13669.805223677016</v>
      </c>
      <c r="AY9" s="97">
        <v>12849.732418565576</v>
      </c>
      <c r="AZ9" s="97">
        <v>14119.435945738076</v>
      </c>
      <c r="BA9" s="97">
        <v>14074.464318828872</v>
      </c>
      <c r="BB9" s="97">
        <v>14391.410599937555</v>
      </c>
      <c r="BC9" s="97">
        <v>14495.4005141988</v>
      </c>
      <c r="BD9" s="97">
        <v>14539.216189482004</v>
      </c>
      <c r="BE9" s="97">
        <v>14902.83596485801</v>
      </c>
      <c r="BF9" s="97">
        <v>14962.970541892557</v>
      </c>
      <c r="BG9" s="97">
        <v>14980.554277112629</v>
      </c>
      <c r="BH9" s="97">
        <v>15799.819856406968</v>
      </c>
      <c r="BI9" s="97">
        <v>15607.290418918728</v>
      </c>
      <c r="BJ9" s="97">
        <v>15193.699743491072</v>
      </c>
      <c r="BK9" s="97">
        <v>16317.733453444189</v>
      </c>
      <c r="BL9" s="97">
        <v>16221.881537419606</v>
      </c>
      <c r="BM9" s="97">
        <v>16906.178972961272</v>
      </c>
      <c r="BN9" s="97">
        <v>16418.929360542417</v>
      </c>
      <c r="BO9" s="97">
        <v>17379.216218022015</v>
      </c>
      <c r="BP9" s="97">
        <v>17192.952554985037</v>
      </c>
      <c r="BQ9" s="97">
        <v>17283.665007390213</v>
      </c>
      <c r="BR9" s="97">
        <v>17847.734682852883</v>
      </c>
      <c r="BS9" s="97">
        <v>18239.580887244832</v>
      </c>
      <c r="BT9" s="97">
        <v>18170.905305026292</v>
      </c>
      <c r="BU9" s="97">
        <v>18361.432030472952</v>
      </c>
      <c r="BV9" s="97">
        <v>18894.608060224949</v>
      </c>
    </row>
    <row r="10" spans="1:75" ht="12" customHeight="1" x14ac:dyDescent="0.2">
      <c r="A10" s="39" t="s">
        <v>18</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row>
    <row r="11" spans="1:75" ht="12" customHeight="1" x14ac:dyDescent="0.2">
      <c r="A11" s="99" t="s">
        <v>128</v>
      </c>
      <c r="B11" s="100">
        <v>0</v>
      </c>
      <c r="C11" s="100">
        <v>0</v>
      </c>
      <c r="D11" s="100">
        <v>985.3276174617813</v>
      </c>
      <c r="E11" s="100">
        <v>912.22689277928021</v>
      </c>
      <c r="F11" s="100">
        <v>1245.262132090518</v>
      </c>
      <c r="G11" s="100">
        <v>1190.9755042460213</v>
      </c>
      <c r="H11" s="100">
        <v>1143.2165307492201</v>
      </c>
      <c r="I11" s="100">
        <v>1079.1279682561917</v>
      </c>
      <c r="J11" s="100">
        <v>1079.2056091167333</v>
      </c>
      <c r="K11" s="100">
        <v>1088.8320071463916</v>
      </c>
      <c r="L11" s="100">
        <v>1154.2874352107033</v>
      </c>
      <c r="M11" s="100">
        <v>1241.8609616016572</v>
      </c>
      <c r="N11" s="100">
        <v>1294.1352315278336</v>
      </c>
      <c r="O11" s="100">
        <v>1223.044409969227</v>
      </c>
      <c r="P11" s="100">
        <v>1305.1010854060469</v>
      </c>
      <c r="Q11" s="100">
        <v>1405.665606916343</v>
      </c>
      <c r="R11" s="100">
        <v>1501.3812765709299</v>
      </c>
      <c r="S11" s="100">
        <v>1454.828316913545</v>
      </c>
      <c r="T11" s="100">
        <v>1407.7164362892952</v>
      </c>
      <c r="U11" s="100">
        <v>1358.8226813780268</v>
      </c>
      <c r="V11" s="100">
        <v>1447.835469988212</v>
      </c>
      <c r="W11" s="100">
        <v>1489.885624598375</v>
      </c>
      <c r="X11" s="100">
        <v>1458.2475284264383</v>
      </c>
      <c r="Y11" s="100">
        <v>1439.4375421219447</v>
      </c>
      <c r="Z11" s="100">
        <v>1636.0731846192825</v>
      </c>
      <c r="AA11" s="100">
        <v>1595.9236116584495</v>
      </c>
      <c r="AB11" s="100">
        <v>1560.7144424115506</v>
      </c>
      <c r="AC11" s="100">
        <v>1655.6515348616813</v>
      </c>
      <c r="AD11" s="100">
        <v>1710.9485970359299</v>
      </c>
      <c r="AE11" s="100">
        <v>1807.9904310123572</v>
      </c>
      <c r="AF11" s="101">
        <v>1680.2457420275841</v>
      </c>
      <c r="AG11" s="101">
        <v>1737.9326897581709</v>
      </c>
      <c r="AH11" s="101">
        <v>1652.0566212255526</v>
      </c>
      <c r="AI11" s="101">
        <v>1810.1219229523681</v>
      </c>
      <c r="AJ11" s="101">
        <v>1858.426096894676</v>
      </c>
      <c r="AK11" s="101">
        <v>1817.852797092595</v>
      </c>
      <c r="AL11" s="101">
        <v>1948.6611001624249</v>
      </c>
      <c r="AM11" s="101">
        <v>2005.6909657910007</v>
      </c>
      <c r="AN11" s="101">
        <v>1991.2743846634435</v>
      </c>
      <c r="AO11" s="101">
        <v>2007.888654326028</v>
      </c>
      <c r="AP11" s="101">
        <v>1935.7402889909526</v>
      </c>
      <c r="AQ11" s="101">
        <v>2033.1747163034834</v>
      </c>
      <c r="AR11" s="101">
        <v>1979.1119341285128</v>
      </c>
      <c r="AS11" s="101">
        <v>2073.2514194712935</v>
      </c>
      <c r="AT11" s="101">
        <v>2129.3770271609219</v>
      </c>
      <c r="AU11" s="101">
        <v>2135.73786759631</v>
      </c>
      <c r="AV11" s="101">
        <v>2197.3365497111954</v>
      </c>
      <c r="AW11" s="101">
        <v>2270.952404604016</v>
      </c>
      <c r="AX11" s="101">
        <v>2114.9878040533677</v>
      </c>
      <c r="AY11" s="101">
        <v>1601.8520642253891</v>
      </c>
      <c r="AZ11" s="101">
        <v>2123.543668529685</v>
      </c>
      <c r="BA11" s="101">
        <v>2166.7042631913482</v>
      </c>
      <c r="BB11" s="101">
        <v>2039.8093309693538</v>
      </c>
      <c r="BC11" s="101">
        <v>2366.5979555492459</v>
      </c>
      <c r="BD11" s="101">
        <v>2087.3236969894551</v>
      </c>
      <c r="BE11" s="101">
        <v>2349.869098925451</v>
      </c>
      <c r="BF11" s="101">
        <v>2484.8950450599659</v>
      </c>
      <c r="BG11" s="101">
        <v>2428.7012046827754</v>
      </c>
      <c r="BH11" s="101">
        <v>2459.0040764939167</v>
      </c>
      <c r="BI11" s="101">
        <v>2470.6616724029691</v>
      </c>
      <c r="BJ11" s="101">
        <v>2587.0261039666907</v>
      </c>
      <c r="BK11" s="101">
        <v>2698.9014571948919</v>
      </c>
      <c r="BL11" s="101">
        <v>2801.1416009942659</v>
      </c>
      <c r="BM11" s="101">
        <v>2642.3794196940421</v>
      </c>
      <c r="BN11" s="101">
        <v>2764.0557850044793</v>
      </c>
      <c r="BO11" s="101">
        <v>2801.4262169166136</v>
      </c>
      <c r="BP11" s="101">
        <v>3096.8575290462354</v>
      </c>
      <c r="BQ11" s="101">
        <v>2889.5254690216975</v>
      </c>
      <c r="BR11" s="101">
        <v>2914.9593931039526</v>
      </c>
      <c r="BS11" s="101">
        <v>3024.8849045407346</v>
      </c>
      <c r="BT11" s="101">
        <v>3200.5563556495504</v>
      </c>
      <c r="BU11" s="101">
        <v>3095.8858341742171</v>
      </c>
      <c r="BV11" s="101">
        <v>3326.2403811841027</v>
      </c>
    </row>
    <row r="12" spans="1:75" ht="12" customHeight="1" x14ac:dyDescent="0.2">
      <c r="A12" s="42"/>
      <c r="B12" s="81"/>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row>
    <row r="13" spans="1:75" ht="12" customHeight="1" x14ac:dyDescent="0.2">
      <c r="A13" s="37" t="s">
        <v>102</v>
      </c>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N13" s="59"/>
      <c r="AO13" s="59"/>
    </row>
    <row r="14" spans="1:75" s="37" customFormat="1" ht="12" customHeight="1" x14ac:dyDescent="0.2">
      <c r="A14" s="39" t="s">
        <v>0</v>
      </c>
      <c r="B14" s="80">
        <v>0</v>
      </c>
      <c r="C14" s="80">
        <v>0</v>
      </c>
      <c r="D14" s="80">
        <v>0</v>
      </c>
      <c r="E14" s="80">
        <v>0</v>
      </c>
      <c r="F14" s="80">
        <v>0</v>
      </c>
      <c r="G14" s="80">
        <v>0</v>
      </c>
      <c r="H14" s="80">
        <v>19281.408611306768</v>
      </c>
      <c r="I14" s="80">
        <v>19536.768840938505</v>
      </c>
      <c r="J14" s="80">
        <v>20670.649922929169</v>
      </c>
      <c r="K14" s="80">
        <v>21088.658752276213</v>
      </c>
      <c r="L14" s="80">
        <v>21342.529993265409</v>
      </c>
      <c r="M14" s="80">
        <v>21896.853013550503</v>
      </c>
      <c r="N14" s="80">
        <v>22390.232398853594</v>
      </c>
      <c r="O14" s="80">
        <v>21682.914697379085</v>
      </c>
      <c r="P14" s="80">
        <v>22486.720764151112</v>
      </c>
      <c r="Q14" s="80">
        <v>21911.014463813659</v>
      </c>
      <c r="R14" s="80">
        <v>22517.310280110985</v>
      </c>
      <c r="S14" s="80">
        <v>22741.164264584695</v>
      </c>
      <c r="T14" s="80">
        <v>23670.651370530493</v>
      </c>
      <c r="U14" s="80">
        <v>22632.372513668481</v>
      </c>
      <c r="V14" s="80">
        <v>22653.883943873825</v>
      </c>
      <c r="W14" s="80">
        <v>22266.49094022674</v>
      </c>
      <c r="X14" s="80">
        <v>23206.646183477365</v>
      </c>
      <c r="Y14" s="80">
        <v>22781.854734579141</v>
      </c>
      <c r="Z14" s="80">
        <v>24142.298179200308</v>
      </c>
      <c r="AA14" s="80">
        <v>25208.00071848229</v>
      </c>
      <c r="AB14" s="80">
        <v>24323.405427659403</v>
      </c>
      <c r="AC14" s="80">
        <v>25323.803210422753</v>
      </c>
      <c r="AD14" s="80">
        <v>25570.867075995542</v>
      </c>
      <c r="AE14" s="80">
        <v>26198.304190264473</v>
      </c>
      <c r="AF14" s="98">
        <v>26581.323890586285</v>
      </c>
      <c r="AG14" s="98">
        <v>26727.381248542224</v>
      </c>
      <c r="AH14" s="98">
        <v>25866.213821367201</v>
      </c>
      <c r="AI14" s="98">
        <v>26198.377939572332</v>
      </c>
      <c r="AJ14" s="98">
        <v>26416.451424884999</v>
      </c>
      <c r="AK14" s="98">
        <v>26812.127049850034</v>
      </c>
      <c r="AL14" s="98">
        <v>27622.084522560148</v>
      </c>
      <c r="AM14" s="98">
        <v>27889.913993062761</v>
      </c>
      <c r="AN14" s="98">
        <v>28283.055090545124</v>
      </c>
      <c r="AO14" s="98">
        <v>28554.154355455663</v>
      </c>
      <c r="AP14" s="98">
        <v>29229.257957474172</v>
      </c>
      <c r="AQ14" s="98">
        <v>29445.349585144646</v>
      </c>
      <c r="AR14" s="98">
        <v>29941.016679116874</v>
      </c>
      <c r="AS14" s="98">
        <v>30143.98135587592</v>
      </c>
      <c r="AT14" s="98">
        <v>31566.283040172366</v>
      </c>
      <c r="AU14" s="98">
        <v>31403.381947332262</v>
      </c>
      <c r="AV14" s="98">
        <v>32277.505804444816</v>
      </c>
      <c r="AW14" s="98">
        <v>32675.788598487674</v>
      </c>
      <c r="AX14" s="98">
        <v>31950.549714858505</v>
      </c>
      <c r="AY14" s="98">
        <v>29675.735170801268</v>
      </c>
      <c r="AZ14" s="98">
        <v>31890.176541598405</v>
      </c>
      <c r="BA14" s="98">
        <v>32666.765676169423</v>
      </c>
      <c r="BB14" s="98">
        <v>32921.015309327311</v>
      </c>
      <c r="BC14" s="98">
        <v>33306.169379921143</v>
      </c>
      <c r="BD14" s="98">
        <v>32640.31904955607</v>
      </c>
      <c r="BE14" s="98">
        <v>34251.442494537805</v>
      </c>
      <c r="BF14" s="98">
        <v>35011.569857575276</v>
      </c>
      <c r="BG14" s="98">
        <v>35145.427386623349</v>
      </c>
      <c r="BH14" s="98">
        <v>35487.5132429605</v>
      </c>
      <c r="BI14" s="98">
        <v>35824.548176188408</v>
      </c>
      <c r="BJ14" s="98">
        <v>35816.890574382145</v>
      </c>
      <c r="BK14" s="98">
        <v>36991.392379874153</v>
      </c>
      <c r="BL14" s="98">
        <v>37471.978536521594</v>
      </c>
      <c r="BM14" s="98">
        <v>37983.242769868986</v>
      </c>
      <c r="BN14" s="98">
        <v>38376.531763283529</v>
      </c>
      <c r="BO14" s="98">
        <v>39004.919336065686</v>
      </c>
      <c r="BP14" s="98">
        <v>39841.908182691936</v>
      </c>
      <c r="BQ14" s="98">
        <v>40048.472188510088</v>
      </c>
      <c r="BR14" s="98">
        <v>41537.21599002595</v>
      </c>
      <c r="BS14" s="98">
        <v>41152.310114500797</v>
      </c>
      <c r="BT14" s="98">
        <v>41956.65709860163</v>
      </c>
      <c r="BU14" s="98">
        <v>43451.337501280766</v>
      </c>
      <c r="BV14" s="98">
        <v>43978.86125157628</v>
      </c>
    </row>
    <row r="15" spans="1:75" ht="12" customHeight="1" x14ac:dyDescent="0.2">
      <c r="A15" s="40" t="s">
        <v>125</v>
      </c>
      <c r="B15" s="81">
        <v>0</v>
      </c>
      <c r="C15" s="81">
        <v>0</v>
      </c>
      <c r="D15" s="81">
        <v>0</v>
      </c>
      <c r="E15" s="81">
        <v>0</v>
      </c>
      <c r="F15" s="81">
        <v>0</v>
      </c>
      <c r="G15" s="81">
        <v>0</v>
      </c>
      <c r="H15" s="81">
        <v>5418.8793197142704</v>
      </c>
      <c r="I15" s="81">
        <v>5379.0102071037509</v>
      </c>
      <c r="J15" s="81">
        <v>5427.2084178840705</v>
      </c>
      <c r="K15" s="81">
        <v>5738.8634245020912</v>
      </c>
      <c r="L15" s="81">
        <v>5490.5743127848136</v>
      </c>
      <c r="M15" s="81">
        <v>5532.3699431344248</v>
      </c>
      <c r="N15" s="81">
        <v>5851.2592853647575</v>
      </c>
      <c r="O15" s="81">
        <v>5835.9553736226126</v>
      </c>
      <c r="P15" s="81">
        <v>6128.9977239451982</v>
      </c>
      <c r="Q15" s="81">
        <v>5564.0628685507099</v>
      </c>
      <c r="R15" s="81">
        <v>5419.9698732721517</v>
      </c>
      <c r="S15" s="81">
        <v>5502.7141035876466</v>
      </c>
      <c r="T15" s="81">
        <v>6154.7240184680868</v>
      </c>
      <c r="U15" s="81">
        <v>5509.1534746591069</v>
      </c>
      <c r="V15" s="81">
        <v>5589.3870425102796</v>
      </c>
      <c r="W15" s="81">
        <v>5236.6888230812328</v>
      </c>
      <c r="X15" s="81">
        <v>6195.7516032230333</v>
      </c>
      <c r="Y15" s="81">
        <v>5535.5894361414357</v>
      </c>
      <c r="Z15" s="81">
        <v>5643.2175501345846</v>
      </c>
      <c r="AA15" s="81">
        <v>5850.6261570854904</v>
      </c>
      <c r="AB15" s="81">
        <v>5919.8009380279418</v>
      </c>
      <c r="AC15" s="81">
        <v>6130.1701241428736</v>
      </c>
      <c r="AD15" s="81">
        <v>5947.1033889361088</v>
      </c>
      <c r="AE15" s="81">
        <v>6098.9140231319016</v>
      </c>
      <c r="AF15" s="97">
        <v>6058.9851123079598</v>
      </c>
      <c r="AG15" s="97">
        <v>6151.8418308913424</v>
      </c>
      <c r="AH15" s="97">
        <v>6459.6385175325722</v>
      </c>
      <c r="AI15" s="97">
        <v>6172.2801280386921</v>
      </c>
      <c r="AJ15" s="97">
        <v>6113.4118117958624</v>
      </c>
      <c r="AK15" s="97">
        <v>6365.2951660330173</v>
      </c>
      <c r="AL15" s="97">
        <v>6582.8786020866137</v>
      </c>
      <c r="AM15" s="97">
        <v>6545.6274902718596</v>
      </c>
      <c r="AN15" s="97">
        <v>6624.146365821618</v>
      </c>
      <c r="AO15" s="97">
        <v>6533.1995001801752</v>
      </c>
      <c r="AP15" s="97">
        <v>6887.5131797139957</v>
      </c>
      <c r="AQ15" s="97">
        <v>6659.0805578418858</v>
      </c>
      <c r="AR15" s="97">
        <v>6777.8345278834622</v>
      </c>
      <c r="AS15" s="97">
        <v>6778.2823749044037</v>
      </c>
      <c r="AT15" s="97">
        <v>7531.2265462949545</v>
      </c>
      <c r="AU15" s="97">
        <v>7188.4800155681569</v>
      </c>
      <c r="AV15" s="97">
        <v>7180.5443713932473</v>
      </c>
      <c r="AW15" s="97">
        <v>7289.0879691908685</v>
      </c>
      <c r="AX15" s="97">
        <v>7451.5710665054467</v>
      </c>
      <c r="AY15" s="97">
        <v>7595.3946794175308</v>
      </c>
      <c r="AZ15" s="97">
        <v>7565.5859448395104</v>
      </c>
      <c r="BA15" s="97">
        <v>7818.2609427794378</v>
      </c>
      <c r="BB15" s="97">
        <v>7524.9016024593693</v>
      </c>
      <c r="BC15" s="97">
        <v>7643.6426622089202</v>
      </c>
      <c r="BD15" s="97">
        <v>7912.3917569357573</v>
      </c>
      <c r="BE15" s="97">
        <v>7634.5176951214007</v>
      </c>
      <c r="BF15" s="97">
        <v>8038.7603087401976</v>
      </c>
      <c r="BG15" s="97">
        <v>8456.0784529881093</v>
      </c>
      <c r="BH15" s="97">
        <v>8143.4332870703565</v>
      </c>
      <c r="BI15" s="97">
        <v>8514.0709378945357</v>
      </c>
      <c r="BJ15" s="97">
        <v>8384.5547403293785</v>
      </c>
      <c r="BK15" s="97">
        <v>8258.2818211595168</v>
      </c>
      <c r="BL15" s="97">
        <v>8594.2364487785544</v>
      </c>
      <c r="BM15" s="97">
        <v>8663.201464922211</v>
      </c>
      <c r="BN15" s="97">
        <v>8847.9761894068397</v>
      </c>
      <c r="BO15" s="97">
        <v>9132.1583150450097</v>
      </c>
      <c r="BP15" s="97">
        <v>9180.7150023564427</v>
      </c>
      <c r="BQ15" s="97">
        <v>9290.6771484296314</v>
      </c>
      <c r="BR15" s="97">
        <v>9645.6266393689821</v>
      </c>
      <c r="BS15" s="97">
        <v>9451.6368909583998</v>
      </c>
      <c r="BT15" s="97">
        <v>9588.3203925332764</v>
      </c>
      <c r="BU15" s="97">
        <v>10082.951351835829</v>
      </c>
      <c r="BV15" s="97">
        <v>9947.820589964851</v>
      </c>
    </row>
    <row r="16" spans="1:75" ht="12" customHeight="1" x14ac:dyDescent="0.2">
      <c r="A16" s="40" t="s">
        <v>126</v>
      </c>
      <c r="B16" s="81">
        <v>0</v>
      </c>
      <c r="C16" s="81">
        <v>0</v>
      </c>
      <c r="D16" s="81">
        <v>0</v>
      </c>
      <c r="E16" s="81">
        <v>0</v>
      </c>
      <c r="F16" s="81">
        <v>0</v>
      </c>
      <c r="G16" s="81">
        <v>0</v>
      </c>
      <c r="H16" s="81">
        <v>4827.2019438137713</v>
      </c>
      <c r="I16" s="81">
        <v>4837.9511470164616</v>
      </c>
      <c r="J16" s="81">
        <v>5045.4055994951195</v>
      </c>
      <c r="K16" s="81">
        <v>5080.7288616592205</v>
      </c>
      <c r="L16" s="81">
        <v>5229.2667776672261</v>
      </c>
      <c r="M16" s="81">
        <v>5654.5393601666301</v>
      </c>
      <c r="N16" s="81">
        <v>5352.2273634323565</v>
      </c>
      <c r="O16" s="81">
        <v>5467.2134480832192</v>
      </c>
      <c r="P16" s="81">
        <v>5473.1409326045632</v>
      </c>
      <c r="Q16" s="81">
        <v>5450.8599941591247</v>
      </c>
      <c r="R16" s="81">
        <v>5705.4645271598929</v>
      </c>
      <c r="S16" s="81">
        <v>5710.1066034829128</v>
      </c>
      <c r="T16" s="81">
        <v>5726.9839710554661</v>
      </c>
      <c r="U16" s="81">
        <v>5683.6489504793526</v>
      </c>
      <c r="V16" s="81">
        <v>5688.4441099643554</v>
      </c>
      <c r="W16" s="81">
        <v>5393.8721690137663</v>
      </c>
      <c r="X16" s="81">
        <v>5672.9447965181625</v>
      </c>
      <c r="Y16" s="81">
        <v>5639.6676985200211</v>
      </c>
      <c r="Z16" s="81">
        <v>5982.8773250597715</v>
      </c>
      <c r="AA16" s="81">
        <v>6234.6006716962811</v>
      </c>
      <c r="AB16" s="81">
        <v>6197.9643283646355</v>
      </c>
      <c r="AC16" s="81">
        <v>6294.5184595469391</v>
      </c>
      <c r="AD16" s="81">
        <v>6463.610815473432</v>
      </c>
      <c r="AE16" s="81">
        <v>6717.3836368382345</v>
      </c>
      <c r="AF16" s="97">
        <v>6859.1499319548439</v>
      </c>
      <c r="AG16" s="97">
        <v>6774.5134802464891</v>
      </c>
      <c r="AH16" s="97">
        <v>6234.7229986264429</v>
      </c>
      <c r="AI16" s="97">
        <v>6603.0190615707925</v>
      </c>
      <c r="AJ16" s="97">
        <v>6810.0731706743036</v>
      </c>
      <c r="AK16" s="97">
        <v>7061.3088010513238</v>
      </c>
      <c r="AL16" s="97">
        <v>7254.6057887098723</v>
      </c>
      <c r="AM16" s="97">
        <v>7145.5963811189522</v>
      </c>
      <c r="AN16" s="97">
        <v>7163.8099008506551</v>
      </c>
      <c r="AO16" s="97">
        <v>7221.6637044979652</v>
      </c>
      <c r="AP16" s="97">
        <v>7504.2004393131801</v>
      </c>
      <c r="AQ16" s="97">
        <v>7734.8303660770325</v>
      </c>
      <c r="AR16" s="97">
        <v>7795.0483605980253</v>
      </c>
      <c r="AS16" s="97">
        <v>7955.7257307010132</v>
      </c>
      <c r="AT16" s="97">
        <v>8235.0953838746664</v>
      </c>
      <c r="AU16" s="97">
        <v>8306.126634881115</v>
      </c>
      <c r="AV16" s="97">
        <v>8565.2873074082891</v>
      </c>
      <c r="AW16" s="97">
        <v>8788.3074709907323</v>
      </c>
      <c r="AX16" s="97">
        <v>8519.1180868545471</v>
      </c>
      <c r="AY16" s="97">
        <v>7489.7614092702761</v>
      </c>
      <c r="AZ16" s="97">
        <v>8331.279960961112</v>
      </c>
      <c r="BA16" s="97">
        <v>8659.1468376505964</v>
      </c>
      <c r="BB16" s="97">
        <v>8751.5789724127899</v>
      </c>
      <c r="BC16" s="97">
        <v>8758.2812724174473</v>
      </c>
      <c r="BD16" s="97">
        <v>8306.221889988843</v>
      </c>
      <c r="BE16" s="97">
        <v>9394.8315772256083</v>
      </c>
      <c r="BF16" s="97">
        <v>9294.8047767828448</v>
      </c>
      <c r="BG16" s="97">
        <v>9341.6652595610103</v>
      </c>
      <c r="BH16" s="97">
        <v>9255.5266773015537</v>
      </c>
      <c r="BI16" s="97">
        <v>9203.2317993531669</v>
      </c>
      <c r="BJ16" s="97">
        <v>9383.2861788229384</v>
      </c>
      <c r="BK16" s="97">
        <v>9914.281329215768</v>
      </c>
      <c r="BL16" s="97">
        <v>10037.899294761148</v>
      </c>
      <c r="BM16" s="97">
        <v>9663.0934325953986</v>
      </c>
      <c r="BN16" s="97">
        <v>10040.640848556062</v>
      </c>
      <c r="BO16" s="97">
        <v>10001.921743957731</v>
      </c>
      <c r="BP16" s="97">
        <v>10540.581781730485</v>
      </c>
      <c r="BQ16" s="97">
        <v>10422.667245846475</v>
      </c>
      <c r="BR16" s="97">
        <v>10795.035660796511</v>
      </c>
      <c r="BS16" s="97">
        <v>10752.744433217173</v>
      </c>
      <c r="BT16" s="97">
        <v>11182.706565223467</v>
      </c>
      <c r="BU16" s="97">
        <v>11713.264400701746</v>
      </c>
      <c r="BV16" s="97">
        <v>11447.732188872542</v>
      </c>
    </row>
    <row r="17" spans="1:75" ht="12" customHeight="1" x14ac:dyDescent="0.2">
      <c r="A17" s="40" t="s">
        <v>127</v>
      </c>
      <c r="B17" s="81">
        <v>0</v>
      </c>
      <c r="C17" s="81">
        <v>0</v>
      </c>
      <c r="D17" s="81">
        <v>0</v>
      </c>
      <c r="E17" s="81">
        <v>0</v>
      </c>
      <c r="F17" s="81">
        <v>0</v>
      </c>
      <c r="G17" s="81">
        <v>0</v>
      </c>
      <c r="H17" s="81">
        <v>7877.7985520758575</v>
      </c>
      <c r="I17" s="81">
        <v>8234.0425300443003</v>
      </c>
      <c r="J17" s="81">
        <v>9154.5646461273209</v>
      </c>
      <c r="K17" s="81">
        <v>9167.8919274806904</v>
      </c>
      <c r="L17" s="81">
        <v>9452.0913184096607</v>
      </c>
      <c r="M17" s="81">
        <v>9458.9791403454583</v>
      </c>
      <c r="N17" s="81">
        <v>9928.7760876189532</v>
      </c>
      <c r="O17" s="81">
        <v>9149.6942005474812</v>
      </c>
      <c r="P17" s="81">
        <v>9559.6879610958804</v>
      </c>
      <c r="Q17" s="81">
        <v>9479.3433227651276</v>
      </c>
      <c r="R17" s="81">
        <v>9924.5286113802522</v>
      </c>
      <c r="S17" s="81">
        <v>10075.780985805706</v>
      </c>
      <c r="T17" s="81">
        <v>10355.400453788909</v>
      </c>
      <c r="U17" s="81">
        <v>10071.588717386521</v>
      </c>
      <c r="V17" s="81">
        <v>9954.1623484575794</v>
      </c>
      <c r="W17" s="81">
        <v>10159.311959166591</v>
      </c>
      <c r="X17" s="81">
        <v>9850.8713408585609</v>
      </c>
      <c r="Y17" s="81">
        <v>10159.794207142484</v>
      </c>
      <c r="Z17" s="81">
        <v>10894.889832725274</v>
      </c>
      <c r="AA17" s="81">
        <v>11550.655133414655</v>
      </c>
      <c r="AB17" s="81">
        <v>10614.951727464737</v>
      </c>
      <c r="AC17" s="81">
        <v>11241.189269645261</v>
      </c>
      <c r="AD17" s="81">
        <v>11449.704287397408</v>
      </c>
      <c r="AE17" s="81">
        <v>11604.974744667517</v>
      </c>
      <c r="AF17" s="97">
        <v>11954.947388810742</v>
      </c>
      <c r="AG17" s="97">
        <v>12066.116684875971</v>
      </c>
      <c r="AH17" s="97">
        <v>11510.078047620076</v>
      </c>
      <c r="AI17" s="97">
        <v>11643.517827581198</v>
      </c>
      <c r="AJ17" s="97">
        <v>11609.621001761832</v>
      </c>
      <c r="AK17" s="97">
        <v>11580.560829364564</v>
      </c>
      <c r="AL17" s="97">
        <v>11815.395456883523</v>
      </c>
      <c r="AM17" s="97">
        <v>12220.120740543669</v>
      </c>
      <c r="AN17" s="97">
        <v>12483.63363985451</v>
      </c>
      <c r="AO17" s="97">
        <v>12810.474117448342</v>
      </c>
      <c r="AP17" s="97">
        <v>12877.387727211428</v>
      </c>
      <c r="AQ17" s="97">
        <v>13038.562038800737</v>
      </c>
      <c r="AR17" s="97">
        <v>13373.209130162208</v>
      </c>
      <c r="AS17" s="97">
        <v>13359.0724580018</v>
      </c>
      <c r="AT17" s="97">
        <v>13646.548260634505</v>
      </c>
      <c r="AU17" s="97">
        <v>13787.096284742958</v>
      </c>
      <c r="AV17" s="97">
        <v>14323.204876889458</v>
      </c>
      <c r="AW17" s="97">
        <v>14346.25459654215</v>
      </c>
      <c r="AX17" s="97">
        <v>13846.43614589123</v>
      </c>
      <c r="AY17" s="97">
        <v>12995.289909442072</v>
      </c>
      <c r="AZ17" s="97">
        <v>13868.84471452003</v>
      </c>
      <c r="BA17" s="97">
        <v>14031.988246852614</v>
      </c>
      <c r="BB17" s="97">
        <v>14589.98623942144</v>
      </c>
      <c r="BC17" s="97">
        <v>14537.278322561893</v>
      </c>
      <c r="BD17" s="97">
        <v>14353.276233891616</v>
      </c>
      <c r="BE17" s="97">
        <v>14863.887189476265</v>
      </c>
      <c r="BF17" s="97">
        <v>15180.112455445455</v>
      </c>
      <c r="BG17" s="97">
        <v>14912.122656121221</v>
      </c>
      <c r="BH17" s="97">
        <v>15676.092686250831</v>
      </c>
      <c r="BI17" s="97">
        <v>15605.012731317576</v>
      </c>
      <c r="BJ17" s="97">
        <v>15449.460479071306</v>
      </c>
      <c r="BK17" s="97">
        <v>16108.64940338901</v>
      </c>
      <c r="BL17" s="97">
        <v>16111.275193363286</v>
      </c>
      <c r="BM17" s="97">
        <v>16963.042060138148</v>
      </c>
      <c r="BN17" s="97">
        <v>16708.755744885682</v>
      </c>
      <c r="BO17" s="97">
        <v>17056.080839700004</v>
      </c>
      <c r="BP17" s="97">
        <v>17116.937317695159</v>
      </c>
      <c r="BQ17" s="97">
        <v>17379.740017756561</v>
      </c>
      <c r="BR17" s="97">
        <v>18163.327167978528</v>
      </c>
      <c r="BS17" s="97">
        <v>17910.007535502835</v>
      </c>
      <c r="BT17" s="97">
        <v>18088.758294998075</v>
      </c>
      <c r="BU17" s="97">
        <v>18487.026394894703</v>
      </c>
      <c r="BV17" s="97">
        <v>19235.410114725852</v>
      </c>
    </row>
    <row r="18" spans="1:75" ht="12" customHeight="1" x14ac:dyDescent="0.2">
      <c r="A18" s="39" t="s">
        <v>18</v>
      </c>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row>
    <row r="19" spans="1:75" ht="12" customHeight="1" x14ac:dyDescent="0.2">
      <c r="A19" s="99" t="s">
        <v>128</v>
      </c>
      <c r="B19" s="100">
        <v>0</v>
      </c>
      <c r="C19" s="100">
        <v>0</v>
      </c>
      <c r="D19" s="100">
        <v>0</v>
      </c>
      <c r="E19" s="100">
        <v>0</v>
      </c>
      <c r="F19" s="100">
        <v>0</v>
      </c>
      <c r="G19" s="100">
        <v>0</v>
      </c>
      <c r="H19" s="100">
        <v>1157.52879570287</v>
      </c>
      <c r="I19" s="100">
        <v>1085.76495677399</v>
      </c>
      <c r="J19" s="100">
        <v>1043.4712594226601</v>
      </c>
      <c r="K19" s="100">
        <v>1101.17453863421</v>
      </c>
      <c r="L19" s="100">
        <v>1170.59758440371</v>
      </c>
      <c r="M19" s="100">
        <v>1250.96456990399</v>
      </c>
      <c r="N19" s="100">
        <v>1257.9696624375299</v>
      </c>
      <c r="O19" s="100">
        <v>1230.0516751257701</v>
      </c>
      <c r="P19" s="100">
        <v>1324.89414650547</v>
      </c>
      <c r="Q19" s="100">
        <v>1416.7482783386999</v>
      </c>
      <c r="R19" s="100">
        <v>1467.3472682986901</v>
      </c>
      <c r="S19" s="100">
        <v>1452.5625717084299</v>
      </c>
      <c r="T19" s="100">
        <v>1433.5429272180299</v>
      </c>
      <c r="U19" s="100">
        <v>1367.9813711434999</v>
      </c>
      <c r="V19" s="100">
        <v>1421.89044294161</v>
      </c>
      <c r="W19" s="100">
        <v>1476.6179889651501</v>
      </c>
      <c r="X19" s="100">
        <v>1487.0784428776101</v>
      </c>
      <c r="Y19" s="100">
        <v>1446.8033927752001</v>
      </c>
      <c r="Z19" s="100">
        <v>1621.31347128068</v>
      </c>
      <c r="AA19" s="100">
        <v>1572.1187562858599</v>
      </c>
      <c r="AB19" s="100">
        <v>1590.68843380209</v>
      </c>
      <c r="AC19" s="100">
        <v>1657.9253570876799</v>
      </c>
      <c r="AD19" s="100">
        <v>1710.4485841885901</v>
      </c>
      <c r="AE19" s="100">
        <v>1777.03178562682</v>
      </c>
      <c r="AF19" s="101">
        <v>1708.24145751274</v>
      </c>
      <c r="AG19" s="101">
        <v>1734.90925252842</v>
      </c>
      <c r="AH19" s="101">
        <v>1661.77425758811</v>
      </c>
      <c r="AI19" s="101">
        <v>1779.56092238165</v>
      </c>
      <c r="AJ19" s="101">
        <v>1883.345440653</v>
      </c>
      <c r="AK19" s="101">
        <v>1804.9622534011301</v>
      </c>
      <c r="AL19" s="101">
        <v>1969.2046748801399</v>
      </c>
      <c r="AM19" s="101">
        <v>1978.5693811282799</v>
      </c>
      <c r="AN19" s="101">
        <v>2011.4651840183401</v>
      </c>
      <c r="AO19" s="101">
        <v>1988.81703332918</v>
      </c>
      <c r="AP19" s="101">
        <v>1960.1566112355699</v>
      </c>
      <c r="AQ19" s="101">
        <v>2012.87662242499</v>
      </c>
      <c r="AR19" s="101">
        <v>1994.92466047318</v>
      </c>
      <c r="AS19" s="101">
        <v>2050.9007922687001</v>
      </c>
      <c r="AT19" s="101">
        <v>2153.4128493682401</v>
      </c>
      <c r="AU19" s="101">
        <v>2121.67901214003</v>
      </c>
      <c r="AV19" s="101">
        <v>2208.46924875382</v>
      </c>
      <c r="AW19" s="101">
        <v>2252.1385617639198</v>
      </c>
      <c r="AX19" s="101">
        <v>2133.42441560728</v>
      </c>
      <c r="AY19" s="101">
        <v>1595.2891726713899</v>
      </c>
      <c r="AZ19" s="101">
        <v>2124.4659212777501</v>
      </c>
      <c r="BA19" s="101">
        <v>2157.3696488867799</v>
      </c>
      <c r="BB19" s="101">
        <v>2054.54849503371</v>
      </c>
      <c r="BC19" s="101">
        <v>2366.9671227328799</v>
      </c>
      <c r="BD19" s="101">
        <v>2068.42916873985</v>
      </c>
      <c r="BE19" s="101">
        <v>2358.20603271453</v>
      </c>
      <c r="BF19" s="101">
        <v>2497.8923166067798</v>
      </c>
      <c r="BG19" s="101">
        <v>2435.5610179530099</v>
      </c>
      <c r="BH19" s="101">
        <v>2412.4605923377499</v>
      </c>
      <c r="BI19" s="101">
        <v>2502.23270762313</v>
      </c>
      <c r="BJ19" s="101">
        <v>2599.5891761585199</v>
      </c>
      <c r="BK19" s="101">
        <v>2710.1798261098602</v>
      </c>
      <c r="BL19" s="101">
        <v>2728.5675996186001</v>
      </c>
      <c r="BM19" s="101">
        <v>2693.9058122132301</v>
      </c>
      <c r="BN19" s="101">
        <v>2779.1589804349401</v>
      </c>
      <c r="BO19" s="101">
        <v>2814.7584373629402</v>
      </c>
      <c r="BP19" s="101">
        <v>3003.6740809098501</v>
      </c>
      <c r="BQ19" s="101">
        <v>2955.3877764774202</v>
      </c>
      <c r="BR19" s="101">
        <v>2933.2265218819298</v>
      </c>
      <c r="BS19" s="101">
        <v>3037.92125482239</v>
      </c>
      <c r="BT19" s="101">
        <v>3096.8718458468102</v>
      </c>
      <c r="BU19" s="101">
        <v>3168.09535384849</v>
      </c>
      <c r="BV19" s="101">
        <v>3347.8983580130298</v>
      </c>
    </row>
    <row r="20" spans="1:75" ht="12" customHeight="1" x14ac:dyDescent="0.2">
      <c r="B20" s="81"/>
      <c r="C20" s="81"/>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row>
    <row r="21" spans="1:75" ht="12" customHeight="1" x14ac:dyDescent="0.2">
      <c r="A21" s="37" t="s">
        <v>100</v>
      </c>
      <c r="B21" s="81"/>
      <c r="C21" s="81"/>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row>
    <row r="22" spans="1:75" s="37" customFormat="1" ht="12" customHeight="1" x14ac:dyDescent="0.2">
      <c r="A22" s="39" t="s">
        <v>0</v>
      </c>
      <c r="B22" s="80">
        <v>0</v>
      </c>
      <c r="C22" s="80">
        <v>0</v>
      </c>
      <c r="D22" s="80">
        <v>0</v>
      </c>
      <c r="E22" s="80">
        <v>0</v>
      </c>
      <c r="F22" s="80">
        <v>0</v>
      </c>
      <c r="G22" s="80">
        <v>0</v>
      </c>
      <c r="H22" s="80">
        <v>19321.52119478989</v>
      </c>
      <c r="I22" s="80">
        <v>19646.987355250112</v>
      </c>
      <c r="J22" s="80">
        <v>20838.390466991488</v>
      </c>
      <c r="K22" s="80">
        <v>21122.126367378081</v>
      </c>
      <c r="L22" s="80">
        <v>21418.024183757261</v>
      </c>
      <c r="M22" s="80">
        <v>21679.120192682934</v>
      </c>
      <c r="N22" s="80">
        <v>21679.065979152892</v>
      </c>
      <c r="O22" s="80">
        <v>21729.734660804625</v>
      </c>
      <c r="P22" s="80">
        <v>21900.113368140315</v>
      </c>
      <c r="Q22" s="80">
        <v>22149.61224074191</v>
      </c>
      <c r="R22" s="80">
        <v>22485.95563724537</v>
      </c>
      <c r="S22" s="80">
        <v>22826.893908683276</v>
      </c>
      <c r="T22" s="80">
        <v>22949.803790837232</v>
      </c>
      <c r="U22" s="80">
        <v>22773.997754843051</v>
      </c>
      <c r="V22" s="80">
        <v>22547.539355633653</v>
      </c>
      <c r="W22" s="80">
        <v>22437.040735435163</v>
      </c>
      <c r="X22" s="80">
        <v>22500.573376319051</v>
      </c>
      <c r="Y22" s="80">
        <v>23012.920286715256</v>
      </c>
      <c r="Z22" s="80">
        <v>23903.17123835129</v>
      </c>
      <c r="AA22" s="80">
        <v>24489.840209336475</v>
      </c>
      <c r="AB22" s="80">
        <v>24776.316188161694</v>
      </c>
      <c r="AC22" s="80">
        <v>25114.086745933299</v>
      </c>
      <c r="AD22" s="80">
        <v>25621.400337933119</v>
      </c>
      <c r="AE22" s="80">
        <v>26114.927806441228</v>
      </c>
      <c r="AF22" s="98">
        <v>26538.290820420767</v>
      </c>
      <c r="AG22" s="98">
        <v>26545.612048094143</v>
      </c>
      <c r="AH22" s="98">
        <v>26228.291837979486</v>
      </c>
      <c r="AI22" s="98">
        <v>26164.867444096235</v>
      </c>
      <c r="AJ22" s="98">
        <v>26459.002899271636</v>
      </c>
      <c r="AK22" s="98">
        <v>26890.982372318118</v>
      </c>
      <c r="AL22" s="98">
        <v>27386.001153998219</v>
      </c>
      <c r="AM22" s="98">
        <v>27829.696384491599</v>
      </c>
      <c r="AN22" s="98">
        <v>28157.980491201593</v>
      </c>
      <c r="AO22" s="98">
        <v>28505.645975255622</v>
      </c>
      <c r="AP22" s="98">
        <v>28964.892403690726</v>
      </c>
      <c r="AQ22" s="98">
        <v>29471.223640955901</v>
      </c>
      <c r="AR22" s="98">
        <v>29869.311563278319</v>
      </c>
      <c r="AS22" s="98">
        <v>30328.589305197231</v>
      </c>
      <c r="AT22" s="98">
        <v>30858.148617235471</v>
      </c>
      <c r="AU22" s="98">
        <v>31484.421049779758</v>
      </c>
      <c r="AV22" s="98">
        <v>32198.083008745001</v>
      </c>
      <c r="AW22" s="98">
        <v>32489.962334925509</v>
      </c>
      <c r="AX22" s="98">
        <v>32127.768133788762</v>
      </c>
      <c r="AY22" s="98">
        <v>31925.614295417006</v>
      </c>
      <c r="AZ22" s="98">
        <v>32151.054282142686</v>
      </c>
      <c r="BA22" s="98">
        <v>32497.725678917282</v>
      </c>
      <c r="BB22" s="98">
        <v>32852.132039658973</v>
      </c>
      <c r="BC22" s="98">
        <v>32937.677887751968</v>
      </c>
      <c r="BD22" s="98">
        <v>33205.300695864433</v>
      </c>
      <c r="BE22" s="98">
        <v>34095.250352448231</v>
      </c>
      <c r="BF22" s="98">
        <v>34842.846961560477</v>
      </c>
      <c r="BG22" s="98">
        <v>35120.265768815349</v>
      </c>
      <c r="BH22" s="98">
        <v>35413.009187546275</v>
      </c>
      <c r="BI22" s="98">
        <v>35619.048489236433</v>
      </c>
      <c r="BJ22" s="98">
        <v>36075.371849674208</v>
      </c>
      <c r="BK22" s="98">
        <v>36783.200840873811</v>
      </c>
      <c r="BL22" s="98">
        <v>37156.070309953189</v>
      </c>
      <c r="BM22" s="98">
        <v>37436.947479931849</v>
      </c>
      <c r="BN22" s="98">
        <v>38261.276301601814</v>
      </c>
      <c r="BO22" s="98">
        <v>39229.273049812662</v>
      </c>
      <c r="BP22" s="98">
        <v>39773.916947054669</v>
      </c>
      <c r="BQ22" s="98">
        <v>40187.24501451946</v>
      </c>
      <c r="BR22" s="98">
        <v>40669.909058481877</v>
      </c>
      <c r="BS22" s="98">
        <v>41354.613019678902</v>
      </c>
      <c r="BT22" s="98">
        <v>42247.595036309904</v>
      </c>
      <c r="BU22" s="98">
        <v>43299.342185174901</v>
      </c>
      <c r="BV22" s="98">
        <v>43749.46109859732</v>
      </c>
    </row>
    <row r="23" spans="1:75" ht="12" customHeight="1" x14ac:dyDescent="0.2">
      <c r="A23" s="40" t="s">
        <v>125</v>
      </c>
      <c r="B23" s="81">
        <v>0</v>
      </c>
      <c r="C23" s="81">
        <v>0</v>
      </c>
      <c r="D23" s="81">
        <v>0</v>
      </c>
      <c r="E23" s="81">
        <v>0</v>
      </c>
      <c r="F23" s="81">
        <v>0</v>
      </c>
      <c r="G23" s="81">
        <v>0</v>
      </c>
      <c r="H23" s="81">
        <v>5456.4527707381376</v>
      </c>
      <c r="I23" s="81">
        <v>5501.0784036316281</v>
      </c>
      <c r="J23" s="81">
        <v>5622.9922113125813</v>
      </c>
      <c r="K23" s="81">
        <v>5658.0279072332942</v>
      </c>
      <c r="L23" s="81">
        <v>5604.7816513738417</v>
      </c>
      <c r="M23" s="81">
        <v>5627.1604546048638</v>
      </c>
      <c r="N23" s="81">
        <v>5712.0892706455697</v>
      </c>
      <c r="O23" s="81">
        <v>5775.8787535579231</v>
      </c>
      <c r="P23" s="81">
        <v>5770.1844697271154</v>
      </c>
      <c r="Q23" s="81">
        <v>5670.4114048294205</v>
      </c>
      <c r="R23" s="81">
        <v>5564.7466559371233</v>
      </c>
      <c r="S23" s="81">
        <v>5524.5602268352277</v>
      </c>
      <c r="T23" s="81">
        <v>5571.242532522012</v>
      </c>
      <c r="U23" s="81">
        <v>5579.4439760847936</v>
      </c>
      <c r="V23" s="81">
        <v>5522.0826292958918</v>
      </c>
      <c r="W23" s="81">
        <v>5439.0314792908384</v>
      </c>
      <c r="X23" s="81">
        <v>5493.6998241071524</v>
      </c>
      <c r="Y23" s="81">
        <v>5593.7692365256107</v>
      </c>
      <c r="Z23" s="81">
        <v>5679.3151051330897</v>
      </c>
      <c r="AA23" s="81">
        <v>5849.0996074434697</v>
      </c>
      <c r="AB23" s="81">
        <v>6013.0737666417735</v>
      </c>
      <c r="AC23" s="81">
        <v>6026.2304413326783</v>
      </c>
      <c r="AD23" s="81">
        <v>5992.5443354280342</v>
      </c>
      <c r="AE23" s="81">
        <v>5989.9006437614789</v>
      </c>
      <c r="AF23" s="97">
        <v>6028.0330527382011</v>
      </c>
      <c r="AG23" s="97">
        <v>6154.112073653122</v>
      </c>
      <c r="AH23" s="97">
        <v>6248.4003692484848</v>
      </c>
      <c r="AI23" s="97">
        <v>6239.5056918244991</v>
      </c>
      <c r="AJ23" s="97">
        <v>6219.0738154760875</v>
      </c>
      <c r="AK23" s="97">
        <v>6294.9720776128388</v>
      </c>
      <c r="AL23" s="97">
        <v>6407.6261672887867</v>
      </c>
      <c r="AM23" s="97">
        <v>6477.4046995613462</v>
      </c>
      <c r="AN23" s="97">
        <v>6491.9933499268782</v>
      </c>
      <c r="AO23" s="97">
        <v>6510.6556329873765</v>
      </c>
      <c r="AP23" s="97">
        <v>6593.2903642584406</v>
      </c>
      <c r="AQ23" s="97">
        <v>6679.9109517438092</v>
      </c>
      <c r="AR23" s="97">
        <v>6761.5509759807164</v>
      </c>
      <c r="AS23" s="97">
        <v>6852.1134012734856</v>
      </c>
      <c r="AT23" s="97">
        <v>6975.369160633204</v>
      </c>
      <c r="AU23" s="97">
        <v>7095.5818866754671</v>
      </c>
      <c r="AV23" s="97">
        <v>7180.5525742687996</v>
      </c>
      <c r="AW23" s="97">
        <v>7249.5002660696746</v>
      </c>
      <c r="AX23" s="97">
        <v>7355.6491098218921</v>
      </c>
      <c r="AY23" s="97">
        <v>7495.2349747275184</v>
      </c>
      <c r="AZ23" s="97">
        <v>7590.5940801147135</v>
      </c>
      <c r="BA23" s="97">
        <v>7587.1720393382466</v>
      </c>
      <c r="BB23" s="97">
        <v>7546.1287291707094</v>
      </c>
      <c r="BC23" s="97">
        <v>7507.5132474900784</v>
      </c>
      <c r="BD23" s="97">
        <v>7567.2380207300839</v>
      </c>
      <c r="BE23" s="97">
        <v>7797.3910520181435</v>
      </c>
      <c r="BF23" s="97">
        <v>8061.1159818575461</v>
      </c>
      <c r="BG23" s="97">
        <v>8321.114146219461</v>
      </c>
      <c r="BH23" s="97">
        <v>8461.1523503424942</v>
      </c>
      <c r="BI23" s="97">
        <v>8405.3814852559026</v>
      </c>
      <c r="BJ23" s="97">
        <v>8326.4781071667312</v>
      </c>
      <c r="BK23" s="97">
        <v>8334.9072418107389</v>
      </c>
      <c r="BL23" s="97">
        <v>8409.8466551095789</v>
      </c>
      <c r="BM23" s="97">
        <v>8569.3642616028155</v>
      </c>
      <c r="BN23" s="97">
        <v>8758.1031554755955</v>
      </c>
      <c r="BO23" s="97">
        <v>8937.1503140503337</v>
      </c>
      <c r="BP23" s="97">
        <v>9086.2922472556365</v>
      </c>
      <c r="BQ23" s="97">
        <v>9214.9187869640245</v>
      </c>
      <c r="BR23" s="97">
        <v>9307.5553500473543</v>
      </c>
      <c r="BS23" s="97">
        <v>9438.1407808499516</v>
      </c>
      <c r="BT23" s="97">
        <v>9615.1067094342561</v>
      </c>
      <c r="BU23" s="97">
        <v>9828.6601020394974</v>
      </c>
      <c r="BV23" s="97">
        <v>9969.3844888333442</v>
      </c>
    </row>
    <row r="24" spans="1:75" ht="12" customHeight="1" x14ac:dyDescent="0.2">
      <c r="A24" s="40" t="s">
        <v>126</v>
      </c>
      <c r="B24" s="81">
        <v>0</v>
      </c>
      <c r="C24" s="81">
        <v>0</v>
      </c>
      <c r="D24" s="81">
        <v>0</v>
      </c>
      <c r="E24" s="81">
        <v>0</v>
      </c>
      <c r="F24" s="81">
        <v>0</v>
      </c>
      <c r="G24" s="81">
        <v>0</v>
      </c>
      <c r="H24" s="81">
        <v>4762.3993366594304</v>
      </c>
      <c r="I24" s="81">
        <v>4887.7175643585688</v>
      </c>
      <c r="J24" s="81">
        <v>4991.0453405539884</v>
      </c>
      <c r="K24" s="81">
        <v>5106.859260661392</v>
      </c>
      <c r="L24" s="81">
        <v>5235.9301041969729</v>
      </c>
      <c r="M24" s="81">
        <v>5426.4245012784504</v>
      </c>
      <c r="N24" s="81">
        <v>5512.3883268496156</v>
      </c>
      <c r="O24" s="81">
        <v>5492.2460917481667</v>
      </c>
      <c r="P24" s="81">
        <v>5449.0901475401824</v>
      </c>
      <c r="Q24" s="81">
        <v>5507.1917199238478</v>
      </c>
      <c r="R24" s="81">
        <v>5660.1332685756151</v>
      </c>
      <c r="S24" s="81">
        <v>5728.8985964176081</v>
      </c>
      <c r="T24" s="81">
        <v>5721.9390313723889</v>
      </c>
      <c r="U24" s="81">
        <v>5682.2285590605679</v>
      </c>
      <c r="V24" s="81">
        <v>5604.6388447318541</v>
      </c>
      <c r="W24" s="81">
        <v>5559.1196390641071</v>
      </c>
      <c r="X24" s="81">
        <v>5569.6320709801976</v>
      </c>
      <c r="Y24" s="81">
        <v>5692.5130792949212</v>
      </c>
      <c r="Z24" s="81">
        <v>5967.2325083051319</v>
      </c>
      <c r="AA24" s="81">
        <v>6174.2871547485247</v>
      </c>
      <c r="AB24" s="81">
        <v>6236.1076404108335</v>
      </c>
      <c r="AC24" s="81">
        <v>6289.1734095478487</v>
      </c>
      <c r="AD24" s="81">
        <v>6478.9444304384406</v>
      </c>
      <c r="AE24" s="81">
        <v>6711.3413074910159</v>
      </c>
      <c r="AF24" s="97">
        <v>6848.7887171396815</v>
      </c>
      <c r="AG24" s="97">
        <v>6738.7809800765417</v>
      </c>
      <c r="AH24" s="97">
        <v>6531.7342754175588</v>
      </c>
      <c r="AI24" s="97">
        <v>6537.7426547998612</v>
      </c>
      <c r="AJ24" s="97">
        <v>6789.8415623087258</v>
      </c>
      <c r="AK24" s="97">
        <v>7076.0826253265786</v>
      </c>
      <c r="AL24" s="97">
        <v>7201.3268205828454</v>
      </c>
      <c r="AM24" s="97">
        <v>7181.2306014886235</v>
      </c>
      <c r="AN24" s="97">
        <v>7144.0098292272241</v>
      </c>
      <c r="AO24" s="97">
        <v>7255.6217753226319</v>
      </c>
      <c r="AP24" s="97">
        <v>7492.5928277202302</v>
      </c>
      <c r="AQ24" s="97">
        <v>7706.2397889010081</v>
      </c>
      <c r="AR24" s="97">
        <v>7813.5987326506838</v>
      </c>
      <c r="AS24" s="97">
        <v>7981.0772532438787</v>
      </c>
      <c r="AT24" s="97">
        <v>8181.5539625552574</v>
      </c>
      <c r="AU24" s="97">
        <v>8353.3749008840896</v>
      </c>
      <c r="AV24" s="97">
        <v>8582.9899384729542</v>
      </c>
      <c r="AW24" s="97">
        <v>8706.927558093068</v>
      </c>
      <c r="AX24" s="97">
        <v>8615.8885882578306</v>
      </c>
      <c r="AY24" s="97">
        <v>8575.2458360246383</v>
      </c>
      <c r="AZ24" s="97">
        <v>8647.4597814953268</v>
      </c>
      <c r="BA24" s="97">
        <v>8692.9232776848767</v>
      </c>
      <c r="BB24" s="97">
        <v>8728.6795230284642</v>
      </c>
      <c r="BC24" s="97">
        <v>8730.452289319941</v>
      </c>
      <c r="BD24" s="97">
        <v>8904.2464551913308</v>
      </c>
      <c r="BE24" s="97">
        <v>9201.8962498621186</v>
      </c>
      <c r="BF24" s="97">
        <v>9359.0754699286936</v>
      </c>
      <c r="BG24" s="97">
        <v>9313.5985799450591</v>
      </c>
      <c r="BH24" s="97">
        <v>9253.2017875850324</v>
      </c>
      <c r="BI24" s="97">
        <v>9209.0996134498273</v>
      </c>
      <c r="BJ24" s="97">
        <v>9459.2939937748197</v>
      </c>
      <c r="BK24" s="97">
        <v>9815.7914424506071</v>
      </c>
      <c r="BL24" s="97">
        <v>9862.9133814511406</v>
      </c>
      <c r="BM24" s="97">
        <v>9801.110308872132</v>
      </c>
      <c r="BN24" s="97">
        <v>9971.7822718592452</v>
      </c>
      <c r="BO24" s="97">
        <v>10274.475254982066</v>
      </c>
      <c r="BP24" s="97">
        <v>10441.687661755985</v>
      </c>
      <c r="BQ24" s="97">
        <v>10556.827017777492</v>
      </c>
      <c r="BR24" s="97">
        <v>10626.762458731599</v>
      </c>
      <c r="BS24" s="97">
        <v>10832.182532881205</v>
      </c>
      <c r="BT24" s="97">
        <v>11262.805981345595</v>
      </c>
      <c r="BU24" s="97">
        <v>11552.607488386588</v>
      </c>
      <c r="BV24" s="97">
        <v>11582.379886314662</v>
      </c>
    </row>
    <row r="25" spans="1:75" ht="12" customHeight="1" x14ac:dyDescent="0.2">
      <c r="A25" s="40" t="s">
        <v>127</v>
      </c>
      <c r="B25" s="81">
        <v>0</v>
      </c>
      <c r="C25" s="81">
        <v>0</v>
      </c>
      <c r="D25" s="81">
        <v>0</v>
      </c>
      <c r="E25" s="81">
        <v>0</v>
      </c>
      <c r="F25" s="81">
        <v>0</v>
      </c>
      <c r="G25" s="81">
        <v>0</v>
      </c>
      <c r="H25" s="81">
        <v>7943.1183286421383</v>
      </c>
      <c r="I25" s="81">
        <v>8173.7880100294242</v>
      </c>
      <c r="J25" s="81">
        <v>9169.2212188323356</v>
      </c>
      <c r="K25" s="81">
        <v>9262.4895875860166</v>
      </c>
      <c r="L25" s="81">
        <v>9400.5815216733681</v>
      </c>
      <c r="M25" s="81">
        <v>9383.5833856445715</v>
      </c>
      <c r="N25" s="81">
        <v>9205.3744508066193</v>
      </c>
      <c r="O25" s="81">
        <v>9210.7466750851127</v>
      </c>
      <c r="P25" s="81">
        <v>9362.368107563816</v>
      </c>
      <c r="Q25" s="81">
        <v>9556.2989614633807</v>
      </c>
      <c r="R25" s="81">
        <v>9799.990063139785</v>
      </c>
      <c r="S25" s="81">
        <v>10113.27611599818</v>
      </c>
      <c r="T25" s="81">
        <v>10238.375487018347</v>
      </c>
      <c r="U25" s="81">
        <v>10123.441895564039</v>
      </c>
      <c r="V25" s="81">
        <v>10004.329181089208</v>
      </c>
      <c r="W25" s="81">
        <v>9970.7011354828046</v>
      </c>
      <c r="X25" s="81">
        <v>9945.6409665044139</v>
      </c>
      <c r="Y25" s="81">
        <v>10193.990148788525</v>
      </c>
      <c r="Z25" s="81">
        <v>10682.664943264797</v>
      </c>
      <c r="AA25" s="81">
        <v>10885.5943201843</v>
      </c>
      <c r="AB25" s="81">
        <v>10931.077372736449</v>
      </c>
      <c r="AC25" s="81">
        <v>11147.52413538466</v>
      </c>
      <c r="AD25" s="81">
        <v>11426.377845700978</v>
      </c>
      <c r="AE25" s="81">
        <v>11664.575637002494</v>
      </c>
      <c r="AF25" s="97">
        <v>11922.962804847833</v>
      </c>
      <c r="AG25" s="97">
        <v>11949.407066221907</v>
      </c>
      <c r="AH25" s="97">
        <v>11742.204581641176</v>
      </c>
      <c r="AI25" s="97">
        <v>11612.695148556164</v>
      </c>
      <c r="AJ25" s="97">
        <v>11587.203320512104</v>
      </c>
      <c r="AK25" s="97">
        <v>11608.683320155511</v>
      </c>
      <c r="AL25" s="97">
        <v>11826.031318523277</v>
      </c>
      <c r="AM25" s="97">
        <v>12179.610401470218</v>
      </c>
      <c r="AN25" s="97">
        <v>12519.955279708574</v>
      </c>
      <c r="AO25" s="97">
        <v>12753.331538765964</v>
      </c>
      <c r="AP25" s="97">
        <v>12901.270966443803</v>
      </c>
      <c r="AQ25" s="97">
        <v>13093.978452499976</v>
      </c>
      <c r="AR25" s="97">
        <v>13286.608393677347</v>
      </c>
      <c r="AS25" s="97">
        <v>13433.234981925303</v>
      </c>
      <c r="AT25" s="97">
        <v>13579.646866859997</v>
      </c>
      <c r="AU25" s="97">
        <v>13883.356179178338</v>
      </c>
      <c r="AV25" s="97">
        <v>14229.183246198845</v>
      </c>
      <c r="AW25" s="97">
        <v>14314.425890221233</v>
      </c>
      <c r="AX25" s="97">
        <v>13978.25994987113</v>
      </c>
      <c r="AY25" s="97">
        <v>13707.136230790878</v>
      </c>
      <c r="AZ25" s="97">
        <v>13763.143775187857</v>
      </c>
      <c r="BA25" s="97">
        <v>14080.10334371309</v>
      </c>
      <c r="BB25" s="97">
        <v>14429.393952448643</v>
      </c>
      <c r="BC25" s="97">
        <v>14524.739958000506</v>
      </c>
      <c r="BD25" s="97">
        <v>14485.151738713372</v>
      </c>
      <c r="BE25" s="97">
        <v>14722.854643360277</v>
      </c>
      <c r="BF25" s="97">
        <v>14959.207722153342</v>
      </c>
      <c r="BG25" s="97">
        <v>15037.685232592326</v>
      </c>
      <c r="BH25" s="97">
        <v>15273.056251106984</v>
      </c>
      <c r="BI25" s="97">
        <v>15510.480481271725</v>
      </c>
      <c r="BJ25" s="97">
        <v>15681.853843180726</v>
      </c>
      <c r="BK25" s="97">
        <v>15932.939106170879</v>
      </c>
      <c r="BL25" s="97">
        <v>16164.567971750332</v>
      </c>
      <c r="BM25" s="97">
        <v>16347.416059297166</v>
      </c>
      <c r="BN25" s="97">
        <v>16777.867343721849</v>
      </c>
      <c r="BO25" s="97">
        <v>17166.186372400967</v>
      </c>
      <c r="BP25" s="97">
        <v>17303.36803443536</v>
      </c>
      <c r="BQ25" s="97">
        <v>17455.047683334029</v>
      </c>
      <c r="BR25" s="97">
        <v>17780.576183753925</v>
      </c>
      <c r="BS25" s="97">
        <v>18063.30188103882</v>
      </c>
      <c r="BT25" s="97">
        <v>18275.621967956453</v>
      </c>
      <c r="BU25" s="97">
        <v>18726.511956090471</v>
      </c>
      <c r="BV25" s="97">
        <v>18869.729934400919</v>
      </c>
    </row>
    <row r="26" spans="1:75" ht="12" customHeight="1" x14ac:dyDescent="0.2">
      <c r="A26" s="39" t="s">
        <v>18</v>
      </c>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row>
    <row r="27" spans="1:75" ht="12" customHeight="1" x14ac:dyDescent="0.2">
      <c r="A27" s="42" t="s">
        <v>128</v>
      </c>
      <c r="B27" s="81">
        <v>0</v>
      </c>
      <c r="C27" s="81">
        <v>0</v>
      </c>
      <c r="D27" s="81">
        <v>0</v>
      </c>
      <c r="E27" s="81">
        <v>0</v>
      </c>
      <c r="F27" s="81">
        <v>0</v>
      </c>
      <c r="G27" s="81">
        <v>0</v>
      </c>
      <c r="H27" s="81">
        <v>1159.55075875018</v>
      </c>
      <c r="I27" s="81">
        <v>1084.4033772304899</v>
      </c>
      <c r="J27" s="81">
        <v>1055.13169629258</v>
      </c>
      <c r="K27" s="81">
        <v>1094.74961189738</v>
      </c>
      <c r="L27" s="81">
        <v>1176.7309065130801</v>
      </c>
      <c r="M27" s="81">
        <v>1241.95185115505</v>
      </c>
      <c r="N27" s="81">
        <v>1249.21393085109</v>
      </c>
      <c r="O27" s="81">
        <v>1250.8631404134201</v>
      </c>
      <c r="P27" s="81">
        <v>1318.4706433092001</v>
      </c>
      <c r="Q27" s="81">
        <v>1415.7101545252599</v>
      </c>
      <c r="R27" s="81">
        <v>1461.0856495928499</v>
      </c>
      <c r="S27" s="81">
        <v>1460.1589694322599</v>
      </c>
      <c r="T27" s="81">
        <v>1418.2467399244799</v>
      </c>
      <c r="U27" s="81">
        <v>1388.8833241336499</v>
      </c>
      <c r="V27" s="81">
        <v>1416.4887005167</v>
      </c>
      <c r="W27" s="81">
        <v>1468.1884815974099</v>
      </c>
      <c r="X27" s="81">
        <v>1491.6005147272899</v>
      </c>
      <c r="Y27" s="81">
        <v>1532.6478221062</v>
      </c>
      <c r="Z27" s="81">
        <v>1573.9586816482699</v>
      </c>
      <c r="AA27" s="81">
        <v>1580.85912696018</v>
      </c>
      <c r="AB27" s="81">
        <v>1596.0574083726401</v>
      </c>
      <c r="AC27" s="81">
        <v>1651.15875966811</v>
      </c>
      <c r="AD27" s="81">
        <v>1723.53372636567</v>
      </c>
      <c r="AE27" s="81">
        <v>1749.11021818624</v>
      </c>
      <c r="AF27" s="97">
        <v>1738.50624569505</v>
      </c>
      <c r="AG27" s="97">
        <v>1703.31192814257</v>
      </c>
      <c r="AH27" s="97">
        <v>1705.95261167227</v>
      </c>
      <c r="AI27" s="97">
        <v>1774.9239489157101</v>
      </c>
      <c r="AJ27" s="97">
        <v>1862.88420097472</v>
      </c>
      <c r="AK27" s="97">
        <v>1911.2443492231901</v>
      </c>
      <c r="AL27" s="97">
        <v>1951.01684760331</v>
      </c>
      <c r="AM27" s="97">
        <v>1991.4506819714099</v>
      </c>
      <c r="AN27" s="97">
        <v>2002.0220323389201</v>
      </c>
      <c r="AO27" s="97">
        <v>1986.03702817965</v>
      </c>
      <c r="AP27" s="97">
        <v>1977.73824526825</v>
      </c>
      <c r="AQ27" s="97">
        <v>1991.0944478111101</v>
      </c>
      <c r="AR27" s="97">
        <v>2007.5534609695701</v>
      </c>
      <c r="AS27" s="97">
        <v>2062.1636687545601</v>
      </c>
      <c r="AT27" s="97">
        <v>2121.5786271870102</v>
      </c>
      <c r="AU27" s="97">
        <v>2152.10808304186</v>
      </c>
      <c r="AV27" s="97">
        <v>2205.3572498044</v>
      </c>
      <c r="AW27" s="97">
        <v>2219.1086205415299</v>
      </c>
      <c r="AX27" s="97">
        <v>2177.97048583791</v>
      </c>
      <c r="AY27" s="97">
        <v>2147.9972538739698</v>
      </c>
      <c r="AZ27" s="97">
        <v>2149.8566453447902</v>
      </c>
      <c r="BA27" s="97">
        <v>2137.5270181810702</v>
      </c>
      <c r="BB27" s="97">
        <v>2147.9298350111599</v>
      </c>
      <c r="BC27" s="97">
        <v>2174.9723929414399</v>
      </c>
      <c r="BD27" s="97">
        <v>2248.6644812296499</v>
      </c>
      <c r="BE27" s="97">
        <v>2373.1084072076901</v>
      </c>
      <c r="BF27" s="97">
        <v>2463.4477876208998</v>
      </c>
      <c r="BG27" s="97">
        <v>2447.8678100584998</v>
      </c>
      <c r="BH27" s="97">
        <v>2425.5987985117599</v>
      </c>
      <c r="BI27" s="97">
        <v>2494.0869092589801</v>
      </c>
      <c r="BJ27" s="97">
        <v>2607.7459055519298</v>
      </c>
      <c r="BK27" s="97">
        <v>2699.5630504415799</v>
      </c>
      <c r="BL27" s="97">
        <v>2718.7423016421399</v>
      </c>
      <c r="BM27" s="97">
        <v>2719.05685015974</v>
      </c>
      <c r="BN27" s="97">
        <v>2753.5235305451201</v>
      </c>
      <c r="BO27" s="97">
        <v>2851.4611083793002</v>
      </c>
      <c r="BP27" s="97">
        <v>2942.5690036076899</v>
      </c>
      <c r="BQ27" s="97">
        <v>2960.4515264439101</v>
      </c>
      <c r="BR27" s="97">
        <v>2955.015065949</v>
      </c>
      <c r="BS27" s="97">
        <v>3020.9878249089202</v>
      </c>
      <c r="BT27" s="97">
        <v>3094.0603775735999</v>
      </c>
      <c r="BU27" s="97">
        <v>3191.5626386583499</v>
      </c>
      <c r="BV27" s="97">
        <v>3327.9667890483902</v>
      </c>
    </row>
    <row r="28" spans="1:75" ht="12" customHeight="1" thickBot="1" x14ac:dyDescent="0.25">
      <c r="A28" s="43"/>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row>
    <row r="29" spans="1:75" ht="12" customHeight="1" x14ac:dyDescent="0.2">
      <c r="A29" s="103" t="s">
        <v>50</v>
      </c>
      <c r="AC29" s="92"/>
      <c r="AD29" s="92"/>
      <c r="AF29" s="45"/>
      <c r="AG29" s="45"/>
      <c r="AH29" s="45"/>
    </row>
    <row r="30" spans="1:75" ht="12" customHeight="1" x14ac:dyDescent="0.2">
      <c r="A30" s="103"/>
      <c r="AC30" s="92"/>
      <c r="AD30" s="92"/>
      <c r="AF30" s="45"/>
      <c r="AG30" s="45"/>
      <c r="AH30" s="45"/>
    </row>
    <row r="31" spans="1:75" s="94" customFormat="1" ht="12" customHeight="1" x14ac:dyDescent="0.2">
      <c r="A31" s="96" t="s">
        <v>177</v>
      </c>
      <c r="B31" s="95"/>
      <c r="C31" s="95"/>
      <c r="D31" s="95"/>
      <c r="E31" s="95"/>
      <c r="F31" s="95"/>
      <c r="G31" s="95"/>
      <c r="H31" s="95"/>
      <c r="I31" s="95"/>
      <c r="J31" s="95"/>
      <c r="K31" s="95"/>
      <c r="L31" s="104"/>
      <c r="M31" s="104"/>
      <c r="N31" s="104"/>
      <c r="O31" s="104"/>
      <c r="P31" s="104"/>
      <c r="Q31" s="95"/>
      <c r="R31" s="104"/>
      <c r="S31" s="104"/>
      <c r="T31" s="96"/>
      <c r="U31" s="104"/>
      <c r="V31" s="95"/>
      <c r="W31" s="95"/>
      <c r="AB31" s="95"/>
      <c r="AF31" s="105"/>
      <c r="AG31" s="105"/>
      <c r="AH31" s="105"/>
    </row>
    <row r="32" spans="1:75" s="141" customFormat="1" ht="12" customHeight="1" x14ac:dyDescent="0.2">
      <c r="A32" s="144" t="s">
        <v>123</v>
      </c>
      <c r="B32" s="263" t="s">
        <v>67</v>
      </c>
      <c r="C32" s="263"/>
      <c r="D32" s="263" t="s">
        <v>66</v>
      </c>
      <c r="E32" s="263"/>
      <c r="F32" s="263"/>
      <c r="G32" s="263"/>
      <c r="H32" s="263" t="s">
        <v>60</v>
      </c>
      <c r="I32" s="263"/>
      <c r="J32" s="263"/>
      <c r="K32" s="263"/>
      <c r="L32" s="263" t="s">
        <v>61</v>
      </c>
      <c r="M32" s="263"/>
      <c r="N32" s="263"/>
      <c r="O32" s="263"/>
      <c r="P32" s="263" t="s">
        <v>62</v>
      </c>
      <c r="Q32" s="263"/>
      <c r="R32" s="263"/>
      <c r="S32" s="263"/>
      <c r="T32" s="263" t="s">
        <v>63</v>
      </c>
      <c r="U32" s="263"/>
      <c r="V32" s="263"/>
      <c r="W32" s="263"/>
      <c r="X32" s="263" t="s">
        <v>64</v>
      </c>
      <c r="Y32" s="263"/>
      <c r="Z32" s="263"/>
      <c r="AA32" s="263"/>
      <c r="AB32" s="263" t="s">
        <v>65</v>
      </c>
      <c r="AC32" s="263"/>
      <c r="AD32" s="263"/>
      <c r="AE32" s="263"/>
      <c r="AF32" s="263" t="s">
        <v>77</v>
      </c>
      <c r="AG32" s="263"/>
      <c r="AH32" s="263"/>
      <c r="AI32" s="263"/>
      <c r="AJ32" s="263" t="s">
        <v>80</v>
      </c>
      <c r="AK32" s="263"/>
      <c r="AL32" s="263"/>
      <c r="AM32" s="263"/>
      <c r="AN32" s="144" t="s">
        <v>92</v>
      </c>
      <c r="AO32" s="263" t="s">
        <v>92</v>
      </c>
      <c r="AP32" s="263"/>
      <c r="AQ32" s="263"/>
      <c r="AR32" s="264" t="s">
        <v>134</v>
      </c>
      <c r="AS32" s="264"/>
      <c r="AT32" s="264"/>
      <c r="AU32" s="264"/>
      <c r="AV32" s="264" t="s">
        <v>136</v>
      </c>
      <c r="AW32" s="264"/>
      <c r="AX32" s="264"/>
      <c r="AY32" s="264"/>
      <c r="AZ32" s="264" t="s">
        <v>137</v>
      </c>
      <c r="BA32" s="264"/>
      <c r="BB32" s="264"/>
      <c r="BC32" s="264"/>
      <c r="BD32" s="264" t="s">
        <v>138</v>
      </c>
      <c r="BE32" s="264"/>
      <c r="BF32" s="264"/>
      <c r="BG32" s="264"/>
      <c r="BH32" s="264" t="s">
        <v>139</v>
      </c>
      <c r="BI32" s="264"/>
      <c r="BJ32" s="264"/>
      <c r="BK32" s="264"/>
      <c r="BL32" s="264" t="s">
        <v>140</v>
      </c>
      <c r="BM32" s="264"/>
      <c r="BN32" s="264"/>
      <c r="BO32" s="264"/>
      <c r="BP32" s="264" t="s">
        <v>174</v>
      </c>
      <c r="BQ32" s="264"/>
      <c r="BR32" s="264"/>
      <c r="BS32" s="264"/>
      <c r="BT32" s="264" t="s">
        <v>175</v>
      </c>
      <c r="BU32" s="264"/>
      <c r="BV32" s="264"/>
      <c r="BW32" s="140"/>
    </row>
    <row r="33" spans="1:74" s="143" customFormat="1" ht="12" customHeight="1" x14ac:dyDescent="0.2">
      <c r="A33" s="145" t="s">
        <v>124</v>
      </c>
      <c r="B33" s="146" t="s">
        <v>48</v>
      </c>
      <c r="C33" s="146" t="s">
        <v>49</v>
      </c>
      <c r="D33" s="146" t="s">
        <v>46</v>
      </c>
      <c r="E33" s="146" t="s">
        <v>47</v>
      </c>
      <c r="F33" s="146" t="s">
        <v>48</v>
      </c>
      <c r="G33" s="146" t="s">
        <v>49</v>
      </c>
      <c r="H33" s="146" t="s">
        <v>46</v>
      </c>
      <c r="I33" s="146" t="s">
        <v>47</v>
      </c>
      <c r="J33" s="146" t="s">
        <v>48</v>
      </c>
      <c r="K33" s="146" t="s">
        <v>49</v>
      </c>
      <c r="L33" s="146" t="s">
        <v>46</v>
      </c>
      <c r="M33" s="146" t="s">
        <v>47</v>
      </c>
      <c r="N33" s="146" t="s">
        <v>48</v>
      </c>
      <c r="O33" s="146" t="s">
        <v>49</v>
      </c>
      <c r="P33" s="146" t="s">
        <v>46</v>
      </c>
      <c r="Q33" s="146" t="s">
        <v>47</v>
      </c>
      <c r="R33" s="146" t="s">
        <v>48</v>
      </c>
      <c r="S33" s="146" t="s">
        <v>49</v>
      </c>
      <c r="T33" s="146" t="s">
        <v>46</v>
      </c>
      <c r="U33" s="146" t="s">
        <v>47</v>
      </c>
      <c r="V33" s="146" t="s">
        <v>48</v>
      </c>
      <c r="W33" s="146" t="s">
        <v>49</v>
      </c>
      <c r="X33" s="146" t="s">
        <v>46</v>
      </c>
      <c r="Y33" s="146" t="s">
        <v>47</v>
      </c>
      <c r="Z33" s="146" t="s">
        <v>48</v>
      </c>
      <c r="AA33" s="146" t="s">
        <v>49</v>
      </c>
      <c r="AB33" s="146" t="s">
        <v>46</v>
      </c>
      <c r="AC33" s="146" t="s">
        <v>47</v>
      </c>
      <c r="AD33" s="146" t="s">
        <v>48</v>
      </c>
      <c r="AE33" s="146" t="s">
        <v>49</v>
      </c>
      <c r="AF33" s="146" t="s">
        <v>46</v>
      </c>
      <c r="AG33" s="146" t="s">
        <v>47</v>
      </c>
      <c r="AH33" s="146" t="s">
        <v>48</v>
      </c>
      <c r="AI33" s="146" t="s">
        <v>49</v>
      </c>
      <c r="AJ33" s="146" t="s">
        <v>46</v>
      </c>
      <c r="AK33" s="146" t="s">
        <v>47</v>
      </c>
      <c r="AL33" s="146" t="s">
        <v>48</v>
      </c>
      <c r="AM33" s="146" t="s">
        <v>49</v>
      </c>
      <c r="AN33" s="147" t="s">
        <v>46</v>
      </c>
      <c r="AO33" s="147" t="s">
        <v>47</v>
      </c>
      <c r="AP33" s="147" t="s">
        <v>48</v>
      </c>
      <c r="AQ33" s="147" t="s">
        <v>49</v>
      </c>
      <c r="AR33" s="90" t="s">
        <v>46</v>
      </c>
      <c r="AS33" s="90" t="s">
        <v>47</v>
      </c>
      <c r="AT33" s="90" t="s">
        <v>48</v>
      </c>
      <c r="AU33" s="90" t="s">
        <v>49</v>
      </c>
      <c r="AV33" s="90" t="s">
        <v>46</v>
      </c>
      <c r="AW33" s="90" t="s">
        <v>47</v>
      </c>
      <c r="AX33" s="90" t="s">
        <v>48</v>
      </c>
      <c r="AY33" s="90" t="s">
        <v>49</v>
      </c>
      <c r="AZ33" s="90" t="s">
        <v>46</v>
      </c>
      <c r="BA33" s="90" t="s">
        <v>47</v>
      </c>
      <c r="BB33" s="90" t="s">
        <v>48</v>
      </c>
      <c r="BC33" s="90" t="s">
        <v>49</v>
      </c>
      <c r="BD33" s="90" t="s">
        <v>46</v>
      </c>
      <c r="BE33" s="90" t="s">
        <v>47</v>
      </c>
      <c r="BF33" s="90" t="s">
        <v>48</v>
      </c>
      <c r="BG33" s="90" t="s">
        <v>49</v>
      </c>
      <c r="BH33" s="90" t="s">
        <v>46</v>
      </c>
      <c r="BI33" s="90" t="s">
        <v>47</v>
      </c>
      <c r="BJ33" s="90" t="s">
        <v>48</v>
      </c>
      <c r="BK33" s="90" t="s">
        <v>49</v>
      </c>
      <c r="BL33" s="90" t="s">
        <v>46</v>
      </c>
      <c r="BM33" s="90" t="s">
        <v>47</v>
      </c>
      <c r="BN33" s="90" t="s">
        <v>48</v>
      </c>
      <c r="BO33" s="90" t="s">
        <v>49</v>
      </c>
      <c r="BP33" s="90" t="s">
        <v>46</v>
      </c>
      <c r="BQ33" s="90" t="s">
        <v>47</v>
      </c>
      <c r="BR33" s="90" t="s">
        <v>48</v>
      </c>
      <c r="BS33" s="90" t="s">
        <v>49</v>
      </c>
      <c r="BT33" s="90" t="s">
        <v>46</v>
      </c>
      <c r="BU33" s="90" t="s">
        <v>47</v>
      </c>
      <c r="BV33" s="90" t="s">
        <v>48</v>
      </c>
    </row>
    <row r="34" spans="1:74" ht="12" customHeight="1" x14ac:dyDescent="0.2">
      <c r="A34" s="37" t="s">
        <v>101</v>
      </c>
      <c r="B34" s="71"/>
      <c r="C34" s="71"/>
      <c r="D34" s="71"/>
      <c r="E34" s="71"/>
      <c r="F34" s="71"/>
      <c r="G34" s="71"/>
      <c r="H34" s="71"/>
      <c r="I34" s="106"/>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row>
    <row r="35" spans="1:74" ht="12" customHeight="1" x14ac:dyDescent="0.2">
      <c r="A35" s="39" t="s">
        <v>0</v>
      </c>
      <c r="B35" s="71"/>
      <c r="C35" s="71" t="e">
        <v>#DIV/0!</v>
      </c>
      <c r="D35" s="71" t="e">
        <v>#DIV/0!</v>
      </c>
      <c r="E35" s="71" t="e">
        <v>#VALUE!</v>
      </c>
      <c r="F35" s="71" t="e">
        <v>#DIV/0!</v>
      </c>
      <c r="G35" s="71" t="e">
        <v>#DIV/0!</v>
      </c>
      <c r="H35" s="71">
        <v>33.694929708294019</v>
      </c>
      <c r="I35" s="71">
        <v>37.300781524703751</v>
      </c>
      <c r="J35" s="71">
        <v>39.835104723247071</v>
      </c>
      <c r="K35" s="71">
        <v>29.362127537579831</v>
      </c>
      <c r="L35" s="71">
        <v>10.03204887930853</v>
      </c>
      <c r="M35" s="71">
        <v>12.20480840977527</v>
      </c>
      <c r="N35" s="71">
        <v>8.3208874213960939</v>
      </c>
      <c r="O35" s="71">
        <v>2.4481829074536998</v>
      </c>
      <c r="P35" s="71">
        <v>5.7877391469174588</v>
      </c>
      <c r="Q35" s="71">
        <v>0.11611492077976404</v>
      </c>
      <c r="R35" s="71">
        <v>0.97514864758223574</v>
      </c>
      <c r="S35" s="71">
        <v>5.020557061647879</v>
      </c>
      <c r="T35" s="71">
        <v>6.2035338556287956</v>
      </c>
      <c r="U35" s="71">
        <v>3.5505872921750559</v>
      </c>
      <c r="V35" s="71">
        <v>0.73064935824114219</v>
      </c>
      <c r="W35" s="71">
        <v>-2.1878459515492499</v>
      </c>
      <c r="X35" s="71">
        <v>-1.9837357888608964</v>
      </c>
      <c r="Y35" s="71">
        <v>0.96905630584316338</v>
      </c>
      <c r="Z35" s="71">
        <v>6.4647827890720322</v>
      </c>
      <c r="AA35" s="71">
        <v>13.298456864077846</v>
      </c>
      <c r="AB35" s="71">
        <v>3.3627427496231821</v>
      </c>
      <c r="AC35" s="71">
        <v>11.293962578132998</v>
      </c>
      <c r="AD35" s="71">
        <v>5.9073900136717761</v>
      </c>
      <c r="AE35" s="71">
        <v>3.8147372798502666</v>
      </c>
      <c r="AF35" s="71">
        <v>8.5308298238007119</v>
      </c>
      <c r="AG35" s="71">
        <v>5.9182597000868364</v>
      </c>
      <c r="AH35" s="71">
        <v>0.91298889703823605</v>
      </c>
      <c r="AI35" s="71">
        <v>-0.40561579563010985</v>
      </c>
      <c r="AJ35" s="71">
        <v>-0.26122599349414077</v>
      </c>
      <c r="AK35" s="71">
        <v>0.50756396361286704</v>
      </c>
      <c r="AL35" s="71">
        <v>6.7464548438344707</v>
      </c>
      <c r="AM35" s="71">
        <v>6.1811726662669653</v>
      </c>
      <c r="AN35" s="71">
        <v>7.680899838187849</v>
      </c>
      <c r="AO35" s="71">
        <v>6.4828574170991526</v>
      </c>
      <c r="AP35" s="71">
        <v>5.3854548516732992</v>
      </c>
      <c r="AQ35" s="71">
        <v>5.5652552026089541</v>
      </c>
      <c r="AR35" s="71">
        <v>5.5745218290362164</v>
      </c>
      <c r="AS35" s="71">
        <v>5.7290793971742193</v>
      </c>
      <c r="AT35" s="71">
        <v>7.6659988765000353</v>
      </c>
      <c r="AU35" s="71">
        <v>6.8851035225670376</v>
      </c>
      <c r="AV35" s="71">
        <v>7.5602194202029516</v>
      </c>
      <c r="AW35" s="71">
        <v>8.3709675178608389</v>
      </c>
      <c r="AX35" s="71">
        <v>1.1985158163788201</v>
      </c>
      <c r="AY35" s="71">
        <v>-5.5516964673997364</v>
      </c>
      <c r="AZ35" s="71">
        <v>-0.40309239402191999</v>
      </c>
      <c r="BA35" s="71">
        <v>3.249573690178309E-2</v>
      </c>
      <c r="BB35" s="71">
        <v>2.8043450225728961</v>
      </c>
      <c r="BC35" s="71">
        <v>13.009860656729334</v>
      </c>
      <c r="BD35" s="71">
        <v>2.3547240160596283</v>
      </c>
      <c r="BE35" s="71">
        <v>4.7648514346921855</v>
      </c>
      <c r="BF35" s="71">
        <v>5.6227188954377949</v>
      </c>
      <c r="BG35" s="71">
        <v>5.8119710085462239</v>
      </c>
      <c r="BH35" s="71">
        <v>8.7705981453641826</v>
      </c>
      <c r="BI35" s="71">
        <v>4.3131379207032028</v>
      </c>
      <c r="BJ35" s="71">
        <v>2.2299522773682856</v>
      </c>
      <c r="BK35" s="71">
        <v>5.747511173271791</v>
      </c>
      <c r="BL35" s="71">
        <v>5.9910475756172588</v>
      </c>
      <c r="BM35" s="71">
        <v>5.7824205334947809</v>
      </c>
      <c r="BN35" s="71">
        <v>6.8245767569395266</v>
      </c>
      <c r="BO35" s="71">
        <v>5.6851103803429615</v>
      </c>
      <c r="BP35" s="71">
        <v>6.17940640370509</v>
      </c>
      <c r="BQ35" s="71">
        <v>5.3634777034342385</v>
      </c>
      <c r="BR35" s="71">
        <v>8.3943389671000901</v>
      </c>
      <c r="BS35" s="71">
        <v>5.5263248039615354</v>
      </c>
      <c r="BT35" s="71">
        <v>4.8457918953031198</v>
      </c>
      <c r="BU35" s="71">
        <v>8.4581777204844943</v>
      </c>
      <c r="BV35" s="71">
        <v>5.7897132531484985</v>
      </c>
    </row>
    <row r="36" spans="1:74" ht="12" customHeight="1" x14ac:dyDescent="0.2">
      <c r="A36" s="40" t="s">
        <v>125</v>
      </c>
      <c r="B36" s="71"/>
      <c r="C36" s="71" t="e">
        <v>#DIV/0!</v>
      </c>
      <c r="D36" s="71" t="e">
        <v>#DIV/0!</v>
      </c>
      <c r="E36" s="71" t="e">
        <v>#VALUE!</v>
      </c>
      <c r="F36" s="71" t="e">
        <v>#DIV/0!</v>
      </c>
      <c r="G36" s="71" t="e">
        <v>#DIV/0!</v>
      </c>
      <c r="H36" s="71">
        <v>5.6521111114979483</v>
      </c>
      <c r="I36" s="71">
        <v>3.9533584986890746</v>
      </c>
      <c r="J36" s="71">
        <v>0.61201628455229695</v>
      </c>
      <c r="K36" s="71">
        <v>-0.62103308271921343</v>
      </c>
      <c r="L36" s="71">
        <v>1.922483461102753</v>
      </c>
      <c r="M36" s="71">
        <v>3.5056408823903151</v>
      </c>
      <c r="N36" s="71">
        <v>7.1660324110820461</v>
      </c>
      <c r="O36" s="71">
        <v>-0.37990966401726389</v>
      </c>
      <c r="P36" s="71">
        <v>12.329685295171288</v>
      </c>
      <c r="Q36" s="71">
        <v>0.4330401686444052</v>
      </c>
      <c r="R36" s="71">
        <v>-7.5044619650459055</v>
      </c>
      <c r="S36" s="71">
        <v>-7.1547783340005449</v>
      </c>
      <c r="T36" s="71">
        <v>5.1076898341913646</v>
      </c>
      <c r="U36" s="71">
        <v>9.1311944395600086E-2</v>
      </c>
      <c r="V36" s="71">
        <v>4.3020087545825758</v>
      </c>
      <c r="W36" s="71">
        <v>-5.7643712789483992</v>
      </c>
      <c r="X36" s="71">
        <v>0.32538327862132732</v>
      </c>
      <c r="Y36" s="71">
        <v>0.80906880869200393</v>
      </c>
      <c r="Z36" s="71">
        <v>-0.75165447372584904</v>
      </c>
      <c r="AA36" s="71">
        <v>11.844991330471499</v>
      </c>
      <c r="AB36" s="71">
        <v>-6.1756125565859517</v>
      </c>
      <c r="AC36" s="71">
        <v>10.279644980136204</v>
      </c>
      <c r="AD36" s="71">
        <v>5.780404087219182</v>
      </c>
      <c r="AE36" s="71">
        <v>4.5476781731429883</v>
      </c>
      <c r="AF36" s="71">
        <v>1.68894035225855</v>
      </c>
      <c r="AG36" s="71">
        <v>0.5599138421551908</v>
      </c>
      <c r="AH36" s="71">
        <v>9.7631777133948994</v>
      </c>
      <c r="AI36" s="71">
        <v>1.1821019183489323</v>
      </c>
      <c r="AJ36" s="71">
        <v>1.1733408264864575</v>
      </c>
      <c r="AK36" s="71">
        <v>3.2296506496494182</v>
      </c>
      <c r="AL36" s="71">
        <v>1.0636812340840684</v>
      </c>
      <c r="AM36" s="71">
        <v>6.0861995034416916</v>
      </c>
      <c r="AN36" s="71">
        <v>9.6271373131021853</v>
      </c>
      <c r="AO36" s="71">
        <v>1.4567401018605208</v>
      </c>
      <c r="AP36" s="71">
        <v>2.5331515047964492</v>
      </c>
      <c r="AQ36" s="71">
        <v>2.0288347464102685</v>
      </c>
      <c r="AR36" s="71">
        <v>2.1728309573495252</v>
      </c>
      <c r="AS36" s="71">
        <v>4.0142916889432279</v>
      </c>
      <c r="AT36" s="71">
        <v>8.0105649820064073</v>
      </c>
      <c r="AU36" s="71">
        <v>8.7388102072792009</v>
      </c>
      <c r="AV36" s="71">
        <v>6.0482714418092609</v>
      </c>
      <c r="AW36" s="71">
        <v>7.6423041058843788</v>
      </c>
      <c r="AX36" s="71">
        <v>-1.293855933966559</v>
      </c>
      <c r="AY36" s="71">
        <v>5.8976314563911281</v>
      </c>
      <c r="AZ36" s="71">
        <v>6.9495695961573345</v>
      </c>
      <c r="BA36" s="71">
        <v>7.762298433045256</v>
      </c>
      <c r="BB36" s="71">
        <v>0.27724211074007243</v>
      </c>
      <c r="BC36" s="71">
        <v>0.72534794552308046</v>
      </c>
      <c r="BD36" s="71">
        <v>4.3827359686343659</v>
      </c>
      <c r="BE36" s="71">
        <v>-1.9940967107842655</v>
      </c>
      <c r="BF36" s="71">
        <v>4.1826801775161515</v>
      </c>
      <c r="BG36" s="71">
        <v>10.386735663447233</v>
      </c>
      <c r="BH36" s="71">
        <v>4.360614458889045</v>
      </c>
      <c r="BI36" s="71">
        <v>11.82045003135026</v>
      </c>
      <c r="BJ36" s="71">
        <v>5.4187896635948585</v>
      </c>
      <c r="BK36" s="71">
        <v>-2.7565253173958748</v>
      </c>
      <c r="BL36" s="71">
        <v>5.6546920383401256</v>
      </c>
      <c r="BM36" s="71">
        <v>2.0542364080081699</v>
      </c>
      <c r="BN36" s="71">
        <v>4.0433084994440316</v>
      </c>
      <c r="BO36" s="71">
        <v>10.576270358409779</v>
      </c>
      <c r="BP36" s="71">
        <v>6.331647981826416</v>
      </c>
      <c r="BQ36" s="71">
        <v>7.7962920336269725</v>
      </c>
      <c r="BR36" s="71">
        <v>10.306568787292658</v>
      </c>
      <c r="BS36" s="71">
        <v>3.4652178662333943</v>
      </c>
      <c r="BT36" s="71">
        <v>3.0713610747832076</v>
      </c>
      <c r="BU36" s="71">
        <v>8.7713266407066328</v>
      </c>
      <c r="BV36" s="71">
        <v>2.1375446214841665</v>
      </c>
    </row>
    <row r="37" spans="1:74" ht="12" customHeight="1" x14ac:dyDescent="0.2">
      <c r="A37" s="40" t="s">
        <v>126</v>
      </c>
      <c r="B37" s="71"/>
      <c r="C37" s="71" t="e">
        <v>#DIV/0!</v>
      </c>
      <c r="D37" s="71" t="e">
        <v>#DIV/0!</v>
      </c>
      <c r="E37" s="71" t="e">
        <v>#VALUE!</v>
      </c>
      <c r="F37" s="71" t="e">
        <v>#DIV/0!</v>
      </c>
      <c r="G37" s="71" t="e">
        <v>#DIV/0!</v>
      </c>
      <c r="H37" s="71">
        <v>234.94004153963351</v>
      </c>
      <c r="I37" s="71">
        <v>233.47992690951594</v>
      </c>
      <c r="J37" s="71">
        <v>307.32062133116199</v>
      </c>
      <c r="K37" s="71">
        <v>169.41416633946807</v>
      </c>
      <c r="L37" s="71">
        <v>8.1880075048463183</v>
      </c>
      <c r="M37" s="71">
        <v>16.44624817065128</v>
      </c>
      <c r="N37" s="71">
        <v>6.2864199707440394</v>
      </c>
      <c r="O37" s="71">
        <v>7.7505945711437541</v>
      </c>
      <c r="P37" s="71">
        <v>4.1845042044057923</v>
      </c>
      <c r="Q37" s="71">
        <v>-2.8790253482452455</v>
      </c>
      <c r="R37" s="71">
        <v>6.5237526725473005</v>
      </c>
      <c r="S37" s="71">
        <v>4.9942422735060221</v>
      </c>
      <c r="T37" s="71">
        <v>4.373403886230065</v>
      </c>
      <c r="U37" s="71">
        <v>4.1773834235339091</v>
      </c>
      <c r="V37" s="71">
        <v>-0.43333383547413673</v>
      </c>
      <c r="W37" s="71">
        <v>-5.6839317767547364</v>
      </c>
      <c r="X37" s="71">
        <v>-1.2535664860982343</v>
      </c>
      <c r="Y37" s="71">
        <v>-1.1531378241602663E-2</v>
      </c>
      <c r="Z37" s="71">
        <v>5.0205984005131432</v>
      </c>
      <c r="AA37" s="71">
        <v>15.485677998870951</v>
      </c>
      <c r="AB37" s="71">
        <v>9.3112697999426342</v>
      </c>
      <c r="AC37" s="71">
        <v>11.695545587694877</v>
      </c>
      <c r="AD37" s="71">
        <v>7.7457436161379567</v>
      </c>
      <c r="AE37" s="71">
        <v>7.4495173108225288</v>
      </c>
      <c r="AF37" s="71">
        <v>10.777185640194942</v>
      </c>
      <c r="AG37" s="71">
        <v>7.9290009647448256</v>
      </c>
      <c r="AH37" s="71">
        <v>-3.6241796903299761</v>
      </c>
      <c r="AI37" s="71">
        <v>-2.2863059414215181</v>
      </c>
      <c r="AJ37" s="71">
        <v>-0.60233731749581576</v>
      </c>
      <c r="AK37" s="71">
        <v>4.5995316602583713</v>
      </c>
      <c r="AL37" s="71">
        <v>16.22566151177449</v>
      </c>
      <c r="AM37" s="71">
        <v>7.9277803032603567</v>
      </c>
      <c r="AN37" s="71">
        <v>5.4100804187855012</v>
      </c>
      <c r="AO37" s="71">
        <v>2.8953153411108934</v>
      </c>
      <c r="AP37" s="71">
        <v>3.1727275125237098</v>
      </c>
      <c r="AQ37" s="71">
        <v>7.9833360247493657</v>
      </c>
      <c r="AR37" s="71">
        <v>9.0370626320726011</v>
      </c>
      <c r="AS37" s="71">
        <v>10.332149905133758</v>
      </c>
      <c r="AT37" s="71">
        <v>9.3709855646842968</v>
      </c>
      <c r="AU37" s="71">
        <v>7.473569768474797</v>
      </c>
      <c r="AV37" s="71">
        <v>10.161698564918797</v>
      </c>
      <c r="AW37" s="71">
        <v>10.140469880641568</v>
      </c>
      <c r="AX37" s="71">
        <v>2.9512124393612504</v>
      </c>
      <c r="AY37" s="71">
        <v>-9.7908167209499801</v>
      </c>
      <c r="AZ37" s="71">
        <v>-2.2068790801836768</v>
      </c>
      <c r="BA37" s="71">
        <v>-1.4690786941649048</v>
      </c>
      <c r="BB37" s="71">
        <v>2.1478317777220646</v>
      </c>
      <c r="BC37" s="71">
        <v>17.497704584858486</v>
      </c>
      <c r="BD37" s="71">
        <v>-0.12121400090699952</v>
      </c>
      <c r="BE37" s="71">
        <v>7.824585878762691</v>
      </c>
      <c r="BF37" s="71">
        <v>5.528521750207771</v>
      </c>
      <c r="BG37" s="71">
        <v>7.0691761169336731</v>
      </c>
      <c r="BH37" s="71">
        <v>12.288975604604691</v>
      </c>
      <c r="BI37" s="71">
        <v>-2.3754988308056668</v>
      </c>
      <c r="BJ37" s="71">
        <v>0.71107423556320271</v>
      </c>
      <c r="BK37" s="71">
        <v>6.3594382003911543</v>
      </c>
      <c r="BL37" s="71">
        <v>9.895358882377181</v>
      </c>
      <c r="BM37" s="71">
        <v>4.4842492953972801</v>
      </c>
      <c r="BN37" s="71">
        <v>6.723096500061998</v>
      </c>
      <c r="BO37" s="71">
        <v>1.0980078659702297</v>
      </c>
      <c r="BP37" s="71">
        <v>5.123115237948439</v>
      </c>
      <c r="BQ37" s="71">
        <v>7.651402569882837</v>
      </c>
      <c r="BR37" s="71">
        <v>7.3997956869305881</v>
      </c>
      <c r="BS37" s="71">
        <v>7.5685940787426631</v>
      </c>
      <c r="BT37" s="71">
        <v>5.9747365900571614</v>
      </c>
      <c r="BU37" s="71">
        <v>12.25799130679761</v>
      </c>
      <c r="BV37" s="71">
        <v>5.9259192523558379</v>
      </c>
    </row>
    <row r="38" spans="1:74" ht="12" customHeight="1" x14ac:dyDescent="0.2">
      <c r="A38" s="40" t="s">
        <v>127</v>
      </c>
      <c r="B38" s="71"/>
      <c r="C38" s="71" t="e">
        <v>#DIV/0!</v>
      </c>
      <c r="D38" s="71" t="e">
        <v>#DIV/0!</v>
      </c>
      <c r="E38" s="71" t="e">
        <v>#VALUE!</v>
      </c>
      <c r="F38" s="71" t="e">
        <v>#DIV/0!</v>
      </c>
      <c r="G38" s="71" t="e">
        <v>#DIV/0!</v>
      </c>
      <c r="H38" s="71">
        <v>20.374508215561193</v>
      </c>
      <c r="I38" s="71">
        <v>22.213773428158667</v>
      </c>
      <c r="J38" s="71">
        <v>26.306818439347389</v>
      </c>
      <c r="K38" s="71">
        <v>22.211880776216208</v>
      </c>
      <c r="L38" s="71">
        <v>19.162203389642052</v>
      </c>
      <c r="M38" s="71">
        <v>14.759591797736494</v>
      </c>
      <c r="N38" s="71">
        <v>8.6587583536125621</v>
      </c>
      <c r="O38" s="71">
        <v>1.0149722301955322E-2</v>
      </c>
      <c r="P38" s="71">
        <v>1.1068078029311756</v>
      </c>
      <c r="Q38" s="71">
        <v>-1.394228044248047E-2</v>
      </c>
      <c r="R38" s="71">
        <v>3.4092216443748491E-2</v>
      </c>
      <c r="S38" s="71">
        <v>10.452351054087394</v>
      </c>
      <c r="T38" s="71">
        <v>7.8643215409283318</v>
      </c>
      <c r="U38" s="71">
        <v>6.1727908924728236</v>
      </c>
      <c r="V38" s="71">
        <v>0.46720325141920149</v>
      </c>
      <c r="W38" s="71">
        <v>0.94096568661461433</v>
      </c>
      <c r="X38" s="71">
        <v>-4.8960840940913801</v>
      </c>
      <c r="Y38" s="71">
        <v>0.93185245108879933</v>
      </c>
      <c r="Z38" s="71">
        <v>9.7402358788529533</v>
      </c>
      <c r="AA38" s="71">
        <v>13.724574393283874</v>
      </c>
      <c r="AB38" s="71">
        <v>7.3375092569426981</v>
      </c>
      <c r="AC38" s="71">
        <v>11.073626330678167</v>
      </c>
      <c r="AD38" s="71">
        <v>5.1283415701489865</v>
      </c>
      <c r="AE38" s="71">
        <v>0.19552665958884052</v>
      </c>
      <c r="AF38" s="71">
        <v>12.275884805470882</v>
      </c>
      <c r="AG38" s="71">
        <v>7.7511857064373135</v>
      </c>
      <c r="AH38" s="71">
        <v>0.40701707830357314</v>
      </c>
      <c r="AI38" s="71">
        <v>-0.16135333210698377</v>
      </c>
      <c r="AJ38" s="71">
        <v>-2.4907341406145034</v>
      </c>
      <c r="AK38" s="71">
        <v>-3.7360090149601177</v>
      </c>
      <c r="AL38" s="71">
        <v>2.5175007417198803</v>
      </c>
      <c r="AM38" s="71">
        <v>4.5088343483790316</v>
      </c>
      <c r="AN38" s="71">
        <v>7.7450718660244666</v>
      </c>
      <c r="AO38" s="71">
        <v>10.715277115623568</v>
      </c>
      <c r="AP38" s="71">
        <v>9.1042744052119318</v>
      </c>
      <c r="AQ38" s="71">
        <v>6.5993997410431993</v>
      </c>
      <c r="AR38" s="71">
        <v>6.9344150811826655</v>
      </c>
      <c r="AS38" s="71">
        <v>4.3196164302073292</v>
      </c>
      <c r="AT38" s="71">
        <v>6.1470325846066487</v>
      </c>
      <c r="AU38" s="71">
        <v>5.9465301268559756</v>
      </c>
      <c r="AV38" s="71">
        <v>6.5765580143748892</v>
      </c>
      <c r="AW38" s="71">
        <v>7.4738827893539028</v>
      </c>
      <c r="AX38" s="71">
        <v>1.520501256219009</v>
      </c>
      <c r="AY38" s="71">
        <v>-5.5218534923207834</v>
      </c>
      <c r="AZ38" s="71">
        <v>-3.679347659317278</v>
      </c>
      <c r="BA38" s="71">
        <v>-2.0424320334529567</v>
      </c>
      <c r="BB38" s="71">
        <v>5.2788270531512138</v>
      </c>
      <c r="BC38" s="71">
        <v>12.807022294530634</v>
      </c>
      <c r="BD38" s="71">
        <v>2.9730666675154005</v>
      </c>
      <c r="BE38" s="71">
        <v>5.8856353411684603</v>
      </c>
      <c r="BF38" s="71">
        <v>3.9715352291976203</v>
      </c>
      <c r="BG38" s="71">
        <v>3.3469496923427711</v>
      </c>
      <c r="BH38" s="71">
        <v>8.670368818347395</v>
      </c>
      <c r="BI38" s="71">
        <v>4.7269825402485477</v>
      </c>
      <c r="BJ38" s="71">
        <v>1.5420013088479401</v>
      </c>
      <c r="BK38" s="71">
        <v>8.9260994726644292</v>
      </c>
      <c r="BL38" s="71">
        <v>2.6713069189930438</v>
      </c>
      <c r="BM38" s="71">
        <v>8.3223193724137232</v>
      </c>
      <c r="BN38" s="71">
        <v>8.0640636430651327</v>
      </c>
      <c r="BO38" s="71">
        <v>6.50508704291759</v>
      </c>
      <c r="BP38" s="71">
        <v>5.9861799343400746</v>
      </c>
      <c r="BQ38" s="71">
        <v>2.2328288079326963</v>
      </c>
      <c r="BR38" s="71">
        <v>8.7021832601590798</v>
      </c>
      <c r="BS38" s="71">
        <v>4.9505378057879801</v>
      </c>
      <c r="BT38" s="71">
        <v>5.6881024182068085</v>
      </c>
      <c r="BU38" s="71">
        <v>6.2357551053084048</v>
      </c>
      <c r="BV38" s="71">
        <v>5.865581240278317</v>
      </c>
    </row>
    <row r="39" spans="1:74" ht="12" customHeight="1" x14ac:dyDescent="0.2">
      <c r="A39" s="39" t="s">
        <v>18</v>
      </c>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row>
    <row r="40" spans="1:74" ht="12" customHeight="1" x14ac:dyDescent="0.2">
      <c r="A40" s="99" t="s">
        <v>128</v>
      </c>
      <c r="B40" s="107"/>
      <c r="C40" s="107" t="e">
        <v>#DIV/0!</v>
      </c>
      <c r="D40" s="107" t="e">
        <v>#DIV/0!</v>
      </c>
      <c r="E40" s="107" t="e">
        <v>#VALUE!</v>
      </c>
      <c r="F40" s="107" t="e">
        <v>#DIV/0!</v>
      </c>
      <c r="G40" s="107" t="e">
        <v>#DIV/0!</v>
      </c>
      <c r="H40" s="107">
        <v>16.0240016101612</v>
      </c>
      <c r="I40" s="107">
        <v>18.296004732815341</v>
      </c>
      <c r="J40" s="107">
        <v>-13.335065661638069</v>
      </c>
      <c r="K40" s="107">
        <v>-8.5764565883573169</v>
      </c>
      <c r="L40" s="107">
        <v>0.96839961317107814</v>
      </c>
      <c r="M40" s="107">
        <v>15.080045938243325</v>
      </c>
      <c r="N40" s="107">
        <v>19.915539781803737</v>
      </c>
      <c r="O40" s="107">
        <v>12.326272734632315</v>
      </c>
      <c r="P40" s="107">
        <v>13.065519522684067</v>
      </c>
      <c r="Q40" s="107">
        <v>13.190256428016145</v>
      </c>
      <c r="R40" s="107">
        <v>16.014249515363655</v>
      </c>
      <c r="S40" s="107">
        <v>18.951389259049868</v>
      </c>
      <c r="T40" s="107">
        <v>7.8626362379679016</v>
      </c>
      <c r="U40" s="107">
        <v>-3.332437338427674</v>
      </c>
      <c r="V40" s="107">
        <v>-3.5664362822622531</v>
      </c>
      <c r="W40" s="107">
        <v>2.4097212899460763</v>
      </c>
      <c r="X40" s="107">
        <v>3.5895788977460485</v>
      </c>
      <c r="Y40" s="107">
        <v>5.9326990819849712</v>
      </c>
      <c r="Z40" s="107">
        <v>13.001319454661719</v>
      </c>
      <c r="AA40" s="107">
        <v>7.1171897566740361</v>
      </c>
      <c r="AB40" s="107">
        <v>7.0267161087310015</v>
      </c>
      <c r="AC40" s="107">
        <v>15.020727639283681</v>
      </c>
      <c r="AD40" s="107">
        <v>4.5765319742754107</v>
      </c>
      <c r="AE40" s="107">
        <v>13.288030692993669</v>
      </c>
      <c r="AF40" s="107">
        <v>7.6587552705246198</v>
      </c>
      <c r="AG40" s="107">
        <v>4.9697145301389467</v>
      </c>
      <c r="AH40" s="107">
        <v>-3.4420657588663084</v>
      </c>
      <c r="AI40" s="107">
        <v>0.11789287727685949</v>
      </c>
      <c r="AJ40" s="107">
        <v>10.604422341941389</v>
      </c>
      <c r="AK40" s="107">
        <v>4.5985732246940358</v>
      </c>
      <c r="AL40" s="107">
        <v>17.953650929762976</v>
      </c>
      <c r="AM40" s="107">
        <v>10.804191715420641</v>
      </c>
      <c r="AN40" s="107">
        <v>7.1484299532141415</v>
      </c>
      <c r="AO40" s="107">
        <v>10.453863895765881</v>
      </c>
      <c r="AP40" s="107">
        <v>-0.6630609689081024</v>
      </c>
      <c r="AQ40" s="107">
        <v>1.37028839343869</v>
      </c>
      <c r="AR40" s="107">
        <v>-0.6107872741498821</v>
      </c>
      <c r="AS40" s="107">
        <v>3.2552982957715582</v>
      </c>
      <c r="AT40" s="107">
        <v>10.003239549811038</v>
      </c>
      <c r="AU40" s="107">
        <v>5.0444829197609176</v>
      </c>
      <c r="AV40" s="107">
        <v>11.026390767471984</v>
      </c>
      <c r="AW40" s="107">
        <v>9.5357940323098411</v>
      </c>
      <c r="AX40" s="107">
        <v>-0.67574802038412596</v>
      </c>
      <c r="AY40" s="107">
        <v>-24.997721465312061</v>
      </c>
      <c r="AZ40" s="107">
        <v>-3.3582876137571827</v>
      </c>
      <c r="BA40" s="107">
        <v>-4.5905031387412754</v>
      </c>
      <c r="BB40" s="107">
        <v>-3.5545582314911894</v>
      </c>
      <c r="BC40" s="107">
        <v>47.741355672171039</v>
      </c>
      <c r="BD40" s="107">
        <v>-1.7056381781547336</v>
      </c>
      <c r="BE40" s="107">
        <v>8.4536149600923594</v>
      </c>
      <c r="BF40" s="107">
        <v>21.819966569086112</v>
      </c>
      <c r="BG40" s="107">
        <v>2.6241571361079075</v>
      </c>
      <c r="BH40" s="107">
        <v>17.806551999602927</v>
      </c>
      <c r="BI40" s="107">
        <v>5.1403958430175534</v>
      </c>
      <c r="BJ40" s="107">
        <v>4.1100753574990545</v>
      </c>
      <c r="BK40" s="107">
        <v>11.125298245463199</v>
      </c>
      <c r="BL40" s="107">
        <v>13.913662355052846</v>
      </c>
      <c r="BM40" s="107">
        <v>6.9502736537803589</v>
      </c>
      <c r="BN40" s="107">
        <v>6.8429800830516863</v>
      </c>
      <c r="BO40" s="107">
        <v>3.7987589153507306</v>
      </c>
      <c r="BP40" s="107">
        <v>10.556978909848947</v>
      </c>
      <c r="BQ40" s="107">
        <v>9.3531628155154145</v>
      </c>
      <c r="BR40" s="107">
        <v>5.4594993674930148</v>
      </c>
      <c r="BS40" s="107">
        <v>7.9766044265149549</v>
      </c>
      <c r="BT40" s="107">
        <v>3.3485178323735099</v>
      </c>
      <c r="BU40" s="107">
        <v>7.1416697089154546</v>
      </c>
      <c r="BV40" s="107">
        <v>14.109321352919558</v>
      </c>
    </row>
    <row r="41" spans="1:74" ht="12" customHeight="1" x14ac:dyDescent="0.2">
      <c r="A41" s="57"/>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row>
    <row r="42" spans="1:74" ht="12" customHeight="1" x14ac:dyDescent="0.2">
      <c r="A42" s="37" t="s">
        <v>102</v>
      </c>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F42" s="45"/>
      <c r="AG42" s="45"/>
      <c r="AH42" s="45"/>
    </row>
    <row r="43" spans="1:74" ht="12" customHeight="1" x14ac:dyDescent="0.2">
      <c r="A43" s="39" t="s">
        <v>0</v>
      </c>
      <c r="B43" s="71"/>
      <c r="C43" s="71" t="e">
        <v>#DIV/0!</v>
      </c>
      <c r="D43" s="71" t="e">
        <v>#DIV/0!</v>
      </c>
      <c r="E43" s="71" t="e">
        <v>#DIV/0!</v>
      </c>
      <c r="F43" s="71" t="e">
        <v>#DIV/0!</v>
      </c>
      <c r="G43" s="71" t="e">
        <v>#DIV/0!</v>
      </c>
      <c r="H43" s="71" t="e">
        <v>#DIV/0!</v>
      </c>
      <c r="I43" s="71">
        <v>1.3243857582168062</v>
      </c>
      <c r="J43" s="71">
        <v>5.8038311822304234</v>
      </c>
      <c r="K43" s="71">
        <v>2.022233606130408</v>
      </c>
      <c r="L43" s="71">
        <v>1.2038282944940359</v>
      </c>
      <c r="M43" s="71">
        <v>2.5972694917613337</v>
      </c>
      <c r="N43" s="71">
        <v>2.2531976855202585</v>
      </c>
      <c r="O43" s="71">
        <v>-3.1590458235293939</v>
      </c>
      <c r="P43" s="71">
        <v>3.7070941706429661</v>
      </c>
      <c r="Q43" s="71">
        <v>-2.5602056714968402</v>
      </c>
      <c r="R43" s="71">
        <v>2.7670823607854</v>
      </c>
      <c r="S43" s="71">
        <v>0.99414175889132039</v>
      </c>
      <c r="T43" s="71">
        <v>4.0872450290212692</v>
      </c>
      <c r="U43" s="71">
        <v>-4.3863552405433603</v>
      </c>
      <c r="V43" s="71">
        <v>9.5047172771445254E-2</v>
      </c>
      <c r="W43" s="71">
        <v>-1.7100511532895268</v>
      </c>
      <c r="X43" s="71">
        <v>4.2222874083501782</v>
      </c>
      <c r="Y43" s="71">
        <v>-1.8304732426207559</v>
      </c>
      <c r="Z43" s="71">
        <v>5.9716096888118519</v>
      </c>
      <c r="AA43" s="71">
        <v>4.414254729900291</v>
      </c>
      <c r="AB43" s="71">
        <v>-3.5091846461838161</v>
      </c>
      <c r="AC43" s="71">
        <v>4.1129018127771921</v>
      </c>
      <c r="AD43" s="71">
        <v>0.97561911818642155</v>
      </c>
      <c r="AE43" s="71">
        <v>2.4537185712327103</v>
      </c>
      <c r="AF43" s="70">
        <v>1.4620018820307612</v>
      </c>
      <c r="AG43" s="70">
        <v>0.54947360243280396</v>
      </c>
      <c r="AH43" s="70">
        <v>-3.222041917114471</v>
      </c>
      <c r="AI43" s="70">
        <v>1.2841621139416226</v>
      </c>
      <c r="AJ43" s="70">
        <v>0.83239308103602028</v>
      </c>
      <c r="AK43" s="70">
        <v>1.4978379139610531</v>
      </c>
      <c r="AL43" s="70">
        <v>3.0208624299154385</v>
      </c>
      <c r="AM43" s="70">
        <v>0.96962077675153413</v>
      </c>
      <c r="AN43" s="70">
        <v>1.4096174609220746</v>
      </c>
      <c r="AO43" s="70">
        <v>0.95852185714253579</v>
      </c>
      <c r="AP43" s="70">
        <v>2.3642920522684685</v>
      </c>
      <c r="AQ43" s="70">
        <v>0.73929905434091392</v>
      </c>
      <c r="AR43" s="70">
        <v>1.6833459305312326</v>
      </c>
      <c r="AS43" s="70">
        <v>0.67788171301681466</v>
      </c>
      <c r="AT43" s="70">
        <v>4.7183604166448179</v>
      </c>
      <c r="AU43" s="70">
        <v>-0.51606042001457464</v>
      </c>
      <c r="AV43" s="70">
        <v>2.7835341383885881</v>
      </c>
      <c r="AW43" s="70">
        <v>1.2339329948722666</v>
      </c>
      <c r="AX43" s="70">
        <v>-2.2194992523079771</v>
      </c>
      <c r="AY43" s="70">
        <v>-7.1197978261993473</v>
      </c>
      <c r="AZ43" s="70">
        <v>7.4621280923681477</v>
      </c>
      <c r="BA43" s="70">
        <v>2.4351986059343966</v>
      </c>
      <c r="BB43" s="70">
        <v>0.77831284455369687</v>
      </c>
      <c r="BC43" s="70">
        <v>1.1699337550039379</v>
      </c>
      <c r="BD43" s="70">
        <v>-1.9991801601972448</v>
      </c>
      <c r="BE43" s="70">
        <v>4.9359917178984913</v>
      </c>
      <c r="BF43" s="70">
        <v>2.2192564974707008</v>
      </c>
      <c r="BG43" s="70">
        <v>0.38232369925883525</v>
      </c>
      <c r="BH43" s="70">
        <v>0.97334385089125064</v>
      </c>
      <c r="BI43" s="70">
        <v>0.94972823516947802</v>
      </c>
      <c r="BJ43" s="70">
        <v>-2.1375292072356444E-2</v>
      </c>
      <c r="BK43" s="70">
        <v>3.2791841688570855</v>
      </c>
      <c r="BL43" s="70">
        <v>1.299183744456478</v>
      </c>
      <c r="BM43" s="70">
        <v>1.3643908149901796</v>
      </c>
      <c r="BN43" s="70">
        <v>1.0354276379122895</v>
      </c>
      <c r="BO43" s="70">
        <v>1.6374266873781629</v>
      </c>
      <c r="BP43" s="70">
        <v>2.1458545764824422</v>
      </c>
      <c r="BQ43" s="70">
        <v>0.51845911815009416</v>
      </c>
      <c r="BR43" s="70">
        <v>3.7173547957292108</v>
      </c>
      <c r="BS43" s="70">
        <v>-0.92665304197946385</v>
      </c>
      <c r="BT43" s="70">
        <v>1.9545609514091566</v>
      </c>
      <c r="BU43" s="70">
        <v>3.5624392076006206</v>
      </c>
      <c r="BV43" s="70">
        <v>1.2140564149031308</v>
      </c>
    </row>
    <row r="44" spans="1:74" ht="12" customHeight="1" x14ac:dyDescent="0.2">
      <c r="A44" s="40" t="s">
        <v>125</v>
      </c>
      <c r="B44" s="71"/>
      <c r="C44" s="71" t="e">
        <v>#DIV/0!</v>
      </c>
      <c r="D44" s="71" t="e">
        <v>#DIV/0!</v>
      </c>
      <c r="E44" s="71" t="e">
        <v>#DIV/0!</v>
      </c>
      <c r="F44" s="71" t="e">
        <v>#DIV/0!</v>
      </c>
      <c r="G44" s="71" t="e">
        <v>#DIV/0!</v>
      </c>
      <c r="H44" s="71" t="e">
        <v>#DIV/0!</v>
      </c>
      <c r="I44" s="71">
        <v>-0.73574461172207783</v>
      </c>
      <c r="J44" s="71">
        <v>0.8960423744254431</v>
      </c>
      <c r="K44" s="71">
        <v>5.7424551006929558</v>
      </c>
      <c r="L44" s="71">
        <v>-4.3264509599096996</v>
      </c>
      <c r="M44" s="71">
        <v>0.7612251099541556</v>
      </c>
      <c r="N44" s="71">
        <v>5.76406396369189</v>
      </c>
      <c r="O44" s="71">
        <v>-0.26154902723971585</v>
      </c>
      <c r="P44" s="71">
        <v>5.0213260993577924</v>
      </c>
      <c r="Q44" s="71">
        <v>-9.2174101025908506</v>
      </c>
      <c r="R44" s="71">
        <v>-2.5897082524534931</v>
      </c>
      <c r="S44" s="71">
        <v>1.5266548015983705</v>
      </c>
      <c r="T44" s="71">
        <v>11.848878618922697</v>
      </c>
      <c r="U44" s="71">
        <v>-10.489025045994872</v>
      </c>
      <c r="V44" s="71">
        <v>1.456368355324078</v>
      </c>
      <c r="W44" s="71">
        <v>-6.3101412864521311</v>
      </c>
      <c r="X44" s="71">
        <v>18.314297689689617</v>
      </c>
      <c r="Y44" s="71">
        <v>-10.65507801730109</v>
      </c>
      <c r="Z44" s="71">
        <v>1.9442936517374942</v>
      </c>
      <c r="AA44" s="71">
        <v>3.675360822230922</v>
      </c>
      <c r="AB44" s="71">
        <v>1.1823483347791042</v>
      </c>
      <c r="AC44" s="71">
        <v>3.553653042006033</v>
      </c>
      <c r="AD44" s="71">
        <v>-2.9863238947607784</v>
      </c>
      <c r="AE44" s="71">
        <v>2.55268194055982</v>
      </c>
      <c r="AF44" s="70">
        <v>-0.65468886218923439</v>
      </c>
      <c r="AG44" s="70">
        <v>1.5325457458998715</v>
      </c>
      <c r="AH44" s="70">
        <v>5.0033257535269327</v>
      </c>
      <c r="AI44" s="70">
        <v>-4.4485212092586934</v>
      </c>
      <c r="AJ44" s="70">
        <v>-0.95375315153649609</v>
      </c>
      <c r="AK44" s="70">
        <v>4.1201764577865507</v>
      </c>
      <c r="AL44" s="70">
        <v>3.418277242109391</v>
      </c>
      <c r="AM44" s="70">
        <v>-0.56587876013612926</v>
      </c>
      <c r="AN44" s="70">
        <v>1.1995622370269743</v>
      </c>
      <c r="AO44" s="70">
        <v>-1.3729597840817398</v>
      </c>
      <c r="AP44" s="70">
        <v>5.4232796583672194</v>
      </c>
      <c r="AQ44" s="70">
        <v>-3.3166197423029176</v>
      </c>
      <c r="AR44" s="70">
        <v>1.7833388410015472</v>
      </c>
      <c r="AS44" s="70">
        <v>6.6075236729190578E-3</v>
      </c>
      <c r="AT44" s="70">
        <v>11.10818537419178</v>
      </c>
      <c r="AU44" s="70">
        <v>-4.5510054520324417</v>
      </c>
      <c r="AV44" s="70">
        <v>-0.11039391022473755</v>
      </c>
      <c r="AW44" s="70">
        <v>1.5116346642191969</v>
      </c>
      <c r="AX44" s="70">
        <v>2.2291279512794082</v>
      </c>
      <c r="AY44" s="70">
        <v>1.9301112695357059</v>
      </c>
      <c r="AZ44" s="70">
        <v>-0.39245800693936683</v>
      </c>
      <c r="BA44" s="70">
        <v>3.339794165080856</v>
      </c>
      <c r="BB44" s="70">
        <v>-3.7522326571998166</v>
      </c>
      <c r="BC44" s="70">
        <v>1.5779749161203949</v>
      </c>
      <c r="BD44" s="70">
        <v>3.5159819290816019</v>
      </c>
      <c r="BE44" s="70">
        <v>-3.5118845268345189</v>
      </c>
      <c r="BF44" s="70">
        <v>5.2949332199087706</v>
      </c>
      <c r="BG44" s="70">
        <v>5.1913246348964881</v>
      </c>
      <c r="BH44" s="70">
        <v>-3.6972831751256319</v>
      </c>
      <c r="BI44" s="70">
        <v>4.5513684186822667</v>
      </c>
      <c r="BJ44" s="70">
        <v>-1.5212017671676237</v>
      </c>
      <c r="BK44" s="70">
        <v>-1.5060181855870547</v>
      </c>
      <c r="BL44" s="70">
        <v>4.0680935198681212</v>
      </c>
      <c r="BM44" s="70">
        <v>0.80245658302149359</v>
      </c>
      <c r="BN44" s="70">
        <v>2.1328688387634909</v>
      </c>
      <c r="BO44" s="70">
        <v>3.2118319438789289</v>
      </c>
      <c r="BP44" s="70">
        <v>0.53171096729058842</v>
      </c>
      <c r="BQ44" s="70">
        <v>1.1977514392393696</v>
      </c>
      <c r="BR44" s="70">
        <v>3.8204910715183615</v>
      </c>
      <c r="BS44" s="70">
        <v>-2.0111679174767749</v>
      </c>
      <c r="BT44" s="70">
        <v>1.44613576623569</v>
      </c>
      <c r="BU44" s="70">
        <v>5.1586820115829379</v>
      </c>
      <c r="BV44" s="70">
        <v>-1.3401905568687922</v>
      </c>
    </row>
    <row r="45" spans="1:74" ht="12" customHeight="1" x14ac:dyDescent="0.2">
      <c r="A45" s="40" t="s">
        <v>126</v>
      </c>
      <c r="B45" s="71"/>
      <c r="C45" s="71" t="e">
        <v>#DIV/0!</v>
      </c>
      <c r="D45" s="71" t="e">
        <v>#DIV/0!</v>
      </c>
      <c r="E45" s="71" t="e">
        <v>#DIV/0!</v>
      </c>
      <c r="F45" s="71" t="e">
        <v>#DIV/0!</v>
      </c>
      <c r="G45" s="71" t="e">
        <v>#DIV/0!</v>
      </c>
      <c r="H45" s="71" t="e">
        <v>#DIV/0!</v>
      </c>
      <c r="I45" s="71">
        <v>0.22267979106334046</v>
      </c>
      <c r="J45" s="71">
        <v>4.2880642274900627</v>
      </c>
      <c r="K45" s="71">
        <v>0.70010748328410699</v>
      </c>
      <c r="L45" s="71">
        <v>2.92355526249235</v>
      </c>
      <c r="M45" s="71">
        <v>8.132547077453145</v>
      </c>
      <c r="N45" s="71">
        <v>-5.3463594022160059</v>
      </c>
      <c r="O45" s="71">
        <v>2.1483781768404375</v>
      </c>
      <c r="P45" s="71">
        <v>0.10841875075175977</v>
      </c>
      <c r="Q45" s="71">
        <v>-0.4070960115919342</v>
      </c>
      <c r="R45" s="71">
        <v>4.6709057520022634</v>
      </c>
      <c r="S45" s="71">
        <v>8.1361934701762451E-2</v>
      </c>
      <c r="T45" s="71">
        <v>0.29557009605143403</v>
      </c>
      <c r="U45" s="71">
        <v>-0.75668136658197938</v>
      </c>
      <c r="V45" s="71">
        <v>8.4367622398606734E-2</v>
      </c>
      <c r="W45" s="71">
        <v>-5.1784272686197674</v>
      </c>
      <c r="X45" s="71">
        <v>5.173882857431944</v>
      </c>
      <c r="Y45" s="71">
        <v>-0.58659301635661798</v>
      </c>
      <c r="Z45" s="71">
        <v>6.0856356240601928</v>
      </c>
      <c r="AA45" s="71">
        <v>4.2073960898737717</v>
      </c>
      <c r="AB45" s="71">
        <v>-0.5876293488685902</v>
      </c>
      <c r="AC45" s="71">
        <v>1.5578361872853774</v>
      </c>
      <c r="AD45" s="71">
        <v>2.6863429984867127</v>
      </c>
      <c r="AE45" s="71">
        <v>3.9261773118716814</v>
      </c>
      <c r="AF45" s="71">
        <v>2.1104391647241982</v>
      </c>
      <c r="AG45" s="71">
        <v>-1.2339204208681509</v>
      </c>
      <c r="AH45" s="71">
        <v>-7.9679593699827684</v>
      </c>
      <c r="AI45" s="71">
        <v>5.9071760369384219</v>
      </c>
      <c r="AJ45" s="71">
        <v>3.1357490743674221</v>
      </c>
      <c r="AK45" s="71">
        <v>3.6891766663961434</v>
      </c>
      <c r="AL45" s="71">
        <v>2.7374102040371051</v>
      </c>
      <c r="AM45" s="71">
        <v>-1.5026234473080269</v>
      </c>
      <c r="AN45" s="71">
        <v>0.25489152703654927</v>
      </c>
      <c r="AO45" s="71">
        <v>0.80758429450284996</v>
      </c>
      <c r="AP45" s="71">
        <v>3.9123496520509393</v>
      </c>
      <c r="AQ45" s="71">
        <v>3.0733444372784025</v>
      </c>
      <c r="AR45" s="71">
        <v>0.77853025432972345</v>
      </c>
      <c r="AS45" s="71">
        <v>2.061274833331006</v>
      </c>
      <c r="AT45" s="71">
        <v>3.5115546039448109</v>
      </c>
      <c r="AU45" s="71">
        <v>0.86254314850482405</v>
      </c>
      <c r="AV45" s="71">
        <v>3.1201146324791651</v>
      </c>
      <c r="AW45" s="70">
        <v>2.6037674578592185</v>
      </c>
      <c r="AX45" s="70">
        <v>-3.0630401249017614</v>
      </c>
      <c r="AY45" s="71">
        <v>-12.082901857794681</v>
      </c>
      <c r="AZ45" s="71">
        <v>11.235585564171192</v>
      </c>
      <c r="BA45" s="71">
        <v>3.9353722144233494</v>
      </c>
      <c r="BB45" s="71">
        <v>1.0674508296855789</v>
      </c>
      <c r="BC45" s="71">
        <v>7.6583894469606228E-2</v>
      </c>
      <c r="BD45" s="71">
        <v>-5.1615079302406048</v>
      </c>
      <c r="BE45" s="71">
        <v>13.105954808994724</v>
      </c>
      <c r="BF45" s="71">
        <v>-1.0647003048489201</v>
      </c>
      <c r="BG45" s="71">
        <v>0.50415779463401922</v>
      </c>
      <c r="BH45" s="71">
        <v>-0.92209022552264264</v>
      </c>
      <c r="BI45" s="71">
        <v>-0.56501244901207004</v>
      </c>
      <c r="BJ45" s="71">
        <v>1.9564255621859594</v>
      </c>
      <c r="BK45" s="71">
        <v>5.6589465595883404</v>
      </c>
      <c r="BL45" s="71">
        <v>1.246867639120719</v>
      </c>
      <c r="BM45" s="71">
        <v>-3.7339073760319863</v>
      </c>
      <c r="BN45" s="71">
        <v>3.9071071659839918</v>
      </c>
      <c r="BO45" s="71">
        <v>-0.38562383798339539</v>
      </c>
      <c r="BP45" s="71">
        <v>5.3855654099489891</v>
      </c>
      <c r="BQ45" s="71">
        <v>-1.11867198913429</v>
      </c>
      <c r="BR45" s="71">
        <v>3.5726787219310774</v>
      </c>
      <c r="BS45" s="71">
        <v>-0.39176551989470454</v>
      </c>
      <c r="BT45" s="71">
        <v>3.9986269056861756</v>
      </c>
      <c r="BU45" s="71">
        <v>4.7444492295651841</v>
      </c>
      <c r="BV45" s="71">
        <v>-2.266936037175904</v>
      </c>
    </row>
    <row r="46" spans="1:74" ht="12" customHeight="1" x14ac:dyDescent="0.2">
      <c r="A46" s="40" t="s">
        <v>127</v>
      </c>
      <c r="B46" s="71"/>
      <c r="C46" s="71" t="e">
        <v>#DIV/0!</v>
      </c>
      <c r="D46" s="71" t="e">
        <v>#DIV/0!</v>
      </c>
      <c r="E46" s="71" t="e">
        <v>#DIV/0!</v>
      </c>
      <c r="F46" s="71" t="e">
        <v>#DIV/0!</v>
      </c>
      <c r="G46" s="71" t="e">
        <v>#DIV/0!</v>
      </c>
      <c r="H46" s="71" t="e">
        <v>#DIV/0!</v>
      </c>
      <c r="I46" s="71">
        <v>4.5221260179922895</v>
      </c>
      <c r="J46" s="71">
        <v>11.179467591091829</v>
      </c>
      <c r="K46" s="71">
        <v>0.14558072249790666</v>
      </c>
      <c r="L46" s="71">
        <v>3.0999426386897566</v>
      </c>
      <c r="M46" s="71">
        <v>7.2870878028674646E-2</v>
      </c>
      <c r="N46" s="71">
        <v>4.9666770621119793</v>
      </c>
      <c r="O46" s="71">
        <v>-7.8467061820739037</v>
      </c>
      <c r="P46" s="71">
        <v>4.48095588291757</v>
      </c>
      <c r="Q46" s="71">
        <v>-0.84045251955632283</v>
      </c>
      <c r="R46" s="71">
        <v>4.6963726648236115</v>
      </c>
      <c r="S46" s="71">
        <v>1.524025778433602</v>
      </c>
      <c r="T46" s="71">
        <v>2.7751642118573061</v>
      </c>
      <c r="U46" s="71">
        <v>-2.7407123236701469</v>
      </c>
      <c r="V46" s="71">
        <v>-1.1659170387510853</v>
      </c>
      <c r="W46" s="71">
        <v>2.0609429857330053</v>
      </c>
      <c r="X46" s="71">
        <v>-3.0360384595703782</v>
      </c>
      <c r="Y46" s="71">
        <v>3.1359953408649277</v>
      </c>
      <c r="Z46" s="109">
        <v>8.5</v>
      </c>
      <c r="AA46" s="71">
        <v>6.01901727101124</v>
      </c>
      <c r="AB46" s="71">
        <v>-8.1008686965559296</v>
      </c>
      <c r="AC46" s="71">
        <v>5.8995797461821819</v>
      </c>
      <c r="AD46" s="71">
        <v>1.8549195529978579</v>
      </c>
      <c r="AE46" s="71">
        <v>1.3561088860697845</v>
      </c>
      <c r="AF46" s="71">
        <v>3.0157122427520777</v>
      </c>
      <c r="AG46" s="71">
        <v>0.92990201001870165</v>
      </c>
      <c r="AH46" s="71">
        <v>-4.6082650431588323</v>
      </c>
      <c r="AI46" s="71">
        <v>1.1593299316394523</v>
      </c>
      <c r="AJ46" s="71">
        <v>-0.29112186129066631</v>
      </c>
      <c r="AK46" s="71">
        <v>-0.2503111203445707</v>
      </c>
      <c r="AL46" s="71">
        <v>2.0278346703511474</v>
      </c>
      <c r="AM46" s="71">
        <v>3.4254061587448259</v>
      </c>
      <c r="AN46" s="71">
        <v>2.1563853983583181</v>
      </c>
      <c r="AO46" s="71">
        <v>2.6181517899594553</v>
      </c>
      <c r="AP46" s="71">
        <v>0.52233515441826306</v>
      </c>
      <c r="AQ46" s="71">
        <v>1.2516071970771536</v>
      </c>
      <c r="AR46" s="71">
        <v>2.5665950767087109</v>
      </c>
      <c r="AS46" s="71">
        <v>-0.1057088992089672</v>
      </c>
      <c r="AT46" s="71">
        <v>2.1519143902877236</v>
      </c>
      <c r="AU46" s="71">
        <v>1.0299162940264228</v>
      </c>
      <c r="AV46" s="71">
        <v>3.8884808017172423</v>
      </c>
      <c r="AW46" s="71">
        <v>0.16092571355927898</v>
      </c>
      <c r="AX46" s="71">
        <v>-3.4839647330069723</v>
      </c>
      <c r="AY46" s="71">
        <v>-6.1470419354205159</v>
      </c>
      <c r="AZ46" s="71">
        <v>6.7220878577187726</v>
      </c>
      <c r="BA46" s="71">
        <v>1.1763310909507885</v>
      </c>
      <c r="BB46" s="71">
        <v>3.9766138821701658</v>
      </c>
      <c r="BC46" s="71">
        <v>-0.36126090864384564</v>
      </c>
      <c r="BD46" s="71">
        <v>-1.265725843500598</v>
      </c>
      <c r="BE46" s="71">
        <v>3.5574523005345027</v>
      </c>
      <c r="BF46" s="71">
        <v>2.1274735332563521</v>
      </c>
      <c r="BG46" s="71">
        <v>-1.7654006194670835</v>
      </c>
      <c r="BH46" s="71">
        <v>5.1231474401534083</v>
      </c>
      <c r="BI46" s="71">
        <v>-0.45342902951573949</v>
      </c>
      <c r="BJ46" s="71">
        <v>-0.99680951835492415</v>
      </c>
      <c r="BK46" s="71">
        <v>4.2667439760157189</v>
      </c>
      <c r="BL46" s="71">
        <v>1.6300497382015777E-2</v>
      </c>
      <c r="BM46" s="71">
        <v>5.2867749855438628</v>
      </c>
      <c r="BN46" s="71">
        <v>-1.4990608073183975</v>
      </c>
      <c r="BO46" s="71">
        <v>2.0787011320135607</v>
      </c>
      <c r="BP46" s="71">
        <v>0.35680223708547398</v>
      </c>
      <c r="BQ46" s="71">
        <v>1.5353371644921676</v>
      </c>
      <c r="BR46" s="71">
        <v>4.5086241187807685</v>
      </c>
      <c r="BS46" s="71">
        <v>-1.3946763725221523</v>
      </c>
      <c r="BT46" s="71">
        <v>0.99804960517690944</v>
      </c>
      <c r="BU46" s="71">
        <v>2.201743720611038</v>
      </c>
      <c r="BV46" s="71">
        <v>4.0481562791397252</v>
      </c>
    </row>
    <row r="47" spans="1:74" ht="12" customHeight="1" x14ac:dyDescent="0.2">
      <c r="A47" s="39" t="s">
        <v>18</v>
      </c>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row>
    <row r="48" spans="1:74" ht="12" customHeight="1" x14ac:dyDescent="0.2">
      <c r="A48" s="99" t="s">
        <v>128</v>
      </c>
      <c r="B48" s="107"/>
      <c r="C48" s="107" t="e">
        <v>#DIV/0!</v>
      </c>
      <c r="D48" s="107" t="e">
        <v>#DIV/0!</v>
      </c>
      <c r="E48" s="107" t="e">
        <v>#DIV/0!</v>
      </c>
      <c r="F48" s="107" t="e">
        <v>#DIV/0!</v>
      </c>
      <c r="G48" s="107" t="e">
        <v>#DIV/0!</v>
      </c>
      <c r="H48" s="107" t="e">
        <v>#DIV/0!</v>
      </c>
      <c r="I48" s="107">
        <v>-6.1997454573303967</v>
      </c>
      <c r="J48" s="107">
        <v>-3.8952903284880658</v>
      </c>
      <c r="K48" s="107">
        <v>5.5299346954200246</v>
      </c>
      <c r="L48" s="107">
        <v>6.3044543198034431</v>
      </c>
      <c r="M48" s="107">
        <v>6.8654665421352234</v>
      </c>
      <c r="N48" s="107">
        <v>0.55997529443041483</v>
      </c>
      <c r="O48" s="107">
        <v>-2.2192893950768289</v>
      </c>
      <c r="P48" s="107">
        <v>7.7104460973155708</v>
      </c>
      <c r="Q48" s="107">
        <v>6.9329411768859872</v>
      </c>
      <c r="R48" s="107">
        <v>3.5714876618253788</v>
      </c>
      <c r="S48" s="107">
        <v>-1.0075799307823208</v>
      </c>
      <c r="T48" s="107">
        <v>-1.3093855549389577</v>
      </c>
      <c r="U48" s="107">
        <v>-4.5733932922232379</v>
      </c>
      <c r="V48" s="107">
        <v>3.9407752865119328</v>
      </c>
      <c r="W48" s="107">
        <v>3.848928466691115</v>
      </c>
      <c r="X48" s="107">
        <v>0.70840623577876904</v>
      </c>
      <c r="Y48" s="107">
        <v>-2.708333934588858</v>
      </c>
      <c r="Z48" s="107">
        <v>12.061768681005214</v>
      </c>
      <c r="AA48" s="107">
        <v>-3.0342506779988065</v>
      </c>
      <c r="AB48" s="107">
        <v>1.1811879631854927</v>
      </c>
      <c r="AC48" s="107">
        <v>4.2269071589889684</v>
      </c>
      <c r="AD48" s="107">
        <v>3.1680091553200507</v>
      </c>
      <c r="AE48" s="107">
        <v>3.8927332896016908</v>
      </c>
      <c r="AF48" s="107">
        <v>-3.8710803414141126</v>
      </c>
      <c r="AG48" s="107">
        <v>1.5611256183015954</v>
      </c>
      <c r="AH48" s="107">
        <v>-4.2154939708647365</v>
      </c>
      <c r="AI48" s="107">
        <v>7.0880063435628582</v>
      </c>
      <c r="AJ48" s="107">
        <v>5.832029517284032</v>
      </c>
      <c r="AK48" s="107">
        <v>-4.1619123905751838</v>
      </c>
      <c r="AL48" s="107">
        <v>9.09949341984988</v>
      </c>
      <c r="AM48" s="107">
        <v>0.47555779079744287</v>
      </c>
      <c r="AN48" s="107">
        <v>1.6626054766551324</v>
      </c>
      <c r="AO48" s="107">
        <v>-1.1259529058273543</v>
      </c>
      <c r="AP48" s="107">
        <v>-1.4410788731849311</v>
      </c>
      <c r="AQ48" s="107">
        <v>2.6895815817588486</v>
      </c>
      <c r="AR48" s="107">
        <v>-0.89185605077883867</v>
      </c>
      <c r="AS48" s="107">
        <v>2.8059271061516178</v>
      </c>
      <c r="AT48" s="107">
        <v>4.9983918035421571</v>
      </c>
      <c r="AU48" s="107">
        <v>-1.4736531936976327</v>
      </c>
      <c r="AV48" s="107">
        <v>4.090639352945713</v>
      </c>
      <c r="AW48" s="107">
        <v>1.9773566253974861</v>
      </c>
      <c r="AX48" s="107">
        <v>-5.2711741707251125</v>
      </c>
      <c r="AY48" s="107">
        <v>-25.224012578046249</v>
      </c>
      <c r="AZ48" s="107">
        <v>33.171211694506006</v>
      </c>
      <c r="BA48" s="107">
        <v>1.5487999727122004</v>
      </c>
      <c r="BB48" s="107">
        <v>-4.7660424770565646</v>
      </c>
      <c r="BC48" s="107">
        <v>15.206193889039543</v>
      </c>
      <c r="BD48" s="107">
        <v>-12.612678525434717</v>
      </c>
      <c r="BE48" s="107">
        <v>14.009513516540718</v>
      </c>
      <c r="BF48" s="107">
        <v>5.9234130501929494</v>
      </c>
      <c r="BG48" s="107">
        <v>-2.4953557140702798</v>
      </c>
      <c r="BH48" s="107">
        <v>-0.94846425299888182</v>
      </c>
      <c r="BI48" s="107">
        <v>3.7211847343955107</v>
      </c>
      <c r="BJ48" s="107">
        <v>3.890783948223131</v>
      </c>
      <c r="BK48" s="107">
        <v>4.2541587326795582</v>
      </c>
      <c r="BL48" s="107">
        <v>0.67847060669525838</v>
      </c>
      <c r="BM48" s="107">
        <v>-1.270329069736631</v>
      </c>
      <c r="BN48" s="107">
        <v>3.1646677413591062</v>
      </c>
      <c r="BO48" s="107">
        <v>1.2809435220733079</v>
      </c>
      <c r="BP48" s="107">
        <v>6.7116112359502988</v>
      </c>
      <c r="BQ48" s="107">
        <v>-1.607574694582159</v>
      </c>
      <c r="BR48" s="107">
        <v>-0.74985945234925522</v>
      </c>
      <c r="BS48" s="107">
        <v>3.5692685907288579</v>
      </c>
      <c r="BT48" s="107">
        <v>1.9404910818818122</v>
      </c>
      <c r="BU48" s="107">
        <v>2.299853256672435</v>
      </c>
      <c r="BV48" s="107">
        <v>5.6754290538042484</v>
      </c>
    </row>
    <row r="49" spans="1:74" ht="12" customHeight="1" x14ac:dyDescent="0.2">
      <c r="A49" s="108"/>
      <c r="B49" s="71"/>
      <c r="C49" s="71"/>
      <c r="D49" s="71"/>
      <c r="E49" s="71"/>
      <c r="F49" s="71"/>
      <c r="G49" s="71"/>
      <c r="H49" s="71"/>
      <c r="I49" s="106"/>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row>
    <row r="50" spans="1:74" ht="12" customHeight="1" x14ac:dyDescent="0.2">
      <c r="A50" s="37" t="s">
        <v>100</v>
      </c>
      <c r="B50" s="71"/>
      <c r="C50" s="71"/>
      <c r="D50" s="71"/>
      <c r="E50" s="71"/>
      <c r="F50" s="71"/>
      <c r="G50" s="71"/>
      <c r="H50" s="71"/>
      <c r="I50" s="106"/>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row>
    <row r="51" spans="1:74" ht="12" customHeight="1" x14ac:dyDescent="0.2">
      <c r="A51" s="39" t="s">
        <v>0</v>
      </c>
      <c r="B51" s="71"/>
      <c r="C51" s="71" t="e">
        <v>#DIV/0!</v>
      </c>
      <c r="D51" s="71" t="e">
        <v>#DIV/0!</v>
      </c>
      <c r="E51" s="71" t="e">
        <v>#DIV/0!</v>
      </c>
      <c r="F51" s="71" t="e">
        <v>#DIV/0!</v>
      </c>
      <c r="G51" s="71" t="e">
        <v>#DIV/0!</v>
      </c>
      <c r="H51" s="71" t="e">
        <v>#DIV/0!</v>
      </c>
      <c r="I51" s="71">
        <v>1.6844748256570341</v>
      </c>
      <c r="J51" s="71">
        <v>6.0640498728829595</v>
      </c>
      <c r="K51" s="71">
        <v>1.3616018033448363</v>
      </c>
      <c r="L51" s="71">
        <v>1.4008902855357164</v>
      </c>
      <c r="M51" s="71">
        <v>1.2190480629099332</v>
      </c>
      <c r="N51" s="71">
        <v>-2.5007255626263714E-4</v>
      </c>
      <c r="O51" s="71">
        <v>0.23372170046651597</v>
      </c>
      <c r="P51" s="71">
        <v>0.78408093791875189</v>
      </c>
      <c r="Q51" s="71">
        <v>1.1392583609387108</v>
      </c>
      <c r="R51" s="71">
        <v>1.51850692846347</v>
      </c>
      <c r="S51" s="71">
        <v>1.5162276264264252</v>
      </c>
      <c r="T51" s="71">
        <v>0.53844330571493071</v>
      </c>
      <c r="U51" s="71">
        <v>-0.76604592177110797</v>
      </c>
      <c r="V51" s="71">
        <v>-0.99437262463609732</v>
      </c>
      <c r="W51" s="71">
        <v>-0.49006953022960875</v>
      </c>
      <c r="X51" s="71">
        <v>0.28315962712297527</v>
      </c>
      <c r="Y51" s="71">
        <v>2.2770393528523503</v>
      </c>
      <c r="Z51" s="71">
        <v>3.868483184856597</v>
      </c>
      <c r="AA51" s="71">
        <v>2.4543562238465988</v>
      </c>
      <c r="AB51" s="71">
        <v>1.1697747979425577</v>
      </c>
      <c r="AC51" s="71">
        <v>1.3632799775658011</v>
      </c>
      <c r="AD51" s="71">
        <v>2.0200359946672908</v>
      </c>
      <c r="AE51" s="71">
        <v>1.9262314393387436</v>
      </c>
      <c r="AF51" s="71">
        <v>1.6211533002021827</v>
      </c>
      <c r="AG51" s="71">
        <v>2.7587412177054738E-2</v>
      </c>
      <c r="AH51" s="71">
        <v>-1.1953772606175028</v>
      </c>
      <c r="AI51" s="71">
        <v>-0.24181671561016582</v>
      </c>
      <c r="AJ51" s="71">
        <v>1.1241618395501085</v>
      </c>
      <c r="AK51" s="71">
        <v>1.632637007112514</v>
      </c>
      <c r="AL51" s="71">
        <v>1.8408356185219965</v>
      </c>
      <c r="AM51" s="71">
        <v>1.6201534061083711</v>
      </c>
      <c r="AN51" s="71">
        <v>1.1796179957354269</v>
      </c>
      <c r="AO51" s="71">
        <v>1.2346960896668868</v>
      </c>
      <c r="AP51" s="71">
        <v>1.611071816557863</v>
      </c>
      <c r="AQ51" s="71">
        <v>1.7480860284523558</v>
      </c>
      <c r="AR51" s="71">
        <v>1.3507682177444469</v>
      </c>
      <c r="AS51" s="71">
        <v>1.5376241295214532</v>
      </c>
      <c r="AT51" s="71">
        <v>1.7460730095596455</v>
      </c>
      <c r="AU51" s="71">
        <v>2.029520436603538</v>
      </c>
      <c r="AV51" s="71">
        <v>2.2667145692051305</v>
      </c>
      <c r="AW51" s="71">
        <v>0.90651150287808235</v>
      </c>
      <c r="AX51" s="71">
        <v>-1.1147879994536036</v>
      </c>
      <c r="AY51" s="71">
        <v>-0.62921843039308589</v>
      </c>
      <c r="AZ51" s="71">
        <v>0.70614142186777862</v>
      </c>
      <c r="BA51" s="71">
        <v>1.0782582547134156</v>
      </c>
      <c r="BB51" s="71">
        <v>1.0905574262127793</v>
      </c>
      <c r="BC51" s="71">
        <v>0.26039664028418841</v>
      </c>
      <c r="BD51" s="71">
        <v>0.81251267628670298</v>
      </c>
      <c r="BE51" s="71">
        <v>2.6801433443866873</v>
      </c>
      <c r="BF51" s="71">
        <v>2.1926708306412745</v>
      </c>
      <c r="BG51" s="71">
        <v>0.79620017147543631</v>
      </c>
      <c r="BH51" s="71">
        <v>0.83354556784380751</v>
      </c>
      <c r="BI51" s="71">
        <v>0.58181811265736183</v>
      </c>
      <c r="BJ51" s="71">
        <v>1.2811217025510135</v>
      </c>
      <c r="BK51" s="71">
        <v>1.9620837011718795</v>
      </c>
      <c r="BL51" s="71">
        <v>1.0136950035763093</v>
      </c>
      <c r="BM51" s="71">
        <v>0.75593884831093305</v>
      </c>
      <c r="BN51" s="71">
        <v>2.2019124879555152</v>
      </c>
      <c r="BO51" s="71">
        <v>2.5299646059384617</v>
      </c>
      <c r="BP51" s="71">
        <v>1.3883609225957994</v>
      </c>
      <c r="BQ51" s="71">
        <v>1.0391937711716759</v>
      </c>
      <c r="BR51" s="71">
        <v>1.2010379009261163</v>
      </c>
      <c r="BS51" s="71">
        <v>1.6835640330851165</v>
      </c>
      <c r="BT51" s="71">
        <v>2.159328673214933</v>
      </c>
      <c r="BU51" s="71">
        <v>2.4894840711313204</v>
      </c>
      <c r="BV51" s="71">
        <v>1.0395513897126341</v>
      </c>
    </row>
    <row r="52" spans="1:74" ht="12" customHeight="1" x14ac:dyDescent="0.2">
      <c r="A52" s="40" t="s">
        <v>125</v>
      </c>
      <c r="B52" s="71"/>
      <c r="C52" s="71" t="e">
        <v>#DIV/0!</v>
      </c>
      <c r="D52" s="71" t="e">
        <v>#DIV/0!</v>
      </c>
      <c r="E52" s="71" t="e">
        <v>#DIV/0!</v>
      </c>
      <c r="F52" s="71" t="e">
        <v>#DIV/0!</v>
      </c>
      <c r="G52" s="71" t="e">
        <v>#DIV/0!</v>
      </c>
      <c r="H52" s="71" t="e">
        <v>#DIV/0!</v>
      </c>
      <c r="I52" s="71">
        <v>0.8178506214295389</v>
      </c>
      <c r="J52" s="71">
        <v>2.2161801511585422</v>
      </c>
      <c r="K52" s="71">
        <v>0.62307921839597213</v>
      </c>
      <c r="L52" s="71">
        <v>-0.94107446503368664</v>
      </c>
      <c r="M52" s="71">
        <v>0.39928055405220597</v>
      </c>
      <c r="N52" s="71">
        <v>1.5092659384042584</v>
      </c>
      <c r="O52" s="71">
        <v>1.1167452028484126</v>
      </c>
      <c r="P52" s="71">
        <v>-9.8587315866005554E-2</v>
      </c>
      <c r="Q52" s="71">
        <v>-1.7291139550416057</v>
      </c>
      <c r="R52" s="71">
        <v>-1.8634406103638979</v>
      </c>
      <c r="S52" s="71">
        <v>-0.72216098210005075</v>
      </c>
      <c r="T52" s="71">
        <v>0.84499586881192634</v>
      </c>
      <c r="U52" s="71">
        <v>0.14721031286837327</v>
      </c>
      <c r="V52" s="71">
        <v>-1.0280835695235968</v>
      </c>
      <c r="W52" s="71">
        <v>-1.5039823845526712</v>
      </c>
      <c r="X52" s="71">
        <v>1.0051117560996747</v>
      </c>
      <c r="Y52" s="71">
        <v>1.8215304006844235</v>
      </c>
      <c r="Z52" s="71">
        <v>1.5293063583833755</v>
      </c>
      <c r="AA52" s="71">
        <v>2.9895242501499109</v>
      </c>
      <c r="AB52" s="71">
        <v>2.8034085620568527</v>
      </c>
      <c r="AC52" s="71">
        <v>0.21880115231402986</v>
      </c>
      <c r="AD52" s="71">
        <v>-0.55899133351420272</v>
      </c>
      <c r="AE52" s="71">
        <v>-4.4116347223766006E-2</v>
      </c>
      <c r="AF52" s="71">
        <v>0.63661171102125103</v>
      </c>
      <c r="AG52" s="71">
        <v>2.0915449502661554</v>
      </c>
      <c r="AH52" s="71">
        <v>1.5321185975638585</v>
      </c>
      <c r="AI52" s="71">
        <v>-0.14235127229940137</v>
      </c>
      <c r="AJ52" s="71">
        <v>-0.32745985591747795</v>
      </c>
      <c r="AK52" s="71">
        <v>1.2204110192080231</v>
      </c>
      <c r="AL52" s="71">
        <v>1.7895883935146628</v>
      </c>
      <c r="AM52" s="71">
        <v>1.0889919363395784</v>
      </c>
      <c r="AN52" s="71">
        <v>0.22522369748674276</v>
      </c>
      <c r="AO52" s="71">
        <v>0.28746614567478623</v>
      </c>
      <c r="AP52" s="71">
        <v>1.2692228852096088</v>
      </c>
      <c r="AQ52" s="71">
        <v>1.3137687360916139</v>
      </c>
      <c r="AR52" s="71">
        <v>1.222172343713579</v>
      </c>
      <c r="AS52" s="71">
        <v>1.3393735492711167</v>
      </c>
      <c r="AT52" s="71">
        <v>1.7987991754020216</v>
      </c>
      <c r="AU52" s="71">
        <v>1.7233887307456897</v>
      </c>
      <c r="AV52" s="71">
        <v>1.1975154250970732</v>
      </c>
      <c r="AW52" s="71">
        <v>0.96020036184882862</v>
      </c>
      <c r="AX52" s="71">
        <v>1.4642229099436355</v>
      </c>
      <c r="AY52" s="71">
        <v>1.8976688912367923</v>
      </c>
      <c r="AZ52" s="71">
        <v>1.27226305390995</v>
      </c>
      <c r="BA52" s="71">
        <v>-4.5082647554972599E-2</v>
      </c>
      <c r="BB52" s="71">
        <v>-0.54095662988441484</v>
      </c>
      <c r="BC52" s="71">
        <v>-0.51172572144650985</v>
      </c>
      <c r="BD52" s="71">
        <v>0.79553337131936797</v>
      </c>
      <c r="BE52" s="71">
        <v>3.0414403598455042</v>
      </c>
      <c r="BF52" s="71">
        <v>3.3822201308108646</v>
      </c>
      <c r="BG52" s="71">
        <v>3.2253370990700247</v>
      </c>
      <c r="BH52" s="71">
        <v>1.6829261281875008</v>
      </c>
      <c r="BI52" s="71">
        <v>-0.65914030119471612</v>
      </c>
      <c r="BJ52" s="71">
        <v>-0.93872453293853964</v>
      </c>
      <c r="BK52" s="71">
        <v>0.10123289265304702</v>
      </c>
      <c r="BL52" s="71">
        <v>0.89910314685828219</v>
      </c>
      <c r="BM52" s="71">
        <v>1.8967956615037584</v>
      </c>
      <c r="BN52" s="71">
        <v>2.2024841996561184</v>
      </c>
      <c r="BO52" s="71">
        <v>2.0443600103385196</v>
      </c>
      <c r="BP52" s="71">
        <v>1.6687862233986772</v>
      </c>
      <c r="BQ52" s="71">
        <v>1.4156108587332517</v>
      </c>
      <c r="BR52" s="71">
        <v>1.0052889800220344</v>
      </c>
      <c r="BS52" s="71">
        <v>1.4030046117526673</v>
      </c>
      <c r="BT52" s="71">
        <v>1.8750083590972633</v>
      </c>
      <c r="BU52" s="71">
        <v>2.2210194754854307</v>
      </c>
      <c r="BV52" s="71">
        <v>1.4317759016271747</v>
      </c>
    </row>
    <row r="53" spans="1:74" ht="12" customHeight="1" x14ac:dyDescent="0.2">
      <c r="A53" s="40" t="s">
        <v>126</v>
      </c>
      <c r="B53" s="71"/>
      <c r="C53" s="71" t="e">
        <v>#DIV/0!</v>
      </c>
      <c r="D53" s="71" t="e">
        <v>#DIV/0!</v>
      </c>
      <c r="E53" s="71" t="e">
        <v>#DIV/0!</v>
      </c>
      <c r="F53" s="71" t="e">
        <v>#DIV/0!</v>
      </c>
      <c r="G53" s="71" t="e">
        <v>#DIV/0!</v>
      </c>
      <c r="H53" s="71" t="e">
        <v>#DIV/0!</v>
      </c>
      <c r="I53" s="71">
        <v>2.6314094816551448</v>
      </c>
      <c r="J53" s="71">
        <v>2.1140291932760125</v>
      </c>
      <c r="K53" s="71">
        <v>2.3204341416491525</v>
      </c>
      <c r="L53" s="71">
        <v>2.5274016170726554</v>
      </c>
      <c r="M53" s="71">
        <v>3.6382150504412403</v>
      </c>
      <c r="N53" s="71">
        <v>1.5841706735422623</v>
      </c>
      <c r="O53" s="71">
        <v>-0.36539942230376932</v>
      </c>
      <c r="P53" s="71">
        <v>-0.7857612985118001</v>
      </c>
      <c r="Q53" s="71">
        <v>1.0662619044739641</v>
      </c>
      <c r="R53" s="71">
        <v>2.7771241029880489</v>
      </c>
      <c r="S53" s="71">
        <v>1.214906515077474</v>
      </c>
      <c r="T53" s="71">
        <v>-0.12148172860959594</v>
      </c>
      <c r="U53" s="71">
        <v>-0.69400376505404093</v>
      </c>
      <c r="V53" s="71">
        <v>-1.3654803484628109</v>
      </c>
      <c r="W53" s="71">
        <v>-0.81217018489128101</v>
      </c>
      <c r="X53" s="71">
        <v>0.18910245863785757</v>
      </c>
      <c r="Y53" s="71">
        <v>2.206267967950315</v>
      </c>
      <c r="Z53" s="71">
        <v>4.8259780027459787</v>
      </c>
      <c r="AA53" s="71">
        <v>3.469860545155834</v>
      </c>
      <c r="AB53" s="71">
        <v>1.0012570538570298</v>
      </c>
      <c r="AC53" s="71">
        <v>0.85094376487573342</v>
      </c>
      <c r="AD53" s="71">
        <v>3.0174238891631289</v>
      </c>
      <c r="AE53" s="71">
        <v>3.5869558621426378</v>
      </c>
      <c r="AF53" s="71">
        <v>2.0479871809715666</v>
      </c>
      <c r="AG53" s="71">
        <v>-1.6062363960481885</v>
      </c>
      <c r="AH53" s="71">
        <v>-3.0724652614638193</v>
      </c>
      <c r="AI53" s="71">
        <v>9.1987504833368483E-2</v>
      </c>
      <c r="AJ53" s="71">
        <v>3.856054311403323</v>
      </c>
      <c r="AK53" s="71">
        <v>4.2157252181967531</v>
      </c>
      <c r="AL53" s="71">
        <v>1.7699651330807642</v>
      </c>
      <c r="AM53" s="71">
        <v>-0.27906272822922906</v>
      </c>
      <c r="AN53" s="71">
        <v>-0.51830632278656585</v>
      </c>
      <c r="AO53" s="71">
        <v>1.5623151250266476</v>
      </c>
      <c r="AP53" s="71">
        <v>3.2660337009788654</v>
      </c>
      <c r="AQ53" s="71">
        <v>2.8514422989909693</v>
      </c>
      <c r="AR53" s="71">
        <v>1.393143046292189</v>
      </c>
      <c r="AS53" s="71">
        <v>2.1434236172552801</v>
      </c>
      <c r="AT53" s="71">
        <v>2.5119003732221312</v>
      </c>
      <c r="AU53" s="71">
        <v>2.1001015102413367</v>
      </c>
      <c r="AV53" s="71">
        <v>2.7487696926491667</v>
      </c>
      <c r="AW53" s="71">
        <v>1.4439912024662549</v>
      </c>
      <c r="AX53" s="71">
        <v>-1.045592365709036</v>
      </c>
      <c r="AY53" s="71">
        <v>-0.47171863722311747</v>
      </c>
      <c r="AZ53" s="71">
        <v>0.84212099398150997</v>
      </c>
      <c r="BA53" s="71">
        <v>0.52574394490780829</v>
      </c>
      <c r="BB53" s="71">
        <v>0.41132590500798649</v>
      </c>
      <c r="BC53" s="71">
        <v>2.0309673265006545E-2</v>
      </c>
      <c r="BD53" s="71">
        <v>1.9906662348294857</v>
      </c>
      <c r="BE53" s="71">
        <v>3.3427847731826166</v>
      </c>
      <c r="BF53" s="71">
        <v>1.7081177161601957</v>
      </c>
      <c r="BG53" s="71">
        <v>-0.48591220500096011</v>
      </c>
      <c r="BH53" s="71">
        <v>-0.64847965951719821</v>
      </c>
      <c r="BI53" s="71">
        <v>-0.47661528568820888</v>
      </c>
      <c r="BJ53" s="71">
        <v>2.7168169617753479</v>
      </c>
      <c r="BK53" s="71">
        <v>3.7687532379308442</v>
      </c>
      <c r="BL53" s="71">
        <v>0.48006255304837708</v>
      </c>
      <c r="BM53" s="71">
        <v>-0.62662085926090683</v>
      </c>
      <c r="BN53" s="71">
        <v>1.7413533529218483</v>
      </c>
      <c r="BO53" s="71">
        <v>3.0354953093694403</v>
      </c>
      <c r="BP53" s="71">
        <v>1.6274544696853299</v>
      </c>
      <c r="BQ53" s="71">
        <v>1.1026891413657092</v>
      </c>
      <c r="BR53" s="71">
        <v>0.66246648577585887</v>
      </c>
      <c r="BS53" s="71">
        <v>1.9330447532571071</v>
      </c>
      <c r="BT53" s="71">
        <v>3.975407976714096</v>
      </c>
      <c r="BU53" s="71">
        <v>2.573084429590522</v>
      </c>
      <c r="BV53" s="71">
        <v>0.25771149896682832</v>
      </c>
    </row>
    <row r="54" spans="1:74" ht="12" customHeight="1" x14ac:dyDescent="0.2">
      <c r="A54" s="40" t="s">
        <v>127</v>
      </c>
      <c r="B54" s="71"/>
      <c r="C54" s="71" t="e">
        <v>#DIV/0!</v>
      </c>
      <c r="D54" s="71" t="e">
        <v>#DIV/0!</v>
      </c>
      <c r="E54" s="71" t="e">
        <v>#DIV/0!</v>
      </c>
      <c r="F54" s="71" t="e">
        <v>#DIV/0!</v>
      </c>
      <c r="G54" s="71" t="e">
        <v>#DIV/0!</v>
      </c>
      <c r="H54" s="71" t="e">
        <v>#DIV/0!</v>
      </c>
      <c r="I54" s="71">
        <v>2.9040192005640009</v>
      </c>
      <c r="J54" s="71">
        <v>12.178358523385867</v>
      </c>
      <c r="K54" s="71">
        <v>1.0171896448754048</v>
      </c>
      <c r="L54" s="71">
        <v>1.4908727592247706</v>
      </c>
      <c r="M54" s="71">
        <v>-0.18082004809603092</v>
      </c>
      <c r="N54" s="71">
        <v>-1.8991565110465625</v>
      </c>
      <c r="O54" s="71">
        <v>5.8359649650352452E-2</v>
      </c>
      <c r="P54" s="71">
        <v>1.6461361692731824</v>
      </c>
      <c r="Q54" s="71">
        <v>2.0713867653087581</v>
      </c>
      <c r="R54" s="71">
        <v>2.5500573251120651</v>
      </c>
      <c r="S54" s="71">
        <v>3.1967996991827841</v>
      </c>
      <c r="T54" s="71">
        <v>1.2369816623742036</v>
      </c>
      <c r="U54" s="71">
        <v>-1.1225764438903107</v>
      </c>
      <c r="V54" s="71">
        <v>-1.1766029350850027</v>
      </c>
      <c r="W54" s="71">
        <v>-0.33613493716269094</v>
      </c>
      <c r="X54" s="71">
        <v>-0.25133808182464801</v>
      </c>
      <c r="Y54" s="71">
        <v>2.4970656302647498</v>
      </c>
      <c r="Z54" s="71">
        <v>4.793753842643711</v>
      </c>
      <c r="AA54" s="71">
        <v>1.8996137948466219</v>
      </c>
      <c r="AB54" s="71">
        <v>0.41782792206221941</v>
      </c>
      <c r="AC54" s="71">
        <v>1.9801045703697673</v>
      </c>
      <c r="AD54" s="71">
        <v>2.501485593838515</v>
      </c>
      <c r="AE54" s="71">
        <v>2.0846307947985032</v>
      </c>
      <c r="AF54" s="71">
        <v>2.2151441757185086</v>
      </c>
      <c r="AG54" s="71">
        <v>0.22179270209012891</v>
      </c>
      <c r="AH54" s="71">
        <v>-1.7339980421827272</v>
      </c>
      <c r="AI54" s="71">
        <v>-1.1029396752931575</v>
      </c>
      <c r="AJ54" s="71">
        <v>-0.21951689696452226</v>
      </c>
      <c r="AK54" s="71">
        <v>0.18537691148805546</v>
      </c>
      <c r="AL54" s="71">
        <v>1.8722881172096084</v>
      </c>
      <c r="AM54" s="71">
        <v>2.9898371940984436</v>
      </c>
      <c r="AN54" s="71">
        <v>2.7943823079700003</v>
      </c>
      <c r="AO54" s="71">
        <v>1.8640342864133741</v>
      </c>
      <c r="AP54" s="71">
        <v>1.1600061303836728</v>
      </c>
      <c r="AQ54" s="71">
        <v>1.4937093140466873</v>
      </c>
      <c r="AR54" s="71">
        <v>1.4711337877648001</v>
      </c>
      <c r="AS54" s="71">
        <v>1.103566718484239</v>
      </c>
      <c r="AT54" s="71">
        <v>1.0899227559980407</v>
      </c>
      <c r="AU54" s="71">
        <v>2.2365037566589363</v>
      </c>
      <c r="AV54" s="71">
        <v>2.4909471640521819</v>
      </c>
      <c r="AW54" s="71">
        <v>0.59906912819580604</v>
      </c>
      <c r="AX54" s="71">
        <v>-2.3484416554893195</v>
      </c>
      <c r="AY54" s="71">
        <v>-1.9396099375212361</v>
      </c>
      <c r="AZ54" s="71">
        <v>0.40860135519165119</v>
      </c>
      <c r="BA54" s="71">
        <v>2.30295907463125</v>
      </c>
      <c r="BB54" s="71">
        <v>2.4807389563054283</v>
      </c>
      <c r="BC54" s="71">
        <v>0.6607762312545562</v>
      </c>
      <c r="BD54" s="71">
        <v>-0.27255716385702344</v>
      </c>
      <c r="BE54" s="71">
        <v>1.6410108015065816</v>
      </c>
      <c r="BF54" s="71">
        <v>1.6053481781785894</v>
      </c>
      <c r="BG54" s="71">
        <v>0.52461007224844369</v>
      </c>
      <c r="BH54" s="71">
        <v>1.5652077754927385</v>
      </c>
      <c r="BI54" s="71">
        <v>1.5545299268280521</v>
      </c>
      <c r="BJ54" s="71">
        <v>1.104887512130448</v>
      </c>
      <c r="BK54" s="71">
        <v>1.6011197751300221</v>
      </c>
      <c r="BL54" s="71">
        <v>1.453773619769505</v>
      </c>
      <c r="BM54" s="71">
        <v>1.1311659418697939</v>
      </c>
      <c r="BN54" s="71">
        <v>2.6331457085529753</v>
      </c>
      <c r="BO54" s="71">
        <v>2.314471921393646</v>
      </c>
      <c r="BP54" s="71">
        <v>0.79913883642173111</v>
      </c>
      <c r="BQ54" s="71">
        <v>0.87659031812079569</v>
      </c>
      <c r="BR54" s="71">
        <v>1.8649533723744005</v>
      </c>
      <c r="BS54" s="71">
        <v>1.5900817519244548</v>
      </c>
      <c r="BT54" s="71">
        <v>1.1754223470101355</v>
      </c>
      <c r="BU54" s="71">
        <v>2.4671663099870678</v>
      </c>
      <c r="BV54" s="71">
        <v>0.76478726335296177</v>
      </c>
    </row>
    <row r="55" spans="1:74" ht="12" customHeight="1" x14ac:dyDescent="0.2">
      <c r="A55" s="39" t="s">
        <v>18</v>
      </c>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row>
    <row r="56" spans="1:74" ht="12" customHeight="1" thickBot="1" x14ac:dyDescent="0.25">
      <c r="A56" s="51" t="s">
        <v>128</v>
      </c>
      <c r="B56" s="110"/>
      <c r="C56" s="110" t="e">
        <v>#DIV/0!</v>
      </c>
      <c r="D56" s="110" t="e">
        <v>#DIV/0!</v>
      </c>
      <c r="E56" s="110" t="e">
        <v>#DIV/0!</v>
      </c>
      <c r="F56" s="110" t="e">
        <v>#DIV/0!</v>
      </c>
      <c r="G56" s="110" t="e">
        <v>#DIV/0!</v>
      </c>
      <c r="H56" s="110" t="e">
        <v>#DIV/0!</v>
      </c>
      <c r="I56" s="110">
        <v>-6.4807323830038737</v>
      </c>
      <c r="J56" s="110">
        <v>-2.6993350954575779</v>
      </c>
      <c r="K56" s="110">
        <v>3.7547839519943782</v>
      </c>
      <c r="L56" s="110">
        <v>7.4885885982286959</v>
      </c>
      <c r="M56" s="110">
        <v>5.5425538906965777</v>
      </c>
      <c r="N56" s="110">
        <v>0.58473117853048429</v>
      </c>
      <c r="O56" s="110">
        <v>0.1320197863312611</v>
      </c>
      <c r="P56" s="110">
        <v>5.4048681035908652</v>
      </c>
      <c r="Q56" s="110">
        <v>7.3751745410121972</v>
      </c>
      <c r="R56" s="110">
        <v>3.2051401851254102</v>
      </c>
      <c r="S56" s="110">
        <v>-6.3424082006979798E-2</v>
      </c>
      <c r="T56" s="110">
        <v>-2.8703881142528198</v>
      </c>
      <c r="U56" s="110">
        <v>-2.070402488102574</v>
      </c>
      <c r="V56" s="110">
        <v>1.9875950631252248</v>
      </c>
      <c r="W56" s="110">
        <v>3.6498548178923729</v>
      </c>
      <c r="X56" s="110">
        <v>1.594620406257885</v>
      </c>
      <c r="Y56" s="110">
        <v>2.7518968365611407</v>
      </c>
      <c r="Z56" s="110">
        <v>2.6953915274090523</v>
      </c>
      <c r="AA56" s="110">
        <v>0.43841337084427057</v>
      </c>
      <c r="AB56" s="110">
        <v>0.96139378602853043</v>
      </c>
      <c r="AC56" s="110">
        <v>3.4523414387488627</v>
      </c>
      <c r="AD56" s="110">
        <v>4.3832833320102793</v>
      </c>
      <c r="AE56" s="110">
        <v>1.4839565614130468</v>
      </c>
      <c r="AF56" s="110">
        <v>-0.60624953081492849</v>
      </c>
      <c r="AG56" s="110">
        <v>-2.0243998340316205</v>
      </c>
      <c r="AH56" s="110">
        <v>0.15503229244566707</v>
      </c>
      <c r="AI56" s="110">
        <v>4.0429808408236179</v>
      </c>
      <c r="AJ56" s="110">
        <v>4.9557194894318979</v>
      </c>
      <c r="AK56" s="110">
        <v>2.5959825212520826</v>
      </c>
      <c r="AL56" s="110">
        <v>2.0809740207360372</v>
      </c>
      <c r="AM56" s="110">
        <v>2.072449267558607</v>
      </c>
      <c r="AN56" s="110">
        <v>0.53083666410684849</v>
      </c>
      <c r="AO56" s="110">
        <v>-0.7984429692112438</v>
      </c>
      <c r="AP56" s="110">
        <v>-0.41785640416817094</v>
      </c>
      <c r="AQ56" s="110">
        <v>0.67532711039060001</v>
      </c>
      <c r="AR56" s="110">
        <v>0.82663146273920241</v>
      </c>
      <c r="AS56" s="110">
        <v>2.7202367880462486</v>
      </c>
      <c r="AT56" s="110">
        <v>2.8811950929352514</v>
      </c>
      <c r="AU56" s="110">
        <v>1.4389971440902372</v>
      </c>
      <c r="AV56" s="110">
        <v>2.4742793906185057</v>
      </c>
      <c r="AW56" s="110">
        <v>0.62354390602019638</v>
      </c>
      <c r="AX56" s="110">
        <v>-1.853813478205546</v>
      </c>
      <c r="AY56" s="110">
        <v>-1.3762000981573874</v>
      </c>
      <c r="AZ56" s="110">
        <v>8.6563959402963242E-2</v>
      </c>
      <c r="BA56" s="110">
        <v>-0.57350927050964229</v>
      </c>
      <c r="BB56" s="110">
        <v>0.4866753375095012</v>
      </c>
      <c r="BC56" s="110">
        <v>1.2590056476467604</v>
      </c>
      <c r="BD56" s="110">
        <v>3.3881849961575172</v>
      </c>
      <c r="BE56" s="110">
        <v>5.534126011986884</v>
      </c>
      <c r="BF56" s="110">
        <v>3.8067953465095616</v>
      </c>
      <c r="BG56" s="110">
        <v>-0.63244602303694775</v>
      </c>
      <c r="BH56" s="110">
        <v>-0.90973096893690597</v>
      </c>
      <c r="BI56" s="110">
        <v>2.8235547770406821</v>
      </c>
      <c r="BJ56" s="110">
        <v>4.5571385612508175</v>
      </c>
      <c r="BK56" s="110">
        <v>3.5209390874383129</v>
      </c>
      <c r="BL56" s="110">
        <v>0.71045761266523844</v>
      </c>
      <c r="BM56" s="110">
        <v>1.1569633407693125E-2</v>
      </c>
      <c r="BN56" s="110">
        <v>1.2675969016004762</v>
      </c>
      <c r="BO56" s="110">
        <v>3.556809184586518</v>
      </c>
      <c r="BP56" s="110">
        <v>3.1951302074806565</v>
      </c>
      <c r="BQ56" s="110">
        <v>0.60771804550023845</v>
      </c>
      <c r="BR56" s="110">
        <v>-0.18363619354512251</v>
      </c>
      <c r="BS56" s="110">
        <v>2.2325692927976037</v>
      </c>
      <c r="BT56" s="110">
        <v>2.4188297636347666</v>
      </c>
      <c r="BU56" s="110">
        <v>3.1512720886595069</v>
      </c>
      <c r="BV56" s="110">
        <v>4.2738985830270693</v>
      </c>
    </row>
    <row r="57" spans="1:74" ht="12" customHeight="1" x14ac:dyDescent="0.2">
      <c r="A57" s="103" t="s">
        <v>50</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row>
  </sheetData>
  <mergeCells count="38">
    <mergeCell ref="BT3:BV3"/>
    <mergeCell ref="BT32:BV32"/>
    <mergeCell ref="AR32:AU32"/>
    <mergeCell ref="AR3:AU3"/>
    <mergeCell ref="BH3:BK3"/>
    <mergeCell ref="BH32:BK32"/>
    <mergeCell ref="BD3:BG3"/>
    <mergeCell ref="BD32:BG32"/>
    <mergeCell ref="AV32:AY32"/>
    <mergeCell ref="AV3:AY3"/>
    <mergeCell ref="AZ3:BC3"/>
    <mergeCell ref="AZ32:BC32"/>
    <mergeCell ref="BP3:BS3"/>
    <mergeCell ref="BP32:BS32"/>
    <mergeCell ref="BL3:BO3"/>
    <mergeCell ref="BL32:BO32"/>
    <mergeCell ref="AJ32:AM32"/>
    <mergeCell ref="AF32:AI32"/>
    <mergeCell ref="AF3:AI3"/>
    <mergeCell ref="X3:AA3"/>
    <mergeCell ref="AB3:AE3"/>
    <mergeCell ref="AB32:AE32"/>
    <mergeCell ref="AO32:AQ32"/>
    <mergeCell ref="AO3:AQ3"/>
    <mergeCell ref="B3:C3"/>
    <mergeCell ref="D3:G3"/>
    <mergeCell ref="P3:S3"/>
    <mergeCell ref="B32:C32"/>
    <mergeCell ref="D32:G32"/>
    <mergeCell ref="H32:K32"/>
    <mergeCell ref="P32:S32"/>
    <mergeCell ref="H3:K3"/>
    <mergeCell ref="L3:O3"/>
    <mergeCell ref="L32:O32"/>
    <mergeCell ref="T32:W32"/>
    <mergeCell ref="AJ3:AM3"/>
    <mergeCell ref="X32:AA32"/>
    <mergeCell ref="T3:W3"/>
  </mergeCells>
  <phoneticPr fontId="31" type="noConversion"/>
  <conditionalFormatting sqref="C35:BV56">
    <cfRule type="cellIs" dxfId="13" priority="1" operator="lessThan">
      <formula>0</formula>
    </cfRule>
    <cfRule type="cellIs" dxfId="12" priority="2" operator="lessThan">
      <formula>-40.58231656</formula>
    </cfRule>
    <cfRule type="cellIs" dxfId="11" priority="3" operator="lessThan">
      <formula>0</formula>
    </cfRule>
  </conditionalFormatting>
  <pageMargins left="0.51181102362204722" right="0" top="0.51181102362204722" bottom="0" header="0" footer="0"/>
  <pageSetup paperSize="9" scale="4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AQ56"/>
  <sheetViews>
    <sheetView view="pageBreakPreview" zoomScaleSheetLayoutView="100" workbookViewId="0">
      <selection activeCell="Z24" sqref="Z24"/>
    </sheetView>
  </sheetViews>
  <sheetFormatPr defaultColWidth="9.140625" defaultRowHeight="11.25" x14ac:dyDescent="0.2"/>
  <cols>
    <col min="1" max="1" width="28.42578125" style="35" customWidth="1"/>
    <col min="2" max="8" width="7.85546875" style="35" hidden="1" customWidth="1"/>
    <col min="9" max="23" width="6.28515625" style="35" hidden="1" customWidth="1"/>
    <col min="24" max="40" width="6.28515625" style="35" customWidth="1"/>
    <col min="41" max="41" width="7.140625" style="35" customWidth="1"/>
    <col min="42" max="43" width="6.28515625" style="35" customWidth="1"/>
    <col min="44" max="16384" width="9.140625" style="35"/>
  </cols>
  <sheetData>
    <row r="2" spans="1:43" ht="12" thickBot="1" x14ac:dyDescent="0.25">
      <c r="X2" s="37" t="s">
        <v>110</v>
      </c>
    </row>
    <row r="3" spans="1:43" s="36" customFormat="1" ht="15" customHeight="1" x14ac:dyDescent="0.2">
      <c r="B3" s="265" t="s">
        <v>67</v>
      </c>
      <c r="C3" s="265"/>
      <c r="D3" s="265" t="s">
        <v>66</v>
      </c>
      <c r="E3" s="265"/>
      <c r="F3" s="265"/>
      <c r="G3" s="265"/>
      <c r="H3" s="265" t="s">
        <v>60</v>
      </c>
      <c r="I3" s="265"/>
      <c r="J3" s="265"/>
      <c r="K3" s="265"/>
      <c r="L3" s="265" t="s">
        <v>61</v>
      </c>
      <c r="M3" s="265"/>
      <c r="N3" s="265"/>
      <c r="O3" s="265"/>
      <c r="P3" s="265" t="s">
        <v>62</v>
      </c>
      <c r="Q3" s="265"/>
      <c r="R3" s="265"/>
      <c r="S3" s="265"/>
      <c r="U3" s="265" t="s">
        <v>63</v>
      </c>
      <c r="V3" s="265"/>
      <c r="W3" s="265"/>
      <c r="X3" s="265" t="s">
        <v>64</v>
      </c>
      <c r="Y3" s="265"/>
      <c r="Z3" s="265"/>
      <c r="AA3" s="265"/>
      <c r="AB3" s="265" t="s">
        <v>65</v>
      </c>
      <c r="AC3" s="265"/>
      <c r="AD3" s="265"/>
      <c r="AE3" s="265"/>
      <c r="AF3" s="265" t="s">
        <v>77</v>
      </c>
      <c r="AG3" s="265"/>
      <c r="AH3" s="265"/>
      <c r="AI3" s="265"/>
      <c r="AJ3" s="265" t="s">
        <v>80</v>
      </c>
      <c r="AK3" s="265"/>
      <c r="AL3" s="265"/>
      <c r="AM3" s="265"/>
      <c r="AN3" s="265" t="s">
        <v>92</v>
      </c>
      <c r="AO3" s="265"/>
      <c r="AP3" s="265"/>
      <c r="AQ3" s="265"/>
    </row>
    <row r="4" spans="1:43" x14ac:dyDescent="0.2">
      <c r="A4" s="21" t="s">
        <v>99</v>
      </c>
      <c r="B4" s="38" t="s">
        <v>48</v>
      </c>
      <c r="C4" s="38" t="s">
        <v>49</v>
      </c>
      <c r="D4" s="38" t="s">
        <v>46</v>
      </c>
      <c r="E4" s="38" t="s">
        <v>47</v>
      </c>
      <c r="F4" s="38" t="s">
        <v>48</v>
      </c>
      <c r="G4" s="38" t="s">
        <v>49</v>
      </c>
      <c r="H4" s="38" t="s">
        <v>46</v>
      </c>
      <c r="I4" s="38" t="s">
        <v>47</v>
      </c>
      <c r="J4" s="38" t="s">
        <v>48</v>
      </c>
      <c r="K4" s="38" t="s">
        <v>49</v>
      </c>
      <c r="L4" s="38" t="s">
        <v>46</v>
      </c>
      <c r="M4" s="38" t="s">
        <v>47</v>
      </c>
      <c r="N4" s="38" t="s">
        <v>48</v>
      </c>
      <c r="O4" s="38" t="s">
        <v>49</v>
      </c>
      <c r="P4" s="38" t="s">
        <v>46</v>
      </c>
      <c r="Q4" s="38" t="s">
        <v>47</v>
      </c>
      <c r="R4" s="38" t="s">
        <v>48</v>
      </c>
      <c r="S4" s="38" t="s">
        <v>49</v>
      </c>
      <c r="T4" s="38" t="s">
        <v>46</v>
      </c>
      <c r="U4" s="38" t="s">
        <v>47</v>
      </c>
      <c r="V4" s="38" t="s">
        <v>48</v>
      </c>
      <c r="W4" s="38" t="s">
        <v>49</v>
      </c>
      <c r="X4" s="38" t="s">
        <v>46</v>
      </c>
      <c r="Y4" s="38" t="s">
        <v>47</v>
      </c>
      <c r="Z4" s="38" t="s">
        <v>48</v>
      </c>
      <c r="AA4" s="38" t="s">
        <v>49</v>
      </c>
      <c r="AB4" s="38" t="s">
        <v>46</v>
      </c>
      <c r="AC4" s="38" t="s">
        <v>47</v>
      </c>
      <c r="AD4" s="38" t="s">
        <v>48</v>
      </c>
      <c r="AE4" s="38" t="s">
        <v>49</v>
      </c>
      <c r="AF4" s="38" t="s">
        <v>46</v>
      </c>
      <c r="AG4" s="38" t="s">
        <v>47</v>
      </c>
      <c r="AH4" s="38" t="s">
        <v>48</v>
      </c>
      <c r="AI4" s="38" t="s">
        <v>49</v>
      </c>
      <c r="AJ4" s="38" t="s">
        <v>46</v>
      </c>
      <c r="AK4" s="38" t="s">
        <v>47</v>
      </c>
      <c r="AL4" s="38" t="s">
        <v>48</v>
      </c>
      <c r="AM4" s="38" t="s">
        <v>49</v>
      </c>
      <c r="AN4" s="50" t="s">
        <v>46</v>
      </c>
      <c r="AO4" s="50" t="s">
        <v>47</v>
      </c>
      <c r="AP4" s="50" t="s">
        <v>48</v>
      </c>
      <c r="AQ4" s="50" t="s">
        <v>49</v>
      </c>
    </row>
    <row r="5" spans="1:43" ht="11.1" customHeight="1" x14ac:dyDescent="0.2">
      <c r="A5" s="37" t="s">
        <v>101</v>
      </c>
      <c r="AF5" s="45"/>
      <c r="AG5" s="45"/>
      <c r="AH5" s="45"/>
      <c r="AI5" s="45"/>
    </row>
    <row r="6" spans="1:43" ht="11.1" customHeight="1" x14ac:dyDescent="0.2">
      <c r="A6" s="39" t="s">
        <v>0</v>
      </c>
      <c r="B6" s="47" t="e">
        <f>#REF!/Summary!B6*100</f>
        <v>#REF!</v>
      </c>
      <c r="C6" s="47" t="e">
        <f>#REF!/Summary!C6*100</f>
        <v>#REF!</v>
      </c>
      <c r="D6" s="47" t="e">
        <f>#REF!/Summary!D6*100</f>
        <v>#REF!</v>
      </c>
      <c r="E6" s="47" t="e">
        <f>#REF!/Summary!E6*100</f>
        <v>#REF!</v>
      </c>
      <c r="F6" s="47" t="e">
        <f>#REF!/Summary!F6*100</f>
        <v>#REF!</v>
      </c>
      <c r="G6" s="47" t="e">
        <f>#REF!/Summary!G6*100</f>
        <v>#REF!</v>
      </c>
      <c r="H6" s="47" t="e">
        <f>#REF!/Summary!H6*100</f>
        <v>#REF!</v>
      </c>
      <c r="I6" s="47" t="e">
        <f>#REF!/Summary!I6*100</f>
        <v>#REF!</v>
      </c>
      <c r="J6" s="47" t="e">
        <f>#REF!/Summary!J6*100</f>
        <v>#REF!</v>
      </c>
      <c r="K6" s="47" t="e">
        <f>#REF!/Summary!K6*100</f>
        <v>#REF!</v>
      </c>
      <c r="L6" s="47" t="e">
        <f>#REF!/Summary!L6*100</f>
        <v>#REF!</v>
      </c>
      <c r="M6" s="47" t="e">
        <f>#REF!/Summary!M6*100</f>
        <v>#REF!</v>
      </c>
      <c r="N6" s="47" t="e">
        <f>#REF!/Summary!N6*100</f>
        <v>#REF!</v>
      </c>
      <c r="O6" s="47" t="e">
        <f>#REF!/Summary!O6*100</f>
        <v>#REF!</v>
      </c>
      <c r="P6" s="47" t="e">
        <f>#REF!/Summary!P6*100</f>
        <v>#REF!</v>
      </c>
      <c r="Q6" s="47" t="e">
        <f>#REF!/Summary!Q6*100</f>
        <v>#REF!</v>
      </c>
      <c r="R6" s="47" t="e">
        <f>#REF!/Summary!R6*100</f>
        <v>#REF!</v>
      </c>
      <c r="S6" s="47" t="e">
        <f>#REF!/Summary!S6*100</f>
        <v>#REF!</v>
      </c>
      <c r="T6" s="47" t="e">
        <f>#REF!/Summary!T6*100</f>
        <v>#REF!</v>
      </c>
      <c r="U6" s="47" t="e">
        <f>#REF!/Summary!U6*100</f>
        <v>#REF!</v>
      </c>
      <c r="V6" s="47" t="e">
        <f>#REF!/Summary!V6*100</f>
        <v>#REF!</v>
      </c>
      <c r="W6" s="47" t="e">
        <f>#REF!/Summary!W6*100</f>
        <v>#REF!</v>
      </c>
      <c r="X6" s="47" t="e">
        <f>#REF!/Summary!X6*100</f>
        <v>#REF!</v>
      </c>
      <c r="Y6" s="47" t="e">
        <f>#REF!/Summary!Y6*100</f>
        <v>#REF!</v>
      </c>
      <c r="Z6" s="47" t="e">
        <f>#REF!/Summary!Z6*100</f>
        <v>#REF!</v>
      </c>
      <c r="AA6" s="47" t="e">
        <f>#REF!/Summary!AA6*100</f>
        <v>#REF!</v>
      </c>
      <c r="AB6" s="47" t="e">
        <f>#REF!/Summary!AB6*100</f>
        <v>#REF!</v>
      </c>
      <c r="AC6" s="47" t="e">
        <f>#REF!/Summary!AC6*100</f>
        <v>#REF!</v>
      </c>
      <c r="AD6" s="47" t="e">
        <f>#REF!/Summary!AD6*100</f>
        <v>#REF!</v>
      </c>
      <c r="AE6" s="47" t="e">
        <f>#REF!/Summary!AE6*100</f>
        <v>#REF!</v>
      </c>
      <c r="AF6" s="41" t="e">
        <f>#REF!/Summary!AF6*100</f>
        <v>#REF!</v>
      </c>
      <c r="AG6" s="41" t="e">
        <f>#REF!/Summary!AG6*100</f>
        <v>#REF!</v>
      </c>
      <c r="AH6" s="41" t="e">
        <f>#REF!/Summary!AH6*100</f>
        <v>#REF!</v>
      </c>
      <c r="AI6" s="41" t="e">
        <f>#REF!/Summary!AI6*100</f>
        <v>#REF!</v>
      </c>
      <c r="AJ6" s="41" t="e">
        <f>#REF!/Summary!AJ6*100</f>
        <v>#REF!</v>
      </c>
      <c r="AK6" s="41" t="e">
        <f>#REF!/Summary!AK6*100</f>
        <v>#REF!</v>
      </c>
      <c r="AL6" s="41" t="e">
        <f>#REF!/Summary!AL6*100</f>
        <v>#REF!</v>
      </c>
      <c r="AM6" s="41" t="e">
        <f>#REF!/Summary!AM6*100</f>
        <v>#REF!</v>
      </c>
      <c r="AN6" s="41" t="e">
        <f>#REF!/Summary!AN6*100</f>
        <v>#REF!</v>
      </c>
      <c r="AO6" s="41" t="e">
        <f>#REF!/Summary!AO6*100</f>
        <v>#REF!</v>
      </c>
      <c r="AP6" s="41" t="e">
        <f>#REF!/Summary!AP6*100</f>
        <v>#REF!</v>
      </c>
      <c r="AQ6" s="41" t="e">
        <f>#REF!/Summary!AQ6*100</f>
        <v>#REF!</v>
      </c>
    </row>
    <row r="7" spans="1:43" ht="11.1" customHeight="1" x14ac:dyDescent="0.2">
      <c r="A7" s="40" t="s">
        <v>70</v>
      </c>
      <c r="B7" s="47" t="e">
        <f>#REF!/Summary!B7*100</f>
        <v>#REF!</v>
      </c>
      <c r="C7" s="47" t="e">
        <f>#REF!/Summary!C7*100</f>
        <v>#REF!</v>
      </c>
      <c r="D7" s="47" t="e">
        <f>#REF!/Summary!D7*100</f>
        <v>#REF!</v>
      </c>
      <c r="E7" s="47" t="e">
        <f>#REF!/Summary!E7*100</f>
        <v>#REF!</v>
      </c>
      <c r="F7" s="47" t="e">
        <f>#REF!/Summary!F7*100</f>
        <v>#REF!</v>
      </c>
      <c r="G7" s="47" t="e">
        <f>#REF!/Summary!G7*100</f>
        <v>#REF!</v>
      </c>
      <c r="H7" s="47" t="e">
        <f>#REF!/Summary!H7*100</f>
        <v>#REF!</v>
      </c>
      <c r="I7" s="47" t="e">
        <f>#REF!/Summary!I7*100</f>
        <v>#REF!</v>
      </c>
      <c r="J7" s="47" t="e">
        <f>#REF!/Summary!J7*100</f>
        <v>#REF!</v>
      </c>
      <c r="K7" s="47" t="e">
        <f>#REF!/Summary!K7*100</f>
        <v>#REF!</v>
      </c>
      <c r="L7" s="47" t="e">
        <f>#REF!/Summary!L7*100</f>
        <v>#REF!</v>
      </c>
      <c r="M7" s="47" t="e">
        <f>#REF!/Summary!M7*100</f>
        <v>#REF!</v>
      </c>
      <c r="N7" s="47" t="e">
        <f>#REF!/Summary!N7*100</f>
        <v>#REF!</v>
      </c>
      <c r="O7" s="47" t="e">
        <f>#REF!/Summary!O7*100</f>
        <v>#REF!</v>
      </c>
      <c r="P7" s="47" t="e">
        <f>#REF!/Summary!P7*100</f>
        <v>#REF!</v>
      </c>
      <c r="Q7" s="47" t="e">
        <f>#REF!/Summary!Q7*100</f>
        <v>#REF!</v>
      </c>
      <c r="R7" s="47" t="e">
        <f>#REF!/Summary!R7*100</f>
        <v>#REF!</v>
      </c>
      <c r="S7" s="47" t="e">
        <f>#REF!/Summary!S7*100</f>
        <v>#REF!</v>
      </c>
      <c r="T7" s="47" t="e">
        <f>#REF!/Summary!T7*100</f>
        <v>#REF!</v>
      </c>
      <c r="U7" s="47" t="e">
        <f>#REF!/Summary!U7*100</f>
        <v>#REF!</v>
      </c>
      <c r="V7" s="47" t="e">
        <f>#REF!/Summary!V7*100</f>
        <v>#REF!</v>
      </c>
      <c r="W7" s="47" t="e">
        <f>#REF!/Summary!W7*100</f>
        <v>#REF!</v>
      </c>
      <c r="X7" s="47" t="e">
        <f>#REF!/Summary!X7*100</f>
        <v>#REF!</v>
      </c>
      <c r="Y7" s="47" t="e">
        <f>#REF!/Summary!Y7*100</f>
        <v>#REF!</v>
      </c>
      <c r="Z7" s="47" t="e">
        <f>#REF!/Summary!Z7*100</f>
        <v>#REF!</v>
      </c>
      <c r="AA7" s="47" t="e">
        <f>#REF!/Summary!AA7*100</f>
        <v>#REF!</v>
      </c>
      <c r="AB7" s="47" t="e">
        <f>#REF!/Summary!AB7*100</f>
        <v>#REF!</v>
      </c>
      <c r="AC7" s="47" t="e">
        <f>#REF!/Summary!AC7*100</f>
        <v>#REF!</v>
      </c>
      <c r="AD7" s="47" t="e">
        <f>#REF!/Summary!AD7*100</f>
        <v>#REF!</v>
      </c>
      <c r="AE7" s="47" t="e">
        <f>#REF!/Summary!AE7*100</f>
        <v>#REF!</v>
      </c>
      <c r="AF7" s="41" t="e">
        <f>#REF!/Summary!AF7*100</f>
        <v>#REF!</v>
      </c>
      <c r="AG7" s="41" t="e">
        <f>#REF!/Summary!AG7*100</f>
        <v>#REF!</v>
      </c>
      <c r="AH7" s="41" t="e">
        <f>#REF!/Summary!AH7*100</f>
        <v>#REF!</v>
      </c>
      <c r="AI7" s="41" t="e">
        <f>#REF!/Summary!AI7*100</f>
        <v>#REF!</v>
      </c>
      <c r="AJ7" s="41" t="e">
        <f>#REF!/Summary!AJ7*100</f>
        <v>#REF!</v>
      </c>
      <c r="AK7" s="41" t="e">
        <f>#REF!/Summary!AK7*100</f>
        <v>#REF!</v>
      </c>
      <c r="AL7" s="41" t="e">
        <f>#REF!/Summary!AL7*100</f>
        <v>#REF!</v>
      </c>
      <c r="AM7" s="41" t="e">
        <f>#REF!/Summary!AM7*100</f>
        <v>#REF!</v>
      </c>
      <c r="AN7" s="41" t="e">
        <f>#REF!/Summary!AN7*100</f>
        <v>#REF!</v>
      </c>
      <c r="AO7" s="41" t="e">
        <f>#REF!/Summary!AO7*100</f>
        <v>#REF!</v>
      </c>
      <c r="AP7" s="41" t="e">
        <f>#REF!/Summary!AP7*100</f>
        <v>#REF!</v>
      </c>
      <c r="AQ7" s="41" t="e">
        <f>#REF!/Summary!AQ7*100</f>
        <v>#REF!</v>
      </c>
    </row>
    <row r="8" spans="1:43" ht="11.1" customHeight="1" x14ac:dyDescent="0.2">
      <c r="A8" s="40" t="s">
        <v>7</v>
      </c>
      <c r="B8" s="47" t="e">
        <f>#REF!/Summary!B8*100</f>
        <v>#REF!</v>
      </c>
      <c r="C8" s="47" t="e">
        <f>#REF!/Summary!C8*100</f>
        <v>#REF!</v>
      </c>
      <c r="D8" s="47" t="e">
        <f>#REF!/Summary!D8*100</f>
        <v>#REF!</v>
      </c>
      <c r="E8" s="47" t="e">
        <f>#REF!/Summary!E8*100</f>
        <v>#REF!</v>
      </c>
      <c r="F8" s="47" t="e">
        <f>#REF!/Summary!F8*100</f>
        <v>#REF!</v>
      </c>
      <c r="G8" s="47" t="e">
        <f>#REF!/Summary!G8*100</f>
        <v>#REF!</v>
      </c>
      <c r="H8" s="47" t="e">
        <f>#REF!/Summary!H8*100</f>
        <v>#REF!</v>
      </c>
      <c r="I8" s="47" t="e">
        <f>#REF!/Summary!I8*100</f>
        <v>#REF!</v>
      </c>
      <c r="J8" s="47" t="e">
        <f>#REF!/Summary!J8*100</f>
        <v>#REF!</v>
      </c>
      <c r="K8" s="47" t="e">
        <f>#REF!/Summary!K8*100</f>
        <v>#REF!</v>
      </c>
      <c r="L8" s="47" t="e">
        <f>#REF!/Summary!L8*100</f>
        <v>#REF!</v>
      </c>
      <c r="M8" s="47" t="e">
        <f>#REF!/Summary!M8*100</f>
        <v>#REF!</v>
      </c>
      <c r="N8" s="47" t="e">
        <f>#REF!/Summary!N8*100</f>
        <v>#REF!</v>
      </c>
      <c r="O8" s="47" t="e">
        <f>#REF!/Summary!O8*100</f>
        <v>#REF!</v>
      </c>
      <c r="P8" s="47" t="e">
        <f>#REF!/Summary!P8*100</f>
        <v>#REF!</v>
      </c>
      <c r="Q8" s="47" t="e">
        <f>#REF!/Summary!Q8*100</f>
        <v>#REF!</v>
      </c>
      <c r="R8" s="47" t="e">
        <f>#REF!/Summary!R8*100</f>
        <v>#REF!</v>
      </c>
      <c r="S8" s="47" t="e">
        <f>#REF!/Summary!S8*100</f>
        <v>#REF!</v>
      </c>
      <c r="T8" s="47" t="e">
        <f>#REF!/Summary!T8*100</f>
        <v>#REF!</v>
      </c>
      <c r="U8" s="47" t="e">
        <f>#REF!/Summary!U8*100</f>
        <v>#REF!</v>
      </c>
      <c r="V8" s="47" t="e">
        <f>#REF!/Summary!V8*100</f>
        <v>#REF!</v>
      </c>
      <c r="W8" s="47" t="e">
        <f>#REF!/Summary!W8*100</f>
        <v>#REF!</v>
      </c>
      <c r="X8" s="47" t="e">
        <f>#REF!/Summary!X8*100</f>
        <v>#REF!</v>
      </c>
      <c r="Y8" s="47" t="e">
        <f>#REF!/Summary!Y8*100</f>
        <v>#REF!</v>
      </c>
      <c r="Z8" s="47" t="e">
        <f>#REF!/Summary!Z8*100</f>
        <v>#REF!</v>
      </c>
      <c r="AA8" s="47" t="e">
        <f>#REF!/Summary!AA8*100</f>
        <v>#REF!</v>
      </c>
      <c r="AB8" s="47" t="e">
        <f>#REF!/Summary!AB8*100</f>
        <v>#REF!</v>
      </c>
      <c r="AC8" s="47" t="e">
        <f>#REF!/Summary!AC8*100</f>
        <v>#REF!</v>
      </c>
      <c r="AD8" s="47" t="e">
        <f>#REF!/Summary!AD8*100</f>
        <v>#REF!</v>
      </c>
      <c r="AE8" s="47" t="e">
        <f>#REF!/Summary!AE8*100</f>
        <v>#REF!</v>
      </c>
      <c r="AF8" s="41" t="e">
        <f>#REF!/Summary!AF8*100</f>
        <v>#REF!</v>
      </c>
      <c r="AG8" s="41" t="e">
        <f>#REF!/Summary!AG8*100</f>
        <v>#REF!</v>
      </c>
      <c r="AH8" s="41" t="e">
        <f>#REF!/Summary!AH8*100</f>
        <v>#REF!</v>
      </c>
      <c r="AI8" s="41" t="e">
        <f>#REF!/Summary!AI8*100</f>
        <v>#REF!</v>
      </c>
      <c r="AJ8" s="41" t="e">
        <f>#REF!/Summary!AJ8*100</f>
        <v>#REF!</v>
      </c>
      <c r="AK8" s="41" t="e">
        <f>#REF!/Summary!AK8*100</f>
        <v>#REF!</v>
      </c>
      <c r="AL8" s="41" t="e">
        <f>#REF!/Summary!AL8*100</f>
        <v>#REF!</v>
      </c>
      <c r="AM8" s="41" t="e">
        <f>#REF!/Summary!AM8*100</f>
        <v>#REF!</v>
      </c>
      <c r="AN8" s="41" t="e">
        <f>#REF!/Summary!AN8*100</f>
        <v>#REF!</v>
      </c>
      <c r="AO8" s="41" t="e">
        <f>#REF!/Summary!AO8*100</f>
        <v>#REF!</v>
      </c>
      <c r="AP8" s="41" t="e">
        <f>#REF!/Summary!AP8*100</f>
        <v>#REF!</v>
      </c>
      <c r="AQ8" s="41" t="e">
        <f>#REF!/Summary!AQ8*100</f>
        <v>#REF!</v>
      </c>
    </row>
    <row r="9" spans="1:43" ht="11.1" customHeight="1" x14ac:dyDescent="0.2">
      <c r="A9" s="40" t="s">
        <v>13</v>
      </c>
      <c r="B9" s="47" t="e">
        <f>#REF!/Summary!B9*100</f>
        <v>#REF!</v>
      </c>
      <c r="C9" s="47" t="e">
        <f>#REF!/Summary!C9*100</f>
        <v>#REF!</v>
      </c>
      <c r="D9" s="47" t="e">
        <f>#REF!/Summary!D9*100</f>
        <v>#REF!</v>
      </c>
      <c r="E9" s="47" t="e">
        <f>#REF!/Summary!E9*100</f>
        <v>#REF!</v>
      </c>
      <c r="F9" s="47" t="e">
        <f>#REF!/Summary!F9*100</f>
        <v>#REF!</v>
      </c>
      <c r="G9" s="47" t="e">
        <f>#REF!/Summary!G9*100</f>
        <v>#REF!</v>
      </c>
      <c r="H9" s="47" t="e">
        <f>#REF!/Summary!H9*100</f>
        <v>#REF!</v>
      </c>
      <c r="I9" s="47" t="e">
        <f>#REF!/Summary!I9*100</f>
        <v>#REF!</v>
      </c>
      <c r="J9" s="47" t="e">
        <f>#REF!/Summary!J9*100</f>
        <v>#REF!</v>
      </c>
      <c r="K9" s="47" t="e">
        <f>#REF!/Summary!K9*100</f>
        <v>#REF!</v>
      </c>
      <c r="L9" s="47" t="e">
        <f>#REF!/Summary!L9*100</f>
        <v>#REF!</v>
      </c>
      <c r="M9" s="47" t="e">
        <f>#REF!/Summary!M9*100</f>
        <v>#REF!</v>
      </c>
      <c r="N9" s="47" t="e">
        <f>#REF!/Summary!N9*100</f>
        <v>#REF!</v>
      </c>
      <c r="O9" s="47" t="e">
        <f>#REF!/Summary!O9*100</f>
        <v>#REF!</v>
      </c>
      <c r="P9" s="47" t="e">
        <f>#REF!/Summary!P9*100</f>
        <v>#REF!</v>
      </c>
      <c r="Q9" s="47" t="e">
        <f>#REF!/Summary!Q9*100</f>
        <v>#REF!</v>
      </c>
      <c r="R9" s="47" t="e">
        <f>#REF!/Summary!R9*100</f>
        <v>#REF!</v>
      </c>
      <c r="S9" s="47" t="e">
        <f>#REF!/Summary!S9*100</f>
        <v>#REF!</v>
      </c>
      <c r="T9" s="47" t="e">
        <f>#REF!/Summary!T9*100</f>
        <v>#REF!</v>
      </c>
      <c r="U9" s="47" t="e">
        <f>#REF!/Summary!U9*100</f>
        <v>#REF!</v>
      </c>
      <c r="V9" s="47" t="e">
        <f>#REF!/Summary!V9*100</f>
        <v>#REF!</v>
      </c>
      <c r="W9" s="47" t="e">
        <f>#REF!/Summary!W9*100</f>
        <v>#REF!</v>
      </c>
      <c r="X9" s="47" t="e">
        <f>#REF!/Summary!X9*100</f>
        <v>#REF!</v>
      </c>
      <c r="Y9" s="47" t="e">
        <f>#REF!/Summary!Y9*100</f>
        <v>#REF!</v>
      </c>
      <c r="Z9" s="47" t="e">
        <f>#REF!/Summary!Z9*100</f>
        <v>#REF!</v>
      </c>
      <c r="AA9" s="47" t="e">
        <f>#REF!/Summary!AA9*100</f>
        <v>#REF!</v>
      </c>
      <c r="AB9" s="47" t="e">
        <f>#REF!/Summary!AB9*100</f>
        <v>#REF!</v>
      </c>
      <c r="AC9" s="47" t="e">
        <f>#REF!/Summary!AC9*100</f>
        <v>#REF!</v>
      </c>
      <c r="AD9" s="47" t="e">
        <f>#REF!/Summary!AD9*100</f>
        <v>#REF!</v>
      </c>
      <c r="AE9" s="47" t="e">
        <f>#REF!/Summary!AE9*100</f>
        <v>#REF!</v>
      </c>
      <c r="AF9" s="41" t="e">
        <f>#REF!/Summary!AF9*100</f>
        <v>#REF!</v>
      </c>
      <c r="AG9" s="41" t="e">
        <f>#REF!/Summary!AG9*100</f>
        <v>#REF!</v>
      </c>
      <c r="AH9" s="41" t="e">
        <f>#REF!/Summary!AH9*100</f>
        <v>#REF!</v>
      </c>
      <c r="AI9" s="41" t="e">
        <f>#REF!/Summary!AI9*100</f>
        <v>#REF!</v>
      </c>
      <c r="AJ9" s="41" t="e">
        <f>#REF!/Summary!AJ9*100</f>
        <v>#REF!</v>
      </c>
      <c r="AK9" s="41" t="e">
        <f>#REF!/Summary!AK9*100</f>
        <v>#REF!</v>
      </c>
      <c r="AL9" s="41" t="e">
        <f>#REF!/Summary!AL9*100</f>
        <v>#REF!</v>
      </c>
      <c r="AM9" s="41" t="e">
        <f>#REF!/Summary!AM9*100</f>
        <v>#REF!</v>
      </c>
      <c r="AN9" s="41" t="e">
        <f>#REF!/Summary!AN9*100</f>
        <v>#REF!</v>
      </c>
      <c r="AO9" s="41" t="e">
        <f>#REF!/Summary!AO9*100</f>
        <v>#REF!</v>
      </c>
      <c r="AP9" s="41" t="e">
        <f>#REF!/Summary!AP9*100</f>
        <v>#REF!</v>
      </c>
      <c r="AQ9" s="41" t="e">
        <f>#REF!/Summary!AQ9*100</f>
        <v>#REF!</v>
      </c>
    </row>
    <row r="10" spans="1:43" ht="11.1" customHeight="1" x14ac:dyDescent="0.2">
      <c r="A10" s="39" t="s">
        <v>18</v>
      </c>
      <c r="AF10" s="45"/>
      <c r="AG10" s="45"/>
      <c r="AH10" s="45"/>
      <c r="AI10" s="45"/>
      <c r="AJ10" s="45"/>
      <c r="AK10" s="45"/>
      <c r="AL10" s="45"/>
      <c r="AM10" s="45"/>
      <c r="AN10" s="45"/>
      <c r="AO10" s="45"/>
      <c r="AP10" s="45"/>
      <c r="AQ10" s="45"/>
    </row>
    <row r="11" spans="1:43" ht="11.1" customHeight="1" x14ac:dyDescent="0.2">
      <c r="A11" s="42" t="s">
        <v>19</v>
      </c>
      <c r="B11" s="47" t="e">
        <f>#REF!/Summary!B11*100</f>
        <v>#REF!</v>
      </c>
      <c r="C11" s="47" t="e">
        <f>#REF!/Summary!C11*100</f>
        <v>#REF!</v>
      </c>
      <c r="D11" s="47" t="e">
        <f>#REF!/Summary!D11*100</f>
        <v>#REF!</v>
      </c>
      <c r="E11" s="47" t="e">
        <f>#REF!/Summary!E11*100</f>
        <v>#REF!</v>
      </c>
      <c r="F11" s="47" t="e">
        <f>#REF!/Summary!F11*100</f>
        <v>#REF!</v>
      </c>
      <c r="G11" s="47" t="e">
        <f>#REF!/Summary!G11*100</f>
        <v>#REF!</v>
      </c>
      <c r="H11" s="47" t="e">
        <f>#REF!/Summary!H11*100</f>
        <v>#REF!</v>
      </c>
      <c r="I11" s="47" t="e">
        <f>#REF!/Summary!I11*100</f>
        <v>#REF!</v>
      </c>
      <c r="J11" s="47" t="e">
        <f>#REF!/Summary!J11*100</f>
        <v>#REF!</v>
      </c>
      <c r="K11" s="47" t="e">
        <f>#REF!/Summary!K11*100</f>
        <v>#REF!</v>
      </c>
      <c r="L11" s="47" t="e">
        <f>#REF!/Summary!L11*100</f>
        <v>#REF!</v>
      </c>
      <c r="M11" s="47" t="e">
        <f>#REF!/Summary!M11*100</f>
        <v>#REF!</v>
      </c>
      <c r="N11" s="47" t="e">
        <f>#REF!/Summary!N11*100</f>
        <v>#REF!</v>
      </c>
      <c r="O11" s="47" t="e">
        <f>#REF!/Summary!O11*100</f>
        <v>#REF!</v>
      </c>
      <c r="P11" s="47" t="e">
        <f>#REF!/Summary!P11*100</f>
        <v>#REF!</v>
      </c>
      <c r="Q11" s="47" t="e">
        <f>#REF!/Summary!Q11*100</f>
        <v>#REF!</v>
      </c>
      <c r="R11" s="47" t="e">
        <f>#REF!/Summary!R11*100</f>
        <v>#REF!</v>
      </c>
      <c r="S11" s="47" t="e">
        <f>#REF!/Summary!S11*100</f>
        <v>#REF!</v>
      </c>
      <c r="T11" s="47" t="e">
        <f>#REF!/Summary!T11*100</f>
        <v>#REF!</v>
      </c>
      <c r="U11" s="47" t="e">
        <f>#REF!/Summary!U11*100</f>
        <v>#REF!</v>
      </c>
      <c r="V11" s="47" t="e">
        <f>#REF!/Summary!V11*100</f>
        <v>#REF!</v>
      </c>
      <c r="W11" s="47" t="e">
        <f>#REF!/Summary!W11*100</f>
        <v>#REF!</v>
      </c>
      <c r="X11" s="47" t="e">
        <f>#REF!/Summary!X11*100</f>
        <v>#REF!</v>
      </c>
      <c r="Y11" s="47" t="e">
        <f>#REF!/Summary!Y11*100</f>
        <v>#REF!</v>
      </c>
      <c r="Z11" s="47" t="e">
        <f>#REF!/Summary!Z11*100</f>
        <v>#REF!</v>
      </c>
      <c r="AA11" s="47" t="e">
        <f>#REF!/Summary!AA11*100</f>
        <v>#REF!</v>
      </c>
      <c r="AB11" s="47" t="e">
        <f>#REF!/Summary!AB11*100</f>
        <v>#REF!</v>
      </c>
      <c r="AC11" s="47" t="e">
        <f>#REF!/Summary!AC11*100</f>
        <v>#REF!</v>
      </c>
      <c r="AD11" s="47" t="e">
        <f>#REF!/Summary!AD11*100</f>
        <v>#REF!</v>
      </c>
      <c r="AE11" s="47" t="e">
        <f>#REF!/Summary!AE11*100</f>
        <v>#REF!</v>
      </c>
      <c r="AF11" s="41" t="e">
        <f>#REF!/Summary!AF11*100</f>
        <v>#REF!</v>
      </c>
      <c r="AG11" s="41" t="e">
        <f>#REF!/Summary!AG11*100</f>
        <v>#REF!</v>
      </c>
      <c r="AH11" s="41" t="e">
        <f>#REF!/Summary!AH11*100</f>
        <v>#REF!</v>
      </c>
      <c r="AI11" s="41" t="e">
        <f>#REF!/Summary!AI11*100</f>
        <v>#REF!</v>
      </c>
      <c r="AJ11" s="41" t="e">
        <f>#REF!/Summary!AJ11*100</f>
        <v>#REF!</v>
      </c>
      <c r="AK11" s="41" t="e">
        <f>#REF!/Summary!AK11*100</f>
        <v>#REF!</v>
      </c>
      <c r="AL11" s="41" t="e">
        <f>#REF!/Summary!AL11*100</f>
        <v>#REF!</v>
      </c>
      <c r="AM11" s="41" t="e">
        <f>#REF!/Summary!AM11*100</f>
        <v>#REF!</v>
      </c>
      <c r="AN11" s="41" t="e">
        <f>#REF!/Summary!AN11*100</f>
        <v>#REF!</v>
      </c>
      <c r="AO11" s="41" t="e">
        <f>#REF!/Summary!AO11*100</f>
        <v>#REF!</v>
      </c>
      <c r="AP11" s="41" t="e">
        <f>#REF!/Summary!AP11*100</f>
        <v>#REF!</v>
      </c>
      <c r="AQ11" s="41" t="e">
        <f>#REF!/Summary!AQ11*100</f>
        <v>#REF!</v>
      </c>
    </row>
    <row r="12" spans="1:43" x14ac:dyDescent="0.2">
      <c r="A12" s="57"/>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9"/>
      <c r="AO12" s="59"/>
      <c r="AP12" s="59"/>
      <c r="AQ12" s="59"/>
    </row>
    <row r="13" spans="1:43" ht="11.1" customHeight="1" x14ac:dyDescent="0.2">
      <c r="A13" s="37" t="s">
        <v>102</v>
      </c>
    </row>
    <row r="14" spans="1:43" ht="11.1" customHeight="1" x14ac:dyDescent="0.2">
      <c r="A14" s="39" t="s">
        <v>0</v>
      </c>
      <c r="B14" s="47" t="e">
        <f>#REF!/Summary!B14*100</f>
        <v>#REF!</v>
      </c>
      <c r="C14" s="47" t="e">
        <f>#REF!/Summary!C14*100</f>
        <v>#REF!</v>
      </c>
      <c r="D14" s="47" t="e">
        <f>#REF!/Summary!D14*100</f>
        <v>#REF!</v>
      </c>
      <c r="E14" s="47" t="e">
        <f>#REF!/Summary!E14*100</f>
        <v>#REF!</v>
      </c>
      <c r="F14" s="47" t="e">
        <f>#REF!/Summary!F14*100</f>
        <v>#REF!</v>
      </c>
      <c r="G14" s="47" t="e">
        <f>#REF!/Summary!G14*100</f>
        <v>#REF!</v>
      </c>
      <c r="H14" s="47" t="e">
        <f>#REF!/Summary!H14*100</f>
        <v>#REF!</v>
      </c>
      <c r="I14" s="47" t="e">
        <f>#REF!/Summary!I14*100</f>
        <v>#REF!</v>
      </c>
      <c r="J14" s="47" t="e">
        <f>#REF!/Summary!J14*100</f>
        <v>#REF!</v>
      </c>
      <c r="K14" s="47" t="e">
        <f>#REF!/Summary!K14*100</f>
        <v>#REF!</v>
      </c>
      <c r="L14" s="47" t="e">
        <f>#REF!/Summary!L14*100</f>
        <v>#REF!</v>
      </c>
      <c r="M14" s="47" t="e">
        <f>#REF!/Summary!M14*100</f>
        <v>#REF!</v>
      </c>
      <c r="N14" s="47" t="e">
        <f>#REF!/Summary!N14*100</f>
        <v>#REF!</v>
      </c>
      <c r="O14" s="47" t="e">
        <f>#REF!/Summary!O14*100</f>
        <v>#REF!</v>
      </c>
      <c r="P14" s="47" t="e">
        <f>#REF!/Summary!P14*100</f>
        <v>#REF!</v>
      </c>
      <c r="Q14" s="47" t="e">
        <f>#REF!/Summary!Q14*100</f>
        <v>#REF!</v>
      </c>
      <c r="R14" s="47" t="e">
        <f>#REF!/Summary!R14*100</f>
        <v>#REF!</v>
      </c>
      <c r="S14" s="47" t="e">
        <f>#REF!/Summary!S14*100</f>
        <v>#REF!</v>
      </c>
      <c r="T14" s="47" t="e">
        <f>#REF!/Summary!T14*100</f>
        <v>#REF!</v>
      </c>
      <c r="U14" s="47" t="e">
        <f>#REF!/Summary!U14*100</f>
        <v>#REF!</v>
      </c>
      <c r="V14" s="47" t="e">
        <f>#REF!/Summary!V14*100</f>
        <v>#REF!</v>
      </c>
      <c r="W14" s="47" t="e">
        <f>#REF!/Summary!W14*100</f>
        <v>#REF!</v>
      </c>
      <c r="X14" s="47" t="e">
        <f>#REF!/Summary!X14*100</f>
        <v>#REF!</v>
      </c>
      <c r="Y14" s="47" t="e">
        <f>#REF!/Summary!Y14*100</f>
        <v>#REF!</v>
      </c>
      <c r="Z14" s="47" t="e">
        <f>#REF!/Summary!Z14*100</f>
        <v>#REF!</v>
      </c>
      <c r="AA14" s="47" t="e">
        <f>#REF!/Summary!AA14*100</f>
        <v>#REF!</v>
      </c>
      <c r="AB14" s="47" t="e">
        <f>#REF!/Summary!AB14*100</f>
        <v>#REF!</v>
      </c>
      <c r="AC14" s="47" t="e">
        <f>#REF!/Summary!AC14*100</f>
        <v>#REF!</v>
      </c>
      <c r="AD14" s="47" t="e">
        <f>#REF!/Summary!AD14*100</f>
        <v>#REF!</v>
      </c>
      <c r="AE14" s="47" t="e">
        <f>#REF!/Summary!AE14*100</f>
        <v>#REF!</v>
      </c>
      <c r="AF14" s="41" t="e">
        <f>#REF!/Summary!AF14*100</f>
        <v>#REF!</v>
      </c>
      <c r="AG14" s="41" t="e">
        <f>#REF!/Summary!AG14*100</f>
        <v>#REF!</v>
      </c>
      <c r="AH14" s="41" t="e">
        <f>#REF!/Summary!AH14*100</f>
        <v>#REF!</v>
      </c>
      <c r="AI14" s="41" t="e">
        <f>#REF!/Summary!AI14*100</f>
        <v>#REF!</v>
      </c>
      <c r="AJ14" s="41" t="e">
        <f>#REF!/Summary!AJ14*100</f>
        <v>#REF!</v>
      </c>
      <c r="AK14" s="41" t="e">
        <f>#REF!/Summary!AK14*100</f>
        <v>#REF!</v>
      </c>
      <c r="AL14" s="41" t="e">
        <f>#REF!/Summary!AL14*100</f>
        <v>#REF!</v>
      </c>
      <c r="AM14" s="41" t="e">
        <f>#REF!/Summary!AM14*100</f>
        <v>#REF!</v>
      </c>
      <c r="AN14" s="41" t="e">
        <f>#REF!/Summary!AN14*100</f>
        <v>#REF!</v>
      </c>
      <c r="AO14" s="41" t="e">
        <f>#REF!/Summary!AO14*100</f>
        <v>#REF!</v>
      </c>
      <c r="AP14" s="41" t="e">
        <f>#REF!/Summary!AP14*100</f>
        <v>#REF!</v>
      </c>
      <c r="AQ14" s="41" t="e">
        <f>#REF!/Summary!AQ14*100</f>
        <v>#REF!</v>
      </c>
    </row>
    <row r="15" spans="1:43" ht="11.1" customHeight="1" x14ac:dyDescent="0.2">
      <c r="A15" s="40" t="s">
        <v>70</v>
      </c>
      <c r="B15" s="47" t="e">
        <f>#REF!/Summary!B15*100</f>
        <v>#REF!</v>
      </c>
      <c r="C15" s="47" t="e">
        <f>#REF!/Summary!C15*100</f>
        <v>#REF!</v>
      </c>
      <c r="D15" s="47" t="e">
        <f>#REF!/Summary!D15*100</f>
        <v>#REF!</v>
      </c>
      <c r="E15" s="47" t="e">
        <f>#REF!/Summary!E15*100</f>
        <v>#REF!</v>
      </c>
      <c r="F15" s="47" t="e">
        <f>#REF!/Summary!F15*100</f>
        <v>#REF!</v>
      </c>
      <c r="G15" s="47" t="e">
        <f>#REF!/Summary!G15*100</f>
        <v>#REF!</v>
      </c>
      <c r="H15" s="47" t="e">
        <f>#REF!/Summary!H15*100</f>
        <v>#REF!</v>
      </c>
      <c r="I15" s="47" t="e">
        <f>#REF!/Summary!I15*100</f>
        <v>#REF!</v>
      </c>
      <c r="J15" s="47" t="e">
        <f>#REF!/Summary!J15*100</f>
        <v>#REF!</v>
      </c>
      <c r="K15" s="47" t="e">
        <f>#REF!/Summary!K15*100</f>
        <v>#REF!</v>
      </c>
      <c r="L15" s="47" t="e">
        <f>#REF!/Summary!L15*100</f>
        <v>#REF!</v>
      </c>
      <c r="M15" s="47" t="e">
        <f>#REF!/Summary!M15*100</f>
        <v>#REF!</v>
      </c>
      <c r="N15" s="47" t="e">
        <f>#REF!/Summary!N15*100</f>
        <v>#REF!</v>
      </c>
      <c r="O15" s="47" t="e">
        <f>#REF!/Summary!O15*100</f>
        <v>#REF!</v>
      </c>
      <c r="P15" s="47" t="e">
        <f>#REF!/Summary!P15*100</f>
        <v>#REF!</v>
      </c>
      <c r="Q15" s="47" t="e">
        <f>#REF!/Summary!Q15*100</f>
        <v>#REF!</v>
      </c>
      <c r="R15" s="47" t="e">
        <f>#REF!/Summary!R15*100</f>
        <v>#REF!</v>
      </c>
      <c r="S15" s="47" t="e">
        <f>#REF!/Summary!S15*100</f>
        <v>#REF!</v>
      </c>
      <c r="T15" s="47" t="e">
        <f>#REF!/Summary!T15*100</f>
        <v>#REF!</v>
      </c>
      <c r="U15" s="47" t="e">
        <f>#REF!/Summary!U15*100</f>
        <v>#REF!</v>
      </c>
      <c r="V15" s="47" t="e">
        <f>#REF!/Summary!V15*100</f>
        <v>#REF!</v>
      </c>
      <c r="W15" s="47" t="e">
        <f>#REF!/Summary!W15*100</f>
        <v>#REF!</v>
      </c>
      <c r="X15" s="47" t="e">
        <f>#REF!/Summary!X15*100</f>
        <v>#REF!</v>
      </c>
      <c r="Y15" s="47" t="e">
        <f>#REF!/Summary!Y15*100</f>
        <v>#REF!</v>
      </c>
      <c r="Z15" s="47" t="e">
        <f>#REF!/Summary!Z15*100</f>
        <v>#REF!</v>
      </c>
      <c r="AA15" s="47" t="e">
        <f>#REF!/Summary!AA15*100</f>
        <v>#REF!</v>
      </c>
      <c r="AB15" s="47" t="e">
        <f>#REF!/Summary!AB15*100</f>
        <v>#REF!</v>
      </c>
      <c r="AC15" s="47" t="e">
        <f>#REF!/Summary!AC15*100</f>
        <v>#REF!</v>
      </c>
      <c r="AD15" s="47" t="e">
        <f>#REF!/Summary!AD15*100</f>
        <v>#REF!</v>
      </c>
      <c r="AE15" s="47" t="e">
        <f>#REF!/Summary!AE15*100</f>
        <v>#REF!</v>
      </c>
      <c r="AF15" s="41" t="e">
        <f>#REF!/Summary!AF15*100</f>
        <v>#REF!</v>
      </c>
      <c r="AG15" s="41" t="e">
        <f>#REF!/Summary!AG15*100</f>
        <v>#REF!</v>
      </c>
      <c r="AH15" s="41" t="e">
        <f>#REF!/Summary!AH15*100</f>
        <v>#REF!</v>
      </c>
      <c r="AI15" s="41" t="e">
        <f>#REF!/Summary!AI15*100</f>
        <v>#REF!</v>
      </c>
      <c r="AJ15" s="41" t="e">
        <f>#REF!/Summary!AJ15*100</f>
        <v>#REF!</v>
      </c>
      <c r="AK15" s="41" t="e">
        <f>#REF!/Summary!AK15*100</f>
        <v>#REF!</v>
      </c>
      <c r="AL15" s="41" t="e">
        <f>#REF!/Summary!AL15*100</f>
        <v>#REF!</v>
      </c>
      <c r="AM15" s="41" t="e">
        <f>#REF!/Summary!AM15*100</f>
        <v>#REF!</v>
      </c>
      <c r="AN15" s="41" t="e">
        <f>#REF!/Summary!AN15*100</f>
        <v>#REF!</v>
      </c>
      <c r="AO15" s="41" t="e">
        <f>#REF!/Summary!AO15*100</f>
        <v>#REF!</v>
      </c>
      <c r="AP15" s="41" t="e">
        <f>#REF!/Summary!AP15*100</f>
        <v>#REF!</v>
      </c>
      <c r="AQ15" s="41" t="e">
        <f>#REF!/Summary!AQ15*100</f>
        <v>#REF!</v>
      </c>
    </row>
    <row r="16" spans="1:43" ht="11.1" customHeight="1" x14ac:dyDescent="0.2">
      <c r="A16" s="40" t="s">
        <v>7</v>
      </c>
      <c r="B16" s="47" t="e">
        <f>#REF!/Summary!B16*100</f>
        <v>#REF!</v>
      </c>
      <c r="C16" s="47" t="e">
        <f>#REF!/Summary!C16*100</f>
        <v>#REF!</v>
      </c>
      <c r="D16" s="47" t="e">
        <f>#REF!/Summary!D16*100</f>
        <v>#REF!</v>
      </c>
      <c r="E16" s="47" t="e">
        <f>#REF!/Summary!E16*100</f>
        <v>#REF!</v>
      </c>
      <c r="F16" s="47" t="e">
        <f>#REF!/Summary!F16*100</f>
        <v>#REF!</v>
      </c>
      <c r="G16" s="47" t="e">
        <f>#REF!/Summary!G16*100</f>
        <v>#REF!</v>
      </c>
      <c r="H16" s="47" t="e">
        <f>#REF!/Summary!H16*100</f>
        <v>#REF!</v>
      </c>
      <c r="I16" s="47" t="e">
        <f>#REF!/Summary!I16*100</f>
        <v>#REF!</v>
      </c>
      <c r="J16" s="47" t="e">
        <f>#REF!/Summary!J16*100</f>
        <v>#REF!</v>
      </c>
      <c r="K16" s="47" t="e">
        <f>#REF!/Summary!K16*100</f>
        <v>#REF!</v>
      </c>
      <c r="L16" s="47" t="e">
        <f>#REF!/Summary!L16*100</f>
        <v>#REF!</v>
      </c>
      <c r="M16" s="47" t="e">
        <f>#REF!/Summary!M16*100</f>
        <v>#REF!</v>
      </c>
      <c r="N16" s="47" t="e">
        <f>#REF!/Summary!N16*100</f>
        <v>#REF!</v>
      </c>
      <c r="O16" s="47" t="e">
        <f>#REF!/Summary!O16*100</f>
        <v>#REF!</v>
      </c>
      <c r="P16" s="47" t="e">
        <f>#REF!/Summary!P16*100</f>
        <v>#REF!</v>
      </c>
      <c r="Q16" s="47" t="e">
        <f>#REF!/Summary!Q16*100</f>
        <v>#REF!</v>
      </c>
      <c r="R16" s="47" t="e">
        <f>#REF!/Summary!R16*100</f>
        <v>#REF!</v>
      </c>
      <c r="S16" s="47" t="e">
        <f>#REF!/Summary!S16*100</f>
        <v>#REF!</v>
      </c>
      <c r="T16" s="47" t="e">
        <f>#REF!/Summary!T16*100</f>
        <v>#REF!</v>
      </c>
      <c r="U16" s="47" t="e">
        <f>#REF!/Summary!U16*100</f>
        <v>#REF!</v>
      </c>
      <c r="V16" s="47" t="e">
        <f>#REF!/Summary!V16*100</f>
        <v>#REF!</v>
      </c>
      <c r="W16" s="47" t="e">
        <f>#REF!/Summary!W16*100</f>
        <v>#REF!</v>
      </c>
      <c r="X16" s="47" t="e">
        <f>#REF!/Summary!X16*100</f>
        <v>#REF!</v>
      </c>
      <c r="Y16" s="47" t="e">
        <f>#REF!/Summary!Y16*100</f>
        <v>#REF!</v>
      </c>
      <c r="Z16" s="47" t="e">
        <f>#REF!/Summary!Z16*100</f>
        <v>#REF!</v>
      </c>
      <c r="AA16" s="47" t="e">
        <f>#REF!/Summary!AA16*100</f>
        <v>#REF!</v>
      </c>
      <c r="AB16" s="47" t="e">
        <f>#REF!/Summary!AB16*100</f>
        <v>#REF!</v>
      </c>
      <c r="AC16" s="47" t="e">
        <f>#REF!/Summary!AC16*100</f>
        <v>#REF!</v>
      </c>
      <c r="AD16" s="47" t="e">
        <f>#REF!/Summary!AD16*100</f>
        <v>#REF!</v>
      </c>
      <c r="AE16" s="47" t="e">
        <f>#REF!/Summary!AE16*100</f>
        <v>#REF!</v>
      </c>
      <c r="AF16" s="41" t="e">
        <f>#REF!/Summary!AF16*100</f>
        <v>#REF!</v>
      </c>
      <c r="AG16" s="41" t="e">
        <f>#REF!/Summary!AG16*100</f>
        <v>#REF!</v>
      </c>
      <c r="AH16" s="41" t="e">
        <f>#REF!/Summary!AH16*100</f>
        <v>#REF!</v>
      </c>
      <c r="AI16" s="41" t="e">
        <f>#REF!/Summary!AI16*100</f>
        <v>#REF!</v>
      </c>
      <c r="AJ16" s="41" t="e">
        <f>#REF!/Summary!AJ16*100</f>
        <v>#REF!</v>
      </c>
      <c r="AK16" s="41" t="e">
        <f>#REF!/Summary!AK16*100</f>
        <v>#REF!</v>
      </c>
      <c r="AL16" s="41" t="e">
        <f>#REF!/Summary!AL16*100</f>
        <v>#REF!</v>
      </c>
      <c r="AM16" s="41" t="e">
        <f>#REF!/Summary!AM16*100</f>
        <v>#REF!</v>
      </c>
      <c r="AN16" s="41" t="e">
        <f>#REF!/Summary!AN16*100</f>
        <v>#REF!</v>
      </c>
      <c r="AO16" s="41" t="e">
        <f>#REF!/Summary!AO16*100</f>
        <v>#REF!</v>
      </c>
      <c r="AP16" s="41" t="e">
        <f>#REF!/Summary!AP16*100</f>
        <v>#REF!</v>
      </c>
      <c r="AQ16" s="41" t="e">
        <f>#REF!/Summary!AQ16*100</f>
        <v>#REF!</v>
      </c>
    </row>
    <row r="17" spans="1:43" ht="11.1" customHeight="1" x14ac:dyDescent="0.2">
      <c r="A17" s="40" t="s">
        <v>13</v>
      </c>
      <c r="B17" s="47" t="e">
        <f>#REF!/Summary!B17*100</f>
        <v>#REF!</v>
      </c>
      <c r="C17" s="47" t="e">
        <f>#REF!/Summary!C17*100</f>
        <v>#REF!</v>
      </c>
      <c r="D17" s="47" t="e">
        <f>#REF!/Summary!D17*100</f>
        <v>#REF!</v>
      </c>
      <c r="E17" s="47" t="e">
        <f>#REF!/Summary!E17*100</f>
        <v>#REF!</v>
      </c>
      <c r="F17" s="47" t="e">
        <f>#REF!/Summary!F17*100</f>
        <v>#REF!</v>
      </c>
      <c r="G17" s="47" t="e">
        <f>#REF!/Summary!G17*100</f>
        <v>#REF!</v>
      </c>
      <c r="H17" s="47" t="e">
        <f>#REF!/Summary!H17*100</f>
        <v>#REF!</v>
      </c>
      <c r="I17" s="47" t="e">
        <f>#REF!/Summary!I17*100</f>
        <v>#REF!</v>
      </c>
      <c r="J17" s="47" t="e">
        <f>#REF!/Summary!J17*100</f>
        <v>#REF!</v>
      </c>
      <c r="K17" s="47" t="e">
        <f>#REF!/Summary!K17*100</f>
        <v>#REF!</v>
      </c>
      <c r="L17" s="47" t="e">
        <f>#REF!/Summary!L17*100</f>
        <v>#REF!</v>
      </c>
      <c r="M17" s="47" t="e">
        <f>#REF!/Summary!M17*100</f>
        <v>#REF!</v>
      </c>
      <c r="N17" s="47" t="e">
        <f>#REF!/Summary!N17*100</f>
        <v>#REF!</v>
      </c>
      <c r="O17" s="47" t="e">
        <f>#REF!/Summary!O17*100</f>
        <v>#REF!</v>
      </c>
      <c r="P17" s="47" t="e">
        <f>#REF!/Summary!P17*100</f>
        <v>#REF!</v>
      </c>
      <c r="Q17" s="47" t="e">
        <f>#REF!/Summary!Q17*100</f>
        <v>#REF!</v>
      </c>
      <c r="R17" s="47" t="e">
        <f>#REF!/Summary!R17*100</f>
        <v>#REF!</v>
      </c>
      <c r="S17" s="47" t="e">
        <f>#REF!/Summary!S17*100</f>
        <v>#REF!</v>
      </c>
      <c r="T17" s="47" t="e">
        <f>#REF!/Summary!T17*100</f>
        <v>#REF!</v>
      </c>
      <c r="U17" s="47" t="e">
        <f>#REF!/Summary!U17*100</f>
        <v>#REF!</v>
      </c>
      <c r="V17" s="47" t="e">
        <f>#REF!/Summary!V17*100</f>
        <v>#REF!</v>
      </c>
      <c r="W17" s="47" t="e">
        <f>#REF!/Summary!W17*100</f>
        <v>#REF!</v>
      </c>
      <c r="X17" s="47" t="e">
        <f>#REF!/Summary!X17*100</f>
        <v>#REF!</v>
      </c>
      <c r="Y17" s="47" t="e">
        <f>#REF!/Summary!Y17*100</f>
        <v>#REF!</v>
      </c>
      <c r="Z17" s="47" t="e">
        <f>#REF!/Summary!Z17*100</f>
        <v>#REF!</v>
      </c>
      <c r="AA17" s="47" t="e">
        <f>#REF!/Summary!AA17*100</f>
        <v>#REF!</v>
      </c>
      <c r="AB17" s="47" t="e">
        <f>#REF!/Summary!AB17*100</f>
        <v>#REF!</v>
      </c>
      <c r="AC17" s="47" t="e">
        <f>#REF!/Summary!AC17*100</f>
        <v>#REF!</v>
      </c>
      <c r="AD17" s="47" t="e">
        <f>#REF!/Summary!AD17*100</f>
        <v>#REF!</v>
      </c>
      <c r="AE17" s="47" t="e">
        <f>#REF!/Summary!AE17*100</f>
        <v>#REF!</v>
      </c>
      <c r="AF17" s="41" t="e">
        <f>#REF!/Summary!AF17*100</f>
        <v>#REF!</v>
      </c>
      <c r="AG17" s="41" t="e">
        <f>#REF!/Summary!AG17*100</f>
        <v>#REF!</v>
      </c>
      <c r="AH17" s="41" t="e">
        <f>#REF!/Summary!AH17*100</f>
        <v>#REF!</v>
      </c>
      <c r="AI17" s="41" t="e">
        <f>#REF!/Summary!AI17*100</f>
        <v>#REF!</v>
      </c>
      <c r="AJ17" s="41" t="e">
        <f>#REF!/Summary!AJ17*100</f>
        <v>#REF!</v>
      </c>
      <c r="AK17" s="41" t="e">
        <f>#REF!/Summary!AK17*100</f>
        <v>#REF!</v>
      </c>
      <c r="AL17" s="41" t="e">
        <f>#REF!/Summary!AL17*100</f>
        <v>#REF!</v>
      </c>
      <c r="AM17" s="41" t="e">
        <f>#REF!/Summary!AM17*100</f>
        <v>#REF!</v>
      </c>
      <c r="AN17" s="41" t="e">
        <f>#REF!/Summary!AN17*100</f>
        <v>#REF!</v>
      </c>
      <c r="AO17" s="41" t="e">
        <f>#REF!/Summary!AO17*100</f>
        <v>#REF!</v>
      </c>
      <c r="AP17" s="41" t="e">
        <f>#REF!/Summary!AP17*100</f>
        <v>#REF!</v>
      </c>
      <c r="AQ17" s="41" t="e">
        <f>#REF!/Summary!AQ17*100</f>
        <v>#REF!</v>
      </c>
    </row>
    <row r="18" spans="1:43" ht="11.1" customHeight="1" x14ac:dyDescent="0.2">
      <c r="A18" s="39" t="s">
        <v>18</v>
      </c>
      <c r="AF18" s="45"/>
      <c r="AG18" s="45"/>
      <c r="AH18" s="45"/>
      <c r="AI18" s="45"/>
      <c r="AJ18" s="45"/>
      <c r="AK18" s="45"/>
      <c r="AL18" s="45"/>
      <c r="AM18" s="45"/>
      <c r="AN18" s="45"/>
      <c r="AO18" s="45"/>
      <c r="AP18" s="45"/>
      <c r="AQ18" s="45"/>
    </row>
    <row r="19" spans="1:43" ht="11.1" customHeight="1" x14ac:dyDescent="0.2">
      <c r="A19" s="42" t="s">
        <v>19</v>
      </c>
      <c r="B19" s="47" t="e">
        <f>#REF!/Summary!B19*100</f>
        <v>#REF!</v>
      </c>
      <c r="C19" s="47" t="e">
        <f>#REF!/Summary!C19*100</f>
        <v>#REF!</v>
      </c>
      <c r="D19" s="47" t="e">
        <f>#REF!/Summary!D19*100</f>
        <v>#REF!</v>
      </c>
      <c r="E19" s="47" t="e">
        <f>#REF!/Summary!E19*100</f>
        <v>#REF!</v>
      </c>
      <c r="F19" s="47" t="e">
        <f>#REF!/Summary!F19*100</f>
        <v>#REF!</v>
      </c>
      <c r="G19" s="47" t="e">
        <f>#REF!/Summary!G19*100</f>
        <v>#REF!</v>
      </c>
      <c r="H19" s="47" t="e">
        <f>#REF!/Summary!H19*100</f>
        <v>#REF!</v>
      </c>
      <c r="I19" s="47" t="e">
        <f>#REF!/Summary!I19*100</f>
        <v>#REF!</v>
      </c>
      <c r="J19" s="47" t="e">
        <f>#REF!/Summary!J19*100</f>
        <v>#REF!</v>
      </c>
      <c r="K19" s="47" t="e">
        <f>#REF!/Summary!K19*100</f>
        <v>#REF!</v>
      </c>
      <c r="L19" s="47" t="e">
        <f>#REF!/Summary!L19*100</f>
        <v>#REF!</v>
      </c>
      <c r="M19" s="47" t="e">
        <f>#REF!/Summary!M19*100</f>
        <v>#REF!</v>
      </c>
      <c r="N19" s="47" t="e">
        <f>#REF!/Summary!N19*100</f>
        <v>#REF!</v>
      </c>
      <c r="O19" s="47" t="e">
        <f>#REF!/Summary!O19*100</f>
        <v>#REF!</v>
      </c>
      <c r="P19" s="47" t="e">
        <f>#REF!/Summary!P19*100</f>
        <v>#REF!</v>
      </c>
      <c r="Q19" s="47" t="e">
        <f>#REF!/Summary!Q19*100</f>
        <v>#REF!</v>
      </c>
      <c r="R19" s="47" t="e">
        <f>#REF!/Summary!R19*100</f>
        <v>#REF!</v>
      </c>
      <c r="S19" s="47" t="e">
        <f>#REF!/Summary!S19*100</f>
        <v>#REF!</v>
      </c>
      <c r="T19" s="47" t="e">
        <f>#REF!/Summary!T19*100</f>
        <v>#REF!</v>
      </c>
      <c r="U19" s="47" t="e">
        <f>#REF!/Summary!U19*100</f>
        <v>#REF!</v>
      </c>
      <c r="V19" s="47" t="e">
        <f>#REF!/Summary!V19*100</f>
        <v>#REF!</v>
      </c>
      <c r="W19" s="47" t="e">
        <f>#REF!/Summary!W19*100</f>
        <v>#REF!</v>
      </c>
      <c r="X19" s="47" t="e">
        <f>#REF!/Summary!X19*100</f>
        <v>#REF!</v>
      </c>
      <c r="Y19" s="47" t="e">
        <f>#REF!/Summary!Y19*100</f>
        <v>#REF!</v>
      </c>
      <c r="Z19" s="47" t="e">
        <f>#REF!/Summary!Z19*100</f>
        <v>#REF!</v>
      </c>
      <c r="AA19" s="47" t="e">
        <f>#REF!/Summary!AA19*100</f>
        <v>#REF!</v>
      </c>
      <c r="AB19" s="47" t="e">
        <f>#REF!/Summary!AB19*100</f>
        <v>#REF!</v>
      </c>
      <c r="AC19" s="47" t="e">
        <f>#REF!/Summary!AC19*100</f>
        <v>#REF!</v>
      </c>
      <c r="AD19" s="47" t="e">
        <f>#REF!/Summary!AD19*100</f>
        <v>#REF!</v>
      </c>
      <c r="AE19" s="47" t="e">
        <f>#REF!/Summary!AE19*100</f>
        <v>#REF!</v>
      </c>
      <c r="AF19" s="41" t="e">
        <f>#REF!/Summary!AF19*100</f>
        <v>#REF!</v>
      </c>
      <c r="AG19" s="41" t="e">
        <f>#REF!/Summary!AG19*100</f>
        <v>#REF!</v>
      </c>
      <c r="AH19" s="41" t="e">
        <f>#REF!/Summary!AH19*100</f>
        <v>#REF!</v>
      </c>
      <c r="AI19" s="41" t="e">
        <f>#REF!/Summary!AI19*100</f>
        <v>#REF!</v>
      </c>
      <c r="AJ19" s="41" t="e">
        <f>#REF!/Summary!AJ19*100</f>
        <v>#REF!</v>
      </c>
      <c r="AK19" s="41" t="e">
        <f>#REF!/Summary!AK19*100</f>
        <v>#REF!</v>
      </c>
      <c r="AL19" s="41" t="e">
        <f>#REF!/Summary!AL19*100</f>
        <v>#REF!</v>
      </c>
      <c r="AM19" s="41" t="e">
        <f>#REF!/Summary!AM19*100</f>
        <v>#REF!</v>
      </c>
      <c r="AN19" s="41" t="e">
        <f>#REF!/Summary!AN19*100</f>
        <v>#REF!</v>
      </c>
      <c r="AO19" s="41" t="e">
        <f>#REF!/Summary!AO19*100</f>
        <v>#REF!</v>
      </c>
      <c r="AP19" s="41" t="e">
        <f>#REF!/Summary!AP19*100</f>
        <v>#REF!</v>
      </c>
      <c r="AQ19" s="41" t="e">
        <f>#REF!/Summary!AQ19*100</f>
        <v>#REF!</v>
      </c>
    </row>
    <row r="20" spans="1:43" ht="11.1" customHeight="1" x14ac:dyDescent="0.2">
      <c r="AF20" s="45"/>
      <c r="AG20" s="45"/>
      <c r="AH20" s="45"/>
      <c r="AI20" s="45"/>
    </row>
    <row r="21" spans="1:43" ht="11.1" customHeight="1" x14ac:dyDescent="0.2">
      <c r="A21" s="37" t="s">
        <v>100</v>
      </c>
      <c r="AF21" s="45"/>
      <c r="AG21" s="45"/>
      <c r="AH21" s="45"/>
      <c r="AI21" s="45"/>
    </row>
    <row r="22" spans="1:43" ht="11.1" customHeight="1" x14ac:dyDescent="0.2">
      <c r="A22" s="39" t="s">
        <v>0</v>
      </c>
      <c r="B22" s="47" t="e">
        <f>#REF!/Summary!B22*100</f>
        <v>#REF!</v>
      </c>
      <c r="C22" s="47" t="e">
        <f>#REF!/Summary!C22*100</f>
        <v>#REF!</v>
      </c>
      <c r="D22" s="47" t="e">
        <f>#REF!/Summary!D22*100</f>
        <v>#REF!</v>
      </c>
      <c r="E22" s="47" t="e">
        <f>#REF!/Summary!E22*100</f>
        <v>#REF!</v>
      </c>
      <c r="F22" s="47" t="e">
        <f>#REF!/Summary!F22*100</f>
        <v>#REF!</v>
      </c>
      <c r="G22" s="47" t="e">
        <f>#REF!/Summary!G22*100</f>
        <v>#REF!</v>
      </c>
      <c r="H22" s="47" t="e">
        <f>#REF!/Summary!H22*100</f>
        <v>#REF!</v>
      </c>
      <c r="I22" s="47" t="e">
        <f>#REF!/Summary!I22*100</f>
        <v>#REF!</v>
      </c>
      <c r="J22" s="47" t="e">
        <f>#REF!/Summary!J22*100</f>
        <v>#REF!</v>
      </c>
      <c r="K22" s="47" t="e">
        <f>#REF!/Summary!K22*100</f>
        <v>#REF!</v>
      </c>
      <c r="L22" s="47" t="e">
        <f>#REF!/Summary!L22*100</f>
        <v>#REF!</v>
      </c>
      <c r="M22" s="47" t="e">
        <f>#REF!/Summary!M22*100</f>
        <v>#REF!</v>
      </c>
      <c r="N22" s="47" t="e">
        <f>#REF!/Summary!N22*100</f>
        <v>#REF!</v>
      </c>
      <c r="O22" s="47" t="e">
        <f>#REF!/Summary!O22*100</f>
        <v>#REF!</v>
      </c>
      <c r="P22" s="47" t="e">
        <f>#REF!/Summary!P22*100</f>
        <v>#REF!</v>
      </c>
      <c r="Q22" s="47" t="e">
        <f>#REF!/Summary!Q22*100</f>
        <v>#REF!</v>
      </c>
      <c r="R22" s="47" t="e">
        <f>#REF!/Summary!R22*100</f>
        <v>#REF!</v>
      </c>
      <c r="S22" s="47" t="e">
        <f>#REF!/Summary!S22*100</f>
        <v>#REF!</v>
      </c>
      <c r="T22" s="47" t="e">
        <f>#REF!/Summary!T22*100</f>
        <v>#REF!</v>
      </c>
      <c r="U22" s="47" t="e">
        <f>#REF!/Summary!U22*100</f>
        <v>#REF!</v>
      </c>
      <c r="V22" s="47" t="e">
        <f>#REF!/Summary!V22*100</f>
        <v>#REF!</v>
      </c>
      <c r="W22" s="47" t="e">
        <f>#REF!/Summary!W22*100</f>
        <v>#REF!</v>
      </c>
      <c r="X22" s="47" t="e">
        <f>#REF!/Summary!X22*100</f>
        <v>#REF!</v>
      </c>
      <c r="Y22" s="47" t="e">
        <f>#REF!/Summary!Y22*100</f>
        <v>#REF!</v>
      </c>
      <c r="Z22" s="47" t="e">
        <f>#REF!/Summary!Z22*100</f>
        <v>#REF!</v>
      </c>
      <c r="AA22" s="47" t="e">
        <f>#REF!/Summary!AA22*100</f>
        <v>#REF!</v>
      </c>
      <c r="AB22" s="47" t="e">
        <f>#REF!/Summary!AB22*100</f>
        <v>#REF!</v>
      </c>
      <c r="AC22" s="47" t="e">
        <f>#REF!/Summary!AC22*100</f>
        <v>#REF!</v>
      </c>
      <c r="AD22" s="47" t="e">
        <f>#REF!/Summary!AD22*100</f>
        <v>#REF!</v>
      </c>
      <c r="AE22" s="47" t="e">
        <f>#REF!/Summary!AE22*100</f>
        <v>#REF!</v>
      </c>
      <c r="AF22" s="41" t="e">
        <f>#REF!/Summary!AF22*100</f>
        <v>#REF!</v>
      </c>
      <c r="AG22" s="41" t="e">
        <f>#REF!/Summary!AG22*100</f>
        <v>#REF!</v>
      </c>
      <c r="AH22" s="41" t="e">
        <f>#REF!/Summary!AH22*100</f>
        <v>#REF!</v>
      </c>
      <c r="AI22" s="41" t="e">
        <f>#REF!/Summary!AI22*100</f>
        <v>#REF!</v>
      </c>
      <c r="AJ22" s="41" t="e">
        <f>#REF!/Summary!AJ22*100</f>
        <v>#REF!</v>
      </c>
      <c r="AK22" s="41" t="e">
        <f>#REF!/Summary!AK22*100</f>
        <v>#REF!</v>
      </c>
      <c r="AL22" s="41" t="e">
        <f>#REF!/Summary!AL22*100</f>
        <v>#REF!</v>
      </c>
      <c r="AM22" s="41" t="e">
        <f>#REF!/Summary!AM22*100</f>
        <v>#REF!</v>
      </c>
      <c r="AN22" s="41" t="e">
        <f>#REF!/Summary!AN22*100</f>
        <v>#REF!</v>
      </c>
      <c r="AO22" s="41" t="e">
        <f>#REF!/Summary!AO22*100</f>
        <v>#REF!</v>
      </c>
      <c r="AP22" s="41" t="e">
        <f>#REF!/Summary!AP22*100</f>
        <v>#REF!</v>
      </c>
      <c r="AQ22" s="41" t="e">
        <f>#REF!/Summary!AQ22*100</f>
        <v>#REF!</v>
      </c>
    </row>
    <row r="23" spans="1:43" ht="11.1" customHeight="1" x14ac:dyDescent="0.2">
      <c r="A23" s="40" t="s">
        <v>70</v>
      </c>
      <c r="B23" s="47" t="e">
        <f>#REF!/Summary!B23*100</f>
        <v>#REF!</v>
      </c>
      <c r="C23" s="47" t="e">
        <f>#REF!/Summary!C23*100</f>
        <v>#REF!</v>
      </c>
      <c r="D23" s="47" t="e">
        <f>#REF!/Summary!D23*100</f>
        <v>#REF!</v>
      </c>
      <c r="E23" s="47" t="e">
        <f>#REF!/Summary!E23*100</f>
        <v>#REF!</v>
      </c>
      <c r="F23" s="47" t="e">
        <f>#REF!/Summary!F23*100</f>
        <v>#REF!</v>
      </c>
      <c r="G23" s="47" t="e">
        <f>#REF!/Summary!G23*100</f>
        <v>#REF!</v>
      </c>
      <c r="H23" s="47" t="e">
        <f>#REF!/Summary!H23*100</f>
        <v>#REF!</v>
      </c>
      <c r="I23" s="47" t="e">
        <f>#REF!/Summary!I23*100</f>
        <v>#REF!</v>
      </c>
      <c r="J23" s="47" t="e">
        <f>#REF!/Summary!J23*100</f>
        <v>#REF!</v>
      </c>
      <c r="K23" s="47" t="e">
        <f>#REF!/Summary!K23*100</f>
        <v>#REF!</v>
      </c>
      <c r="L23" s="47" t="e">
        <f>#REF!/Summary!L23*100</f>
        <v>#REF!</v>
      </c>
      <c r="M23" s="47" t="e">
        <f>#REF!/Summary!M23*100</f>
        <v>#REF!</v>
      </c>
      <c r="N23" s="47" t="e">
        <f>#REF!/Summary!N23*100</f>
        <v>#REF!</v>
      </c>
      <c r="O23" s="47" t="e">
        <f>#REF!/Summary!O23*100</f>
        <v>#REF!</v>
      </c>
      <c r="P23" s="47" t="e">
        <f>#REF!/Summary!P23*100</f>
        <v>#REF!</v>
      </c>
      <c r="Q23" s="47" t="e">
        <f>#REF!/Summary!Q23*100</f>
        <v>#REF!</v>
      </c>
      <c r="R23" s="47" t="e">
        <f>#REF!/Summary!R23*100</f>
        <v>#REF!</v>
      </c>
      <c r="S23" s="47" t="e">
        <f>#REF!/Summary!S23*100</f>
        <v>#REF!</v>
      </c>
      <c r="T23" s="47" t="e">
        <f>#REF!/Summary!T23*100</f>
        <v>#REF!</v>
      </c>
      <c r="U23" s="47" t="e">
        <f>#REF!/Summary!U23*100</f>
        <v>#REF!</v>
      </c>
      <c r="V23" s="47" t="e">
        <f>#REF!/Summary!V23*100</f>
        <v>#REF!</v>
      </c>
      <c r="W23" s="47" t="e">
        <f>#REF!/Summary!W23*100</f>
        <v>#REF!</v>
      </c>
      <c r="X23" s="47" t="e">
        <f>#REF!/Summary!X23*100</f>
        <v>#REF!</v>
      </c>
      <c r="Y23" s="47" t="e">
        <f>#REF!/Summary!Y23*100</f>
        <v>#REF!</v>
      </c>
      <c r="Z23" s="47" t="e">
        <f>#REF!/Summary!Z23*100</f>
        <v>#REF!</v>
      </c>
      <c r="AA23" s="47" t="e">
        <f>#REF!/Summary!AA23*100</f>
        <v>#REF!</v>
      </c>
      <c r="AB23" s="47" t="e">
        <f>#REF!/Summary!AB23*100</f>
        <v>#REF!</v>
      </c>
      <c r="AC23" s="47" t="e">
        <f>#REF!/Summary!AC23*100</f>
        <v>#REF!</v>
      </c>
      <c r="AD23" s="47" t="e">
        <f>#REF!/Summary!AD23*100</f>
        <v>#REF!</v>
      </c>
      <c r="AE23" s="47" t="e">
        <f>#REF!/Summary!AE23*100</f>
        <v>#REF!</v>
      </c>
      <c r="AF23" s="41" t="e">
        <f>#REF!/Summary!AF23*100</f>
        <v>#REF!</v>
      </c>
      <c r="AG23" s="41" t="e">
        <f>#REF!/Summary!AG23*100</f>
        <v>#REF!</v>
      </c>
      <c r="AH23" s="41" t="e">
        <f>#REF!/Summary!AH23*100</f>
        <v>#REF!</v>
      </c>
      <c r="AI23" s="41" t="e">
        <f>#REF!/Summary!AI23*100</f>
        <v>#REF!</v>
      </c>
      <c r="AJ23" s="41" t="e">
        <f>#REF!/Summary!AJ23*100</f>
        <v>#REF!</v>
      </c>
      <c r="AK23" s="41" t="e">
        <f>#REF!/Summary!AK23*100</f>
        <v>#REF!</v>
      </c>
      <c r="AL23" s="41" t="e">
        <f>#REF!/Summary!AL23*100</f>
        <v>#REF!</v>
      </c>
      <c r="AM23" s="41" t="e">
        <f>#REF!/Summary!AM23*100</f>
        <v>#REF!</v>
      </c>
      <c r="AN23" s="41" t="e">
        <f>#REF!/Summary!AN23*100</f>
        <v>#REF!</v>
      </c>
      <c r="AO23" s="41" t="e">
        <f>#REF!/Summary!AO23*100</f>
        <v>#REF!</v>
      </c>
      <c r="AP23" s="41" t="e">
        <f>#REF!/Summary!AP23*100</f>
        <v>#REF!</v>
      </c>
      <c r="AQ23" s="41" t="e">
        <f>#REF!/Summary!AQ23*100</f>
        <v>#REF!</v>
      </c>
    </row>
    <row r="24" spans="1:43" ht="11.1" customHeight="1" x14ac:dyDescent="0.2">
      <c r="A24" s="40" t="s">
        <v>7</v>
      </c>
      <c r="B24" s="47" t="e">
        <f>#REF!/Summary!B24*100</f>
        <v>#REF!</v>
      </c>
      <c r="C24" s="47" t="e">
        <f>#REF!/Summary!C24*100</f>
        <v>#REF!</v>
      </c>
      <c r="D24" s="47" t="e">
        <f>#REF!/Summary!D24*100</f>
        <v>#REF!</v>
      </c>
      <c r="E24" s="47" t="e">
        <f>#REF!/Summary!E24*100</f>
        <v>#REF!</v>
      </c>
      <c r="F24" s="47" t="e">
        <f>#REF!/Summary!F24*100</f>
        <v>#REF!</v>
      </c>
      <c r="G24" s="47" t="e">
        <f>#REF!/Summary!G24*100</f>
        <v>#REF!</v>
      </c>
      <c r="H24" s="47" t="e">
        <f>#REF!/Summary!H24*100</f>
        <v>#REF!</v>
      </c>
      <c r="I24" s="47" t="e">
        <f>#REF!/Summary!I24*100</f>
        <v>#REF!</v>
      </c>
      <c r="J24" s="47" t="e">
        <f>#REF!/Summary!J24*100</f>
        <v>#REF!</v>
      </c>
      <c r="K24" s="47" t="e">
        <f>#REF!/Summary!K24*100</f>
        <v>#REF!</v>
      </c>
      <c r="L24" s="47" t="e">
        <f>#REF!/Summary!L24*100</f>
        <v>#REF!</v>
      </c>
      <c r="M24" s="47" t="e">
        <f>#REF!/Summary!M24*100</f>
        <v>#REF!</v>
      </c>
      <c r="N24" s="47" t="e">
        <f>#REF!/Summary!N24*100</f>
        <v>#REF!</v>
      </c>
      <c r="O24" s="47" t="e">
        <f>#REF!/Summary!O24*100</f>
        <v>#REF!</v>
      </c>
      <c r="P24" s="47" t="e">
        <f>#REF!/Summary!P24*100</f>
        <v>#REF!</v>
      </c>
      <c r="Q24" s="47" t="e">
        <f>#REF!/Summary!Q24*100</f>
        <v>#REF!</v>
      </c>
      <c r="R24" s="47" t="e">
        <f>#REF!/Summary!R24*100</f>
        <v>#REF!</v>
      </c>
      <c r="S24" s="47" t="e">
        <f>#REF!/Summary!S24*100</f>
        <v>#REF!</v>
      </c>
      <c r="T24" s="47" t="e">
        <f>#REF!/Summary!T24*100</f>
        <v>#REF!</v>
      </c>
      <c r="U24" s="47" t="e">
        <f>#REF!/Summary!U24*100</f>
        <v>#REF!</v>
      </c>
      <c r="V24" s="47" t="e">
        <f>#REF!/Summary!V24*100</f>
        <v>#REF!</v>
      </c>
      <c r="W24" s="47" t="e">
        <f>#REF!/Summary!W24*100</f>
        <v>#REF!</v>
      </c>
      <c r="X24" s="47" t="e">
        <f>#REF!/Summary!X24*100</f>
        <v>#REF!</v>
      </c>
      <c r="Y24" s="47" t="e">
        <f>#REF!/Summary!Y24*100</f>
        <v>#REF!</v>
      </c>
      <c r="Z24" s="47" t="e">
        <f>#REF!/Summary!Z24*100</f>
        <v>#REF!</v>
      </c>
      <c r="AA24" s="47" t="e">
        <f>#REF!/Summary!AA24*100</f>
        <v>#REF!</v>
      </c>
      <c r="AB24" s="47" t="e">
        <f>#REF!/Summary!AB24*100</f>
        <v>#REF!</v>
      </c>
      <c r="AC24" s="47" t="e">
        <f>#REF!/Summary!AC24*100</f>
        <v>#REF!</v>
      </c>
      <c r="AD24" s="47" t="e">
        <f>#REF!/Summary!AD24*100</f>
        <v>#REF!</v>
      </c>
      <c r="AE24" s="47" t="e">
        <f>#REF!/Summary!AE24*100</f>
        <v>#REF!</v>
      </c>
      <c r="AF24" s="41" t="e">
        <f>#REF!/Summary!AF24*100</f>
        <v>#REF!</v>
      </c>
      <c r="AG24" s="41" t="e">
        <f>#REF!/Summary!AG24*100</f>
        <v>#REF!</v>
      </c>
      <c r="AH24" s="41" t="e">
        <f>#REF!/Summary!AH24*100</f>
        <v>#REF!</v>
      </c>
      <c r="AI24" s="41" t="e">
        <f>#REF!/Summary!AI24*100</f>
        <v>#REF!</v>
      </c>
      <c r="AJ24" s="41" t="e">
        <f>#REF!/Summary!AJ24*100</f>
        <v>#REF!</v>
      </c>
      <c r="AK24" s="41" t="e">
        <f>#REF!/Summary!AK24*100</f>
        <v>#REF!</v>
      </c>
      <c r="AL24" s="41" t="e">
        <f>#REF!/Summary!AL24*100</f>
        <v>#REF!</v>
      </c>
      <c r="AM24" s="41" t="e">
        <f>#REF!/Summary!AM24*100</f>
        <v>#REF!</v>
      </c>
      <c r="AN24" s="41" t="e">
        <f>#REF!/Summary!AN24*100</f>
        <v>#REF!</v>
      </c>
      <c r="AO24" s="41" t="e">
        <f>#REF!/Summary!AO24*100</f>
        <v>#REF!</v>
      </c>
      <c r="AP24" s="41" t="e">
        <f>#REF!/Summary!AP24*100</f>
        <v>#REF!</v>
      </c>
      <c r="AQ24" s="41" t="e">
        <f>#REF!/Summary!AQ24*100</f>
        <v>#REF!</v>
      </c>
    </row>
    <row r="25" spans="1:43" ht="11.1" customHeight="1" x14ac:dyDescent="0.2">
      <c r="A25" s="40" t="s">
        <v>13</v>
      </c>
      <c r="B25" s="47" t="e">
        <f>#REF!/Summary!B25*100</f>
        <v>#REF!</v>
      </c>
      <c r="C25" s="47" t="e">
        <f>#REF!/Summary!C25*100</f>
        <v>#REF!</v>
      </c>
      <c r="D25" s="47" t="e">
        <f>#REF!/Summary!D25*100</f>
        <v>#REF!</v>
      </c>
      <c r="E25" s="47" t="e">
        <f>#REF!/Summary!E25*100</f>
        <v>#REF!</v>
      </c>
      <c r="F25" s="47" t="e">
        <f>#REF!/Summary!F25*100</f>
        <v>#REF!</v>
      </c>
      <c r="G25" s="47" t="e">
        <f>#REF!/Summary!G25*100</f>
        <v>#REF!</v>
      </c>
      <c r="H25" s="47" t="e">
        <f>#REF!/Summary!H25*100</f>
        <v>#REF!</v>
      </c>
      <c r="I25" s="47" t="e">
        <f>#REF!/Summary!I25*100</f>
        <v>#REF!</v>
      </c>
      <c r="J25" s="47" t="e">
        <f>#REF!/Summary!J25*100</f>
        <v>#REF!</v>
      </c>
      <c r="K25" s="47" t="e">
        <f>#REF!/Summary!K25*100</f>
        <v>#REF!</v>
      </c>
      <c r="L25" s="47" t="e">
        <f>#REF!/Summary!L25*100</f>
        <v>#REF!</v>
      </c>
      <c r="M25" s="47" t="e">
        <f>#REF!/Summary!M25*100</f>
        <v>#REF!</v>
      </c>
      <c r="N25" s="47" t="e">
        <f>#REF!/Summary!N25*100</f>
        <v>#REF!</v>
      </c>
      <c r="O25" s="47" t="e">
        <f>#REF!/Summary!O25*100</f>
        <v>#REF!</v>
      </c>
      <c r="P25" s="47" t="e">
        <f>#REF!/Summary!P25*100</f>
        <v>#REF!</v>
      </c>
      <c r="Q25" s="47" t="e">
        <f>#REF!/Summary!Q25*100</f>
        <v>#REF!</v>
      </c>
      <c r="R25" s="47" t="e">
        <f>#REF!/Summary!R25*100</f>
        <v>#REF!</v>
      </c>
      <c r="S25" s="47" t="e">
        <f>#REF!/Summary!S25*100</f>
        <v>#REF!</v>
      </c>
      <c r="T25" s="47" t="e">
        <f>#REF!/Summary!T25*100</f>
        <v>#REF!</v>
      </c>
      <c r="U25" s="47" t="e">
        <f>#REF!/Summary!U25*100</f>
        <v>#REF!</v>
      </c>
      <c r="V25" s="47" t="e">
        <f>#REF!/Summary!V25*100</f>
        <v>#REF!</v>
      </c>
      <c r="W25" s="47" t="e">
        <f>#REF!/Summary!W25*100</f>
        <v>#REF!</v>
      </c>
      <c r="X25" s="47" t="e">
        <f>#REF!/Summary!X25*100</f>
        <v>#REF!</v>
      </c>
      <c r="Y25" s="47" t="e">
        <f>#REF!/Summary!Y25*100</f>
        <v>#REF!</v>
      </c>
      <c r="Z25" s="47" t="e">
        <f>#REF!/Summary!Z25*100</f>
        <v>#REF!</v>
      </c>
      <c r="AA25" s="47" t="e">
        <f>#REF!/Summary!AA25*100</f>
        <v>#REF!</v>
      </c>
      <c r="AB25" s="47" t="e">
        <f>#REF!/Summary!AB25*100</f>
        <v>#REF!</v>
      </c>
      <c r="AC25" s="47" t="e">
        <f>#REF!/Summary!AC25*100</f>
        <v>#REF!</v>
      </c>
      <c r="AD25" s="47" t="e">
        <f>#REF!/Summary!AD25*100</f>
        <v>#REF!</v>
      </c>
      <c r="AE25" s="47" t="e">
        <f>#REF!/Summary!AE25*100</f>
        <v>#REF!</v>
      </c>
      <c r="AF25" s="41" t="e">
        <f>#REF!/Summary!AF25*100</f>
        <v>#REF!</v>
      </c>
      <c r="AG25" s="41" t="e">
        <f>#REF!/Summary!AG25*100</f>
        <v>#REF!</v>
      </c>
      <c r="AH25" s="41" t="e">
        <f>#REF!/Summary!AH25*100</f>
        <v>#REF!</v>
      </c>
      <c r="AI25" s="41" t="e">
        <f>#REF!/Summary!AI25*100</f>
        <v>#REF!</v>
      </c>
      <c r="AJ25" s="41" t="e">
        <f>#REF!/Summary!AJ25*100</f>
        <v>#REF!</v>
      </c>
      <c r="AK25" s="41" t="e">
        <f>#REF!/Summary!AK25*100</f>
        <v>#REF!</v>
      </c>
      <c r="AL25" s="41" t="e">
        <f>#REF!/Summary!AL25*100</f>
        <v>#REF!</v>
      </c>
      <c r="AM25" s="41" t="e">
        <f>#REF!/Summary!AM25*100</f>
        <v>#REF!</v>
      </c>
      <c r="AN25" s="41" t="e">
        <f>#REF!/Summary!AN25*100</f>
        <v>#REF!</v>
      </c>
      <c r="AO25" s="41" t="e">
        <f>#REF!/Summary!AO25*100</f>
        <v>#REF!</v>
      </c>
      <c r="AP25" s="41" t="e">
        <f>#REF!/Summary!AP25*100</f>
        <v>#REF!</v>
      </c>
      <c r="AQ25" s="41" t="e">
        <f>#REF!/Summary!AQ25*100</f>
        <v>#REF!</v>
      </c>
    </row>
    <row r="26" spans="1:43" ht="11.1" customHeight="1" x14ac:dyDescent="0.2">
      <c r="A26" s="39" t="s">
        <v>18</v>
      </c>
      <c r="AF26" s="45"/>
      <c r="AG26" s="45"/>
      <c r="AH26" s="45"/>
      <c r="AI26" s="45"/>
      <c r="AJ26" s="45"/>
      <c r="AK26" s="45"/>
      <c r="AL26" s="45"/>
      <c r="AM26" s="45"/>
      <c r="AN26" s="45"/>
      <c r="AO26" s="45"/>
      <c r="AP26" s="45"/>
      <c r="AQ26" s="45"/>
    </row>
    <row r="27" spans="1:43" s="43" customFormat="1" ht="11.1" customHeight="1" thickBot="1" x14ac:dyDescent="0.25">
      <c r="A27" s="51" t="s">
        <v>19</v>
      </c>
      <c r="B27" s="48" t="e">
        <f>#REF!/Summary!B27*100</f>
        <v>#REF!</v>
      </c>
      <c r="C27" s="48" t="e">
        <f>#REF!/Summary!C27*100</f>
        <v>#REF!</v>
      </c>
      <c r="D27" s="48" t="e">
        <f>#REF!/Summary!D27*100</f>
        <v>#REF!</v>
      </c>
      <c r="E27" s="48" t="e">
        <f>#REF!/Summary!E27*100</f>
        <v>#REF!</v>
      </c>
      <c r="F27" s="48" t="e">
        <f>#REF!/Summary!F27*100</f>
        <v>#REF!</v>
      </c>
      <c r="G27" s="48" t="e">
        <f>#REF!/Summary!G27*100</f>
        <v>#REF!</v>
      </c>
      <c r="H27" s="48" t="e">
        <f>#REF!/Summary!H27*100</f>
        <v>#REF!</v>
      </c>
      <c r="I27" s="48" t="e">
        <f>#REF!/Summary!I27*100</f>
        <v>#REF!</v>
      </c>
      <c r="J27" s="48" t="e">
        <f>#REF!/Summary!J27*100</f>
        <v>#REF!</v>
      </c>
      <c r="K27" s="48" t="e">
        <f>#REF!/Summary!K27*100</f>
        <v>#REF!</v>
      </c>
      <c r="L27" s="48" t="e">
        <f>#REF!/Summary!L27*100</f>
        <v>#REF!</v>
      </c>
      <c r="M27" s="48" t="e">
        <f>#REF!/Summary!M27*100</f>
        <v>#REF!</v>
      </c>
      <c r="N27" s="48" t="e">
        <f>#REF!/Summary!N27*100</f>
        <v>#REF!</v>
      </c>
      <c r="O27" s="48" t="e">
        <f>#REF!/Summary!O27*100</f>
        <v>#REF!</v>
      </c>
      <c r="P27" s="48" t="e">
        <f>#REF!/Summary!P27*100</f>
        <v>#REF!</v>
      </c>
      <c r="Q27" s="48" t="e">
        <f>#REF!/Summary!Q27*100</f>
        <v>#REF!</v>
      </c>
      <c r="R27" s="48" t="e">
        <f>#REF!/Summary!R27*100</f>
        <v>#REF!</v>
      </c>
      <c r="S27" s="48" t="e">
        <f>#REF!/Summary!S27*100</f>
        <v>#REF!</v>
      </c>
      <c r="T27" s="48" t="e">
        <f>#REF!/Summary!T27*100</f>
        <v>#REF!</v>
      </c>
      <c r="U27" s="48" t="e">
        <f>#REF!/Summary!U27*100</f>
        <v>#REF!</v>
      </c>
      <c r="V27" s="48" t="e">
        <f>#REF!/Summary!V27*100</f>
        <v>#REF!</v>
      </c>
      <c r="W27" s="48" t="e">
        <f>#REF!/Summary!W27*100</f>
        <v>#REF!</v>
      </c>
      <c r="X27" s="48" t="e">
        <f>#REF!/Summary!X27*100</f>
        <v>#REF!</v>
      </c>
      <c r="Y27" s="48" t="e">
        <f>#REF!/Summary!Y27*100</f>
        <v>#REF!</v>
      </c>
      <c r="Z27" s="48" t="e">
        <f>#REF!/Summary!Z27*100</f>
        <v>#REF!</v>
      </c>
      <c r="AA27" s="48" t="e">
        <f>#REF!/Summary!AA27*100</f>
        <v>#REF!</v>
      </c>
      <c r="AB27" s="48" t="e">
        <f>#REF!/Summary!AB27*100</f>
        <v>#REF!</v>
      </c>
      <c r="AC27" s="48" t="e">
        <f>#REF!/Summary!AC27*100</f>
        <v>#REF!</v>
      </c>
      <c r="AD27" s="48" t="e">
        <f>#REF!/Summary!AD27*100</f>
        <v>#REF!</v>
      </c>
      <c r="AE27" s="48" t="e">
        <f>#REF!/Summary!AE27*100</f>
        <v>#REF!</v>
      </c>
      <c r="AF27" s="44" t="e">
        <f>#REF!/Summary!AF27*100</f>
        <v>#REF!</v>
      </c>
      <c r="AG27" s="44" t="e">
        <f>#REF!/Summary!AG27*100</f>
        <v>#REF!</v>
      </c>
      <c r="AH27" s="44" t="e">
        <f>#REF!/Summary!AH27*100</f>
        <v>#REF!</v>
      </c>
      <c r="AI27" s="44" t="e">
        <f>#REF!/Summary!AI27*100</f>
        <v>#REF!</v>
      </c>
      <c r="AJ27" s="44" t="e">
        <f>#REF!/Summary!AJ27*100</f>
        <v>#REF!</v>
      </c>
      <c r="AK27" s="44" t="e">
        <f>#REF!/Summary!AK27*100</f>
        <v>#REF!</v>
      </c>
      <c r="AL27" s="44" t="e">
        <f>#REF!/Summary!AL27*100</f>
        <v>#REF!</v>
      </c>
      <c r="AM27" s="44" t="e">
        <f>#REF!/Summary!AM27*100</f>
        <v>#REF!</v>
      </c>
      <c r="AN27" s="44" t="e">
        <f>#REF!/Summary!AN27*100</f>
        <v>#REF!</v>
      </c>
      <c r="AO27" s="44" t="e">
        <f>#REF!/Summary!AO27*100</f>
        <v>#REF!</v>
      </c>
      <c r="AP27" s="44" t="e">
        <f>#REF!/Summary!AP27*100</f>
        <v>#REF!</v>
      </c>
      <c r="AQ27" s="44" t="e">
        <f>#REF!/Summary!AQ27*100</f>
        <v>#REF!</v>
      </c>
    </row>
    <row r="28" spans="1:43" ht="11.1" customHeight="1" x14ac:dyDescent="0.2">
      <c r="A28" s="52" t="s">
        <v>69</v>
      </c>
      <c r="AF28" s="45"/>
      <c r="AG28" s="45"/>
      <c r="AH28" s="45"/>
    </row>
    <row r="29" spans="1:43" ht="11.1" customHeight="1" x14ac:dyDescent="0.2">
      <c r="AF29" s="45"/>
      <c r="AG29" s="45"/>
      <c r="AH29" s="45"/>
    </row>
    <row r="30" spans="1:43" ht="11.1" customHeight="1" thickBot="1" x14ac:dyDescent="0.25">
      <c r="L30" s="53"/>
      <c r="M30" s="53"/>
      <c r="N30" s="53"/>
      <c r="O30" s="53"/>
      <c r="P30" s="53"/>
      <c r="R30" s="53"/>
      <c r="S30" s="53"/>
      <c r="U30" s="53"/>
      <c r="X30" s="53" t="s">
        <v>111</v>
      </c>
      <c r="AF30" s="45"/>
      <c r="AG30" s="45"/>
      <c r="AH30" s="45"/>
    </row>
    <row r="31" spans="1:43" s="36" customFormat="1" ht="11.1" customHeight="1" x14ac:dyDescent="0.2">
      <c r="B31" s="265" t="s">
        <v>67</v>
      </c>
      <c r="C31" s="265"/>
      <c r="D31" s="265" t="s">
        <v>66</v>
      </c>
      <c r="E31" s="265"/>
      <c r="F31" s="265"/>
      <c r="G31" s="265"/>
      <c r="H31" s="265" t="s">
        <v>60</v>
      </c>
      <c r="I31" s="265"/>
      <c r="J31" s="265"/>
      <c r="K31" s="265"/>
      <c r="L31" s="265" t="s">
        <v>61</v>
      </c>
      <c r="M31" s="265"/>
      <c r="N31" s="265"/>
      <c r="O31" s="265"/>
      <c r="P31" s="265" t="s">
        <v>62</v>
      </c>
      <c r="Q31" s="265"/>
      <c r="R31" s="265"/>
      <c r="S31" s="265"/>
      <c r="U31" s="265" t="s">
        <v>63</v>
      </c>
      <c r="V31" s="265"/>
      <c r="W31" s="265"/>
      <c r="X31" s="265" t="s">
        <v>64</v>
      </c>
      <c r="Y31" s="265"/>
      <c r="Z31" s="265"/>
      <c r="AA31" s="265"/>
      <c r="AB31" s="265" t="s">
        <v>65</v>
      </c>
      <c r="AC31" s="265"/>
      <c r="AD31" s="265"/>
      <c r="AE31" s="265"/>
      <c r="AF31" s="265" t="s">
        <v>77</v>
      </c>
      <c r="AG31" s="265"/>
      <c r="AH31" s="265"/>
      <c r="AI31" s="265"/>
      <c r="AJ31" s="265" t="s">
        <v>80</v>
      </c>
      <c r="AK31" s="265"/>
      <c r="AL31" s="265"/>
      <c r="AN31" s="265" t="s">
        <v>92</v>
      </c>
      <c r="AO31" s="265"/>
      <c r="AP31" s="265"/>
      <c r="AQ31" s="265"/>
    </row>
    <row r="32" spans="1:43" ht="11.1" customHeight="1" x14ac:dyDescent="0.2">
      <c r="A32" s="21" t="s">
        <v>99</v>
      </c>
      <c r="B32" s="38" t="s">
        <v>48</v>
      </c>
      <c r="C32" s="38" t="s">
        <v>49</v>
      </c>
      <c r="D32" s="38" t="s">
        <v>46</v>
      </c>
      <c r="E32" s="38" t="s">
        <v>47</v>
      </c>
      <c r="F32" s="38" t="s">
        <v>48</v>
      </c>
      <c r="G32" s="38" t="s">
        <v>49</v>
      </c>
      <c r="H32" s="38" t="s">
        <v>46</v>
      </c>
      <c r="I32" s="38" t="s">
        <v>47</v>
      </c>
      <c r="J32" s="38" t="s">
        <v>48</v>
      </c>
      <c r="K32" s="38" t="s">
        <v>49</v>
      </c>
      <c r="L32" s="38" t="s">
        <v>46</v>
      </c>
      <c r="M32" s="38" t="s">
        <v>47</v>
      </c>
      <c r="N32" s="38" t="s">
        <v>48</v>
      </c>
      <c r="O32" s="38" t="s">
        <v>49</v>
      </c>
      <c r="P32" s="38" t="s">
        <v>46</v>
      </c>
      <c r="Q32" s="38" t="s">
        <v>47</v>
      </c>
      <c r="R32" s="38" t="s">
        <v>48</v>
      </c>
      <c r="S32" s="38" t="s">
        <v>49</v>
      </c>
      <c r="T32" s="38" t="s">
        <v>46</v>
      </c>
      <c r="U32" s="38" t="s">
        <v>47</v>
      </c>
      <c r="V32" s="38" t="s">
        <v>48</v>
      </c>
      <c r="W32" s="38" t="s">
        <v>49</v>
      </c>
      <c r="X32" s="38" t="s">
        <v>46</v>
      </c>
      <c r="Y32" s="38" t="s">
        <v>47</v>
      </c>
      <c r="Z32" s="38" t="s">
        <v>48</v>
      </c>
      <c r="AA32" s="38" t="s">
        <v>49</v>
      </c>
      <c r="AB32" s="38" t="s">
        <v>46</v>
      </c>
      <c r="AC32" s="38" t="s">
        <v>47</v>
      </c>
      <c r="AD32" s="38" t="s">
        <v>48</v>
      </c>
      <c r="AE32" s="38" t="s">
        <v>49</v>
      </c>
      <c r="AF32" s="38" t="s">
        <v>46</v>
      </c>
      <c r="AG32" s="38" t="s">
        <v>47</v>
      </c>
      <c r="AH32" s="38" t="s">
        <v>48</v>
      </c>
      <c r="AI32" s="38" t="s">
        <v>49</v>
      </c>
      <c r="AJ32" s="38" t="s">
        <v>46</v>
      </c>
      <c r="AK32" s="38" t="s">
        <v>47</v>
      </c>
      <c r="AL32" s="38" t="s">
        <v>48</v>
      </c>
      <c r="AM32" s="38" t="s">
        <v>49</v>
      </c>
      <c r="AN32" s="50" t="s">
        <v>46</v>
      </c>
      <c r="AO32" s="50" t="s">
        <v>47</v>
      </c>
      <c r="AP32" s="50" t="s">
        <v>48</v>
      </c>
      <c r="AQ32" s="50" t="s">
        <v>49</v>
      </c>
    </row>
    <row r="33" spans="1:43" ht="11.1" customHeight="1" x14ac:dyDescent="0.2">
      <c r="A33" s="37" t="s">
        <v>101</v>
      </c>
    </row>
    <row r="34" spans="1:43" s="37" customFormat="1" ht="11.1" customHeight="1" x14ac:dyDescent="0.2">
      <c r="A34" s="39" t="s">
        <v>0</v>
      </c>
      <c r="B34" s="46" t="e">
        <f>Summary!B6/Summary!B$6*100</f>
        <v>#DIV/0!</v>
      </c>
      <c r="C34" s="46" t="e">
        <f>Summary!C6/Summary!C$6*100</f>
        <v>#DIV/0!</v>
      </c>
      <c r="D34" s="46">
        <f>Summary!D6/Summary!D$6*100</f>
        <v>100</v>
      </c>
      <c r="E34" s="46">
        <f>Summary!E6/Summary!E$6*100</f>
        <v>100</v>
      </c>
      <c r="F34" s="46">
        <f>Summary!F6/Summary!F$6*100</f>
        <v>100</v>
      </c>
      <c r="G34" s="46">
        <f>Summary!G6/Summary!G$6*100</f>
        <v>100</v>
      </c>
      <c r="H34" s="46">
        <f>Summary!H6/Summary!H$6*100</f>
        <v>100</v>
      </c>
      <c r="I34" s="46">
        <f>Summary!I6/Summary!I$6*100</f>
        <v>100</v>
      </c>
      <c r="J34" s="46">
        <f>Summary!J6/Summary!J$6*100</f>
        <v>100</v>
      </c>
      <c r="K34" s="46">
        <f t="shared" ref="K34:AE34" si="0">SUM(K35:K39)</f>
        <v>99.999999999999986</v>
      </c>
      <c r="L34" s="46">
        <f t="shared" si="0"/>
        <v>100</v>
      </c>
      <c r="M34" s="46">
        <f t="shared" si="0"/>
        <v>100</v>
      </c>
      <c r="N34" s="46">
        <f t="shared" si="0"/>
        <v>99.999999999999986</v>
      </c>
      <c r="O34" s="46">
        <f t="shared" si="0"/>
        <v>99.999999999999986</v>
      </c>
      <c r="P34" s="46">
        <f t="shared" si="0"/>
        <v>99.999999999999986</v>
      </c>
      <c r="Q34" s="46">
        <f t="shared" si="0"/>
        <v>100</v>
      </c>
      <c r="R34" s="46">
        <f t="shared" si="0"/>
        <v>100</v>
      </c>
      <c r="S34" s="46">
        <f t="shared" si="0"/>
        <v>100</v>
      </c>
      <c r="T34" s="46">
        <f t="shared" si="0"/>
        <v>100.00000000000001</v>
      </c>
      <c r="U34" s="46">
        <f t="shared" si="0"/>
        <v>99.999999999999986</v>
      </c>
      <c r="V34" s="46">
        <f t="shared" si="0"/>
        <v>100</v>
      </c>
      <c r="W34" s="46">
        <f t="shared" si="0"/>
        <v>100.00000000000003</v>
      </c>
      <c r="X34" s="46">
        <f t="shared" si="0"/>
        <v>100</v>
      </c>
      <c r="Y34" s="46">
        <f t="shared" si="0"/>
        <v>100.00000000000001</v>
      </c>
      <c r="Z34" s="46">
        <f t="shared" si="0"/>
        <v>100</v>
      </c>
      <c r="AA34" s="46">
        <f t="shared" si="0"/>
        <v>99.999999999999986</v>
      </c>
      <c r="AB34" s="46">
        <f t="shared" si="0"/>
        <v>100</v>
      </c>
      <c r="AC34" s="46">
        <f t="shared" si="0"/>
        <v>100</v>
      </c>
      <c r="AD34" s="46">
        <f t="shared" si="0"/>
        <v>99.999999999999986</v>
      </c>
      <c r="AE34" s="46">
        <f t="shared" si="0"/>
        <v>100</v>
      </c>
      <c r="AF34" s="46">
        <f t="shared" ref="AF34:AK34" si="1">SUM(AF35:AF39)</f>
        <v>100.00000000000001</v>
      </c>
      <c r="AG34" s="46">
        <f t="shared" si="1"/>
        <v>100.00000000000001</v>
      </c>
      <c r="AH34" s="46">
        <f t="shared" si="1"/>
        <v>100.00000000000003</v>
      </c>
      <c r="AI34" s="46">
        <f t="shared" si="1"/>
        <v>100.00000000000001</v>
      </c>
      <c r="AJ34" s="46">
        <f t="shared" si="1"/>
        <v>100</v>
      </c>
      <c r="AK34" s="46">
        <f t="shared" si="1"/>
        <v>100.00000000000001</v>
      </c>
      <c r="AL34" s="46">
        <f t="shared" ref="AL34:AQ34" si="2">SUM(AL35:AL39)</f>
        <v>100</v>
      </c>
      <c r="AM34" s="46">
        <f t="shared" si="2"/>
        <v>100.00000000000001</v>
      </c>
      <c r="AN34" s="46">
        <f t="shared" si="2"/>
        <v>99.999999999999986</v>
      </c>
      <c r="AO34" s="46">
        <f t="shared" si="2"/>
        <v>100.00000000000001</v>
      </c>
      <c r="AP34" s="46">
        <f t="shared" si="2"/>
        <v>99.999999999999986</v>
      </c>
      <c r="AQ34" s="46">
        <f t="shared" si="2"/>
        <v>100</v>
      </c>
    </row>
    <row r="35" spans="1:43" ht="11.1" customHeight="1" x14ac:dyDescent="0.2">
      <c r="A35" s="40" t="s">
        <v>70</v>
      </c>
      <c r="B35" s="47" t="e">
        <f>Summary!B7/Summary!B$6*100</f>
        <v>#DIV/0!</v>
      </c>
      <c r="C35" s="47" t="e">
        <f>Summary!C7/Summary!C$6*100</f>
        <v>#DIV/0!</v>
      </c>
      <c r="D35" s="47">
        <f>Summary!D7/Summary!D$6*100</f>
        <v>41.274882987776181</v>
      </c>
      <c r="E35" s="47">
        <f>Summary!E7/Summary!E$6*100</f>
        <v>35.148248683534753</v>
      </c>
      <c r="F35" s="47">
        <f>Summary!F7/Summary!F$6*100</f>
        <v>31.548613555751547</v>
      </c>
      <c r="G35" s="47">
        <f>Summary!G7/Summary!G$6*100</f>
        <v>34.351133885436965</v>
      </c>
      <c r="H35" s="47">
        <f>Summary!H7/Summary!H$6*100</f>
        <v>32.617381474774632</v>
      </c>
      <c r="I35" s="47">
        <f>Summary!I7/Summary!I$6*100</f>
        <v>26.611490884654287</v>
      </c>
      <c r="J35" s="47">
        <f>Summary!J7/Summary!J$6*100</f>
        <v>22.69937600510573</v>
      </c>
      <c r="K35" s="47">
        <f>Summary!K7/Summary!K$6*100</f>
        <v>26.389332511404589</v>
      </c>
      <c r="L35" s="47">
        <f>Summary!L7/Summary!L$6*100</f>
        <v>30.213420160463421</v>
      </c>
      <c r="M35" s="47">
        <f>Summary!M7/Summary!M$6*100</f>
        <v>24.548318899068356</v>
      </c>
      <c r="N35" s="47">
        <f>Summary!N7/Summary!N$6*100</f>
        <v>22.4573683117186</v>
      </c>
      <c r="O35" s="47">
        <f>Summary!O7/Summary!O$6*100</f>
        <v>25.660852287319031</v>
      </c>
      <c r="P35" s="47">
        <f>Summary!P7/Summary!P$6*100</f>
        <v>32.081827305168694</v>
      </c>
      <c r="Q35" s="47">
        <f>Summary!Q7/Summary!Q$6*100</f>
        <v>24.626028487159175</v>
      </c>
      <c r="R35" s="47">
        <f>Summary!R7/Summary!R$6*100</f>
        <v>20.571461321550409</v>
      </c>
      <c r="S35" s="47">
        <f>Summary!S7/Summary!S$6*100</f>
        <v>22.68591583794462</v>
      </c>
      <c r="T35" s="47">
        <f>Summary!T7/Summary!T$6*100</f>
        <v>31.750796148550602</v>
      </c>
      <c r="U35" s="47">
        <f>Summary!U7/Summary!U$6*100</f>
        <v>23.803356057315977</v>
      </c>
      <c r="V35" s="47">
        <f>Summary!V7/Summary!V$6*100</f>
        <v>21.300813134084738</v>
      </c>
      <c r="W35" s="47">
        <f>Summary!W7/Summary!W$6*100</f>
        <v>21.856399778729077</v>
      </c>
      <c r="X35" s="47">
        <f>Summary!X7/Summary!X$6*100</f>
        <v>32.498798221313002</v>
      </c>
      <c r="Y35" s="47">
        <f>Summary!Y7/Summary!Y$6*100</f>
        <v>23.765639161677456</v>
      </c>
      <c r="Z35" s="47">
        <f>Summary!Z7/Summary!Z$6*100</f>
        <v>19.856993144020553</v>
      </c>
      <c r="AA35" s="47">
        <f>Summary!AA7/Summary!AA$6*100</f>
        <v>21.576011813646598</v>
      </c>
      <c r="AB35" s="47">
        <f>Summary!AB7/Summary!AB$6*100</f>
        <v>29.499796103010457</v>
      </c>
      <c r="AC35" s="47">
        <f>Summary!AC7/Summary!AC$6*100</f>
        <v>23.549042452647459</v>
      </c>
      <c r="AD35" s="47">
        <f>Summary!AD7/Summary!AD$6*100</f>
        <v>19.833184053166452</v>
      </c>
      <c r="AE35" s="47">
        <f>Summary!AE7/Summary!AE$6*100</f>
        <v>21.728340295967559</v>
      </c>
      <c r="AF35" s="47">
        <f>Summary!AF7/Summary!AF$6*100</f>
        <v>27.640100155808124</v>
      </c>
      <c r="AG35" s="47">
        <f>Summary!AG7/Summary!AG$6*100</f>
        <v>22.357709490401888</v>
      </c>
      <c r="AH35" s="47">
        <f>Summary!AH7/Summary!AH$6*100</f>
        <v>21.572577818216537</v>
      </c>
      <c r="AI35" s="47">
        <f>Summary!AI7/Summary!AI$6*100</f>
        <v>22.074730015215991</v>
      </c>
      <c r="AJ35" s="47">
        <f>Summary!AJ7/Summary!AJ$6*100</f>
        <v>28.037654376615734</v>
      </c>
      <c r="AK35" s="47">
        <f>Summary!AK7/Summary!AK$6*100</f>
        <v>22.96323230812861</v>
      </c>
      <c r="AL35" s="47">
        <f>Summary!AL7/Summary!AL$6*100</f>
        <v>20.424136157095383</v>
      </c>
      <c r="AM35" s="47">
        <f>Summary!AM7/Summary!AM$6*100</f>
        <v>22.054985395003058</v>
      </c>
      <c r="AN35" s="47">
        <f>Summary!AN7/Summary!AN$6*100</f>
        <v>28.544410298403765</v>
      </c>
      <c r="AO35" s="47">
        <f>Summary!AO7/Summary!AO$6*100</f>
        <v>21.879340475045638</v>
      </c>
      <c r="AP35" s="47">
        <f>Summary!AP7/Summary!AP$6*100</f>
        <v>19.871347994820567</v>
      </c>
      <c r="AQ35" s="47">
        <f>Summary!AQ7/Summary!AQ$6*100</f>
        <v>21.316146642021724</v>
      </c>
    </row>
    <row r="36" spans="1:43" ht="11.1" customHeight="1" x14ac:dyDescent="0.2">
      <c r="A36" s="40" t="s">
        <v>7</v>
      </c>
      <c r="B36" s="47" t="e">
        <f>Summary!B8/Summary!B$6*100</f>
        <v>#DIV/0!</v>
      </c>
      <c r="C36" s="47" t="e">
        <f>Summary!C8/Summary!C$6*100</f>
        <v>#DIV/0!</v>
      </c>
      <c r="D36" s="47">
        <f>Summary!D8/Summary!D$6*100</f>
        <v>9.1668778286824804</v>
      </c>
      <c r="E36" s="47">
        <f>Summary!E8/Summary!E$6*100</f>
        <v>10.300669722202988</v>
      </c>
      <c r="F36" s="47">
        <f>Summary!F8/Summary!F$6*100</f>
        <v>8.9515134006391293</v>
      </c>
      <c r="G36" s="47">
        <f>Summary!G8/Summary!G$6*100</f>
        <v>11.742768901873271</v>
      </c>
      <c r="H36" s="47">
        <f>Summary!H8/Summary!H$6*100</f>
        <v>22.965376827878167</v>
      </c>
      <c r="I36" s="47">
        <f>Summary!I8/Summary!I$6*100</f>
        <v>25.018550862809647</v>
      </c>
      <c r="J36" s="47">
        <f>Summary!J8/Summary!J$6*100</f>
        <v>26.074539776108136</v>
      </c>
      <c r="K36" s="47">
        <f>Summary!K8/Summary!K$6*100</f>
        <v>24.455908034568843</v>
      </c>
      <c r="L36" s="47">
        <f>Summary!L8/Summary!L$6*100</f>
        <v>22.580497099816622</v>
      </c>
      <c r="M36" s="47">
        <f>Summary!M8/Summary!M$6*100</f>
        <v>25.964273937363508</v>
      </c>
      <c r="N36" s="47">
        <f>Summary!N8/Summary!N$6*100</f>
        <v>25.584811490751175</v>
      </c>
      <c r="O36" s="47">
        <f>Summary!O8/Summary!O$6*100</f>
        <v>25.721672719978351</v>
      </c>
      <c r="P36" s="47">
        <f>Summary!P8/Summary!P$6*100</f>
        <v>22.238285022484742</v>
      </c>
      <c r="Q36" s="47">
        <f>Summary!Q8/Summary!Q$6*100</f>
        <v>25.187509452571728</v>
      </c>
      <c r="R36" s="47">
        <f>Summary!R8/Summary!R$6*100</f>
        <v>26.990701850081223</v>
      </c>
      <c r="S36" s="47">
        <f>Summary!S8/Summary!S$6*100</f>
        <v>25.715227692574022</v>
      </c>
      <c r="T36" s="47">
        <f>Summary!T8/Summary!T$6*100</f>
        <v>21.855068472054267</v>
      </c>
      <c r="U36" s="47">
        <f>Summary!U8/Summary!U$6*100</f>
        <v>25.33997052397919</v>
      </c>
      <c r="V36" s="47">
        <f>Summary!V8/Summary!V$6*100</f>
        <v>26.678813427438946</v>
      </c>
      <c r="W36" s="47">
        <f>Summary!W8/Summary!W$6*100</f>
        <v>24.796091989015071</v>
      </c>
      <c r="X36" s="47">
        <f>Summary!X8/Summary!X$6*100</f>
        <v>22.017877167493779</v>
      </c>
      <c r="Y36" s="47">
        <f>Summary!Y8/Summary!Y$6*100</f>
        <v>25.09387470096171</v>
      </c>
      <c r="Z36" s="47">
        <f>Summary!Z8/Summary!Z$6*100</f>
        <v>26.316917926900363</v>
      </c>
      <c r="AA36" s="47">
        <f>Summary!AA8/Summary!AA$6*100</f>
        <v>25.274779324745616</v>
      </c>
      <c r="AB36" s="47">
        <f>Summary!AB8/Summary!AB$6*100</f>
        <v>23.285006255183603</v>
      </c>
      <c r="AC36" s="47">
        <f>Summary!AC8/Summary!AC$6*100</f>
        <v>25.184421155509106</v>
      </c>
      <c r="AD36" s="47">
        <f>Summary!AD8/Summary!AD$6*100</f>
        <v>26.77373025010537</v>
      </c>
      <c r="AE36" s="47">
        <f>Summary!AE8/Summary!AE$6*100</f>
        <v>26.15970439014524</v>
      </c>
      <c r="AF36" s="47">
        <f>Summary!AF8/Summary!AF$6*100</f>
        <v>23.766956032228766</v>
      </c>
      <c r="AG36" s="47">
        <f>Summary!AG8/Summary!AG$6*100</f>
        <v>25.662519596583344</v>
      </c>
      <c r="AH36" s="47">
        <f>Summary!AH8/Summary!AH$6*100</f>
        <v>25.569951339331144</v>
      </c>
      <c r="AI36" s="47">
        <f>Summary!AI8/Summary!AI$6*100</f>
        <v>25.665717719547366</v>
      </c>
      <c r="AJ36" s="47">
        <f>Summary!AJ8/Summary!AJ$6*100</f>
        <v>23.685671918598956</v>
      </c>
      <c r="AK36" s="47">
        <f>Summary!AK8/Summary!AK$6*100</f>
        <v>26.707318585461117</v>
      </c>
      <c r="AL36" s="47">
        <f>Summary!AL8/Summary!AL$6*100</f>
        <v>27.840592116950269</v>
      </c>
      <c r="AM36" s="47">
        <f>Summary!AM8/Summary!AM$6*100</f>
        <v>26.087901214532621</v>
      </c>
      <c r="AN36" s="47">
        <f>Summary!AN8/Summary!AN$6*100</f>
        <v>23.186178658093414</v>
      </c>
      <c r="AO36" s="47">
        <f>Summary!AO8/Summary!AO$6*100</f>
        <v>25.807515260435217</v>
      </c>
      <c r="AP36" s="47">
        <f>Summary!AP8/Summary!AP$6*100</f>
        <v>27.256036692276208</v>
      </c>
      <c r="AQ36" s="47">
        <f>Summary!AQ8/Summary!AQ$6*100</f>
        <v>26.685471442499026</v>
      </c>
    </row>
    <row r="37" spans="1:43" ht="11.1" customHeight="1" x14ac:dyDescent="0.2">
      <c r="A37" s="40" t="s">
        <v>13</v>
      </c>
      <c r="B37" s="47" t="e">
        <f>Summary!B9/Summary!B$6*100</f>
        <v>#DIV/0!</v>
      </c>
      <c r="C37" s="47" t="e">
        <f>Summary!C9/Summary!C$6*100</f>
        <v>#DIV/0!</v>
      </c>
      <c r="D37" s="47">
        <f>Summary!D9/Summary!D$6*100</f>
        <v>43.30869961243571</v>
      </c>
      <c r="E37" s="47">
        <f>Summary!E9/Summary!E$6*100</f>
        <v>48.001318750384314</v>
      </c>
      <c r="F37" s="47">
        <f>Summary!F9/Summary!F$6*100</f>
        <v>50.619497693871665</v>
      </c>
      <c r="G37" s="47">
        <f>Summary!G9/Summary!G$6*100</f>
        <v>46.461678847921192</v>
      </c>
      <c r="H37" s="47">
        <f>Summary!H9/Summary!H$6*100</f>
        <v>38.993725705807378</v>
      </c>
      <c r="I37" s="47">
        <f>Summary!I9/Summary!I$6*100</f>
        <v>42.726794624667015</v>
      </c>
      <c r="J37" s="47">
        <f>Summary!J9/Summary!J$6*100</f>
        <v>45.722336443088466</v>
      </c>
      <c r="K37" s="47">
        <f>Summary!K9/Summary!K$6*100</f>
        <v>43.893597485674292</v>
      </c>
      <c r="L37" s="47">
        <f>Summary!L9/Summary!L$6*100</f>
        <v>42.229317010828822</v>
      </c>
      <c r="M37" s="47">
        <f>Summary!M9/Summary!M$6*100</f>
        <v>43.699638005222354</v>
      </c>
      <c r="N37" s="47">
        <f>Summary!N9/Summary!N$6*100</f>
        <v>45.864952043873224</v>
      </c>
      <c r="O37" s="47">
        <f>Summary!O9/Summary!O$6*100</f>
        <v>42.849029937000068</v>
      </c>
      <c r="P37" s="47">
        <f>Summary!P9/Summary!P$6*100</f>
        <v>40.36074003560303</v>
      </c>
      <c r="Q37" s="47">
        <f>Summary!Q9/Summary!Q$6*100</f>
        <v>43.642869395914232</v>
      </c>
      <c r="R37" s="47">
        <f>Summary!R9/Summary!R$6*100</f>
        <v>45.437505205093267</v>
      </c>
      <c r="S37" s="47">
        <f>Summary!S9/Summary!S$6*100</f>
        <v>45.065235124876125</v>
      </c>
      <c r="T37" s="47">
        <f>Summary!T9/Summary!T$6*100</f>
        <v>40.991892480227193</v>
      </c>
      <c r="U37" s="47">
        <f>Summary!U9/Summary!U$6*100</f>
        <v>44.748034438912882</v>
      </c>
      <c r="V37" s="47">
        <f>Summary!V9/Summary!V$6*100</f>
        <v>45.318670134275727</v>
      </c>
      <c r="W37" s="47">
        <f>Summary!W9/Summary!W$6*100</f>
        <v>46.506780232506195</v>
      </c>
      <c r="X37" s="47">
        <f>Summary!X9/Summary!X$6*100</f>
        <v>39.773904123358015</v>
      </c>
      <c r="Y37" s="47">
        <f>Summary!Y9/Summary!Y$6*100</f>
        <v>44.731546225249033</v>
      </c>
      <c r="Z37" s="47">
        <f>Summary!Z9/Summary!Z$6*100</f>
        <v>46.71292628384365</v>
      </c>
      <c r="AA37" s="47">
        <f>Summary!AA9/Summary!AA$6*100</f>
        <v>46.681693067442481</v>
      </c>
      <c r="AB37" s="47">
        <f>Summary!AB9/Summary!AB$6*100</f>
        <v>41.303391226441271</v>
      </c>
      <c r="AC37" s="47">
        <f>Summary!AC9/Summary!AC$6*100</f>
        <v>44.642988132700168</v>
      </c>
      <c r="AD37" s="47">
        <f>Summary!AD9/Summary!AD$6*100</f>
        <v>46.369308784544252</v>
      </c>
      <c r="AE37" s="47">
        <f>Summary!AE9/Summary!AE$6*100</f>
        <v>45.054266328731622</v>
      </c>
      <c r="AF37" s="47">
        <f>Summary!AF9/Summary!AF$6*100</f>
        <v>42.72864035909403</v>
      </c>
      <c r="AG37" s="47">
        <f>Summary!AG9/Summary!AG$6*100</f>
        <v>45.415539477306091</v>
      </c>
      <c r="AH37" s="47">
        <f>Summary!AH9/Summary!AH$6*100</f>
        <v>46.136815784826219</v>
      </c>
      <c r="AI37" s="47">
        <f>Summary!AI9/Summary!AI$6*100</f>
        <v>45.164765190425477</v>
      </c>
      <c r="AJ37" s="47">
        <f>Summary!AJ9/Summary!AJ$6*100</f>
        <v>41.773506783963434</v>
      </c>
      <c r="AK37" s="47">
        <f>Summary!AK9/Summary!AK$6*100</f>
        <v>43.498030500539095</v>
      </c>
      <c r="AL37" s="47">
        <f>Summary!AL9/Summary!AL$6*100</f>
        <v>44.309022284262809</v>
      </c>
      <c r="AM37" s="47">
        <f>Summary!AM9/Summary!AM$6*100</f>
        <v>44.453426583497887</v>
      </c>
      <c r="AN37" s="47">
        <f>Summary!AN9/Summary!AN$6*100</f>
        <v>41.798401548440722</v>
      </c>
      <c r="AO37" s="47">
        <f>Summary!AO9/Summary!AO$6*100</f>
        <v>45.226965331958581</v>
      </c>
      <c r="AP37" s="47">
        <f>Summary!AP9/Summary!AP$6*100</f>
        <v>45.872589654169921</v>
      </c>
      <c r="AQ37" s="47">
        <f>Summary!AQ9/Summary!AQ$6*100</f>
        <v>44.888903845668857</v>
      </c>
    </row>
    <row r="38" spans="1:43" ht="11.1" customHeight="1" x14ac:dyDescent="0.2">
      <c r="A38" s="39" t="s">
        <v>18</v>
      </c>
    </row>
    <row r="39" spans="1:43" ht="11.1" customHeight="1" x14ac:dyDescent="0.2">
      <c r="A39" s="42" t="s">
        <v>19</v>
      </c>
      <c r="B39" s="47" t="e">
        <f>Summary!B11/Summary!B$6*100</f>
        <v>#DIV/0!</v>
      </c>
      <c r="C39" s="47" t="e">
        <f>Summary!C11/Summary!C$6*100</f>
        <v>#DIV/0!</v>
      </c>
      <c r="D39" s="47">
        <f>Summary!D11/Summary!D$6*100</f>
        <v>6.2495395711056325</v>
      </c>
      <c r="E39" s="47">
        <f>Summary!E11/Summary!E$6*100</f>
        <v>6.54976284387795</v>
      </c>
      <c r="F39" s="47">
        <f>Summary!F11/Summary!F$6*100</f>
        <v>8.8803753497376618</v>
      </c>
      <c r="G39" s="47">
        <f>Summary!G11/Summary!G$6*100</f>
        <v>7.4444183647685707</v>
      </c>
      <c r="H39" s="47">
        <f>Summary!H11/Summary!H$6*100</f>
        <v>5.423515991539829</v>
      </c>
      <c r="I39" s="47">
        <f>Summary!I11/Summary!I$6*100</f>
        <v>5.6431636278690576</v>
      </c>
      <c r="J39" s="47">
        <f>Summary!J11/Summary!J$6*100</f>
        <v>5.5037477756976729</v>
      </c>
      <c r="K39" s="47">
        <f>Summary!K11/Summary!K$6*100</f>
        <v>5.2611619683522592</v>
      </c>
      <c r="L39" s="47">
        <f>Summary!L11/Summary!L$6*100</f>
        <v>4.976765728891138</v>
      </c>
      <c r="M39" s="47">
        <f>Summary!M11/Summary!M$6*100</f>
        <v>5.7877691583457835</v>
      </c>
      <c r="N39" s="47">
        <f>Summary!N11/Summary!N$6*100</f>
        <v>6.0928681536569886</v>
      </c>
      <c r="O39" s="47">
        <f>Summary!O11/Summary!O$6*100</f>
        <v>5.7684450557025393</v>
      </c>
      <c r="P39" s="47">
        <f>Summary!P11/Summary!P$6*100</f>
        <v>5.3191476367435202</v>
      </c>
      <c r="Q39" s="47">
        <f>Summary!Q11/Summary!Q$6*100</f>
        <v>6.5435926643548576</v>
      </c>
      <c r="R39" s="47">
        <f>Summary!R11/Summary!R$6*100</f>
        <v>7.0003316232751089</v>
      </c>
      <c r="S39" s="47">
        <f>Summary!S11/Summary!S$6*100</f>
        <v>6.5336213446052334</v>
      </c>
      <c r="T39" s="47">
        <f>Summary!T11/Summary!T$6*100</f>
        <v>5.402242899167943</v>
      </c>
      <c r="U39" s="47">
        <f>Summary!U11/Summary!U$6*100</f>
        <v>6.1086389797919391</v>
      </c>
      <c r="V39" s="47">
        <f>Summary!V11/Summary!V$6*100</f>
        <v>6.7017033042005805</v>
      </c>
      <c r="W39" s="47">
        <f>Summary!W11/Summary!W$6*100</f>
        <v>6.8407279997496673</v>
      </c>
      <c r="X39" s="47">
        <f>Summary!X11/Summary!X$6*100</f>
        <v>5.7094204878352022</v>
      </c>
      <c r="Y39" s="47">
        <f>Summary!Y11/Summary!Y$6*100</f>
        <v>6.4089399121118138</v>
      </c>
      <c r="Z39" s="47">
        <f>Summary!Z11/Summary!Z$6*100</f>
        <v>7.1131626452354375</v>
      </c>
      <c r="AA39" s="47">
        <f>Summary!AA11/Summary!AA$6*100</f>
        <v>6.4675157941652905</v>
      </c>
      <c r="AB39" s="47">
        <f>Summary!AB11/Summary!AB$6*100</f>
        <v>5.9118064153646728</v>
      </c>
      <c r="AC39" s="47">
        <f>Summary!AC11/Summary!AC$6*100</f>
        <v>6.6235482591432566</v>
      </c>
      <c r="AD39" s="47">
        <f>Summary!AD11/Summary!AD$6*100</f>
        <v>7.0237769121839158</v>
      </c>
      <c r="AE39" s="47">
        <f>Summary!AE11/Summary!AE$6*100</f>
        <v>7.057688985155572</v>
      </c>
      <c r="AF39" s="47">
        <f>Summary!AF11/Summary!AF$6*100</f>
        <v>5.8643034528690947</v>
      </c>
      <c r="AG39" s="47">
        <f>Summary!AG11/Summary!AG$6*100</f>
        <v>6.5642314357086864</v>
      </c>
      <c r="AH39" s="47">
        <f>Summary!AH11/Summary!AH$6*100</f>
        <v>6.7206550576261108</v>
      </c>
      <c r="AI39" s="47">
        <f>Summary!AI11/Summary!AI$6*100</f>
        <v>7.0947870748111814</v>
      </c>
      <c r="AJ39" s="47">
        <f>Summary!AJ11/Summary!AJ$6*100</f>
        <v>6.5031669208218847</v>
      </c>
      <c r="AK39" s="47">
        <f>Summary!AK11/Summary!AK$6*100</f>
        <v>6.8314186058711881</v>
      </c>
      <c r="AL39" s="47">
        <f>Summary!AL11/Summary!AL$6*100</f>
        <v>7.4262494416915352</v>
      </c>
      <c r="AM39" s="47">
        <f>Summary!AM11/Summary!AM$6*100</f>
        <v>7.4036868069664417</v>
      </c>
      <c r="AN39" s="47">
        <f>Summary!AN11/Summary!AN$6*100</f>
        <v>6.471009495062086</v>
      </c>
      <c r="AO39" s="47">
        <f>Summary!AO11/Summary!AO$6*100</f>
        <v>7.0861789325605686</v>
      </c>
      <c r="AP39" s="47">
        <f>Summary!AP11/Summary!AP$6*100</f>
        <v>7.0000256587332927</v>
      </c>
      <c r="AQ39" s="47">
        <f>Summary!AQ11/Summary!AQ$6*100</f>
        <v>7.1094780698103905</v>
      </c>
    </row>
    <row r="40" spans="1:43" ht="11.1" customHeight="1" x14ac:dyDescent="0.2">
      <c r="A40" s="57"/>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9"/>
      <c r="AO40" s="59"/>
      <c r="AP40" s="59"/>
      <c r="AQ40" s="59"/>
    </row>
    <row r="41" spans="1:43" ht="11.1" customHeight="1" x14ac:dyDescent="0.2">
      <c r="A41" s="37" t="s">
        <v>102</v>
      </c>
      <c r="AF41" s="45"/>
      <c r="AG41" s="45"/>
      <c r="AH41" s="45"/>
    </row>
    <row r="42" spans="1:43" s="37" customFormat="1" ht="11.1" customHeight="1" x14ac:dyDescent="0.2">
      <c r="A42" s="39" t="s">
        <v>0</v>
      </c>
      <c r="B42" s="46" t="e">
        <f>Summary!B14/Summary!B$14*100</f>
        <v>#DIV/0!</v>
      </c>
      <c r="C42" s="46" t="e">
        <f>Summary!C14/Summary!C$14*100</f>
        <v>#DIV/0!</v>
      </c>
      <c r="D42" s="46" t="e">
        <f>Summary!D14/Summary!D$14*100</f>
        <v>#DIV/0!</v>
      </c>
      <c r="E42" s="46" t="e">
        <f>Summary!E14/Summary!E$14*100</f>
        <v>#DIV/0!</v>
      </c>
      <c r="F42" s="46" t="e">
        <f>Summary!F14/Summary!F$14*100</f>
        <v>#DIV/0!</v>
      </c>
      <c r="G42" s="46" t="e">
        <f>Summary!G14/Summary!G$14*100</f>
        <v>#DIV/0!</v>
      </c>
      <c r="H42" s="46">
        <f>Summary!H14/Summary!H$14*100</f>
        <v>100</v>
      </c>
      <c r="I42" s="46">
        <f>Summary!I14/Summary!I$14*100</f>
        <v>100</v>
      </c>
      <c r="J42" s="46">
        <f>Summary!J14/Summary!J$14*100</f>
        <v>100</v>
      </c>
      <c r="K42" s="46">
        <f t="shared" ref="K42:AE42" si="3">SUM(K43:K47)</f>
        <v>100</v>
      </c>
      <c r="L42" s="46">
        <f t="shared" si="3"/>
        <v>100</v>
      </c>
      <c r="M42" s="46">
        <f t="shared" si="3"/>
        <v>100</v>
      </c>
      <c r="N42" s="46">
        <f t="shared" si="3"/>
        <v>100.00000000000003</v>
      </c>
      <c r="O42" s="46">
        <f t="shared" si="3"/>
        <v>99.999999999999986</v>
      </c>
      <c r="P42" s="46">
        <f t="shared" si="3"/>
        <v>100</v>
      </c>
      <c r="Q42" s="46">
        <f t="shared" si="3"/>
        <v>100.00000000000003</v>
      </c>
      <c r="R42" s="46">
        <f t="shared" si="3"/>
        <v>100</v>
      </c>
      <c r="S42" s="46">
        <f t="shared" si="3"/>
        <v>100</v>
      </c>
      <c r="T42" s="46">
        <f t="shared" si="3"/>
        <v>100</v>
      </c>
      <c r="U42" s="46">
        <f t="shared" si="3"/>
        <v>100</v>
      </c>
      <c r="V42" s="46">
        <f t="shared" si="3"/>
        <v>100</v>
      </c>
      <c r="W42" s="46">
        <f t="shared" si="3"/>
        <v>100</v>
      </c>
      <c r="X42" s="46">
        <f t="shared" si="3"/>
        <v>100</v>
      </c>
      <c r="Y42" s="46">
        <f t="shared" si="3"/>
        <v>100</v>
      </c>
      <c r="Z42" s="46">
        <f t="shared" si="3"/>
        <v>108.5</v>
      </c>
      <c r="AA42" s="46">
        <f t="shared" si="3"/>
        <v>99.999999999999972</v>
      </c>
      <c r="AB42" s="46">
        <f t="shared" si="3"/>
        <v>100.00000000000001</v>
      </c>
      <c r="AC42" s="46">
        <f t="shared" si="3"/>
        <v>100</v>
      </c>
      <c r="AD42" s="46">
        <f t="shared" si="3"/>
        <v>100</v>
      </c>
      <c r="AE42" s="46">
        <f t="shared" si="3"/>
        <v>100</v>
      </c>
      <c r="AF42" s="54">
        <f t="shared" ref="AF42:AK42" si="4">SUM(AF43:AF47)</f>
        <v>99.999999999999986</v>
      </c>
      <c r="AG42" s="54">
        <f t="shared" si="4"/>
        <v>100</v>
      </c>
      <c r="AH42" s="54">
        <f t="shared" si="4"/>
        <v>100</v>
      </c>
      <c r="AI42" s="54">
        <f t="shared" si="4"/>
        <v>100</v>
      </c>
      <c r="AJ42" s="54">
        <f t="shared" si="4"/>
        <v>100</v>
      </c>
      <c r="AK42" s="54">
        <f t="shared" si="4"/>
        <v>100</v>
      </c>
      <c r="AL42" s="54">
        <f t="shared" ref="AL42:AQ42" si="5">SUM(AL43:AL47)</f>
        <v>100</v>
      </c>
      <c r="AM42" s="54">
        <f t="shared" si="5"/>
        <v>100</v>
      </c>
      <c r="AN42" s="54">
        <f t="shared" si="5"/>
        <v>100</v>
      </c>
      <c r="AO42" s="54">
        <f t="shared" si="5"/>
        <v>100</v>
      </c>
      <c r="AP42" s="54">
        <f t="shared" si="5"/>
        <v>99.999999999999986</v>
      </c>
      <c r="AQ42" s="54">
        <f t="shared" si="5"/>
        <v>100</v>
      </c>
    </row>
    <row r="43" spans="1:43" ht="11.1" customHeight="1" x14ac:dyDescent="0.2">
      <c r="A43" s="40" t="s">
        <v>70</v>
      </c>
      <c r="B43" s="47" t="e">
        <f>Summary!B15/Summary!B$14*100</f>
        <v>#DIV/0!</v>
      </c>
      <c r="C43" s="47" t="e">
        <f>Summary!C15/Summary!C$14*100</f>
        <v>#DIV/0!</v>
      </c>
      <c r="D43" s="47" t="e">
        <f>Summary!D15/Summary!D$14*100</f>
        <v>#DIV/0!</v>
      </c>
      <c r="E43" s="47" t="e">
        <f>Summary!E15/Summary!E$14*100</f>
        <v>#DIV/0!</v>
      </c>
      <c r="F43" s="47" t="e">
        <f>Summary!F15/Summary!F$14*100</f>
        <v>#DIV/0!</v>
      </c>
      <c r="G43" s="47" t="e">
        <f>Summary!G15/Summary!G$14*100</f>
        <v>#DIV/0!</v>
      </c>
      <c r="H43" s="47">
        <f>Summary!H15/Summary!H$14*100</f>
        <v>28.104167226333232</v>
      </c>
      <c r="I43" s="47">
        <f>Summary!I15/Summary!I$14*100</f>
        <v>27.532752477637214</v>
      </c>
      <c r="J43" s="47">
        <f>Summary!J15/Summary!J$14*100</f>
        <v>26.255625430837924</v>
      </c>
      <c r="K43" s="47">
        <f>Summary!K15/Summary!K$14*100</f>
        <v>27.213031857147698</v>
      </c>
      <c r="L43" s="47">
        <f>Summary!L15/Summary!L$14*100</f>
        <v>25.725976791492634</v>
      </c>
      <c r="M43" s="47">
        <f>Summary!M15/Summary!M$14*100</f>
        <v>25.26559382624896</v>
      </c>
      <c r="N43" s="47">
        <f>Summary!N15/Summary!N$14*100</f>
        <v>26.133088666218352</v>
      </c>
      <c r="O43" s="47">
        <f>Summary!O15/Summary!O$14*100</f>
        <v>26.914994847662392</v>
      </c>
      <c r="P43" s="47">
        <f>Summary!P15/Summary!P$14*100</f>
        <v>27.256076100327615</v>
      </c>
      <c r="Q43" s="47">
        <f>Summary!Q15/Summary!Q$14*100</f>
        <v>25.39390806272268</v>
      </c>
      <c r="R43" s="47">
        <f>Summary!R15/Summary!R$14*100</f>
        <v>24.070236657259571</v>
      </c>
      <c r="S43" s="47">
        <f>Summary!S15/Summary!S$14*100</f>
        <v>24.197152087578655</v>
      </c>
      <c r="T43" s="47">
        <f>Summary!T15/Summary!T$14*100</f>
        <v>26.001498320112137</v>
      </c>
      <c r="U43" s="47">
        <f>Summary!U15/Summary!U$14*100</f>
        <v>24.341917628529387</v>
      </c>
      <c r="V43" s="47">
        <f>Summary!V15/Summary!V$14*100</f>
        <v>24.672974649107747</v>
      </c>
      <c r="W43" s="47">
        <f>Summary!W15/Summary!W$14*100</f>
        <v>23.518249180523583</v>
      </c>
      <c r="X43" s="47">
        <f>Summary!X15/Summary!X$14*100</f>
        <v>26.698177557575193</v>
      </c>
      <c r="Y43" s="47">
        <f>Summary!Y15/Summary!Y$14*100</f>
        <v>24.298238666842668</v>
      </c>
      <c r="Z43" s="47">
        <f>Summary!Z15/Summary!Z$14*100</f>
        <v>23.37481505798182</v>
      </c>
      <c r="AA43" s="47">
        <f>Summary!AA15/Summary!AA$14*100</f>
        <v>23.209401738852943</v>
      </c>
      <c r="AB43" s="47">
        <f>Summary!AB15/Summary!AB$14*100</f>
        <v>24.337878820603915</v>
      </c>
      <c r="AC43" s="47">
        <f>Summary!AC15/Summary!AC$14*100</f>
        <v>24.207146427436392</v>
      </c>
      <c r="AD43" s="47">
        <f>Summary!AD15/Summary!AD$14*100</f>
        <v>23.257339578128374</v>
      </c>
      <c r="AE43" s="47">
        <f>Summary!AE15/Summary!AE$14*100</f>
        <v>23.279804596659019</v>
      </c>
      <c r="AF43" s="41">
        <f>Summary!AF15/Summary!AF$14*100</f>
        <v>22.794143501835645</v>
      </c>
      <c r="AG43" s="41">
        <f>Summary!AG15/Summary!AG$14*100</f>
        <v>23.017001829264057</v>
      </c>
      <c r="AH43" s="41">
        <f>Summary!AH15/Summary!AH$14*100</f>
        <v>24.973266524985132</v>
      </c>
      <c r="AI43" s="41">
        <f>Summary!AI15/Summary!AI$14*100</f>
        <v>23.559779701916344</v>
      </c>
      <c r="AJ43" s="41">
        <f>Summary!AJ15/Summary!AJ$14*100</f>
        <v>23.142441478861411</v>
      </c>
      <c r="AK43" s="41">
        <f>Summary!AK15/Summary!AK$14*100</f>
        <v>23.740358809274774</v>
      </c>
      <c r="AL43" s="41">
        <f>Summary!AL15/Summary!AL$14*100</f>
        <v>23.831939970750916</v>
      </c>
      <c r="AM43" s="41">
        <f>Summary!AM15/Summary!AM$14*100</f>
        <v>23.469514792695296</v>
      </c>
      <c r="AN43" s="41">
        <f>Summary!AN15/Summary!AN$14*100</f>
        <v>23.420901117701515</v>
      </c>
      <c r="AO43" s="41">
        <f>Summary!AO15/Summary!AO$14*100</f>
        <v>22.880031461803448</v>
      </c>
      <c r="AP43" s="41">
        <f>Summary!AP15/Summary!AP$14*100</f>
        <v>23.563763369342734</v>
      </c>
      <c r="AQ43" s="41">
        <f>Summary!AQ15/Summary!AQ$14*100</f>
        <v>22.615050089951833</v>
      </c>
    </row>
    <row r="44" spans="1:43" ht="11.1" customHeight="1" x14ac:dyDescent="0.2">
      <c r="A44" s="40" t="s">
        <v>7</v>
      </c>
      <c r="B44" s="47" t="e">
        <f>Summary!B16/Summary!B$14*100</f>
        <v>#DIV/0!</v>
      </c>
      <c r="C44" s="47" t="e">
        <f>Summary!C16/Summary!C$14*100</f>
        <v>#DIV/0!</v>
      </c>
      <c r="D44" s="47" t="e">
        <f>Summary!D16/Summary!D$14*100</f>
        <v>#DIV/0!</v>
      </c>
      <c r="E44" s="47" t="e">
        <f>Summary!E16/Summary!E$14*100</f>
        <v>#DIV/0!</v>
      </c>
      <c r="F44" s="47" t="e">
        <f>Summary!F16/Summary!F$14*100</f>
        <v>#DIV/0!</v>
      </c>
      <c r="G44" s="47" t="e">
        <f>Summary!G16/Summary!G$14*100</f>
        <v>#DIV/0!</v>
      </c>
      <c r="H44" s="47">
        <f>Summary!H16/Summary!H$14*100</f>
        <v>25.035525366041266</v>
      </c>
      <c r="I44" s="47">
        <f>Summary!I16/Summary!I$14*100</f>
        <v>24.763312635806653</v>
      </c>
      <c r="J44" s="47">
        <f>Summary!J16/Summary!J$14*100</f>
        <v>24.40854844093916</v>
      </c>
      <c r="K44" s="47">
        <f>Summary!K16/Summary!K$14*100</f>
        <v>24.092233277333627</v>
      </c>
      <c r="L44" s="47">
        <f>Summary!L16/Summary!L$14*100</f>
        <v>24.501625530418888</v>
      </c>
      <c r="M44" s="47">
        <f>Summary!M16/Summary!M$14*100</f>
        <v>25.823525219205756</v>
      </c>
      <c r="N44" s="47">
        <f>Summary!N16/Summary!N$14*100</f>
        <v>23.904295712921662</v>
      </c>
      <c r="O44" s="47">
        <f>Summary!O16/Summary!O$14*100</f>
        <v>25.214384340791906</v>
      </c>
      <c r="P44" s="47">
        <f>Summary!P16/Summary!P$14*100</f>
        <v>24.339435660756635</v>
      </c>
      <c r="Q44" s="47">
        <f>Summary!Q16/Summary!Q$14*100</f>
        <v>24.877259805388267</v>
      </c>
      <c r="R44" s="47">
        <f>Summary!R16/Summary!R$14*100</f>
        <v>25.338126340069117</v>
      </c>
      <c r="S44" s="47">
        <f>Summary!S16/Summary!S$14*100</f>
        <v>25.109121666103018</v>
      </c>
      <c r="T44" s="47">
        <f>Summary!T16/Summary!T$14*100</f>
        <v>24.194450255751946</v>
      </c>
      <c r="U44" s="47">
        <f>Summary!U16/Summary!U$14*100</f>
        <v>25.11291711483981</v>
      </c>
      <c r="V44" s="47">
        <f>Summary!V16/Summary!V$14*100</f>
        <v>25.110237714900329</v>
      </c>
      <c r="W44" s="47">
        <f>Summary!W16/Summary!W$14*100</f>
        <v>24.224167981804325</v>
      </c>
      <c r="X44" s="47">
        <f>Summary!X16/Summary!X$14*100</f>
        <v>24.445345319036999</v>
      </c>
      <c r="Y44" s="47">
        <f>Summary!Y16/Summary!Y$14*100</f>
        <v>24.75508585330379</v>
      </c>
      <c r="Z44" s="47">
        <f>Summary!Z16/Summary!Z$14*100</f>
        <v>24.78172243856342</v>
      </c>
      <c r="AA44" s="47">
        <f>Summary!AA16/Summary!AA$14*100</f>
        <v>24.732626523312994</v>
      </c>
      <c r="AB44" s="47">
        <f>Summary!AB16/Summary!AB$14*100</f>
        <v>25.48148262708564</v>
      </c>
      <c r="AC44" s="47">
        <f>Summary!AC16/Summary!AC$14*100</f>
        <v>24.856133998688811</v>
      </c>
      <c r="AD44" s="47">
        <f>Summary!AD16/Summary!AD$14*100</f>
        <v>25.277245375621611</v>
      </c>
      <c r="AE44" s="47">
        <f>Summary!AE16/Summary!AE$14*100</f>
        <v>25.640528440518207</v>
      </c>
      <c r="AF44" s="41">
        <f>Summary!AF16/Summary!AF$14*100</f>
        <v>25.804395447677443</v>
      </c>
      <c r="AG44" s="41">
        <f>Summary!AG16/Summary!AG$14*100</f>
        <v>25.346716228010507</v>
      </c>
      <c r="AH44" s="41">
        <f>Summary!AH16/Summary!AH$14*100</f>
        <v>24.103732543477815</v>
      </c>
      <c r="AI44" s="41">
        <f>Summary!AI16/Summary!AI$14*100</f>
        <v>25.203923223036689</v>
      </c>
      <c r="AJ44" s="41">
        <f>Summary!AJ16/Summary!AJ$14*100</f>
        <v>25.779666849041782</v>
      </c>
      <c r="AK44" s="41">
        <f>Summary!AK16/Summary!AK$14*100</f>
        <v>26.336249966004914</v>
      </c>
      <c r="AL44" s="41">
        <f>Summary!AL16/Summary!AL$14*100</f>
        <v>26.263788248076363</v>
      </c>
      <c r="AM44" s="41">
        <f>Summary!AM16/Summary!AM$14*100</f>
        <v>25.620718597039499</v>
      </c>
      <c r="AN44" s="41">
        <f>Summary!AN16/Summary!AN$14*100</f>
        <v>25.328981886562456</v>
      </c>
      <c r="AO44" s="41">
        <f>Summary!AO16/Summary!AO$14*100</f>
        <v>25.291113911479464</v>
      </c>
      <c r="AP44" s="41">
        <f>Summary!AP16/Summary!AP$14*100</f>
        <v>25.673592022866565</v>
      </c>
      <c r="AQ44" s="41">
        <f>Summary!AQ16/Summary!AQ$14*100</f>
        <v>26.268427697592355</v>
      </c>
    </row>
    <row r="45" spans="1:43" ht="11.1" customHeight="1" x14ac:dyDescent="0.2">
      <c r="A45" s="40" t="s">
        <v>13</v>
      </c>
      <c r="B45" s="47" t="e">
        <f>Summary!B17/Summary!B$14*100</f>
        <v>#DIV/0!</v>
      </c>
      <c r="C45" s="47" t="e">
        <f>Summary!C17/Summary!C$14*100</f>
        <v>#DIV/0!</v>
      </c>
      <c r="D45" s="47" t="e">
        <f>Summary!D17/Summary!D$14*100</f>
        <v>#DIV/0!</v>
      </c>
      <c r="E45" s="47" t="e">
        <f>Summary!E17/Summary!E$14*100</f>
        <v>#DIV/0!</v>
      </c>
      <c r="F45" s="47" t="e">
        <f>Summary!F17/Summary!F$14*100</f>
        <v>#DIV/0!</v>
      </c>
      <c r="G45" s="47" t="e">
        <f>Summary!G17/Summary!G$14*100</f>
        <v>#DIV/0!</v>
      </c>
      <c r="H45" s="47">
        <f>Summary!H17/Summary!H$14*100</f>
        <v>40.856965955569528</v>
      </c>
      <c r="I45" s="47">
        <f>Summary!I17/Summary!I$14*100</f>
        <v>42.146388674007333</v>
      </c>
      <c r="J45" s="47">
        <f>Summary!J17/Summary!J$14*100</f>
        <v>44.287744605323262</v>
      </c>
      <c r="K45" s="47">
        <f>Summary!K17/Summary!K$14*100</f>
        <v>43.47309155681203</v>
      </c>
      <c r="L45" s="47">
        <f>Summary!L17/Summary!L$14*100</f>
        <v>44.287585967512982</v>
      </c>
      <c r="M45" s="47">
        <f>Summary!M17/Summary!M$14*100</f>
        <v>43.197893023677544</v>
      </c>
      <c r="N45" s="47">
        <f>Summary!N17/Summary!N$14*100</f>
        <v>44.344229710305811</v>
      </c>
      <c r="O45" s="47">
        <f>Summary!O17/Summary!O$14*100</f>
        <v>42.197713398989883</v>
      </c>
      <c r="P45" s="47">
        <f>Summary!P17/Summary!P$14*100</f>
        <v>42.512592482298139</v>
      </c>
      <c r="Q45" s="47">
        <f>Summary!Q17/Summary!Q$14*100</f>
        <v>43.262913903052706</v>
      </c>
      <c r="R45" s="47">
        <f>Summary!R17/Summary!R$14*100</f>
        <v>44.075107052845283</v>
      </c>
      <c r="S45" s="47">
        <f>Summary!S17/Summary!S$14*100</f>
        <v>44.306355068623013</v>
      </c>
      <c r="T45" s="47">
        <f>Summary!T17/Summary!T$14*100</f>
        <v>43.747847457553213</v>
      </c>
      <c r="U45" s="47">
        <f>Summary!U17/Summary!U$14*100</f>
        <v>44.500808350092051</v>
      </c>
      <c r="V45" s="47">
        <f>Summary!V17/Summary!V$14*100</f>
        <v>43.940201923517989</v>
      </c>
      <c r="W45" s="47">
        <f>Summary!W17/Summary!W$14*100</f>
        <v>45.626012587429003</v>
      </c>
      <c r="X45" s="47">
        <f>Summary!X17/Summary!X$14*100</f>
        <v>42.448491966375435</v>
      </c>
      <c r="Y45" s="47">
        <f>Summary!Y17/Summary!Y$14*100</f>
        <v>44.595992404962416</v>
      </c>
      <c r="Z45" s="47">
        <f>Summary!Z17/Summary!Z$14*100</f>
        <v>45.127807435133569</v>
      </c>
      <c r="AA45" s="47">
        <f>Summary!AA17/Summary!AA$14*100</f>
        <v>45.821385291161995</v>
      </c>
      <c r="AB45" s="47">
        <f>Summary!AB17/Summary!AB$14*100</f>
        <v>43.640894606780371</v>
      </c>
      <c r="AC45" s="47">
        <f>Summary!AC17/Summary!AC$14*100</f>
        <v>44.389814500764331</v>
      </c>
      <c r="AD45" s="47">
        <f>Summary!AD17/Summary!AD$14*100</f>
        <v>44.776363090736687</v>
      </c>
      <c r="AE45" s="47">
        <f>Summary!AE17/Summary!AE$14*100</f>
        <v>44.296663861854199</v>
      </c>
      <c r="AF45" s="47">
        <f>Summary!AF17/Summary!AF$14*100</f>
        <v>44.974988597330771</v>
      </c>
      <c r="AG45" s="47">
        <f>Summary!AG17/Summary!AG$14*100</f>
        <v>45.145151231507526</v>
      </c>
      <c r="AH45" s="47">
        <f>Summary!AH17/Summary!AH$14*100</f>
        <v>44.498503442015128</v>
      </c>
      <c r="AI45" s="47">
        <f>Summary!AI17/Summary!AI$14*100</f>
        <v>44.443659277064654</v>
      </c>
      <c r="AJ45" s="47">
        <f>Summary!AJ17/Summary!AJ$14*100</f>
        <v>43.948450210179487</v>
      </c>
      <c r="AK45" s="47">
        <f>Summary!AK17/Summary!AK$14*100</f>
        <v>43.191503635028972</v>
      </c>
      <c r="AL45" s="47">
        <f>Summary!AL17/Summary!AL$14*100</f>
        <v>42.775176678767238</v>
      </c>
      <c r="AM45" s="47">
        <f>Summary!AM17/Summary!AM$14*100</f>
        <v>43.815555485697303</v>
      </c>
      <c r="AN45" s="47">
        <f>Summary!AN17/Summary!AN$14*100</f>
        <v>44.138207841725425</v>
      </c>
      <c r="AO45" s="47">
        <f>Summary!AO17/Summary!AO$14*100</f>
        <v>44.863783945332372</v>
      </c>
      <c r="AP45" s="47">
        <f>Summary!AP17/Summary!AP$14*100</f>
        <v>44.056498957129939</v>
      </c>
      <c r="AQ45" s="47">
        <f>Summary!AQ17/Summary!AQ$14*100</f>
        <v>44.280547599199735</v>
      </c>
    </row>
    <row r="46" spans="1:43" ht="11.1" customHeight="1" x14ac:dyDescent="0.2">
      <c r="A46" s="39" t="s">
        <v>18</v>
      </c>
      <c r="Z46" s="35">
        <v>8.5</v>
      </c>
    </row>
    <row r="47" spans="1:43" ht="11.1" customHeight="1" x14ac:dyDescent="0.2">
      <c r="A47" s="42" t="s">
        <v>19</v>
      </c>
      <c r="B47" s="47" t="e">
        <f>Summary!B19/Summary!B$14*100</f>
        <v>#DIV/0!</v>
      </c>
      <c r="C47" s="47" t="e">
        <f>Summary!C19/Summary!C$14*100</f>
        <v>#DIV/0!</v>
      </c>
      <c r="D47" s="47" t="e">
        <f>Summary!D19/Summary!D$14*100</f>
        <v>#DIV/0!</v>
      </c>
      <c r="E47" s="47" t="e">
        <f>Summary!E19/Summary!E$14*100</f>
        <v>#DIV/0!</v>
      </c>
      <c r="F47" s="47" t="e">
        <f>Summary!F19/Summary!F$14*100</f>
        <v>#DIV/0!</v>
      </c>
      <c r="G47" s="47" t="e">
        <f>Summary!G19/Summary!G$14*100</f>
        <v>#DIV/0!</v>
      </c>
      <c r="H47" s="47">
        <f>Summary!H19/Summary!H$14*100</f>
        <v>6.0033414520559774</v>
      </c>
      <c r="I47" s="47">
        <f>Summary!I19/Summary!I$14*100</f>
        <v>5.5575462125487896</v>
      </c>
      <c r="J47" s="47">
        <f>Summary!J19/Summary!J$14*100</f>
        <v>5.0480815228996594</v>
      </c>
      <c r="K47" s="47">
        <f>Summary!K19/Summary!K$14*100</f>
        <v>5.2216433087066489</v>
      </c>
      <c r="L47" s="47">
        <f>Summary!L19/Summary!L$14*100</f>
        <v>5.4848117105755021</v>
      </c>
      <c r="M47" s="47">
        <f>Summary!M19/Summary!M$14*100</f>
        <v>5.7129879308677429</v>
      </c>
      <c r="N47" s="47">
        <f>Summary!N19/Summary!N$14*100</f>
        <v>5.6183859105541902</v>
      </c>
      <c r="O47" s="47">
        <f>Summary!O19/Summary!O$14*100</f>
        <v>5.672907412555805</v>
      </c>
      <c r="P47" s="47">
        <f>Summary!P19/Summary!P$14*100</f>
        <v>5.8918957566176076</v>
      </c>
      <c r="Q47" s="47">
        <f>Summary!Q19/Summary!Q$14*100</f>
        <v>6.4659182288363652</v>
      </c>
      <c r="R47" s="47">
        <f>Summary!R19/Summary!R$14*100</f>
        <v>6.5165299498260403</v>
      </c>
      <c r="S47" s="47">
        <f>Summary!S19/Summary!S$14*100</f>
        <v>6.387371177695317</v>
      </c>
      <c r="T47" s="47">
        <f>Summary!T19/Summary!T$14*100</f>
        <v>6.0562039665826992</v>
      </c>
      <c r="U47" s="47">
        <f>Summary!U19/Summary!U$14*100</f>
        <v>6.0443569065387566</v>
      </c>
      <c r="V47" s="47">
        <f>Summary!V19/Summary!V$14*100</f>
        <v>6.2765857124739295</v>
      </c>
      <c r="W47" s="47">
        <f>Summary!W19/Summary!W$14*100</f>
        <v>6.6315702502430938</v>
      </c>
      <c r="X47" s="47">
        <f>Summary!X19/Summary!X$14*100</f>
        <v>6.4079851570123827</v>
      </c>
      <c r="Y47" s="47">
        <f>Summary!Y19/Summary!Y$14*100</f>
        <v>6.3506830748911254</v>
      </c>
      <c r="Z47" s="47">
        <f>Summary!Z19/Summary!Z$14*100</f>
        <v>6.7156550683211895</v>
      </c>
      <c r="AA47" s="47">
        <f>Summary!AA19/Summary!AA$14*100</f>
        <v>6.2365864466720513</v>
      </c>
      <c r="AB47" s="47">
        <f>Summary!AB19/Summary!AB$14*100</f>
        <v>6.539743945530077</v>
      </c>
      <c r="AC47" s="47">
        <f>Summary!AC19/Summary!AC$14*100</f>
        <v>6.5469050731104721</v>
      </c>
      <c r="AD47" s="47">
        <f>Summary!AD19/Summary!AD$14*100</f>
        <v>6.6890519555133139</v>
      </c>
      <c r="AE47" s="47">
        <f>Summary!AE19/Summary!AE$14*100</f>
        <v>6.7830031009685783</v>
      </c>
      <c r="AF47" s="47">
        <f>Summary!AF19/Summary!AF$14*100</f>
        <v>6.4264724531561415</v>
      </c>
      <c r="AG47" s="47">
        <f>Summary!AG19/Summary!AG$14*100</f>
        <v>6.491130711217906</v>
      </c>
      <c r="AH47" s="47">
        <f>Summary!AH19/Summary!AH$14*100</f>
        <v>6.4244974895219285</v>
      </c>
      <c r="AI47" s="47">
        <f>Summary!AI19/Summary!AI$14*100</f>
        <v>6.7926377979823123</v>
      </c>
      <c r="AJ47" s="47">
        <f>Summary!AJ19/Summary!AJ$14*100</f>
        <v>7.1294414619173212</v>
      </c>
      <c r="AK47" s="47">
        <f>Summary!AK19/Summary!AK$14*100</f>
        <v>6.7318875896913433</v>
      </c>
      <c r="AL47" s="47">
        <f>Summary!AL19/Summary!AL$14*100</f>
        <v>7.1290951024054889</v>
      </c>
      <c r="AM47" s="47">
        <f>Summary!AM19/Summary!AM$14*100</f>
        <v>7.0942111245679076</v>
      </c>
      <c r="AN47" s="47">
        <f>Summary!AN19/Summary!AN$14*100</f>
        <v>7.1119091540106014</v>
      </c>
      <c r="AO47" s="47">
        <f>Summary!AO19/Summary!AO$14*100</f>
        <v>6.9650706813847192</v>
      </c>
      <c r="AP47" s="47">
        <f>Summary!AP19/Summary!AP$14*100</f>
        <v>6.7061456506607646</v>
      </c>
      <c r="AQ47" s="47">
        <f>Summary!AQ19/Summary!AQ$14*100</f>
        <v>6.835974613256071</v>
      </c>
    </row>
    <row r="48" spans="1:43" ht="11.1" customHeight="1" x14ac:dyDescent="0.2"/>
    <row r="49" spans="1:43" ht="11.1" customHeight="1" x14ac:dyDescent="0.2">
      <c r="A49" s="37" t="s">
        <v>100</v>
      </c>
    </row>
    <row r="50" spans="1:43" s="37" customFormat="1" ht="11.1" customHeight="1" x14ac:dyDescent="0.2">
      <c r="A50" s="39" t="s">
        <v>0</v>
      </c>
      <c r="B50" s="46" t="e">
        <f>Summary!B22/Summary!B$22*100</f>
        <v>#DIV/0!</v>
      </c>
      <c r="C50" s="46" t="e">
        <f>Summary!C22/Summary!C$22*100</f>
        <v>#DIV/0!</v>
      </c>
      <c r="D50" s="46" t="e">
        <f>Summary!D22/Summary!D$22*100</f>
        <v>#DIV/0!</v>
      </c>
      <c r="E50" s="46" t="e">
        <f>Summary!E22/Summary!E$22*100</f>
        <v>#DIV/0!</v>
      </c>
      <c r="F50" s="46" t="e">
        <f>Summary!F22/Summary!F$22*100</f>
        <v>#DIV/0!</v>
      </c>
      <c r="G50" s="46" t="e">
        <f>Summary!G22/Summary!G$22*100</f>
        <v>#DIV/0!</v>
      </c>
      <c r="H50" s="46">
        <f>Summary!H22/Summary!H$22*100</f>
        <v>100</v>
      </c>
      <c r="I50" s="46">
        <f>Summary!I22/Summary!I$22*100</f>
        <v>100</v>
      </c>
      <c r="J50" s="46">
        <f>Summary!J22/Summary!J$22*100</f>
        <v>100</v>
      </c>
      <c r="K50" s="46">
        <f t="shared" ref="K50:AE50" si="6">SUM(K51:K55)</f>
        <v>100.00000000000001</v>
      </c>
      <c r="L50" s="46">
        <f t="shared" si="6"/>
        <v>100.00000000000001</v>
      </c>
      <c r="M50" s="46">
        <f t="shared" si="6"/>
        <v>100</v>
      </c>
      <c r="N50" s="46">
        <f t="shared" si="6"/>
        <v>100</v>
      </c>
      <c r="O50" s="46">
        <f t="shared" si="6"/>
        <v>99.999999999999986</v>
      </c>
      <c r="P50" s="46">
        <f t="shared" si="6"/>
        <v>100</v>
      </c>
      <c r="Q50" s="46">
        <f t="shared" si="6"/>
        <v>99.999999999999986</v>
      </c>
      <c r="R50" s="46">
        <f t="shared" si="6"/>
        <v>100.00000000000001</v>
      </c>
      <c r="S50" s="46">
        <f t="shared" si="6"/>
        <v>99.999999999999986</v>
      </c>
      <c r="T50" s="46">
        <f t="shared" si="6"/>
        <v>99.999999999999986</v>
      </c>
      <c r="U50" s="46">
        <f t="shared" si="6"/>
        <v>100</v>
      </c>
      <c r="V50" s="46">
        <f t="shared" si="6"/>
        <v>100</v>
      </c>
      <c r="W50" s="46">
        <f t="shared" si="6"/>
        <v>100</v>
      </c>
      <c r="X50" s="46">
        <f t="shared" si="6"/>
        <v>100.00000000000001</v>
      </c>
      <c r="Y50" s="46">
        <f t="shared" si="6"/>
        <v>100</v>
      </c>
      <c r="Z50" s="46">
        <f t="shared" si="6"/>
        <v>100</v>
      </c>
      <c r="AA50" s="46">
        <f t="shared" si="6"/>
        <v>100</v>
      </c>
      <c r="AB50" s="46">
        <f t="shared" si="6"/>
        <v>100</v>
      </c>
      <c r="AC50" s="46">
        <f t="shared" si="6"/>
        <v>99.999999999999986</v>
      </c>
      <c r="AD50" s="46">
        <f t="shared" si="6"/>
        <v>100.00000000000003</v>
      </c>
      <c r="AE50" s="46">
        <f t="shared" si="6"/>
        <v>100</v>
      </c>
      <c r="AF50" s="46">
        <f t="shared" ref="AF50:AK50" si="7">SUM(AF51:AF55)</f>
        <v>100</v>
      </c>
      <c r="AG50" s="46">
        <f t="shared" si="7"/>
        <v>99.999999999999986</v>
      </c>
      <c r="AH50" s="46">
        <f t="shared" si="7"/>
        <v>100.00000000000001</v>
      </c>
      <c r="AI50" s="46">
        <f t="shared" si="7"/>
        <v>100</v>
      </c>
      <c r="AJ50" s="46">
        <f t="shared" si="7"/>
        <v>100</v>
      </c>
      <c r="AK50" s="46">
        <f t="shared" si="7"/>
        <v>100</v>
      </c>
      <c r="AL50" s="46">
        <f t="shared" ref="AL50:AQ50" si="8">SUM(AL51:AL55)</f>
        <v>100</v>
      </c>
      <c r="AM50" s="46">
        <f t="shared" si="8"/>
        <v>100</v>
      </c>
      <c r="AN50" s="46">
        <f t="shared" si="8"/>
        <v>100.00000000000001</v>
      </c>
      <c r="AO50" s="46">
        <f t="shared" si="8"/>
        <v>99.999999999999986</v>
      </c>
      <c r="AP50" s="46">
        <f t="shared" si="8"/>
        <v>99.999999999999972</v>
      </c>
      <c r="AQ50" s="46">
        <f t="shared" si="8"/>
        <v>100</v>
      </c>
    </row>
    <row r="51" spans="1:43" ht="11.1" customHeight="1" x14ac:dyDescent="0.2">
      <c r="A51" s="40" t="s">
        <v>70</v>
      </c>
      <c r="B51" s="47" t="e">
        <f>Summary!B23/Summary!B$22*100</f>
        <v>#DIV/0!</v>
      </c>
      <c r="C51" s="47" t="e">
        <f>Summary!C23/Summary!C$22*100</f>
        <v>#DIV/0!</v>
      </c>
      <c r="D51" s="47" t="e">
        <f>Summary!D23/Summary!D$22*100</f>
        <v>#DIV/0!</v>
      </c>
      <c r="E51" s="47" t="e">
        <f>Summary!E23/Summary!E$22*100</f>
        <v>#DIV/0!</v>
      </c>
      <c r="F51" s="47" t="e">
        <f>Summary!F23/Summary!F$22*100</f>
        <v>#DIV/0!</v>
      </c>
      <c r="G51" s="47" t="e">
        <f>Summary!G23/Summary!G$22*100</f>
        <v>#DIV/0!</v>
      </c>
      <c r="H51" s="47">
        <f>Summary!H23/Summary!H$22*100</f>
        <v>28.240285615862831</v>
      </c>
      <c r="I51" s="47">
        <f>Summary!I23/Summary!I$22*100</f>
        <v>27.999602708359344</v>
      </c>
      <c r="J51" s="47">
        <f>Summary!J23/Summary!J$22*100</f>
        <v>26.983812498472641</v>
      </c>
      <c r="K51" s="47">
        <f>Summary!K23/Summary!K$22*100</f>
        <v>26.787207920372047</v>
      </c>
      <c r="L51" s="47">
        <f>Summary!L23/Summary!L$22*100</f>
        <v>26.16852798039292</v>
      </c>
      <c r="M51" s="47">
        <f>Summary!M23/Summary!M$22*100</f>
        <v>25.956590510089633</v>
      </c>
      <c r="N51" s="47">
        <f>Summary!N23/Summary!N$22*100</f>
        <v>26.348410379572861</v>
      </c>
      <c r="O51" s="47">
        <f>Summary!O23/Summary!O$22*100</f>
        <v>26.580530520587821</v>
      </c>
      <c r="P51" s="47">
        <f>Summary!P23/Summary!P$22*100</f>
        <v>26.34773789856915</v>
      </c>
      <c r="Q51" s="47">
        <f>Summary!Q23/Summary!Q$22*100</f>
        <v>25.60049965298845</v>
      </c>
      <c r="R51" s="47">
        <f>Summary!R23/Summary!R$22*100</f>
        <v>24.747654694825457</v>
      </c>
      <c r="S51" s="47">
        <f>Summary!S23/Summary!S$22*100</f>
        <v>24.201979686485959</v>
      </c>
      <c r="T51" s="47">
        <f>Summary!T23/Summary!T$22*100</f>
        <v>24.275774134271007</v>
      </c>
      <c r="U51" s="47">
        <f>Summary!U23/Summary!U$22*100</f>
        <v>24.499185589400025</v>
      </c>
      <c r="V51" s="47">
        <f>Summary!V23/Summary!V$22*100</f>
        <v>24.490843733314797</v>
      </c>
      <c r="W51" s="47">
        <f>Summary!W23/Summary!W$22*100</f>
        <v>24.241305007308263</v>
      </c>
      <c r="X51" s="47">
        <f>Summary!X23/Summary!X$22*100</f>
        <v>24.415821464750096</v>
      </c>
      <c r="Y51" s="47">
        <f>Summary!Y23/Summary!Y$22*100</f>
        <v>24.307081269276129</v>
      </c>
      <c r="Z51" s="47">
        <f>Summary!Z23/Summary!Z$22*100</f>
        <v>23.759672089119913</v>
      </c>
      <c r="AA51" s="47">
        <f>Summary!AA23/Summary!AA$22*100</f>
        <v>23.883780202100162</v>
      </c>
      <c r="AB51" s="47">
        <f>Summary!AB23/Summary!AB$22*100</f>
        <v>24.269442321352294</v>
      </c>
      <c r="AC51" s="47">
        <f>Summary!AC23/Summary!AC$22*100</f>
        <v>23.995419392698007</v>
      </c>
      <c r="AD51" s="47">
        <f>Summary!AD23/Summary!AD$22*100</f>
        <v>23.388824406119298</v>
      </c>
      <c r="AE51" s="47">
        <f>Summary!AE23/Summary!AE$22*100</f>
        <v>22.936692332283894</v>
      </c>
      <c r="AF51" s="47">
        <f>Summary!AF23/Summary!AF$22*100</f>
        <v>22.714473563986008</v>
      </c>
      <c r="AG51" s="47">
        <f>Summary!AG23/Summary!AG$22*100</f>
        <v>23.18316135451456</v>
      </c>
      <c r="AH51" s="47">
        <f>Summary!AH23/Summary!AH$22*100</f>
        <v>23.823131173950802</v>
      </c>
      <c r="AI51" s="47">
        <f>Summary!AI23/Summary!AI$22*100</f>
        <v>23.846884396245482</v>
      </c>
      <c r="AJ51" s="47">
        <f>Summary!AJ23/Summary!AJ$22*100</f>
        <v>23.504566060753884</v>
      </c>
      <c r="AK51" s="47">
        <f>Summary!AK23/Summary!AK$22*100</f>
        <v>23.409230612909681</v>
      </c>
      <c r="AL51" s="47">
        <f>Summary!AL23/Summary!AL$22*100</f>
        <v>23.397450877392174</v>
      </c>
      <c r="AM51" s="47">
        <f>Summary!AM23/Summary!AM$22*100</f>
        <v>23.275154029962579</v>
      </c>
      <c r="AN51" s="47">
        <f>Summary!AN23/Summary!AN$22*100</f>
        <v>23.055607102062609</v>
      </c>
      <c r="AO51" s="47">
        <f>Summary!AO23/Summary!AO$22*100</f>
        <v>22.839881048964696</v>
      </c>
      <c r="AP51" s="47">
        <f>Summary!AP23/Summary!AP$22*100</f>
        <v>22.763041106337127</v>
      </c>
      <c r="AQ51" s="47">
        <f>Summary!AQ23/Summary!AQ$22*100</f>
        <v>22.665875815420151</v>
      </c>
    </row>
    <row r="52" spans="1:43" ht="11.1" customHeight="1" x14ac:dyDescent="0.2">
      <c r="A52" s="40" t="s">
        <v>7</v>
      </c>
      <c r="B52" s="47" t="e">
        <f>Summary!B24/Summary!B$22*100</f>
        <v>#DIV/0!</v>
      </c>
      <c r="C52" s="47" t="e">
        <f>Summary!C24/Summary!C$22*100</f>
        <v>#DIV/0!</v>
      </c>
      <c r="D52" s="47" t="e">
        <f>Summary!D24/Summary!D$22*100</f>
        <v>#DIV/0!</v>
      </c>
      <c r="E52" s="47" t="e">
        <f>Summary!E24/Summary!E$22*100</f>
        <v>#DIV/0!</v>
      </c>
      <c r="F52" s="47" t="e">
        <f>Summary!F24/Summary!F$22*100</f>
        <v>#DIV/0!</v>
      </c>
      <c r="G52" s="47" t="e">
        <f>Summary!G24/Summary!G$22*100</f>
        <v>#DIV/0!</v>
      </c>
      <c r="H52" s="47">
        <f>Summary!H24/Summary!H$22*100</f>
        <v>24.648159369271745</v>
      </c>
      <c r="I52" s="47">
        <f>Summary!I24/Summary!I$22*100</f>
        <v>24.877694864767459</v>
      </c>
      <c r="J52" s="47">
        <f>Summary!J24/Summary!J$22*100</f>
        <v>23.951203661626</v>
      </c>
      <c r="K52" s="47">
        <f>Summary!K24/Summary!K$22*100</f>
        <v>24.177770608117584</v>
      </c>
      <c r="L52" s="47">
        <f>Summary!L24/Summary!L$22*100</f>
        <v>24.446373107411716</v>
      </c>
      <c r="M52" s="47">
        <f>Summary!M24/Summary!M$22*100</f>
        <v>25.030649090224422</v>
      </c>
      <c r="N52" s="47">
        <f>Summary!N24/Summary!N$22*100</f>
        <v>25.427240879060285</v>
      </c>
      <c r="O52" s="47">
        <f>Summary!O24/Summary!O$22*100</f>
        <v>25.275256129357615</v>
      </c>
      <c r="P52" s="47">
        <f>Summary!P24/Summary!P$22*100</f>
        <v>24.881561368843734</v>
      </c>
      <c r="Q52" s="47">
        <f>Summary!Q24/Summary!Q$22*100</f>
        <v>24.863603299537413</v>
      </c>
      <c r="R52" s="47">
        <f>Summary!R24/Summary!R$22*100</f>
        <v>25.171859981793538</v>
      </c>
      <c r="S52" s="47">
        <f>Summary!S24/Summary!S$22*100</f>
        <v>25.097144707183983</v>
      </c>
      <c r="T52" s="47">
        <f>Summary!T24/Summary!T$22*100</f>
        <v>24.932409372741077</v>
      </c>
      <c r="U52" s="47">
        <f>Summary!U24/Summary!U$22*100</f>
        <v>24.950509876344405</v>
      </c>
      <c r="V52" s="47">
        <f>Summary!V24/Summary!V$22*100</f>
        <v>24.856986637575147</v>
      </c>
      <c r="W52" s="47">
        <f>Summary!W24/Summary!W$22*100</f>
        <v>24.776527816720964</v>
      </c>
      <c r="X52" s="47">
        <f>Summary!X24/Summary!X$22*100</f>
        <v>24.753289517688522</v>
      </c>
      <c r="Y52" s="47">
        <f>Summary!Y24/Summary!Y$22*100</f>
        <v>24.736161288409175</v>
      </c>
      <c r="Z52" s="47">
        <f>Summary!Z24/Summary!Z$22*100</f>
        <v>24.964187591690948</v>
      </c>
      <c r="AA52" s="47">
        <f>Summary!AA24/Summary!AA$22*100</f>
        <v>25.211626952121343</v>
      </c>
      <c r="AB52" s="47">
        <f>Summary!AB24/Summary!AB$22*100</f>
        <v>25.169632131957098</v>
      </c>
      <c r="AC52" s="47">
        <f>Summary!AC24/Summary!AC$22*100</f>
        <v>25.042413340259124</v>
      </c>
      <c r="AD52" s="47">
        <f>Summary!AD24/Summary!AD$22*100</f>
        <v>25.287237797249524</v>
      </c>
      <c r="AE52" s="47">
        <f>Summary!AE24/Summary!AE$22*100</f>
        <v>25.699252769275006</v>
      </c>
      <c r="AF52" s="47">
        <f>Summary!AF24/Summary!AF$22*100</f>
        <v>25.807195962558577</v>
      </c>
      <c r="AG52" s="47">
        <f>Summary!AG24/Summary!AG$22*100</f>
        <v>25.38566813930499</v>
      </c>
      <c r="AH52" s="47">
        <f>Summary!AH24/Summary!AH$22*100</f>
        <v>24.903391786877172</v>
      </c>
      <c r="AI52" s="47">
        <f>Summary!AI24/Summary!AI$22*100</f>
        <v>24.986721865755214</v>
      </c>
      <c r="AJ52" s="47">
        <f>Summary!AJ24/Summary!AJ$22*100</f>
        <v>25.66174389925947</v>
      </c>
      <c r="AK52" s="47">
        <f>Summary!AK24/Summary!AK$22*100</f>
        <v>26.31396104223689</v>
      </c>
      <c r="AL52" s="47">
        <f>Summary!AL24/Summary!AL$22*100</f>
        <v>26.2956492993921</v>
      </c>
      <c r="AM52" s="47">
        <f>Summary!AM24/Summary!AM$22*100</f>
        <v>25.804200312765328</v>
      </c>
      <c r="AN52" s="47">
        <f>Summary!AN24/Summary!AN$22*100</f>
        <v>25.371172593359397</v>
      </c>
      <c r="AO52" s="47">
        <f>Summary!AO24/Summary!AO$22*100</f>
        <v>25.453279612119257</v>
      </c>
      <c r="AP52" s="47">
        <f>Summary!AP24/Summary!AP$22*100</f>
        <v>25.86784277771223</v>
      </c>
      <c r="AQ52" s="47">
        <f>Summary!AQ24/Summary!AQ$22*100</f>
        <v>26.148353671313849</v>
      </c>
    </row>
    <row r="53" spans="1:43" ht="11.1" customHeight="1" x14ac:dyDescent="0.2">
      <c r="A53" s="40" t="s">
        <v>13</v>
      </c>
      <c r="B53" s="47" t="e">
        <f>Summary!B25/Summary!B$22*100</f>
        <v>#DIV/0!</v>
      </c>
      <c r="C53" s="47" t="e">
        <f>Summary!C25/Summary!C$22*100</f>
        <v>#DIV/0!</v>
      </c>
      <c r="D53" s="47" t="e">
        <f>Summary!D25/Summary!D$22*100</f>
        <v>#DIV/0!</v>
      </c>
      <c r="E53" s="47" t="e">
        <f>Summary!E25/Summary!E$22*100</f>
        <v>#DIV/0!</v>
      </c>
      <c r="F53" s="47" t="e">
        <f>Summary!F25/Summary!F$22*100</f>
        <v>#DIV/0!</v>
      </c>
      <c r="G53" s="47" t="e">
        <f>Summary!G25/Summary!G$22*100</f>
        <v>#DIV/0!</v>
      </c>
      <c r="H53" s="47">
        <f>Summary!H25/Summary!H$22*100</f>
        <v>41.110212019869458</v>
      </c>
      <c r="I53" s="47">
        <f>Summary!I25/Summary!I$22*100</f>
        <v>41.603263962223735</v>
      </c>
      <c r="J53" s="47">
        <f>Summary!J25/Summary!J$22*100</f>
        <v>44.001580800381888</v>
      </c>
      <c r="K53" s="47">
        <f>Summary!K25/Summary!K$22*100</f>
        <v>43.852069751326752</v>
      </c>
      <c r="L53" s="47">
        <f>Summary!L25/Summary!L$22*100</f>
        <v>43.890983785528014</v>
      </c>
      <c r="M53" s="47">
        <f>Summary!M25/Summary!M$22*100</f>
        <v>43.283967717526139</v>
      </c>
      <c r="N53" s="47">
        <f>Summary!N25/Summary!N$22*100</f>
        <v>42.46204361229735</v>
      </c>
      <c r="O53" s="47">
        <f>Summary!O25/Summary!O$22*100</f>
        <v>42.387754930570566</v>
      </c>
      <c r="P53" s="47">
        <f>Summary!P25/Summary!P$22*100</f>
        <v>42.750318001476337</v>
      </c>
      <c r="Q53" s="47">
        <f>Summary!Q25/Summary!Q$22*100</f>
        <v>43.144317189831263</v>
      </c>
      <c r="R53" s="47">
        <f>Summary!R25/Summary!R$22*100</f>
        <v>43.582715456874965</v>
      </c>
      <c r="S53" s="47">
        <f>Summary!S25/Summary!S$22*100</f>
        <v>44.30421482859358</v>
      </c>
      <c r="T53" s="47">
        <f>Summary!T25/Summary!T$22*100</f>
        <v>44.612039302514845</v>
      </c>
      <c r="U53" s="47">
        <f>Summary!U25/Summary!U$22*100</f>
        <v>44.451755921558473</v>
      </c>
      <c r="V53" s="47">
        <f>Summary!V25/Summary!V$22*100</f>
        <v>44.369937771456023</v>
      </c>
      <c r="W53" s="47">
        <f>Summary!W25/Summary!W$22*100</f>
        <v>44.438574823888978</v>
      </c>
      <c r="X53" s="47">
        <f>Summary!X25/Summary!X$22*100</f>
        <v>44.201722330204269</v>
      </c>
      <c r="Y53" s="47">
        <f>Summary!Y25/Summary!Y$22*100</f>
        <v>44.296812493950384</v>
      </c>
      <c r="Z53" s="47">
        <f>Summary!Z25/Summary!Z$22*100</f>
        <v>44.691412853726554</v>
      </c>
      <c r="AA53" s="47">
        <f>Summary!AA25/Summary!AA$22*100</f>
        <v>44.449429751829456</v>
      </c>
      <c r="AB53" s="47">
        <f>Summary!AB25/Summary!AB$22*100</f>
        <v>44.119058255962187</v>
      </c>
      <c r="AC53" s="47">
        <f>Summary!AC25/Summary!AC$22*100</f>
        <v>44.387535362757191</v>
      </c>
      <c r="AD53" s="47">
        <f>Summary!AD25/Summary!AD$22*100</f>
        <v>44.597007560058856</v>
      </c>
      <c r="AE53" s="47">
        <f>Summary!AE25/Summary!AE$22*100</f>
        <v>44.666313931472686</v>
      </c>
      <c r="AF53" s="47">
        <f>Summary!AF25/Summary!AF$22*100</f>
        <v>44.927395232526862</v>
      </c>
      <c r="AG53" s="47">
        <f>Summary!AG25/Summary!AG$22*100</f>
        <v>45.014622546929829</v>
      </c>
      <c r="AH53" s="47">
        <f>Summary!AH25/Summary!AH$22*100</f>
        <v>44.769231081370123</v>
      </c>
      <c r="AI53" s="47">
        <f>Summary!AI25/Summary!AI$22*100</f>
        <v>44.382778446586087</v>
      </c>
      <c r="AJ53" s="47">
        <f>Summary!AJ25/Summary!AJ$22*100</f>
        <v>43.793046036633058</v>
      </c>
      <c r="AK53" s="47">
        <f>Summary!AK25/Summary!AK$22*100</f>
        <v>43.169428172715705</v>
      </c>
      <c r="AL53" s="47">
        <f>Summary!AL25/Summary!AL$22*100</f>
        <v>43.182760608321729</v>
      </c>
      <c r="AM53" s="47">
        <f>Summary!AM25/Summary!AM$22*100</f>
        <v>43.764797981258027</v>
      </c>
      <c r="AN53" s="47">
        <f>Summary!AN25/Summary!AN$22*100</f>
        <v>44.463257170096533</v>
      </c>
      <c r="AO53" s="47">
        <f>Summary!AO25/Summary!AO$22*100</f>
        <v>44.739668589992718</v>
      </c>
      <c r="AP53" s="47">
        <f>Summary!AP25/Summary!AP$22*100</f>
        <v>44.541062975949167</v>
      </c>
      <c r="AQ53" s="47">
        <f>Summary!AQ25/Summary!AQ$22*100</f>
        <v>44.429707473372055</v>
      </c>
    </row>
    <row r="54" spans="1:43" ht="11.1" customHeight="1" x14ac:dyDescent="0.2">
      <c r="A54" s="39" t="s">
        <v>18</v>
      </c>
    </row>
    <row r="55" spans="1:43" s="43" customFormat="1" ht="11.1" customHeight="1" thickBot="1" x14ac:dyDescent="0.25">
      <c r="A55" s="51" t="s">
        <v>19</v>
      </c>
      <c r="B55" s="48" t="e">
        <f>Summary!B27/Summary!B$22*100</f>
        <v>#DIV/0!</v>
      </c>
      <c r="C55" s="48" t="e">
        <f>Summary!C27/Summary!C$22*100</f>
        <v>#DIV/0!</v>
      </c>
      <c r="D55" s="48" t="e">
        <f>Summary!D27/Summary!D$22*100</f>
        <v>#DIV/0!</v>
      </c>
      <c r="E55" s="48" t="e">
        <f>Summary!E27/Summary!E$22*100</f>
        <v>#DIV/0!</v>
      </c>
      <c r="F55" s="48" t="e">
        <f>Summary!F27/Summary!F$22*100</f>
        <v>#DIV/0!</v>
      </c>
      <c r="G55" s="48" t="e">
        <f>Summary!G27/Summary!G$22*100</f>
        <v>#DIV/0!</v>
      </c>
      <c r="H55" s="48">
        <f>Summary!H27/Summary!H$22*100</f>
        <v>6.0013429949959463</v>
      </c>
      <c r="I55" s="48">
        <f>Summary!I27/Summary!I$22*100</f>
        <v>5.5194384646494576</v>
      </c>
      <c r="J55" s="48">
        <f>Summary!J27/Summary!J$22*100</f>
        <v>5.063403039519458</v>
      </c>
      <c r="K55" s="48">
        <f>Summary!K27/Summary!K$22*100</f>
        <v>5.1829517201836186</v>
      </c>
      <c r="L55" s="48">
        <f>Summary!L27/Summary!L$22*100</f>
        <v>5.4941151266673556</v>
      </c>
      <c r="M55" s="48">
        <f>Summary!M27/Summary!M$22*100</f>
        <v>5.7287926821598116</v>
      </c>
      <c r="N55" s="48">
        <f>Summary!N27/Summary!N$22*100</f>
        <v>5.7623051290695084</v>
      </c>
      <c r="O55" s="48">
        <f>Summary!O27/Summary!O$22*100</f>
        <v>5.7564584194839963</v>
      </c>
      <c r="P55" s="48">
        <f>Summary!P27/Summary!P$22*100</f>
        <v>6.0203827311107672</v>
      </c>
      <c r="Q55" s="48">
        <f>Summary!Q27/Summary!Q$22*100</f>
        <v>6.3915798576428724</v>
      </c>
      <c r="R55" s="48">
        <f>Summary!R27/Summary!R$22*100</f>
        <v>6.4977698665060579</v>
      </c>
      <c r="S55" s="48">
        <f>Summary!S27/Summary!S$22*100</f>
        <v>6.3966607777364768</v>
      </c>
      <c r="T55" s="48">
        <f>Summary!T27/Summary!T$22*100</f>
        <v>6.1797771904730556</v>
      </c>
      <c r="U55" s="48">
        <f>Summary!U27/Summary!U$22*100</f>
        <v>6.0985486126971011</v>
      </c>
      <c r="V55" s="48">
        <f>Summary!V27/Summary!V$22*100</f>
        <v>6.2822318576540397</v>
      </c>
      <c r="W55" s="48">
        <f>Summary!W27/Summary!W$22*100</f>
        <v>6.5435923520817845</v>
      </c>
      <c r="X55" s="48">
        <f>Summary!X27/Summary!X$22*100</f>
        <v>6.62916668735713</v>
      </c>
      <c r="Y55" s="48">
        <f>Summary!Y27/Summary!Y$22*100</f>
        <v>6.6599449483643172</v>
      </c>
      <c r="Z55" s="48">
        <f>Summary!Z27/Summary!Z$22*100</f>
        <v>6.5847274654625823</v>
      </c>
      <c r="AA55" s="48">
        <f>Summary!AA27/Summary!AA$22*100</f>
        <v>6.4551630939490385</v>
      </c>
      <c r="AB55" s="48">
        <f>Summary!AB27/Summary!AB$22*100</f>
        <v>6.4418672907284256</v>
      </c>
      <c r="AC55" s="48">
        <f>Summary!AC27/Summary!AC$22*100</f>
        <v>6.5746319042856713</v>
      </c>
      <c r="AD55" s="48">
        <f>Summary!AD27/Summary!AD$22*100</f>
        <v>6.7269302365723371</v>
      </c>
      <c r="AE55" s="48">
        <f>Summary!AE27/Summary!AE$22*100</f>
        <v>6.6977409669684143</v>
      </c>
      <c r="AF55" s="48">
        <f>Summary!AF27/Summary!AF$22*100</f>
        <v>6.5509352409285491</v>
      </c>
      <c r="AG55" s="48">
        <f>Summary!AG27/Summary!AG$22*100</f>
        <v>6.4165479592506136</v>
      </c>
      <c r="AH55" s="48">
        <f>Summary!AH27/Summary!AH$22*100</f>
        <v>6.5042459578019143</v>
      </c>
      <c r="AI55" s="48">
        <f>Summary!AI27/Summary!AI$22*100</f>
        <v>6.7836152914132146</v>
      </c>
      <c r="AJ55" s="48">
        <f>Summary!AJ27/Summary!AJ$22*100</f>
        <v>7.0406440033535871</v>
      </c>
      <c r="AK55" s="48">
        <f>Summary!AK27/Summary!AK$22*100</f>
        <v>7.1073801721377299</v>
      </c>
      <c r="AL55" s="48">
        <f>Summary!AL27/Summary!AL$22*100</f>
        <v>7.124139214893999</v>
      </c>
      <c r="AM55" s="48">
        <f>Summary!AM27/Summary!AM$22*100</f>
        <v>7.1558476760140559</v>
      </c>
      <c r="AN55" s="48">
        <f>Summary!AN27/Summary!AN$22*100</f>
        <v>7.1099631344814789</v>
      </c>
      <c r="AO55" s="48">
        <f>Summary!AO27/Summary!AO$22*100</f>
        <v>6.967170748923329</v>
      </c>
      <c r="AP55" s="48">
        <f>Summary!AP27/Summary!AP$22*100</f>
        <v>6.8280531400014635</v>
      </c>
      <c r="AQ55" s="48">
        <f>Summary!AQ27/Summary!AQ$22*100</f>
        <v>6.7560630398939514</v>
      </c>
    </row>
    <row r="56" spans="1:43" x14ac:dyDescent="0.2">
      <c r="A56" s="52" t="s">
        <v>69</v>
      </c>
    </row>
  </sheetData>
  <mergeCells count="22">
    <mergeCell ref="AN3:AQ3"/>
    <mergeCell ref="AN31:AQ31"/>
    <mergeCell ref="X31:AA31"/>
    <mergeCell ref="AB3:AE3"/>
    <mergeCell ref="AB31:AE31"/>
    <mergeCell ref="AJ3:AM3"/>
    <mergeCell ref="AF3:AI3"/>
    <mergeCell ref="AF31:AI31"/>
    <mergeCell ref="X3:AA3"/>
    <mergeCell ref="AJ31:AL31"/>
    <mergeCell ref="U3:W3"/>
    <mergeCell ref="U31:W31"/>
    <mergeCell ref="B31:C31"/>
    <mergeCell ref="D31:G31"/>
    <mergeCell ref="H31:K31"/>
    <mergeCell ref="L31:O31"/>
    <mergeCell ref="P31:S31"/>
    <mergeCell ref="B3:C3"/>
    <mergeCell ref="D3:G3"/>
    <mergeCell ref="H3:K3"/>
    <mergeCell ref="L3:O3"/>
    <mergeCell ref="P3:S3"/>
  </mergeCells>
  <pageMargins left="0.5" right="0" top="0.5" bottom="0" header="0" footer="0"/>
  <pageSetup paperSize="9" scale="8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CC37"/>
  <sheetViews>
    <sheetView showGridLines="0" view="pageBreakPreview" zoomScaleNormal="100" zoomScaleSheetLayoutView="100" workbookViewId="0">
      <pane xSplit="1" ySplit="4" topLeftCell="BA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8.85546875" style="1" customWidth="1"/>
    <col min="2" max="2" width="7.42578125" style="1" hidden="1" customWidth="1"/>
    <col min="3" max="6" width="8.42578125" style="1" hidden="1" customWidth="1"/>
    <col min="7" max="7" width="1.42578125" style="1" hidden="1" customWidth="1"/>
    <col min="8" max="8" width="1.140625" style="1" hidden="1" customWidth="1"/>
    <col min="9" max="10" width="7.5703125" style="1" hidden="1" customWidth="1"/>
    <col min="11" max="11" width="8" style="1" hidden="1" customWidth="1"/>
    <col min="12" max="12" width="7.5703125" style="1" hidden="1" customWidth="1"/>
    <col min="13" max="15" width="6.7109375" style="1" hidden="1" customWidth="1"/>
    <col min="16" max="19" width="6.85546875" style="1" hidden="1" customWidth="1"/>
    <col min="20" max="28" width="6.7109375" style="1" hidden="1" customWidth="1"/>
    <col min="29" max="29" width="0.5703125" style="1" hidden="1" customWidth="1"/>
    <col min="30" max="30" width="0.7109375" style="1" hidden="1" customWidth="1"/>
    <col min="31" max="31" width="9.140625" style="1" hidden="1" customWidth="1"/>
    <col min="32" max="35" width="7.28515625" style="1" hidden="1" customWidth="1"/>
    <col min="36" max="49" width="7.28515625" style="1" customWidth="1"/>
    <col min="50" max="51" width="7.42578125" style="1" customWidth="1"/>
    <col min="52" max="52" width="7.5703125" style="1" customWidth="1"/>
    <col min="53" max="53" width="7.42578125" style="1" customWidth="1"/>
    <col min="54" max="54" width="8" style="128" customWidth="1"/>
    <col min="55" max="55" width="7.42578125" style="1" customWidth="1"/>
    <col min="56" max="56" width="7.5703125" style="1" customWidth="1"/>
    <col min="57" max="58" width="7.5703125" style="128" customWidth="1"/>
    <col min="59" max="61" width="7.5703125" style="1" customWidth="1"/>
    <col min="62" max="62" width="8.85546875" style="1" customWidth="1"/>
    <col min="63" max="66" width="7.5703125" style="1" bestFit="1" customWidth="1"/>
    <col min="67" max="67" width="7.85546875" style="1" customWidth="1"/>
    <col min="68" max="68" width="7.5703125" style="1" bestFit="1" customWidth="1"/>
    <col min="69" max="69" width="8" style="1" customWidth="1"/>
    <col min="70" max="70" width="7.7109375" style="1" customWidth="1"/>
    <col min="71" max="71" width="8.42578125" style="1" customWidth="1"/>
    <col min="72" max="72" width="8.140625" style="1" customWidth="1"/>
    <col min="73" max="73" width="8.85546875" style="1" customWidth="1"/>
    <col min="74" max="74" width="7.85546875" style="1" customWidth="1"/>
    <col min="75" max="75" width="7.5703125" style="1" bestFit="1" customWidth="1"/>
    <col min="76" max="76" width="7.85546875" style="1" customWidth="1"/>
    <col min="77" max="77" width="9.140625" style="1"/>
    <col min="78" max="78" width="7.7109375" style="1" customWidth="1"/>
    <col min="79" max="16384" width="9.140625" style="1"/>
  </cols>
  <sheetData>
    <row r="1" spans="1:81" ht="15.75" customHeight="1" thickBot="1" x14ac:dyDescent="0.25">
      <c r="A1" s="31" t="s">
        <v>178</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L1" s="94"/>
      <c r="AM1" s="95"/>
      <c r="AN1" s="95"/>
      <c r="AO1" s="95"/>
      <c r="AP1" s="95"/>
      <c r="AQ1" s="31"/>
      <c r="AS1" s="95"/>
      <c r="AT1" s="94"/>
      <c r="AU1" s="94"/>
      <c r="AV1" s="94"/>
      <c r="AW1" s="94"/>
      <c r="AX1" s="94"/>
      <c r="AY1" s="94"/>
      <c r="AZ1" s="94"/>
      <c r="BA1" s="94"/>
      <c r="BC1" s="94"/>
      <c r="BD1" s="94"/>
    </row>
    <row r="2" spans="1:81" ht="12.75" hidden="1" customHeight="1" thickBot="1" x14ac:dyDescent="0.25">
      <c r="A2" s="94"/>
      <c r="B2" s="94"/>
      <c r="C2" s="94"/>
      <c r="D2" s="94"/>
      <c r="E2" s="94"/>
      <c r="F2" s="94"/>
      <c r="G2" s="94"/>
      <c r="H2" s="94"/>
      <c r="I2" s="94" t="s">
        <v>20</v>
      </c>
      <c r="J2" s="94" t="s">
        <v>21</v>
      </c>
      <c r="K2" s="94" t="s">
        <v>22</v>
      </c>
      <c r="L2" s="94" t="s">
        <v>23</v>
      </c>
      <c r="M2" s="94" t="s">
        <v>24</v>
      </c>
      <c r="N2" s="94" t="s">
        <v>25</v>
      </c>
      <c r="O2" s="94" t="s">
        <v>26</v>
      </c>
      <c r="P2" s="94" t="s">
        <v>27</v>
      </c>
      <c r="Q2" s="94" t="s">
        <v>28</v>
      </c>
      <c r="R2" s="94" t="s">
        <v>29</v>
      </c>
      <c r="S2" s="94" t="s">
        <v>30</v>
      </c>
      <c r="T2" s="94" t="s">
        <v>31</v>
      </c>
      <c r="U2" s="94" t="s">
        <v>32</v>
      </c>
      <c r="V2" s="94" t="s">
        <v>33</v>
      </c>
      <c r="W2" s="94" t="s">
        <v>34</v>
      </c>
      <c r="X2" s="94" t="s">
        <v>35</v>
      </c>
      <c r="Y2" s="94" t="s">
        <v>36</v>
      </c>
      <c r="Z2" s="94" t="s">
        <v>37</v>
      </c>
      <c r="AA2" s="94" t="s">
        <v>38</v>
      </c>
      <c r="AB2" s="94" t="s">
        <v>39</v>
      </c>
      <c r="AC2" s="94" t="s">
        <v>40</v>
      </c>
      <c r="AD2" s="94" t="s">
        <v>41</v>
      </c>
      <c r="AE2" s="94" t="s">
        <v>42</v>
      </c>
      <c r="AF2" s="94" t="s">
        <v>43</v>
      </c>
      <c r="AG2" s="94" t="s">
        <v>44</v>
      </c>
      <c r="AH2" s="94" t="s">
        <v>45</v>
      </c>
      <c r="AI2" s="94" t="s">
        <v>51</v>
      </c>
      <c r="AJ2" s="94" t="s">
        <v>73</v>
      </c>
      <c r="AK2" s="94" t="s">
        <v>74</v>
      </c>
      <c r="AL2" s="94" t="s">
        <v>75</v>
      </c>
      <c r="AM2" s="94" t="s">
        <v>78</v>
      </c>
      <c r="AN2" s="94"/>
      <c r="AO2" s="94"/>
      <c r="AP2" s="94"/>
      <c r="AQ2" s="94"/>
      <c r="AR2" s="94"/>
      <c r="AS2" s="94"/>
      <c r="AT2" s="94"/>
      <c r="AU2" s="94"/>
      <c r="AV2" s="94"/>
      <c r="AW2" s="94"/>
      <c r="AX2" s="94"/>
      <c r="AY2" s="94"/>
      <c r="AZ2" s="94"/>
      <c r="BA2" s="94"/>
      <c r="BC2" s="94"/>
      <c r="BD2" s="94"/>
    </row>
    <row r="3" spans="1:81" s="86" customFormat="1" ht="12" customHeight="1" x14ac:dyDescent="0.2">
      <c r="A3" s="148" t="s">
        <v>123</v>
      </c>
      <c r="B3" s="149"/>
      <c r="C3" s="148"/>
      <c r="D3" s="148"/>
      <c r="E3" s="148"/>
      <c r="F3" s="150"/>
      <c r="G3" s="148"/>
      <c r="H3" s="148"/>
      <c r="I3" s="266" t="s">
        <v>67</v>
      </c>
      <c r="J3" s="266"/>
      <c r="K3" s="266" t="s">
        <v>66</v>
      </c>
      <c r="L3" s="266"/>
      <c r="M3" s="266"/>
      <c r="N3" s="266"/>
      <c r="O3" s="266" t="s">
        <v>60</v>
      </c>
      <c r="P3" s="266"/>
      <c r="Q3" s="266"/>
      <c r="R3" s="266"/>
      <c r="S3" s="266" t="s">
        <v>61</v>
      </c>
      <c r="T3" s="266"/>
      <c r="U3" s="266"/>
      <c r="V3" s="266"/>
      <c r="W3" s="266" t="s">
        <v>62</v>
      </c>
      <c r="X3" s="266"/>
      <c r="Y3" s="266"/>
      <c r="Z3" s="266"/>
      <c r="AA3" s="148" t="s">
        <v>63</v>
      </c>
      <c r="AB3" s="148"/>
      <c r="AC3" s="266" t="s">
        <v>63</v>
      </c>
      <c r="AD3" s="266"/>
      <c r="AE3" s="148" t="s">
        <v>64</v>
      </c>
      <c r="AF3" s="148" t="s">
        <v>64</v>
      </c>
      <c r="AG3" s="148"/>
      <c r="AH3" s="148" t="s">
        <v>64</v>
      </c>
      <c r="AI3" s="148" t="s">
        <v>65</v>
      </c>
      <c r="AJ3" s="148" t="s">
        <v>65</v>
      </c>
      <c r="AK3" s="148" t="s">
        <v>65</v>
      </c>
      <c r="AL3" s="148"/>
      <c r="AM3" s="266" t="s">
        <v>77</v>
      </c>
      <c r="AN3" s="266"/>
      <c r="AO3" s="266"/>
      <c r="AP3" s="266"/>
      <c r="AQ3" s="266" t="s">
        <v>80</v>
      </c>
      <c r="AR3" s="266"/>
      <c r="AS3" s="266"/>
      <c r="AT3" s="266"/>
      <c r="AU3" s="266" t="s">
        <v>92</v>
      </c>
      <c r="AV3" s="266"/>
      <c r="AW3" s="266"/>
      <c r="AX3" s="266"/>
      <c r="AY3" s="266" t="s">
        <v>134</v>
      </c>
      <c r="AZ3" s="266"/>
      <c r="BA3" s="266"/>
      <c r="BB3" s="266"/>
      <c r="BC3" s="266" t="s">
        <v>136</v>
      </c>
      <c r="BD3" s="266"/>
      <c r="BE3" s="266"/>
      <c r="BF3" s="266"/>
      <c r="BG3" s="266" t="s">
        <v>137</v>
      </c>
      <c r="BH3" s="266"/>
      <c r="BI3" s="266"/>
      <c r="BK3" s="260" t="s">
        <v>138</v>
      </c>
      <c r="BL3" s="260"/>
      <c r="BM3" s="260"/>
      <c r="BN3" s="260"/>
      <c r="BO3" s="260" t="s">
        <v>139</v>
      </c>
      <c r="BP3" s="260"/>
      <c r="BQ3" s="260"/>
      <c r="BR3" s="260"/>
      <c r="BS3" s="260" t="s">
        <v>140</v>
      </c>
      <c r="BT3" s="260"/>
      <c r="BU3" s="260"/>
      <c r="BV3" s="260"/>
      <c r="BW3" s="260" t="s">
        <v>174</v>
      </c>
      <c r="BX3" s="260"/>
      <c r="BY3" s="260"/>
      <c r="BZ3" s="260"/>
      <c r="CA3" s="260" t="s">
        <v>175</v>
      </c>
      <c r="CB3" s="260"/>
      <c r="CC3" s="260"/>
    </row>
    <row r="4" spans="1:81" s="143" customFormat="1" ht="12" customHeight="1" x14ac:dyDescent="0.2">
      <c r="A4" s="151" t="s">
        <v>124</v>
      </c>
      <c r="B4" s="152" t="s">
        <v>64</v>
      </c>
      <c r="C4" s="153" t="s">
        <v>65</v>
      </c>
      <c r="D4" s="153" t="s">
        <v>77</v>
      </c>
      <c r="E4" s="153" t="s">
        <v>80</v>
      </c>
      <c r="F4" s="154" t="s">
        <v>92</v>
      </c>
      <c r="G4" s="153"/>
      <c r="H4" s="155"/>
      <c r="I4" s="156" t="s">
        <v>48</v>
      </c>
      <c r="J4" s="156" t="s">
        <v>49</v>
      </c>
      <c r="K4" s="156" t="s">
        <v>46</v>
      </c>
      <c r="L4" s="156" t="s">
        <v>47</v>
      </c>
      <c r="M4" s="156" t="s">
        <v>48</v>
      </c>
      <c r="N4" s="156" t="s">
        <v>49</v>
      </c>
      <c r="O4" s="156" t="s">
        <v>46</v>
      </c>
      <c r="P4" s="156" t="s">
        <v>47</v>
      </c>
      <c r="Q4" s="156" t="s">
        <v>48</v>
      </c>
      <c r="R4" s="156" t="s">
        <v>49</v>
      </c>
      <c r="S4" s="156" t="s">
        <v>46</v>
      </c>
      <c r="T4" s="156" t="s">
        <v>47</v>
      </c>
      <c r="U4" s="156" t="s">
        <v>48</v>
      </c>
      <c r="V4" s="156" t="s">
        <v>49</v>
      </c>
      <c r="W4" s="156" t="s">
        <v>46</v>
      </c>
      <c r="X4" s="156" t="s">
        <v>47</v>
      </c>
      <c r="Y4" s="156" t="s">
        <v>48</v>
      </c>
      <c r="Z4" s="156" t="s">
        <v>49</v>
      </c>
      <c r="AA4" s="156" t="s">
        <v>46</v>
      </c>
      <c r="AB4" s="156" t="s">
        <v>47</v>
      </c>
      <c r="AC4" s="156" t="s">
        <v>48</v>
      </c>
      <c r="AD4" s="156" t="s">
        <v>49</v>
      </c>
      <c r="AE4" s="156" t="s">
        <v>46</v>
      </c>
      <c r="AF4" s="156" t="s">
        <v>47</v>
      </c>
      <c r="AG4" s="156" t="s">
        <v>48</v>
      </c>
      <c r="AH4" s="156" t="s">
        <v>49</v>
      </c>
      <c r="AI4" s="156" t="s">
        <v>46</v>
      </c>
      <c r="AJ4" s="156" t="s">
        <v>47</v>
      </c>
      <c r="AK4" s="156" t="s">
        <v>48</v>
      </c>
      <c r="AL4" s="156" t="s">
        <v>49</v>
      </c>
      <c r="AM4" s="156" t="s">
        <v>46</v>
      </c>
      <c r="AN4" s="156" t="s">
        <v>47</v>
      </c>
      <c r="AO4" s="156" t="s">
        <v>48</v>
      </c>
      <c r="AP4" s="156" t="s">
        <v>49</v>
      </c>
      <c r="AQ4" s="156" t="s">
        <v>46</v>
      </c>
      <c r="AR4" s="156" t="s">
        <v>47</v>
      </c>
      <c r="AS4" s="156" t="s">
        <v>48</v>
      </c>
      <c r="AT4" s="156" t="s">
        <v>49</v>
      </c>
      <c r="AU4" s="157" t="s">
        <v>46</v>
      </c>
      <c r="AV4" s="156" t="s">
        <v>47</v>
      </c>
      <c r="AW4" s="157" t="s">
        <v>48</v>
      </c>
      <c r="AX4" s="157" t="s">
        <v>49</v>
      </c>
      <c r="AY4" s="157" t="s">
        <v>46</v>
      </c>
      <c r="AZ4" s="157" t="s">
        <v>47</v>
      </c>
      <c r="BA4" s="157" t="s">
        <v>48</v>
      </c>
      <c r="BB4" s="157" t="s">
        <v>49</v>
      </c>
      <c r="BC4" s="157" t="s">
        <v>46</v>
      </c>
      <c r="BD4" s="157" t="s">
        <v>47</v>
      </c>
      <c r="BE4" s="157" t="s">
        <v>48</v>
      </c>
      <c r="BF4" s="157" t="s">
        <v>49</v>
      </c>
      <c r="BG4" s="157" t="s">
        <v>46</v>
      </c>
      <c r="BH4" s="157" t="s">
        <v>47</v>
      </c>
      <c r="BI4" s="157" t="s">
        <v>48</v>
      </c>
      <c r="BJ4" s="157" t="s">
        <v>49</v>
      </c>
      <c r="BK4" s="157" t="s">
        <v>46</v>
      </c>
      <c r="BL4" s="157" t="s">
        <v>47</v>
      </c>
      <c r="BM4" s="157" t="s">
        <v>48</v>
      </c>
      <c r="BN4" s="157" t="s">
        <v>49</v>
      </c>
      <c r="BO4" s="157" t="s">
        <v>46</v>
      </c>
      <c r="BP4" s="157" t="s">
        <v>47</v>
      </c>
      <c r="BQ4" s="157" t="s">
        <v>48</v>
      </c>
      <c r="BR4" s="157" t="s">
        <v>49</v>
      </c>
      <c r="BS4" s="157" t="s">
        <v>46</v>
      </c>
      <c r="BT4" s="157" t="s">
        <v>47</v>
      </c>
      <c r="BU4" s="157" t="s">
        <v>48</v>
      </c>
      <c r="BV4" s="157" t="s">
        <v>49</v>
      </c>
      <c r="BW4" s="157" t="s">
        <v>46</v>
      </c>
      <c r="BX4" s="157" t="s">
        <v>47</v>
      </c>
      <c r="BY4" s="157" t="s">
        <v>48</v>
      </c>
      <c r="BZ4" s="157" t="s">
        <v>49</v>
      </c>
      <c r="CA4" s="157" t="s">
        <v>46</v>
      </c>
      <c r="CB4" s="157" t="s">
        <v>47</v>
      </c>
      <c r="CC4" s="157" t="s">
        <v>48</v>
      </c>
    </row>
    <row r="5" spans="1:81" s="37" customFormat="1" ht="23.1" customHeight="1" x14ac:dyDescent="0.2">
      <c r="A5" s="75" t="s">
        <v>97</v>
      </c>
      <c r="B5" s="129">
        <v>95677.550598356247</v>
      </c>
      <c r="C5" s="78">
        <v>101373.09902016303</v>
      </c>
      <c r="D5" s="78">
        <v>105223.07960081876</v>
      </c>
      <c r="E5" s="78">
        <v>108518.04092147313</v>
      </c>
      <c r="F5" s="130">
        <v>115358.93550972588</v>
      </c>
      <c r="G5" s="78"/>
      <c r="H5" s="78">
        <v>0</v>
      </c>
      <c r="I5" s="78"/>
      <c r="J5" s="78"/>
      <c r="K5" s="78">
        <v>15766.403368615887</v>
      </c>
      <c r="L5" s="78">
        <v>13927.632412400042</v>
      </c>
      <c r="M5" s="78">
        <v>14022.629484093877</v>
      </c>
      <c r="N5" s="78">
        <v>15998.234460900638</v>
      </c>
      <c r="O5" s="78">
        <v>21078.88190119711</v>
      </c>
      <c r="P5" s="78">
        <v>19122.74815011321</v>
      </c>
      <c r="Q5" s="78">
        <v>19608.558624035595</v>
      </c>
      <c r="R5" s="78">
        <v>20695.656467071331</v>
      </c>
      <c r="S5" s="78">
        <v>23193.525636736922</v>
      </c>
      <c r="T5" s="78">
        <v>21456.642924518372</v>
      </c>
      <c r="U5" s="78">
        <v>21240.164712100053</v>
      </c>
      <c r="V5" s="78">
        <v>21202.323991283509</v>
      </c>
      <c r="W5" s="78">
        <v>24535.906399564683</v>
      </c>
      <c r="X5" s="78">
        <v>21481.557288452175</v>
      </c>
      <c r="Y5" s="78">
        <v>21447.287891034335</v>
      </c>
      <c r="Z5" s="78">
        <v>22266.798765661355</v>
      </c>
      <c r="AA5" s="78">
        <v>26057.999659847072</v>
      </c>
      <c r="AB5" s="78">
        <v>22244.278731697261</v>
      </c>
      <c r="AC5" s="78">
        <v>21603.992362370307</v>
      </c>
      <c r="AD5" s="78">
        <v>21779.635510327214</v>
      </c>
      <c r="AE5" s="78">
        <v>25541.077794733435</v>
      </c>
      <c r="AF5" s="78">
        <v>22459.838317436101</v>
      </c>
      <c r="AG5" s="78">
        <v>23000.643542365258</v>
      </c>
      <c r="AH5" s="78">
        <v>24675.99094382146</v>
      </c>
      <c r="AI5" s="78">
        <v>26399.958536451453</v>
      </c>
      <c r="AJ5" s="78">
        <v>24996.444052116509</v>
      </c>
      <c r="AK5" s="78">
        <v>24359.381262067185</v>
      </c>
      <c r="AL5" s="78">
        <v>25617.31516952789</v>
      </c>
      <c r="AM5" s="78">
        <v>28652.094072750078</v>
      </c>
      <c r="AN5" s="78">
        <v>26475.798526907674</v>
      </c>
      <c r="AO5" s="78">
        <v>24581.779708377071</v>
      </c>
      <c r="AP5" s="78">
        <v>25513.407292783937</v>
      </c>
      <c r="AQ5" s="78">
        <v>28577.247355351661</v>
      </c>
      <c r="AR5" s="78">
        <v>26610.180139309006</v>
      </c>
      <c r="AS5" s="78">
        <v>26240.178376213596</v>
      </c>
      <c r="AT5" s="78">
        <v>27090.435050598862</v>
      </c>
      <c r="AU5" s="78">
        <v>30772.237101227405</v>
      </c>
      <c r="AV5" s="78">
        <v>28335.280176173645</v>
      </c>
      <c r="AW5" s="78">
        <v>27653.331335663122</v>
      </c>
      <c r="AX5" s="78">
        <v>28598.086896661713</v>
      </c>
      <c r="AY5" s="78">
        <v>32487.642175718105</v>
      </c>
      <c r="AZ5" s="78">
        <v>29958.630874878399</v>
      </c>
      <c r="BA5" s="78">
        <v>29773.235405169889</v>
      </c>
      <c r="BB5" s="78">
        <v>30567.094784970548</v>
      </c>
      <c r="BC5" s="78">
        <v>34943.779208652792</v>
      </c>
      <c r="BD5" s="78">
        <v>32466.458134210301</v>
      </c>
      <c r="BE5" s="78">
        <v>30130.072340548548</v>
      </c>
      <c r="BF5" s="78">
        <v>28870.10246360661</v>
      </c>
      <c r="BG5" s="78">
        <v>34802.923492478898</v>
      </c>
      <c r="BH5" s="78">
        <v>32477.008349026924</v>
      </c>
      <c r="BI5" s="78">
        <v>30975.023524528337</v>
      </c>
      <c r="BJ5" s="78">
        <v>32626.062565576813</v>
      </c>
      <c r="BK5" s="78">
        <v>35622.436290247155</v>
      </c>
      <c r="BL5" s="78">
        <v>34024.489547290636</v>
      </c>
      <c r="BM5" s="78">
        <v>32716.662025108297</v>
      </c>
      <c r="BN5" s="78">
        <v>34522.279863118289</v>
      </c>
      <c r="BO5" s="78">
        <v>38746.737026853109</v>
      </c>
      <c r="BP5" s="78">
        <v>35492.012708280527</v>
      </c>
      <c r="BQ5" s="78">
        <v>33446.227975016081</v>
      </c>
      <c r="BR5" s="78">
        <v>36506.451755519171</v>
      </c>
      <c r="BS5" s="78">
        <v>41068.072476131187</v>
      </c>
      <c r="BT5" s="78">
        <v>37544.310138874716</v>
      </c>
      <c r="BU5" s="78">
        <v>35728.791475472033</v>
      </c>
      <c r="BV5" s="78">
        <v>38581.883833767082</v>
      </c>
      <c r="BW5" s="78">
        <v>43605.835576599486</v>
      </c>
      <c r="BX5" s="78">
        <v>39557.990842081461</v>
      </c>
      <c r="BY5" s="78">
        <v>38727.98734077152</v>
      </c>
      <c r="BZ5" s="78">
        <v>40714.044049908181</v>
      </c>
      <c r="CA5" s="78">
        <v>45718.883622849549</v>
      </c>
      <c r="CB5" s="78">
        <v>42903.876010157692</v>
      </c>
      <c r="CC5" s="78">
        <v>40970.226756517841</v>
      </c>
    </row>
    <row r="6" spans="1:81" s="141" customFormat="1" ht="23.1" customHeight="1" x14ac:dyDescent="0.2">
      <c r="A6" s="164" t="s">
        <v>96</v>
      </c>
      <c r="B6" s="165">
        <v>23529.598399338389</v>
      </c>
      <c r="C6" s="166">
        <v>24071.815495661536</v>
      </c>
      <c r="D6" s="166">
        <v>24773.788952611292</v>
      </c>
      <c r="E6" s="166">
        <v>25457.06858012002</v>
      </c>
      <c r="F6" s="167">
        <v>26574.425882050713</v>
      </c>
      <c r="G6" s="168"/>
      <c r="H6" s="164"/>
      <c r="I6" s="168"/>
      <c r="J6" s="168"/>
      <c r="K6" s="168">
        <v>6507.5645417770093</v>
      </c>
      <c r="L6" s="168">
        <v>4895.3188760389567</v>
      </c>
      <c r="M6" s="168">
        <v>4423.945186291654</v>
      </c>
      <c r="N6" s="168">
        <v>5495.5749389700923</v>
      </c>
      <c r="O6" s="168">
        <v>6875.3793203306886</v>
      </c>
      <c r="P6" s="168">
        <v>5088.8483808627734</v>
      </c>
      <c r="Q6" s="168">
        <v>4451.0204512514265</v>
      </c>
      <c r="R6" s="168">
        <v>5461.4456005134616</v>
      </c>
      <c r="S6" s="168">
        <v>7007.557350652125</v>
      </c>
      <c r="T6" s="168">
        <v>5267.2451301451565</v>
      </c>
      <c r="U6" s="168">
        <v>4769.9820194119939</v>
      </c>
      <c r="V6" s="168">
        <v>5440.6970408820653</v>
      </c>
      <c r="W6" s="168">
        <v>7871.5671188661754</v>
      </c>
      <c r="X6" s="168">
        <v>5290.0544173396511</v>
      </c>
      <c r="Y6" s="168">
        <v>4412.0205330256922</v>
      </c>
      <c r="Z6" s="168">
        <v>5051.4272277824266</v>
      </c>
      <c r="AA6" s="168">
        <v>8273.6223523880526</v>
      </c>
      <c r="AB6" s="168">
        <v>5294.8848688877097</v>
      </c>
      <c r="AC6" s="168">
        <v>4601.826042610438</v>
      </c>
      <c r="AD6" s="168">
        <v>4760.2442074871569</v>
      </c>
      <c r="AE6" s="168">
        <v>8300.5433360589996</v>
      </c>
      <c r="AF6" s="168">
        <v>5337.7241308180328</v>
      </c>
      <c r="AG6" s="168">
        <v>4567.2362112880755</v>
      </c>
      <c r="AH6" s="168">
        <v>5324.0947211732828</v>
      </c>
      <c r="AI6" s="168">
        <v>7787.9339395324814</v>
      </c>
      <c r="AJ6" s="168">
        <v>5886.4232214851872</v>
      </c>
      <c r="AK6" s="168">
        <v>4831.2409199183257</v>
      </c>
      <c r="AL6" s="168">
        <v>5566.2174147255382</v>
      </c>
      <c r="AM6" s="168">
        <v>7919.4674984444837</v>
      </c>
      <c r="AN6" s="168">
        <v>5919.3821199101203</v>
      </c>
      <c r="AO6" s="168">
        <v>5302.9235566922061</v>
      </c>
      <c r="AP6" s="168">
        <v>5632.0157775644811</v>
      </c>
      <c r="AQ6" s="168">
        <v>8012.3898438440583</v>
      </c>
      <c r="AR6" s="168">
        <v>6110.5574830010291</v>
      </c>
      <c r="AS6" s="168">
        <v>5359.3297594225651</v>
      </c>
      <c r="AT6" s="168">
        <v>5974.7914938523681</v>
      </c>
      <c r="AU6" s="168">
        <v>8783.75361617198</v>
      </c>
      <c r="AV6" s="168">
        <v>6199.5724243031436</v>
      </c>
      <c r="AW6" s="168">
        <v>5495.0897018703818</v>
      </c>
      <c r="AX6" s="168">
        <v>6096.0101397052103</v>
      </c>
      <c r="AY6" s="168">
        <v>8974.6097339614735</v>
      </c>
      <c r="AZ6" s="168">
        <v>6448.4413448819614</v>
      </c>
      <c r="BA6" s="168">
        <v>5935.2774332582503</v>
      </c>
      <c r="BB6" s="168">
        <v>6628.7288960305441</v>
      </c>
      <c r="BC6" s="168">
        <v>9517.4184915144997</v>
      </c>
      <c r="BD6" s="168">
        <v>6941.2508425474216</v>
      </c>
      <c r="BE6" s="168">
        <v>5858.4834939906605</v>
      </c>
      <c r="BF6" s="168">
        <v>7019.6668965617291</v>
      </c>
      <c r="BG6" s="168">
        <v>10178.838113339847</v>
      </c>
      <c r="BH6" s="168">
        <v>7480.051447932221</v>
      </c>
      <c r="BI6" s="168">
        <v>5874.7256772867586</v>
      </c>
      <c r="BJ6" s="168">
        <v>7070.5839061785027</v>
      </c>
      <c r="BK6" s="168">
        <v>10624.949712522255</v>
      </c>
      <c r="BL6" s="168">
        <v>7330.8919880440335</v>
      </c>
      <c r="BM6" s="168">
        <v>6120.4466636740835</v>
      </c>
      <c r="BN6" s="168">
        <v>7804.9867663755058</v>
      </c>
      <c r="BO6" s="168">
        <v>11088.26280593619</v>
      </c>
      <c r="BP6" s="168">
        <v>8197.4364123430387</v>
      </c>
      <c r="BQ6" s="168">
        <v>6452.1007948510905</v>
      </c>
      <c r="BR6" s="168">
        <v>7589.8403301409671</v>
      </c>
      <c r="BS6" s="168">
        <v>11715.269920013694</v>
      </c>
      <c r="BT6" s="168">
        <v>8365.8311356487084</v>
      </c>
      <c r="BU6" s="168">
        <v>6712.9791346820011</v>
      </c>
      <c r="BV6" s="168">
        <v>8392.5623632282968</v>
      </c>
      <c r="BW6" s="168">
        <v>12457.039571469759</v>
      </c>
      <c r="BX6" s="168">
        <v>9018.0557620239742</v>
      </c>
      <c r="BY6" s="168">
        <v>7404.8569468746055</v>
      </c>
      <c r="BZ6" s="168">
        <v>8683.3829336736635</v>
      </c>
      <c r="CA6" s="168">
        <v>12839.640235938223</v>
      </c>
      <c r="CB6" s="168">
        <v>9809.0588895521632</v>
      </c>
      <c r="CC6" s="168">
        <v>7563.1390682711199</v>
      </c>
    </row>
    <row r="7" spans="1:81" s="35" customFormat="1" ht="23.1" customHeight="1" x14ac:dyDescent="0.2">
      <c r="A7" s="131" t="s">
        <v>1</v>
      </c>
      <c r="B7" s="76">
        <v>2077.9997570294822</v>
      </c>
      <c r="C7" s="73">
        <v>2161.0304048665207</v>
      </c>
      <c r="D7" s="73">
        <v>2332.5941801736853</v>
      </c>
      <c r="E7" s="73">
        <v>2551.9496999338248</v>
      </c>
      <c r="F7" s="74">
        <v>2702.9483189906487</v>
      </c>
      <c r="G7" s="77"/>
      <c r="H7" s="131"/>
      <c r="I7" s="77"/>
      <c r="J7" s="77"/>
      <c r="K7" s="77">
        <v>399.61794545638355</v>
      </c>
      <c r="L7" s="77">
        <v>634.82527212546518</v>
      </c>
      <c r="M7" s="77">
        <v>662.45052449629384</v>
      </c>
      <c r="N7" s="77">
        <v>513.92009682805258</v>
      </c>
      <c r="O7" s="77">
        <v>405.66078946564727</v>
      </c>
      <c r="P7" s="77">
        <v>538.91430118878304</v>
      </c>
      <c r="Q7" s="77">
        <v>452.23424743155778</v>
      </c>
      <c r="R7" s="77">
        <v>512.11823437025714</v>
      </c>
      <c r="S7" s="77">
        <v>376.1832759909617</v>
      </c>
      <c r="T7" s="77">
        <v>493.31842211261846</v>
      </c>
      <c r="U7" s="77">
        <v>613.89027365775462</v>
      </c>
      <c r="V7" s="77">
        <v>424.10419956685831</v>
      </c>
      <c r="W7" s="77">
        <v>502.56925869862965</v>
      </c>
      <c r="X7" s="77">
        <v>572.96078081251676</v>
      </c>
      <c r="Y7" s="77">
        <v>573.3713841051914</v>
      </c>
      <c r="Z7" s="77">
        <v>437.64169106842093</v>
      </c>
      <c r="AA7" s="77">
        <v>455.485824596974</v>
      </c>
      <c r="AB7" s="77">
        <v>553.15128245969231</v>
      </c>
      <c r="AC7" s="77">
        <v>634.25095825594383</v>
      </c>
      <c r="AD7" s="77">
        <v>442.07724182468331</v>
      </c>
      <c r="AE7" s="77">
        <v>509.03779225415207</v>
      </c>
      <c r="AF7" s="77">
        <v>591.99059894721847</v>
      </c>
      <c r="AG7" s="77">
        <v>581.34246890163661</v>
      </c>
      <c r="AH7" s="77">
        <v>395.62889692647531</v>
      </c>
      <c r="AI7" s="77">
        <v>502.58611030606454</v>
      </c>
      <c r="AJ7" s="77">
        <v>538.13508234310632</v>
      </c>
      <c r="AK7" s="77">
        <v>660.55567114258281</v>
      </c>
      <c r="AL7" s="77">
        <v>459.75354107476693</v>
      </c>
      <c r="AM7" s="77">
        <v>599.82266061531948</v>
      </c>
      <c r="AN7" s="77">
        <v>607.24444188044072</v>
      </c>
      <c r="AO7" s="77">
        <v>675.46961980167384</v>
      </c>
      <c r="AP7" s="77">
        <v>450.05745787625131</v>
      </c>
      <c r="AQ7" s="77">
        <v>503.80348979638592</v>
      </c>
      <c r="AR7" s="77">
        <v>751.47234756516627</v>
      </c>
      <c r="AS7" s="77">
        <v>756.66379966751811</v>
      </c>
      <c r="AT7" s="77">
        <v>540.01006290475459</v>
      </c>
      <c r="AU7" s="77">
        <v>711.49019191576656</v>
      </c>
      <c r="AV7" s="77">
        <v>721.04284581521335</v>
      </c>
      <c r="AW7" s="77">
        <v>772.20685018143377</v>
      </c>
      <c r="AX7" s="77">
        <v>498.20843107823475</v>
      </c>
      <c r="AY7" s="77">
        <v>708.23323325697652</v>
      </c>
      <c r="AZ7" s="77">
        <v>768.35836505822601</v>
      </c>
      <c r="BA7" s="77">
        <v>790.47224516226902</v>
      </c>
      <c r="BB7" s="77">
        <v>563.82243883157196</v>
      </c>
      <c r="BC7" s="77">
        <v>726.02295632793528</v>
      </c>
      <c r="BD7" s="77">
        <v>837.12849584969968</v>
      </c>
      <c r="BE7" s="77">
        <v>928.12523894349204</v>
      </c>
      <c r="BF7" s="77">
        <v>560.87770957455052</v>
      </c>
      <c r="BG7" s="77">
        <v>782.35957415657026</v>
      </c>
      <c r="BH7" s="77">
        <v>933.39017905880007</v>
      </c>
      <c r="BI7" s="77">
        <v>1033.3275548697179</v>
      </c>
      <c r="BJ7" s="77">
        <v>683.94950154845685</v>
      </c>
      <c r="BK7" s="77">
        <v>965.22972237615249</v>
      </c>
      <c r="BL7" s="77">
        <v>980.05040332063106</v>
      </c>
      <c r="BM7" s="77">
        <v>993.72888658205727</v>
      </c>
      <c r="BN7" s="77">
        <v>688.45779339571595</v>
      </c>
      <c r="BO7" s="77">
        <v>969.15812437540535</v>
      </c>
      <c r="BP7" s="77">
        <v>928.29382980042112</v>
      </c>
      <c r="BQ7" s="77">
        <v>1072.7337089713899</v>
      </c>
      <c r="BR7" s="77">
        <v>681.86824089328275</v>
      </c>
      <c r="BS7" s="77">
        <v>1030.9452675058033</v>
      </c>
      <c r="BT7" s="77">
        <v>1070.8633752803398</v>
      </c>
      <c r="BU7" s="77">
        <v>1245.771235795426</v>
      </c>
      <c r="BV7" s="77">
        <v>753.11773093368481</v>
      </c>
      <c r="BW7" s="77">
        <v>1200.8309265676539</v>
      </c>
      <c r="BX7" s="77">
        <v>1173.3745085049218</v>
      </c>
      <c r="BY7" s="77">
        <v>1357.3297513756709</v>
      </c>
      <c r="BZ7" s="77">
        <v>833.80664103983827</v>
      </c>
      <c r="CA7" s="77">
        <v>1285.3573338976018</v>
      </c>
      <c r="CB7" s="77">
        <v>1320.8623656487621</v>
      </c>
      <c r="CC7" s="77">
        <v>1454.5945965535318</v>
      </c>
    </row>
    <row r="8" spans="1:81" s="35" customFormat="1" ht="23.1" customHeight="1" x14ac:dyDescent="0.2">
      <c r="A8" s="131" t="s">
        <v>2</v>
      </c>
      <c r="B8" s="76">
        <v>12658.661236694017</v>
      </c>
      <c r="C8" s="73">
        <v>12936.630697844934</v>
      </c>
      <c r="D8" s="73">
        <v>13100.438751022164</v>
      </c>
      <c r="E8" s="73">
        <v>13394.945015345618</v>
      </c>
      <c r="F8" s="74">
        <v>14540.25189049952</v>
      </c>
      <c r="G8" s="77"/>
      <c r="H8" s="131"/>
      <c r="I8" s="77"/>
      <c r="J8" s="77"/>
      <c r="K8" s="77">
        <v>4281.5105804565092</v>
      </c>
      <c r="L8" s="77">
        <v>2451.0264655558913</v>
      </c>
      <c r="M8" s="77">
        <v>2018.2065571160413</v>
      </c>
      <c r="N8" s="77">
        <v>2897.7667044212176</v>
      </c>
      <c r="O8" s="77">
        <v>4593.2382009141938</v>
      </c>
      <c r="P8" s="77">
        <v>2657.0383197308688</v>
      </c>
      <c r="Q8" s="77">
        <v>2072.340854514604</v>
      </c>
      <c r="R8" s="77">
        <v>2919.803109880625</v>
      </c>
      <c r="S8" s="77">
        <v>4627.9620879487602</v>
      </c>
      <c r="T8" s="77">
        <v>2687.1305446423798</v>
      </c>
      <c r="U8" s="77">
        <v>2145.4963591209007</v>
      </c>
      <c r="V8" s="77">
        <v>3045.1338732405761</v>
      </c>
      <c r="W8" s="77">
        <v>5002.0198838398037</v>
      </c>
      <c r="X8" s="77">
        <v>2877.3533584455754</v>
      </c>
      <c r="Y8" s="77">
        <v>1847.6599188279326</v>
      </c>
      <c r="Z8" s="77">
        <v>2609.0780286464296</v>
      </c>
      <c r="AA8" s="77">
        <v>5742.9724911818639</v>
      </c>
      <c r="AB8" s="77">
        <v>2416.9647185446315</v>
      </c>
      <c r="AC8" s="77">
        <v>1728.436551088236</v>
      </c>
      <c r="AD8" s="77">
        <v>2411.7822633130168</v>
      </c>
      <c r="AE8" s="77">
        <v>5602.750311029884</v>
      </c>
      <c r="AF8" s="77">
        <v>2407.5869479763005</v>
      </c>
      <c r="AG8" s="77">
        <v>1852.706163779193</v>
      </c>
      <c r="AH8" s="77">
        <v>2795.6178139086396</v>
      </c>
      <c r="AI8" s="77">
        <v>5040.2281147046424</v>
      </c>
      <c r="AJ8" s="77">
        <v>3084.1246219437453</v>
      </c>
      <c r="AK8" s="77">
        <v>1960.0486392729845</v>
      </c>
      <c r="AL8" s="77">
        <v>2852.2293219235621</v>
      </c>
      <c r="AM8" s="77">
        <v>5070.1411827094089</v>
      </c>
      <c r="AN8" s="77">
        <v>3063.8262428713533</v>
      </c>
      <c r="AO8" s="77">
        <v>2087.326832057814</v>
      </c>
      <c r="AP8" s="77">
        <v>2879.1444933835874</v>
      </c>
      <c r="AQ8" s="77">
        <v>5158.2444205057345</v>
      </c>
      <c r="AR8" s="77">
        <v>2956.6064566827604</v>
      </c>
      <c r="AS8" s="77">
        <v>2216.3688091414588</v>
      </c>
      <c r="AT8" s="77">
        <v>3063.7253290156641</v>
      </c>
      <c r="AU8" s="77">
        <v>5764.4523599320146</v>
      </c>
      <c r="AV8" s="77">
        <v>3189.0325815060137</v>
      </c>
      <c r="AW8" s="77">
        <v>2406.5074764728147</v>
      </c>
      <c r="AX8" s="77">
        <v>3180.2594725886775</v>
      </c>
      <c r="AY8" s="77">
        <v>5806.2349398273072</v>
      </c>
      <c r="AZ8" s="77">
        <v>3120.4628024521453</v>
      </c>
      <c r="BA8" s="77">
        <v>2491.5732165027798</v>
      </c>
      <c r="BB8" s="77">
        <v>3355.7461627053376</v>
      </c>
      <c r="BC8" s="77">
        <v>6087.3682421375433</v>
      </c>
      <c r="BD8" s="77">
        <v>3386.363654416285</v>
      </c>
      <c r="BE8" s="77">
        <v>2210.2086796823992</v>
      </c>
      <c r="BF8" s="77">
        <v>3770.8715711411828</v>
      </c>
      <c r="BG8" s="77">
        <v>6729.393204981222</v>
      </c>
      <c r="BH8" s="77">
        <v>3733.7503682590163</v>
      </c>
      <c r="BI8" s="77">
        <v>2032.2914264633821</v>
      </c>
      <c r="BJ8" s="77">
        <v>3595.1715115068132</v>
      </c>
      <c r="BK8" s="77">
        <v>6847.8466172009894</v>
      </c>
      <c r="BL8" s="77">
        <v>3553.4940313316215</v>
      </c>
      <c r="BM8" s="77">
        <v>2141.0816182257618</v>
      </c>
      <c r="BN8" s="77">
        <v>4113.218134231849</v>
      </c>
      <c r="BO8" s="77">
        <v>7367.0189755228857</v>
      </c>
      <c r="BP8" s="77">
        <v>4243.1851028897354</v>
      </c>
      <c r="BQ8" s="77">
        <v>2047.1733289149602</v>
      </c>
      <c r="BR8" s="77">
        <v>3777.0372805557809</v>
      </c>
      <c r="BS8" s="77">
        <v>7740.0658605019926</v>
      </c>
      <c r="BT8" s="77">
        <v>4232.3299027083349</v>
      </c>
      <c r="BU8" s="77">
        <v>2190.2829782258741</v>
      </c>
      <c r="BV8" s="77">
        <v>4166.6735682641865</v>
      </c>
      <c r="BW8" s="77">
        <v>8152.8623893732956</v>
      </c>
      <c r="BX8" s="77">
        <v>4529.7878459103213</v>
      </c>
      <c r="BY8" s="77">
        <v>2262.5052763917824</v>
      </c>
      <c r="BZ8" s="77">
        <v>4257.0001331126869</v>
      </c>
      <c r="CA8" s="77">
        <v>8108.2688902013924</v>
      </c>
      <c r="CB8" s="77">
        <v>4878.8645126492529</v>
      </c>
      <c r="CC8" s="77">
        <v>2381.270990330147</v>
      </c>
    </row>
    <row r="9" spans="1:81" s="35" customFormat="1" ht="23.1" customHeight="1" x14ac:dyDescent="0.2">
      <c r="A9" s="131" t="s">
        <v>3</v>
      </c>
      <c r="B9" s="76">
        <v>2922.9115609364271</v>
      </c>
      <c r="C9" s="73">
        <v>3008.6417975036102</v>
      </c>
      <c r="D9" s="73">
        <v>3092.2451336200884</v>
      </c>
      <c r="E9" s="73">
        <v>3309.0902495708069</v>
      </c>
      <c r="F9" s="74">
        <v>3544.9509420641211</v>
      </c>
      <c r="G9" s="77"/>
      <c r="H9" s="131"/>
      <c r="I9" s="77"/>
      <c r="J9" s="77"/>
      <c r="K9" s="77">
        <v>645.89351169889176</v>
      </c>
      <c r="L9" s="77">
        <v>642.39660879089786</v>
      </c>
      <c r="M9" s="77">
        <v>648.87909210545274</v>
      </c>
      <c r="N9" s="77">
        <v>652.65570671886735</v>
      </c>
      <c r="O9" s="77">
        <v>651.96766958069747</v>
      </c>
      <c r="P9" s="77">
        <v>659.33729881507554</v>
      </c>
      <c r="Q9" s="77">
        <v>669.80162391729914</v>
      </c>
      <c r="R9" s="77">
        <v>669.8386448609117</v>
      </c>
      <c r="S9" s="77">
        <v>674.11804971812603</v>
      </c>
      <c r="T9" s="77">
        <v>674.75889423254137</v>
      </c>
      <c r="U9" s="77">
        <v>679.81968967955743</v>
      </c>
      <c r="V9" s="77">
        <v>683.75146894685474</v>
      </c>
      <c r="W9" s="77">
        <v>690.13314927793522</v>
      </c>
      <c r="X9" s="77">
        <v>691.44572458078119</v>
      </c>
      <c r="Y9" s="77">
        <v>696.56042546059575</v>
      </c>
      <c r="Z9" s="77">
        <v>697.61970424298522</v>
      </c>
      <c r="AA9" s="77">
        <v>694.12829994981121</v>
      </c>
      <c r="AB9" s="77">
        <v>687.96787521467763</v>
      </c>
      <c r="AC9" s="77">
        <v>732.72822107687898</v>
      </c>
      <c r="AD9" s="77">
        <v>729.88094225706209</v>
      </c>
      <c r="AE9" s="77">
        <v>730.74574329153188</v>
      </c>
      <c r="AF9" s="77">
        <v>732.46068582122382</v>
      </c>
      <c r="AG9" s="77">
        <v>729.28205634732058</v>
      </c>
      <c r="AH9" s="77">
        <v>730.4230754763505</v>
      </c>
      <c r="AI9" s="77">
        <v>744.3608868478367</v>
      </c>
      <c r="AJ9" s="77">
        <v>748.71540022373767</v>
      </c>
      <c r="AK9" s="77">
        <v>757.4926312146298</v>
      </c>
      <c r="AL9" s="77">
        <v>758.07287921740601</v>
      </c>
      <c r="AM9" s="77">
        <v>761.15519394465014</v>
      </c>
      <c r="AN9" s="77">
        <v>764.50227477101453</v>
      </c>
      <c r="AO9" s="77">
        <v>774.90150732679899</v>
      </c>
      <c r="AP9" s="77">
        <v>791.68615757762495</v>
      </c>
      <c r="AQ9" s="77">
        <v>803.94775824915166</v>
      </c>
      <c r="AR9" s="77">
        <v>820.59321518736385</v>
      </c>
      <c r="AS9" s="77">
        <v>836.92931655571408</v>
      </c>
      <c r="AT9" s="77">
        <v>847.61995957857721</v>
      </c>
      <c r="AU9" s="77">
        <v>869.77219933402728</v>
      </c>
      <c r="AV9" s="77">
        <v>875.22137389866259</v>
      </c>
      <c r="AW9" s="77">
        <v>895.75738935389847</v>
      </c>
      <c r="AX9" s="77">
        <v>904.19997947753302</v>
      </c>
      <c r="AY9" s="77">
        <v>927.0688620100766</v>
      </c>
      <c r="AZ9" s="77">
        <v>942.41423690795887</v>
      </c>
      <c r="BA9" s="77">
        <v>958.71970740000779</v>
      </c>
      <c r="BB9" s="77">
        <v>977.13017291877156</v>
      </c>
      <c r="BC9" s="77">
        <v>999.62611295133183</v>
      </c>
      <c r="BD9" s="77">
        <v>1016.5699163403615</v>
      </c>
      <c r="BE9" s="77">
        <v>1037.6778643015537</v>
      </c>
      <c r="BF9" s="77">
        <v>1051.9474828662387</v>
      </c>
      <c r="BG9" s="77">
        <v>1075.0902551497784</v>
      </c>
      <c r="BH9" s="77">
        <v>1093.5813547709745</v>
      </c>
      <c r="BI9" s="77">
        <v>1117.6449535854119</v>
      </c>
      <c r="BJ9" s="77">
        <v>1139.380466377231</v>
      </c>
      <c r="BK9" s="77">
        <v>1164.91478544969</v>
      </c>
      <c r="BL9" s="77">
        <v>1183.7106407513986</v>
      </c>
      <c r="BM9" s="77">
        <v>1209.218429624374</v>
      </c>
      <c r="BN9" s="77">
        <v>1235.4276412480087</v>
      </c>
      <c r="BO9" s="77">
        <v>1266.692741292017</v>
      </c>
      <c r="BP9" s="77">
        <v>1289.0045360190331</v>
      </c>
      <c r="BQ9" s="77">
        <v>1324.744269388719</v>
      </c>
      <c r="BR9" s="77">
        <v>1336.3724775720505</v>
      </c>
      <c r="BS9" s="77">
        <v>1364.9638185924966</v>
      </c>
      <c r="BT9" s="77">
        <v>1392.5444827179699</v>
      </c>
      <c r="BU9" s="77">
        <v>1421.1592001054839</v>
      </c>
      <c r="BV9" s="77">
        <v>1449.5255402924874</v>
      </c>
      <c r="BW9" s="77">
        <v>1480.2990628608577</v>
      </c>
      <c r="BX9" s="77">
        <v>1512.2661495710715</v>
      </c>
      <c r="BY9" s="77">
        <v>1550.661334969325</v>
      </c>
      <c r="BZ9" s="77">
        <v>1577.5315740637263</v>
      </c>
      <c r="CA9" s="77">
        <v>1617.3459433419987</v>
      </c>
      <c r="CB9" s="77">
        <v>1651.7309728484622</v>
      </c>
      <c r="CC9" s="77">
        <v>1652.405062162278</v>
      </c>
    </row>
    <row r="10" spans="1:81" s="35" customFormat="1" ht="23.1" customHeight="1" x14ac:dyDescent="0.2">
      <c r="A10" s="131" t="s">
        <v>4</v>
      </c>
      <c r="B10" s="76">
        <v>14.14356075412528</v>
      </c>
      <c r="C10" s="73">
        <v>16.636147743415954</v>
      </c>
      <c r="D10" s="73">
        <v>15.869987647253346</v>
      </c>
      <c r="E10" s="73">
        <v>16.472439774547063</v>
      </c>
      <c r="F10" s="74">
        <v>16.412131233388116</v>
      </c>
      <c r="G10" s="77"/>
      <c r="H10" s="131"/>
      <c r="I10" s="77"/>
      <c r="J10" s="77"/>
      <c r="K10" s="77">
        <v>5.2684780602226091</v>
      </c>
      <c r="L10" s="77">
        <v>2.8887269434939387</v>
      </c>
      <c r="M10" s="77">
        <v>1.7852486905682987</v>
      </c>
      <c r="N10" s="77">
        <v>3.8214564920788825</v>
      </c>
      <c r="O10" s="77">
        <v>5.2484117379642594</v>
      </c>
      <c r="P10" s="77">
        <v>2.9083792889085265</v>
      </c>
      <c r="Q10" s="77">
        <v>2.0130802843339866</v>
      </c>
      <c r="R10" s="77">
        <v>4.352805129623718</v>
      </c>
      <c r="S10" s="77">
        <v>5.8403246345494244</v>
      </c>
      <c r="T10" s="77">
        <v>3.0815591007993755</v>
      </c>
      <c r="U10" s="77">
        <v>1.9768488603391889</v>
      </c>
      <c r="V10" s="77">
        <v>4.0868900115464477</v>
      </c>
      <c r="W10" s="77">
        <v>5.0292519905354869</v>
      </c>
      <c r="X10" s="77">
        <v>2.5970925284068169</v>
      </c>
      <c r="Y10" s="77">
        <v>1.6809126849332678</v>
      </c>
      <c r="Z10" s="77">
        <v>3.7542686846317341</v>
      </c>
      <c r="AA10" s="77">
        <v>5.2874577581307998</v>
      </c>
      <c r="AB10" s="77">
        <v>2.8691068502913821</v>
      </c>
      <c r="AC10" s="77">
        <v>1.8424317984177847</v>
      </c>
      <c r="AD10" s="77">
        <v>4.0808901910751052</v>
      </c>
      <c r="AE10" s="77">
        <v>5.2307922213595557</v>
      </c>
      <c r="AF10" s="77">
        <v>2.7920343525558007</v>
      </c>
      <c r="AG10" s="77">
        <v>1.8026608789289147</v>
      </c>
      <c r="AH10" s="77">
        <v>4.3180733012810091</v>
      </c>
      <c r="AI10" s="77">
        <v>6.2327005550620669</v>
      </c>
      <c r="AJ10" s="77">
        <v>3.380953909619175</v>
      </c>
      <c r="AK10" s="77">
        <v>2.1372785686031786</v>
      </c>
      <c r="AL10" s="77">
        <v>4.8852147101315326</v>
      </c>
      <c r="AM10" s="77">
        <v>6.1750273615424636</v>
      </c>
      <c r="AN10" s="77">
        <v>3.1636956652217387</v>
      </c>
      <c r="AO10" s="77">
        <v>1.9526404021588684</v>
      </c>
      <c r="AP10" s="77">
        <v>4.5786242183302734</v>
      </c>
      <c r="AQ10" s="77">
        <v>6.2837287836023057</v>
      </c>
      <c r="AR10" s="77">
        <v>3.3250369696652839</v>
      </c>
      <c r="AS10" s="77">
        <v>2.0494801867508468</v>
      </c>
      <c r="AT10" s="77">
        <v>4.8141938345286261</v>
      </c>
      <c r="AU10" s="77">
        <v>6.2956095406532908</v>
      </c>
      <c r="AV10" s="77">
        <v>3.2755886587393666</v>
      </c>
      <c r="AW10" s="77">
        <v>2.0080247638773487</v>
      </c>
      <c r="AX10" s="77">
        <v>4.832908270118109</v>
      </c>
      <c r="AY10" s="77">
        <v>6.6083068465190458</v>
      </c>
      <c r="AZ10" s="77">
        <v>3.588417092620757</v>
      </c>
      <c r="BA10" s="77">
        <v>2.1829168340673513</v>
      </c>
      <c r="BB10" s="77">
        <v>5.4791026586170899</v>
      </c>
      <c r="BC10" s="77">
        <v>7.7829336152549216</v>
      </c>
      <c r="BD10" s="77">
        <v>4.3860542656918264</v>
      </c>
      <c r="BE10" s="77">
        <v>2.1540787044907046</v>
      </c>
      <c r="BF10" s="77">
        <v>4.6823231061630217</v>
      </c>
      <c r="BG10" s="77">
        <v>7.2284747259370805</v>
      </c>
      <c r="BH10" s="77">
        <v>3.9801091117841167</v>
      </c>
      <c r="BI10" s="77">
        <v>2.7383125865785325</v>
      </c>
      <c r="BJ10" s="77">
        <v>5.4484673626327806</v>
      </c>
      <c r="BK10" s="77">
        <v>7.7592654202388989</v>
      </c>
      <c r="BL10" s="77">
        <v>4.0780685091511497</v>
      </c>
      <c r="BM10" s="77">
        <v>2.8418930687694592</v>
      </c>
      <c r="BN10" s="77">
        <v>5.5823033163410072</v>
      </c>
      <c r="BO10" s="77">
        <v>7.9640724636461462</v>
      </c>
      <c r="BP10" s="77">
        <v>4.2517334082025844</v>
      </c>
      <c r="BQ10" s="77">
        <v>2.8588657471492036</v>
      </c>
      <c r="BR10" s="77">
        <v>5.6398940803907633</v>
      </c>
      <c r="BS10" s="77">
        <v>8.3887801885679902</v>
      </c>
      <c r="BT10" s="77">
        <v>4.5610538476175666</v>
      </c>
      <c r="BU10" s="77">
        <v>3.0962640655085232</v>
      </c>
      <c r="BV10" s="77">
        <v>6.1329907340475724</v>
      </c>
      <c r="BW10" s="77">
        <v>8.748103851917115</v>
      </c>
      <c r="BX10" s="77">
        <v>4.4104034392607572</v>
      </c>
      <c r="BY10" s="77">
        <v>3.0707098026699855</v>
      </c>
      <c r="BZ10" s="77">
        <v>7.1536238605262144</v>
      </c>
      <c r="CA10" s="77">
        <v>7.7163284648726416</v>
      </c>
      <c r="CB10" s="77">
        <v>4.4194805688743983</v>
      </c>
      <c r="CC10" s="77">
        <v>3.4144225308743121</v>
      </c>
    </row>
    <row r="11" spans="1:81" s="35" customFormat="1" ht="23.1" customHeight="1" x14ac:dyDescent="0.2">
      <c r="A11" s="131" t="s">
        <v>5</v>
      </c>
      <c r="B11" s="76">
        <v>3631.3935614835991</v>
      </c>
      <c r="C11" s="73">
        <v>3691.6987394223684</v>
      </c>
      <c r="D11" s="73">
        <v>3867.0382278074494</v>
      </c>
      <c r="E11" s="73">
        <v>4002.5744730237784</v>
      </c>
      <c r="F11" s="74">
        <v>4137.4814277649875</v>
      </c>
      <c r="G11" s="77"/>
      <c r="H11" s="131"/>
      <c r="I11" s="77"/>
      <c r="J11" s="77"/>
      <c r="K11" s="77">
        <v>631.38632629825747</v>
      </c>
      <c r="L11" s="77">
        <v>576.26085382397048</v>
      </c>
      <c r="M11" s="77">
        <v>580.94912759582496</v>
      </c>
      <c r="N11" s="77">
        <v>878.10600378183949</v>
      </c>
      <c r="O11" s="77">
        <v>669.30030356557688</v>
      </c>
      <c r="P11" s="77">
        <v>652.56727960616433</v>
      </c>
      <c r="Q11" s="77">
        <v>696.296276063699</v>
      </c>
      <c r="R11" s="77">
        <v>795.5270252501208</v>
      </c>
      <c r="S11" s="77">
        <v>787.43624641119254</v>
      </c>
      <c r="T11" s="77">
        <v>831.6456681454024</v>
      </c>
      <c r="U11" s="77">
        <v>762.18906737639008</v>
      </c>
      <c r="V11" s="77">
        <v>732.96739909018766</v>
      </c>
      <c r="W11" s="77">
        <v>1132.2041729076118</v>
      </c>
      <c r="X11" s="77">
        <v>573.45763950379296</v>
      </c>
      <c r="Y11" s="77">
        <v>700.34208044895342</v>
      </c>
      <c r="Z11" s="77">
        <v>749.36262789467253</v>
      </c>
      <c r="AA11" s="77">
        <v>803.07265059436656</v>
      </c>
      <c r="AB11" s="77">
        <v>1025.0054123241812</v>
      </c>
      <c r="AC11" s="77">
        <v>913.5119419276358</v>
      </c>
      <c r="AD11" s="77">
        <v>766.19949012005759</v>
      </c>
      <c r="AE11" s="77">
        <v>893.25767508818421</v>
      </c>
      <c r="AF11" s="77">
        <v>1027.258359366562</v>
      </c>
      <c r="AG11" s="77">
        <v>837.41630150604988</v>
      </c>
      <c r="AH11" s="77">
        <v>873.46122552280281</v>
      </c>
      <c r="AI11" s="77">
        <v>948.5248302328913</v>
      </c>
      <c r="AJ11" s="77">
        <v>918.52839746736026</v>
      </c>
      <c r="AK11" s="77">
        <v>898.18312311315401</v>
      </c>
      <c r="AL11" s="77">
        <v>926.46238860896256</v>
      </c>
      <c r="AM11" s="77">
        <v>895.31852228627281</v>
      </c>
      <c r="AN11" s="77">
        <v>883.22271097096018</v>
      </c>
      <c r="AO11" s="77">
        <v>1159.6556268382628</v>
      </c>
      <c r="AP11" s="77">
        <v>928.84136771195313</v>
      </c>
      <c r="AQ11" s="77">
        <v>977.93029016561798</v>
      </c>
      <c r="AR11" s="77">
        <v>992.65351964523632</v>
      </c>
      <c r="AS11" s="77">
        <v>1004.7215280880122</v>
      </c>
      <c r="AT11" s="77">
        <v>1027.2691351249121</v>
      </c>
      <c r="AU11" s="77">
        <v>1007.3810783016236</v>
      </c>
      <c r="AV11" s="77">
        <v>1003.7500542649735</v>
      </c>
      <c r="AW11" s="77">
        <v>1044.064799775914</v>
      </c>
      <c r="AX11" s="77">
        <v>1082.2854954224765</v>
      </c>
      <c r="AY11" s="77">
        <v>1044.1092557919137</v>
      </c>
      <c r="AZ11" s="77">
        <v>1056.6286920887833</v>
      </c>
      <c r="BA11" s="77">
        <v>1070.8267986754433</v>
      </c>
      <c r="BB11" s="77">
        <v>1114.9791089923965</v>
      </c>
      <c r="BC11" s="77">
        <v>1086.4175905345678</v>
      </c>
      <c r="BD11" s="77">
        <v>1108.0609682743002</v>
      </c>
      <c r="BE11" s="77">
        <v>1120.3877807922488</v>
      </c>
      <c r="BF11" s="77">
        <v>1111.3553929637778</v>
      </c>
      <c r="BG11" s="77">
        <v>1056.8780422126724</v>
      </c>
      <c r="BH11" s="77">
        <v>1149.2584818091548</v>
      </c>
      <c r="BI11" s="77">
        <v>1181.6023731817108</v>
      </c>
      <c r="BJ11" s="77">
        <v>1168.9939396810221</v>
      </c>
      <c r="BK11" s="77">
        <v>1107.616450575724</v>
      </c>
      <c r="BL11" s="77">
        <v>1115.7608526772206</v>
      </c>
      <c r="BM11" s="77">
        <v>1243.7005461386634</v>
      </c>
      <c r="BN11" s="77">
        <v>1233.5857280105674</v>
      </c>
      <c r="BO11" s="77">
        <v>1152.8066217363037</v>
      </c>
      <c r="BP11" s="77">
        <v>1158.893619941226</v>
      </c>
      <c r="BQ11" s="77">
        <v>1275.3325364733266</v>
      </c>
      <c r="BR11" s="77">
        <v>1260.9316618596511</v>
      </c>
      <c r="BS11" s="77">
        <v>1214.7921233897325</v>
      </c>
      <c r="BT11" s="77">
        <v>1190.4313606677856</v>
      </c>
      <c r="BU11" s="77">
        <v>1200.1466631360211</v>
      </c>
      <c r="BV11" s="77">
        <v>1391.5843604378074</v>
      </c>
      <c r="BW11" s="77">
        <v>1260.4901121718524</v>
      </c>
      <c r="BX11" s="77">
        <v>1251.7751935650003</v>
      </c>
      <c r="BY11" s="77">
        <v>1287.4127598253131</v>
      </c>
      <c r="BZ11" s="77">
        <v>1362.3896940277577</v>
      </c>
      <c r="CA11" s="77">
        <v>1383.2162658800482</v>
      </c>
      <c r="CB11" s="77">
        <v>1355.0945327665511</v>
      </c>
      <c r="CC11" s="77">
        <v>1225.0529119761577</v>
      </c>
    </row>
    <row r="12" spans="1:81" s="35" customFormat="1" ht="23.1" customHeight="1" x14ac:dyDescent="0.2">
      <c r="A12" s="131" t="s">
        <v>6</v>
      </c>
      <c r="B12" s="76">
        <v>2224.4887224407403</v>
      </c>
      <c r="C12" s="73">
        <v>2257.1777082806839</v>
      </c>
      <c r="D12" s="73">
        <v>2365.6026723406508</v>
      </c>
      <c r="E12" s="73">
        <v>2182.0367024714456</v>
      </c>
      <c r="F12" s="74">
        <v>1632.3811714980479</v>
      </c>
      <c r="G12" s="77"/>
      <c r="H12" s="131"/>
      <c r="I12" s="77"/>
      <c r="J12" s="77"/>
      <c r="K12" s="77">
        <v>543.88769980674408</v>
      </c>
      <c r="L12" s="77">
        <v>587.92094879923707</v>
      </c>
      <c r="M12" s="77">
        <v>511.67463628747356</v>
      </c>
      <c r="N12" s="77">
        <v>549.30497072803621</v>
      </c>
      <c r="O12" s="77">
        <v>549.96394506660897</v>
      </c>
      <c r="P12" s="77">
        <v>578.08280223297379</v>
      </c>
      <c r="Q12" s="77">
        <v>558.33436903993208</v>
      </c>
      <c r="R12" s="77">
        <v>559.80578102192464</v>
      </c>
      <c r="S12" s="77">
        <v>536.0173659485348</v>
      </c>
      <c r="T12" s="77">
        <v>577.31004191141415</v>
      </c>
      <c r="U12" s="77">
        <v>566.60978071705176</v>
      </c>
      <c r="V12" s="77">
        <v>550.65321002604196</v>
      </c>
      <c r="W12" s="77">
        <v>539.6114021516596</v>
      </c>
      <c r="X12" s="77">
        <v>572.23982146857804</v>
      </c>
      <c r="Y12" s="77">
        <v>592.40581149808611</v>
      </c>
      <c r="Z12" s="77">
        <v>553.97090724528584</v>
      </c>
      <c r="AA12" s="77">
        <v>572.6756283069069</v>
      </c>
      <c r="AB12" s="77">
        <v>608.92647349423532</v>
      </c>
      <c r="AC12" s="77">
        <v>591.05593846332602</v>
      </c>
      <c r="AD12" s="77">
        <v>406.22337978126239</v>
      </c>
      <c r="AE12" s="77">
        <v>559.52102217388722</v>
      </c>
      <c r="AF12" s="77">
        <v>575.63550435417233</v>
      </c>
      <c r="AG12" s="77">
        <v>564.68655987494662</v>
      </c>
      <c r="AH12" s="77">
        <v>524.64563603773399</v>
      </c>
      <c r="AI12" s="77">
        <v>546.00129688598463</v>
      </c>
      <c r="AJ12" s="77">
        <v>593.53876559761795</v>
      </c>
      <c r="AK12" s="77">
        <v>552.82357660637172</v>
      </c>
      <c r="AL12" s="77">
        <v>564.81406919070946</v>
      </c>
      <c r="AM12" s="77">
        <v>586.85491152729014</v>
      </c>
      <c r="AN12" s="77">
        <v>597.42275375113002</v>
      </c>
      <c r="AO12" s="77">
        <v>603.61733026549723</v>
      </c>
      <c r="AP12" s="77">
        <v>577.70767679673349</v>
      </c>
      <c r="AQ12" s="77">
        <v>562.18015634356573</v>
      </c>
      <c r="AR12" s="77">
        <v>585.90690695083777</v>
      </c>
      <c r="AS12" s="77">
        <v>542.59682578311129</v>
      </c>
      <c r="AT12" s="77">
        <v>491.35281339393094</v>
      </c>
      <c r="AU12" s="77">
        <v>424.36217714789444</v>
      </c>
      <c r="AV12" s="77">
        <v>407.24998015954111</v>
      </c>
      <c r="AW12" s="77">
        <v>374.54516132244282</v>
      </c>
      <c r="AX12" s="77">
        <v>426.22385286816973</v>
      </c>
      <c r="AY12" s="77">
        <v>482.35513622868046</v>
      </c>
      <c r="AZ12" s="77">
        <v>556.98883128222644</v>
      </c>
      <c r="BA12" s="77">
        <v>621.50254868368324</v>
      </c>
      <c r="BB12" s="77">
        <v>611.57190992384915</v>
      </c>
      <c r="BC12" s="77">
        <v>610.20065594786649</v>
      </c>
      <c r="BD12" s="77">
        <v>588.74175340108275</v>
      </c>
      <c r="BE12" s="77">
        <v>559.9298515664758</v>
      </c>
      <c r="BF12" s="77">
        <v>519.93241690981756</v>
      </c>
      <c r="BG12" s="77">
        <v>527.88856211366692</v>
      </c>
      <c r="BH12" s="77">
        <v>566.09095492249048</v>
      </c>
      <c r="BI12" s="77">
        <v>507.12105659995757</v>
      </c>
      <c r="BJ12" s="77">
        <v>477.64001970234636</v>
      </c>
      <c r="BK12" s="77">
        <v>531.58287149946034</v>
      </c>
      <c r="BL12" s="77">
        <v>493.79799145401051</v>
      </c>
      <c r="BM12" s="77">
        <v>529.87529003445718</v>
      </c>
      <c r="BN12" s="77">
        <v>528.71516617302416</v>
      </c>
      <c r="BO12" s="77">
        <v>324.62227054593257</v>
      </c>
      <c r="BP12" s="77">
        <v>573.80759028442026</v>
      </c>
      <c r="BQ12" s="77">
        <v>729.25808535554597</v>
      </c>
      <c r="BR12" s="77">
        <v>527.9907751798105</v>
      </c>
      <c r="BS12" s="77">
        <v>356.11406983510039</v>
      </c>
      <c r="BT12" s="77">
        <v>475.10096042666078</v>
      </c>
      <c r="BU12" s="77">
        <v>652.52279335368746</v>
      </c>
      <c r="BV12" s="77">
        <v>625.52817256608216</v>
      </c>
      <c r="BW12" s="77">
        <v>353.80897664418501</v>
      </c>
      <c r="BX12" s="77">
        <v>546.44166103339865</v>
      </c>
      <c r="BY12" s="77">
        <v>943.87711450984477</v>
      </c>
      <c r="BZ12" s="77">
        <v>645.50126756912869</v>
      </c>
      <c r="CA12" s="77">
        <v>437.73547415230877</v>
      </c>
      <c r="CB12" s="77">
        <v>598.08702507026169</v>
      </c>
      <c r="CC12" s="77">
        <v>846.40108471813039</v>
      </c>
    </row>
    <row r="13" spans="1:81" s="141" customFormat="1" ht="23.1" customHeight="1" x14ac:dyDescent="0.2">
      <c r="A13" s="164" t="s">
        <v>93</v>
      </c>
      <c r="B13" s="165">
        <v>23549.509562462699</v>
      </c>
      <c r="C13" s="166">
        <v>25665.770691305737</v>
      </c>
      <c r="D13" s="166">
        <v>26437.83579208087</v>
      </c>
      <c r="E13" s="166">
        <v>28248.325604994614</v>
      </c>
      <c r="F13" s="167">
        <v>29616.274074330555</v>
      </c>
      <c r="G13" s="168"/>
      <c r="H13" s="164"/>
      <c r="I13" s="168"/>
      <c r="J13" s="168"/>
      <c r="K13" s="168">
        <v>1445.2869347782976</v>
      </c>
      <c r="L13" s="168">
        <v>1434.6394149238206</v>
      </c>
      <c r="M13" s="168">
        <v>1255.237557390637</v>
      </c>
      <c r="N13" s="168">
        <v>1878.6357011234131</v>
      </c>
      <c r="O13" s="168">
        <v>4840.8446597133261</v>
      </c>
      <c r="P13" s="168">
        <v>4784.2344723030637</v>
      </c>
      <c r="Q13" s="168">
        <v>5112.8414179456431</v>
      </c>
      <c r="R13" s="168">
        <v>5061.3107127372641</v>
      </c>
      <c r="S13" s="168">
        <v>5237.2133837486053</v>
      </c>
      <c r="T13" s="168">
        <v>5571.0615466838744</v>
      </c>
      <c r="U13" s="168">
        <v>5434.2561019158511</v>
      </c>
      <c r="V13" s="168">
        <v>5453.5923860673956</v>
      </c>
      <c r="W13" s="168">
        <v>5456.3647979852685</v>
      </c>
      <c r="X13" s="168">
        <v>5410.6692725885023</v>
      </c>
      <c r="Y13" s="168">
        <v>5788.7735295976508</v>
      </c>
      <c r="Z13" s="168">
        <v>5725.9580024370798</v>
      </c>
      <c r="AA13" s="168">
        <v>5694.9936681072459</v>
      </c>
      <c r="AB13" s="168">
        <v>5636.6936738838576</v>
      </c>
      <c r="AC13" s="168">
        <v>5763.6888152349338</v>
      </c>
      <c r="AD13" s="168">
        <v>5400.4984560129278</v>
      </c>
      <c r="AE13" s="168">
        <v>5623.6031360984371</v>
      </c>
      <c r="AF13" s="168">
        <v>5636.0436854160016</v>
      </c>
      <c r="AG13" s="168">
        <v>6053.0604837031733</v>
      </c>
      <c r="AH13" s="168">
        <v>6236.8022572450873</v>
      </c>
      <c r="AI13" s="168">
        <v>6147.2319965785982</v>
      </c>
      <c r="AJ13" s="168">
        <v>6295.2097439862282</v>
      </c>
      <c r="AK13" s="168">
        <v>6521.9150297005808</v>
      </c>
      <c r="AL13" s="168">
        <v>6701.41392104033</v>
      </c>
      <c r="AM13" s="168">
        <v>6809.7306005833361</v>
      </c>
      <c r="AN13" s="168">
        <v>6794.3569853196059</v>
      </c>
      <c r="AO13" s="168">
        <v>6285.549109773594</v>
      </c>
      <c r="AP13" s="168">
        <v>6548.1990964043362</v>
      </c>
      <c r="AQ13" s="168">
        <v>6768.713051955091</v>
      </c>
      <c r="AR13" s="168">
        <v>7106.8655859703567</v>
      </c>
      <c r="AS13" s="168">
        <v>7305.4210324818123</v>
      </c>
      <c r="AT13" s="168">
        <v>7067.3259345873512</v>
      </c>
      <c r="AU13" s="168">
        <v>7134.9058713826926</v>
      </c>
      <c r="AV13" s="168">
        <v>7312.6317555530877</v>
      </c>
      <c r="AW13" s="168">
        <v>7537.2021354850558</v>
      </c>
      <c r="AX13" s="168">
        <v>7631.5343119097179</v>
      </c>
      <c r="AY13" s="168">
        <v>7779.6917837189712</v>
      </c>
      <c r="AZ13" s="168">
        <v>8068.1838305472475</v>
      </c>
      <c r="BA13" s="168">
        <v>8243.5122595824378</v>
      </c>
      <c r="BB13" s="168">
        <v>8201.882353115383</v>
      </c>
      <c r="BC13" s="168">
        <v>8570.2406120602482</v>
      </c>
      <c r="BD13" s="168">
        <v>8886.3355817986849</v>
      </c>
      <c r="BE13" s="168">
        <v>8486.7958188275043</v>
      </c>
      <c r="BF13" s="168">
        <v>7398.8510842539163</v>
      </c>
      <c r="BG13" s="168">
        <v>8381.1057648712849</v>
      </c>
      <c r="BH13" s="168">
        <v>8755.7883190744851</v>
      </c>
      <c r="BI13" s="168">
        <v>8669.0779163346688</v>
      </c>
      <c r="BJ13" s="168">
        <v>8693.4801896502649</v>
      </c>
      <c r="BK13" s="168">
        <v>8370.9466912534372</v>
      </c>
      <c r="BL13" s="168">
        <v>9440.8924954631402</v>
      </c>
      <c r="BM13" s="168">
        <v>9148.3497744816905</v>
      </c>
      <c r="BN13" s="168">
        <v>9308.0376149473814</v>
      </c>
      <c r="BO13" s="168">
        <v>9399.6502880160351</v>
      </c>
      <c r="BP13" s="168">
        <v>9216.6242046157931</v>
      </c>
      <c r="BQ13" s="168">
        <v>9213.4013327072335</v>
      </c>
      <c r="BR13" s="168">
        <v>9899.9765147391226</v>
      </c>
      <c r="BS13" s="168">
        <v>10329.779417703623</v>
      </c>
      <c r="BT13" s="168">
        <v>9629.9206105706926</v>
      </c>
      <c r="BU13" s="168">
        <v>9832.8271952431387</v>
      </c>
      <c r="BV13" s="168">
        <v>10008.679035600164</v>
      </c>
      <c r="BW13" s="168">
        <v>10858.985921098458</v>
      </c>
      <c r="BX13" s="168">
        <v>10366.744603645575</v>
      </c>
      <c r="BY13" s="168">
        <v>10560.436317940079</v>
      </c>
      <c r="BZ13" s="168">
        <v>10766.195324448956</v>
      </c>
      <c r="CA13" s="168">
        <v>11507.781726235484</v>
      </c>
      <c r="CB13" s="168">
        <v>11637.499255958359</v>
      </c>
      <c r="CC13" s="168">
        <v>11186.239246837667</v>
      </c>
    </row>
    <row r="14" spans="1:81" s="35" customFormat="1" ht="23.1" customHeight="1" x14ac:dyDescent="0.2">
      <c r="A14" s="131" t="s">
        <v>8</v>
      </c>
      <c r="B14" s="76">
        <v>759.05613065174009</v>
      </c>
      <c r="C14" s="73">
        <v>896.13160653808836</v>
      </c>
      <c r="D14" s="73">
        <v>1007.4674750905982</v>
      </c>
      <c r="E14" s="73">
        <v>1337.1173402572665</v>
      </c>
      <c r="F14" s="74">
        <v>1283.8453272131831</v>
      </c>
      <c r="G14" s="77"/>
      <c r="H14" s="131"/>
      <c r="I14" s="77"/>
      <c r="J14" s="77"/>
      <c r="K14" s="77">
        <v>193.40922460573634</v>
      </c>
      <c r="L14" s="77">
        <v>102.35463573045101</v>
      </c>
      <c r="M14" s="77">
        <v>95.169265707556264</v>
      </c>
      <c r="N14" s="77">
        <v>97.100520615216581</v>
      </c>
      <c r="O14" s="77">
        <v>95.041572907572075</v>
      </c>
      <c r="P14" s="77">
        <v>102.08737015524294</v>
      </c>
      <c r="Q14" s="77">
        <v>155.11509229154481</v>
      </c>
      <c r="R14" s="77">
        <v>176.08187054270809</v>
      </c>
      <c r="S14" s="77">
        <v>206.44952943457508</v>
      </c>
      <c r="T14" s="77">
        <v>156.7989169889143</v>
      </c>
      <c r="U14" s="77">
        <v>192.49137715381156</v>
      </c>
      <c r="V14" s="77">
        <v>127.41897146963623</v>
      </c>
      <c r="W14" s="77">
        <v>95.621487138526263</v>
      </c>
      <c r="X14" s="77">
        <v>65.537944954662109</v>
      </c>
      <c r="Y14" s="77">
        <v>203.14778513537519</v>
      </c>
      <c r="Z14" s="77">
        <v>280.92010676122777</v>
      </c>
      <c r="AA14" s="77">
        <v>243.47570287071517</v>
      </c>
      <c r="AB14" s="77">
        <v>112.38366715731495</v>
      </c>
      <c r="AC14" s="77">
        <v>190.20348022795628</v>
      </c>
      <c r="AD14" s="77">
        <v>172.34050612563433</v>
      </c>
      <c r="AE14" s="77">
        <v>165.67140456558562</v>
      </c>
      <c r="AF14" s="77">
        <v>85.86493266599885</v>
      </c>
      <c r="AG14" s="77">
        <v>275.35266389928535</v>
      </c>
      <c r="AH14" s="77">
        <v>232.16712952087025</v>
      </c>
      <c r="AI14" s="77">
        <v>177.26172854834113</v>
      </c>
      <c r="AJ14" s="77">
        <v>160.69235588407074</v>
      </c>
      <c r="AK14" s="77">
        <v>281.06073826293863</v>
      </c>
      <c r="AL14" s="77">
        <v>277.11678384273796</v>
      </c>
      <c r="AM14" s="77">
        <v>285.8619755353302</v>
      </c>
      <c r="AN14" s="77">
        <v>217.51491186642434</v>
      </c>
      <c r="AO14" s="77">
        <v>262.91153491648214</v>
      </c>
      <c r="AP14" s="77">
        <v>241.17905277236162</v>
      </c>
      <c r="AQ14" s="77">
        <v>282.95292618460553</v>
      </c>
      <c r="AR14" s="77">
        <v>276.5992894766074</v>
      </c>
      <c r="AS14" s="77">
        <v>375.75679071827415</v>
      </c>
      <c r="AT14" s="77">
        <v>401.80833387777938</v>
      </c>
      <c r="AU14" s="77">
        <v>319.75550395877957</v>
      </c>
      <c r="AV14" s="77">
        <v>224.76186636043755</v>
      </c>
      <c r="AW14" s="77">
        <v>339.81151728125394</v>
      </c>
      <c r="AX14" s="77">
        <v>399.51643961271208</v>
      </c>
      <c r="AY14" s="77">
        <v>397.45267292462597</v>
      </c>
      <c r="AZ14" s="77">
        <v>270.96658313943936</v>
      </c>
      <c r="BA14" s="77">
        <v>456.76541461273945</v>
      </c>
      <c r="BB14" s="77">
        <v>382.76324562381956</v>
      </c>
      <c r="BC14" s="77">
        <v>454.84010582626212</v>
      </c>
      <c r="BD14" s="77">
        <v>474.18066896887399</v>
      </c>
      <c r="BE14" s="77">
        <v>511.09848968849326</v>
      </c>
      <c r="BF14" s="77">
        <v>317.00351899078322</v>
      </c>
      <c r="BG14" s="77">
        <v>645.34983263086565</v>
      </c>
      <c r="BH14" s="77">
        <v>468.64606329714383</v>
      </c>
      <c r="BI14" s="77">
        <v>394.79031030703123</v>
      </c>
      <c r="BJ14" s="77">
        <v>370.03531760579705</v>
      </c>
      <c r="BK14" s="77">
        <v>281.63208992293153</v>
      </c>
      <c r="BL14" s="77">
        <v>699.91945430684416</v>
      </c>
      <c r="BM14" s="77">
        <v>555.65764157598312</v>
      </c>
      <c r="BN14" s="77">
        <v>685.74265214397428</v>
      </c>
      <c r="BO14" s="77">
        <v>531.92635714743244</v>
      </c>
      <c r="BP14" s="77">
        <v>337.30453528073684</v>
      </c>
      <c r="BQ14" s="77">
        <v>418.13259378911772</v>
      </c>
      <c r="BR14" s="77">
        <v>1047.8038515116034</v>
      </c>
      <c r="BS14" s="77">
        <v>1057.9919785267657</v>
      </c>
      <c r="BT14" s="77">
        <v>661.67504433790009</v>
      </c>
      <c r="BU14" s="77">
        <v>435.10339234358952</v>
      </c>
      <c r="BV14" s="77">
        <v>254.56754551142575</v>
      </c>
      <c r="BW14" s="77">
        <v>967.23315298925763</v>
      </c>
      <c r="BX14" s="77">
        <v>725.91079152351051</v>
      </c>
      <c r="BY14" s="77">
        <v>433.19398125947265</v>
      </c>
      <c r="BZ14" s="77">
        <v>365.5809763449875</v>
      </c>
      <c r="CA14" s="77">
        <v>866.42073505321332</v>
      </c>
      <c r="CB14" s="77">
        <v>924.27909956714677</v>
      </c>
      <c r="CC14" s="77">
        <v>490.62644143383727</v>
      </c>
    </row>
    <row r="15" spans="1:81" s="35" customFormat="1" ht="23.1" customHeight="1" x14ac:dyDescent="0.2">
      <c r="A15" s="132" t="s">
        <v>9</v>
      </c>
      <c r="B15" s="76">
        <v>14483.496516224248</v>
      </c>
      <c r="C15" s="73">
        <v>16168.422843358316</v>
      </c>
      <c r="D15" s="73">
        <v>16264.634668582488</v>
      </c>
      <c r="E15" s="73">
        <v>16845.251246718217</v>
      </c>
      <c r="F15" s="74">
        <v>17624.287445329566</v>
      </c>
      <c r="G15" s="77"/>
      <c r="H15" s="132"/>
      <c r="I15" s="77"/>
      <c r="J15" s="77"/>
      <c r="K15" s="77">
        <v>0</v>
      </c>
      <c r="L15" s="77">
        <v>0</v>
      </c>
      <c r="M15" s="77">
        <v>0</v>
      </c>
      <c r="N15" s="77">
        <v>0</v>
      </c>
      <c r="O15" s="77">
        <v>3125.5831008400337</v>
      </c>
      <c r="P15" s="77">
        <v>3105.8273993998373</v>
      </c>
      <c r="Q15" s="77">
        <v>3506.9504685159241</v>
      </c>
      <c r="R15" s="77">
        <v>3393.2909991126644</v>
      </c>
      <c r="S15" s="77">
        <v>3460.5396587527607</v>
      </c>
      <c r="T15" s="77">
        <v>3733.4910987267731</v>
      </c>
      <c r="U15" s="77">
        <v>3455.0293813954504</v>
      </c>
      <c r="V15" s="77">
        <v>3506.0596428394533</v>
      </c>
      <c r="W15" s="77">
        <v>3585.564668386593</v>
      </c>
      <c r="X15" s="77">
        <v>3587.0629690276091</v>
      </c>
      <c r="Y15" s="77">
        <v>3810.7383143543693</v>
      </c>
      <c r="Z15" s="77">
        <v>3553.7705647146822</v>
      </c>
      <c r="AA15" s="77">
        <v>3512.1175413064375</v>
      </c>
      <c r="AB15" s="77">
        <v>3509.0389053401782</v>
      </c>
      <c r="AC15" s="77">
        <v>3619.0749573759376</v>
      </c>
      <c r="AD15" s="77">
        <v>3537.0061970399574</v>
      </c>
      <c r="AE15" s="77">
        <v>3396.264850037936</v>
      </c>
      <c r="AF15" s="77">
        <v>3470.263578617687</v>
      </c>
      <c r="AG15" s="77">
        <v>3765.4050733280042</v>
      </c>
      <c r="AH15" s="77">
        <v>3851.5630142406203</v>
      </c>
      <c r="AI15" s="77">
        <v>3875.8946937966462</v>
      </c>
      <c r="AJ15" s="77">
        <v>3979.5544902258889</v>
      </c>
      <c r="AK15" s="77">
        <v>4149.5068471221357</v>
      </c>
      <c r="AL15" s="77">
        <v>4163.4668122136454</v>
      </c>
      <c r="AM15" s="77">
        <v>4288.141869740527</v>
      </c>
      <c r="AN15" s="77">
        <v>4245.9381077823746</v>
      </c>
      <c r="AO15" s="77">
        <v>3702.1081017174338</v>
      </c>
      <c r="AP15" s="77">
        <v>4028.4465893421529</v>
      </c>
      <c r="AQ15" s="77">
        <v>4040.7049941675509</v>
      </c>
      <c r="AR15" s="77">
        <v>4238.5857735437357</v>
      </c>
      <c r="AS15" s="77">
        <v>4435.5483940878757</v>
      </c>
      <c r="AT15" s="77">
        <v>4130.4120849190558</v>
      </c>
      <c r="AU15" s="77">
        <v>4261.464045942671</v>
      </c>
      <c r="AV15" s="77">
        <v>4439.8417891892414</v>
      </c>
      <c r="AW15" s="77">
        <v>4503.4214913874566</v>
      </c>
      <c r="AX15" s="77">
        <v>4419.5601188101991</v>
      </c>
      <c r="AY15" s="77">
        <v>4561.6634656467413</v>
      </c>
      <c r="AZ15" s="77">
        <v>4852.9223242069929</v>
      </c>
      <c r="BA15" s="77">
        <v>4835.1147075231156</v>
      </c>
      <c r="BB15" s="77">
        <v>4731.8722276178996</v>
      </c>
      <c r="BC15" s="77">
        <v>5096.633589806791</v>
      </c>
      <c r="BD15" s="77">
        <v>5278.1396385798498</v>
      </c>
      <c r="BE15" s="77">
        <v>4784.5995902491886</v>
      </c>
      <c r="BF15" s="77">
        <v>4060.5316772617734</v>
      </c>
      <c r="BG15" s="77">
        <v>4909.3532912501742</v>
      </c>
      <c r="BH15" s="77">
        <v>5000.3957739343159</v>
      </c>
      <c r="BI15" s="77">
        <v>4890.4732847468586</v>
      </c>
      <c r="BJ15" s="77">
        <v>4843.5144818919125</v>
      </c>
      <c r="BK15" s="77">
        <v>4617.223879709255</v>
      </c>
      <c r="BL15" s="77">
        <v>5323.9038899106681</v>
      </c>
      <c r="BM15" s="77">
        <v>5273.5153658240752</v>
      </c>
      <c r="BN15" s="77">
        <v>5182.5960845238606</v>
      </c>
      <c r="BO15" s="77">
        <v>5339.1513198480261</v>
      </c>
      <c r="BP15" s="77">
        <v>5395.2733781765282</v>
      </c>
      <c r="BQ15" s="77">
        <v>5202.2022446654901</v>
      </c>
      <c r="BR15" s="77">
        <v>5098.4633416636307</v>
      </c>
      <c r="BS15" s="77">
        <v>5590.3484277300704</v>
      </c>
      <c r="BT15" s="77">
        <v>5307.7672160332031</v>
      </c>
      <c r="BU15" s="77">
        <v>5461.8901112457406</v>
      </c>
      <c r="BV15" s="77">
        <v>5659.4203855721798</v>
      </c>
      <c r="BW15" s="77">
        <v>5935.8740582735918</v>
      </c>
      <c r="BX15" s="77">
        <v>5719.2051835598795</v>
      </c>
      <c r="BY15" s="77">
        <v>5747.7098818738359</v>
      </c>
      <c r="BZ15" s="77">
        <v>5854.8502563964203</v>
      </c>
      <c r="CA15" s="77">
        <v>6218.058831578559</v>
      </c>
      <c r="CB15" s="77">
        <v>6229.6418960016499</v>
      </c>
      <c r="CC15" s="77">
        <v>6023.082915150625</v>
      </c>
    </row>
    <row r="16" spans="1:81" s="35" customFormat="1" ht="23.1" customHeight="1" x14ac:dyDescent="0.2">
      <c r="A16" s="132" t="s">
        <v>10</v>
      </c>
      <c r="B16" s="76">
        <v>1143.3695451920421</v>
      </c>
      <c r="C16" s="73">
        <v>1208.4053259929069</v>
      </c>
      <c r="D16" s="73">
        <v>1256.508975013503</v>
      </c>
      <c r="E16" s="73">
        <v>1379.4763589060399</v>
      </c>
      <c r="F16" s="74">
        <v>1453.7345079876507</v>
      </c>
      <c r="G16" s="77"/>
      <c r="H16" s="132"/>
      <c r="I16" s="77"/>
      <c r="J16" s="77"/>
      <c r="K16" s="77">
        <v>172.1063705262967</v>
      </c>
      <c r="L16" s="77">
        <v>180.18251408158685</v>
      </c>
      <c r="M16" s="77">
        <v>194.85157518392106</v>
      </c>
      <c r="N16" s="77">
        <v>202.82568986055887</v>
      </c>
      <c r="O16" s="77">
        <v>210.8760962055899</v>
      </c>
      <c r="P16" s="77">
        <v>208.77959231389099</v>
      </c>
      <c r="Q16" s="77">
        <v>218.74755352523567</v>
      </c>
      <c r="R16" s="77">
        <v>228.07937068409402</v>
      </c>
      <c r="S16" s="77">
        <v>233.25516398925373</v>
      </c>
      <c r="T16" s="77">
        <v>235.72609981644592</v>
      </c>
      <c r="U16" s="77">
        <v>240.92252693499771</v>
      </c>
      <c r="V16" s="77">
        <v>241.06409220553905</v>
      </c>
      <c r="W16" s="77">
        <v>236.54840530541617</v>
      </c>
      <c r="X16" s="77">
        <v>228.78174423454507</v>
      </c>
      <c r="Y16" s="77">
        <v>277.22972575198298</v>
      </c>
      <c r="Z16" s="77">
        <v>278.37691454781344</v>
      </c>
      <c r="AA16" s="77">
        <v>283.53181942259789</v>
      </c>
      <c r="AB16" s="77">
        <v>284.19246400576344</v>
      </c>
      <c r="AC16" s="77">
        <v>273.88167840691341</v>
      </c>
      <c r="AD16" s="77">
        <v>280.82046398370028</v>
      </c>
      <c r="AE16" s="77">
        <v>282.71111306628291</v>
      </c>
      <c r="AF16" s="77">
        <v>280.38021726628551</v>
      </c>
      <c r="AG16" s="77">
        <v>283.91371730962697</v>
      </c>
      <c r="AH16" s="77">
        <v>296.3644975498467</v>
      </c>
      <c r="AI16" s="77">
        <v>304.37354257681886</v>
      </c>
      <c r="AJ16" s="77">
        <v>297.93756932834401</v>
      </c>
      <c r="AK16" s="77">
        <v>303.93105244273636</v>
      </c>
      <c r="AL16" s="77">
        <v>302.16316164500756</v>
      </c>
      <c r="AM16" s="77">
        <v>311.38466909981224</v>
      </c>
      <c r="AN16" s="77">
        <v>309.22563843088972</v>
      </c>
      <c r="AO16" s="77">
        <v>314.32781418382035</v>
      </c>
      <c r="AP16" s="77">
        <v>321.57085329898081</v>
      </c>
      <c r="AQ16" s="77">
        <v>330.50836804634116</v>
      </c>
      <c r="AR16" s="77">
        <v>338.39281461157509</v>
      </c>
      <c r="AS16" s="77">
        <v>360.0476937849686</v>
      </c>
      <c r="AT16" s="77">
        <v>350.52748246315502</v>
      </c>
      <c r="AU16" s="77">
        <v>365.87467532364178</v>
      </c>
      <c r="AV16" s="77">
        <v>364.64893848015731</v>
      </c>
      <c r="AW16" s="77">
        <v>366.75833029324343</v>
      </c>
      <c r="AX16" s="77">
        <v>356.45256389060819</v>
      </c>
      <c r="AY16" s="77">
        <v>365.71697269562162</v>
      </c>
      <c r="AZ16" s="77">
        <v>363.92829625652041</v>
      </c>
      <c r="BA16" s="77">
        <v>374.53323218730395</v>
      </c>
      <c r="BB16" s="77">
        <v>385.58107039673024</v>
      </c>
      <c r="BC16" s="77">
        <v>410.67752626297602</v>
      </c>
      <c r="BD16" s="77">
        <v>420.90578258958169</v>
      </c>
      <c r="BE16" s="77">
        <v>438.26558572475363</v>
      </c>
      <c r="BF16" s="77">
        <v>382.38905608691908</v>
      </c>
      <c r="BG16" s="77">
        <v>446.83510930435654</v>
      </c>
      <c r="BH16" s="77">
        <v>458.60371441295138</v>
      </c>
      <c r="BI16" s="77">
        <v>470.86524449152085</v>
      </c>
      <c r="BJ16" s="77">
        <v>468.11348192252706</v>
      </c>
      <c r="BK16" s="77">
        <v>469.51958283529763</v>
      </c>
      <c r="BL16" s="77">
        <v>473.62344416230093</v>
      </c>
      <c r="BM16" s="77">
        <v>480.90713772938966</v>
      </c>
      <c r="BN16" s="77">
        <v>478.24728054275135</v>
      </c>
      <c r="BO16" s="77">
        <v>498.13322786212655</v>
      </c>
      <c r="BP16" s="77">
        <v>511.18189765157939</v>
      </c>
      <c r="BQ16" s="77">
        <v>524.08966727040161</v>
      </c>
      <c r="BR16" s="77">
        <v>529.54458185930537</v>
      </c>
      <c r="BS16" s="77">
        <v>557.4673002443468</v>
      </c>
      <c r="BT16" s="77">
        <v>553.71387414521314</v>
      </c>
      <c r="BU16" s="77">
        <v>569.86152380181329</v>
      </c>
      <c r="BV16" s="77">
        <v>565.9279930662243</v>
      </c>
      <c r="BW16" s="77">
        <v>593.40249604430824</v>
      </c>
      <c r="BX16" s="77">
        <v>611.79591523110855</v>
      </c>
      <c r="BY16" s="77">
        <v>646.30896447459838</v>
      </c>
      <c r="BZ16" s="77">
        <v>661.73430164220679</v>
      </c>
      <c r="CA16" s="77">
        <v>749.36437915163344</v>
      </c>
      <c r="CB16" s="77">
        <v>677.86404415559889</v>
      </c>
      <c r="CC16" s="77">
        <v>696.60520071370206</v>
      </c>
    </row>
    <row r="17" spans="1:81" s="35" customFormat="1" ht="23.1" customHeight="1" x14ac:dyDescent="0.2">
      <c r="A17" s="132" t="s">
        <v>11</v>
      </c>
      <c r="B17" s="76">
        <v>2165.0560840386142</v>
      </c>
      <c r="C17" s="73">
        <v>2297.1505445984094</v>
      </c>
      <c r="D17" s="73">
        <v>2441.7072304355443</v>
      </c>
      <c r="E17" s="73">
        <v>2577.9667422549833</v>
      </c>
      <c r="F17" s="74">
        <v>2681.6101103956744</v>
      </c>
      <c r="G17" s="77"/>
      <c r="H17" s="132"/>
      <c r="I17" s="77"/>
      <c r="J17" s="77"/>
      <c r="K17" s="77">
        <v>393.12477803112694</v>
      </c>
      <c r="L17" s="77">
        <v>397.78810556523473</v>
      </c>
      <c r="M17" s="77">
        <v>404.79354286594628</v>
      </c>
      <c r="N17" s="77">
        <v>409.46995474707802</v>
      </c>
      <c r="O17" s="77">
        <v>415.6440231584063</v>
      </c>
      <c r="P17" s="77">
        <v>420.6837649375737</v>
      </c>
      <c r="Q17" s="77">
        <v>428.06657350546095</v>
      </c>
      <c r="R17" s="77">
        <v>436.68541657376369</v>
      </c>
      <c r="S17" s="77">
        <v>440.78497113068283</v>
      </c>
      <c r="T17" s="77">
        <v>446.64132336204671</v>
      </c>
      <c r="U17" s="77">
        <v>454.2384745479435</v>
      </c>
      <c r="V17" s="77">
        <v>463.26888684728829</v>
      </c>
      <c r="W17" s="77">
        <v>469.4755663244423</v>
      </c>
      <c r="X17" s="77">
        <v>474.08469904025145</v>
      </c>
      <c r="Y17" s="77">
        <v>481.88563539545157</v>
      </c>
      <c r="Z17" s="77">
        <v>490.22524684299208</v>
      </c>
      <c r="AA17" s="77">
        <v>502.88429555644279</v>
      </c>
      <c r="AB17" s="77">
        <v>502.62487571211176</v>
      </c>
      <c r="AC17" s="77">
        <v>512.01348377343663</v>
      </c>
      <c r="AD17" s="77">
        <v>518.46336336956631</v>
      </c>
      <c r="AE17" s="77">
        <v>530.27576620342211</v>
      </c>
      <c r="AF17" s="77">
        <v>536.11089500436844</v>
      </c>
      <c r="AG17" s="77">
        <v>545.56870185223647</v>
      </c>
      <c r="AH17" s="77">
        <v>553.10072097858745</v>
      </c>
      <c r="AI17" s="77">
        <v>561.56595161774533</v>
      </c>
      <c r="AJ17" s="77">
        <v>567.97938044128978</v>
      </c>
      <c r="AK17" s="77">
        <v>580.23721190746505</v>
      </c>
      <c r="AL17" s="77">
        <v>587.36800063190935</v>
      </c>
      <c r="AM17" s="77">
        <v>599.25415723402614</v>
      </c>
      <c r="AN17" s="77">
        <v>604.59782599267055</v>
      </c>
      <c r="AO17" s="77">
        <v>616.09812609172343</v>
      </c>
      <c r="AP17" s="77">
        <v>621.75712111712437</v>
      </c>
      <c r="AQ17" s="77">
        <v>633.10374514434454</v>
      </c>
      <c r="AR17" s="77">
        <v>640.73532661485285</v>
      </c>
      <c r="AS17" s="77">
        <v>648.32158703638481</v>
      </c>
      <c r="AT17" s="77">
        <v>655.80608345940107</v>
      </c>
      <c r="AU17" s="77">
        <v>661.96280163826577</v>
      </c>
      <c r="AV17" s="77">
        <v>666.40452060004088</v>
      </c>
      <c r="AW17" s="77">
        <v>673.05645102005803</v>
      </c>
      <c r="AX17" s="77">
        <v>680.18633713730947</v>
      </c>
      <c r="AY17" s="77">
        <v>691.54730640684772</v>
      </c>
      <c r="AZ17" s="77">
        <v>698.09537914804696</v>
      </c>
      <c r="BA17" s="77">
        <v>705.55612236759941</v>
      </c>
      <c r="BB17" s="77">
        <v>713.26476900293994</v>
      </c>
      <c r="BC17" s="77">
        <v>721.45542033651361</v>
      </c>
      <c r="BD17" s="77">
        <v>725.38767999020035</v>
      </c>
      <c r="BE17" s="77">
        <v>735.24121014040043</v>
      </c>
      <c r="BF17" s="77">
        <v>741.47985081597528</v>
      </c>
      <c r="BG17" s="77">
        <v>754.12433249436174</v>
      </c>
      <c r="BH17" s="77">
        <v>760.22154040875569</v>
      </c>
      <c r="BI17" s="77">
        <v>768.94239267692649</v>
      </c>
      <c r="BJ17" s="77">
        <v>779.62605908501655</v>
      </c>
      <c r="BK17" s="77">
        <v>798.69216668957176</v>
      </c>
      <c r="BL17" s="77">
        <v>808.41428271848724</v>
      </c>
      <c r="BM17" s="77">
        <v>819.56839930772674</v>
      </c>
      <c r="BN17" s="77">
        <v>828.62438215727832</v>
      </c>
      <c r="BO17" s="77">
        <v>836.37557265089106</v>
      </c>
      <c r="BP17" s="77">
        <v>839.77321368577918</v>
      </c>
      <c r="BQ17" s="77">
        <v>851.65136575292865</v>
      </c>
      <c r="BR17" s="77">
        <v>863.70849194558014</v>
      </c>
      <c r="BS17" s="77">
        <v>880.67205100801743</v>
      </c>
      <c r="BT17" s="77">
        <v>884.92462901220961</v>
      </c>
      <c r="BU17" s="77">
        <v>895.73851470258364</v>
      </c>
      <c r="BV17" s="77">
        <v>910.04133260987965</v>
      </c>
      <c r="BW17" s="77">
        <v>911.34444581317632</v>
      </c>
      <c r="BX17" s="77">
        <v>912.32805996886236</v>
      </c>
      <c r="BY17" s="77">
        <v>917.12229690116578</v>
      </c>
      <c r="BZ17" s="77">
        <v>924.10697526283411</v>
      </c>
      <c r="CA17" s="77">
        <v>937.01971137878434</v>
      </c>
      <c r="CB17" s="77">
        <v>942.69241975819716</v>
      </c>
      <c r="CC17" s="77">
        <v>955.96101524163441</v>
      </c>
    </row>
    <row r="18" spans="1:81" s="35" customFormat="1" ht="23.1" customHeight="1" x14ac:dyDescent="0.2">
      <c r="A18" s="131" t="s">
        <v>12</v>
      </c>
      <c r="B18" s="76">
        <v>4998.5312863560557</v>
      </c>
      <c r="C18" s="73">
        <v>5095.6603708180173</v>
      </c>
      <c r="D18" s="73">
        <v>5467.5174429587387</v>
      </c>
      <c r="E18" s="73">
        <v>6108.5139168581027</v>
      </c>
      <c r="F18" s="74">
        <v>6572.7966834044782</v>
      </c>
      <c r="G18" s="77"/>
      <c r="H18" s="131"/>
      <c r="I18" s="77"/>
      <c r="J18" s="77"/>
      <c r="K18" s="77">
        <v>686.64656161513778</v>
      </c>
      <c r="L18" s="77">
        <v>754.31415954654801</v>
      </c>
      <c r="M18" s="77">
        <v>560.42317363321342</v>
      </c>
      <c r="N18" s="77">
        <v>1169.2395359005595</v>
      </c>
      <c r="O18" s="77">
        <v>993.69986660172401</v>
      </c>
      <c r="P18" s="77">
        <v>946.85634549651922</v>
      </c>
      <c r="Q18" s="77">
        <v>803.96173010747816</v>
      </c>
      <c r="R18" s="77">
        <v>827.17305582403344</v>
      </c>
      <c r="S18" s="77">
        <v>896.18406044133292</v>
      </c>
      <c r="T18" s="77">
        <v>998.40410778969454</v>
      </c>
      <c r="U18" s="77">
        <v>1091.5743418836487</v>
      </c>
      <c r="V18" s="77">
        <v>1115.7807927054778</v>
      </c>
      <c r="W18" s="77">
        <v>1069.1546708302908</v>
      </c>
      <c r="X18" s="77">
        <v>1055.2019153314345</v>
      </c>
      <c r="Y18" s="77">
        <v>1015.7720689604721</v>
      </c>
      <c r="Z18" s="77">
        <v>1122.6651695703638</v>
      </c>
      <c r="AA18" s="77">
        <v>1152.9843089510521</v>
      </c>
      <c r="AB18" s="77">
        <v>1228.4537616684888</v>
      </c>
      <c r="AC18" s="77">
        <v>1168.5152154506898</v>
      </c>
      <c r="AD18" s="77">
        <v>891.86792549406903</v>
      </c>
      <c r="AE18" s="77">
        <v>1248.6800022252103</v>
      </c>
      <c r="AF18" s="77">
        <v>1263.4240618616625</v>
      </c>
      <c r="AG18" s="77">
        <v>1182.8203273140198</v>
      </c>
      <c r="AH18" s="77">
        <v>1303.6068949551629</v>
      </c>
      <c r="AI18" s="77">
        <v>1228.1360800390466</v>
      </c>
      <c r="AJ18" s="77">
        <v>1289.0459481066359</v>
      </c>
      <c r="AK18" s="77">
        <v>1207.1791799653047</v>
      </c>
      <c r="AL18" s="77">
        <v>1371.2991627070301</v>
      </c>
      <c r="AM18" s="77">
        <v>1325.0879289736401</v>
      </c>
      <c r="AN18" s="77">
        <v>1417.0805012472474</v>
      </c>
      <c r="AO18" s="77">
        <v>1390.1035328641351</v>
      </c>
      <c r="AP18" s="77">
        <v>1335.2454798737162</v>
      </c>
      <c r="AQ18" s="77">
        <v>1481.4430184122493</v>
      </c>
      <c r="AR18" s="77">
        <v>1612.5523817235855</v>
      </c>
      <c r="AS18" s="77">
        <v>1485.7465668543086</v>
      </c>
      <c r="AT18" s="77">
        <v>1528.7719498679596</v>
      </c>
      <c r="AU18" s="77">
        <v>1525.8488445193345</v>
      </c>
      <c r="AV18" s="77">
        <v>1616.9746409232114</v>
      </c>
      <c r="AW18" s="77">
        <v>1654.154345503043</v>
      </c>
      <c r="AX18" s="77">
        <v>1775.81885245889</v>
      </c>
      <c r="AY18" s="77">
        <v>1763.3113660451345</v>
      </c>
      <c r="AZ18" s="77">
        <v>1882.2712477962475</v>
      </c>
      <c r="BA18" s="77">
        <v>1871.5427828916788</v>
      </c>
      <c r="BB18" s="77">
        <v>1988.4010404739936</v>
      </c>
      <c r="BC18" s="77">
        <v>1886.6339698277056</v>
      </c>
      <c r="BD18" s="77">
        <v>1987.7218116701792</v>
      </c>
      <c r="BE18" s="77">
        <v>2017.5909430246679</v>
      </c>
      <c r="BF18" s="77">
        <v>1897.4469810984644</v>
      </c>
      <c r="BG18" s="77">
        <v>1625.4431991915262</v>
      </c>
      <c r="BH18" s="77">
        <v>2067.9212270213184</v>
      </c>
      <c r="BI18" s="77">
        <v>2144.0066841123321</v>
      </c>
      <c r="BJ18" s="77">
        <v>2232.1908491450117</v>
      </c>
      <c r="BK18" s="77">
        <v>2203.8789720963809</v>
      </c>
      <c r="BL18" s="77">
        <v>2135.031424364839</v>
      </c>
      <c r="BM18" s="77">
        <v>2018.7012300445165</v>
      </c>
      <c r="BN18" s="77">
        <v>2132.827215579518</v>
      </c>
      <c r="BO18" s="77">
        <v>2194.0638105075595</v>
      </c>
      <c r="BP18" s="77">
        <v>2133.0911798211691</v>
      </c>
      <c r="BQ18" s="77">
        <v>2217.3254612292944</v>
      </c>
      <c r="BR18" s="77">
        <v>2360.4562477590034</v>
      </c>
      <c r="BS18" s="77">
        <v>2243.2996601944219</v>
      </c>
      <c r="BT18" s="77">
        <v>2221.8398470421671</v>
      </c>
      <c r="BU18" s="77">
        <v>2470.2336531494116</v>
      </c>
      <c r="BV18" s="77">
        <v>2618.7217788404546</v>
      </c>
      <c r="BW18" s="77">
        <v>2451.1317679781214</v>
      </c>
      <c r="BX18" s="77">
        <v>2397.504653362214</v>
      </c>
      <c r="BY18" s="77">
        <v>2816.1011934310045</v>
      </c>
      <c r="BZ18" s="77">
        <v>2959.9228148025077</v>
      </c>
      <c r="CA18" s="77">
        <v>2736.9180690732928</v>
      </c>
      <c r="CB18" s="77">
        <v>2863.0217964757667</v>
      </c>
      <c r="CC18" s="77">
        <v>3019.9636742978682</v>
      </c>
    </row>
    <row r="19" spans="1:81" s="141" customFormat="1" ht="23.1" customHeight="1" x14ac:dyDescent="0.2">
      <c r="A19" s="164" t="s">
        <v>94</v>
      </c>
      <c r="B19" s="165">
        <v>42468.760769729051</v>
      </c>
      <c r="C19" s="166">
        <v>44900.207827874241</v>
      </c>
      <c r="D19" s="166">
        <v>47131.097880162932</v>
      </c>
      <c r="E19" s="166">
        <v>47182.0157764178</v>
      </c>
      <c r="F19" s="167">
        <v>51200.1575090607</v>
      </c>
      <c r="G19" s="168"/>
      <c r="H19" s="164"/>
      <c r="I19" s="168"/>
      <c r="J19" s="168"/>
      <c r="K19" s="168">
        <v>6828.2242745987996</v>
      </c>
      <c r="L19" s="168">
        <v>6685.4472286579849</v>
      </c>
      <c r="M19" s="168">
        <v>7098.1846083210676</v>
      </c>
      <c r="N19" s="168">
        <v>7433.0483165611104</v>
      </c>
      <c r="O19" s="168">
        <v>8219.4413904038756</v>
      </c>
      <c r="P19" s="168">
        <v>8170.5373286911818</v>
      </c>
      <c r="Q19" s="168">
        <v>8965.4911457217931</v>
      </c>
      <c r="R19" s="168">
        <v>9084.0681466742099</v>
      </c>
      <c r="S19" s="168">
        <v>9794.4674671254888</v>
      </c>
      <c r="T19" s="168">
        <v>9376.4752860876833</v>
      </c>
      <c r="U19" s="168">
        <v>9741.7913592443729</v>
      </c>
      <c r="V19" s="168">
        <v>9084.9901543648175</v>
      </c>
      <c r="W19" s="168">
        <v>9902.8733973071885</v>
      </c>
      <c r="X19" s="168">
        <v>9375.1679916076773</v>
      </c>
      <c r="Y19" s="168">
        <v>9745.112551840064</v>
      </c>
      <c r="Z19" s="168">
        <v>10034.585218528304</v>
      </c>
      <c r="AA19" s="168">
        <v>10681.66720306248</v>
      </c>
      <c r="AB19" s="168">
        <v>9953.8775075476642</v>
      </c>
      <c r="AC19" s="168">
        <v>9790.6420345367223</v>
      </c>
      <c r="AD19" s="168">
        <v>10129.007222228756</v>
      </c>
      <c r="AE19" s="168">
        <v>10158.683794149561</v>
      </c>
      <c r="AF19" s="168">
        <v>10046.632959080123</v>
      </c>
      <c r="AG19" s="168">
        <v>10744.273662754727</v>
      </c>
      <c r="AH19" s="168">
        <v>11519.170353744637</v>
      </c>
      <c r="AI19" s="168">
        <v>10904.078157928823</v>
      </c>
      <c r="AJ19" s="168">
        <v>11159.15955178341</v>
      </c>
      <c r="AK19" s="168">
        <v>11295.276715412347</v>
      </c>
      <c r="AL19" s="168">
        <v>11541.693402749663</v>
      </c>
      <c r="AM19" s="168">
        <v>12242.650231694677</v>
      </c>
      <c r="AN19" s="168">
        <v>12024.12673191978</v>
      </c>
      <c r="AO19" s="168">
        <v>11341.250420685721</v>
      </c>
      <c r="AP19" s="168">
        <v>11523.070495862754</v>
      </c>
      <c r="AQ19" s="168">
        <v>11937.718362657837</v>
      </c>
      <c r="AR19" s="168">
        <v>11574.904273245027</v>
      </c>
      <c r="AS19" s="168">
        <v>11626.766484146794</v>
      </c>
      <c r="AT19" s="168">
        <v>12042.626656368144</v>
      </c>
      <c r="AU19" s="168">
        <v>12862.303229009287</v>
      </c>
      <c r="AV19" s="168">
        <v>12815.187341991386</v>
      </c>
      <c r="AW19" s="168">
        <v>12685.29920931673</v>
      </c>
      <c r="AX19" s="168">
        <v>12837.367728743302</v>
      </c>
      <c r="AY19" s="168">
        <v>13754.228723909151</v>
      </c>
      <c r="AZ19" s="168">
        <v>13368.754279977897</v>
      </c>
      <c r="BA19" s="168">
        <v>13465.06868516828</v>
      </c>
      <c r="BB19" s="168">
        <v>13600.745668228308</v>
      </c>
      <c r="BC19" s="168">
        <v>14658.783555366852</v>
      </c>
      <c r="BD19" s="168">
        <v>14367.919305260177</v>
      </c>
      <c r="BE19" s="168">
        <v>13669.805223677016</v>
      </c>
      <c r="BF19" s="168">
        <v>12849.732418565576</v>
      </c>
      <c r="BG19" s="168">
        <v>14119.435945738076</v>
      </c>
      <c r="BH19" s="168">
        <v>14074.464318828872</v>
      </c>
      <c r="BI19" s="168">
        <v>14391.410599937555</v>
      </c>
      <c r="BJ19" s="168">
        <v>14495.4005141988</v>
      </c>
      <c r="BK19" s="168">
        <v>14539.216189482004</v>
      </c>
      <c r="BL19" s="168">
        <v>14902.83596485801</v>
      </c>
      <c r="BM19" s="168">
        <v>14962.970541892557</v>
      </c>
      <c r="BN19" s="168">
        <v>14980.554277112629</v>
      </c>
      <c r="BO19" s="168">
        <v>15799.819856406968</v>
      </c>
      <c r="BP19" s="168">
        <v>15607.290418918728</v>
      </c>
      <c r="BQ19" s="168">
        <v>15193.699743491072</v>
      </c>
      <c r="BR19" s="168">
        <v>16317.733453444189</v>
      </c>
      <c r="BS19" s="168">
        <v>16221.881537419606</v>
      </c>
      <c r="BT19" s="168">
        <v>16906.178972961272</v>
      </c>
      <c r="BU19" s="168">
        <v>16418.929360542417</v>
      </c>
      <c r="BV19" s="168">
        <v>17379.216218022015</v>
      </c>
      <c r="BW19" s="168">
        <v>17192.952554985037</v>
      </c>
      <c r="BX19" s="168">
        <v>17283.665007390213</v>
      </c>
      <c r="BY19" s="168">
        <v>17847.734682852883</v>
      </c>
      <c r="BZ19" s="168">
        <v>18239.580887244832</v>
      </c>
      <c r="CA19" s="168">
        <v>18170.905305026292</v>
      </c>
      <c r="CB19" s="168">
        <v>18361.432030472952</v>
      </c>
      <c r="CC19" s="168">
        <v>18894.608060224949</v>
      </c>
    </row>
    <row r="20" spans="1:81" s="35" customFormat="1" ht="23.1" customHeight="1" x14ac:dyDescent="0.2">
      <c r="A20" s="133" t="s">
        <v>52</v>
      </c>
      <c r="B20" s="76">
        <v>9327.5564595501637</v>
      </c>
      <c r="C20" s="73">
        <v>9622.0291398000172</v>
      </c>
      <c r="D20" s="73">
        <v>9956.7978612613915</v>
      </c>
      <c r="E20" s="73">
        <v>9832.003124035411</v>
      </c>
      <c r="F20" s="74">
        <v>10566.826588794358</v>
      </c>
      <c r="G20" s="77"/>
      <c r="H20" s="134"/>
      <c r="I20" s="77"/>
      <c r="J20" s="77"/>
      <c r="K20" s="77">
        <v>1946.8468571587809</v>
      </c>
      <c r="L20" s="77">
        <v>1763.9557315505303</v>
      </c>
      <c r="M20" s="77">
        <v>2195.2727182758831</v>
      </c>
      <c r="N20" s="77">
        <v>2348.9663884263928</v>
      </c>
      <c r="O20" s="77">
        <v>2341.4412379978739</v>
      </c>
      <c r="P20" s="77">
        <v>1947.0611443729142</v>
      </c>
      <c r="Q20" s="77">
        <v>1994.1257930091137</v>
      </c>
      <c r="R20" s="77">
        <v>2100.4145901400379</v>
      </c>
      <c r="S20" s="77">
        <v>2164.6411655776988</v>
      </c>
      <c r="T20" s="77">
        <v>2127.2986457228517</v>
      </c>
      <c r="U20" s="77">
        <v>2827.324218873599</v>
      </c>
      <c r="V20" s="77">
        <v>2058.848303990399</v>
      </c>
      <c r="W20" s="77">
        <v>2545.8682364769597</v>
      </c>
      <c r="X20" s="77">
        <v>2079.1460921353164</v>
      </c>
      <c r="Y20" s="77">
        <v>2232.4704267072689</v>
      </c>
      <c r="Z20" s="77">
        <v>2391.5045646841845</v>
      </c>
      <c r="AA20" s="77">
        <v>2730.4084725420184</v>
      </c>
      <c r="AB20" s="77">
        <v>2210.3100035556795</v>
      </c>
      <c r="AC20" s="77">
        <v>2197.2154527072912</v>
      </c>
      <c r="AD20" s="77">
        <v>2365.0222713944358</v>
      </c>
      <c r="AE20" s="77">
        <v>2474.3968924268438</v>
      </c>
      <c r="AF20" s="77">
        <v>2163.9863445438605</v>
      </c>
      <c r="AG20" s="77">
        <v>2249.9730785821639</v>
      </c>
      <c r="AH20" s="77">
        <v>2439.2001439972946</v>
      </c>
      <c r="AI20" s="77">
        <v>2524.2608569950826</v>
      </c>
      <c r="AJ20" s="77">
        <v>2343.3885318910743</v>
      </c>
      <c r="AK20" s="77">
        <v>2313.5573405956079</v>
      </c>
      <c r="AL20" s="77">
        <v>2440.8224103182524</v>
      </c>
      <c r="AM20" s="77">
        <v>2811.3446741523449</v>
      </c>
      <c r="AN20" s="77">
        <v>2568.1908327116694</v>
      </c>
      <c r="AO20" s="77">
        <v>2203.9022751709567</v>
      </c>
      <c r="AP20" s="77">
        <v>2373.3600792264206</v>
      </c>
      <c r="AQ20" s="77">
        <v>2581.7994981182806</v>
      </c>
      <c r="AR20" s="77">
        <v>2378.603853236782</v>
      </c>
      <c r="AS20" s="77">
        <v>2381.2123404270765</v>
      </c>
      <c r="AT20" s="77">
        <v>2490.3874322532711</v>
      </c>
      <c r="AU20" s="77">
        <v>2728.7348320760193</v>
      </c>
      <c r="AV20" s="77">
        <v>2654.0458440786983</v>
      </c>
      <c r="AW20" s="77">
        <v>2561.1413833149763</v>
      </c>
      <c r="AX20" s="77">
        <v>2622.9045293246641</v>
      </c>
      <c r="AY20" s="77">
        <v>2934.8670291004337</v>
      </c>
      <c r="AZ20" s="77">
        <v>2739.3981234107855</v>
      </c>
      <c r="BA20" s="77">
        <v>2717.6812510080554</v>
      </c>
      <c r="BB20" s="77">
        <v>2697.1794979645106</v>
      </c>
      <c r="BC20" s="77">
        <v>3063.0224811998219</v>
      </c>
      <c r="BD20" s="77">
        <v>2879.0819451476409</v>
      </c>
      <c r="BE20" s="77">
        <v>2631.3389542391251</v>
      </c>
      <c r="BF20" s="77">
        <v>2371.8194607861883</v>
      </c>
      <c r="BG20" s="77">
        <v>2978.3840370358776</v>
      </c>
      <c r="BH20" s="77">
        <v>2672.5033802211101</v>
      </c>
      <c r="BI20" s="77">
        <v>2555.1284786172077</v>
      </c>
      <c r="BJ20" s="77">
        <v>2673.0822437457459</v>
      </c>
      <c r="BK20" s="77">
        <v>2816.4133951866702</v>
      </c>
      <c r="BL20" s="77">
        <v>2785.6657755707693</v>
      </c>
      <c r="BM20" s="77">
        <v>2789.0296497040131</v>
      </c>
      <c r="BN20" s="77">
        <v>2857.0468613486705</v>
      </c>
      <c r="BO20" s="77">
        <v>2985.1145635294733</v>
      </c>
      <c r="BP20" s="77">
        <v>2847.3790883621946</v>
      </c>
      <c r="BQ20" s="77">
        <v>2769.6298717575728</v>
      </c>
      <c r="BR20" s="77">
        <v>3078.6420418075309</v>
      </c>
      <c r="BS20" s="77">
        <v>3345.8518748791489</v>
      </c>
      <c r="BT20" s="77">
        <v>3089.9691724907366</v>
      </c>
      <c r="BU20" s="77">
        <v>3035.3387345785545</v>
      </c>
      <c r="BV20" s="77">
        <v>3300.1772384437613</v>
      </c>
      <c r="BW20" s="77">
        <v>3689.4726485263332</v>
      </c>
      <c r="BX20" s="77">
        <v>3320.7793803181376</v>
      </c>
      <c r="BY20" s="77">
        <v>3379.997726013773</v>
      </c>
      <c r="BZ20" s="77">
        <v>3531.4851823777162</v>
      </c>
      <c r="CA20" s="77">
        <v>3917.370454907214</v>
      </c>
      <c r="CB20" s="77">
        <v>3483.4312454366586</v>
      </c>
      <c r="CC20" s="77">
        <v>3564.7704383789505</v>
      </c>
    </row>
    <row r="21" spans="1:81" s="35" customFormat="1" ht="23.1" customHeight="1" x14ac:dyDescent="0.2">
      <c r="A21" s="133" t="s">
        <v>53</v>
      </c>
      <c r="B21" s="76">
        <v>3069.7729537902733</v>
      </c>
      <c r="C21" s="73">
        <v>3271.2385179745097</v>
      </c>
      <c r="D21" s="73">
        <v>3537.9852189657126</v>
      </c>
      <c r="E21" s="73">
        <v>3620.6702915369251</v>
      </c>
      <c r="F21" s="74">
        <v>4028.1686987949142</v>
      </c>
      <c r="G21" s="77"/>
      <c r="H21" s="134"/>
      <c r="I21" s="77"/>
      <c r="J21" s="77"/>
      <c r="K21" s="77">
        <v>538.52673596663033</v>
      </c>
      <c r="L21" s="77">
        <v>505.82072446446227</v>
      </c>
      <c r="M21" s="77">
        <v>540.40973592669354</v>
      </c>
      <c r="N21" s="77">
        <v>568.69260176538978</v>
      </c>
      <c r="O21" s="77">
        <v>595.31089496987852</v>
      </c>
      <c r="P21" s="77">
        <v>569.00192729204696</v>
      </c>
      <c r="Q21" s="77">
        <v>576.21902963213449</v>
      </c>
      <c r="R21" s="77">
        <v>598.07266918150731</v>
      </c>
      <c r="S21" s="77">
        <v>612.3667179567085</v>
      </c>
      <c r="T21" s="77">
        <v>607.81983339976307</v>
      </c>
      <c r="U21" s="77">
        <v>702.09147567031118</v>
      </c>
      <c r="V21" s="77">
        <v>638.79416863412541</v>
      </c>
      <c r="W21" s="77">
        <v>729.33287263341322</v>
      </c>
      <c r="X21" s="77">
        <v>662.56515872846205</v>
      </c>
      <c r="Y21" s="77">
        <v>680.74916606277691</v>
      </c>
      <c r="Z21" s="77">
        <v>687.39803206571003</v>
      </c>
      <c r="AA21" s="77">
        <v>751.21033017174568</v>
      </c>
      <c r="AB21" s="77">
        <v>702.65748564666751</v>
      </c>
      <c r="AC21" s="77">
        <v>708.05344942378531</v>
      </c>
      <c r="AD21" s="77">
        <v>732.66963767850916</v>
      </c>
      <c r="AE21" s="77">
        <v>767.57239666435078</v>
      </c>
      <c r="AF21" s="77">
        <v>745.33006205708375</v>
      </c>
      <c r="AG21" s="77">
        <v>773.19580929047197</v>
      </c>
      <c r="AH21" s="77">
        <v>783.67468577836712</v>
      </c>
      <c r="AI21" s="77">
        <v>813.84960755548855</v>
      </c>
      <c r="AJ21" s="77">
        <v>789.00636283851179</v>
      </c>
      <c r="AK21" s="77">
        <v>819.99577668929817</v>
      </c>
      <c r="AL21" s="77">
        <v>848.38677089121109</v>
      </c>
      <c r="AM21" s="77">
        <v>896.41064237915941</v>
      </c>
      <c r="AN21" s="77">
        <v>911.73473031506887</v>
      </c>
      <c r="AO21" s="77">
        <v>856.88444997750742</v>
      </c>
      <c r="AP21" s="77">
        <v>872.95539629397706</v>
      </c>
      <c r="AQ21" s="77">
        <v>901.02620856347301</v>
      </c>
      <c r="AR21" s="77">
        <v>873.66813444819297</v>
      </c>
      <c r="AS21" s="77">
        <v>904.15095012671884</v>
      </c>
      <c r="AT21" s="77">
        <v>941.82499839854006</v>
      </c>
      <c r="AU21" s="77">
        <v>1000.4552891971605</v>
      </c>
      <c r="AV21" s="77">
        <v>978.44799271019633</v>
      </c>
      <c r="AW21" s="77">
        <v>1015.7341204793715</v>
      </c>
      <c r="AX21" s="77">
        <v>1033.5312964081857</v>
      </c>
      <c r="AY21" s="77">
        <v>1031.3830098858491</v>
      </c>
      <c r="AZ21" s="77">
        <v>982.43123748649953</v>
      </c>
      <c r="BA21" s="77">
        <v>1020.3884543969707</v>
      </c>
      <c r="BB21" s="77">
        <v>1028.1967932473899</v>
      </c>
      <c r="BC21" s="77">
        <v>1073.4473250380618</v>
      </c>
      <c r="BD21" s="77">
        <v>1000.6676012198242</v>
      </c>
      <c r="BE21" s="77">
        <v>996.80411327237459</v>
      </c>
      <c r="BF21" s="77">
        <v>922.11300114003507</v>
      </c>
      <c r="BG21" s="77">
        <v>995.37264803395897</v>
      </c>
      <c r="BH21" s="77">
        <v>973.87433041437191</v>
      </c>
      <c r="BI21" s="77">
        <v>1010.8926800744855</v>
      </c>
      <c r="BJ21" s="77">
        <v>999.69646355743066</v>
      </c>
      <c r="BK21" s="77">
        <v>908.85411333485479</v>
      </c>
      <c r="BL21" s="77">
        <v>952.95385834083231</v>
      </c>
      <c r="BM21" s="77">
        <v>1043.1162906594482</v>
      </c>
      <c r="BN21" s="77">
        <v>921.92420076374981</v>
      </c>
      <c r="BO21" s="77">
        <v>847.41531599636198</v>
      </c>
      <c r="BP21" s="77">
        <v>930.88416931880863</v>
      </c>
      <c r="BQ21" s="77">
        <v>943.35095774946262</v>
      </c>
      <c r="BR21" s="77">
        <v>899.08927026937124</v>
      </c>
      <c r="BS21" s="77">
        <v>899.09743788442699</v>
      </c>
      <c r="BT21" s="77">
        <v>990.62691561966642</v>
      </c>
      <c r="BU21" s="77">
        <v>1061.0937957704643</v>
      </c>
      <c r="BV21" s="77">
        <v>1045.1162247533816</v>
      </c>
      <c r="BW21" s="77">
        <v>1026.4782080631005</v>
      </c>
      <c r="BX21" s="77">
        <v>1087.5657241313295</v>
      </c>
      <c r="BY21" s="77">
        <v>1200.610042804612</v>
      </c>
      <c r="BZ21" s="77">
        <v>1170.1635072269451</v>
      </c>
      <c r="CA21" s="77">
        <v>1104.0377150002967</v>
      </c>
      <c r="CB21" s="77">
        <v>1217.0649827658854</v>
      </c>
      <c r="CC21" s="77">
        <v>1260.2584607583833</v>
      </c>
    </row>
    <row r="22" spans="1:81" s="35" customFormat="1" ht="23.1" customHeight="1" x14ac:dyDescent="0.2">
      <c r="A22" s="133" t="s">
        <v>55</v>
      </c>
      <c r="B22" s="76">
        <v>2549.9058737891241</v>
      </c>
      <c r="C22" s="73">
        <v>2538.2668868183518</v>
      </c>
      <c r="D22" s="73">
        <v>2683.4876437694215</v>
      </c>
      <c r="E22" s="73">
        <v>3211.5260104580761</v>
      </c>
      <c r="F22" s="74">
        <v>3554.1252233361674</v>
      </c>
      <c r="G22" s="77"/>
      <c r="H22" s="134"/>
      <c r="I22" s="77"/>
      <c r="J22" s="77"/>
      <c r="K22" s="77">
        <v>478.99602663684789</v>
      </c>
      <c r="L22" s="77">
        <v>401.95942480898088</v>
      </c>
      <c r="M22" s="77">
        <v>381.88277413943734</v>
      </c>
      <c r="N22" s="77">
        <v>390.49387871787286</v>
      </c>
      <c r="O22" s="77">
        <v>470.48893756008351</v>
      </c>
      <c r="P22" s="77">
        <v>487.86344118618251</v>
      </c>
      <c r="Q22" s="77">
        <v>469.47994085532775</v>
      </c>
      <c r="R22" s="77">
        <v>483.00623014463207</v>
      </c>
      <c r="S22" s="77">
        <v>485.68432805199558</v>
      </c>
      <c r="T22" s="77">
        <v>481.14866840399338</v>
      </c>
      <c r="U22" s="77">
        <v>534.32985141554741</v>
      </c>
      <c r="V22" s="77">
        <v>540.11588334792134</v>
      </c>
      <c r="W22" s="77">
        <v>591.79751155627628</v>
      </c>
      <c r="X22" s="77">
        <v>541.9723497524684</v>
      </c>
      <c r="Y22" s="77">
        <v>545.27978836379077</v>
      </c>
      <c r="Z22" s="77">
        <v>551.59229368712829</v>
      </c>
      <c r="AA22" s="77">
        <v>644.82712660320306</v>
      </c>
      <c r="AB22" s="77">
        <v>530.13424468194137</v>
      </c>
      <c r="AC22" s="77">
        <v>586.29658068293122</v>
      </c>
      <c r="AD22" s="77">
        <v>583.20784905483515</v>
      </c>
      <c r="AE22" s="77">
        <v>646.94215553655818</v>
      </c>
      <c r="AF22" s="77">
        <v>579.26216521459878</v>
      </c>
      <c r="AG22" s="77">
        <v>689.92370212127912</v>
      </c>
      <c r="AH22" s="77">
        <v>633.77785091668795</v>
      </c>
      <c r="AI22" s="77">
        <v>681.70272805202819</v>
      </c>
      <c r="AJ22" s="77">
        <v>596.51352545492739</v>
      </c>
      <c r="AK22" s="77">
        <v>639.67691729915703</v>
      </c>
      <c r="AL22" s="77">
        <v>620.37371601223913</v>
      </c>
      <c r="AM22" s="77">
        <v>672.4204151128049</v>
      </c>
      <c r="AN22" s="77">
        <v>635.64953464164341</v>
      </c>
      <c r="AO22" s="77">
        <v>721.12466908171905</v>
      </c>
      <c r="AP22" s="77">
        <v>654.29302493325417</v>
      </c>
      <c r="AQ22" s="77">
        <v>797.28830179851252</v>
      </c>
      <c r="AR22" s="77">
        <v>775.55156091806077</v>
      </c>
      <c r="AS22" s="77">
        <v>794.87162632362447</v>
      </c>
      <c r="AT22" s="77">
        <v>843.81452141787815</v>
      </c>
      <c r="AU22" s="77">
        <v>947.22414354213799</v>
      </c>
      <c r="AV22" s="77">
        <v>867.39412104573557</v>
      </c>
      <c r="AW22" s="77">
        <v>863.67113088851181</v>
      </c>
      <c r="AX22" s="77">
        <v>875.83582785978183</v>
      </c>
      <c r="AY22" s="77">
        <v>947.31658058140169</v>
      </c>
      <c r="AZ22" s="77">
        <v>864.23428084239742</v>
      </c>
      <c r="BA22" s="77">
        <v>855.91835875169113</v>
      </c>
      <c r="BB22" s="77">
        <v>903.49026466320186</v>
      </c>
      <c r="BC22" s="77">
        <v>995.90627327825666</v>
      </c>
      <c r="BD22" s="77">
        <v>944.16418317039734</v>
      </c>
      <c r="BE22" s="77">
        <v>832.42797456315031</v>
      </c>
      <c r="BF22" s="77">
        <v>492.71397681507949</v>
      </c>
      <c r="BG22" s="77">
        <v>750.58558958294725</v>
      </c>
      <c r="BH22" s="77">
        <v>767.87301116454626</v>
      </c>
      <c r="BI22" s="77">
        <v>854.75135705061325</v>
      </c>
      <c r="BJ22" s="77">
        <v>873.82454060754935</v>
      </c>
      <c r="BK22" s="77">
        <v>761.4809250295101</v>
      </c>
      <c r="BL22" s="77">
        <v>886.87268735685063</v>
      </c>
      <c r="BM22" s="77">
        <v>688.95007288412523</v>
      </c>
      <c r="BN22" s="77">
        <v>829.10185029007857</v>
      </c>
      <c r="BO22" s="77">
        <v>766.6063340472241</v>
      </c>
      <c r="BP22" s="77">
        <v>882.80830860017466</v>
      </c>
      <c r="BQ22" s="77">
        <v>787.96953916098846</v>
      </c>
      <c r="BR22" s="77">
        <v>1121.1679170864982</v>
      </c>
      <c r="BS22" s="77">
        <v>941.96678157951862</v>
      </c>
      <c r="BT22" s="77">
        <v>866.4112219748813</v>
      </c>
      <c r="BU22" s="77">
        <v>897.61901789173066</v>
      </c>
      <c r="BV22" s="77">
        <v>1332.3742090531196</v>
      </c>
      <c r="BW22" s="77">
        <v>1064.2204362640832</v>
      </c>
      <c r="BX22" s="77">
        <v>1016.1992710600634</v>
      </c>
      <c r="BY22" s="77">
        <v>1027.4122954787993</v>
      </c>
      <c r="BZ22" s="77">
        <v>1097.1327889612346</v>
      </c>
      <c r="CA22" s="77">
        <v>1246.5694878776233</v>
      </c>
      <c r="CB22" s="77">
        <v>1177.7220650540837</v>
      </c>
      <c r="CC22" s="77">
        <v>1066.6099859289675</v>
      </c>
    </row>
    <row r="23" spans="1:81" s="35" customFormat="1" ht="23.1" customHeight="1" x14ac:dyDescent="0.2">
      <c r="A23" s="133" t="s">
        <v>54</v>
      </c>
      <c r="B23" s="76">
        <v>1597.0843402153682</v>
      </c>
      <c r="C23" s="73">
        <v>1568.995784417215</v>
      </c>
      <c r="D23" s="73">
        <v>1789.7579445466358</v>
      </c>
      <c r="E23" s="73">
        <v>2129.8576734872463</v>
      </c>
      <c r="F23" s="74">
        <v>2351.67036407051</v>
      </c>
      <c r="G23" s="77"/>
      <c r="H23" s="134"/>
      <c r="I23" s="77"/>
      <c r="J23" s="77"/>
      <c r="K23" s="77">
        <v>0</v>
      </c>
      <c r="L23" s="77">
        <v>0</v>
      </c>
      <c r="M23" s="77">
        <v>0</v>
      </c>
      <c r="N23" s="77">
        <v>0</v>
      </c>
      <c r="O23" s="77">
        <v>159.70003642115367</v>
      </c>
      <c r="P23" s="77">
        <v>229.53860750758767</v>
      </c>
      <c r="Q23" s="77">
        <v>219.26840251903181</v>
      </c>
      <c r="R23" s="77">
        <v>215.13574614170062</v>
      </c>
      <c r="S23" s="77">
        <v>245.10806381121051</v>
      </c>
      <c r="T23" s="77">
        <v>249.88124657585487</v>
      </c>
      <c r="U23" s="77">
        <v>237.50361501451567</v>
      </c>
      <c r="V23" s="77">
        <v>265.53706013535032</v>
      </c>
      <c r="W23" s="77">
        <v>272.76869308605598</v>
      </c>
      <c r="X23" s="77">
        <v>303.47470604473921</v>
      </c>
      <c r="Y23" s="77">
        <v>310.67301165186888</v>
      </c>
      <c r="Z23" s="77">
        <v>295.50408756960786</v>
      </c>
      <c r="AA23" s="77">
        <v>323.74611968162003</v>
      </c>
      <c r="AB23" s="77">
        <v>349.98047191221491</v>
      </c>
      <c r="AC23" s="77">
        <v>362.4659640778666</v>
      </c>
      <c r="AD23" s="77">
        <v>358.6390036280701</v>
      </c>
      <c r="AE23" s="77">
        <v>407.66107660996647</v>
      </c>
      <c r="AF23" s="77">
        <v>416.74406468338424</v>
      </c>
      <c r="AG23" s="77">
        <v>383.60919770718016</v>
      </c>
      <c r="AH23" s="77">
        <v>389.07000121483753</v>
      </c>
      <c r="AI23" s="77">
        <v>381.461476799553</v>
      </c>
      <c r="AJ23" s="77">
        <v>405.92142512900108</v>
      </c>
      <c r="AK23" s="77">
        <v>392.69791194675133</v>
      </c>
      <c r="AL23" s="77">
        <v>388.91497054190961</v>
      </c>
      <c r="AM23" s="77">
        <v>431.55834740677022</v>
      </c>
      <c r="AN23" s="77">
        <v>458.02116414494725</v>
      </c>
      <c r="AO23" s="77">
        <v>403.64491398060409</v>
      </c>
      <c r="AP23" s="77">
        <v>496.53351901431404</v>
      </c>
      <c r="AQ23" s="77">
        <v>494.88045067947093</v>
      </c>
      <c r="AR23" s="77">
        <v>543.27083418730535</v>
      </c>
      <c r="AS23" s="77">
        <v>548.40987457953383</v>
      </c>
      <c r="AT23" s="77">
        <v>543.29651404093613</v>
      </c>
      <c r="AU23" s="77">
        <v>566.74804679092904</v>
      </c>
      <c r="AV23" s="77">
        <v>601.760251747231</v>
      </c>
      <c r="AW23" s="77">
        <v>604.2423454020601</v>
      </c>
      <c r="AX23" s="77">
        <v>578.91972013029022</v>
      </c>
      <c r="AY23" s="77">
        <v>552.36342252062389</v>
      </c>
      <c r="AZ23" s="77">
        <v>545.52921370125739</v>
      </c>
      <c r="BA23" s="77">
        <v>536.10911481194307</v>
      </c>
      <c r="BB23" s="77">
        <v>556.92780780240628</v>
      </c>
      <c r="BC23" s="77">
        <v>664.96032236517192</v>
      </c>
      <c r="BD23" s="77">
        <v>710.54188882078381</v>
      </c>
      <c r="BE23" s="77">
        <v>644.65457398831518</v>
      </c>
      <c r="BF23" s="77">
        <v>601.25356349217941</v>
      </c>
      <c r="BG23" s="77">
        <v>672.14434573664471</v>
      </c>
      <c r="BH23" s="77">
        <v>719.3868695149207</v>
      </c>
      <c r="BI23" s="77">
        <v>751.79339496834621</v>
      </c>
      <c r="BJ23" s="77">
        <v>786.39179051602832</v>
      </c>
      <c r="BK23" s="77">
        <v>768.75195580975549</v>
      </c>
      <c r="BL23" s="77">
        <v>788.24526779563837</v>
      </c>
      <c r="BM23" s="77">
        <v>788.57925121149276</v>
      </c>
      <c r="BN23" s="77">
        <v>800.01880420635496</v>
      </c>
      <c r="BO23" s="77">
        <v>810.36353719099679</v>
      </c>
      <c r="BP23" s="77">
        <v>829.08520952113986</v>
      </c>
      <c r="BQ23" s="77">
        <v>884.20446892117502</v>
      </c>
      <c r="BR23" s="77">
        <v>946.01090497415191</v>
      </c>
      <c r="BS23" s="77">
        <v>1026.8136680167702</v>
      </c>
      <c r="BT23" s="77">
        <v>974.74836265009662</v>
      </c>
      <c r="BU23" s="77">
        <v>893.74536197528607</v>
      </c>
      <c r="BV23" s="77">
        <v>778.35298941021381</v>
      </c>
      <c r="BW23" s="77">
        <v>1037.0178042366358</v>
      </c>
      <c r="BX23" s="77">
        <v>957.53611419057813</v>
      </c>
      <c r="BY23" s="77">
        <v>1045.1964985785601</v>
      </c>
      <c r="BZ23" s="77">
        <v>881.41367418006496</v>
      </c>
      <c r="CA23" s="77">
        <v>982.39984822834981</v>
      </c>
      <c r="CB23" s="77">
        <v>997.86054028822002</v>
      </c>
      <c r="CC23" s="77">
        <v>1209.4712776053968</v>
      </c>
    </row>
    <row r="24" spans="1:81" s="35" customFormat="1" ht="23.1" customHeight="1" x14ac:dyDescent="0.2">
      <c r="A24" s="133" t="s">
        <v>72</v>
      </c>
      <c r="B24" s="76">
        <v>2464.5391699061456</v>
      </c>
      <c r="C24" s="73">
        <v>2733.0300945380286</v>
      </c>
      <c r="D24" s="73">
        <v>2995.5919274159651</v>
      </c>
      <c r="E24" s="73">
        <v>2871.4518549559443</v>
      </c>
      <c r="F24" s="74">
        <v>2937.8978654369976</v>
      </c>
      <c r="G24" s="77"/>
      <c r="H24" s="134"/>
      <c r="I24" s="77"/>
      <c r="J24" s="77"/>
      <c r="K24" s="77">
        <v>377.86521574930208</v>
      </c>
      <c r="L24" s="77">
        <v>461.5178295630659</v>
      </c>
      <c r="M24" s="77">
        <v>429.14044307318818</v>
      </c>
      <c r="N24" s="77">
        <v>404.59333011186311</v>
      </c>
      <c r="O24" s="77">
        <v>354.58514151607892</v>
      </c>
      <c r="P24" s="77">
        <v>437.06992943264083</v>
      </c>
      <c r="Q24" s="77">
        <v>438.80850260788969</v>
      </c>
      <c r="R24" s="77">
        <v>457.33699663948312</v>
      </c>
      <c r="S24" s="77">
        <v>569.8545044900892</v>
      </c>
      <c r="T24" s="77">
        <v>472.86475031802394</v>
      </c>
      <c r="U24" s="77">
        <v>407.40043149083937</v>
      </c>
      <c r="V24" s="77">
        <v>503.10630969567455</v>
      </c>
      <c r="W24" s="77">
        <v>501.5787168265735</v>
      </c>
      <c r="X24" s="77">
        <v>472.05909222993262</v>
      </c>
      <c r="Y24" s="77">
        <v>484.08320300260687</v>
      </c>
      <c r="Z24" s="77">
        <v>477.18989322761149</v>
      </c>
      <c r="AA24" s="77">
        <v>532.28665357365753</v>
      </c>
      <c r="AB24" s="77">
        <v>514.77144004052468</v>
      </c>
      <c r="AC24" s="77">
        <v>514.55804098522822</v>
      </c>
      <c r="AD24" s="77">
        <v>529.92370018451038</v>
      </c>
      <c r="AE24" s="77">
        <v>574.46470693262404</v>
      </c>
      <c r="AF24" s="77">
        <v>580.8627938418507</v>
      </c>
      <c r="AG24" s="77">
        <v>643.3214175179038</v>
      </c>
      <c r="AH24" s="77">
        <v>665.8902516137673</v>
      </c>
      <c r="AI24" s="77">
        <v>650.71942071364595</v>
      </c>
      <c r="AJ24" s="77">
        <v>727.29345965258187</v>
      </c>
      <c r="AK24" s="77">
        <v>677.88698705273396</v>
      </c>
      <c r="AL24" s="77">
        <v>677.13022711906694</v>
      </c>
      <c r="AM24" s="77">
        <v>784.31293898999093</v>
      </c>
      <c r="AN24" s="77">
        <v>742.26668476919178</v>
      </c>
      <c r="AO24" s="77">
        <v>751.44909940919285</v>
      </c>
      <c r="AP24" s="77">
        <v>717.56320424758928</v>
      </c>
      <c r="AQ24" s="77">
        <v>719.18137451676796</v>
      </c>
      <c r="AR24" s="77">
        <v>675.5665367435754</v>
      </c>
      <c r="AS24" s="77">
        <v>743.03581922444778</v>
      </c>
      <c r="AT24" s="77">
        <v>733.66812447115365</v>
      </c>
      <c r="AU24" s="77">
        <v>748.48481153316175</v>
      </c>
      <c r="AV24" s="77">
        <v>737.21910926965006</v>
      </c>
      <c r="AW24" s="77">
        <v>709.02503370386944</v>
      </c>
      <c r="AX24" s="77">
        <v>743.16891093031597</v>
      </c>
      <c r="AY24" s="77">
        <v>779.19308627071143</v>
      </c>
      <c r="AZ24" s="77">
        <v>783.15159504395524</v>
      </c>
      <c r="BA24" s="77">
        <v>842.14793864495584</v>
      </c>
      <c r="BB24" s="77">
        <v>858.16253664223359</v>
      </c>
      <c r="BC24" s="77">
        <v>932.5250508429142</v>
      </c>
      <c r="BD24" s="77">
        <v>926.5386241987477</v>
      </c>
      <c r="BE24" s="77">
        <v>922.55548979022933</v>
      </c>
      <c r="BF24" s="77">
        <v>794.41472579823721</v>
      </c>
      <c r="BG24" s="77">
        <v>954.64192249187863</v>
      </c>
      <c r="BH24" s="77">
        <v>910.82774155697052</v>
      </c>
      <c r="BI24" s="77">
        <v>1016.3062182577072</v>
      </c>
      <c r="BJ24" s="77">
        <v>980.81810133913893</v>
      </c>
      <c r="BK24" s="77">
        <v>951.84296804345252</v>
      </c>
      <c r="BL24" s="77">
        <v>939.73639309715202</v>
      </c>
      <c r="BM24" s="77">
        <v>1081.64878471886</v>
      </c>
      <c r="BN24" s="77">
        <v>1063.3883188324942</v>
      </c>
      <c r="BO24" s="77">
        <v>972.98678762600309</v>
      </c>
      <c r="BP24" s="77">
        <v>1078.2270156625846</v>
      </c>
      <c r="BQ24" s="77">
        <v>874.31989987828138</v>
      </c>
      <c r="BR24" s="77">
        <v>1134.9334087037573</v>
      </c>
      <c r="BS24" s="77">
        <v>989.32878806738813</v>
      </c>
      <c r="BT24" s="77">
        <v>1067.9682251626521</v>
      </c>
      <c r="BU24" s="77">
        <v>924.6638270975966</v>
      </c>
      <c r="BV24" s="77">
        <v>1154.5005004850714</v>
      </c>
      <c r="BW24" s="77">
        <v>1100.2485989627028</v>
      </c>
      <c r="BX24" s="77">
        <v>1087.5195600354468</v>
      </c>
      <c r="BY24" s="77">
        <v>982.39624979283724</v>
      </c>
      <c r="BZ24" s="77">
        <v>1167.657634004659</v>
      </c>
      <c r="CA24" s="77">
        <v>1185.9539566341036</v>
      </c>
      <c r="CB24" s="77">
        <v>1170.9144014490059</v>
      </c>
      <c r="CC24" s="77">
        <v>1037.2760126048797</v>
      </c>
    </row>
    <row r="25" spans="1:81" s="35" customFormat="1" ht="23.1" customHeight="1" x14ac:dyDescent="0.2">
      <c r="A25" s="133" t="s">
        <v>14</v>
      </c>
      <c r="B25" s="76">
        <v>5673.5557650979981</v>
      </c>
      <c r="C25" s="73">
        <v>6042.7401840685034</v>
      </c>
      <c r="D25" s="73">
        <v>6410.4139662885609</v>
      </c>
      <c r="E25" s="73">
        <v>6515.1968770665471</v>
      </c>
      <c r="F25" s="74">
        <v>7271.0576388333429</v>
      </c>
      <c r="G25" s="77"/>
      <c r="H25" s="134"/>
      <c r="I25" s="77"/>
      <c r="J25" s="77"/>
      <c r="K25" s="77">
        <v>1139.9744335100513</v>
      </c>
      <c r="L25" s="77">
        <v>1159.7778335140006</v>
      </c>
      <c r="M25" s="77">
        <v>1095.8838962492978</v>
      </c>
      <c r="N25" s="77">
        <v>1128.8916656210445</v>
      </c>
      <c r="O25" s="77">
        <v>1119.8263165617843</v>
      </c>
      <c r="P25" s="77">
        <v>1181.1905671788545</v>
      </c>
      <c r="Q25" s="77">
        <v>1189.2739251115404</v>
      </c>
      <c r="R25" s="77">
        <v>1249.0647502903551</v>
      </c>
      <c r="S25" s="77">
        <v>1266.0133529840077</v>
      </c>
      <c r="T25" s="77">
        <v>1187.7739928664871</v>
      </c>
      <c r="U25" s="77">
        <v>1234.1307824409566</v>
      </c>
      <c r="V25" s="77">
        <v>1191.5283618489095</v>
      </c>
      <c r="W25" s="77">
        <v>1213.8939601560537</v>
      </c>
      <c r="X25" s="77">
        <v>1233.2101103148289</v>
      </c>
      <c r="Y25" s="77">
        <v>1265.941022959074</v>
      </c>
      <c r="Z25" s="77">
        <v>1382.3520455405601</v>
      </c>
      <c r="AA25" s="77">
        <v>1342.1634582313984</v>
      </c>
      <c r="AB25" s="77">
        <v>1306.466070084716</v>
      </c>
      <c r="AC25" s="77">
        <v>1339.4979393840006</v>
      </c>
      <c r="AD25" s="77">
        <v>1350.2260028202199</v>
      </c>
      <c r="AE25" s="77">
        <v>1391.5662700186338</v>
      </c>
      <c r="AF25" s="77">
        <v>1416.0682431236175</v>
      </c>
      <c r="AG25" s="77">
        <v>1427.3919639024591</v>
      </c>
      <c r="AH25" s="77">
        <v>1438.5292880532879</v>
      </c>
      <c r="AI25" s="77">
        <v>1472.2481671012438</v>
      </c>
      <c r="AJ25" s="77">
        <v>1490.4955887940316</v>
      </c>
      <c r="AK25" s="77">
        <v>1506.9448376799148</v>
      </c>
      <c r="AL25" s="77">
        <v>1573.0515904933131</v>
      </c>
      <c r="AM25" s="77">
        <v>1621.3437851279505</v>
      </c>
      <c r="AN25" s="77">
        <v>1588.7545946939872</v>
      </c>
      <c r="AO25" s="77">
        <v>1597.4166732655167</v>
      </c>
      <c r="AP25" s="77">
        <v>1602.8989132011066</v>
      </c>
      <c r="AQ25" s="77">
        <v>1593.4065444309567</v>
      </c>
      <c r="AR25" s="77">
        <v>1600.4127683284255</v>
      </c>
      <c r="AS25" s="77">
        <v>1632.1101067619663</v>
      </c>
      <c r="AT25" s="77">
        <v>1689.2674575451986</v>
      </c>
      <c r="AU25" s="77">
        <v>1743.1422857262078</v>
      </c>
      <c r="AV25" s="77">
        <v>1817.3890923041224</v>
      </c>
      <c r="AW25" s="77">
        <v>1834.7881764383483</v>
      </c>
      <c r="AX25" s="77">
        <v>1875.7380843646647</v>
      </c>
      <c r="AY25" s="77">
        <v>1987.6581347867041</v>
      </c>
      <c r="AZ25" s="77">
        <v>2007.2198722743917</v>
      </c>
      <c r="BA25" s="77">
        <v>2028.1004316868516</v>
      </c>
      <c r="BB25" s="77">
        <v>1985.6779309421584</v>
      </c>
      <c r="BC25" s="77">
        <v>2077.9734238958949</v>
      </c>
      <c r="BD25" s="77">
        <v>2032.9092677651297</v>
      </c>
      <c r="BE25" s="77">
        <v>2151.2884942366609</v>
      </c>
      <c r="BF25" s="77">
        <v>2157.5835166765855</v>
      </c>
      <c r="BG25" s="77">
        <v>2156.2907463530228</v>
      </c>
      <c r="BH25" s="77">
        <v>2161.797125108601</v>
      </c>
      <c r="BI25" s="77">
        <v>2184.4351537872217</v>
      </c>
      <c r="BJ25" s="77">
        <v>2244.60804711423</v>
      </c>
      <c r="BK25" s="77">
        <v>2303.9769499396225</v>
      </c>
      <c r="BL25" s="77">
        <v>2371.6533334556475</v>
      </c>
      <c r="BM25" s="77">
        <v>2399.9618796326972</v>
      </c>
      <c r="BN25" s="77">
        <v>2456.7065996832052</v>
      </c>
      <c r="BO25" s="77">
        <v>2501.9405707536516</v>
      </c>
      <c r="BP25" s="77">
        <v>2539.72896628014</v>
      </c>
      <c r="BQ25" s="77">
        <v>2552.8887998796135</v>
      </c>
      <c r="BR25" s="77">
        <v>2645.3363159447476</v>
      </c>
      <c r="BS25" s="77">
        <v>2684.6060574259677</v>
      </c>
      <c r="BT25" s="77">
        <v>2751.3307219929648</v>
      </c>
      <c r="BU25" s="77">
        <v>2772.5132363677963</v>
      </c>
      <c r="BV25" s="77">
        <v>2790.4963499842975</v>
      </c>
      <c r="BW25" s="77">
        <v>2776.4510492303252</v>
      </c>
      <c r="BX25" s="77">
        <v>2834.124974448006</v>
      </c>
      <c r="BY25" s="77">
        <v>2961.880470251001</v>
      </c>
      <c r="BZ25" s="77">
        <v>2963.9416875915804</v>
      </c>
      <c r="CA25" s="77">
        <v>3003.4374382586407</v>
      </c>
      <c r="CB25" s="77">
        <v>3008.15604383454</v>
      </c>
      <c r="CC25" s="77">
        <v>3165.5828160653655</v>
      </c>
    </row>
    <row r="26" spans="1:81" s="35" customFormat="1" ht="23.1" customHeight="1" x14ac:dyDescent="0.2">
      <c r="A26" s="133" t="s">
        <v>56</v>
      </c>
      <c r="B26" s="76">
        <v>3038.619834369184</v>
      </c>
      <c r="C26" s="73">
        <v>2868.4269079205487</v>
      </c>
      <c r="D26" s="73">
        <v>2859.1440532422907</v>
      </c>
      <c r="E26" s="73">
        <v>2330.3748499869935</v>
      </c>
      <c r="F26" s="74">
        <v>2505.0454778941962</v>
      </c>
      <c r="G26" s="77"/>
      <c r="H26" s="134"/>
      <c r="I26" s="77"/>
      <c r="J26" s="77"/>
      <c r="K26" s="77">
        <v>0</v>
      </c>
      <c r="L26" s="77">
        <v>0</v>
      </c>
      <c r="M26" s="77">
        <v>0</v>
      </c>
      <c r="N26" s="77">
        <v>0</v>
      </c>
      <c r="O26" s="77">
        <v>308.29852821918286</v>
      </c>
      <c r="P26" s="77">
        <v>357.31016078541256</v>
      </c>
      <c r="Q26" s="77">
        <v>1055.4494805580146</v>
      </c>
      <c r="R26" s="77">
        <v>980.14229275428102</v>
      </c>
      <c r="S26" s="77">
        <v>1154.9770274244902</v>
      </c>
      <c r="T26" s="77">
        <v>918.02392702782925</v>
      </c>
      <c r="U26" s="77">
        <v>540.87400629689375</v>
      </c>
      <c r="V26" s="77">
        <v>627.21751806654834</v>
      </c>
      <c r="W26" s="77">
        <v>653.71275412550472</v>
      </c>
      <c r="X26" s="77">
        <v>687.5537894509564</v>
      </c>
      <c r="Y26" s="77">
        <v>859.47061810913851</v>
      </c>
      <c r="Z26" s="77">
        <v>798.35802598628902</v>
      </c>
      <c r="AA26" s="77">
        <v>835.80535453404684</v>
      </c>
      <c r="AB26" s="77">
        <v>822.78063697269351</v>
      </c>
      <c r="AC26" s="77">
        <v>598.42839326389196</v>
      </c>
      <c r="AD26" s="77">
        <v>756.12808315849088</v>
      </c>
      <c r="AE26" s="77">
        <v>635.31561064418361</v>
      </c>
      <c r="AF26" s="77">
        <v>783.90602074349613</v>
      </c>
      <c r="AG26" s="77">
        <v>809.23854232075064</v>
      </c>
      <c r="AH26" s="77">
        <v>810.15966066075362</v>
      </c>
      <c r="AI26" s="77">
        <v>753.71931746886696</v>
      </c>
      <c r="AJ26" s="77">
        <v>751.12141056949974</v>
      </c>
      <c r="AK26" s="77">
        <v>695.09488631825252</v>
      </c>
      <c r="AL26" s="77">
        <v>668.4912935639295</v>
      </c>
      <c r="AM26" s="77">
        <v>732.77944065571785</v>
      </c>
      <c r="AN26" s="77">
        <v>829.90582905523718</v>
      </c>
      <c r="AO26" s="77">
        <v>648.05644115959842</v>
      </c>
      <c r="AP26" s="77">
        <v>648.40234237173729</v>
      </c>
      <c r="AQ26" s="77">
        <v>689.75871842146535</v>
      </c>
      <c r="AR26" s="77">
        <v>627.41175526687823</v>
      </c>
      <c r="AS26" s="77">
        <v>486.6931430512218</v>
      </c>
      <c r="AT26" s="77">
        <v>526.51123324742832</v>
      </c>
      <c r="AU26" s="77">
        <v>660.70148880501449</v>
      </c>
      <c r="AV26" s="77">
        <v>653.02752645097462</v>
      </c>
      <c r="AW26" s="77">
        <v>568.29308154724515</v>
      </c>
      <c r="AX26" s="77">
        <v>623.02338109096218</v>
      </c>
      <c r="AY26" s="77">
        <v>680.92423482842923</v>
      </c>
      <c r="AZ26" s="77">
        <v>622.0297836546257</v>
      </c>
      <c r="BA26" s="77">
        <v>625.55208370738615</v>
      </c>
      <c r="BB26" s="77">
        <v>738.06521704752481</v>
      </c>
      <c r="BC26" s="77">
        <v>884.05431548554509</v>
      </c>
      <c r="BD26" s="77">
        <v>793.30135699051073</v>
      </c>
      <c r="BE26" s="77">
        <v>465.32416621844692</v>
      </c>
      <c r="BF26" s="77">
        <v>599.43754906501795</v>
      </c>
      <c r="BG26" s="77">
        <v>616.05394539315557</v>
      </c>
      <c r="BH26" s="77">
        <v>734.7845117642579</v>
      </c>
      <c r="BI26" s="77">
        <v>733.69232862666206</v>
      </c>
      <c r="BJ26" s="77">
        <v>716.44431530191844</v>
      </c>
      <c r="BK26" s="77">
        <v>789.858686045382</v>
      </c>
      <c r="BL26" s="77">
        <v>774.88967856892179</v>
      </c>
      <c r="BM26" s="77">
        <v>655.92511595710948</v>
      </c>
      <c r="BN26" s="77">
        <v>667.96348426370503</v>
      </c>
      <c r="BO26" s="77">
        <v>1166.7696294203317</v>
      </c>
      <c r="BP26" s="77">
        <v>909.4001397941571</v>
      </c>
      <c r="BQ26" s="77">
        <v>857.22834892125024</v>
      </c>
      <c r="BR26" s="77">
        <v>781.06624976937951</v>
      </c>
      <c r="BS26" s="77">
        <v>658.84499089482108</v>
      </c>
      <c r="BT26" s="77">
        <v>1316.953649054464</v>
      </c>
      <c r="BU26" s="77">
        <v>963.68444074723891</v>
      </c>
      <c r="BV26" s="77">
        <v>910.23288589251126</v>
      </c>
      <c r="BW26" s="77">
        <v>706.59633263058311</v>
      </c>
      <c r="BX26" s="77">
        <v>993.97375504076297</v>
      </c>
      <c r="BY26" s="77">
        <v>1111.7440968492497</v>
      </c>
      <c r="BZ26" s="77">
        <v>1094.1242466875215</v>
      </c>
      <c r="CA26" s="77">
        <v>764.25360501412354</v>
      </c>
      <c r="CB26" s="77">
        <v>797.94231245561116</v>
      </c>
      <c r="CC26" s="77">
        <v>1200.6334384579989</v>
      </c>
    </row>
    <row r="27" spans="1:81" s="35" customFormat="1" ht="23.1" customHeight="1" x14ac:dyDescent="0.2">
      <c r="A27" s="133" t="s">
        <v>57</v>
      </c>
      <c r="B27" s="76">
        <v>1798.6790164187946</v>
      </c>
      <c r="C27" s="73">
        <v>2257.277625317447</v>
      </c>
      <c r="D27" s="73">
        <v>1944.4065270214005</v>
      </c>
      <c r="E27" s="73">
        <v>1901.0439727441901</v>
      </c>
      <c r="F27" s="74">
        <v>1999.3950557407702</v>
      </c>
      <c r="G27" s="77"/>
      <c r="H27" s="134"/>
      <c r="I27" s="77"/>
      <c r="J27" s="77"/>
      <c r="K27" s="77">
        <v>0</v>
      </c>
      <c r="L27" s="77">
        <v>0</v>
      </c>
      <c r="M27" s="77">
        <v>0</v>
      </c>
      <c r="N27" s="77">
        <v>0</v>
      </c>
      <c r="O27" s="77">
        <v>340.55284995525676</v>
      </c>
      <c r="P27" s="77">
        <v>347.89021650788902</v>
      </c>
      <c r="Q27" s="77">
        <v>380.37936843077176</v>
      </c>
      <c r="R27" s="77">
        <v>409.57883590199589</v>
      </c>
      <c r="S27" s="77">
        <v>448.69144896384165</v>
      </c>
      <c r="T27" s="77">
        <v>507.59838906146751</v>
      </c>
      <c r="U27" s="77">
        <v>483.73061528814429</v>
      </c>
      <c r="V27" s="77">
        <v>507.62218987498795</v>
      </c>
      <c r="W27" s="77">
        <v>506.6556823809762</v>
      </c>
      <c r="X27" s="77">
        <v>491.33541360558377</v>
      </c>
      <c r="Y27" s="77">
        <v>446.8525230146646</v>
      </c>
      <c r="Z27" s="77">
        <v>433.21227009438019</v>
      </c>
      <c r="AA27" s="77">
        <v>438.1536340079644</v>
      </c>
      <c r="AB27" s="77">
        <v>420.76030900175635</v>
      </c>
      <c r="AC27" s="77">
        <v>410.44916727851393</v>
      </c>
      <c r="AD27" s="77">
        <v>395.52718153956664</v>
      </c>
      <c r="AE27" s="77">
        <v>414.54777911579259</v>
      </c>
      <c r="AF27" s="77">
        <v>430.75265900967611</v>
      </c>
      <c r="AG27" s="77">
        <v>455.28579654731885</v>
      </c>
      <c r="AH27" s="77">
        <v>498.09278174600718</v>
      </c>
      <c r="AI27" s="77">
        <v>535.69289975355355</v>
      </c>
      <c r="AJ27" s="77">
        <v>580.488461112648</v>
      </c>
      <c r="AK27" s="77">
        <v>582.81056361789524</v>
      </c>
      <c r="AL27" s="77">
        <v>558.28570083335046</v>
      </c>
      <c r="AM27" s="77">
        <v>529.39406545369002</v>
      </c>
      <c r="AN27" s="77">
        <v>518.63903956136153</v>
      </c>
      <c r="AO27" s="77">
        <v>439.30077484746886</v>
      </c>
      <c r="AP27" s="77">
        <v>457.07264715888016</v>
      </c>
      <c r="AQ27" s="77">
        <v>470.80986844431681</v>
      </c>
      <c r="AR27" s="77">
        <v>473.02447096626042</v>
      </c>
      <c r="AS27" s="77">
        <v>474.5572954475042</v>
      </c>
      <c r="AT27" s="77">
        <v>482.65233788610863</v>
      </c>
      <c r="AU27" s="77">
        <v>489.97219009795941</v>
      </c>
      <c r="AV27" s="77">
        <v>484.48746958790304</v>
      </c>
      <c r="AW27" s="77">
        <v>495.97889979813971</v>
      </c>
      <c r="AX27" s="77">
        <v>528.95649625676799</v>
      </c>
      <c r="AY27" s="77">
        <v>559.54198906632882</v>
      </c>
      <c r="AZ27" s="77">
        <v>570.90939365517124</v>
      </c>
      <c r="BA27" s="77">
        <v>589.24100371362954</v>
      </c>
      <c r="BB27" s="77">
        <v>624.49284685592079</v>
      </c>
      <c r="BC27" s="77">
        <v>645.213392701163</v>
      </c>
      <c r="BD27" s="77">
        <v>658.25886948481764</v>
      </c>
      <c r="BE27" s="77">
        <v>599.64515406550197</v>
      </c>
      <c r="BF27" s="77">
        <v>616.09823211885953</v>
      </c>
      <c r="BG27" s="77">
        <v>638.48901499666999</v>
      </c>
      <c r="BH27" s="77">
        <v>645.77249922266674</v>
      </c>
      <c r="BI27" s="77">
        <v>647.34062041844231</v>
      </c>
      <c r="BJ27" s="77">
        <v>645.52047266224099</v>
      </c>
      <c r="BK27" s="77">
        <v>652.41772042106572</v>
      </c>
      <c r="BL27" s="77">
        <v>662.11036007639291</v>
      </c>
      <c r="BM27" s="77">
        <v>664.77171610490143</v>
      </c>
      <c r="BN27" s="77">
        <v>689.15508738533185</v>
      </c>
      <c r="BO27" s="77">
        <v>773.92689839165496</v>
      </c>
      <c r="BP27" s="77">
        <v>762.78121154149733</v>
      </c>
      <c r="BQ27" s="77">
        <v>800.29215792592947</v>
      </c>
      <c r="BR27" s="77">
        <v>806.16424447890415</v>
      </c>
      <c r="BS27" s="77">
        <v>776.12887084954491</v>
      </c>
      <c r="BT27" s="77">
        <v>754.28535235745471</v>
      </c>
      <c r="BU27" s="77">
        <v>853.35787574273388</v>
      </c>
      <c r="BV27" s="77">
        <v>870.17090222973479</v>
      </c>
      <c r="BW27" s="77">
        <v>796.84952335909247</v>
      </c>
      <c r="BX27" s="77">
        <v>786.74984326058268</v>
      </c>
      <c r="BY27" s="77">
        <v>949.32457363902859</v>
      </c>
      <c r="BZ27" s="77">
        <v>869.51053566493465</v>
      </c>
      <c r="CA27" s="77">
        <v>849.80831681879863</v>
      </c>
      <c r="CB27" s="77">
        <v>1088.9849531871707</v>
      </c>
      <c r="CC27" s="77">
        <v>1026.4863240221289</v>
      </c>
    </row>
    <row r="28" spans="1:81" s="35" customFormat="1" ht="23.1" customHeight="1" x14ac:dyDescent="0.2">
      <c r="A28" s="133" t="s">
        <v>15</v>
      </c>
      <c r="B28" s="76">
        <v>1676.7255392028383</v>
      </c>
      <c r="C28" s="73">
        <v>2081.6692537414333</v>
      </c>
      <c r="D28" s="73">
        <v>2256.7655448425858</v>
      </c>
      <c r="E28" s="73">
        <v>2677.6396265921235</v>
      </c>
      <c r="F28" s="74">
        <v>2933.2526326437169</v>
      </c>
      <c r="G28" s="77"/>
      <c r="H28" s="134"/>
      <c r="I28" s="77"/>
      <c r="J28" s="77"/>
      <c r="K28" s="77">
        <v>260.74061792690691</v>
      </c>
      <c r="L28" s="77">
        <v>298.02037246291036</v>
      </c>
      <c r="M28" s="77">
        <v>340.5019691835185</v>
      </c>
      <c r="N28" s="77">
        <v>418.50938882257429</v>
      </c>
      <c r="O28" s="77">
        <v>320.6062067939942</v>
      </c>
      <c r="P28" s="77">
        <v>353.77473783382817</v>
      </c>
      <c r="Q28" s="77">
        <v>394.05373423885078</v>
      </c>
      <c r="R28" s="77">
        <v>410.52161137785481</v>
      </c>
      <c r="S28" s="77">
        <v>455.76639925976713</v>
      </c>
      <c r="T28" s="77">
        <v>444.21513081805466</v>
      </c>
      <c r="U28" s="77">
        <v>425.56335369651214</v>
      </c>
      <c r="V28" s="77">
        <v>408.15567488241152</v>
      </c>
      <c r="W28" s="77">
        <v>408.87125400903977</v>
      </c>
      <c r="X28" s="77">
        <v>425.38903065559697</v>
      </c>
      <c r="Y28" s="77">
        <v>404.67037852643841</v>
      </c>
      <c r="Z28" s="77">
        <v>425.629318493445</v>
      </c>
      <c r="AA28" s="77">
        <v>422.2182791782858</v>
      </c>
      <c r="AB28" s="77">
        <v>416.71152085861212</v>
      </c>
      <c r="AC28" s="77">
        <v>419.69734831334478</v>
      </c>
      <c r="AD28" s="77">
        <v>408.07240144354091</v>
      </c>
      <c r="AE28" s="77">
        <v>379.03360227141235</v>
      </c>
      <c r="AF28" s="77">
        <v>397.18120775506407</v>
      </c>
      <c r="AG28" s="77">
        <v>439.46622019976417</v>
      </c>
      <c r="AH28" s="77">
        <v>461.04450897659774</v>
      </c>
      <c r="AI28" s="77">
        <v>483.40362484243468</v>
      </c>
      <c r="AJ28" s="77">
        <v>544.99973507076163</v>
      </c>
      <c r="AK28" s="77">
        <v>531.38169931842242</v>
      </c>
      <c r="AL28" s="77">
        <v>521.88419450981485</v>
      </c>
      <c r="AM28" s="77">
        <v>527.36961242526741</v>
      </c>
      <c r="AN28" s="77">
        <v>558.31466732901015</v>
      </c>
      <c r="AO28" s="77">
        <v>552.43453033091714</v>
      </c>
      <c r="AP28" s="77">
        <v>618.64673475739107</v>
      </c>
      <c r="AQ28" s="77">
        <v>622.10756005473468</v>
      </c>
      <c r="AR28" s="77">
        <v>656.08391377617454</v>
      </c>
      <c r="AS28" s="77">
        <v>671.46536152558781</v>
      </c>
      <c r="AT28" s="77">
        <v>727.98279123562645</v>
      </c>
      <c r="AU28" s="77">
        <v>749.78266889435065</v>
      </c>
      <c r="AV28" s="77">
        <v>757.35038725342736</v>
      </c>
      <c r="AW28" s="77">
        <v>726.59740125221697</v>
      </c>
      <c r="AX28" s="77">
        <v>699.5221752437219</v>
      </c>
      <c r="AY28" s="77">
        <v>756.12903587910773</v>
      </c>
      <c r="AZ28" s="77">
        <v>744.08972478361818</v>
      </c>
      <c r="BA28" s="77">
        <v>766.22651353526135</v>
      </c>
      <c r="BB28" s="77">
        <v>791.00814926948055</v>
      </c>
      <c r="BC28" s="77">
        <v>864.00656522008683</v>
      </c>
      <c r="BD28" s="77">
        <v>904.94422873899293</v>
      </c>
      <c r="BE28" s="77">
        <v>892.5421554112761</v>
      </c>
      <c r="BF28" s="77">
        <v>891.66541067745879</v>
      </c>
      <c r="BG28" s="77">
        <v>969.65450016831733</v>
      </c>
      <c r="BH28" s="77">
        <v>1006.1981368614913</v>
      </c>
      <c r="BI28" s="77">
        <v>1091.9076330994371</v>
      </c>
      <c r="BJ28" s="77">
        <v>931.36965656644861</v>
      </c>
      <c r="BK28" s="77">
        <v>1026.5495118408817</v>
      </c>
      <c r="BL28" s="77">
        <v>1050.8031434424565</v>
      </c>
      <c r="BM28" s="77">
        <v>1043.7314872510417</v>
      </c>
      <c r="BN28" s="77">
        <v>1019.197509181911</v>
      </c>
      <c r="BO28" s="77">
        <v>1103.6321038256119</v>
      </c>
      <c r="BP28" s="77">
        <v>1103.7489245071338</v>
      </c>
      <c r="BQ28" s="77">
        <v>947.50232490533449</v>
      </c>
      <c r="BR28" s="77">
        <v>1032.4462016994125</v>
      </c>
      <c r="BS28" s="77">
        <v>911.04444873427485</v>
      </c>
      <c r="BT28" s="77">
        <v>1176.6651139731721</v>
      </c>
      <c r="BU28" s="77">
        <v>1073.1794464788104</v>
      </c>
      <c r="BV28" s="77">
        <v>1310.9405322742286</v>
      </c>
      <c r="BW28" s="77">
        <v>941.08170205323768</v>
      </c>
      <c r="BX28" s="77">
        <v>1234.9564104433098</v>
      </c>
      <c r="BY28" s="77">
        <v>1144.0360715996947</v>
      </c>
      <c r="BZ28" s="77">
        <v>1327.5570537468475</v>
      </c>
      <c r="CA28" s="77">
        <v>895.71411248067886</v>
      </c>
      <c r="CB28" s="77">
        <v>1337.9321285885362</v>
      </c>
      <c r="CC28" s="77">
        <v>1200.6411304647049</v>
      </c>
    </row>
    <row r="29" spans="1:81" s="35" customFormat="1" ht="23.1" customHeight="1" x14ac:dyDescent="0.2">
      <c r="A29" s="133" t="s">
        <v>16</v>
      </c>
      <c r="B29" s="76">
        <v>4695.6681028660196</v>
      </c>
      <c r="C29" s="73">
        <v>4939.3647112690387</v>
      </c>
      <c r="D29" s="73">
        <v>5326.9374594009796</v>
      </c>
      <c r="E29" s="73">
        <v>4776.5035393913759</v>
      </c>
      <c r="F29" s="74">
        <v>5107.3603900902008</v>
      </c>
      <c r="G29" s="77"/>
      <c r="H29" s="134"/>
      <c r="I29" s="77"/>
      <c r="J29" s="77"/>
      <c r="K29" s="77">
        <v>864.92563338699949</v>
      </c>
      <c r="L29" s="77">
        <v>842.66232434133417</v>
      </c>
      <c r="M29" s="77">
        <v>839.9295354208665</v>
      </c>
      <c r="N29" s="77">
        <v>859.92021579579489</v>
      </c>
      <c r="O29" s="77">
        <v>861.9941797540032</v>
      </c>
      <c r="P29" s="77">
        <v>911.92822931827538</v>
      </c>
      <c r="Q29" s="77">
        <v>902.67898882250768</v>
      </c>
      <c r="R29" s="77">
        <v>820.48761349839674</v>
      </c>
      <c r="S29" s="77">
        <v>996.56685629182118</v>
      </c>
      <c r="T29" s="77">
        <v>953.77293779160289</v>
      </c>
      <c r="U29" s="77">
        <v>956.50858514488277</v>
      </c>
      <c r="V29" s="77">
        <v>959.40139318317506</v>
      </c>
      <c r="W29" s="77">
        <v>1017.9838092391005</v>
      </c>
      <c r="X29" s="77">
        <v>1006.8754896877929</v>
      </c>
      <c r="Y29" s="77">
        <v>1043.3882624226885</v>
      </c>
      <c r="Z29" s="77">
        <v>1090.2160365443569</v>
      </c>
      <c r="AA29" s="77">
        <v>1143.8675211271213</v>
      </c>
      <c r="AB29" s="77">
        <v>1155.8847844663503</v>
      </c>
      <c r="AC29" s="77">
        <v>1133.4272908361188</v>
      </c>
      <c r="AD29" s="77">
        <v>1063.5926535857052</v>
      </c>
      <c r="AE29" s="77">
        <v>962.43002870622604</v>
      </c>
      <c r="AF29" s="77">
        <v>985.14115976637709</v>
      </c>
      <c r="AG29" s="77">
        <v>1191.4044747384119</v>
      </c>
      <c r="AH29" s="77">
        <v>1556.6924396550048</v>
      </c>
      <c r="AI29" s="77">
        <v>1007.890419864493</v>
      </c>
      <c r="AJ29" s="77">
        <v>1207.8107081093513</v>
      </c>
      <c r="AK29" s="77">
        <v>1339.8896459440011</v>
      </c>
      <c r="AL29" s="77">
        <v>1383.7739373511931</v>
      </c>
      <c r="AM29" s="77">
        <v>1402.1189977824695</v>
      </c>
      <c r="AN29" s="77">
        <v>1347.9251574940574</v>
      </c>
      <c r="AO29" s="77">
        <v>1322.5645052548243</v>
      </c>
      <c r="AP29" s="77">
        <v>1254.3287988696286</v>
      </c>
      <c r="AQ29" s="77">
        <v>1262.7644049139021</v>
      </c>
      <c r="AR29" s="77">
        <v>1177.1819309052121</v>
      </c>
      <c r="AS29" s="77">
        <v>1161.0949484830144</v>
      </c>
      <c r="AT29" s="77">
        <v>1175.4622550892475</v>
      </c>
      <c r="AU29" s="77">
        <v>1271.8285315125277</v>
      </c>
      <c r="AV29" s="77">
        <v>1265.1907869883778</v>
      </c>
      <c r="AW29" s="77">
        <v>1295.4424572277796</v>
      </c>
      <c r="AX29" s="77">
        <v>1274.8986143615155</v>
      </c>
      <c r="AY29" s="77">
        <v>1410.9429461177317</v>
      </c>
      <c r="AZ29" s="77">
        <v>1428.3316620991877</v>
      </c>
      <c r="BA29" s="77">
        <v>1406.4601692012641</v>
      </c>
      <c r="BB29" s="77">
        <v>1326.9039182304004</v>
      </c>
      <c r="BC29" s="77">
        <v>1299.942933619642</v>
      </c>
      <c r="BD29" s="77">
        <v>1348.56919318053</v>
      </c>
      <c r="BE29" s="77">
        <v>1420.4133393112918</v>
      </c>
      <c r="BF29" s="77">
        <v>1389.6732792154992</v>
      </c>
      <c r="BG29" s="77">
        <v>1140.266015449507</v>
      </c>
      <c r="BH29" s="77">
        <v>1241.9525653180594</v>
      </c>
      <c r="BI29" s="77">
        <v>1395.9329977842795</v>
      </c>
      <c r="BJ29" s="77">
        <v>1452.0120139203539</v>
      </c>
      <c r="BK29" s="77">
        <v>1301.9595847607172</v>
      </c>
      <c r="BL29" s="77">
        <v>1203.4466518879467</v>
      </c>
      <c r="BM29" s="77">
        <v>1459.38719100769</v>
      </c>
      <c r="BN29" s="77">
        <v>1341.6418598921521</v>
      </c>
      <c r="BO29" s="77">
        <v>1476.4992859887207</v>
      </c>
      <c r="BP29" s="77">
        <v>1194.5058341980357</v>
      </c>
      <c r="BQ29" s="77">
        <v>1331.6369445602052</v>
      </c>
      <c r="BR29" s="77">
        <v>1485.7404434275716</v>
      </c>
      <c r="BS29" s="77">
        <v>1626.5683128380215</v>
      </c>
      <c r="BT29" s="77">
        <v>1287.1458389514255</v>
      </c>
      <c r="BU29" s="77">
        <v>1373.0591216660828</v>
      </c>
      <c r="BV29" s="77">
        <v>1436.7573275209143</v>
      </c>
      <c r="BW29" s="77">
        <v>1582.113643413177</v>
      </c>
      <c r="BX29" s="77">
        <v>1350.2059310058951</v>
      </c>
      <c r="BY29" s="77">
        <v>1465.7468157334981</v>
      </c>
      <c r="BZ29" s="77">
        <v>1626.2914046810104</v>
      </c>
      <c r="CA29" s="77">
        <v>1666.3325893310575</v>
      </c>
      <c r="CB29" s="77">
        <v>1474.26833265713</v>
      </c>
      <c r="CC29" s="77">
        <v>1525.8423453667933</v>
      </c>
    </row>
    <row r="30" spans="1:81" s="35" customFormat="1" ht="23.1" customHeight="1" x14ac:dyDescent="0.2">
      <c r="A30" s="133" t="s">
        <v>58</v>
      </c>
      <c r="B30" s="76">
        <v>3036.1088270025198</v>
      </c>
      <c r="C30" s="73">
        <v>3201.1326492798835</v>
      </c>
      <c r="D30" s="73">
        <v>3309.2272202871272</v>
      </c>
      <c r="E30" s="73">
        <v>3309.7641964234235</v>
      </c>
      <c r="F30" s="74">
        <v>3867.3283080746478</v>
      </c>
      <c r="G30" s="77"/>
      <c r="H30" s="134"/>
      <c r="I30" s="77"/>
      <c r="J30" s="77"/>
      <c r="K30" s="77">
        <v>585.84580297144339</v>
      </c>
      <c r="L30" s="77">
        <v>612.33563753401313</v>
      </c>
      <c r="M30" s="77">
        <v>582.05992634848621</v>
      </c>
      <c r="N30" s="77">
        <v>620.24447810390643</v>
      </c>
      <c r="O30" s="77">
        <v>633.15990233319144</v>
      </c>
      <c r="P30" s="77">
        <v>637.23304027115557</v>
      </c>
      <c r="Q30" s="77">
        <v>625.20798875430569</v>
      </c>
      <c r="R30" s="77">
        <v>636.29808052557541</v>
      </c>
      <c r="S30" s="77">
        <v>658.94228824123252</v>
      </c>
      <c r="T30" s="77">
        <v>675.81544706875684</v>
      </c>
      <c r="U30" s="77">
        <v>665.41302595899731</v>
      </c>
      <c r="V30" s="77">
        <v>646.03220026298322</v>
      </c>
      <c r="W30" s="77">
        <v>697.84133798089908</v>
      </c>
      <c r="X30" s="77">
        <v>692.60619051114838</v>
      </c>
      <c r="Y30" s="77">
        <v>680.35569485626513</v>
      </c>
      <c r="Z30" s="77">
        <v>701.51141266308707</v>
      </c>
      <c r="AA30" s="77">
        <v>714.77154407619639</v>
      </c>
      <c r="AB30" s="77">
        <v>713.54108943359881</v>
      </c>
      <c r="AC30" s="77">
        <v>706.55774191518799</v>
      </c>
      <c r="AD30" s="77">
        <v>750.19590454176671</v>
      </c>
      <c r="AE30" s="77">
        <v>659.33936229909341</v>
      </c>
      <c r="AF30" s="77">
        <v>661.07790741806718</v>
      </c>
      <c r="AG30" s="77">
        <v>760.5824305538772</v>
      </c>
      <c r="AH30" s="77">
        <v>955.10912673148187</v>
      </c>
      <c r="AI30" s="77">
        <v>682.66901711811431</v>
      </c>
      <c r="AJ30" s="77">
        <v>786.78780469244464</v>
      </c>
      <c r="AK30" s="77">
        <v>843.40270535510058</v>
      </c>
      <c r="AL30" s="77">
        <v>888.27312211422418</v>
      </c>
      <c r="AM30" s="77">
        <v>832.6219305024382</v>
      </c>
      <c r="AN30" s="77">
        <v>835.02887727308723</v>
      </c>
      <c r="AO30" s="77">
        <v>822.0002409109461</v>
      </c>
      <c r="AP30" s="77">
        <v>819.57617160065524</v>
      </c>
      <c r="AQ30" s="77">
        <v>795.58237464049023</v>
      </c>
      <c r="AR30" s="77">
        <v>797.5488012950824</v>
      </c>
      <c r="AS30" s="77">
        <v>828.82403388864134</v>
      </c>
      <c r="AT30" s="77">
        <v>887.80898659920979</v>
      </c>
      <c r="AU30" s="77">
        <v>951.65180144422141</v>
      </c>
      <c r="AV30" s="77">
        <v>978.53458743572423</v>
      </c>
      <c r="AW30" s="77">
        <v>982.57413828879351</v>
      </c>
      <c r="AX30" s="77">
        <v>954.56778090590853</v>
      </c>
      <c r="AY30" s="77">
        <v>1046.5356565598679</v>
      </c>
      <c r="AZ30" s="77">
        <v>1009.6087180342506</v>
      </c>
      <c r="BA30" s="77">
        <v>999.91182469370517</v>
      </c>
      <c r="BB30" s="77">
        <v>1017.3272289850574</v>
      </c>
      <c r="BC30" s="77">
        <v>1065.8616929671653</v>
      </c>
      <c r="BD30" s="77">
        <v>1077.9567466323683</v>
      </c>
      <c r="BE30" s="77">
        <v>1027.2172640244464</v>
      </c>
      <c r="BF30" s="77">
        <v>943.14959854702784</v>
      </c>
      <c r="BG30" s="77">
        <v>1159.703939043264</v>
      </c>
      <c r="BH30" s="77">
        <v>1140.0349653701969</v>
      </c>
      <c r="BI30" s="77">
        <v>1040.6162609817368</v>
      </c>
      <c r="BJ30" s="77">
        <v>1064.0391211219496</v>
      </c>
      <c r="BK30" s="77">
        <v>1103.2920565065604</v>
      </c>
      <c r="BL30" s="77">
        <v>1340.2157274800056</v>
      </c>
      <c r="BM30" s="77">
        <v>1206.1840224865573</v>
      </c>
      <c r="BN30" s="77">
        <v>1175.8966717090384</v>
      </c>
      <c r="BO30" s="77">
        <v>1228.5626138301407</v>
      </c>
      <c r="BP30" s="77">
        <v>1353.1350839569379</v>
      </c>
      <c r="BQ30" s="77">
        <v>1260.4530756344684</v>
      </c>
      <c r="BR30" s="77">
        <v>1194.7142684614598</v>
      </c>
      <c r="BS30" s="77">
        <v>1143.1602756391503</v>
      </c>
      <c r="BT30" s="77">
        <v>1308.5992119564821</v>
      </c>
      <c r="BU30" s="77">
        <v>1353.2297393631327</v>
      </c>
      <c r="BV30" s="77">
        <v>1352.1463208627013</v>
      </c>
      <c r="BW30" s="77">
        <v>1230.9890712206104</v>
      </c>
      <c r="BX30" s="77">
        <v>1391.9685547143872</v>
      </c>
      <c r="BY30" s="77">
        <v>1349.7148630790696</v>
      </c>
      <c r="BZ30" s="77">
        <v>1281.1538017837297</v>
      </c>
      <c r="CA30" s="77">
        <v>1282.8415747445003</v>
      </c>
      <c r="CB30" s="77">
        <v>1465.9927221173918</v>
      </c>
      <c r="CC30" s="77">
        <v>1401.8696341715772</v>
      </c>
    </row>
    <row r="31" spans="1:81" s="35" customFormat="1" ht="23.1" customHeight="1" x14ac:dyDescent="0.2">
      <c r="A31" s="133" t="s">
        <v>71</v>
      </c>
      <c r="B31" s="76">
        <v>101.08026705062656</v>
      </c>
      <c r="C31" s="73">
        <v>106.46466000293167</v>
      </c>
      <c r="D31" s="73">
        <v>101.09994344440523</v>
      </c>
      <c r="E31" s="73">
        <v>131.09622216954992</v>
      </c>
      <c r="F31" s="74">
        <v>217.23685816457177</v>
      </c>
      <c r="G31" s="77"/>
      <c r="H31" s="134"/>
      <c r="I31" s="77"/>
      <c r="J31" s="77"/>
      <c r="K31" s="77">
        <v>0</v>
      </c>
      <c r="L31" s="77">
        <v>0</v>
      </c>
      <c r="M31" s="77">
        <v>0</v>
      </c>
      <c r="N31" s="77">
        <v>0</v>
      </c>
      <c r="O31" s="77">
        <v>20.508964796510369</v>
      </c>
      <c r="P31" s="77">
        <v>17.90513631105129</v>
      </c>
      <c r="Q31" s="77">
        <v>22.999942634630585</v>
      </c>
      <c r="R31" s="77">
        <v>24.380391972962336</v>
      </c>
      <c r="S31" s="77">
        <v>30.092141515107532</v>
      </c>
      <c r="T31" s="77">
        <v>39.814549973068338</v>
      </c>
      <c r="U31" s="77">
        <v>9.1571430258452775</v>
      </c>
      <c r="V31" s="77">
        <v>11.259505761256781</v>
      </c>
      <c r="W31" s="77">
        <v>15.398217091591649</v>
      </c>
      <c r="X31" s="77">
        <v>25.707405630803006</v>
      </c>
      <c r="Y31" s="77">
        <v>32.108340651292067</v>
      </c>
      <c r="Z31" s="77">
        <v>24.380010426840656</v>
      </c>
      <c r="AA31" s="77">
        <v>25.661989233851934</v>
      </c>
      <c r="AB31" s="77">
        <v>25.655748832435236</v>
      </c>
      <c r="AC31" s="77">
        <v>20.434125152437009</v>
      </c>
      <c r="AD31" s="77">
        <v>23.136525647183518</v>
      </c>
      <c r="AE31" s="77">
        <v>20.078702532213349</v>
      </c>
      <c r="AF31" s="77">
        <v>25.99363619983172</v>
      </c>
      <c r="AG31" s="77">
        <v>28.492075723639548</v>
      </c>
      <c r="AH31" s="77">
        <v>26.515852594941943</v>
      </c>
      <c r="AI31" s="77">
        <v>26.380983972125552</v>
      </c>
      <c r="AJ31" s="77">
        <v>25.513050354666067</v>
      </c>
      <c r="AK31" s="77">
        <v>26.757465265910007</v>
      </c>
      <c r="AL31" s="77">
        <v>27.813160410230044</v>
      </c>
      <c r="AM31" s="77">
        <v>25.6413792507484</v>
      </c>
      <c r="AN31" s="77">
        <v>27.783707841120592</v>
      </c>
      <c r="AO31" s="77">
        <v>27.217793273934745</v>
      </c>
      <c r="AP31" s="77">
        <v>20.45706307860149</v>
      </c>
      <c r="AQ31" s="77">
        <v>23.529963666085351</v>
      </c>
      <c r="AR31" s="77">
        <v>25.139866439484098</v>
      </c>
      <c r="AS31" s="77">
        <v>34.487971593576887</v>
      </c>
      <c r="AT31" s="77">
        <v>47.938420470403585</v>
      </c>
      <c r="AU31" s="77">
        <v>42.600408894130965</v>
      </c>
      <c r="AV31" s="77">
        <v>54.701635000022776</v>
      </c>
      <c r="AW31" s="77">
        <v>61.210847718420503</v>
      </c>
      <c r="AX31" s="77">
        <v>58.723966551997535</v>
      </c>
      <c r="AY31" s="77">
        <v>69.900472526673155</v>
      </c>
      <c r="AZ31" s="77">
        <v>64.229482741491722</v>
      </c>
      <c r="BA31" s="77">
        <v>69.872224772909519</v>
      </c>
      <c r="BB31" s="77">
        <v>61.210509597545872</v>
      </c>
      <c r="BC31" s="77">
        <v>68.802654216223431</v>
      </c>
      <c r="BD31" s="77">
        <v>65.283691646480392</v>
      </c>
      <c r="BE31" s="77">
        <v>64.511884973492755</v>
      </c>
      <c r="BF31" s="77">
        <v>45.10838720109922</v>
      </c>
      <c r="BG31" s="77">
        <v>50.878761740939446</v>
      </c>
      <c r="BH31" s="77">
        <v>50.763307481111731</v>
      </c>
      <c r="BI31" s="77">
        <v>51.9146091153073</v>
      </c>
      <c r="BJ31" s="77">
        <v>56.832852380757487</v>
      </c>
      <c r="BK31" s="77">
        <v>64.786263965160032</v>
      </c>
      <c r="BL31" s="77">
        <v>49.084135731340176</v>
      </c>
      <c r="BM31" s="77">
        <v>45.466031590075609</v>
      </c>
      <c r="BN31" s="77">
        <v>46.476711082960279</v>
      </c>
      <c r="BO31" s="77">
        <v>43.971354721318797</v>
      </c>
      <c r="BP31" s="77">
        <v>47.885843038388501</v>
      </c>
      <c r="BQ31" s="77">
        <v>59.802109496325834</v>
      </c>
      <c r="BR31" s="77">
        <v>62.674774067827101</v>
      </c>
      <c r="BS31" s="77">
        <v>71.074552790136252</v>
      </c>
      <c r="BT31" s="77">
        <v>43.396551761688563</v>
      </c>
      <c r="BU31" s="77">
        <v>64.611947035212197</v>
      </c>
      <c r="BV31" s="77">
        <v>52.351606372785348</v>
      </c>
      <c r="BW31" s="77">
        <v>73.444892441371906</v>
      </c>
      <c r="BX31" s="77">
        <v>48.226391486309105</v>
      </c>
      <c r="BY31" s="77">
        <v>67.768417371942832</v>
      </c>
      <c r="BZ31" s="77">
        <v>45.645730003138134</v>
      </c>
      <c r="CA31" s="77">
        <v>73.163227865112873</v>
      </c>
      <c r="CB31" s="77">
        <v>48.134456610039216</v>
      </c>
      <c r="CC31" s="77">
        <v>67.73128484983728</v>
      </c>
    </row>
    <row r="32" spans="1:81" s="35" customFormat="1" ht="23.1" customHeight="1" x14ac:dyDescent="0.2">
      <c r="A32" s="133" t="s">
        <v>17</v>
      </c>
      <c r="B32" s="76">
        <v>2623.873300800155</v>
      </c>
      <c r="C32" s="73">
        <v>2831.0108673275445</v>
      </c>
      <c r="D32" s="73">
        <v>3092.7399190672572</v>
      </c>
      <c r="E32" s="73">
        <v>2983.5372571787238</v>
      </c>
      <c r="F32" s="74">
        <v>2944.3707489841022</v>
      </c>
      <c r="G32" s="77"/>
      <c r="H32" s="134"/>
      <c r="I32" s="77"/>
      <c r="J32" s="77"/>
      <c r="K32" s="77">
        <v>457.69545482299401</v>
      </c>
      <c r="L32" s="77">
        <v>460.8884455578916</v>
      </c>
      <c r="M32" s="77">
        <v>512.77702462477805</v>
      </c>
      <c r="N32" s="77">
        <v>510.47177830453563</v>
      </c>
      <c r="O32" s="77">
        <v>508.60051047306246</v>
      </c>
      <c r="P32" s="77">
        <v>506.51862125681379</v>
      </c>
      <c r="Q32" s="77">
        <v>509.68048421000032</v>
      </c>
      <c r="R32" s="77">
        <v>510.42851247381321</v>
      </c>
      <c r="S32" s="77">
        <v>515.49509348520689</v>
      </c>
      <c r="T32" s="77">
        <v>519.16683036206166</v>
      </c>
      <c r="U32" s="77">
        <v>525.55224976418936</v>
      </c>
      <c r="V32" s="77">
        <v>534.31276662733001</v>
      </c>
      <c r="W32" s="77">
        <v>553.32492695099177</v>
      </c>
      <c r="X32" s="77">
        <v>558.58840067433846</v>
      </c>
      <c r="Y32" s="77">
        <v>563.5186575038739</v>
      </c>
      <c r="Z32" s="77">
        <v>579.29016865400774</v>
      </c>
      <c r="AA32" s="77">
        <v>579.14923239405471</v>
      </c>
      <c r="AB32" s="77">
        <v>585.74152766108807</v>
      </c>
      <c r="AC32" s="77">
        <v>593.87969335399021</v>
      </c>
      <c r="AD32" s="77">
        <v>611.66805588154944</v>
      </c>
      <c r="AE32" s="77">
        <v>622.87382399501212</v>
      </c>
      <c r="AF32" s="77">
        <v>655.4359986706271</v>
      </c>
      <c r="AG32" s="77">
        <v>684.09329013025513</v>
      </c>
      <c r="AH32" s="77">
        <v>661.47018800426065</v>
      </c>
      <c r="AI32" s="77">
        <v>685.36003878565748</v>
      </c>
      <c r="AJ32" s="77">
        <v>701.20612061746567</v>
      </c>
      <c r="AK32" s="77">
        <v>713.58759584003803</v>
      </c>
      <c r="AL32" s="77">
        <v>730.85711208438352</v>
      </c>
      <c r="AM32" s="77">
        <v>760.61334306777326</v>
      </c>
      <c r="AN32" s="77">
        <v>785.97100805535695</v>
      </c>
      <c r="AO32" s="77">
        <v>777.96072541295314</v>
      </c>
      <c r="AP32" s="77">
        <v>768.194842531174</v>
      </c>
      <c r="AQ32" s="77">
        <v>765.14872574255958</v>
      </c>
      <c r="AR32" s="77">
        <v>749.38331394234365</v>
      </c>
      <c r="AS32" s="77">
        <v>742.20571423866966</v>
      </c>
      <c r="AT32" s="77">
        <v>726.79950325515085</v>
      </c>
      <c r="AU32" s="77">
        <v>734.22014635956987</v>
      </c>
      <c r="AV32" s="77">
        <v>737.32273582074606</v>
      </c>
      <c r="AW32" s="77">
        <v>736.7168847191648</v>
      </c>
      <c r="AX32" s="77">
        <v>736.11098208462124</v>
      </c>
      <c r="AY32" s="77">
        <v>764.40279842052087</v>
      </c>
      <c r="AZ32" s="77">
        <v>772.90951024240826</v>
      </c>
      <c r="BA32" s="77">
        <v>771.16594814534722</v>
      </c>
      <c r="BB32" s="77">
        <v>774.19156040938299</v>
      </c>
      <c r="BC32" s="77">
        <v>783.52470217241046</v>
      </c>
      <c r="BD32" s="77">
        <v>784.52660584538989</v>
      </c>
      <c r="BE32" s="77">
        <v>778.27840433102313</v>
      </c>
      <c r="BF32" s="77">
        <v>780.26925451064483</v>
      </c>
      <c r="BG32" s="77">
        <v>790.90127146890438</v>
      </c>
      <c r="BH32" s="77">
        <v>800.97532528897239</v>
      </c>
      <c r="BI32" s="77">
        <v>807.25490328615865</v>
      </c>
      <c r="BJ32" s="77">
        <v>819.57875256557782</v>
      </c>
      <c r="BK32" s="77">
        <v>836.1540490276077</v>
      </c>
      <c r="BL32" s="77">
        <v>842.58559960805576</v>
      </c>
      <c r="BM32" s="77">
        <v>839.89139658274064</v>
      </c>
      <c r="BN32" s="77">
        <v>853.95522525482318</v>
      </c>
      <c r="BO32" s="77">
        <v>862.2564554852687</v>
      </c>
      <c r="BP32" s="77">
        <v>866.23763298585561</v>
      </c>
      <c r="BQ32" s="77">
        <v>861.085847260278</v>
      </c>
      <c r="BR32" s="77">
        <v>864.5437319583225</v>
      </c>
      <c r="BS32" s="77">
        <v>880.43574814374267</v>
      </c>
      <c r="BT32" s="77">
        <v>1009.3632394728503</v>
      </c>
      <c r="BU32" s="77">
        <v>882.2295878832731</v>
      </c>
      <c r="BV32" s="77">
        <v>773.10835223686536</v>
      </c>
      <c r="BW32" s="77">
        <v>893.7428843479654</v>
      </c>
      <c r="BX32" s="77">
        <v>897.84578057681904</v>
      </c>
      <c r="BY32" s="77">
        <v>883.90585782321898</v>
      </c>
      <c r="BZ32" s="77">
        <v>903.50210075848395</v>
      </c>
      <c r="CA32" s="77">
        <v>917.21411591444212</v>
      </c>
      <c r="CB32" s="77">
        <v>811.21898407732658</v>
      </c>
      <c r="CC32" s="77">
        <v>881.77630960118745</v>
      </c>
    </row>
    <row r="33" spans="1:81" s="35" customFormat="1" ht="23.1" customHeight="1" x14ac:dyDescent="0.2">
      <c r="A33" s="133" t="s">
        <v>59</v>
      </c>
      <c r="B33" s="76">
        <v>815.59131966983591</v>
      </c>
      <c r="C33" s="73">
        <v>838.56054539878824</v>
      </c>
      <c r="D33" s="73">
        <v>866.74265060919743</v>
      </c>
      <c r="E33" s="73">
        <v>891.35028039126769</v>
      </c>
      <c r="F33" s="74">
        <v>916.42165820221066</v>
      </c>
      <c r="G33" s="77"/>
      <c r="H33" s="134"/>
      <c r="I33" s="77"/>
      <c r="J33" s="77"/>
      <c r="K33" s="77">
        <v>176.80749646884175</v>
      </c>
      <c r="L33" s="77">
        <v>178.50890486079624</v>
      </c>
      <c r="M33" s="77">
        <v>180.3265850789181</v>
      </c>
      <c r="N33" s="77">
        <v>182.26459089173525</v>
      </c>
      <c r="O33" s="77">
        <v>184.36768305182167</v>
      </c>
      <c r="P33" s="77">
        <v>186.25156943652911</v>
      </c>
      <c r="Q33" s="77">
        <v>187.8655643376737</v>
      </c>
      <c r="R33" s="77">
        <v>189.1998256316167</v>
      </c>
      <c r="S33" s="77">
        <v>190.26807907231029</v>
      </c>
      <c r="T33" s="77">
        <v>191.28093669786671</v>
      </c>
      <c r="U33" s="77">
        <v>192.21200516313885</v>
      </c>
      <c r="V33" s="77">
        <v>193.05881805374597</v>
      </c>
      <c r="W33" s="77">
        <v>193.84542479375111</v>
      </c>
      <c r="X33" s="77">
        <v>194.68476218571072</v>
      </c>
      <c r="Y33" s="77">
        <v>195.55145800831815</v>
      </c>
      <c r="Z33" s="77">
        <v>196.44705889109301</v>
      </c>
      <c r="AA33" s="77">
        <v>197.39748770731433</v>
      </c>
      <c r="AB33" s="77">
        <v>198.4821743993879</v>
      </c>
      <c r="AC33" s="77">
        <v>199.68084716213357</v>
      </c>
      <c r="AD33" s="77">
        <v>200.99795167037345</v>
      </c>
      <c r="AE33" s="77">
        <v>202.46138639664957</v>
      </c>
      <c r="AF33" s="77">
        <v>204.89069605258925</v>
      </c>
      <c r="AG33" s="77">
        <v>208.29566341925278</v>
      </c>
      <c r="AH33" s="77">
        <v>199.94357380134429</v>
      </c>
      <c r="AI33" s="77">
        <v>204.71959890653727</v>
      </c>
      <c r="AJ33" s="77">
        <v>208.61336749644369</v>
      </c>
      <c r="AK33" s="77">
        <v>211.59238248926511</v>
      </c>
      <c r="AL33" s="77">
        <v>213.63519650654209</v>
      </c>
      <c r="AM33" s="77">
        <v>214.72065938755327</v>
      </c>
      <c r="AN33" s="77">
        <v>215.94090403403897</v>
      </c>
      <c r="AO33" s="77">
        <v>217.29332860958138</v>
      </c>
      <c r="AP33" s="77">
        <v>218.7877585780239</v>
      </c>
      <c r="AQ33" s="77">
        <v>220.43436866681935</v>
      </c>
      <c r="AR33" s="77">
        <v>222.05653279124749</v>
      </c>
      <c r="AS33" s="77">
        <v>223.64729847521164</v>
      </c>
      <c r="AT33" s="77">
        <v>225.21208045798932</v>
      </c>
      <c r="AU33" s="77">
        <v>226.75658413589358</v>
      </c>
      <c r="AV33" s="77">
        <v>228.31580229857758</v>
      </c>
      <c r="AW33" s="77">
        <v>229.88330853783248</v>
      </c>
      <c r="AX33" s="77">
        <v>231.46596322990712</v>
      </c>
      <c r="AY33" s="77">
        <v>233.07032736476614</v>
      </c>
      <c r="AZ33" s="77">
        <v>234.68168200785547</v>
      </c>
      <c r="BA33" s="77">
        <v>236.29336809831105</v>
      </c>
      <c r="BB33" s="77">
        <v>237.91140657109389</v>
      </c>
      <c r="BC33" s="77">
        <v>239.54242236449258</v>
      </c>
      <c r="BD33" s="77">
        <v>241.17510241856166</v>
      </c>
      <c r="BE33" s="77">
        <v>242.80325525168178</v>
      </c>
      <c r="BF33" s="77">
        <v>244.43246252166256</v>
      </c>
      <c r="BG33" s="77">
        <v>246.06920824298464</v>
      </c>
      <c r="BH33" s="77">
        <v>247.72054954159748</v>
      </c>
      <c r="BI33" s="77">
        <v>249.4439638699495</v>
      </c>
      <c r="BJ33" s="77">
        <v>251.18214279942876</v>
      </c>
      <c r="BK33" s="77">
        <v>252.87800957076306</v>
      </c>
      <c r="BL33" s="77">
        <v>254.57335244600054</v>
      </c>
      <c r="BM33" s="77">
        <v>256.32765210179963</v>
      </c>
      <c r="BN33" s="77">
        <v>258.08109321815465</v>
      </c>
      <c r="BO33" s="77">
        <v>259.77440560020614</v>
      </c>
      <c r="BP33" s="77">
        <v>261.48299115167907</v>
      </c>
      <c r="BQ33" s="77">
        <v>263.33539744018924</v>
      </c>
      <c r="BR33" s="77">
        <v>265.20368079525139</v>
      </c>
      <c r="BS33" s="77">
        <v>266.95972967669434</v>
      </c>
      <c r="BT33" s="77">
        <v>268.71539554273738</v>
      </c>
      <c r="BU33" s="77">
        <v>270.60322794450548</v>
      </c>
      <c r="BV33" s="77">
        <v>272.49077850242827</v>
      </c>
      <c r="BW33" s="77">
        <v>274.24576023581909</v>
      </c>
      <c r="BX33" s="77">
        <v>276.0133166785858</v>
      </c>
      <c r="BY33" s="77">
        <v>278.00070383759828</v>
      </c>
      <c r="BZ33" s="77">
        <v>280.00153957696159</v>
      </c>
      <c r="CA33" s="77">
        <v>281.80886195134991</v>
      </c>
      <c r="CB33" s="77">
        <v>281.80886195134997</v>
      </c>
      <c r="CC33" s="77">
        <v>285.65860194878218</v>
      </c>
    </row>
    <row r="34" spans="1:81" s="35" customFormat="1" ht="18" customHeight="1" x14ac:dyDescent="0.2">
      <c r="A34" s="134"/>
      <c r="B34" s="76"/>
      <c r="C34" s="73"/>
      <c r="D34" s="73"/>
      <c r="E34" s="73"/>
      <c r="F34" s="74"/>
      <c r="G34" s="77"/>
      <c r="H34" s="134"/>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255"/>
      <c r="BT34" s="255"/>
      <c r="BU34" s="255"/>
      <c r="BV34" s="255"/>
      <c r="BW34" s="255"/>
      <c r="BX34" s="255"/>
      <c r="BY34" s="255"/>
      <c r="BZ34" s="255"/>
      <c r="CA34" s="255"/>
      <c r="CB34" s="255"/>
      <c r="CC34" s="255"/>
    </row>
    <row r="35" spans="1:81" s="143" customFormat="1" ht="18" customHeight="1" x14ac:dyDescent="0.2">
      <c r="A35" s="164" t="s">
        <v>95</v>
      </c>
      <c r="B35" s="165"/>
      <c r="C35" s="166"/>
      <c r="D35" s="166"/>
      <c r="E35" s="166"/>
      <c r="F35" s="167"/>
      <c r="G35" s="169"/>
      <c r="H35" s="164"/>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row>
    <row r="36" spans="1:81" s="43" customFormat="1" ht="18" customHeight="1" thickBot="1" x14ac:dyDescent="0.25">
      <c r="A36" s="135" t="s">
        <v>19</v>
      </c>
      <c r="B36" s="136">
        <v>6129.6818668261158</v>
      </c>
      <c r="C36" s="137">
        <v>6735.3050053215193</v>
      </c>
      <c r="D36" s="137">
        <v>6880.3569759636757</v>
      </c>
      <c r="E36" s="137">
        <v>7630.6309599406968</v>
      </c>
      <c r="F36" s="138">
        <v>7968.0780442839077</v>
      </c>
      <c r="G36" s="137"/>
      <c r="H36" s="135"/>
      <c r="I36" s="137"/>
      <c r="J36" s="137"/>
      <c r="K36" s="137">
        <v>985.3276174617813</v>
      </c>
      <c r="L36" s="137">
        <v>912.22689277928021</v>
      </c>
      <c r="M36" s="137">
        <v>1245.262132090518</v>
      </c>
      <c r="N36" s="137">
        <v>1190.9755042460213</v>
      </c>
      <c r="O36" s="137">
        <v>1143.2165307492201</v>
      </c>
      <c r="P36" s="137">
        <v>1079.1279682561917</v>
      </c>
      <c r="Q36" s="137">
        <v>1079.2056091167333</v>
      </c>
      <c r="R36" s="137">
        <v>1088.8320071463916</v>
      </c>
      <c r="S36" s="137">
        <v>1154.2874352107033</v>
      </c>
      <c r="T36" s="137">
        <v>1241.8609616016572</v>
      </c>
      <c r="U36" s="137">
        <v>1294.1352315278336</v>
      </c>
      <c r="V36" s="137">
        <v>1223.044409969227</v>
      </c>
      <c r="W36" s="137">
        <v>1305.1010854060469</v>
      </c>
      <c r="X36" s="137">
        <v>1405.665606916343</v>
      </c>
      <c r="Y36" s="137">
        <v>1501.3812765709299</v>
      </c>
      <c r="Z36" s="137">
        <v>1454.828316913545</v>
      </c>
      <c r="AA36" s="137">
        <v>1407.7164362892952</v>
      </c>
      <c r="AB36" s="137">
        <v>1358.8226813780268</v>
      </c>
      <c r="AC36" s="137">
        <v>1447.835469988212</v>
      </c>
      <c r="AD36" s="137">
        <v>1489.885624598375</v>
      </c>
      <c r="AE36" s="137">
        <v>1458.2475284264383</v>
      </c>
      <c r="AF36" s="137">
        <v>1439.4375421219447</v>
      </c>
      <c r="AG36" s="137">
        <v>1636.0731846192825</v>
      </c>
      <c r="AH36" s="137">
        <v>1595.9236116584495</v>
      </c>
      <c r="AI36" s="137">
        <v>1560.7144424115506</v>
      </c>
      <c r="AJ36" s="137">
        <v>1655.6515348616813</v>
      </c>
      <c r="AK36" s="137">
        <v>1710.9485970359299</v>
      </c>
      <c r="AL36" s="137">
        <v>1807.9904310123572</v>
      </c>
      <c r="AM36" s="137">
        <v>1680.2457420275841</v>
      </c>
      <c r="AN36" s="137">
        <v>1737.9326897581709</v>
      </c>
      <c r="AO36" s="137">
        <v>1652.0566212255526</v>
      </c>
      <c r="AP36" s="137">
        <v>1810.1219229523681</v>
      </c>
      <c r="AQ36" s="137">
        <v>1858.426096894676</v>
      </c>
      <c r="AR36" s="137">
        <v>1817.852797092595</v>
      </c>
      <c r="AS36" s="137">
        <v>1948.6611001624249</v>
      </c>
      <c r="AT36" s="137">
        <v>2005.6909657910007</v>
      </c>
      <c r="AU36" s="137">
        <v>1991.2743846634435</v>
      </c>
      <c r="AV36" s="137">
        <v>2007.888654326028</v>
      </c>
      <c r="AW36" s="137">
        <v>1935.7402889909526</v>
      </c>
      <c r="AX36" s="137">
        <v>2033.1747163034834</v>
      </c>
      <c r="AY36" s="137">
        <v>1979.1119341285128</v>
      </c>
      <c r="AZ36" s="137">
        <v>2073.2514194712935</v>
      </c>
      <c r="BA36" s="137">
        <v>2129.3770271609219</v>
      </c>
      <c r="BB36" s="137">
        <v>2135.73786759631</v>
      </c>
      <c r="BC36" s="137">
        <v>2197.3365497111954</v>
      </c>
      <c r="BD36" s="137">
        <v>2270.952404604016</v>
      </c>
      <c r="BE36" s="137">
        <v>2114.9878040533677</v>
      </c>
      <c r="BF36" s="137">
        <v>1601.8520642253891</v>
      </c>
      <c r="BG36" s="137">
        <v>2123.543668529685</v>
      </c>
      <c r="BH36" s="137">
        <v>2166.7042631913482</v>
      </c>
      <c r="BI36" s="137">
        <v>2039.8093309693538</v>
      </c>
      <c r="BJ36" s="137">
        <v>2366.5979555492459</v>
      </c>
      <c r="BK36" s="137">
        <v>2087.3236969894551</v>
      </c>
      <c r="BL36" s="137">
        <v>2349.869098925451</v>
      </c>
      <c r="BM36" s="137">
        <v>2484.8950450599659</v>
      </c>
      <c r="BN36" s="137">
        <v>2428.7012046827754</v>
      </c>
      <c r="BO36" s="137">
        <v>2459.0040764939167</v>
      </c>
      <c r="BP36" s="137">
        <v>2470.6616724029691</v>
      </c>
      <c r="BQ36" s="137">
        <v>2587.0261039666907</v>
      </c>
      <c r="BR36" s="137">
        <v>2698.9014571948919</v>
      </c>
      <c r="BS36" s="137">
        <v>2801.1416009942659</v>
      </c>
      <c r="BT36" s="137">
        <v>2642.3794196940421</v>
      </c>
      <c r="BU36" s="137">
        <v>2764.0557850044793</v>
      </c>
      <c r="BV36" s="137">
        <v>2801.4262169166136</v>
      </c>
      <c r="BW36" s="137">
        <v>3096.8575290462354</v>
      </c>
      <c r="BX36" s="137">
        <v>2889.5254690216975</v>
      </c>
      <c r="BY36" s="137">
        <v>2914.9593931039526</v>
      </c>
      <c r="BZ36" s="137">
        <v>3024.8849045407346</v>
      </c>
      <c r="CA36" s="137">
        <v>3200.5563556495504</v>
      </c>
      <c r="CB36" s="137">
        <v>3095.8858341742171</v>
      </c>
      <c r="CC36" s="137">
        <v>3326.2403811841027</v>
      </c>
    </row>
    <row r="37" spans="1:81" ht="15" customHeight="1" x14ac:dyDescent="0.2">
      <c r="A37" s="13" t="s">
        <v>50</v>
      </c>
      <c r="B37" s="13"/>
      <c r="C37" s="13"/>
      <c r="D37" s="13"/>
      <c r="E37" s="13"/>
      <c r="F37" s="13"/>
      <c r="G37" s="13"/>
      <c r="H37" s="13"/>
      <c r="I37" s="85"/>
      <c r="BG37" s="139"/>
      <c r="BH37" s="139"/>
      <c r="BI37" s="139"/>
      <c r="BJ37" s="139"/>
      <c r="BK37" s="139"/>
      <c r="BL37" s="139"/>
      <c r="BM37" s="139"/>
      <c r="BN37" s="139"/>
      <c r="BO37" s="139"/>
      <c r="BP37" s="139"/>
    </row>
  </sheetData>
  <mergeCells count="17">
    <mergeCell ref="AY3:BB3"/>
    <mergeCell ref="BS3:BV3"/>
    <mergeCell ref="CA3:CC3"/>
    <mergeCell ref="BW3:BZ3"/>
    <mergeCell ref="BO3:BR3"/>
    <mergeCell ref="I3:J3"/>
    <mergeCell ref="K3:N3"/>
    <mergeCell ref="O3:R3"/>
    <mergeCell ref="S3:V3"/>
    <mergeCell ref="W3:Z3"/>
    <mergeCell ref="AU3:AX3"/>
    <mergeCell ref="BK3:BN3"/>
    <mergeCell ref="AC3:AD3"/>
    <mergeCell ref="AM3:AP3"/>
    <mergeCell ref="AQ3:AT3"/>
    <mergeCell ref="BG3:BI3"/>
    <mergeCell ref="BC3:BF3"/>
  </mergeCells>
  <phoneticPr fontId="31" type="noConversion"/>
  <pageMargins left="0.11811023622047245" right="0" top="0.51181102362204722" bottom="0" header="0" footer="0"/>
  <pageSetup paperSize="9" scale="3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fitToPage="1"/>
  </sheetPr>
  <dimension ref="A1:CB38"/>
  <sheetViews>
    <sheetView showGridLines="0" view="pageBreakPreview" zoomScale="110" zoomScaleNormal="100" zoomScaleSheetLayoutView="110" workbookViewId="0">
      <pane xSplit="18" ySplit="4" topLeftCell="AT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6.28515625" style="35" customWidth="1"/>
    <col min="2" max="2" width="6.42578125" style="35" hidden="1" customWidth="1"/>
    <col min="3" max="3" width="7.5703125" style="35" hidden="1" customWidth="1"/>
    <col min="4" max="4" width="6.42578125" style="35" hidden="1" customWidth="1"/>
    <col min="5" max="5" width="7.140625" style="35" hidden="1" customWidth="1"/>
    <col min="6" max="6" width="2.85546875" style="35" hidden="1" customWidth="1"/>
    <col min="7" max="7" width="4.5703125" style="35" hidden="1" customWidth="1"/>
    <col min="8" max="11" width="5.7109375" style="35" hidden="1" customWidth="1"/>
    <col min="12" max="12" width="2" style="35" hidden="1" customWidth="1"/>
    <col min="13" max="14" width="5.7109375" style="35" hidden="1" customWidth="1"/>
    <col min="15" max="15" width="4.5703125" style="35" hidden="1" customWidth="1"/>
    <col min="16" max="17" width="5.7109375" style="35" hidden="1" customWidth="1"/>
    <col min="18" max="18" width="6.5703125" style="35" hidden="1" customWidth="1"/>
    <col min="19" max="35" width="6.7109375" style="35" hidden="1" customWidth="1"/>
    <col min="36" max="37" width="6.7109375" style="35" customWidth="1"/>
    <col min="38" max="38" width="7.140625" style="35" customWidth="1"/>
    <col min="39" max="39" width="6.7109375" style="35" customWidth="1"/>
    <col min="40" max="40" width="6.42578125" style="35" customWidth="1"/>
    <col min="41" max="41" width="6.7109375" style="35" customWidth="1"/>
    <col min="42" max="42" width="7.140625" style="35" customWidth="1"/>
    <col min="43" max="43" width="5.42578125" style="35" customWidth="1"/>
    <col min="44" max="44" width="6.140625" style="35" customWidth="1"/>
    <col min="45" max="45" width="5.5703125" style="35" customWidth="1"/>
    <col min="46" max="47" width="6.140625" style="35" customWidth="1"/>
    <col min="48" max="48" width="6.140625" style="126" customWidth="1"/>
    <col min="49" max="49" width="6" style="126" customWidth="1"/>
    <col min="50" max="51" width="6.42578125" style="126" customWidth="1"/>
    <col min="52" max="52" width="6.5703125" style="126" customWidth="1"/>
    <col min="53" max="53" width="6.5703125" style="35" customWidth="1"/>
    <col min="54" max="54" width="6.42578125" style="126" customWidth="1"/>
    <col min="55" max="55" width="6.140625" style="126" customWidth="1"/>
    <col min="56" max="56" width="6.28515625" style="35" customWidth="1"/>
    <col min="57" max="57" width="6.5703125" style="35" customWidth="1"/>
    <col min="58" max="58" width="6.140625" style="35" customWidth="1"/>
    <col min="59" max="59" width="5.5703125" style="35" customWidth="1"/>
    <col min="60" max="60" width="5.85546875" style="35" customWidth="1"/>
    <col min="61" max="61" width="7.140625" style="35" customWidth="1"/>
    <col min="62" max="62" width="6.7109375" style="35" customWidth="1"/>
    <col min="63" max="65" width="6" style="35" customWidth="1"/>
    <col min="66" max="67" width="6.28515625" style="35" customWidth="1"/>
    <col min="68" max="68" width="5.7109375" style="35" customWidth="1"/>
    <col min="69" max="69" width="5.28515625" style="35" customWidth="1"/>
    <col min="70" max="70" width="6.140625" style="35" customWidth="1"/>
    <col min="71" max="71" width="5.7109375" style="35" customWidth="1"/>
    <col min="72" max="72" width="5.28515625" style="35" customWidth="1"/>
    <col min="73" max="73" width="5" style="35" customWidth="1"/>
    <col min="74" max="75" width="4.5703125" style="35" bestFit="1" customWidth="1"/>
    <col min="76" max="76" width="5.5703125" style="35" customWidth="1"/>
    <col min="77" max="77" width="4.7109375" style="35" customWidth="1"/>
    <col min="78" max="80" width="5.85546875" style="35" customWidth="1"/>
    <col min="81" max="16384" width="9.140625" style="35"/>
  </cols>
  <sheetData>
    <row r="1" spans="1:80" s="94" customFormat="1" ht="15.75" customHeight="1" x14ac:dyDescent="0.2">
      <c r="A1" s="31" t="s">
        <v>179</v>
      </c>
      <c r="AP1" s="31"/>
      <c r="AV1" s="125"/>
      <c r="AW1" s="125"/>
      <c r="AX1" s="125"/>
      <c r="AY1" s="125"/>
      <c r="AZ1" s="125"/>
      <c r="BB1" s="125"/>
      <c r="BC1" s="125"/>
    </row>
    <row r="2" spans="1:80" ht="2.25" customHeight="1" thickBot="1" x14ac:dyDescent="0.25">
      <c r="H2" s="35" t="s">
        <v>20</v>
      </c>
      <c r="I2" s="35" t="s">
        <v>21</v>
      </c>
      <c r="J2" s="35" t="s">
        <v>22</v>
      </c>
      <c r="K2" s="35" t="s">
        <v>23</v>
      </c>
      <c r="L2" s="35" t="s">
        <v>24</v>
      </c>
      <c r="M2" s="35" t="s">
        <v>25</v>
      </c>
      <c r="N2" s="35" t="s">
        <v>26</v>
      </c>
      <c r="O2" s="35" t="s">
        <v>27</v>
      </c>
      <c r="P2" s="35" t="s">
        <v>28</v>
      </c>
      <c r="Q2" s="35" t="s">
        <v>29</v>
      </c>
      <c r="R2" s="35" t="s">
        <v>30</v>
      </c>
      <c r="S2" s="35" t="s">
        <v>31</v>
      </c>
      <c r="T2" s="35" t="s">
        <v>32</v>
      </c>
      <c r="U2" s="35" t="s">
        <v>33</v>
      </c>
      <c r="V2" s="35" t="s">
        <v>34</v>
      </c>
      <c r="W2" s="35" t="s">
        <v>35</v>
      </c>
      <c r="X2" s="35" t="s">
        <v>36</v>
      </c>
      <c r="Y2" s="35" t="s">
        <v>37</v>
      </c>
      <c r="Z2" s="35" t="s">
        <v>38</v>
      </c>
      <c r="AA2" s="35" t="s">
        <v>39</v>
      </c>
      <c r="AB2" s="35" t="s">
        <v>40</v>
      </c>
      <c r="AC2" s="35" t="s">
        <v>41</v>
      </c>
      <c r="AD2" s="35" t="s">
        <v>42</v>
      </c>
      <c r="AE2" s="35" t="s">
        <v>43</v>
      </c>
      <c r="AF2" s="35" t="s">
        <v>44</v>
      </c>
      <c r="AG2" s="35" t="s">
        <v>45</v>
      </c>
      <c r="AH2" s="35" t="s">
        <v>51</v>
      </c>
      <c r="AI2" s="35" t="s">
        <v>73</v>
      </c>
      <c r="AJ2" s="35" t="s">
        <v>74</v>
      </c>
      <c r="AK2" s="35" t="s">
        <v>75</v>
      </c>
      <c r="AL2" s="35" t="s">
        <v>78</v>
      </c>
    </row>
    <row r="3" spans="1:80" s="86" customFormat="1" ht="12" customHeight="1" x14ac:dyDescent="0.2">
      <c r="A3" s="140"/>
      <c r="B3" s="140"/>
      <c r="C3" s="140"/>
      <c r="D3" s="140"/>
      <c r="E3" s="140"/>
      <c r="F3" s="140"/>
      <c r="G3" s="140"/>
      <c r="H3" s="264" t="s">
        <v>67</v>
      </c>
      <c r="I3" s="264"/>
      <c r="J3" s="264" t="s">
        <v>66</v>
      </c>
      <c r="K3" s="264"/>
      <c r="L3" s="264"/>
      <c r="M3" s="264"/>
      <c r="N3" s="264" t="s">
        <v>60</v>
      </c>
      <c r="O3" s="264"/>
      <c r="P3" s="264"/>
      <c r="Q3" s="264"/>
      <c r="R3" s="264" t="s">
        <v>61</v>
      </c>
      <c r="S3" s="264"/>
      <c r="T3" s="264"/>
      <c r="U3" s="264"/>
      <c r="V3" s="264" t="s">
        <v>62</v>
      </c>
      <c r="W3" s="264"/>
      <c r="X3" s="264"/>
      <c r="Y3" s="264"/>
      <c r="Z3" s="140" t="s">
        <v>63</v>
      </c>
      <c r="AA3" s="140"/>
      <c r="AB3" s="140" t="s">
        <v>63</v>
      </c>
      <c r="AC3" s="140"/>
      <c r="AD3" s="140" t="s">
        <v>64</v>
      </c>
      <c r="AE3" s="140" t="s">
        <v>64</v>
      </c>
      <c r="AF3" s="140"/>
      <c r="AG3" s="140" t="s">
        <v>64</v>
      </c>
      <c r="AH3" s="140" t="s">
        <v>65</v>
      </c>
      <c r="AI3" s="140" t="s">
        <v>65</v>
      </c>
      <c r="AJ3" s="140"/>
      <c r="AK3" s="140"/>
      <c r="AL3" s="264" t="s">
        <v>77</v>
      </c>
      <c r="AM3" s="264"/>
      <c r="AN3" s="264"/>
      <c r="AO3" s="264"/>
      <c r="AP3" s="264" t="s">
        <v>80</v>
      </c>
      <c r="AQ3" s="264"/>
      <c r="AR3" s="264"/>
      <c r="AS3" s="264"/>
      <c r="AT3" s="264" t="s">
        <v>92</v>
      </c>
      <c r="AU3" s="264"/>
      <c r="AV3" s="264"/>
      <c r="AW3" s="264"/>
      <c r="AX3" s="264" t="s">
        <v>134</v>
      </c>
      <c r="AY3" s="264"/>
      <c r="AZ3" s="264"/>
      <c r="BA3" s="264"/>
      <c r="BB3" s="264" t="s">
        <v>136</v>
      </c>
      <c r="BC3" s="264"/>
      <c r="BD3" s="264"/>
      <c r="BE3" s="264"/>
      <c r="BF3" s="264" t="s">
        <v>137</v>
      </c>
      <c r="BG3" s="264"/>
      <c r="BH3" s="264"/>
      <c r="BI3" s="264"/>
      <c r="BJ3" s="260" t="s">
        <v>138</v>
      </c>
      <c r="BK3" s="260"/>
      <c r="BL3" s="260"/>
      <c r="BM3" s="260"/>
      <c r="BN3" s="260" t="s">
        <v>139</v>
      </c>
      <c r="BO3" s="260"/>
      <c r="BP3" s="260"/>
      <c r="BQ3" s="260"/>
      <c r="BR3" s="260" t="s">
        <v>140</v>
      </c>
      <c r="BS3" s="260"/>
      <c r="BT3" s="260"/>
      <c r="BU3" s="260"/>
      <c r="BV3" s="260" t="s">
        <v>174</v>
      </c>
      <c r="BW3" s="260"/>
      <c r="BX3" s="260"/>
      <c r="BY3" s="260"/>
      <c r="BZ3" s="260" t="s">
        <v>175</v>
      </c>
      <c r="CA3" s="260"/>
      <c r="CB3" s="260"/>
    </row>
    <row r="4" spans="1:80" s="143" customFormat="1" x14ac:dyDescent="0.2">
      <c r="A4" s="88"/>
      <c r="B4" s="158" t="s">
        <v>65</v>
      </c>
      <c r="C4" s="158" t="s">
        <v>77</v>
      </c>
      <c r="D4" s="158" t="s">
        <v>80</v>
      </c>
      <c r="E4" s="158" t="s">
        <v>92</v>
      </c>
      <c r="F4" s="158"/>
      <c r="G4" s="88"/>
      <c r="H4" s="89" t="s">
        <v>48</v>
      </c>
      <c r="I4" s="89" t="s">
        <v>49</v>
      </c>
      <c r="J4" s="89" t="s">
        <v>46</v>
      </c>
      <c r="K4" s="89" t="s">
        <v>47</v>
      </c>
      <c r="L4" s="89" t="s">
        <v>48</v>
      </c>
      <c r="M4" s="89" t="s">
        <v>49</v>
      </c>
      <c r="N4" s="89" t="s">
        <v>46</v>
      </c>
      <c r="O4" s="89" t="s">
        <v>47</v>
      </c>
      <c r="P4" s="89" t="s">
        <v>48</v>
      </c>
      <c r="Q4" s="89" t="s">
        <v>49</v>
      </c>
      <c r="R4" s="89" t="s">
        <v>46</v>
      </c>
      <c r="S4" s="89" t="s">
        <v>47</v>
      </c>
      <c r="T4" s="89" t="s">
        <v>48</v>
      </c>
      <c r="U4" s="89" t="s">
        <v>49</v>
      </c>
      <c r="V4" s="89" t="s">
        <v>46</v>
      </c>
      <c r="W4" s="89" t="s">
        <v>47</v>
      </c>
      <c r="X4" s="89" t="s">
        <v>48</v>
      </c>
      <c r="Y4" s="89" t="s">
        <v>49</v>
      </c>
      <c r="Z4" s="89" t="s">
        <v>46</v>
      </c>
      <c r="AA4" s="89" t="s">
        <v>47</v>
      </c>
      <c r="AB4" s="89" t="s">
        <v>48</v>
      </c>
      <c r="AC4" s="89" t="s">
        <v>49</v>
      </c>
      <c r="AD4" s="89" t="s">
        <v>46</v>
      </c>
      <c r="AE4" s="89" t="s">
        <v>47</v>
      </c>
      <c r="AF4" s="89" t="s">
        <v>48</v>
      </c>
      <c r="AG4" s="89" t="s">
        <v>49</v>
      </c>
      <c r="AH4" s="89" t="s">
        <v>46</v>
      </c>
      <c r="AI4" s="89" t="s">
        <v>47</v>
      </c>
      <c r="AJ4" s="89" t="s">
        <v>48</v>
      </c>
      <c r="AK4" s="89" t="s">
        <v>49</v>
      </c>
      <c r="AL4" s="89" t="s">
        <v>46</v>
      </c>
      <c r="AM4" s="89" t="s">
        <v>47</v>
      </c>
      <c r="AN4" s="89" t="s">
        <v>48</v>
      </c>
      <c r="AO4" s="89" t="s">
        <v>49</v>
      </c>
      <c r="AP4" s="89" t="s">
        <v>46</v>
      </c>
      <c r="AQ4" s="89" t="s">
        <v>47</v>
      </c>
      <c r="AR4" s="89" t="s">
        <v>48</v>
      </c>
      <c r="AS4" s="89" t="s">
        <v>49</v>
      </c>
      <c r="AT4" s="89" t="s">
        <v>46</v>
      </c>
      <c r="AU4" s="89" t="s">
        <v>47</v>
      </c>
      <c r="AV4" s="89" t="s">
        <v>48</v>
      </c>
      <c r="AW4" s="89" t="s">
        <v>49</v>
      </c>
      <c r="AX4" s="89" t="s">
        <v>46</v>
      </c>
      <c r="AY4" s="89" t="s">
        <v>47</v>
      </c>
      <c r="AZ4" s="89" t="s">
        <v>48</v>
      </c>
      <c r="BA4" s="89" t="s">
        <v>49</v>
      </c>
      <c r="BB4" s="89" t="s">
        <v>46</v>
      </c>
      <c r="BC4" s="89" t="s">
        <v>47</v>
      </c>
      <c r="BD4" s="89" t="s">
        <v>48</v>
      </c>
      <c r="BE4" s="89" t="s">
        <v>49</v>
      </c>
      <c r="BF4" s="89" t="s">
        <v>46</v>
      </c>
      <c r="BG4" s="89" t="s">
        <v>47</v>
      </c>
      <c r="BH4" s="89" t="s">
        <v>48</v>
      </c>
      <c r="BI4" s="89" t="s">
        <v>49</v>
      </c>
      <c r="BJ4" s="89" t="s">
        <v>46</v>
      </c>
      <c r="BK4" s="89" t="s">
        <v>47</v>
      </c>
      <c r="BL4" s="89" t="s">
        <v>48</v>
      </c>
      <c r="BM4" s="89" t="s">
        <v>49</v>
      </c>
      <c r="BN4" s="89" t="s">
        <v>46</v>
      </c>
      <c r="BO4" s="89" t="s">
        <v>47</v>
      </c>
      <c r="BP4" s="89" t="s">
        <v>48</v>
      </c>
      <c r="BQ4" s="89" t="s">
        <v>49</v>
      </c>
      <c r="BR4" s="89" t="s">
        <v>46</v>
      </c>
      <c r="BS4" s="89" t="s">
        <v>47</v>
      </c>
      <c r="BT4" s="89" t="s">
        <v>48</v>
      </c>
      <c r="BU4" s="89" t="s">
        <v>49</v>
      </c>
      <c r="BV4" s="89" t="s">
        <v>46</v>
      </c>
      <c r="BW4" s="89" t="s">
        <v>47</v>
      </c>
      <c r="BX4" s="89" t="s">
        <v>48</v>
      </c>
      <c r="BY4" s="89" t="s">
        <v>49</v>
      </c>
      <c r="BZ4" s="89" t="s">
        <v>46</v>
      </c>
      <c r="CA4" s="89" t="s">
        <v>47</v>
      </c>
      <c r="CB4" s="89" t="s">
        <v>48</v>
      </c>
    </row>
    <row r="5" spans="1:80" s="37" customFormat="1" ht="18" customHeight="1" x14ac:dyDescent="0.2">
      <c r="A5" s="39" t="s">
        <v>97</v>
      </c>
      <c r="B5" s="39">
        <v>5.9528576831111346</v>
      </c>
      <c r="C5" s="39">
        <v>3.7978325787297651</v>
      </c>
      <c r="D5" s="39">
        <v>3.1314055178335076</v>
      </c>
      <c r="E5" s="39">
        <v>6.3039237809342952</v>
      </c>
      <c r="F5" s="39"/>
      <c r="G5" s="39"/>
      <c r="H5" s="79"/>
      <c r="I5" s="79"/>
      <c r="J5" s="79"/>
      <c r="K5" s="79"/>
      <c r="L5" s="112" t="e">
        <v>#DIV/0!</v>
      </c>
      <c r="M5" s="112" t="e">
        <v>#DIV/0!</v>
      </c>
      <c r="N5" s="112">
        <v>33.694929708294019</v>
      </c>
      <c r="O5" s="112">
        <v>37.300781524703751</v>
      </c>
      <c r="P5" s="112">
        <v>39.835104723247071</v>
      </c>
      <c r="Q5" s="112">
        <v>29.362127537579831</v>
      </c>
      <c r="R5" s="112">
        <v>10.03204887930853</v>
      </c>
      <c r="S5" s="112">
        <v>12.20480840977527</v>
      </c>
      <c r="T5" s="112">
        <v>8.3208874213960939</v>
      </c>
      <c r="U5" s="112">
        <v>2.4481829074536998</v>
      </c>
      <c r="V5" s="112">
        <v>5.7877391469174588</v>
      </c>
      <c r="W5" s="112">
        <v>0.11611492077976404</v>
      </c>
      <c r="X5" s="112">
        <v>0.97514864758223574</v>
      </c>
      <c r="Y5" s="112">
        <v>5.020557061647879</v>
      </c>
      <c r="Z5" s="112">
        <v>6.2035338556287956</v>
      </c>
      <c r="AA5" s="112">
        <v>3.5505872921750559</v>
      </c>
      <c r="AB5" s="112">
        <v>0.73064935824114219</v>
      </c>
      <c r="AC5" s="112">
        <v>-2.1878459515492499</v>
      </c>
      <c r="AD5" s="112">
        <v>-1.9837357888608964</v>
      </c>
      <c r="AE5" s="112">
        <v>0.96905630584316338</v>
      </c>
      <c r="AF5" s="112">
        <v>6.4647827890720322</v>
      </c>
      <c r="AG5" s="112">
        <v>13.298456864077846</v>
      </c>
      <c r="AH5" s="112">
        <v>3.3627427496231821</v>
      </c>
      <c r="AI5" s="112">
        <v>11.293962578132998</v>
      </c>
      <c r="AJ5" s="112">
        <v>5.9073900136717761</v>
      </c>
      <c r="AK5" s="112">
        <v>3.8147372798502666</v>
      </c>
      <c r="AL5" s="112">
        <v>8.5308298238007119</v>
      </c>
      <c r="AM5" s="112">
        <v>5.9182597000868364</v>
      </c>
      <c r="AN5" s="112">
        <v>0.91298889703823605</v>
      </c>
      <c r="AO5" s="112">
        <v>-0.40561579563010985</v>
      </c>
      <c r="AP5" s="112">
        <v>-0.26122599349414077</v>
      </c>
      <c r="AQ5" s="112">
        <v>0.50756396361286704</v>
      </c>
      <c r="AR5" s="112">
        <v>6.7464548438344707</v>
      </c>
      <c r="AS5" s="112">
        <v>6.1811726662669653</v>
      </c>
      <c r="AT5" s="112">
        <v>7.680899838187849</v>
      </c>
      <c r="AU5" s="112">
        <v>6.4828574170991526</v>
      </c>
      <c r="AV5" s="112">
        <v>5.3854548516732992</v>
      </c>
      <c r="AW5" s="112">
        <v>5.5652552026089541</v>
      </c>
      <c r="AX5" s="112">
        <v>5.5745218290362164</v>
      </c>
      <c r="AY5" s="112">
        <v>5.7290793971742193</v>
      </c>
      <c r="AZ5" s="112">
        <v>7.6659988765000353</v>
      </c>
      <c r="BA5" s="112">
        <v>6.8851035225670376</v>
      </c>
      <c r="BB5" s="112">
        <v>7.5602194202029516</v>
      </c>
      <c r="BC5" s="112">
        <v>8.3709675178608389</v>
      </c>
      <c r="BD5" s="112">
        <v>1.1985158163788201</v>
      </c>
      <c r="BE5" s="112">
        <v>-5.5516964673997364</v>
      </c>
      <c r="BF5" s="112">
        <v>-0.40309239402191999</v>
      </c>
      <c r="BG5" s="112">
        <v>3.249573690178309E-2</v>
      </c>
      <c r="BH5" s="112">
        <v>2.8043450225728961</v>
      </c>
      <c r="BI5" s="112">
        <v>13.009860656729334</v>
      </c>
      <c r="BJ5" s="112">
        <v>2.3547240160596283</v>
      </c>
      <c r="BK5" s="112">
        <v>4.7648514346921855</v>
      </c>
      <c r="BL5" s="112">
        <v>5.6227188954377949</v>
      </c>
      <c r="BM5" s="112">
        <v>5.8119710085462239</v>
      </c>
      <c r="BN5" s="112">
        <v>8.7705981453641826</v>
      </c>
      <c r="BO5" s="112">
        <v>4.3131379207032028</v>
      </c>
      <c r="BP5" s="112">
        <v>2.2299522773682856</v>
      </c>
      <c r="BQ5" s="112">
        <v>5.747511173271791</v>
      </c>
      <c r="BR5" s="112">
        <v>5.9910475756172588</v>
      </c>
      <c r="BS5" s="112">
        <v>5.7824205334947809</v>
      </c>
      <c r="BT5" s="112">
        <v>6.8245767569395266</v>
      </c>
      <c r="BU5" s="112">
        <v>5.6851103803429615</v>
      </c>
      <c r="BV5" s="112">
        <v>6.17940640370509</v>
      </c>
      <c r="BW5" s="112">
        <v>5.3634777034342385</v>
      </c>
      <c r="BX5" s="112">
        <v>8.3943389671000901</v>
      </c>
      <c r="BY5" s="112">
        <v>5.5263248039615354</v>
      </c>
      <c r="BZ5" s="112">
        <v>4.8457918953031198</v>
      </c>
      <c r="CA5" s="112">
        <v>8.4581777204844943</v>
      </c>
      <c r="CB5" s="112">
        <v>5.7897132531484985</v>
      </c>
    </row>
    <row r="6" spans="1:80" s="141" customFormat="1" ht="17.100000000000001" customHeight="1" x14ac:dyDescent="0.2">
      <c r="A6" s="160" t="s">
        <v>96</v>
      </c>
      <c r="B6" s="160">
        <v>2.3044043809026249</v>
      </c>
      <c r="C6" s="160">
        <v>2.9161633324926051</v>
      </c>
      <c r="D6" s="160">
        <v>2.7580747895113777</v>
      </c>
      <c r="E6" s="160">
        <v>4.3891829038134489</v>
      </c>
      <c r="F6" s="160"/>
      <c r="G6" s="160"/>
      <c r="H6" s="161"/>
      <c r="I6" s="161"/>
      <c r="J6" s="161"/>
      <c r="K6" s="161"/>
      <c r="L6" s="170" t="e">
        <v>#DIV/0!</v>
      </c>
      <c r="M6" s="170" t="e">
        <v>#DIV/0!</v>
      </c>
      <c r="N6" s="170">
        <v>5.6521111114979483</v>
      </c>
      <c r="O6" s="170">
        <v>3.9533584986890746</v>
      </c>
      <c r="P6" s="170">
        <v>0.61201628455229695</v>
      </c>
      <c r="Q6" s="170">
        <v>-0.62103308271921343</v>
      </c>
      <c r="R6" s="170">
        <v>1.922483461102753</v>
      </c>
      <c r="S6" s="170">
        <v>3.5056408823903151</v>
      </c>
      <c r="T6" s="170">
        <v>7.1660324110820461</v>
      </c>
      <c r="U6" s="170">
        <v>-0.37990966401726389</v>
      </c>
      <c r="V6" s="170">
        <v>12.329685295171288</v>
      </c>
      <c r="W6" s="170">
        <v>0.4330401686444052</v>
      </c>
      <c r="X6" s="170">
        <v>-7.5044619650459055</v>
      </c>
      <c r="Y6" s="170">
        <v>-7.1547783340005449</v>
      </c>
      <c r="Z6" s="170">
        <v>5.1076898341913646</v>
      </c>
      <c r="AA6" s="170">
        <v>9.1311944395600086E-2</v>
      </c>
      <c r="AB6" s="170">
        <v>4.3020087545825758</v>
      </c>
      <c r="AC6" s="170">
        <v>-5.7643712789483992</v>
      </c>
      <c r="AD6" s="170">
        <v>0.32538327862132732</v>
      </c>
      <c r="AE6" s="170">
        <v>0.80906880869200393</v>
      </c>
      <c r="AF6" s="170">
        <v>-0.75165447372584904</v>
      </c>
      <c r="AG6" s="170">
        <v>11.844991330471499</v>
      </c>
      <c r="AH6" s="170">
        <v>-6.1756125565859517</v>
      </c>
      <c r="AI6" s="170">
        <v>10.279644980136204</v>
      </c>
      <c r="AJ6" s="170">
        <v>5.780404087219182</v>
      </c>
      <c r="AK6" s="170">
        <v>4.5476781731429883</v>
      </c>
      <c r="AL6" s="170">
        <v>1.68894035225855</v>
      </c>
      <c r="AM6" s="170">
        <v>0.5599138421551908</v>
      </c>
      <c r="AN6" s="170">
        <v>9.7631777133948994</v>
      </c>
      <c r="AO6" s="170">
        <v>1.1821019183489323</v>
      </c>
      <c r="AP6" s="170">
        <v>1.1733408264864575</v>
      </c>
      <c r="AQ6" s="171">
        <v>3.2296506496494182</v>
      </c>
      <c r="AR6" s="170">
        <v>1.0636812340840684</v>
      </c>
      <c r="AS6" s="170">
        <v>6.0861995034416916</v>
      </c>
      <c r="AT6" s="170">
        <v>9.6271373131021853</v>
      </c>
      <c r="AU6" s="170">
        <v>1.4567401018605208</v>
      </c>
      <c r="AV6" s="170">
        <v>2.5331515047964492</v>
      </c>
      <c r="AW6" s="170">
        <v>2.0288347464102685</v>
      </c>
      <c r="AX6" s="170">
        <v>2.1728309573495252</v>
      </c>
      <c r="AY6" s="170">
        <v>4.0142916889432279</v>
      </c>
      <c r="AZ6" s="170">
        <v>8.0105649820064073</v>
      </c>
      <c r="BA6" s="170">
        <v>8.7388102072792009</v>
      </c>
      <c r="BB6" s="170">
        <v>6.0482714418092609</v>
      </c>
      <c r="BC6" s="170">
        <v>7.6423041058843788</v>
      </c>
      <c r="BD6" s="170">
        <v>-1.293855933966559</v>
      </c>
      <c r="BE6" s="170">
        <v>5.8976314563911281</v>
      </c>
      <c r="BF6" s="170">
        <v>6.9495695961573345</v>
      </c>
      <c r="BG6" s="170">
        <v>7.762298433045256</v>
      </c>
      <c r="BH6" s="170">
        <v>0.27724211074007243</v>
      </c>
      <c r="BI6" s="170">
        <v>0.72534794552308046</v>
      </c>
      <c r="BJ6" s="170">
        <v>4.3827359686343659</v>
      </c>
      <c r="BK6" s="170">
        <v>-1.9940967107842655</v>
      </c>
      <c r="BL6" s="170">
        <v>4.1826801775161515</v>
      </c>
      <c r="BM6" s="170">
        <v>10.386735663447233</v>
      </c>
      <c r="BN6" s="170">
        <v>4.360614458889045</v>
      </c>
      <c r="BO6" s="170">
        <v>11.82045003135026</v>
      </c>
      <c r="BP6" s="170">
        <v>5.4187896635948585</v>
      </c>
      <c r="BQ6" s="170">
        <v>-2.7565253173958748</v>
      </c>
      <c r="BR6" s="170">
        <v>5.6546920383401256</v>
      </c>
      <c r="BS6" s="170">
        <v>2.0542364080081699</v>
      </c>
      <c r="BT6" s="170">
        <v>4.0433084994440316</v>
      </c>
      <c r="BU6" s="170">
        <v>10.576270358409779</v>
      </c>
      <c r="BV6" s="170">
        <v>6.331647981826416</v>
      </c>
      <c r="BW6" s="170">
        <v>7.7962920336269725</v>
      </c>
      <c r="BX6" s="170">
        <v>10.306568787292658</v>
      </c>
      <c r="BY6" s="170">
        <v>3.4652178662333943</v>
      </c>
      <c r="BZ6" s="170">
        <v>3.0713610747832076</v>
      </c>
      <c r="CA6" s="170">
        <v>8.7713266407066328</v>
      </c>
      <c r="CB6" s="170">
        <v>2.1375446214841665</v>
      </c>
    </row>
    <row r="7" spans="1:80" ht="17.100000000000001" customHeight="1" x14ac:dyDescent="0.2">
      <c r="A7" s="72" t="s">
        <v>1</v>
      </c>
      <c r="B7" s="40">
        <v>3.9957005556021663</v>
      </c>
      <c r="C7" s="40">
        <v>7.9389801698676932</v>
      </c>
      <c r="D7" s="40">
        <v>9.4039298230524704</v>
      </c>
      <c r="E7" s="40">
        <v>5.9169904117130301</v>
      </c>
      <c r="F7" s="40"/>
      <c r="G7" s="72"/>
      <c r="H7" s="81"/>
      <c r="I7" s="81"/>
      <c r="J7" s="81"/>
      <c r="K7" s="81"/>
      <c r="L7" s="70" t="e">
        <v>#DIV/0!</v>
      </c>
      <c r="M7" s="70" t="e">
        <v>#DIV/0!</v>
      </c>
      <c r="N7" s="70">
        <v>1.5121553168395696</v>
      </c>
      <c r="O7" s="70">
        <v>-15.108247126892349</v>
      </c>
      <c r="P7" s="70">
        <v>-31.733128632448103</v>
      </c>
      <c r="Q7" s="70">
        <v>-0.35061140222315546</v>
      </c>
      <c r="R7" s="70">
        <v>-7.2665424512717962</v>
      </c>
      <c r="S7" s="70">
        <v>-8.4606919830454093</v>
      </c>
      <c r="T7" s="70">
        <v>35.746082289060219</v>
      </c>
      <c r="U7" s="70">
        <v>-17.186272406728133</v>
      </c>
      <c r="V7" s="70">
        <v>33.596916921608333</v>
      </c>
      <c r="W7" s="70">
        <v>16.144209324037149</v>
      </c>
      <c r="X7" s="70">
        <v>-6.6003472104450678</v>
      </c>
      <c r="Y7" s="70">
        <v>3.1920201486777433</v>
      </c>
      <c r="Z7" s="70">
        <v>-9.3685463817614227</v>
      </c>
      <c r="AA7" s="70">
        <v>-3.4573916777920766</v>
      </c>
      <c r="AB7" s="70">
        <v>10.617825695253647</v>
      </c>
      <c r="AC7" s="70">
        <v>1.0135119315149765</v>
      </c>
      <c r="AD7" s="70">
        <v>11.757109610285287</v>
      </c>
      <c r="AE7" s="70">
        <v>7.0214636970233002</v>
      </c>
      <c r="AF7" s="70">
        <v>-8.3418855999515369</v>
      </c>
      <c r="AG7" s="70">
        <v>-10.506839190927685</v>
      </c>
      <c r="AH7" s="70">
        <v>-1.2674269074439026</v>
      </c>
      <c r="AI7" s="70">
        <v>-9.0973601100908468</v>
      </c>
      <c r="AJ7" s="70">
        <v>13.625910109510531</v>
      </c>
      <c r="AK7" s="70">
        <v>16.208281206569385</v>
      </c>
      <c r="AL7" s="70">
        <v>19.347241858721453</v>
      </c>
      <c r="AM7" s="70">
        <v>12.842381365738831</v>
      </c>
      <c r="AN7" s="70">
        <v>2.2577883001585475</v>
      </c>
      <c r="AO7" s="70">
        <v>-2.1089741203186962</v>
      </c>
      <c r="AP7" s="70">
        <v>-16.007926529556858</v>
      </c>
      <c r="AQ7" s="70">
        <v>23.751210507270869</v>
      </c>
      <c r="AR7" s="70">
        <v>12.020404395046501</v>
      </c>
      <c r="AS7" s="70">
        <v>19.986915771371748</v>
      </c>
      <c r="AT7" s="70">
        <v>41.223752182287974</v>
      </c>
      <c r="AU7" s="70">
        <v>-4.0493175628547151</v>
      </c>
      <c r="AV7" s="70">
        <v>2.0541554281763297</v>
      </c>
      <c r="AW7" s="70">
        <v>-7.7408986791219654</v>
      </c>
      <c r="AX7" s="70">
        <v>-0.45776578451774963</v>
      </c>
      <c r="AY7" s="70">
        <v>6.5620953758326994</v>
      </c>
      <c r="AZ7" s="70">
        <v>2.3653500323836507</v>
      </c>
      <c r="BA7" s="70">
        <v>13.169991445414485</v>
      </c>
      <c r="BB7" s="70">
        <v>2.5118452842361805</v>
      </c>
      <c r="BC7" s="70">
        <v>8.9502677290774777</v>
      </c>
      <c r="BD7" s="70">
        <v>17.414019862641151</v>
      </c>
      <c r="BE7" s="70">
        <v>-0.5222795430284588</v>
      </c>
      <c r="BF7" s="70">
        <v>7.7596193533016056</v>
      </c>
      <c r="BG7" s="70">
        <v>11.49903314560965</v>
      </c>
      <c r="BH7" s="70">
        <v>11.334926743936013</v>
      </c>
      <c r="BI7" s="70">
        <v>21.942714048533229</v>
      </c>
      <c r="BJ7" s="70">
        <v>23.374181675571236</v>
      </c>
      <c r="BK7" s="70">
        <v>4.9990052722519218</v>
      </c>
      <c r="BL7" s="70">
        <v>-3.8321506187506293</v>
      </c>
      <c r="BM7" s="70">
        <v>0.65915565945326993</v>
      </c>
      <c r="BN7" s="70">
        <v>0.40699140403406275</v>
      </c>
      <c r="BO7" s="70">
        <v>-5.2810113995001684</v>
      </c>
      <c r="BP7" s="70">
        <v>7.950339721035049</v>
      </c>
      <c r="BQ7" s="70">
        <v>-0.95714691091391968</v>
      </c>
      <c r="BR7" s="70">
        <v>6.3753418122783678</v>
      </c>
      <c r="BS7" s="70">
        <v>15.358234742395149</v>
      </c>
      <c r="BT7" s="70">
        <v>16.130520126001848</v>
      </c>
      <c r="BU7" s="70">
        <v>10.449158028985405</v>
      </c>
      <c r="BV7" s="70">
        <v>16.478630283919937</v>
      </c>
      <c r="BW7" s="70">
        <v>9.5727555532231889</v>
      </c>
      <c r="BX7" s="70">
        <v>8.9549760320974734</v>
      </c>
      <c r="BY7" s="70">
        <v>10.713983590071452</v>
      </c>
      <c r="BZ7" s="70">
        <v>7.0389932054423676</v>
      </c>
      <c r="CA7" s="70">
        <v>12.56954672824493</v>
      </c>
      <c r="CB7" s="70">
        <v>7.1658965022524335</v>
      </c>
    </row>
    <row r="8" spans="1:80" ht="17.100000000000001" customHeight="1" x14ac:dyDescent="0.2">
      <c r="A8" s="72" t="s">
        <v>2</v>
      </c>
      <c r="B8" s="40">
        <v>2.1958835610922156</v>
      </c>
      <c r="C8" s="40">
        <v>1.2662342846697872</v>
      </c>
      <c r="D8" s="40">
        <v>2.2480641291535042</v>
      </c>
      <c r="E8" s="40">
        <v>8.5502917245409158</v>
      </c>
      <c r="F8" s="40"/>
      <c r="G8" s="72"/>
      <c r="H8" s="81"/>
      <c r="I8" s="81"/>
      <c r="J8" s="81"/>
      <c r="K8" s="81"/>
      <c r="L8" s="70" t="e">
        <v>#DIV/0!</v>
      </c>
      <c r="M8" s="70" t="e">
        <v>#DIV/0!</v>
      </c>
      <c r="N8" s="70">
        <v>7.280785942246748</v>
      </c>
      <c r="O8" s="70">
        <v>8.4051256512342132</v>
      </c>
      <c r="P8" s="70">
        <v>2.682297171599668</v>
      </c>
      <c r="Q8" s="70">
        <v>0.76046168332963848</v>
      </c>
      <c r="R8" s="70">
        <v>0.7559783646242213</v>
      </c>
      <c r="S8" s="70">
        <v>1.1325476447987093</v>
      </c>
      <c r="T8" s="70">
        <v>3.5300903539553952</v>
      </c>
      <c r="U8" s="70">
        <v>4.2924388612311404</v>
      </c>
      <c r="V8" s="70">
        <v>8.0825596403456323</v>
      </c>
      <c r="W8" s="70">
        <v>7.0790313549322414</v>
      </c>
      <c r="X8" s="70">
        <v>-13.881936411908157</v>
      </c>
      <c r="Y8" s="70">
        <v>-14.319759417673939</v>
      </c>
      <c r="Z8" s="70">
        <v>14.813068011502327</v>
      </c>
      <c r="AA8" s="70">
        <v>-16.000420613951228</v>
      </c>
      <c r="AB8" s="70">
        <v>-6.4526684009753366</v>
      </c>
      <c r="AC8" s="70">
        <v>-7.5618959328620949</v>
      </c>
      <c r="AD8" s="70">
        <v>-2.4416307124452752</v>
      </c>
      <c r="AE8" s="70">
        <v>-0.38799782621476986</v>
      </c>
      <c r="AF8" s="70">
        <v>7.1897121483988524</v>
      </c>
      <c r="AG8" s="70">
        <v>15.915016725778376</v>
      </c>
      <c r="AH8" s="70">
        <v>-10.040108252153047</v>
      </c>
      <c r="AI8" s="70">
        <v>28.100238478868199</v>
      </c>
      <c r="AJ8" s="70">
        <v>5.7938208223387022</v>
      </c>
      <c r="AK8" s="70">
        <v>2.0250088453890758</v>
      </c>
      <c r="AL8" s="70">
        <v>0.59348639236180833</v>
      </c>
      <c r="AM8" s="70">
        <v>-0.65815690222008616</v>
      </c>
      <c r="AN8" s="70">
        <v>6.4936242006748968</v>
      </c>
      <c r="AO8" s="70">
        <v>0.94365383782932799</v>
      </c>
      <c r="AP8" s="70">
        <v>1.7376880568293007</v>
      </c>
      <c r="AQ8" s="70">
        <v>-3.4995387365084007</v>
      </c>
      <c r="AR8" s="70">
        <v>6.182164436435067</v>
      </c>
      <c r="AS8" s="70">
        <v>6.4109611746215656</v>
      </c>
      <c r="AT8" s="70">
        <v>11.752214319592969</v>
      </c>
      <c r="AU8" s="70">
        <v>7.8612466091963373</v>
      </c>
      <c r="AV8" s="70">
        <v>8.5788369944173937</v>
      </c>
      <c r="AW8" s="70">
        <v>3.8036746463317783</v>
      </c>
      <c r="AX8" s="70">
        <v>0.72483173225124098</v>
      </c>
      <c r="AY8" s="70">
        <v>-2.1501749292723304</v>
      </c>
      <c r="AZ8" s="70">
        <v>3.5348213484316604</v>
      </c>
      <c r="BA8" s="70">
        <v>5.5179991327505507</v>
      </c>
      <c r="BB8" s="70">
        <v>4.841920887179918</v>
      </c>
      <c r="BC8" s="70">
        <v>8.5211992193974453</v>
      </c>
      <c r="BD8" s="70">
        <v>-11.292645745137253</v>
      </c>
      <c r="BE8" s="70">
        <v>12.370584314433941</v>
      </c>
      <c r="BF8" s="70">
        <v>10.546839575097477</v>
      </c>
      <c r="BG8" s="70">
        <v>10.258399548722164</v>
      </c>
      <c r="BH8" s="70">
        <v>-8.04979434089379</v>
      </c>
      <c r="BI8" s="70">
        <v>-4.6594018470164311</v>
      </c>
      <c r="BJ8" s="70">
        <v>1.7602391272378837</v>
      </c>
      <c r="BK8" s="70">
        <v>-4.8277554509206571</v>
      </c>
      <c r="BL8" s="70">
        <v>5.3530802888686946</v>
      </c>
      <c r="BM8" s="70">
        <v>14.40951067471914</v>
      </c>
      <c r="BN8" s="70">
        <v>7.5815418677427138</v>
      </c>
      <c r="BO8" s="70">
        <v>19.408814689908517</v>
      </c>
      <c r="BP8" s="70">
        <v>-4.3860209957161782</v>
      </c>
      <c r="BQ8" s="70">
        <v>-8.1731832036389349</v>
      </c>
      <c r="BR8" s="70">
        <v>5.0637426918345829</v>
      </c>
      <c r="BS8" s="70">
        <v>-0.25582669429169425</v>
      </c>
      <c r="BT8" s="70">
        <v>6.9905975859291258</v>
      </c>
      <c r="BU8" s="70">
        <v>10.315923798641236</v>
      </c>
      <c r="BV8" s="70">
        <v>5.3332431055635787</v>
      </c>
      <c r="BW8" s="70">
        <v>7.0282314951780611</v>
      </c>
      <c r="BX8" s="70">
        <v>3.2973957650169972</v>
      </c>
      <c r="BY8" s="70">
        <v>2.167833965599808</v>
      </c>
      <c r="BZ8" s="70">
        <v>-0.54696739675169637</v>
      </c>
      <c r="CA8" s="70">
        <v>7.7062475906921835</v>
      </c>
      <c r="CB8" s="70">
        <v>5.2493010813115415</v>
      </c>
    </row>
    <row r="9" spans="1:80" ht="17.100000000000001" customHeight="1" x14ac:dyDescent="0.2">
      <c r="A9" s="72" t="s">
        <v>3</v>
      </c>
      <c r="B9" s="40">
        <v>2.933042440042799</v>
      </c>
      <c r="C9" s="40">
        <v>2.7787733383830338</v>
      </c>
      <c r="D9" s="40">
        <v>7.0125461139252554</v>
      </c>
      <c r="E9" s="40">
        <v>7.1276597102150951</v>
      </c>
      <c r="F9" s="40"/>
      <c r="G9" s="72"/>
      <c r="H9" s="81"/>
      <c r="I9" s="81"/>
      <c r="J9" s="81"/>
      <c r="K9" s="81"/>
      <c r="L9" s="70" t="e">
        <v>#DIV/0!</v>
      </c>
      <c r="M9" s="70" t="e">
        <v>#DIV/0!</v>
      </c>
      <c r="N9" s="70">
        <v>0.94042714035458275</v>
      </c>
      <c r="O9" s="70">
        <v>2.637107636054159</v>
      </c>
      <c r="P9" s="70">
        <v>3.2244114606864382</v>
      </c>
      <c r="Q9" s="70">
        <v>2.6327722205064408</v>
      </c>
      <c r="R9" s="70">
        <v>3.3974660356508535</v>
      </c>
      <c r="S9" s="70">
        <v>2.3389538928224818</v>
      </c>
      <c r="T9" s="70">
        <v>1.4956765413120632</v>
      </c>
      <c r="U9" s="70">
        <v>2.0770411191835647</v>
      </c>
      <c r="V9" s="70">
        <v>2.3757114301427906</v>
      </c>
      <c r="W9" s="70">
        <v>2.4730063569179173</v>
      </c>
      <c r="X9" s="70">
        <v>2.4625258778440573</v>
      </c>
      <c r="Y9" s="70">
        <v>2.0282567461962442</v>
      </c>
      <c r="Z9" s="70">
        <v>0.57889563427810931</v>
      </c>
      <c r="AA9" s="70">
        <v>-0.50298226490765874</v>
      </c>
      <c r="AB9" s="70">
        <v>5.1923414386293221</v>
      </c>
      <c r="AC9" s="70">
        <v>4.6244734513462227</v>
      </c>
      <c r="AD9" s="70">
        <v>5.2753134174717164</v>
      </c>
      <c r="AE9" s="70">
        <v>6.4672802625649339</v>
      </c>
      <c r="AF9" s="70">
        <v>-0.47031963972857804</v>
      </c>
      <c r="AG9" s="70">
        <v>7.4276938593831332E-2</v>
      </c>
      <c r="AH9" s="70">
        <v>1.8631847918781475</v>
      </c>
      <c r="AI9" s="70">
        <v>2.2191927453811822</v>
      </c>
      <c r="AJ9" s="70">
        <v>3.8682666907512653</v>
      </c>
      <c r="AK9" s="70">
        <v>3.7854504696505531</v>
      </c>
      <c r="AL9" s="70">
        <v>2.2562049395062456</v>
      </c>
      <c r="AM9" s="70">
        <v>2.1085280925915661</v>
      </c>
      <c r="AN9" s="70">
        <v>2.2982238235445651</v>
      </c>
      <c r="AO9" s="70">
        <v>4.4340431219382914</v>
      </c>
      <c r="AP9" s="70">
        <v>5.6220550874429565</v>
      </c>
      <c r="AQ9" s="70">
        <v>7.3369226315447955</v>
      </c>
      <c r="AR9" s="70">
        <v>8.0046055714737552</v>
      </c>
      <c r="AS9" s="70">
        <v>7.0651484133683384</v>
      </c>
      <c r="AT9" s="70">
        <v>8.1876515494276667</v>
      </c>
      <c r="AU9" s="70">
        <v>6.6571545682138744</v>
      </c>
      <c r="AV9" s="70">
        <v>7.0290371760765247</v>
      </c>
      <c r="AW9" s="70">
        <v>6.6751637050980417</v>
      </c>
      <c r="AX9" s="70">
        <v>6.5875481786978884</v>
      </c>
      <c r="AY9" s="70">
        <v>7.6772420113538242</v>
      </c>
      <c r="AZ9" s="70">
        <v>7.0289476586426369</v>
      </c>
      <c r="BA9" s="70">
        <v>8.0657150073570207</v>
      </c>
      <c r="BB9" s="70">
        <v>7.8265222697627923</v>
      </c>
      <c r="BC9" s="70">
        <v>7.8686926118291423</v>
      </c>
      <c r="BD9" s="70">
        <v>8.235791576213213</v>
      </c>
      <c r="BE9" s="70">
        <v>7.6568416390194294</v>
      </c>
      <c r="BF9" s="70">
        <v>7.5492367817046713</v>
      </c>
      <c r="BG9" s="70">
        <v>7.5756165112433438</v>
      </c>
      <c r="BH9" s="70">
        <v>7.706350114511018</v>
      </c>
      <c r="BI9" s="70">
        <v>8.3115350276578237</v>
      </c>
      <c r="BJ9" s="70">
        <v>8.355068783262066</v>
      </c>
      <c r="BK9" s="70">
        <v>8.241662642401181</v>
      </c>
      <c r="BL9" s="70">
        <v>8.1934317105976984</v>
      </c>
      <c r="BM9" s="70">
        <v>8.4297719423055426</v>
      </c>
      <c r="BN9" s="70">
        <v>8.7369442909970285</v>
      </c>
      <c r="BO9" s="70">
        <v>8.8952393974253585</v>
      </c>
      <c r="BP9" s="70">
        <v>9.5537610851855312</v>
      </c>
      <c r="BQ9" s="70">
        <v>8.1708416546410589</v>
      </c>
      <c r="BR9" s="70">
        <v>7.7580832428426172</v>
      </c>
      <c r="BS9" s="70">
        <v>8.0325509961904462</v>
      </c>
      <c r="BT9" s="70">
        <v>7.2780032301067443</v>
      </c>
      <c r="BU9" s="70">
        <v>8.4671799681190549</v>
      </c>
      <c r="BV9" s="70">
        <v>8.4496924165572871</v>
      </c>
      <c r="BW9" s="70">
        <v>8.5973315997366804</v>
      </c>
      <c r="BX9" s="70">
        <v>9.1124298287080574</v>
      </c>
      <c r="BY9" s="70">
        <v>8.8308919169102431</v>
      </c>
      <c r="BZ9" s="70">
        <v>9.2580535865692823</v>
      </c>
      <c r="CA9" s="70">
        <v>9.2222406298618544</v>
      </c>
      <c r="CB9" s="70">
        <v>6.5613119317871949</v>
      </c>
    </row>
    <row r="10" spans="1:80" ht="17.100000000000001" customHeight="1" x14ac:dyDescent="0.2">
      <c r="A10" s="72" t="s">
        <v>4</v>
      </c>
      <c r="B10" s="40">
        <v>17.623475676474577</v>
      </c>
      <c r="C10" s="40">
        <v>-4.6053936763445051</v>
      </c>
      <c r="D10" s="40">
        <v>3.7961726290189235</v>
      </c>
      <c r="E10" s="40">
        <v>-0.36611784279906301</v>
      </c>
      <c r="F10" s="40"/>
      <c r="G10" s="72"/>
      <c r="H10" s="81"/>
      <c r="I10" s="81"/>
      <c r="J10" s="81"/>
      <c r="K10" s="81"/>
      <c r="L10" s="70" t="e">
        <v>#DIV/0!</v>
      </c>
      <c r="M10" s="70" t="e">
        <v>#DIV/0!</v>
      </c>
      <c r="N10" s="70">
        <v>-0.38087512235936982</v>
      </c>
      <c r="O10" s="70">
        <v>0.68031163204431699</v>
      </c>
      <c r="P10" s="70">
        <v>12.76189670208705</v>
      </c>
      <c r="Q10" s="70">
        <v>13.904348738398964</v>
      </c>
      <c r="R10" s="70">
        <v>11.277943235733145</v>
      </c>
      <c r="S10" s="70">
        <v>5.9545126232775747</v>
      </c>
      <c r="T10" s="70">
        <v>-1.7998002502311761</v>
      </c>
      <c r="U10" s="70">
        <v>-6.1090517530302924</v>
      </c>
      <c r="V10" s="70">
        <v>-13.887458228193349</v>
      </c>
      <c r="W10" s="70">
        <v>-15.721475932974482</v>
      </c>
      <c r="X10" s="70">
        <v>-14.970096163808099</v>
      </c>
      <c r="Y10" s="70">
        <v>-8.1387393831245376</v>
      </c>
      <c r="Z10" s="70">
        <v>5.1340789461579606</v>
      </c>
      <c r="AA10" s="70">
        <v>10.473801719010446</v>
      </c>
      <c r="AB10" s="70">
        <v>9.6090127067444353</v>
      </c>
      <c r="AC10" s="70">
        <v>8.7000034861759001</v>
      </c>
      <c r="AD10" s="70">
        <v>-1.0716972004950143</v>
      </c>
      <c r="AE10" s="70">
        <v>-2.6862888612096847</v>
      </c>
      <c r="AF10" s="70">
        <v>-2.1586101327074281</v>
      </c>
      <c r="AG10" s="70">
        <v>5.8120434292650902</v>
      </c>
      <c r="AH10" s="70">
        <v>19.154045722009229</v>
      </c>
      <c r="AI10" s="70">
        <v>21.092847819880255</v>
      </c>
      <c r="AJ10" s="70">
        <v>18.56243143597165</v>
      </c>
      <c r="AK10" s="70">
        <v>13.134131110795977</v>
      </c>
      <c r="AL10" s="70">
        <v>-0.92533233403556681</v>
      </c>
      <c r="AM10" s="70">
        <v>-6.4259451682944668</v>
      </c>
      <c r="AN10" s="70">
        <v>-8.6389378135663719</v>
      </c>
      <c r="AO10" s="70">
        <v>-6.2758857080614234</v>
      </c>
      <c r="AP10" s="70">
        <v>1.7603391158527604</v>
      </c>
      <c r="AQ10" s="70">
        <v>5.0997732246232719</v>
      </c>
      <c r="AR10" s="70">
        <v>4.9594274749672707</v>
      </c>
      <c r="AS10" s="70">
        <v>5.1449868992363035</v>
      </c>
      <c r="AT10" s="70">
        <v>0.18907176710090123</v>
      </c>
      <c r="AU10" s="70">
        <v>-1.4871507107151127</v>
      </c>
      <c r="AV10" s="70">
        <v>-2.0227286480490214</v>
      </c>
      <c r="AW10" s="70">
        <v>0.38873456767067882</v>
      </c>
      <c r="AX10" s="70">
        <v>4.9669107311459237</v>
      </c>
      <c r="AY10" s="70">
        <v>9.5502966481079596</v>
      </c>
      <c r="AZ10" s="70">
        <v>8.7096570389051831</v>
      </c>
      <c r="BA10" s="70">
        <v>13.37071494806561</v>
      </c>
      <c r="BB10" s="70">
        <v>17.775003431546388</v>
      </c>
      <c r="BC10" s="70">
        <v>22.228106501647638</v>
      </c>
      <c r="BD10" s="70">
        <v>-1.321082375956284</v>
      </c>
      <c r="BE10" s="70">
        <v>-14.542154109869754</v>
      </c>
      <c r="BF10" s="70">
        <v>-7.124034672878043</v>
      </c>
      <c r="BG10" s="70">
        <v>-9.2553609535352734</v>
      </c>
      <c r="BH10" s="70">
        <v>27.122216141399534</v>
      </c>
      <c r="BI10" s="70">
        <v>16.362481595115376</v>
      </c>
      <c r="BJ10" s="70">
        <v>7.3430525031407345</v>
      </c>
      <c r="BK10" s="70">
        <v>2.4612239166257988</v>
      </c>
      <c r="BL10" s="70">
        <v>3.7826390857863545</v>
      </c>
      <c r="BM10" s="70">
        <v>2.4563963551679446</v>
      </c>
      <c r="BN10" s="70">
        <v>2.6395158860404333</v>
      </c>
      <c r="BO10" s="70">
        <v>4.2585086214645962</v>
      </c>
      <c r="BP10" s="70">
        <v>0.59723142176821842</v>
      </c>
      <c r="BQ10" s="70">
        <v>1.0316666935881402</v>
      </c>
      <c r="BR10" s="70">
        <v>5.3327958385677832</v>
      </c>
      <c r="BS10" s="70">
        <v>7.2751607336958291</v>
      </c>
      <c r="BT10" s="70">
        <v>8.3039337749961852</v>
      </c>
      <c r="BU10" s="70">
        <v>8.7430126635045688</v>
      </c>
      <c r="BV10" s="70">
        <v>4.2833839398820128</v>
      </c>
      <c r="BW10" s="70">
        <v>-3.3029736852482117</v>
      </c>
      <c r="BX10" s="70">
        <v>-0.82532569244350151</v>
      </c>
      <c r="BY10" s="70">
        <v>16.641687077930058</v>
      </c>
      <c r="BZ10" s="70">
        <v>-11.794274559490558</v>
      </c>
      <c r="CA10" s="70">
        <v>0.20581177524119365</v>
      </c>
      <c r="CB10" s="70">
        <v>11.193266387643286</v>
      </c>
    </row>
    <row r="11" spans="1:80" ht="17.100000000000001" customHeight="1" x14ac:dyDescent="0.2">
      <c r="A11" s="72" t="s">
        <v>5</v>
      </c>
      <c r="B11" s="40">
        <v>1.6606621374889441</v>
      </c>
      <c r="C11" s="40">
        <v>4.7495611305627738</v>
      </c>
      <c r="D11" s="40">
        <v>3.5049109223100672</v>
      </c>
      <c r="E11" s="40">
        <v>3.370504550269926</v>
      </c>
      <c r="F11" s="40"/>
      <c r="G11" s="72"/>
      <c r="H11" s="81"/>
      <c r="I11" s="81"/>
      <c r="J11" s="81"/>
      <c r="K11" s="81"/>
      <c r="L11" s="70" t="e">
        <v>#DIV/0!</v>
      </c>
      <c r="M11" s="70" t="e">
        <v>#DIV/0!</v>
      </c>
      <c r="N11" s="70">
        <v>6.0048777884697868</v>
      </c>
      <c r="O11" s="70">
        <v>13.241646604282975</v>
      </c>
      <c r="P11" s="70">
        <v>19.854948219859068</v>
      </c>
      <c r="Q11" s="70">
        <v>-9.4042152286929355</v>
      </c>
      <c r="R11" s="70">
        <v>17.650663269726262</v>
      </c>
      <c r="S11" s="70">
        <v>27.442134188418855</v>
      </c>
      <c r="T11" s="70">
        <v>9.4633266869092125</v>
      </c>
      <c r="U11" s="70">
        <v>-7.8639221766556355</v>
      </c>
      <c r="V11" s="70">
        <v>43.783598744371787</v>
      </c>
      <c r="W11" s="70">
        <v>-31.045436600106068</v>
      </c>
      <c r="X11" s="70">
        <v>-8.1143891423589345</v>
      </c>
      <c r="Y11" s="70">
        <v>2.2368291993389855</v>
      </c>
      <c r="Z11" s="70">
        <v>-29.069979619312214</v>
      </c>
      <c r="AA11" s="70">
        <v>78.741260332865721</v>
      </c>
      <c r="AB11" s="70">
        <v>30.437962737014178</v>
      </c>
      <c r="AC11" s="70">
        <v>2.2468243809659949</v>
      </c>
      <c r="AD11" s="70">
        <v>11.229995745350108</v>
      </c>
      <c r="AE11" s="70">
        <v>0.21979855084592881</v>
      </c>
      <c r="AF11" s="70">
        <v>-8.3300104715668724</v>
      </c>
      <c r="AG11" s="70">
        <v>13.999191696921919</v>
      </c>
      <c r="AH11" s="70">
        <v>6.1871458467178675</v>
      </c>
      <c r="AI11" s="70">
        <v>-10.584480613645031</v>
      </c>
      <c r="AJ11" s="70">
        <v>7.2564650936240538</v>
      </c>
      <c r="AK11" s="70">
        <v>6.0679468690137073</v>
      </c>
      <c r="AL11" s="70">
        <v>-5.6093742884469115</v>
      </c>
      <c r="AM11" s="70">
        <v>-3.8437229152356922</v>
      </c>
      <c r="AN11" s="70">
        <v>29.111268848921391</v>
      </c>
      <c r="AO11" s="70">
        <v>0.25678096944252715</v>
      </c>
      <c r="AP11" s="70">
        <v>9.2270812926319223</v>
      </c>
      <c r="AQ11" s="70">
        <v>12.389945063117169</v>
      </c>
      <c r="AR11" s="70">
        <v>-13.360354157265631</v>
      </c>
      <c r="AS11" s="70">
        <v>10.596832875286278</v>
      </c>
      <c r="AT11" s="70">
        <v>3.0115426868532635</v>
      </c>
      <c r="AU11" s="70">
        <v>1.117865841416954</v>
      </c>
      <c r="AV11" s="70">
        <v>3.915838427665852</v>
      </c>
      <c r="AW11" s="70">
        <v>5.3555936235614388</v>
      </c>
      <c r="AX11" s="70">
        <v>3.6459070238058722</v>
      </c>
      <c r="AY11" s="70">
        <v>5.2681080911653577</v>
      </c>
      <c r="AZ11" s="70">
        <v>2.5632507585039876</v>
      </c>
      <c r="BA11" s="70">
        <v>3.0207938393517653</v>
      </c>
      <c r="BB11" s="70">
        <v>4.0520984282018446</v>
      </c>
      <c r="BC11" s="70">
        <v>4.8675827725105369</v>
      </c>
      <c r="BD11" s="70">
        <v>4.6282911651174485</v>
      </c>
      <c r="BE11" s="70">
        <v>-0.32500304260349999</v>
      </c>
      <c r="BF11" s="70">
        <v>-2.7189865645824596</v>
      </c>
      <c r="BG11" s="70">
        <v>3.7179825582175141</v>
      </c>
      <c r="BH11" s="70">
        <v>5.4636968948533093</v>
      </c>
      <c r="BI11" s="70">
        <v>5.1863289711073346</v>
      </c>
      <c r="BJ11" s="70">
        <v>4.8007817682375054</v>
      </c>
      <c r="BK11" s="70">
        <v>-2.9147167205764268</v>
      </c>
      <c r="BL11" s="70">
        <v>5.2554204668479265</v>
      </c>
      <c r="BM11" s="70">
        <v>5.525416868043842</v>
      </c>
      <c r="BN11" s="70">
        <v>4.0799476332344486</v>
      </c>
      <c r="BO11" s="70">
        <v>3.8657716983446999</v>
      </c>
      <c r="BP11" s="70">
        <v>2.5433767342847524</v>
      </c>
      <c r="BQ11" s="70">
        <v>2.2167842273260518</v>
      </c>
      <c r="BR11" s="70">
        <v>5.3769210277495816</v>
      </c>
      <c r="BS11" s="70">
        <v>2.7213663259410437</v>
      </c>
      <c r="BT11" s="70">
        <v>-5.8953936473084001</v>
      </c>
      <c r="BU11" s="70">
        <v>10.361600277803063</v>
      </c>
      <c r="BV11" s="70">
        <v>3.7617949525886818</v>
      </c>
      <c r="BW11" s="70">
        <v>5.1530760129507414</v>
      </c>
      <c r="BX11" s="70">
        <v>7.2712860327639461</v>
      </c>
      <c r="BY11" s="70">
        <v>-2.09794441789104</v>
      </c>
      <c r="BZ11" s="70">
        <v>9.7363836910022261</v>
      </c>
      <c r="CA11" s="70">
        <v>8.2538254258978974</v>
      </c>
      <c r="CB11" s="70">
        <v>-4.8438115416548193</v>
      </c>
    </row>
    <row r="12" spans="1:80" ht="17.100000000000001" customHeight="1" x14ac:dyDescent="0.2">
      <c r="A12" s="72" t="s">
        <v>6</v>
      </c>
      <c r="B12" s="40">
        <v>1.4695055771771548</v>
      </c>
      <c r="C12" s="40">
        <v>4.8035634793928361</v>
      </c>
      <c r="D12" s="40">
        <v>-7.7597971973702329</v>
      </c>
      <c r="E12" s="40">
        <v>-25.190022255392861</v>
      </c>
      <c r="F12" s="40"/>
      <c r="G12" s="72"/>
      <c r="H12" s="81"/>
      <c r="I12" s="81"/>
      <c r="J12" s="81"/>
      <c r="K12" s="81"/>
      <c r="L12" s="70" t="e">
        <v>#DIV/0!</v>
      </c>
      <c r="M12" s="70" t="e">
        <v>#DIV/0!</v>
      </c>
      <c r="N12" s="70">
        <v>1.1171874749188015</v>
      </c>
      <c r="O12" s="70">
        <v>-1.6733791483968363</v>
      </c>
      <c r="P12" s="70">
        <v>9.1190239741028911</v>
      </c>
      <c r="Q12" s="70">
        <v>1.9116539724683079</v>
      </c>
      <c r="R12" s="70">
        <v>-2.5359078978141048</v>
      </c>
      <c r="S12" s="70">
        <v>-0.13367640735456598</v>
      </c>
      <c r="T12" s="70">
        <v>1.4821605360510803</v>
      </c>
      <c r="U12" s="70">
        <v>-1.6349547121815466</v>
      </c>
      <c r="V12" s="70">
        <v>0.67050741849843387</v>
      </c>
      <c r="W12" s="70">
        <v>-0.87824913387078984</v>
      </c>
      <c r="X12" s="70">
        <v>4.552697757597679</v>
      </c>
      <c r="Y12" s="70">
        <v>0.60250211182588664</v>
      </c>
      <c r="Z12" s="70">
        <v>6.127414288023969</v>
      </c>
      <c r="AA12" s="70">
        <v>6.4110623988917537</v>
      </c>
      <c r="AB12" s="70">
        <v>-0.22786289542746641</v>
      </c>
      <c r="AC12" s="70">
        <v>-26.670629365488352</v>
      </c>
      <c r="AD12" s="70">
        <v>-2.2970431222838594</v>
      </c>
      <c r="AE12" s="70">
        <v>-5.4671574630394399</v>
      </c>
      <c r="AF12" s="70">
        <v>-4.4614015142012793</v>
      </c>
      <c r="AG12" s="70">
        <v>29.15200408214762</v>
      </c>
      <c r="AH12" s="70">
        <v>-2.4163033652202848</v>
      </c>
      <c r="AI12" s="70">
        <v>3.1101732099606982</v>
      </c>
      <c r="AJ12" s="70">
        <v>-2.1008085036063218</v>
      </c>
      <c r="AK12" s="70">
        <v>7.6562979645343754</v>
      </c>
      <c r="AL12" s="70">
        <v>7.4823292315066681</v>
      </c>
      <c r="AM12" s="70">
        <v>0.65437817689992794</v>
      </c>
      <c r="AN12" s="70">
        <v>9.1880585070076126</v>
      </c>
      <c r="AO12" s="70">
        <v>2.2828056716962752</v>
      </c>
      <c r="AP12" s="70">
        <v>-4.2045750489688061</v>
      </c>
      <c r="AQ12" s="70">
        <v>-1.9275875798144493</v>
      </c>
      <c r="AR12" s="70">
        <v>-10.109137266742563</v>
      </c>
      <c r="AS12" s="70">
        <v>-14.947847652228186</v>
      </c>
      <c r="AT12" s="70">
        <v>-24.514913527372251</v>
      </c>
      <c r="AU12" s="70">
        <v>-30.492374244410026</v>
      </c>
      <c r="AV12" s="70">
        <v>-30.971737480794381</v>
      </c>
      <c r="AW12" s="70">
        <v>-13.255029532830932</v>
      </c>
      <c r="AX12" s="70">
        <v>13.665911385070228</v>
      </c>
      <c r="AY12" s="70">
        <v>36.768289359774741</v>
      </c>
      <c r="AZ12" s="70">
        <v>65.935276400123314</v>
      </c>
      <c r="BA12" s="70">
        <v>43.486082678954908</v>
      </c>
      <c r="BB12" s="70">
        <v>26.504438351948135</v>
      </c>
      <c r="BC12" s="70">
        <v>5.7008184608942525</v>
      </c>
      <c r="BD12" s="70">
        <v>-9.9070707348853038</v>
      </c>
      <c r="BE12" s="70">
        <v>-14.984254758437521</v>
      </c>
      <c r="BF12" s="70">
        <v>-13.489348631777286</v>
      </c>
      <c r="BG12" s="70">
        <v>-3.8473232699637205</v>
      </c>
      <c r="BH12" s="70">
        <v>-9.4313233735938251</v>
      </c>
      <c r="BI12" s="70">
        <v>-8.1342104919776226</v>
      </c>
      <c r="BJ12" s="70">
        <v>0.69982751113253361</v>
      </c>
      <c r="BK12" s="70">
        <v>-12.770556187102189</v>
      </c>
      <c r="BL12" s="70">
        <v>4.4869431348517841</v>
      </c>
      <c r="BM12" s="70">
        <v>10.693230123913523</v>
      </c>
      <c r="BN12" s="70">
        <v>-38.932894953846883</v>
      </c>
      <c r="BO12" s="70">
        <v>16.202900824853074</v>
      </c>
      <c r="BP12" s="70">
        <v>37.628249339221533</v>
      </c>
      <c r="BQ12" s="70">
        <v>-0.13700968679544179</v>
      </c>
      <c r="BR12" s="70">
        <v>9.701059399346379</v>
      </c>
      <c r="BS12" s="70">
        <v>-17.202043250915068</v>
      </c>
      <c r="BT12" s="70">
        <v>-10.522377954088313</v>
      </c>
      <c r="BU12" s="70">
        <v>18.473314681123874</v>
      </c>
      <c r="BV12" s="70">
        <v>-0.64729068188257299</v>
      </c>
      <c r="BW12" s="70">
        <v>15.015903260366148</v>
      </c>
      <c r="BX12" s="70">
        <v>44.650443497723799</v>
      </c>
      <c r="BY12" s="70">
        <v>3.1929968751226001</v>
      </c>
      <c r="BZ12" s="70">
        <v>23.720850246410265</v>
      </c>
      <c r="CA12" s="70">
        <v>9.451212767927375</v>
      </c>
      <c r="CB12" s="70">
        <v>-10.327194959307139</v>
      </c>
    </row>
    <row r="13" spans="1:80" s="141" customFormat="1" ht="17.100000000000001" customHeight="1" x14ac:dyDescent="0.2">
      <c r="A13" s="160" t="s">
        <v>93</v>
      </c>
      <c r="B13" s="160">
        <v>8.9864339774459836</v>
      </c>
      <c r="C13" s="160">
        <v>3.0081508560998227</v>
      </c>
      <c r="D13" s="160">
        <v>6.8481014374711213</v>
      </c>
      <c r="E13" s="160">
        <v>4.8425824895408143</v>
      </c>
      <c r="F13" s="160"/>
      <c r="G13" s="160"/>
      <c r="H13" s="161"/>
      <c r="I13" s="161"/>
      <c r="J13" s="161"/>
      <c r="K13" s="161"/>
      <c r="L13" s="170" t="e">
        <v>#DIV/0!</v>
      </c>
      <c r="M13" s="170" t="e">
        <v>#DIV/0!</v>
      </c>
      <c r="N13" s="170">
        <v>234.94004153963351</v>
      </c>
      <c r="O13" s="170">
        <v>233.47992690951594</v>
      </c>
      <c r="P13" s="170">
        <v>307.32062133116199</v>
      </c>
      <c r="Q13" s="170">
        <v>169.41416633946807</v>
      </c>
      <c r="R13" s="170">
        <v>8.1880075048463183</v>
      </c>
      <c r="S13" s="170">
        <v>16.44624817065128</v>
      </c>
      <c r="T13" s="170">
        <v>6.2864199707440394</v>
      </c>
      <c r="U13" s="170">
        <v>7.7505945711437541</v>
      </c>
      <c r="V13" s="170">
        <v>4.1845042044057923</v>
      </c>
      <c r="W13" s="170">
        <v>-2.8790253482452455</v>
      </c>
      <c r="X13" s="170">
        <v>6.5237526725473005</v>
      </c>
      <c r="Y13" s="170">
        <v>4.9942422735060221</v>
      </c>
      <c r="Z13" s="170">
        <v>4.373403886230065</v>
      </c>
      <c r="AA13" s="170">
        <v>4.1773834235339091</v>
      </c>
      <c r="AB13" s="170">
        <v>-0.43333383547413673</v>
      </c>
      <c r="AC13" s="170">
        <v>-5.6839317767547364</v>
      </c>
      <c r="AD13" s="170">
        <v>-1.2535664860982343</v>
      </c>
      <c r="AE13" s="170">
        <v>-1.1531378241602663E-2</v>
      </c>
      <c r="AF13" s="170">
        <v>5.0205984005131432</v>
      </c>
      <c r="AG13" s="170">
        <v>15.485677998870951</v>
      </c>
      <c r="AH13" s="170">
        <v>9.3112697999426342</v>
      </c>
      <c r="AI13" s="170">
        <v>11.695545587694877</v>
      </c>
      <c r="AJ13" s="170">
        <v>7.7457436161379567</v>
      </c>
      <c r="AK13" s="170">
        <v>7.4495173108225288</v>
      </c>
      <c r="AL13" s="170">
        <v>10.777185640194942</v>
      </c>
      <c r="AM13" s="170">
        <v>7.9290009647448256</v>
      </c>
      <c r="AN13" s="170">
        <v>-3.6241796903299761</v>
      </c>
      <c r="AO13" s="170">
        <v>-2.2863059414215181</v>
      </c>
      <c r="AP13" s="170">
        <v>-0.60233731749581576</v>
      </c>
      <c r="AQ13" s="170">
        <v>4.5995316602583713</v>
      </c>
      <c r="AR13" s="170">
        <v>16.22566151177449</v>
      </c>
      <c r="AS13" s="170">
        <v>7.9277803032603567</v>
      </c>
      <c r="AT13" s="170">
        <v>5.4100804187855012</v>
      </c>
      <c r="AU13" s="170">
        <v>2.8953153411108934</v>
      </c>
      <c r="AV13" s="170">
        <v>3.1727275125237098</v>
      </c>
      <c r="AW13" s="170">
        <v>7.9833360247493657</v>
      </c>
      <c r="AX13" s="170">
        <v>9.0370626320726011</v>
      </c>
      <c r="AY13" s="170">
        <v>10.332149905133758</v>
      </c>
      <c r="AZ13" s="170">
        <v>9.3709855646842968</v>
      </c>
      <c r="BA13" s="170">
        <v>7.473569768474797</v>
      </c>
      <c r="BB13" s="170">
        <v>10.161698564918797</v>
      </c>
      <c r="BC13" s="170">
        <v>10.140469880641568</v>
      </c>
      <c r="BD13" s="170">
        <v>2.9512124393612504</v>
      </c>
      <c r="BE13" s="170">
        <v>-9.7908167209499801</v>
      </c>
      <c r="BF13" s="170">
        <v>-2.2068790801836768</v>
      </c>
      <c r="BG13" s="170">
        <v>-1.4690786941649048</v>
      </c>
      <c r="BH13" s="170">
        <v>2.1478317777220646</v>
      </c>
      <c r="BI13" s="170">
        <v>17.497704584858486</v>
      </c>
      <c r="BJ13" s="170">
        <v>-0.12121400090699952</v>
      </c>
      <c r="BK13" s="170">
        <v>7.824585878762691</v>
      </c>
      <c r="BL13" s="170">
        <v>5.528521750207771</v>
      </c>
      <c r="BM13" s="170">
        <v>7.0691761169336731</v>
      </c>
      <c r="BN13" s="170">
        <v>12.288975604604691</v>
      </c>
      <c r="BO13" s="170">
        <v>-2.3754988308056668</v>
      </c>
      <c r="BP13" s="170">
        <v>0.71107423556320271</v>
      </c>
      <c r="BQ13" s="170">
        <v>6.3594382003911543</v>
      </c>
      <c r="BR13" s="170">
        <v>9.895358882377181</v>
      </c>
      <c r="BS13" s="170">
        <v>4.4842492953972801</v>
      </c>
      <c r="BT13" s="170">
        <v>6.723096500061998</v>
      </c>
      <c r="BU13" s="170">
        <v>1.0980078659702297</v>
      </c>
      <c r="BV13" s="170">
        <v>5.123115237948439</v>
      </c>
      <c r="BW13" s="170">
        <v>7.651402569882837</v>
      </c>
      <c r="BX13" s="170">
        <v>7.3997956869305881</v>
      </c>
      <c r="BY13" s="170">
        <v>7.5685940787426631</v>
      </c>
      <c r="BZ13" s="170">
        <v>5.9747365900571614</v>
      </c>
      <c r="CA13" s="170">
        <v>12.25799130679761</v>
      </c>
      <c r="CB13" s="170">
        <v>5.9259192523558379</v>
      </c>
    </row>
    <row r="14" spans="1:80" ht="17.100000000000001" customHeight="1" x14ac:dyDescent="0.2">
      <c r="A14" s="72" t="s">
        <v>8</v>
      </c>
      <c r="B14" s="40">
        <v>18.058674497319792</v>
      </c>
      <c r="C14" s="40">
        <v>12.424053313175687</v>
      </c>
      <c r="D14" s="40">
        <v>32.720645908397586</v>
      </c>
      <c r="E14" s="40">
        <v>-3.9840940985653273</v>
      </c>
      <c r="F14" s="40"/>
      <c r="G14" s="72"/>
      <c r="H14" s="81"/>
      <c r="I14" s="81"/>
      <c r="J14" s="81"/>
      <c r="K14" s="81"/>
      <c r="L14" s="70" t="e">
        <v>#DIV/0!</v>
      </c>
      <c r="M14" s="70" t="e">
        <v>#DIV/0!</v>
      </c>
      <c r="N14" s="70">
        <v>-50.859855262170761</v>
      </c>
      <c r="O14" s="70">
        <v>-0.26111721594311854</v>
      </c>
      <c r="P14" s="70">
        <v>62.988640437969636</v>
      </c>
      <c r="Q14" s="70">
        <v>81.339780082615107</v>
      </c>
      <c r="R14" s="70">
        <v>117.22023649097983</v>
      </c>
      <c r="S14" s="70">
        <v>53.592865356872466</v>
      </c>
      <c r="T14" s="70">
        <v>24.095840262929791</v>
      </c>
      <c r="U14" s="70">
        <v>-27.636518696153235</v>
      </c>
      <c r="V14" s="70">
        <v>-53.682874744052533</v>
      </c>
      <c r="W14" s="70">
        <v>-58.20255253466091</v>
      </c>
      <c r="X14" s="70">
        <v>5.5360443356631706</v>
      </c>
      <c r="Y14" s="70">
        <v>120.46960787795298</v>
      </c>
      <c r="Z14" s="70">
        <v>154.62446794829012</v>
      </c>
      <c r="AA14" s="70">
        <v>71.478778034709208</v>
      </c>
      <c r="AB14" s="70">
        <v>-6.3718661263242327</v>
      </c>
      <c r="AC14" s="70">
        <v>-38.651416549503978</v>
      </c>
      <c r="AD14" s="70">
        <v>-31.955672532319735</v>
      </c>
      <c r="AE14" s="70">
        <v>-23.59660897539062</v>
      </c>
      <c r="AF14" s="70">
        <v>44.767416226705706</v>
      </c>
      <c r="AG14" s="70">
        <v>34.714197341176977</v>
      </c>
      <c r="AH14" s="70">
        <v>6.9959713404657897</v>
      </c>
      <c r="AI14" s="70">
        <v>87.145498045329916</v>
      </c>
      <c r="AJ14" s="70">
        <v>2.0730049540182094</v>
      </c>
      <c r="AK14" s="70">
        <v>19.360903679444874</v>
      </c>
      <c r="AL14" s="70">
        <v>61.265478948194207</v>
      </c>
      <c r="AM14" s="70">
        <v>35.361082155860267</v>
      </c>
      <c r="AN14" s="70">
        <v>-6.4573954578734156</v>
      </c>
      <c r="AO14" s="70">
        <v>-12.96844260821487</v>
      </c>
      <c r="AP14" s="70">
        <v>-1.017641239369782</v>
      </c>
      <c r="AQ14" s="70">
        <v>27.163368756284022</v>
      </c>
      <c r="AR14" s="70">
        <v>42.921378796726813</v>
      </c>
      <c r="AS14" s="70">
        <v>66.601671769989395</v>
      </c>
      <c r="AT14" s="70">
        <v>13.006607943740844</v>
      </c>
      <c r="AU14" s="70">
        <v>-18.74098202286013</v>
      </c>
      <c r="AV14" s="70">
        <v>-9.5661008197108988</v>
      </c>
      <c r="AW14" s="70">
        <v>-0.57039490518990821</v>
      </c>
      <c r="AX14" s="70">
        <v>24.298930903113568</v>
      </c>
      <c r="AY14" s="70">
        <v>20.557186824968788</v>
      </c>
      <c r="AZ14" s="70">
        <v>34.417284695705462</v>
      </c>
      <c r="BA14" s="70">
        <v>-4.1933678636936538</v>
      </c>
      <c r="BB14" s="70">
        <v>14.438809149113263</v>
      </c>
      <c r="BC14" s="70">
        <v>74.9959952533559</v>
      </c>
      <c r="BD14" s="70">
        <v>11.895181495258168</v>
      </c>
      <c r="BE14" s="70">
        <v>-17.180261528471075</v>
      </c>
      <c r="BF14" s="70">
        <v>41.884988672782875</v>
      </c>
      <c r="BG14" s="70">
        <v>-1.1671934420619423</v>
      </c>
      <c r="BH14" s="70">
        <v>-22.756510091107895</v>
      </c>
      <c r="BI14" s="70">
        <v>16.729088302819672</v>
      </c>
      <c r="BJ14" s="70">
        <v>-56.359779505200144</v>
      </c>
      <c r="BK14" s="70">
        <v>49.349265708663822</v>
      </c>
      <c r="BL14" s="70">
        <v>40.747537887605255</v>
      </c>
      <c r="BM14" s="70">
        <v>85.318162758319176</v>
      </c>
      <c r="BN14" s="70">
        <v>88.872779835917768</v>
      </c>
      <c r="BO14" s="70">
        <v>-51.8080926019149</v>
      </c>
      <c r="BP14" s="70">
        <v>-24.749960676651583</v>
      </c>
      <c r="BQ14" s="70">
        <v>52.798407425241066</v>
      </c>
      <c r="BR14" s="70">
        <v>98.898205420854012</v>
      </c>
      <c r="BS14" s="70">
        <v>96.165475150576114</v>
      </c>
      <c r="BT14" s="70">
        <v>4.0587121899975376</v>
      </c>
      <c r="BU14" s="70">
        <v>-75.704656444603017</v>
      </c>
      <c r="BV14" s="70">
        <v>-8.5784039368510197</v>
      </c>
      <c r="BW14" s="70">
        <v>9.7080504600090212</v>
      </c>
      <c r="BX14" s="70">
        <v>-0.43884077157666512</v>
      </c>
      <c r="BY14" s="70">
        <v>43.608634639791163</v>
      </c>
      <c r="BZ14" s="70">
        <v>-10.422762869994795</v>
      </c>
      <c r="CA14" s="70">
        <v>27.326816236924834</v>
      </c>
      <c r="CB14" s="70">
        <v>13.257908156384101</v>
      </c>
    </row>
    <row r="15" spans="1:80" ht="17.100000000000001" customHeight="1" x14ac:dyDescent="0.2">
      <c r="A15" s="42" t="s">
        <v>9</v>
      </c>
      <c r="B15" s="40">
        <v>11.633422393871751</v>
      </c>
      <c r="C15" s="40">
        <v>0.59506005104075221</v>
      </c>
      <c r="D15" s="40">
        <v>3.5698101430908569</v>
      </c>
      <c r="E15" s="40">
        <v>4.624663575517296</v>
      </c>
      <c r="F15" s="40"/>
      <c r="G15" s="42"/>
      <c r="H15" s="81"/>
      <c r="I15" s="81"/>
      <c r="J15" s="81"/>
      <c r="K15" s="81"/>
      <c r="L15" s="70" t="e">
        <v>#DIV/0!</v>
      </c>
      <c r="M15" s="70" t="e">
        <v>#DIV/0!</v>
      </c>
      <c r="N15" s="70" t="e">
        <v>#DIV/0!</v>
      </c>
      <c r="O15" s="70" t="e">
        <v>#DIV/0!</v>
      </c>
      <c r="P15" s="70" t="e">
        <v>#DIV/0!</v>
      </c>
      <c r="Q15" s="70" t="e">
        <v>#DIV/0!</v>
      </c>
      <c r="R15" s="70">
        <v>10.716610216592981</v>
      </c>
      <c r="S15" s="70">
        <v>20.209226676544368</v>
      </c>
      <c r="T15" s="70">
        <v>-1.4805195450178554</v>
      </c>
      <c r="U15" s="70">
        <v>3.3232824345532874</v>
      </c>
      <c r="V15" s="70">
        <v>3.6128760818447958</v>
      </c>
      <c r="W15" s="70">
        <v>-3.9220163066439384</v>
      </c>
      <c r="X15" s="70">
        <v>10.295395311956845</v>
      </c>
      <c r="Y15" s="70">
        <v>1.360813184472498</v>
      </c>
      <c r="Z15" s="70">
        <v>-2.0484117251524769</v>
      </c>
      <c r="AA15" s="70">
        <v>-2.1751517707140233</v>
      </c>
      <c r="AB15" s="70">
        <v>-5.0295596592521257</v>
      </c>
      <c r="AC15" s="70">
        <v>-0.47173466518006801</v>
      </c>
      <c r="AD15" s="70">
        <v>-3.2986564346421776</v>
      </c>
      <c r="AE15" s="70">
        <v>-1.1050127333578907</v>
      </c>
      <c r="AF15" s="70">
        <v>4.0433016081591555</v>
      </c>
      <c r="AG15" s="70">
        <v>8.8933069290042077</v>
      </c>
      <c r="AH15" s="70">
        <v>14.12227446729759</v>
      </c>
      <c r="AI15" s="70">
        <v>14.675856748929373</v>
      </c>
      <c r="AJ15" s="70">
        <v>10.200808845637631</v>
      </c>
      <c r="AK15" s="70">
        <v>8.0981096977981171</v>
      </c>
      <c r="AL15" s="70">
        <v>10.636181024311121</v>
      </c>
      <c r="AM15" s="70">
        <v>6.6938050028149121</v>
      </c>
      <c r="AN15" s="70">
        <v>-10.781973904079534</v>
      </c>
      <c r="AO15" s="70">
        <v>-3.2429758410804865</v>
      </c>
      <c r="AP15" s="70">
        <v>-5.770258612921042</v>
      </c>
      <c r="AQ15" s="70">
        <v>-0.17316159708411494</v>
      </c>
      <c r="AR15" s="70">
        <v>19.811422903350497</v>
      </c>
      <c r="AS15" s="70">
        <v>2.5311368368806875</v>
      </c>
      <c r="AT15" s="70">
        <v>5.4633795858338718</v>
      </c>
      <c r="AU15" s="70">
        <v>4.7481878720420978</v>
      </c>
      <c r="AV15" s="70">
        <v>1.5302075700503792</v>
      </c>
      <c r="AW15" s="70">
        <v>7.000464552843999</v>
      </c>
      <c r="AX15" s="70">
        <v>7.0445137273864811</v>
      </c>
      <c r="AY15" s="70">
        <v>9.3039471817121679</v>
      </c>
      <c r="AZ15" s="70">
        <v>7.3653602437614207</v>
      </c>
      <c r="BA15" s="70">
        <v>7.0665880859604346</v>
      </c>
      <c r="BB15" s="70">
        <v>11.727522825584046</v>
      </c>
      <c r="BC15" s="70">
        <v>8.762087788873508</v>
      </c>
      <c r="BD15" s="70">
        <v>-1.0447553021922906</v>
      </c>
      <c r="BE15" s="70">
        <v>-14.18763056275697</v>
      </c>
      <c r="BF15" s="70">
        <v>-3.674588240582477</v>
      </c>
      <c r="BG15" s="70">
        <v>-5.262154540501407</v>
      </c>
      <c r="BH15" s="70">
        <v>2.2128015626100783</v>
      </c>
      <c r="BI15" s="70">
        <v>19.282765580051951</v>
      </c>
      <c r="BJ15" s="70">
        <v>-5.9504662673508291</v>
      </c>
      <c r="BK15" s="70">
        <v>6.4696502157431279</v>
      </c>
      <c r="BL15" s="70">
        <v>7.8324133222832604</v>
      </c>
      <c r="BM15" s="70">
        <v>7.0007347742976123</v>
      </c>
      <c r="BN15" s="70">
        <v>15.635530330494408</v>
      </c>
      <c r="BO15" s="70">
        <v>1.3405480215582521</v>
      </c>
      <c r="BP15" s="70">
        <v>-1.3522881078671389</v>
      </c>
      <c r="BQ15" s="70">
        <v>-1.6233706329432995</v>
      </c>
      <c r="BR15" s="70">
        <v>4.7048134213434123</v>
      </c>
      <c r="BS15" s="70">
        <v>-1.6219041373747745</v>
      </c>
      <c r="BT15" s="70">
        <v>4.9918833287679876</v>
      </c>
      <c r="BU15" s="70">
        <v>11.002472829892085</v>
      </c>
      <c r="BV15" s="70">
        <v>6.1807530426832402</v>
      </c>
      <c r="BW15" s="70">
        <v>7.751620423063077</v>
      </c>
      <c r="BX15" s="70">
        <v>5.2329828101009834</v>
      </c>
      <c r="BY15" s="70">
        <v>3.4531781968778708</v>
      </c>
      <c r="BZ15" s="70">
        <v>4.7538874736004599</v>
      </c>
      <c r="CA15" s="70">
        <v>8.9249589070356183</v>
      </c>
      <c r="CB15" s="70">
        <v>4.7910043989035422</v>
      </c>
    </row>
    <row r="16" spans="1:80" ht="17.100000000000001" customHeight="1" x14ac:dyDescent="0.2">
      <c r="A16" s="42" t="s">
        <v>10</v>
      </c>
      <c r="B16" s="40">
        <v>5.6880805575367344</v>
      </c>
      <c r="C16" s="40">
        <v>3.9807544692068264</v>
      </c>
      <c r="D16" s="40">
        <v>9.7864310035044042</v>
      </c>
      <c r="E16" s="40">
        <v>5.3830679012505378</v>
      </c>
      <c r="F16" s="40"/>
      <c r="G16" s="42"/>
      <c r="H16" s="81"/>
      <c r="I16" s="81"/>
      <c r="J16" s="81"/>
      <c r="K16" s="81"/>
      <c r="L16" s="70" t="e">
        <v>#DIV/0!</v>
      </c>
      <c r="M16" s="70" t="e">
        <v>#DIV/0!</v>
      </c>
      <c r="N16" s="70">
        <v>22.526606981912643</v>
      </c>
      <c r="O16" s="70">
        <v>15.871172837201808</v>
      </c>
      <c r="P16" s="70">
        <v>12.263682404804332</v>
      </c>
      <c r="Q16" s="70">
        <v>12.450928105259674</v>
      </c>
      <c r="R16" s="70">
        <v>10.612425109503999</v>
      </c>
      <c r="S16" s="70">
        <v>12.906676942850837</v>
      </c>
      <c r="T16" s="70">
        <v>10.137244075373776</v>
      </c>
      <c r="U16" s="70">
        <v>5.6930714437255281</v>
      </c>
      <c r="V16" s="70">
        <v>1.4118621255108321</v>
      </c>
      <c r="W16" s="70">
        <v>-2.9459425949473816</v>
      </c>
      <c r="X16" s="70">
        <v>15.070072225658325</v>
      </c>
      <c r="Y16" s="70">
        <v>15.47838253341367</v>
      </c>
      <c r="Z16" s="70">
        <v>19.862071805776814</v>
      </c>
      <c r="AA16" s="70">
        <v>24.219904414406336</v>
      </c>
      <c r="AB16" s="70">
        <v>-1.2076797810869788</v>
      </c>
      <c r="AC16" s="70">
        <v>0.87778451020483761</v>
      </c>
      <c r="AD16" s="70">
        <v>-0.28945829007351875</v>
      </c>
      <c r="AE16" s="70">
        <v>-1.3414313264128674</v>
      </c>
      <c r="AF16" s="70">
        <v>3.6629098233466717</v>
      </c>
      <c r="AG16" s="70">
        <v>5.535221096653653</v>
      </c>
      <c r="AH16" s="70">
        <v>7.6623905143258675</v>
      </c>
      <c r="AI16" s="70">
        <v>6.2619796194050892</v>
      </c>
      <c r="AJ16" s="70">
        <v>7.0504994696255263</v>
      </c>
      <c r="AK16" s="70">
        <v>1.9565987637184978</v>
      </c>
      <c r="AL16" s="70">
        <v>2.3034612219043016</v>
      </c>
      <c r="AM16" s="70">
        <v>3.7887363879597347</v>
      </c>
      <c r="AN16" s="70">
        <v>3.4207632479550165</v>
      </c>
      <c r="AO16" s="70">
        <v>6.4229178528301567</v>
      </c>
      <c r="AP16" s="70">
        <v>6.1415030488861211</v>
      </c>
      <c r="AQ16" s="70">
        <v>9.432327904209048</v>
      </c>
      <c r="AR16" s="70">
        <v>14.545286016086067</v>
      </c>
      <c r="AS16" s="70">
        <v>9.0047430813798854</v>
      </c>
      <c r="AT16" s="70">
        <v>10.700578471387413</v>
      </c>
      <c r="AU16" s="70">
        <v>7.7590666039172085</v>
      </c>
      <c r="AV16" s="70">
        <v>1.8638187729325129</v>
      </c>
      <c r="AW16" s="70">
        <v>1.6903329193527661</v>
      </c>
      <c r="AX16" s="70">
        <v>-4.3102908907444171E-2</v>
      </c>
      <c r="AY16" s="70">
        <v>-0.19762630508139978</v>
      </c>
      <c r="AZ16" s="70">
        <v>2.1198978324075357</v>
      </c>
      <c r="BA16" s="70">
        <v>8.1717764036230314</v>
      </c>
      <c r="BB16" s="70">
        <v>12.293811040805625</v>
      </c>
      <c r="BC16" s="70">
        <v>15.656239682143269</v>
      </c>
      <c r="BD16" s="70">
        <v>17.016474924066859</v>
      </c>
      <c r="BE16" s="70">
        <v>-0.82784518091794101</v>
      </c>
      <c r="BF16" s="70">
        <v>8.8043734387907904</v>
      </c>
      <c r="BG16" s="70">
        <v>8.9563824928792446</v>
      </c>
      <c r="BH16" s="70">
        <v>7.4383341582382245</v>
      </c>
      <c r="BI16" s="70">
        <v>22.418116959948332</v>
      </c>
      <c r="BJ16" s="70">
        <v>5.0766990011722246</v>
      </c>
      <c r="BK16" s="70">
        <v>3.2750998906705187</v>
      </c>
      <c r="BL16" s="70">
        <v>2.1326469420593686</v>
      </c>
      <c r="BM16" s="70">
        <v>2.1648166548429826</v>
      </c>
      <c r="BN16" s="70">
        <v>6.0942388928783453</v>
      </c>
      <c r="BO16" s="70">
        <v>7.9300241472860744</v>
      </c>
      <c r="BP16" s="70">
        <v>8.9793904380165657</v>
      </c>
      <c r="BQ16" s="70">
        <v>10.726104131389501</v>
      </c>
      <c r="BR16" s="70">
        <v>11.911285789319548</v>
      </c>
      <c r="BS16" s="70">
        <v>8.3203213355226069</v>
      </c>
      <c r="BT16" s="70">
        <v>8.7335926254382468</v>
      </c>
      <c r="BU16" s="70">
        <v>6.8706984177180352</v>
      </c>
      <c r="BV16" s="70">
        <v>6.4461531257905991</v>
      </c>
      <c r="BW16" s="70">
        <v>10.48954050059856</v>
      </c>
      <c r="BX16" s="70">
        <v>13.415090768502559</v>
      </c>
      <c r="BY16" s="70">
        <v>16.929063370217733</v>
      </c>
      <c r="BZ16" s="70">
        <v>26.282646963399326</v>
      </c>
      <c r="CA16" s="70">
        <v>10.799047080844403</v>
      </c>
      <c r="CB16" s="70">
        <v>7.7820731265874965</v>
      </c>
    </row>
    <row r="17" spans="1:80" ht="17.100000000000001" customHeight="1" x14ac:dyDescent="0.2">
      <c r="A17" s="42" t="s">
        <v>11</v>
      </c>
      <c r="B17" s="40">
        <v>6.1012027140373792</v>
      </c>
      <c r="C17" s="40">
        <v>6.2928694933403362</v>
      </c>
      <c r="D17" s="40">
        <v>5.5805016310302547</v>
      </c>
      <c r="E17" s="40">
        <v>4.0203531892747613</v>
      </c>
      <c r="F17" s="40"/>
      <c r="G17" s="42"/>
      <c r="H17" s="81"/>
      <c r="I17" s="81"/>
      <c r="J17" s="81"/>
      <c r="K17" s="81"/>
      <c r="L17" s="70" t="e">
        <v>#DIV/0!</v>
      </c>
      <c r="M17" s="70" t="e">
        <v>#DIV/0!</v>
      </c>
      <c r="N17" s="70">
        <v>5.7282690854699281</v>
      </c>
      <c r="O17" s="70">
        <v>5.7557425805393247</v>
      </c>
      <c r="P17" s="70">
        <v>5.7493581727468213</v>
      </c>
      <c r="Q17" s="70">
        <v>6.6465100824054657</v>
      </c>
      <c r="R17" s="70">
        <v>6.0486730402701028</v>
      </c>
      <c r="S17" s="70">
        <v>6.1703256906823878</v>
      </c>
      <c r="T17" s="70">
        <v>6.1139791477198058</v>
      </c>
      <c r="U17" s="70">
        <v>6.0875562280276352</v>
      </c>
      <c r="V17" s="70">
        <v>6.5089776360032436</v>
      </c>
      <c r="W17" s="70">
        <v>6.1443879557824044</v>
      </c>
      <c r="X17" s="70">
        <v>6.0864859312110164</v>
      </c>
      <c r="Y17" s="70">
        <v>5.8187287687613942</v>
      </c>
      <c r="Z17" s="70">
        <v>7.1161806126695426</v>
      </c>
      <c r="AA17" s="70">
        <v>6.0200585949383489</v>
      </c>
      <c r="AB17" s="70">
        <v>6.2520743855045913</v>
      </c>
      <c r="AC17" s="70">
        <v>5.7602330170519078</v>
      </c>
      <c r="AD17" s="70">
        <v>5.4468733442293304</v>
      </c>
      <c r="AE17" s="70">
        <v>6.6622288132504703</v>
      </c>
      <c r="AF17" s="70">
        <v>6.5535809392175848</v>
      </c>
      <c r="AG17" s="70">
        <v>6.680772462668938</v>
      </c>
      <c r="AH17" s="70">
        <v>5.90073833438578</v>
      </c>
      <c r="AI17" s="70">
        <v>5.9443830994446945</v>
      </c>
      <c r="AJ17" s="70">
        <v>6.3545635842978232</v>
      </c>
      <c r="AK17" s="70">
        <v>6.1954863469882326</v>
      </c>
      <c r="AL17" s="70">
        <v>6.7112697106563424</v>
      </c>
      <c r="AM17" s="70">
        <v>6.4471434725201116</v>
      </c>
      <c r="AN17" s="70">
        <v>6.1803885459827068</v>
      </c>
      <c r="AO17" s="70">
        <v>5.8547827679100939</v>
      </c>
      <c r="AP17" s="70">
        <v>5.6486196218575646</v>
      </c>
      <c r="AQ17" s="70">
        <v>5.9771138877069641</v>
      </c>
      <c r="AR17" s="70">
        <v>5.230248166647411</v>
      </c>
      <c r="AS17" s="70">
        <v>5.4762480695195181</v>
      </c>
      <c r="AT17" s="70">
        <v>4.5583455658347871</v>
      </c>
      <c r="AU17" s="70">
        <v>4.0062086354445414</v>
      </c>
      <c r="AV17" s="70">
        <v>3.8152152385888538</v>
      </c>
      <c r="AW17" s="70">
        <v>3.7176010245744795</v>
      </c>
      <c r="AX17" s="70">
        <v>4.4692095530691978</v>
      </c>
      <c r="AY17" s="70">
        <v>4.7554987351333011</v>
      </c>
      <c r="AZ17" s="70">
        <v>4.8286694672172281</v>
      </c>
      <c r="BA17" s="70">
        <v>4.8631426507105724</v>
      </c>
      <c r="BB17" s="70">
        <v>4.3248109930559719</v>
      </c>
      <c r="BC17" s="70">
        <v>3.909537529880347</v>
      </c>
      <c r="BD17" s="70">
        <v>4.2073318949013228</v>
      </c>
      <c r="BE17" s="70">
        <v>3.9557655220342269</v>
      </c>
      <c r="BF17" s="70">
        <v>4.5281955387638684</v>
      </c>
      <c r="BG17" s="70">
        <v>4.8021025693496533</v>
      </c>
      <c r="BH17" s="70">
        <v>4.5836906408021516</v>
      </c>
      <c r="BI17" s="70">
        <v>5.144604836808786</v>
      </c>
      <c r="BJ17" s="70">
        <v>5.9098788190266038</v>
      </c>
      <c r="BK17" s="70">
        <v>6.3393023938547399</v>
      </c>
      <c r="BL17" s="70">
        <v>6.5838490780246062</v>
      </c>
      <c r="BM17" s="70">
        <v>6.2848493199120448</v>
      </c>
      <c r="BN17" s="70">
        <v>4.7181389192171297</v>
      </c>
      <c r="BO17" s="70">
        <v>3.8790669137907852</v>
      </c>
      <c r="BP17" s="70">
        <v>3.9146173122709182</v>
      </c>
      <c r="BQ17" s="70">
        <v>4.2340185183740608</v>
      </c>
      <c r="BR17" s="70">
        <v>5.2962424783316919</v>
      </c>
      <c r="BS17" s="70">
        <v>5.376620091067208</v>
      </c>
      <c r="BT17" s="70">
        <v>5.1766662653888185</v>
      </c>
      <c r="BU17" s="70">
        <v>5.3644072156718847</v>
      </c>
      <c r="BV17" s="70">
        <v>3.4828395848433225</v>
      </c>
      <c r="BW17" s="70">
        <v>3.0966966064942314</v>
      </c>
      <c r="BX17" s="70">
        <v>2.3872795294151539</v>
      </c>
      <c r="BY17" s="70">
        <v>1.5456048147413304</v>
      </c>
      <c r="BZ17" s="70">
        <v>2.8172954455983445</v>
      </c>
      <c r="CA17" s="70">
        <v>3.328228202295036</v>
      </c>
      <c r="CB17" s="70">
        <v>4.2348461564722051</v>
      </c>
    </row>
    <row r="18" spans="1:80" ht="17.100000000000001" customHeight="1" x14ac:dyDescent="0.2">
      <c r="A18" s="72" t="s">
        <v>12</v>
      </c>
      <c r="B18" s="40">
        <v>1.943152476150023</v>
      </c>
      <c r="C18" s="40">
        <v>7.2975246598121712</v>
      </c>
      <c r="D18" s="40">
        <v>11.723720693838157</v>
      </c>
      <c r="E18" s="40">
        <v>7.6005845753262635</v>
      </c>
      <c r="F18" s="40"/>
      <c r="G18" s="72"/>
      <c r="H18" s="81"/>
      <c r="I18" s="81"/>
      <c r="J18" s="81"/>
      <c r="K18" s="81"/>
      <c r="L18" s="70" t="e">
        <v>#DIV/0!</v>
      </c>
      <c r="M18" s="70" t="e">
        <v>#DIV/0!</v>
      </c>
      <c r="N18" s="70">
        <v>44.717810027961406</v>
      </c>
      <c r="O18" s="70">
        <v>25.525463563578988</v>
      </c>
      <c r="P18" s="70">
        <v>43.456189524678045</v>
      </c>
      <c r="Q18" s="70">
        <v>-29.255466444098921</v>
      </c>
      <c r="R18" s="70">
        <v>-9.8134063853583591</v>
      </c>
      <c r="S18" s="70">
        <v>5.4440953517763457</v>
      </c>
      <c r="T18" s="70">
        <v>35.774415747092945</v>
      </c>
      <c r="U18" s="70">
        <v>34.89085323190708</v>
      </c>
      <c r="V18" s="70">
        <v>19.30079076655047</v>
      </c>
      <c r="W18" s="70">
        <v>5.6888595608326487</v>
      </c>
      <c r="X18" s="70">
        <v>-6.9443069532369446</v>
      </c>
      <c r="Y18" s="70">
        <v>0.61700084011959699</v>
      </c>
      <c r="Z18" s="70">
        <v>7.8407400171258912</v>
      </c>
      <c r="AA18" s="70">
        <v>16.418833572969447</v>
      </c>
      <c r="AB18" s="70">
        <v>15.037147718240874</v>
      </c>
      <c r="AC18" s="70">
        <v>-20.557976708640503</v>
      </c>
      <c r="AD18" s="70">
        <v>8.2998261581910917</v>
      </c>
      <c r="AE18" s="70">
        <v>2.8466924262315674</v>
      </c>
      <c r="AF18" s="70">
        <v>1.2242127166322447</v>
      </c>
      <c r="AG18" s="70">
        <v>46.16591287695455</v>
      </c>
      <c r="AH18" s="70">
        <v>-1.645251157186256</v>
      </c>
      <c r="AI18" s="70">
        <v>2.0279720023077097</v>
      </c>
      <c r="AJ18" s="70">
        <v>2.0593873886661784</v>
      </c>
      <c r="AK18" s="70">
        <v>5.1926902207889425</v>
      </c>
      <c r="AL18" s="70">
        <v>7.8942269110366947</v>
      </c>
      <c r="AM18" s="70">
        <v>9.9325049916699992</v>
      </c>
      <c r="AN18" s="70">
        <v>15.153040736180333</v>
      </c>
      <c r="AO18" s="70">
        <v>-2.6291624624156795</v>
      </c>
      <c r="AP18" s="70">
        <v>11.799601069471333</v>
      </c>
      <c r="AQ18" s="70">
        <v>13.793985613682015</v>
      </c>
      <c r="AR18" s="70">
        <v>6.8802813408518571</v>
      </c>
      <c r="AS18" s="70">
        <v>14.49369969127674</v>
      </c>
      <c r="AT18" s="70">
        <v>2.9974710842862962</v>
      </c>
      <c r="AU18" s="70">
        <v>0.27423972391513729</v>
      </c>
      <c r="AV18" s="70">
        <v>11.334892666472385</v>
      </c>
      <c r="AW18" s="70">
        <v>16.159827017513486</v>
      </c>
      <c r="AX18" s="70">
        <v>15.562650414471712</v>
      </c>
      <c r="AY18" s="70">
        <v>16.406973873230623</v>
      </c>
      <c r="AZ18" s="70">
        <v>13.141968159115525</v>
      </c>
      <c r="BA18" s="70">
        <v>11.970938799346076</v>
      </c>
      <c r="BB18" s="70">
        <v>6.9938075689472079</v>
      </c>
      <c r="BC18" s="70">
        <v>5.6023043436163933</v>
      </c>
      <c r="BD18" s="70">
        <v>7.803623912210722</v>
      </c>
      <c r="BE18" s="70">
        <v>-4.574231129644124</v>
      </c>
      <c r="BF18" s="70">
        <v>-13.844273707211595</v>
      </c>
      <c r="BG18" s="70">
        <v>4.0347404189196689</v>
      </c>
      <c r="BH18" s="70">
        <v>6.2656774667191995</v>
      </c>
      <c r="BI18" s="70">
        <v>17.641803506560084</v>
      </c>
      <c r="BJ18" s="70">
        <v>35.586341816961742</v>
      </c>
      <c r="BK18" s="70">
        <v>3.2452975706520393</v>
      </c>
      <c r="BL18" s="70">
        <v>-5.8444525847966222</v>
      </c>
      <c r="BM18" s="70">
        <v>-4.451395076883891</v>
      </c>
      <c r="BN18" s="70">
        <v>-0.44535846628115383</v>
      </c>
      <c r="BO18" s="70">
        <v>-9.0876626991431841E-2</v>
      </c>
      <c r="BP18" s="70">
        <v>9.8392089046479558</v>
      </c>
      <c r="BQ18" s="70">
        <v>10.672642889997807</v>
      </c>
      <c r="BR18" s="70">
        <v>2.2440482109530091</v>
      </c>
      <c r="BS18" s="70">
        <v>4.1605660395838573</v>
      </c>
      <c r="BT18" s="70">
        <v>11.406002246503943</v>
      </c>
      <c r="BU18" s="70">
        <v>10.94133946886946</v>
      </c>
      <c r="BV18" s="70">
        <v>9.2645718033803384</v>
      </c>
      <c r="BW18" s="70">
        <v>7.9062767081930385</v>
      </c>
      <c r="BX18" s="70">
        <v>14.001409941145893</v>
      </c>
      <c r="BY18" s="70">
        <v>13.02929691573167</v>
      </c>
      <c r="BZ18" s="70">
        <v>11.659360986982325</v>
      </c>
      <c r="CA18" s="70">
        <v>19.416735749009728</v>
      </c>
      <c r="CB18" s="70">
        <v>7.239174548926175</v>
      </c>
    </row>
    <row r="19" spans="1:80" s="141" customFormat="1" ht="17.100000000000001" customHeight="1" x14ac:dyDescent="0.2">
      <c r="A19" s="160" t="s">
        <v>94</v>
      </c>
      <c r="B19" s="160">
        <v>5.7252602008539988</v>
      </c>
      <c r="C19" s="160">
        <v>4.9685517288491132</v>
      </c>
      <c r="D19" s="160">
        <v>0.1080346067565241</v>
      </c>
      <c r="E19" s="160">
        <v>8.5162570240401294</v>
      </c>
      <c r="F19" s="160"/>
      <c r="G19" s="160"/>
      <c r="H19" s="161"/>
      <c r="I19" s="161"/>
      <c r="J19" s="161"/>
      <c r="K19" s="161"/>
      <c r="L19" s="170" t="e">
        <v>#DIV/0!</v>
      </c>
      <c r="M19" s="170" t="e">
        <v>#DIV/0!</v>
      </c>
      <c r="N19" s="170">
        <v>20.374508215561193</v>
      </c>
      <c r="O19" s="170">
        <v>22.213773428158667</v>
      </c>
      <c r="P19" s="170">
        <v>26.306818439347389</v>
      </c>
      <c r="Q19" s="170">
        <v>22.211880776216208</v>
      </c>
      <c r="R19" s="170">
        <v>19.162203389642052</v>
      </c>
      <c r="S19" s="170">
        <v>14.759591797736494</v>
      </c>
      <c r="T19" s="170">
        <v>8.6587583536125621</v>
      </c>
      <c r="U19" s="170">
        <v>1.0149722301955322E-2</v>
      </c>
      <c r="V19" s="170">
        <v>1.1068078029311756</v>
      </c>
      <c r="W19" s="170">
        <v>-1.394228044248047E-2</v>
      </c>
      <c r="X19" s="170">
        <v>3.4092216443748491E-2</v>
      </c>
      <c r="Y19" s="170">
        <v>10.452351054087394</v>
      </c>
      <c r="Z19" s="170">
        <v>7.8643215409283318</v>
      </c>
      <c r="AA19" s="170">
        <v>6.1727908924728236</v>
      </c>
      <c r="AB19" s="170">
        <v>0.46720325141920149</v>
      </c>
      <c r="AC19" s="170">
        <v>0.94096568661461433</v>
      </c>
      <c r="AD19" s="170">
        <v>-4.8960840940913801</v>
      </c>
      <c r="AE19" s="170">
        <v>0.93185245108879933</v>
      </c>
      <c r="AF19" s="170">
        <v>9.7402358788529533</v>
      </c>
      <c r="AG19" s="170">
        <v>13.724574393283874</v>
      </c>
      <c r="AH19" s="170">
        <v>7.3375092569426981</v>
      </c>
      <c r="AI19" s="170">
        <v>11.073626330678167</v>
      </c>
      <c r="AJ19" s="170">
        <v>5.1283415701489865</v>
      </c>
      <c r="AK19" s="170">
        <v>0.19552665958884052</v>
      </c>
      <c r="AL19" s="170">
        <v>12.275884805470882</v>
      </c>
      <c r="AM19" s="170">
        <v>7.7511857064373135</v>
      </c>
      <c r="AN19" s="170">
        <v>0.40701707830357314</v>
      </c>
      <c r="AO19" s="170">
        <v>-0.16135333210698377</v>
      </c>
      <c r="AP19" s="170">
        <v>-2.4907341406145034</v>
      </c>
      <c r="AQ19" s="170">
        <v>-3.7360090149601177</v>
      </c>
      <c r="AR19" s="170">
        <v>2.5175007417198803</v>
      </c>
      <c r="AS19" s="170">
        <v>4.5088343483790316</v>
      </c>
      <c r="AT19" s="170">
        <v>7.7450718660244666</v>
      </c>
      <c r="AU19" s="170">
        <v>10.715277115623568</v>
      </c>
      <c r="AV19" s="170">
        <v>9.1042744052119318</v>
      </c>
      <c r="AW19" s="170">
        <v>6.5993997410431993</v>
      </c>
      <c r="AX19" s="170">
        <v>6.9344150811826655</v>
      </c>
      <c r="AY19" s="170">
        <v>4.3196164302073292</v>
      </c>
      <c r="AZ19" s="170">
        <v>6.1470325846066487</v>
      </c>
      <c r="BA19" s="170">
        <v>5.9465301268559756</v>
      </c>
      <c r="BB19" s="170">
        <v>6.5765580143748892</v>
      </c>
      <c r="BC19" s="170">
        <v>7.4738827893539028</v>
      </c>
      <c r="BD19" s="170">
        <v>1.520501256219009</v>
      </c>
      <c r="BE19" s="170">
        <v>-5.5218534923207834</v>
      </c>
      <c r="BF19" s="170">
        <v>-3.679347659317278</v>
      </c>
      <c r="BG19" s="170">
        <v>-2.0424320334529567</v>
      </c>
      <c r="BH19" s="170">
        <v>5.2788270531512138</v>
      </c>
      <c r="BI19" s="170">
        <v>12.807022294530634</v>
      </c>
      <c r="BJ19" s="170">
        <v>2.9730666675154005</v>
      </c>
      <c r="BK19" s="170">
        <v>5.8856353411684603</v>
      </c>
      <c r="BL19" s="170">
        <v>3.9715352291976203</v>
      </c>
      <c r="BM19" s="170">
        <v>3.3469496923427711</v>
      </c>
      <c r="BN19" s="170">
        <v>8.670368818347395</v>
      </c>
      <c r="BO19" s="170">
        <v>4.7269825402485477</v>
      </c>
      <c r="BP19" s="170">
        <v>1.5420013088479401</v>
      </c>
      <c r="BQ19" s="170">
        <v>8.9260994726644292</v>
      </c>
      <c r="BR19" s="170">
        <v>2.6713069189930438</v>
      </c>
      <c r="BS19" s="170">
        <v>8.3223193724137232</v>
      </c>
      <c r="BT19" s="170">
        <v>8.0640636430651327</v>
      </c>
      <c r="BU19" s="170">
        <v>6.50508704291759</v>
      </c>
      <c r="BV19" s="170">
        <v>5.9861799343400746</v>
      </c>
      <c r="BW19" s="170">
        <v>2.2328288079326963</v>
      </c>
      <c r="BX19" s="170">
        <v>8.7021832601590798</v>
      </c>
      <c r="BY19" s="170">
        <v>4.9505378057879801</v>
      </c>
      <c r="BZ19" s="170">
        <v>5.6881024182068085</v>
      </c>
      <c r="CA19" s="170">
        <v>6.2357551053084048</v>
      </c>
      <c r="CB19" s="170">
        <v>5.865581240278317</v>
      </c>
    </row>
    <row r="20" spans="1:80" ht="17.100000000000001" customHeight="1" x14ac:dyDescent="0.2">
      <c r="A20" s="82" t="s">
        <v>52</v>
      </c>
      <c r="B20" s="40">
        <v>3.1570184702377491</v>
      </c>
      <c r="C20" s="40">
        <v>3.4791904763274539</v>
      </c>
      <c r="D20" s="40">
        <v>-1.2533621648734616</v>
      </c>
      <c r="E20" s="40">
        <v>7.4737920186639384</v>
      </c>
      <c r="F20" s="40"/>
      <c r="G20" s="83"/>
      <c r="H20" s="81"/>
      <c r="I20" s="81"/>
      <c r="J20" s="81"/>
      <c r="K20" s="81"/>
      <c r="L20" s="70" t="e">
        <v>#DIV/0!</v>
      </c>
      <c r="M20" s="70" t="e">
        <v>#DIV/0!</v>
      </c>
      <c r="N20" s="70">
        <v>20.268383174984915</v>
      </c>
      <c r="O20" s="70">
        <v>10.380385944347537</v>
      </c>
      <c r="P20" s="70">
        <v>-9.1627306070994905</v>
      </c>
      <c r="Q20" s="70">
        <v>-10.581326302112959</v>
      </c>
      <c r="R20" s="70">
        <v>-7.5509079429793342</v>
      </c>
      <c r="S20" s="70">
        <v>9.2568999114810211</v>
      </c>
      <c r="T20" s="70">
        <v>41.782641234843965</v>
      </c>
      <c r="U20" s="70">
        <v>-1.9789562662896776</v>
      </c>
      <c r="V20" s="70">
        <v>17.611559687654712</v>
      </c>
      <c r="W20" s="70">
        <v>-2.2635540000155108</v>
      </c>
      <c r="X20" s="70">
        <v>-21.039461558579898</v>
      </c>
      <c r="Y20" s="70">
        <v>16.157395377262173</v>
      </c>
      <c r="Z20" s="70">
        <v>7.2486169323684457</v>
      </c>
      <c r="AA20" s="70">
        <v>6.308547144258414</v>
      </c>
      <c r="AB20" s="70">
        <v>-1.5791910870674442</v>
      </c>
      <c r="AC20" s="70">
        <v>-1.1073486407183974</v>
      </c>
      <c r="AD20" s="70">
        <v>-9.3763106395881923</v>
      </c>
      <c r="AE20" s="70">
        <v>-2.0957991837026957</v>
      </c>
      <c r="AF20" s="70">
        <v>2.4011130000868963</v>
      </c>
      <c r="AG20" s="70">
        <v>3.1364555632333646</v>
      </c>
      <c r="AH20" s="70">
        <v>2.0151967019055306</v>
      </c>
      <c r="AI20" s="70">
        <v>8.2903567205748541</v>
      </c>
      <c r="AJ20" s="70">
        <v>2.8260010139104397</v>
      </c>
      <c r="AK20" s="70">
        <v>6.6508126647590871E-2</v>
      </c>
      <c r="AL20" s="70">
        <v>11.372985337934182</v>
      </c>
      <c r="AM20" s="70">
        <v>9.5930443356391883</v>
      </c>
      <c r="AN20" s="70">
        <v>-4.7396735538191237</v>
      </c>
      <c r="AO20" s="70">
        <v>-2.763918046910907</v>
      </c>
      <c r="AP20" s="70">
        <v>-8.164960281978761</v>
      </c>
      <c r="AQ20" s="70">
        <v>-7.3821219615019302</v>
      </c>
      <c r="AR20" s="70">
        <v>8.0452780168016158</v>
      </c>
      <c r="AS20" s="70">
        <v>4.9308722284144402</v>
      </c>
      <c r="AT20" s="70">
        <v>5.6911984863592613</v>
      </c>
      <c r="AU20" s="70">
        <v>11.57998590085092</v>
      </c>
      <c r="AV20" s="70">
        <v>7.5561947934315254</v>
      </c>
      <c r="AW20" s="70">
        <v>5.3211438250591048</v>
      </c>
      <c r="AX20" s="70">
        <v>7.5541307495821775</v>
      </c>
      <c r="AY20" s="70">
        <v>3.2159308597668801</v>
      </c>
      <c r="AZ20" s="70">
        <v>6.1121134785016684</v>
      </c>
      <c r="BA20" s="70">
        <v>2.8317831552553852</v>
      </c>
      <c r="BB20" s="70">
        <v>4.3666527590065618</v>
      </c>
      <c r="BC20" s="70">
        <v>5.0990697753321435</v>
      </c>
      <c r="BD20" s="70">
        <v>-3.1770575278798341</v>
      </c>
      <c r="BE20" s="70">
        <v>-12.062973095556407</v>
      </c>
      <c r="BF20" s="70">
        <v>-2.7632328748299129</v>
      </c>
      <c r="BG20" s="70">
        <v>-7.1751540547393962</v>
      </c>
      <c r="BH20" s="70">
        <v>-2.8962622051842191</v>
      </c>
      <c r="BI20" s="70">
        <v>12.701758626253024</v>
      </c>
      <c r="BJ20" s="70">
        <v>-5.43820541055553</v>
      </c>
      <c r="BK20" s="70">
        <v>4.2343218791475179</v>
      </c>
      <c r="BL20" s="70">
        <v>9.1541843411877544</v>
      </c>
      <c r="BM20" s="70">
        <v>6.8821158807720773</v>
      </c>
      <c r="BN20" s="70">
        <v>5.9899291997090431</v>
      </c>
      <c r="BO20" s="70">
        <v>2.2153882684932125</v>
      </c>
      <c r="BP20" s="70">
        <v>-0.69557446076269347</v>
      </c>
      <c r="BQ20" s="70">
        <v>7.7560919093310199</v>
      </c>
      <c r="BR20" s="70">
        <v>12.084538253806754</v>
      </c>
      <c r="BS20" s="70">
        <v>8.5197677091910951</v>
      </c>
      <c r="BT20" s="70">
        <v>9.5936596268860299</v>
      </c>
      <c r="BU20" s="70">
        <v>7.1958738179955128</v>
      </c>
      <c r="BV20" s="70">
        <v>10.27005338243181</v>
      </c>
      <c r="BW20" s="70">
        <v>7.4696605352004619</v>
      </c>
      <c r="BX20" s="70">
        <v>11.354877381850859</v>
      </c>
      <c r="BY20" s="70">
        <v>7.0089551930559546</v>
      </c>
      <c r="BZ20" s="70">
        <v>6.1769750880768637</v>
      </c>
      <c r="CA20" s="70">
        <v>4.8980027424447181</v>
      </c>
      <c r="CB20" s="70">
        <v>5.4666519726654039</v>
      </c>
    </row>
    <row r="21" spans="1:80" ht="17.100000000000001" customHeight="1" x14ac:dyDescent="0.2">
      <c r="A21" s="82" t="s">
        <v>53</v>
      </c>
      <c r="B21" s="40">
        <v>6.5628815947278873</v>
      </c>
      <c r="C21" s="40">
        <v>8.1543030117035684</v>
      </c>
      <c r="D21" s="40">
        <v>2.3370666482146696</v>
      </c>
      <c r="E21" s="40">
        <v>11.254778105879716</v>
      </c>
      <c r="F21" s="40"/>
      <c r="G21" s="83"/>
      <c r="H21" s="81"/>
      <c r="I21" s="81"/>
      <c r="J21" s="81"/>
      <c r="K21" s="81"/>
      <c r="L21" s="70" t="e">
        <v>#DIV/0!</v>
      </c>
      <c r="M21" s="70" t="e">
        <v>#DIV/0!</v>
      </c>
      <c r="N21" s="70">
        <v>10.544352807539493</v>
      </c>
      <c r="O21" s="70">
        <v>12.490829215129096</v>
      </c>
      <c r="P21" s="70">
        <v>6.6263228296646437</v>
      </c>
      <c r="Q21" s="70">
        <v>5.1662475166571742</v>
      </c>
      <c r="R21" s="70">
        <v>2.8650278587111888</v>
      </c>
      <c r="S21" s="70">
        <v>6.8221045036623185</v>
      </c>
      <c r="T21" s="70">
        <v>21.844548611755378</v>
      </c>
      <c r="U21" s="70">
        <v>6.8087878866538887</v>
      </c>
      <c r="V21" s="70">
        <v>19.100671419078274</v>
      </c>
      <c r="W21" s="70">
        <v>9.0068343151107797</v>
      </c>
      <c r="X21" s="70">
        <v>-3.0398189334456815</v>
      </c>
      <c r="Y21" s="70">
        <v>7.6086892802277317</v>
      </c>
      <c r="Z21" s="70">
        <v>2.9996532940218534</v>
      </c>
      <c r="AA21" s="70">
        <v>6.0510768473167609</v>
      </c>
      <c r="AB21" s="70">
        <v>4.0109169018784252</v>
      </c>
      <c r="AC21" s="70">
        <v>6.5859376228868172</v>
      </c>
      <c r="AD21" s="70">
        <v>2.1780939153039025</v>
      </c>
      <c r="AE21" s="70">
        <v>6.0730266569556157</v>
      </c>
      <c r="AF21" s="70">
        <v>9.2002037303397834</v>
      </c>
      <c r="AG21" s="70">
        <v>6.9615342955208659</v>
      </c>
      <c r="AH21" s="70">
        <v>6.029035318654663</v>
      </c>
      <c r="AI21" s="70">
        <v>5.8599945185201729</v>
      </c>
      <c r="AJ21" s="70">
        <v>6.0527963080623026</v>
      </c>
      <c r="AK21" s="70">
        <v>8.2575188770542152</v>
      </c>
      <c r="AL21" s="70">
        <v>10.144507542573432</v>
      </c>
      <c r="AM21" s="70">
        <v>15.554800728733319</v>
      </c>
      <c r="AN21" s="70">
        <v>4.4986418633942149</v>
      </c>
      <c r="AO21" s="70">
        <v>2.8959227378047459</v>
      </c>
      <c r="AP21" s="70">
        <v>0.51489417529264614</v>
      </c>
      <c r="AQ21" s="70">
        <v>-4.1751832634171144</v>
      </c>
      <c r="AR21" s="70">
        <v>5.5160879801765761</v>
      </c>
      <c r="AS21" s="70">
        <v>7.8892463918477818</v>
      </c>
      <c r="AT21" s="70">
        <v>11.035093062632395</v>
      </c>
      <c r="AU21" s="70">
        <v>11.993096020170423</v>
      </c>
      <c r="AV21" s="70">
        <v>12.341210318588281</v>
      </c>
      <c r="AW21" s="70">
        <v>9.7370847201530211</v>
      </c>
      <c r="AX21" s="70">
        <v>3.0913646039602005</v>
      </c>
      <c r="AY21" s="70">
        <v>0.40709826234810453</v>
      </c>
      <c r="AZ21" s="70">
        <v>0.45822364571179719</v>
      </c>
      <c r="BA21" s="70">
        <v>-0.51614336008349859</v>
      </c>
      <c r="BB21" s="70">
        <v>4.0784378595559945</v>
      </c>
      <c r="BC21" s="70">
        <v>1.8562483599342317</v>
      </c>
      <c r="BD21" s="70">
        <v>-2.3113100724502011</v>
      </c>
      <c r="BE21" s="70">
        <v>-10.317459926353855</v>
      </c>
      <c r="BF21" s="70">
        <v>-7.2732657842651482</v>
      </c>
      <c r="BG21" s="70">
        <v>-2.677539551874264</v>
      </c>
      <c r="BH21" s="70">
        <v>1.4133736623397342</v>
      </c>
      <c r="BI21" s="70">
        <v>8.4136610503785292</v>
      </c>
      <c r="BJ21" s="70">
        <v>-8.6920747591360819</v>
      </c>
      <c r="BK21" s="70">
        <v>-2.1481695759080321</v>
      </c>
      <c r="BL21" s="70">
        <v>3.1876391253113479</v>
      </c>
      <c r="BM21" s="70">
        <v>-7.7795876677334004</v>
      </c>
      <c r="BN21" s="70">
        <v>-6.7600285279070471</v>
      </c>
      <c r="BO21" s="70">
        <v>-2.3159242001967173</v>
      </c>
      <c r="BP21" s="70">
        <v>-9.5641620980643332</v>
      </c>
      <c r="BQ21" s="70">
        <v>-2.476877217829998</v>
      </c>
      <c r="BR21" s="70">
        <v>6.0987948780815815</v>
      </c>
      <c r="BS21" s="70">
        <v>6.4178496390776107</v>
      </c>
      <c r="BT21" s="70">
        <v>12.481339744637454</v>
      </c>
      <c r="BU21" s="70">
        <v>16.241652449067722</v>
      </c>
      <c r="BV21" s="70">
        <v>14.16762686793993</v>
      </c>
      <c r="BW21" s="70">
        <v>9.7856021256019545</v>
      </c>
      <c r="BX21" s="70">
        <v>13.148342549005697</v>
      </c>
      <c r="BY21" s="70">
        <v>11.96491639033459</v>
      </c>
      <c r="BZ21" s="70">
        <v>7.5558844141022874</v>
      </c>
      <c r="CA21" s="70">
        <v>11.907258178625547</v>
      </c>
      <c r="CB21" s="70">
        <v>4.9681758295502254</v>
      </c>
    </row>
    <row r="22" spans="1:80" ht="17.100000000000001" customHeight="1" x14ac:dyDescent="0.2">
      <c r="A22" s="82" t="s">
        <v>55</v>
      </c>
      <c r="B22" s="40">
        <v>-0.45644771010613372</v>
      </c>
      <c r="C22" s="40">
        <v>5.721256409451092</v>
      </c>
      <c r="D22" s="40">
        <v>19.677316864665471</v>
      </c>
      <c r="E22" s="40">
        <v>10.667801280837974</v>
      </c>
      <c r="F22" s="40"/>
      <c r="G22" s="83"/>
      <c r="H22" s="81"/>
      <c r="I22" s="81"/>
      <c r="J22" s="81"/>
      <c r="K22" s="81"/>
      <c r="L22" s="70" t="e">
        <v>#DIV/0!</v>
      </c>
      <c r="M22" s="70" t="e">
        <v>#DIV/0!</v>
      </c>
      <c r="N22" s="70">
        <v>-1.7760249780138682</v>
      </c>
      <c r="O22" s="70">
        <v>21.371315380408085</v>
      </c>
      <c r="P22" s="70">
        <v>22.938234622728991</v>
      </c>
      <c r="Q22" s="70">
        <v>23.691114373036882</v>
      </c>
      <c r="R22" s="70">
        <v>3.2297019714669695</v>
      </c>
      <c r="S22" s="70">
        <v>-1.3763631818491939</v>
      </c>
      <c r="T22" s="70">
        <v>13.813137669326636</v>
      </c>
      <c r="U22" s="70">
        <v>11.82379224926111</v>
      </c>
      <c r="V22" s="70">
        <v>21.848179439901671</v>
      </c>
      <c r="W22" s="70">
        <v>12.641348785237572</v>
      </c>
      <c r="X22" s="70">
        <v>2.0492841489643032</v>
      </c>
      <c r="Y22" s="70">
        <v>2.1248051932985401</v>
      </c>
      <c r="Z22" s="70">
        <v>8.9607701978118293</v>
      </c>
      <c r="AA22" s="70">
        <v>-2.1842636577186547</v>
      </c>
      <c r="AB22" s="70">
        <v>7.5221552667885661</v>
      </c>
      <c r="AC22" s="70">
        <v>5.7316890989125513</v>
      </c>
      <c r="AD22" s="70">
        <v>0.32799937318030992</v>
      </c>
      <c r="AE22" s="70">
        <v>9.267071694667095</v>
      </c>
      <c r="AF22" s="70">
        <v>17.674863687187248</v>
      </c>
      <c r="AG22" s="70">
        <v>8.6710084481558489</v>
      </c>
      <c r="AH22" s="70">
        <v>5.3730572691835787</v>
      </c>
      <c r="AI22" s="70">
        <v>2.9781610601026465</v>
      </c>
      <c r="AJ22" s="70">
        <v>-7.2829480517382468</v>
      </c>
      <c r="AK22" s="70">
        <v>-2.1149579280912434</v>
      </c>
      <c r="AL22" s="70">
        <v>-1.3616364666381164</v>
      </c>
      <c r="AM22" s="70">
        <v>6.5607915858855392</v>
      </c>
      <c r="AN22" s="70">
        <v>12.732638865014945</v>
      </c>
      <c r="AO22" s="70">
        <v>5.467560608313371</v>
      </c>
      <c r="AP22" s="70">
        <v>18.569913089976573</v>
      </c>
      <c r="AQ22" s="70">
        <v>22.009302084251381</v>
      </c>
      <c r="AR22" s="70">
        <v>10.226658496625118</v>
      </c>
      <c r="AS22" s="70">
        <v>28.965843935743841</v>
      </c>
      <c r="AT22" s="70">
        <v>18.805724529684209</v>
      </c>
      <c r="AU22" s="70">
        <v>11.842224908806308</v>
      </c>
      <c r="AV22" s="70">
        <v>8.6554233773688871</v>
      </c>
      <c r="AW22" s="70">
        <v>3.7948276107049761</v>
      </c>
      <c r="AX22" s="70">
        <v>9.7587292188450192E-3</v>
      </c>
      <c r="AY22" s="70">
        <v>-0.36429117129922473</v>
      </c>
      <c r="AZ22" s="70">
        <v>-0.89765326865156592</v>
      </c>
      <c r="BA22" s="70">
        <v>3.1574909273804463</v>
      </c>
      <c r="BB22" s="70">
        <v>5.1291926788649356</v>
      </c>
      <c r="BC22" s="70">
        <v>9.2486382569885617</v>
      </c>
      <c r="BD22" s="70">
        <v>-2.7444655145381192</v>
      </c>
      <c r="BE22" s="70">
        <v>-45.465491318962833</v>
      </c>
      <c r="BF22" s="70">
        <v>-24.632908766382144</v>
      </c>
      <c r="BG22" s="70">
        <v>-18.671664859588844</v>
      </c>
      <c r="BH22" s="70">
        <v>2.6817194003094347</v>
      </c>
      <c r="BI22" s="70">
        <v>77.34924961049046</v>
      </c>
      <c r="BJ22" s="70">
        <v>1.4515780209178653</v>
      </c>
      <c r="BK22" s="70">
        <v>15.497311985458516</v>
      </c>
      <c r="BL22" s="70">
        <v>-19.397604086713404</v>
      </c>
      <c r="BM22" s="70">
        <v>-5.1180400914783375</v>
      </c>
      <c r="BN22" s="70">
        <v>0.67308436091362278</v>
      </c>
      <c r="BO22" s="70">
        <v>-0.45828209782725615</v>
      </c>
      <c r="BP22" s="70">
        <v>14.372516989851224</v>
      </c>
      <c r="BQ22" s="70">
        <v>35.226801953732732</v>
      </c>
      <c r="BR22" s="70">
        <v>22.874901986068387</v>
      </c>
      <c r="BS22" s="70">
        <v>-1.8573779228803766</v>
      </c>
      <c r="BT22" s="70">
        <v>13.915446382292185</v>
      </c>
      <c r="BU22" s="70">
        <v>18.838060628373011</v>
      </c>
      <c r="BV22" s="70">
        <v>12.978552649124842</v>
      </c>
      <c r="BW22" s="70">
        <v>17.288332062892508</v>
      </c>
      <c r="BX22" s="70">
        <v>14.459729016428224</v>
      </c>
      <c r="BY22" s="70">
        <v>-17.655807091842789</v>
      </c>
      <c r="BZ22" s="70">
        <v>17.134518883481633</v>
      </c>
      <c r="CA22" s="70">
        <v>15.89479530186293</v>
      </c>
      <c r="CB22" s="70">
        <v>3.8151860380356117</v>
      </c>
    </row>
    <row r="23" spans="1:80" ht="17.100000000000001" customHeight="1" x14ac:dyDescent="0.2">
      <c r="A23" s="82" t="s">
        <v>54</v>
      </c>
      <c r="B23" s="40">
        <v>-1.758739666457787</v>
      </c>
      <c r="C23" s="40">
        <v>14.070283828800756</v>
      </c>
      <c r="D23" s="40">
        <v>19.002554506149227</v>
      </c>
      <c r="E23" s="40">
        <v>10.414437234206675</v>
      </c>
      <c r="F23" s="40"/>
      <c r="G23" s="83"/>
      <c r="H23" s="81"/>
      <c r="I23" s="81"/>
      <c r="J23" s="81"/>
      <c r="K23" s="81"/>
      <c r="L23" s="70" t="e">
        <v>#DIV/0!</v>
      </c>
      <c r="M23" s="70" t="e">
        <v>#DIV/0!</v>
      </c>
      <c r="N23" s="70" t="e">
        <v>#DIV/0!</v>
      </c>
      <c r="O23" s="70" t="e">
        <v>#DIV/0!</v>
      </c>
      <c r="P23" s="70" t="e">
        <v>#DIV/0!</v>
      </c>
      <c r="Q23" s="70" t="e">
        <v>#DIV/0!</v>
      </c>
      <c r="R23" s="70">
        <v>53.480280470833883</v>
      </c>
      <c r="S23" s="70">
        <v>8.8624041459320679</v>
      </c>
      <c r="T23" s="70">
        <v>8.3163886296390146</v>
      </c>
      <c r="U23" s="70">
        <v>23.427679917242816</v>
      </c>
      <c r="V23" s="70">
        <v>11.285075180615234</v>
      </c>
      <c r="W23" s="70">
        <v>21.447571677859113</v>
      </c>
      <c r="X23" s="70">
        <v>30.80769807772452</v>
      </c>
      <c r="Y23" s="70">
        <v>11.285440691021687</v>
      </c>
      <c r="Z23" s="70">
        <v>18.688884717235908</v>
      </c>
      <c r="AA23" s="70">
        <v>15.324429002204765</v>
      </c>
      <c r="AB23" s="70">
        <v>16.671210721076534</v>
      </c>
      <c r="AC23" s="70">
        <v>21.365158288577103</v>
      </c>
      <c r="AD23" s="70">
        <v>25.919988480748589</v>
      </c>
      <c r="AE23" s="70">
        <v>19.076376577923916</v>
      </c>
      <c r="AF23" s="70">
        <v>5.8331638621858195</v>
      </c>
      <c r="AG23" s="70">
        <v>8.4851333176037222</v>
      </c>
      <c r="AH23" s="70">
        <v>-6.4268092574067843</v>
      </c>
      <c r="AI23" s="70">
        <v>-2.5969510957775777</v>
      </c>
      <c r="AJ23" s="70">
        <v>2.3692639003168203</v>
      </c>
      <c r="AK23" s="70">
        <v>-3.984647298528321E-2</v>
      </c>
      <c r="AL23" s="70">
        <v>13.13287806347525</v>
      </c>
      <c r="AM23" s="70">
        <v>12.834932031338075</v>
      </c>
      <c r="AN23" s="70">
        <v>2.787639480837667</v>
      </c>
      <c r="AO23" s="70">
        <v>27.671485189281864</v>
      </c>
      <c r="AP23" s="70">
        <v>14.6728950217746</v>
      </c>
      <c r="AQ23" s="70">
        <v>18.612604987698699</v>
      </c>
      <c r="AR23" s="127">
        <v>35.864433214656088</v>
      </c>
      <c r="AS23" s="70">
        <v>9.4178928986411456</v>
      </c>
      <c r="AT23" s="70">
        <v>14.522213599826772</v>
      </c>
      <c r="AU23" s="70">
        <v>10.766161899234227</v>
      </c>
      <c r="AV23" s="70">
        <v>10.180792398264726</v>
      </c>
      <c r="AW23" s="70">
        <v>6.5568626281798492</v>
      </c>
      <c r="AX23" s="70">
        <v>-2.5380986051481869</v>
      </c>
      <c r="AY23" s="70">
        <v>-9.3444254389858585</v>
      </c>
      <c r="AZ23" s="70">
        <v>-11.275811950051507</v>
      </c>
      <c r="BA23" s="70">
        <v>-3.7987844537295201</v>
      </c>
      <c r="BB23" s="70">
        <v>20.38456842973595</v>
      </c>
      <c r="BC23" s="70">
        <v>30.248183044123955</v>
      </c>
      <c r="BD23" s="70">
        <v>20.246896793472313</v>
      </c>
      <c r="BE23" s="70">
        <v>7.9589769210266503</v>
      </c>
      <c r="BF23" s="70">
        <v>1.0803687272528117</v>
      </c>
      <c r="BG23" s="70">
        <v>1.2448218512234321</v>
      </c>
      <c r="BH23" s="70">
        <v>16.61957043400626</v>
      </c>
      <c r="BI23" s="70">
        <v>30.792038212386743</v>
      </c>
      <c r="BJ23" s="70">
        <v>14.373045118341722</v>
      </c>
      <c r="BK23" s="70">
        <v>9.57181750163838</v>
      </c>
      <c r="BL23" s="70">
        <v>4.8930805310806624</v>
      </c>
      <c r="BM23" s="70">
        <v>1.7328529944831361</v>
      </c>
      <c r="BN23" s="70">
        <v>5.4128748638317514</v>
      </c>
      <c r="BO23" s="70">
        <v>5.1811210791930407</v>
      </c>
      <c r="BP23" s="70">
        <v>12.126266011028486</v>
      </c>
      <c r="BQ23" s="70">
        <v>18.248583658308615</v>
      </c>
      <c r="BR23" s="70">
        <v>26.710250510044563</v>
      </c>
      <c r="BS23" s="70">
        <v>17.569141441214263</v>
      </c>
      <c r="BT23" s="70">
        <v>1.0790369636733521</v>
      </c>
      <c r="BU23" s="70">
        <v>-17.72261975865057</v>
      </c>
      <c r="BV23" s="70">
        <v>0.99376708138043668</v>
      </c>
      <c r="BW23" s="70">
        <v>-1.7658145547146842</v>
      </c>
      <c r="BX23" s="70">
        <v>16.945669655677833</v>
      </c>
      <c r="BY23" s="70">
        <v>13.240867083705044</v>
      </c>
      <c r="BZ23" s="70">
        <v>-5.2668291503915938</v>
      </c>
      <c r="CA23" s="70">
        <v>4.2112694759015801</v>
      </c>
      <c r="CB23" s="70">
        <v>15.717119149389248</v>
      </c>
    </row>
    <row r="24" spans="1:80" ht="17.100000000000001" customHeight="1" x14ac:dyDescent="0.2">
      <c r="A24" s="82" t="s">
        <v>72</v>
      </c>
      <c r="B24" s="40">
        <v>10.894163416445423</v>
      </c>
      <c r="C24" s="40">
        <v>9.606986523956218</v>
      </c>
      <c r="D24" s="40">
        <v>-4.1440915674754608</v>
      </c>
      <c r="E24" s="40">
        <v>2.3140214023220196</v>
      </c>
      <c r="F24" s="40"/>
      <c r="G24" s="83"/>
      <c r="H24" s="81"/>
      <c r="I24" s="81"/>
      <c r="J24" s="81"/>
      <c r="K24" s="81"/>
      <c r="L24" s="70" t="e">
        <v>#DIV/0!</v>
      </c>
      <c r="M24" s="70" t="e">
        <v>#DIV/0!</v>
      </c>
      <c r="N24" s="70">
        <v>-6.1609466187722672</v>
      </c>
      <c r="O24" s="70">
        <v>-5.2972818306002871</v>
      </c>
      <c r="P24" s="70">
        <v>2.2528893957106444</v>
      </c>
      <c r="Q24" s="70">
        <v>13.036217505868741</v>
      </c>
      <c r="R24" s="70">
        <v>60.710204058070701</v>
      </c>
      <c r="S24" s="70">
        <v>8.1897239949333169</v>
      </c>
      <c r="T24" s="70">
        <v>-7.1575803409433814</v>
      </c>
      <c r="U24" s="70">
        <v>10.007787122516842</v>
      </c>
      <c r="V24" s="70">
        <v>-11.981266643598698</v>
      </c>
      <c r="W24" s="70">
        <v>-0.17037812345908065</v>
      </c>
      <c r="X24" s="70">
        <v>18.822457116983138</v>
      </c>
      <c r="Y24" s="70">
        <v>-5.1512803494235033</v>
      </c>
      <c r="Z24" s="70">
        <v>6.1222567299843433</v>
      </c>
      <c r="AA24" s="70">
        <v>9.0480934513570421</v>
      </c>
      <c r="AB24" s="70">
        <v>6.2953719099518635</v>
      </c>
      <c r="AC24" s="70">
        <v>11.050906086928736</v>
      </c>
      <c r="AD24" s="70">
        <v>7.923935923584069</v>
      </c>
      <c r="AE24" s="70">
        <v>12.838970591710197</v>
      </c>
      <c r="AF24" s="70">
        <v>25.024072364340345</v>
      </c>
      <c r="AG24" s="70">
        <v>25.657760047704169</v>
      </c>
      <c r="AH24" s="70">
        <v>13.27404675357462</v>
      </c>
      <c r="AI24" s="70">
        <v>25.209165979151926</v>
      </c>
      <c r="AJ24" s="70">
        <v>5.3729859745992758</v>
      </c>
      <c r="AK24" s="70">
        <v>1.6879621646449738</v>
      </c>
      <c r="AL24" s="70">
        <v>20.53012619937369</v>
      </c>
      <c r="AM24" s="70">
        <v>2.0587597644233568</v>
      </c>
      <c r="AN24" s="70">
        <v>10.851677899333435</v>
      </c>
      <c r="AO24" s="70">
        <v>5.9712261407306233</v>
      </c>
      <c r="AP24" s="70">
        <v>-8.3042827977690905</v>
      </c>
      <c r="AQ24" s="70">
        <v>-8.9860085861669603</v>
      </c>
      <c r="AR24" s="127">
        <v>-1.1196074612851104</v>
      </c>
      <c r="AS24" s="70">
        <v>2.244390477135938</v>
      </c>
      <c r="AT24" s="70">
        <v>4.0745544941404255</v>
      </c>
      <c r="AU24" s="70">
        <v>9.1260548255184037</v>
      </c>
      <c r="AV24" s="70">
        <v>-4.5772740210663692</v>
      </c>
      <c r="AW24" s="70">
        <v>1.2949705925973998</v>
      </c>
      <c r="AX24" s="70">
        <v>4.1027251674818022</v>
      </c>
      <c r="AY24" s="70">
        <v>6.2305066698297606</v>
      </c>
      <c r="AZ24" s="70">
        <v>18.775487269563239</v>
      </c>
      <c r="BA24" s="70">
        <v>15.473417149267711</v>
      </c>
      <c r="BB24" s="70">
        <v>19.678301472881831</v>
      </c>
      <c r="BC24" s="70">
        <v>18.308974924164545</v>
      </c>
      <c r="BD24" s="70">
        <v>9.5479128375771882</v>
      </c>
      <c r="BE24" s="70">
        <v>-7.4284075710674742</v>
      </c>
      <c r="BF24" s="70">
        <v>2.37171876819533</v>
      </c>
      <c r="BG24" s="70">
        <v>-1.6956532875640917</v>
      </c>
      <c r="BH24" s="70">
        <v>10.162069328620538</v>
      </c>
      <c r="BI24" s="70">
        <v>23.464239708497537</v>
      </c>
      <c r="BJ24" s="70">
        <v>-0.29319416867007453</v>
      </c>
      <c r="BK24" s="70">
        <v>3.1738879067039649</v>
      </c>
      <c r="BL24" s="70">
        <v>6.4294171665280286</v>
      </c>
      <c r="BM24" s="70">
        <v>8.4185046524549065</v>
      </c>
      <c r="BN24" s="70">
        <v>2.2213558635635566</v>
      </c>
      <c r="BO24" s="70">
        <v>14.737177742898711</v>
      </c>
      <c r="BP24" s="70">
        <v>-19.167856310629261</v>
      </c>
      <c r="BQ24" s="70">
        <v>6.7280304479753195</v>
      </c>
      <c r="BR24" s="70">
        <v>1.6795706426043111</v>
      </c>
      <c r="BS24" s="70">
        <v>-0.95144995913762909</v>
      </c>
      <c r="BT24" s="70">
        <v>5.758067181854587</v>
      </c>
      <c r="BU24" s="70">
        <v>1.7240739968754859</v>
      </c>
      <c r="BV24" s="70">
        <v>11.211622691379652</v>
      </c>
      <c r="BW24" s="70">
        <v>1.8307037992461916</v>
      </c>
      <c r="BX24" s="70">
        <v>6.2436121110582832</v>
      </c>
      <c r="BY24" s="70">
        <v>1.1396386154929772</v>
      </c>
      <c r="BZ24" s="70">
        <v>7.7896357016225659</v>
      </c>
      <c r="CA24" s="70">
        <v>7.6683532396273346</v>
      </c>
      <c r="CB24" s="70">
        <v>5.5863163996824339</v>
      </c>
    </row>
    <row r="25" spans="1:80" ht="17.100000000000001" customHeight="1" x14ac:dyDescent="0.2">
      <c r="A25" s="82" t="s">
        <v>14</v>
      </c>
      <c r="B25" s="40">
        <v>6.5071083154168763</v>
      </c>
      <c r="C25" s="40">
        <v>6.0845538782126951</v>
      </c>
      <c r="D25" s="40">
        <v>1.6345732323844286</v>
      </c>
      <c r="E25" s="40">
        <v>11.601503009485725</v>
      </c>
      <c r="F25" s="40"/>
      <c r="G25" s="83"/>
      <c r="H25" s="81"/>
      <c r="I25" s="81"/>
      <c r="J25" s="81"/>
      <c r="K25" s="81"/>
      <c r="L25" s="70" t="e">
        <v>#DIV/0!</v>
      </c>
      <c r="M25" s="70" t="e">
        <v>#DIV/0!</v>
      </c>
      <c r="N25" s="70">
        <v>-1.7674183171134561</v>
      </c>
      <c r="O25" s="70">
        <v>1.846278920504596</v>
      </c>
      <c r="P25" s="70">
        <v>8.5218907935296286</v>
      </c>
      <c r="Q25" s="70">
        <v>10.645227379121369</v>
      </c>
      <c r="R25" s="70">
        <v>13.054438376753197</v>
      </c>
      <c r="S25" s="70">
        <v>0.55735508482397389</v>
      </c>
      <c r="T25" s="70">
        <v>3.7717851524583956</v>
      </c>
      <c r="U25" s="70">
        <v>-4.6063575509652903</v>
      </c>
      <c r="V25" s="70">
        <v>-4.1168122520278345</v>
      </c>
      <c r="W25" s="70">
        <v>3.8253167455442938</v>
      </c>
      <c r="X25" s="70">
        <v>2.5775421025639345</v>
      </c>
      <c r="Y25" s="70">
        <v>16.015034958592757</v>
      </c>
      <c r="Z25" s="70">
        <v>10.566779495208522</v>
      </c>
      <c r="AA25" s="70">
        <v>5.9402659090416865</v>
      </c>
      <c r="AB25" s="70">
        <v>5.8104536539143714</v>
      </c>
      <c r="AC25" s="70">
        <v>-2.3240131067898462</v>
      </c>
      <c r="AD25" s="70">
        <v>3.6808342146592565</v>
      </c>
      <c r="AE25" s="70">
        <v>8.3892092989291669</v>
      </c>
      <c r="AF25" s="70">
        <v>6.5617140522723494</v>
      </c>
      <c r="AG25" s="70">
        <v>6.5398892517718243</v>
      </c>
      <c r="AH25" s="70">
        <v>5.7979198562731593</v>
      </c>
      <c r="AI25" s="70">
        <v>5.2559151744155708</v>
      </c>
      <c r="AJ25" s="70">
        <v>5.5733026238959482</v>
      </c>
      <c r="AK25" s="70">
        <v>9.3513773794671629</v>
      </c>
      <c r="AL25" s="70">
        <v>10.127071057610193</v>
      </c>
      <c r="AM25" s="70">
        <v>6.5923714661549226</v>
      </c>
      <c r="AN25" s="70">
        <v>6.0036594123041631</v>
      </c>
      <c r="AO25" s="70">
        <v>1.8974153732894017</v>
      </c>
      <c r="AP25" s="70">
        <v>-1.7230917312696326</v>
      </c>
      <c r="AQ25" s="70">
        <v>0.7337932285686799</v>
      </c>
      <c r="AR25" s="70">
        <v>2.1718462112660708</v>
      </c>
      <c r="AS25" s="70">
        <v>5.3882714395013132</v>
      </c>
      <c r="AT25" s="70">
        <v>9.3972088804696874</v>
      </c>
      <c r="AU25" s="70">
        <v>13.557522675998213</v>
      </c>
      <c r="AV25" s="70">
        <v>12.418161546618078</v>
      </c>
      <c r="AW25" s="70">
        <v>11.038549637985717</v>
      </c>
      <c r="AX25" s="70">
        <v>14.027302938074794</v>
      </c>
      <c r="AY25" s="70">
        <v>10.445247018050384</v>
      </c>
      <c r="AZ25" s="70">
        <v>10.535944025089417</v>
      </c>
      <c r="BA25" s="70">
        <v>5.8611512712731129</v>
      </c>
      <c r="BB25" s="70">
        <v>4.5438039634960958</v>
      </c>
      <c r="BC25" s="70">
        <v>1.2798495992184966</v>
      </c>
      <c r="BD25" s="70">
        <v>6.0740612558002782</v>
      </c>
      <c r="BE25" s="70">
        <v>8.65727432710408</v>
      </c>
      <c r="BF25" s="70">
        <v>3.7689280120962509</v>
      </c>
      <c r="BG25" s="70">
        <v>6.340069347274091</v>
      </c>
      <c r="BH25" s="70">
        <v>1.5407817054458928</v>
      </c>
      <c r="BI25" s="70">
        <v>4.0334258101717424</v>
      </c>
      <c r="BJ25" s="70">
        <v>6.8490858125873855</v>
      </c>
      <c r="BK25" s="70">
        <v>9.7074885478212423</v>
      </c>
      <c r="BL25" s="70">
        <v>9.8664739702531534</v>
      </c>
      <c r="BM25" s="70">
        <v>9.4492467333732844</v>
      </c>
      <c r="BN25" s="70">
        <v>8.5922570023635458</v>
      </c>
      <c r="BO25" s="70">
        <v>7.0868549991492946</v>
      </c>
      <c r="BP25" s="70">
        <v>6.3720562207563614</v>
      </c>
      <c r="BQ25" s="70">
        <v>7.678154008535909</v>
      </c>
      <c r="BR25" s="70">
        <v>7.3009522611199529</v>
      </c>
      <c r="BS25" s="70">
        <v>8.3316668243836656</v>
      </c>
      <c r="BT25" s="70">
        <v>8.6029770077936654</v>
      </c>
      <c r="BU25" s="70">
        <v>5.4873942932926356</v>
      </c>
      <c r="BV25" s="70">
        <v>3.4211720393873879</v>
      </c>
      <c r="BW25" s="70">
        <v>3.0092439194321141</v>
      </c>
      <c r="BX25" s="70">
        <v>6.8301651872829439</v>
      </c>
      <c r="BY25" s="70">
        <v>6.2155729968347284</v>
      </c>
      <c r="BZ25" s="70">
        <v>8.1754147652356224</v>
      </c>
      <c r="CA25" s="70">
        <v>6.1405573485844522</v>
      </c>
      <c r="CB25" s="70">
        <v>6.8774667938271694</v>
      </c>
    </row>
    <row r="26" spans="1:80" ht="17.100000000000001" customHeight="1" x14ac:dyDescent="0.2">
      <c r="A26" s="82" t="s">
        <v>56</v>
      </c>
      <c r="B26" s="40">
        <v>-5.6009943897429748</v>
      </c>
      <c r="C26" s="40">
        <v>-0.3236217960661758</v>
      </c>
      <c r="D26" s="40">
        <v>-18.493968593700938</v>
      </c>
      <c r="E26" s="40">
        <v>7.4953876157811017</v>
      </c>
      <c r="F26" s="40"/>
      <c r="G26" s="83"/>
      <c r="H26" s="81"/>
      <c r="I26" s="81"/>
      <c r="J26" s="81"/>
      <c r="K26" s="81"/>
      <c r="L26" s="70" t="e">
        <v>#DIV/0!</v>
      </c>
      <c r="M26" s="70" t="e">
        <v>#DIV/0!</v>
      </c>
      <c r="N26" s="70" t="e">
        <v>#DIV/0!</v>
      </c>
      <c r="O26" s="70" t="e">
        <v>#DIV/0!</v>
      </c>
      <c r="P26" s="70" t="e">
        <v>#DIV/0!</v>
      </c>
      <c r="Q26" s="70" t="e">
        <v>#DIV/0!</v>
      </c>
      <c r="R26" s="70">
        <v>274.62943274363175</v>
      </c>
      <c r="S26" s="70">
        <v>156.92634237154004</v>
      </c>
      <c r="T26" s="70">
        <v>-48.754154863865729</v>
      </c>
      <c r="U26" s="70">
        <v>-36.007503940676287</v>
      </c>
      <c r="V26" s="70">
        <v>-43.400367400966076</v>
      </c>
      <c r="W26" s="70">
        <v>-25.105025129686652</v>
      </c>
      <c r="X26" s="70">
        <v>58.904034600132427</v>
      </c>
      <c r="Y26" s="70">
        <v>27.285670918008776</v>
      </c>
      <c r="Z26" s="70">
        <v>27.855139625068801</v>
      </c>
      <c r="AA26" s="70">
        <v>19.667820844929395</v>
      </c>
      <c r="AB26" s="70">
        <v>-30.372443146404159</v>
      </c>
      <c r="AC26" s="70">
        <v>-5.2895995848012411</v>
      </c>
      <c r="AD26" s="70">
        <v>-23.987611804860265</v>
      </c>
      <c r="AE26" s="70">
        <v>-4.7247850134430891</v>
      </c>
      <c r="AF26" s="70">
        <v>35.227297272289789</v>
      </c>
      <c r="AG26" s="70">
        <v>7.1458234002581333</v>
      </c>
      <c r="AH26" s="70">
        <v>18.636990000076793</v>
      </c>
      <c r="AI26" s="70">
        <v>-4.1822118093826859</v>
      </c>
      <c r="AJ26" s="70">
        <v>-14.105069152434913</v>
      </c>
      <c r="AK26" s="70">
        <v>-17.486475071010275</v>
      </c>
      <c r="AL26" s="70">
        <v>-2.7782062006144637</v>
      </c>
      <c r="AM26" s="70">
        <v>10.488905971406549</v>
      </c>
      <c r="AN26" s="70">
        <v>-6.7671976998428534</v>
      </c>
      <c r="AO26" s="70">
        <v>-3.0051178505395182</v>
      </c>
      <c r="AP26" s="70">
        <v>-5.8708964590704067</v>
      </c>
      <c r="AQ26" s="70">
        <v>-24.399644718591475</v>
      </c>
      <c r="AR26" s="127">
        <v>-24.899574768463307</v>
      </c>
      <c r="AS26" s="70">
        <v>-18.798684267310563</v>
      </c>
      <c r="AT26" s="70">
        <v>-4.2126657975341324</v>
      </c>
      <c r="AU26" s="70">
        <v>4.0827687669320767</v>
      </c>
      <c r="AV26" s="70">
        <v>16.766198509485754</v>
      </c>
      <c r="AW26" s="70">
        <v>18.330501183852043</v>
      </c>
      <c r="AX26" s="70">
        <v>3.0607992211415747</v>
      </c>
      <c r="AY26" s="70">
        <v>-4.7467742998236417</v>
      </c>
      <c r="AZ26" s="70">
        <v>10.07561133847461</v>
      </c>
      <c r="BA26" s="70">
        <v>18.465091270750623</v>
      </c>
      <c r="BB26" s="70">
        <v>29.831524605420757</v>
      </c>
      <c r="BC26" s="70">
        <v>27.534304278745193</v>
      </c>
      <c r="BD26" s="70">
        <v>-25.613841223153667</v>
      </c>
      <c r="BE26" s="70">
        <v>-18.782577037982872</v>
      </c>
      <c r="BF26" s="70">
        <v>-30.314921311729236</v>
      </c>
      <c r="BG26" s="70">
        <v>-7.3763702419776367</v>
      </c>
      <c r="BH26" s="70">
        <v>57.673377376714498</v>
      </c>
      <c r="BI26" s="70">
        <v>19.519425571421678</v>
      </c>
      <c r="BJ26" s="70">
        <v>28.212584620541147</v>
      </c>
      <c r="BK26" s="70">
        <v>5.4580854879982654</v>
      </c>
      <c r="BL26" s="70">
        <v>-10.599431074210441</v>
      </c>
      <c r="BM26" s="70">
        <v>-6.7668665942004154</v>
      </c>
      <c r="BN26" s="70">
        <v>47.718781857302247</v>
      </c>
      <c r="BO26" s="70">
        <v>17.358659554435075</v>
      </c>
      <c r="BP26" s="70">
        <v>30.689971776794088</v>
      </c>
      <c r="BQ26" s="70">
        <v>16.932477324018301</v>
      </c>
      <c r="BR26" s="70">
        <v>-43.532555674924026</v>
      </c>
      <c r="BS26" s="70">
        <v>44.815641808957366</v>
      </c>
      <c r="BT26" s="70">
        <v>12.418638739602429</v>
      </c>
      <c r="BU26" s="70">
        <v>16.537218982547252</v>
      </c>
      <c r="BV26" s="70">
        <v>7.2477354151099682</v>
      </c>
      <c r="BW26" s="70">
        <v>-24.524773081086913</v>
      </c>
      <c r="BX26" s="70">
        <v>15.363914767286847</v>
      </c>
      <c r="BY26" s="70">
        <v>20.202671606915089</v>
      </c>
      <c r="BZ26" s="70">
        <v>8.1598601239392998</v>
      </c>
      <c r="CA26" s="70">
        <v>-19.721993824385486</v>
      </c>
      <c r="CB26" s="70">
        <v>7.9954858191437106</v>
      </c>
    </row>
    <row r="27" spans="1:80" ht="17.100000000000001" customHeight="1" x14ac:dyDescent="0.2">
      <c r="A27" s="82" t="s">
        <v>57</v>
      </c>
      <c r="B27" s="40">
        <v>25.496411795125695</v>
      </c>
      <c r="C27" s="40">
        <v>-13.8605501949299</v>
      </c>
      <c r="D27" s="40">
        <v>-2.2301177081336276</v>
      </c>
      <c r="E27" s="40">
        <v>5.1735301448397664</v>
      </c>
      <c r="F27" s="40"/>
      <c r="G27" s="83"/>
      <c r="H27" s="81"/>
      <c r="I27" s="81"/>
      <c r="J27" s="81"/>
      <c r="K27" s="81"/>
      <c r="L27" s="70" t="e">
        <v>#DIV/0!</v>
      </c>
      <c r="M27" s="70" t="e">
        <v>#DIV/0!</v>
      </c>
      <c r="N27" s="70" t="e">
        <v>#DIV/0!</v>
      </c>
      <c r="O27" s="70" t="e">
        <v>#DIV/0!</v>
      </c>
      <c r="P27" s="70" t="e">
        <v>#DIV/0!</v>
      </c>
      <c r="Q27" s="70" t="e">
        <v>#DIV/0!</v>
      </c>
      <c r="R27" s="70">
        <v>31.753837626903604</v>
      </c>
      <c r="S27" s="70">
        <v>45.907635505454579</v>
      </c>
      <c r="T27" s="70">
        <v>27.170571128434439</v>
      </c>
      <c r="U27" s="70">
        <v>23.937602575844984</v>
      </c>
      <c r="V27" s="70">
        <v>12.918506370244121</v>
      </c>
      <c r="W27" s="70">
        <v>-3.203906041930793</v>
      </c>
      <c r="X27" s="70">
        <v>-7.6236837421407522</v>
      </c>
      <c r="Y27" s="70">
        <v>-14.658523851948368</v>
      </c>
      <c r="Z27" s="70">
        <v>-13.520434242658341</v>
      </c>
      <c r="AA27" s="70">
        <v>-14.36393605051255</v>
      </c>
      <c r="AB27" s="70">
        <v>-8.1466152390854969</v>
      </c>
      <c r="AC27" s="70">
        <v>-8.6989891922044205</v>
      </c>
      <c r="AD27" s="70">
        <v>-5.3875748276328794</v>
      </c>
      <c r="AE27" s="70">
        <v>2.3748318922063749</v>
      </c>
      <c r="AF27" s="70">
        <v>10.923795890754139</v>
      </c>
      <c r="AG27" s="70">
        <v>25.931365780528637</v>
      </c>
      <c r="AH27" s="70">
        <v>29.223439791706696</v>
      </c>
      <c r="AI27" s="70">
        <v>34.761434194561367</v>
      </c>
      <c r="AJ27" s="70">
        <v>28.009827681352341</v>
      </c>
      <c r="AK27" s="70">
        <v>12.084680062285557</v>
      </c>
      <c r="AL27" s="70">
        <v>-1.1758293422894583</v>
      </c>
      <c r="AM27" s="70">
        <v>-10.654720239009908</v>
      </c>
      <c r="AN27" s="70">
        <v>-24.623745300628229</v>
      </c>
      <c r="AO27" s="70">
        <v>-18.129257748029382</v>
      </c>
      <c r="AP27" s="70">
        <v>-11.066273846339136</v>
      </c>
      <c r="AQ27" s="70">
        <v>-8.7950511079303961</v>
      </c>
      <c r="AR27" s="70">
        <v>8.0255994568361189</v>
      </c>
      <c r="AS27" s="70">
        <v>5.5964168685720628</v>
      </c>
      <c r="AT27" s="70">
        <v>4.0700764656781852</v>
      </c>
      <c r="AU27" s="70">
        <v>2.4233415658658997</v>
      </c>
      <c r="AV27" s="70">
        <v>4.5140185507916541</v>
      </c>
      <c r="AW27" s="70">
        <v>9.5936877822781383</v>
      </c>
      <c r="AX27" s="70">
        <v>14.198724004001217</v>
      </c>
      <c r="AY27" s="70">
        <v>17.837803760080174</v>
      </c>
      <c r="AZ27" s="70">
        <v>18.803643452059539</v>
      </c>
      <c r="BA27" s="70">
        <v>18.061286944243736</v>
      </c>
      <c r="BB27" s="70">
        <v>15.310987434167078</v>
      </c>
      <c r="BC27" s="70">
        <v>15.300059308956726</v>
      </c>
      <c r="BD27" s="70">
        <v>1.765686754027862</v>
      </c>
      <c r="BE27" s="70">
        <v>-1.3442291259739614</v>
      </c>
      <c r="BF27" s="70">
        <v>-1.0421943779470588</v>
      </c>
      <c r="BG27" s="70">
        <v>-1.8968783925271349</v>
      </c>
      <c r="BH27" s="70">
        <v>7.9539484359328894</v>
      </c>
      <c r="BI27" s="70">
        <v>4.7755762002747115</v>
      </c>
      <c r="BJ27" s="70">
        <v>2.1815105815827351</v>
      </c>
      <c r="BK27" s="70">
        <v>2.5299716035279474</v>
      </c>
      <c r="BL27" s="70">
        <v>2.6927239132918279</v>
      </c>
      <c r="BM27" s="70">
        <v>6.7596019911086547</v>
      </c>
      <c r="BN27" s="70">
        <v>18.624444764033711</v>
      </c>
      <c r="BO27" s="70">
        <v>15.204542555940259</v>
      </c>
      <c r="BP27" s="70">
        <v>20.386012000492947</v>
      </c>
      <c r="BQ27" s="70">
        <v>16.97863938544042</v>
      </c>
      <c r="BR27" s="70">
        <v>0.28451943749028263</v>
      </c>
      <c r="BS27" s="70">
        <v>-1.1138002687393733</v>
      </c>
      <c r="BT27" s="70">
        <v>6.6307931786226293</v>
      </c>
      <c r="BU27" s="70">
        <v>7.9396547526371375</v>
      </c>
      <c r="BV27" s="70">
        <v>2.6697438128885587</v>
      </c>
      <c r="BW27" s="70">
        <v>4.3040065409811978</v>
      </c>
      <c r="BX27" s="70">
        <v>11.24577397411004</v>
      </c>
      <c r="BY27" s="70">
        <v>-7.5889295207187679E-2</v>
      </c>
      <c r="BZ27" s="70">
        <v>6.6460218532176762</v>
      </c>
      <c r="CA27" s="70">
        <v>38.41565556263906</v>
      </c>
      <c r="CB27" s="70">
        <v>8.1280683683682131</v>
      </c>
    </row>
    <row r="28" spans="1:80" ht="17.100000000000001" customHeight="1" x14ac:dyDescent="0.2">
      <c r="A28" s="82" t="s">
        <v>15</v>
      </c>
      <c r="B28" s="40">
        <v>24.150864591179101</v>
      </c>
      <c r="C28" s="40">
        <v>8.4113406001672821</v>
      </c>
      <c r="D28" s="40">
        <v>18.649437586078289</v>
      </c>
      <c r="E28" s="40">
        <v>9.5462064242347822</v>
      </c>
      <c r="F28" s="40"/>
      <c r="G28" s="83"/>
      <c r="H28" s="81"/>
      <c r="I28" s="81"/>
      <c r="J28" s="81"/>
      <c r="K28" s="81"/>
      <c r="L28" s="70" t="e">
        <v>#DIV/0!</v>
      </c>
      <c r="M28" s="70" t="e">
        <v>#DIV/0!</v>
      </c>
      <c r="N28" s="70">
        <v>22.959824726606026</v>
      </c>
      <c r="O28" s="70">
        <v>18.708239611322753</v>
      </c>
      <c r="P28" s="70">
        <v>15.727299664005701</v>
      </c>
      <c r="Q28" s="70">
        <v>-1.9086256265820278</v>
      </c>
      <c r="R28" s="70">
        <v>42.157696763687504</v>
      </c>
      <c r="S28" s="70">
        <v>25.564401103932788</v>
      </c>
      <c r="T28" s="70">
        <v>7.9962748020964591</v>
      </c>
      <c r="U28" s="70">
        <v>-0.57632446864426257</v>
      </c>
      <c r="V28" s="70">
        <v>-10.289294104807222</v>
      </c>
      <c r="W28" s="70">
        <v>-4.2380591871753808</v>
      </c>
      <c r="X28" s="70">
        <v>-4.9094864462820738</v>
      </c>
      <c r="Y28" s="70">
        <v>4.2811222987571007</v>
      </c>
      <c r="Z28" s="70">
        <v>3.2643588998680029</v>
      </c>
      <c r="AA28" s="70">
        <v>-2.0398997556686727</v>
      </c>
      <c r="AB28" s="70">
        <v>3.7133851609365109</v>
      </c>
      <c r="AC28" s="70">
        <v>-4.1249313163032149</v>
      </c>
      <c r="AD28" s="70">
        <v>-10.228045311282763</v>
      </c>
      <c r="AE28" s="70">
        <v>-4.6867706137106229</v>
      </c>
      <c r="AF28" s="70">
        <v>4.7102684746199497</v>
      </c>
      <c r="AG28" s="70">
        <v>12.981056142407565</v>
      </c>
      <c r="AH28" s="70">
        <v>27.535823194980669</v>
      </c>
      <c r="AI28" s="70">
        <v>37.216898591751878</v>
      </c>
      <c r="AJ28" s="70">
        <v>20.915254664369208</v>
      </c>
      <c r="AK28" s="70">
        <v>13.196054686404546</v>
      </c>
      <c r="AL28" s="70">
        <v>9.0950885188673105</v>
      </c>
      <c r="AM28" s="70">
        <v>2.4431080239919245</v>
      </c>
      <c r="AN28" s="70">
        <v>3.9619036635055727</v>
      </c>
      <c r="AO28" s="70">
        <v>18.540998417946231</v>
      </c>
      <c r="AP28" s="70">
        <v>17.964240903791627</v>
      </c>
      <c r="AQ28" s="70">
        <v>17.511495249604426</v>
      </c>
      <c r="AR28" s="70">
        <v>21.546595055050098</v>
      </c>
      <c r="AS28" s="70">
        <v>17.673423350583551</v>
      </c>
      <c r="AT28" s="127">
        <v>20.522995867207072</v>
      </c>
      <c r="AU28" s="127">
        <v>15.434988017676087</v>
      </c>
      <c r="AV28" s="127">
        <v>8.2107049574929203</v>
      </c>
      <c r="AW28" s="127">
        <v>-3.9095176884054506</v>
      </c>
      <c r="AX28" s="127">
        <v>0.8464275380111852</v>
      </c>
      <c r="AY28" s="127">
        <v>-1.7509283276264886</v>
      </c>
      <c r="AZ28" s="127">
        <v>5.4540674402010936</v>
      </c>
      <c r="BA28" s="127">
        <v>13.078352232920111</v>
      </c>
      <c r="BB28" s="127">
        <v>14.267079324041054</v>
      </c>
      <c r="BC28" s="127">
        <v>21.617621988013802</v>
      </c>
      <c r="BD28" s="127">
        <v>16.485417777206912</v>
      </c>
      <c r="BE28" s="127">
        <v>12.725186396744226</v>
      </c>
      <c r="BF28" s="127">
        <v>12.227677334988662</v>
      </c>
      <c r="BG28" s="127">
        <v>11.188966668541788</v>
      </c>
      <c r="BH28" s="127">
        <v>22.336813614847696</v>
      </c>
      <c r="BI28" s="127">
        <v>4.4528188952427605</v>
      </c>
      <c r="BJ28" s="127">
        <v>5.8675550582901748</v>
      </c>
      <c r="BK28" s="127">
        <v>4.4330241675954563</v>
      </c>
      <c r="BL28" s="127">
        <v>-4.4121081662965356</v>
      </c>
      <c r="BM28" s="127">
        <v>9.4299671452949383</v>
      </c>
      <c r="BN28" s="127">
        <v>7.5089015284319105</v>
      </c>
      <c r="BO28" s="127">
        <v>5.0386013208169045</v>
      </c>
      <c r="BP28" s="127">
        <v>-9.2197239923415104</v>
      </c>
      <c r="BQ28" s="127">
        <v>1.2999141381473844</v>
      </c>
      <c r="BR28" s="127">
        <v>-17.450349117586782</v>
      </c>
      <c r="BS28" s="127">
        <v>6.6062297182847285</v>
      </c>
      <c r="BT28" s="127">
        <v>13.264043609184007</v>
      </c>
      <c r="BU28" s="127">
        <v>26.974222009477366</v>
      </c>
      <c r="BV28" s="127">
        <v>3.2970129350652355</v>
      </c>
      <c r="BW28" s="127">
        <v>4.9539410812740936</v>
      </c>
      <c r="BX28" s="127">
        <v>6.6024955428815479</v>
      </c>
      <c r="BY28" s="127">
        <v>1.267526715631595</v>
      </c>
      <c r="BZ28" s="127">
        <v>-4.8207918051723304</v>
      </c>
      <c r="CA28" s="127">
        <v>8.3384091352877387</v>
      </c>
      <c r="CB28" s="127">
        <v>4.9478386451451639</v>
      </c>
    </row>
    <row r="29" spans="1:80" ht="17.100000000000001" customHeight="1" x14ac:dyDescent="0.2">
      <c r="A29" s="82" t="s">
        <v>16</v>
      </c>
      <c r="B29" s="40">
        <v>5.1898175736542873</v>
      </c>
      <c r="C29" s="40">
        <v>7.8466112706296665</v>
      </c>
      <c r="D29" s="40">
        <v>-10.333027639327696</v>
      </c>
      <c r="E29" s="40">
        <v>6.9267582023184948</v>
      </c>
      <c r="F29" s="40"/>
      <c r="G29" s="83"/>
      <c r="H29" s="81"/>
      <c r="I29" s="81"/>
      <c r="J29" s="81"/>
      <c r="K29" s="81"/>
      <c r="L29" s="70" t="e">
        <v>#DIV/0!</v>
      </c>
      <c r="M29" s="70" t="e">
        <v>#DIV/0!</v>
      </c>
      <c r="N29" s="70">
        <v>-0.33892551218731581</v>
      </c>
      <c r="O29" s="70">
        <v>8.2198886761767564</v>
      </c>
      <c r="P29" s="70">
        <v>7.4707997225266221</v>
      </c>
      <c r="Q29" s="70">
        <v>-4.5856117315379201</v>
      </c>
      <c r="R29" s="70">
        <v>15.611784823909414</v>
      </c>
      <c r="S29" s="70">
        <v>4.5885966820666368</v>
      </c>
      <c r="T29" s="70">
        <v>5.9633155295430784</v>
      </c>
      <c r="U29" s="70">
        <v>16.930637026009144</v>
      </c>
      <c r="V29" s="70">
        <v>2.1490733724550015</v>
      </c>
      <c r="W29" s="70">
        <v>5.5676303858175569</v>
      </c>
      <c r="X29" s="70">
        <v>9.0830002602272586</v>
      </c>
      <c r="Y29" s="70">
        <v>13.635027454687677</v>
      </c>
      <c r="Z29" s="70">
        <v>12.36598369694244</v>
      </c>
      <c r="AA29" s="70">
        <v>14.799177882933812</v>
      </c>
      <c r="AB29" s="70">
        <v>8.6294845031479319</v>
      </c>
      <c r="AC29" s="70">
        <v>-2.4420281913151376</v>
      </c>
      <c r="AD29" s="70">
        <v>-15.861757508606766</v>
      </c>
      <c r="AE29" s="70">
        <v>-14.771682004517627</v>
      </c>
      <c r="AF29" s="70">
        <v>5.115209804020493</v>
      </c>
      <c r="AG29" s="70">
        <v>46.361714177594713</v>
      </c>
      <c r="AH29" s="70">
        <v>4.7235009093989255</v>
      </c>
      <c r="AI29" s="70">
        <v>22.602806322271562</v>
      </c>
      <c r="AJ29" s="70">
        <v>12.463036219348677</v>
      </c>
      <c r="AK29" s="70">
        <v>-11.108071054943514</v>
      </c>
      <c r="AL29" s="70">
        <v>39.11423009368211</v>
      </c>
      <c r="AM29" s="70">
        <v>11.600696072982707</v>
      </c>
      <c r="AN29" s="70">
        <v>-1.293027432641336</v>
      </c>
      <c r="AO29" s="70">
        <v>-9.3545003983343644</v>
      </c>
      <c r="AP29" s="70">
        <v>-9.9388563373696943</v>
      </c>
      <c r="AQ29" s="70">
        <v>-12.667114760753929</v>
      </c>
      <c r="AR29" s="70">
        <v>-12.208822793161145</v>
      </c>
      <c r="AS29" s="70">
        <v>-6.2875494727900545</v>
      </c>
      <c r="AT29" s="70">
        <v>0.71780029302010995</v>
      </c>
      <c r="AU29" s="70">
        <v>7.4762323284634391</v>
      </c>
      <c r="AV29" s="70">
        <v>11.570759903855588</v>
      </c>
      <c r="AW29" s="70">
        <v>8.459340896889822</v>
      </c>
      <c r="AX29" s="70">
        <v>10.938142301286602</v>
      </c>
      <c r="AY29" s="70">
        <v>12.894567111031963</v>
      </c>
      <c r="AZ29" s="70">
        <v>8.5698682603826413</v>
      </c>
      <c r="BA29" s="70">
        <v>4.079171730446185</v>
      </c>
      <c r="BB29" s="70">
        <v>-7.8670801539857393</v>
      </c>
      <c r="BC29" s="70">
        <v>-5.5843100755347379</v>
      </c>
      <c r="BD29" s="70">
        <v>0.99207716048950179</v>
      </c>
      <c r="BE29" s="70">
        <v>4.7305128971817156</v>
      </c>
      <c r="BF29" s="70">
        <v>-12.283379065381016</v>
      </c>
      <c r="BG29" s="70">
        <v>-7.9059071200507596</v>
      </c>
      <c r="BH29" s="70">
        <v>-1.7234660397431933</v>
      </c>
      <c r="BI29" s="70">
        <v>4.4858554623750324</v>
      </c>
      <c r="BJ29" s="70">
        <v>14.180337493218076</v>
      </c>
      <c r="BK29" s="70">
        <v>-3.1004335032917774</v>
      </c>
      <c r="BL29" s="70">
        <v>4.5456474862424878</v>
      </c>
      <c r="BM29" s="70">
        <v>-7.6011873848211735</v>
      </c>
      <c r="BN29" s="70">
        <v>13.405923138549758</v>
      </c>
      <c r="BO29" s="70">
        <v>-0.74293427763373332</v>
      </c>
      <c r="BP29" s="70">
        <v>-8.7536910858642578</v>
      </c>
      <c r="BQ29" s="70">
        <v>10.740465681877499</v>
      </c>
      <c r="BR29" s="70">
        <v>10.163840123282464</v>
      </c>
      <c r="BS29" s="70">
        <v>7.7555087720091453</v>
      </c>
      <c r="BT29" s="70">
        <v>3.1106208997196294</v>
      </c>
      <c r="BU29" s="70">
        <v>-3.2968824482999426</v>
      </c>
      <c r="BV29" s="70">
        <v>-2.7330342706160526</v>
      </c>
      <c r="BW29" s="70">
        <v>4.899218887724599</v>
      </c>
      <c r="BX29" s="70">
        <v>6.7504517908119732</v>
      </c>
      <c r="BY29" s="70">
        <v>13.191794712272809</v>
      </c>
      <c r="BZ29" s="70">
        <v>5.3231919381082182</v>
      </c>
      <c r="CA29" s="70">
        <v>9.1884059166300158</v>
      </c>
      <c r="CB29" s="70">
        <v>4.0999938726267615</v>
      </c>
    </row>
    <row r="30" spans="1:80" ht="17.100000000000001" customHeight="1" x14ac:dyDescent="0.2">
      <c r="A30" s="82" t="s">
        <v>58</v>
      </c>
      <c r="B30" s="40">
        <v>5.4353724349297527</v>
      </c>
      <c r="C30" s="40">
        <v>3.3767601299358851</v>
      </c>
      <c r="D30" s="40">
        <v>1.6226632399374274E-2</v>
      </c>
      <c r="E30" s="40">
        <v>16.846037317514508</v>
      </c>
      <c r="F30" s="40"/>
      <c r="G30" s="83"/>
      <c r="H30" s="81"/>
      <c r="I30" s="81"/>
      <c r="J30" s="81"/>
      <c r="K30" s="81"/>
      <c r="L30" s="70" t="e">
        <v>#DIV/0!</v>
      </c>
      <c r="M30" s="70" t="e">
        <v>#DIV/0!</v>
      </c>
      <c r="N30" s="70">
        <v>8.0762035200676152</v>
      </c>
      <c r="O30" s="70">
        <v>4.0659731707611835</v>
      </c>
      <c r="P30" s="70">
        <v>7.4129931391267556</v>
      </c>
      <c r="Q30" s="70">
        <v>2.5882701077396097</v>
      </c>
      <c r="R30" s="70">
        <v>4.0720181131232547</v>
      </c>
      <c r="S30" s="70">
        <v>6.0546777017688402</v>
      </c>
      <c r="T30" s="70">
        <v>6.4306659428325696</v>
      </c>
      <c r="U30" s="70">
        <v>1.5298049821818704</v>
      </c>
      <c r="V30" s="70">
        <v>5.9032559351276603</v>
      </c>
      <c r="W30" s="70">
        <v>2.4845160783493192</v>
      </c>
      <c r="X30" s="70">
        <v>2.245623141466524</v>
      </c>
      <c r="Y30" s="70">
        <v>8.58768531623031</v>
      </c>
      <c r="Z30" s="70">
        <v>2.4260824307545947</v>
      </c>
      <c r="AA30" s="70">
        <v>3.0226265963635646</v>
      </c>
      <c r="AB30" s="70">
        <v>3.8512277117719096</v>
      </c>
      <c r="AC30" s="70">
        <v>6.939942957430012</v>
      </c>
      <c r="AD30" s="70">
        <v>-7.7552306378880882</v>
      </c>
      <c r="AE30" s="70">
        <v>-7.3525102888155054</v>
      </c>
      <c r="AF30" s="70">
        <v>7.6461816825119655</v>
      </c>
      <c r="AG30" s="70">
        <v>27.314628212330728</v>
      </c>
      <c r="AH30" s="70">
        <v>3.5383379414314353</v>
      </c>
      <c r="AI30" s="70">
        <v>19.015897500697786</v>
      </c>
      <c r="AJ30" s="70">
        <v>10.889059682973667</v>
      </c>
      <c r="AK30" s="70">
        <v>-6.9977348919258997</v>
      </c>
      <c r="AL30" s="70">
        <v>21.965683167715699</v>
      </c>
      <c r="AM30" s="70">
        <v>6.1313955672584575</v>
      </c>
      <c r="AN30" s="70">
        <v>-2.5376328897526279</v>
      </c>
      <c r="AO30" s="70">
        <v>-7.7337644023337981</v>
      </c>
      <c r="AP30" s="70">
        <v>-4.4485443518881063</v>
      </c>
      <c r="AQ30" s="127">
        <v>-4.4884766261499509</v>
      </c>
      <c r="AR30" s="127">
        <v>0.8301448878084372</v>
      </c>
      <c r="AS30" s="70">
        <v>8.3253780872245109</v>
      </c>
      <c r="AT30" s="70">
        <v>19.61700406878122</v>
      </c>
      <c r="AU30" s="70">
        <v>22.692753828574741</v>
      </c>
      <c r="AV30" s="70">
        <v>18.550391652953646</v>
      </c>
      <c r="AW30" s="70">
        <v>7.5194997250952689</v>
      </c>
      <c r="AX30" s="70">
        <v>9.9704382392437285</v>
      </c>
      <c r="AY30" s="70">
        <v>3.1755781550815598</v>
      </c>
      <c r="AZ30" s="70">
        <v>1.7645168674097489</v>
      </c>
      <c r="BA30" s="70">
        <v>6.5746455447709184</v>
      </c>
      <c r="BB30" s="70">
        <v>1.8466677447785296</v>
      </c>
      <c r="BC30" s="70">
        <v>6.7697542005376254</v>
      </c>
      <c r="BD30" s="70">
        <v>2.7307847208533076</v>
      </c>
      <c r="BE30" s="70">
        <v>-7.2914228897651086</v>
      </c>
      <c r="BF30" s="70">
        <v>8.8043548891281631</v>
      </c>
      <c r="BG30" s="70">
        <v>5.7588784458900033</v>
      </c>
      <c r="BH30" s="70">
        <v>1.3043975628676208</v>
      </c>
      <c r="BI30" s="70">
        <v>12.8176402514679</v>
      </c>
      <c r="BJ30" s="70">
        <v>-4.8643348218030962</v>
      </c>
      <c r="BK30" s="70">
        <v>17.559177410388038</v>
      </c>
      <c r="BL30" s="70">
        <v>15.910549134473516</v>
      </c>
      <c r="BM30" s="70">
        <v>10.512541161939936</v>
      </c>
      <c r="BN30" s="70">
        <v>11.354251721908915</v>
      </c>
      <c r="BO30" s="70">
        <v>0.96397588925660749</v>
      </c>
      <c r="BP30" s="70">
        <v>4.4992349538866439</v>
      </c>
      <c r="BQ30" s="70">
        <v>1.6002763852602797</v>
      </c>
      <c r="BR30" s="70">
        <v>-6.9514029834215618</v>
      </c>
      <c r="BS30" s="70">
        <v>-3.2913101233190023</v>
      </c>
      <c r="BT30" s="70">
        <v>7.3605805342625397</v>
      </c>
      <c r="BU30" s="70">
        <v>13.177381115903209</v>
      </c>
      <c r="BV30" s="70">
        <v>7.6829817701944192</v>
      </c>
      <c r="BW30" s="70">
        <v>6.3708843774450852</v>
      </c>
      <c r="BX30" s="70">
        <v>-0.25973980484033099</v>
      </c>
      <c r="BY30" s="70">
        <v>-5.2503577448390848</v>
      </c>
      <c r="BZ30" s="70">
        <v>4.2122635152621379</v>
      </c>
      <c r="CA30" s="70">
        <v>5.3179482505043563</v>
      </c>
      <c r="CB30" s="70">
        <v>3.8641325304463514</v>
      </c>
    </row>
    <row r="31" spans="1:80" ht="17.100000000000001" customHeight="1" x14ac:dyDescent="0.2">
      <c r="A31" s="82" t="s">
        <v>71</v>
      </c>
      <c r="B31" s="40">
        <v>5.3268487603107539</v>
      </c>
      <c r="C31" s="40">
        <v>-5.0389646276789986</v>
      </c>
      <c r="D31" s="40">
        <v>29.669926315675553</v>
      </c>
      <c r="E31" s="40">
        <v>65.707946857243599</v>
      </c>
      <c r="F31" s="40"/>
      <c r="G31" s="83"/>
      <c r="H31" s="81"/>
      <c r="I31" s="81"/>
      <c r="J31" s="81"/>
      <c r="K31" s="81"/>
      <c r="L31" s="70" t="e">
        <v>#DIV/0!</v>
      </c>
      <c r="M31" s="70" t="e">
        <v>#DIV/0!</v>
      </c>
      <c r="N31" s="70" t="e">
        <v>#DIV/0!</v>
      </c>
      <c r="O31" s="70" t="e">
        <v>#DIV/0!</v>
      </c>
      <c r="P31" s="70" t="e">
        <v>#DIV/0!</v>
      </c>
      <c r="Q31" s="70" t="e">
        <v>#DIV/0!</v>
      </c>
      <c r="R31" s="70">
        <v>46.726769555076487</v>
      </c>
      <c r="S31" s="70">
        <v>122.36384734191756</v>
      </c>
      <c r="T31" s="70">
        <v>-60.186235368876375</v>
      </c>
      <c r="U31" s="70">
        <v>-53.817371871036833</v>
      </c>
      <c r="V31" s="70">
        <v>-48.829773102518836</v>
      </c>
      <c r="W31" s="70">
        <v>-35.432133106635121</v>
      </c>
      <c r="X31" s="70">
        <v>250.6370989365235</v>
      </c>
      <c r="Y31" s="70">
        <v>116.52824683238467</v>
      </c>
      <c r="Z31" s="70">
        <v>66.655587989241425</v>
      </c>
      <c r="AA31" s="70">
        <v>-0.20094131282494265</v>
      </c>
      <c r="AB31" s="70">
        <v>-36.358825345853795</v>
      </c>
      <c r="AC31" s="70">
        <v>-5.1004275957493022</v>
      </c>
      <c r="AD31" s="70">
        <v>-21.757030021170021</v>
      </c>
      <c r="AE31" s="70">
        <v>1.3170045029802901</v>
      </c>
      <c r="AF31" s="70">
        <v>39.433792790691278</v>
      </c>
      <c r="AG31" s="70">
        <v>14.606025983723271</v>
      </c>
      <c r="AH31" s="70">
        <v>31.387891871006659</v>
      </c>
      <c r="AI31" s="70">
        <v>-1.848859626529531</v>
      </c>
      <c r="AJ31" s="70">
        <v>-6.0880452324867163</v>
      </c>
      <c r="AK31" s="70">
        <v>4.892574397308147</v>
      </c>
      <c r="AL31" s="70">
        <v>-2.8035524458019712</v>
      </c>
      <c r="AM31" s="70">
        <v>8.899984340912992</v>
      </c>
      <c r="AN31" s="70">
        <v>1.7203722529398613</v>
      </c>
      <c r="AO31" s="70">
        <v>-26.448261265997253</v>
      </c>
      <c r="AP31" s="70">
        <v>-8.234407221294159</v>
      </c>
      <c r="AQ31" s="70">
        <v>-9.5157975917222295</v>
      </c>
      <c r="AR31" s="70">
        <v>26.711123295232262</v>
      </c>
      <c r="AS31" s="70">
        <v>134.33676811872454</v>
      </c>
      <c r="AT31" s="127">
        <v>81.047491184750896</v>
      </c>
      <c r="AU31" s="127">
        <v>117.58920291680485</v>
      </c>
      <c r="AV31" s="127">
        <v>77.484626929525021</v>
      </c>
      <c r="AW31" s="127">
        <v>22.498751472741517</v>
      </c>
      <c r="AX31" s="127">
        <v>64.084041306709864</v>
      </c>
      <c r="AY31" s="127">
        <v>17.417848189482775</v>
      </c>
      <c r="AZ31" s="127">
        <v>14.150068782469249</v>
      </c>
      <c r="BA31" s="127">
        <v>4.2342900038038422</v>
      </c>
      <c r="BB31" s="127">
        <v>-1.5705449058742937</v>
      </c>
      <c r="BC31" s="127">
        <v>1.6413161993404257</v>
      </c>
      <c r="BD31" s="127">
        <v>-7.6716317776316822</v>
      </c>
      <c r="BE31" s="127">
        <v>-26.306140076788775</v>
      </c>
      <c r="BF31" s="127">
        <v>-26.051164274789841</v>
      </c>
      <c r="BG31" s="127">
        <v>-22.241977742310304</v>
      </c>
      <c r="BH31" s="127">
        <v>-19.527062127174766</v>
      </c>
      <c r="BI31" s="127">
        <v>25.991763188936545</v>
      </c>
      <c r="BJ31" s="127">
        <v>27.334592565427851</v>
      </c>
      <c r="BK31" s="127">
        <v>-3.3078454361870513</v>
      </c>
      <c r="BL31" s="127">
        <v>-12.421508386798763</v>
      </c>
      <c r="BM31" s="127">
        <v>-18.222103702300885</v>
      </c>
      <c r="BN31" s="127">
        <v>-32.128584008231783</v>
      </c>
      <c r="BO31" s="127">
        <v>-2.4413034376534082</v>
      </c>
      <c r="BP31" s="127">
        <v>31.531403566304483</v>
      </c>
      <c r="BQ31" s="127">
        <v>34.851999221617703</v>
      </c>
      <c r="BR31" s="127">
        <v>61.638305757445558</v>
      </c>
      <c r="BS31" s="127">
        <v>-9.3749864090332924</v>
      </c>
      <c r="BT31" s="127">
        <v>8.0429228657592269</v>
      </c>
      <c r="BU31" s="127">
        <v>-16.47100902808193</v>
      </c>
      <c r="BV31" s="127">
        <v>3.3350046650798104</v>
      </c>
      <c r="BW31" s="127">
        <v>11.129547230258119</v>
      </c>
      <c r="BX31" s="127">
        <v>4.8852735160734628</v>
      </c>
      <c r="BY31" s="127">
        <v>-12.809303924498527</v>
      </c>
      <c r="BZ31" s="127">
        <v>-0.38350464803781348</v>
      </c>
      <c r="CA31" s="127">
        <v>-0.19063187901169343</v>
      </c>
      <c r="CB31" s="127">
        <v>-5.479325553930936E-2</v>
      </c>
    </row>
    <row r="32" spans="1:80" ht="17.100000000000001" customHeight="1" x14ac:dyDescent="0.2">
      <c r="A32" s="82" t="s">
        <v>17</v>
      </c>
      <c r="B32" s="40">
        <v>7.8943433154421871</v>
      </c>
      <c r="C32" s="40">
        <v>9.2450740744341786</v>
      </c>
      <c r="D32" s="40">
        <v>-3.5309358286249926</v>
      </c>
      <c r="E32" s="40">
        <v>-1.3127541176294222</v>
      </c>
      <c r="F32" s="40"/>
      <c r="G32" s="83"/>
      <c r="H32" s="81"/>
      <c r="I32" s="81"/>
      <c r="J32" s="81"/>
      <c r="K32" s="81"/>
      <c r="L32" s="70" t="e">
        <v>#DIV/0!</v>
      </c>
      <c r="M32" s="70" t="e">
        <v>#DIV/0!</v>
      </c>
      <c r="N32" s="70">
        <v>11.122036523118872</v>
      </c>
      <c r="O32" s="70">
        <v>9.900481589137744</v>
      </c>
      <c r="P32" s="70">
        <v>-0.60387659081324596</v>
      </c>
      <c r="Q32" s="70">
        <v>-8.475655768103163E-3</v>
      </c>
      <c r="R32" s="70">
        <v>1.355598917061962</v>
      </c>
      <c r="S32" s="70">
        <v>2.4970866962134908</v>
      </c>
      <c r="T32" s="70">
        <v>3.1140618575557388</v>
      </c>
      <c r="U32" s="70">
        <v>4.6792554823712251</v>
      </c>
      <c r="V32" s="70">
        <v>7.3385438472404196</v>
      </c>
      <c r="W32" s="70">
        <v>7.5932374733540975</v>
      </c>
      <c r="X32" s="70">
        <v>7.2240976528441747</v>
      </c>
      <c r="Y32" s="70">
        <v>8.4178041094886247</v>
      </c>
      <c r="Z32" s="70">
        <v>4.6671140563581126</v>
      </c>
      <c r="AA32" s="70">
        <v>4.8610259278513146</v>
      </c>
      <c r="AB32" s="70">
        <v>5.3877605374419435</v>
      </c>
      <c r="AC32" s="70">
        <v>5.58923471854742</v>
      </c>
      <c r="AD32" s="70">
        <v>7.5497970393936464</v>
      </c>
      <c r="AE32" s="70">
        <v>11.89850261903651</v>
      </c>
      <c r="AF32" s="70">
        <v>15.190550844864781</v>
      </c>
      <c r="AG32" s="70">
        <v>8.1420194570951168</v>
      </c>
      <c r="AH32" s="70">
        <v>10.03192177668808</v>
      </c>
      <c r="AI32" s="70">
        <v>6.9831565613836855</v>
      </c>
      <c r="AJ32" s="70">
        <v>4.3114449644970243</v>
      </c>
      <c r="AK32" s="70">
        <v>10.489803673461395</v>
      </c>
      <c r="AL32" s="70">
        <v>10.980112644946738</v>
      </c>
      <c r="AM32" s="70">
        <v>12.088440894276475</v>
      </c>
      <c r="AN32" s="70">
        <v>9.021055011071887</v>
      </c>
      <c r="AO32" s="70">
        <v>5.1087592676363647</v>
      </c>
      <c r="AP32" s="70">
        <v>0.59627966247526309</v>
      </c>
      <c r="AQ32" s="70">
        <v>-4.6550946202886356</v>
      </c>
      <c r="AR32" s="70">
        <v>-4.5959918034813585</v>
      </c>
      <c r="AS32" s="70">
        <v>-5.3886510275995896</v>
      </c>
      <c r="AT32" s="70">
        <v>-4.0421657048404835</v>
      </c>
      <c r="AU32" s="70">
        <v>-1.6094004092711223</v>
      </c>
      <c r="AV32" s="70">
        <v>-0.73952940730658279</v>
      </c>
      <c r="AW32" s="70">
        <v>1.2811619693968712</v>
      </c>
      <c r="AX32" s="70">
        <v>4.1108449843828776</v>
      </c>
      <c r="AY32" s="70">
        <v>4.8264854307047855</v>
      </c>
      <c r="AZ32" s="70">
        <v>4.6760246901785596</v>
      </c>
      <c r="BA32" s="70">
        <v>5.1732115471120776</v>
      </c>
      <c r="BB32" s="70">
        <v>2.5015481093738856</v>
      </c>
      <c r="BC32" s="70">
        <v>1.5030343719458328</v>
      </c>
      <c r="BD32" s="70">
        <v>0.92229904637015636</v>
      </c>
      <c r="BE32" s="70">
        <v>0.78503750390253035</v>
      </c>
      <c r="BF32" s="70">
        <v>0.9414596982126433</v>
      </c>
      <c r="BG32" s="70">
        <v>2.0966426531650484</v>
      </c>
      <c r="BH32" s="70">
        <v>3.7231534106413555</v>
      </c>
      <c r="BI32" s="70">
        <v>5.0379401504915711</v>
      </c>
      <c r="BJ32" s="70">
        <v>5.7216721215604283</v>
      </c>
      <c r="BK32" s="70">
        <v>5.1949508312345793</v>
      </c>
      <c r="BL32" s="70">
        <v>4.0428981185157253</v>
      </c>
      <c r="BM32" s="70">
        <v>4.1944075028341743</v>
      </c>
      <c r="BN32" s="70">
        <v>3.1217221860034616</v>
      </c>
      <c r="BO32" s="70">
        <v>2.8070778077387004</v>
      </c>
      <c r="BP32" s="70">
        <v>2.523475149736143</v>
      </c>
      <c r="BQ32" s="70">
        <v>1.2399369885393696</v>
      </c>
      <c r="BR32" s="70">
        <v>2.1083394090964269</v>
      </c>
      <c r="BS32" s="70">
        <v>16.522672421152109</v>
      </c>
      <c r="BT32" s="70">
        <v>2.4554741771994459</v>
      </c>
      <c r="BU32" s="70">
        <v>-10.576142807066812</v>
      </c>
      <c r="BV32" s="70">
        <v>1.5114261582720445</v>
      </c>
      <c r="BW32" s="70">
        <v>-11.048298029386562</v>
      </c>
      <c r="BX32" s="70">
        <v>0.19000382247071901</v>
      </c>
      <c r="BY32" s="70">
        <v>16.86616735472397</v>
      </c>
      <c r="BZ32" s="70">
        <v>2.6261726921160689</v>
      </c>
      <c r="CA32" s="70">
        <v>-9.6482935458959584</v>
      </c>
      <c r="CB32" s="70">
        <v>-0.24092477758614894</v>
      </c>
    </row>
    <row r="33" spans="1:80" ht="17.100000000000001" customHeight="1" x14ac:dyDescent="0.2">
      <c r="A33" s="82" t="s">
        <v>59</v>
      </c>
      <c r="B33" s="40">
        <v>2.8162665755504301</v>
      </c>
      <c r="C33" s="40">
        <v>3.3607716658081932</v>
      </c>
      <c r="D33" s="40">
        <v>2.8390929839179568</v>
      </c>
      <c r="E33" s="40">
        <v>2.8127413388973954</v>
      </c>
      <c r="F33" s="40"/>
      <c r="G33" s="83"/>
      <c r="H33" s="81"/>
      <c r="I33" s="81"/>
      <c r="J33" s="81"/>
      <c r="K33" s="81"/>
      <c r="L33" s="70" t="e">
        <v>#DIV/0!</v>
      </c>
      <c r="M33" s="70" t="e">
        <v>#DIV/0!</v>
      </c>
      <c r="N33" s="70">
        <v>4.2759423293526666</v>
      </c>
      <c r="O33" s="70">
        <v>4.3374108321210691</v>
      </c>
      <c r="P33" s="70">
        <v>4.1807364429688798</v>
      </c>
      <c r="Q33" s="70">
        <v>3.8050367907175975</v>
      </c>
      <c r="R33" s="70">
        <v>3.2003417967942482</v>
      </c>
      <c r="S33" s="70">
        <v>2.7003086613192284</v>
      </c>
      <c r="T33" s="70">
        <v>2.3135910196148357</v>
      </c>
      <c r="U33" s="70">
        <v>2.0396384664978173</v>
      </c>
      <c r="V33" s="70">
        <v>1.880160738933645</v>
      </c>
      <c r="W33" s="70">
        <v>1.7794901816172271</v>
      </c>
      <c r="X33" s="70">
        <v>1.7373799531121614</v>
      </c>
      <c r="Y33" s="70">
        <v>1.7550303433452985</v>
      </c>
      <c r="Z33" s="70">
        <v>1.8324202994951078</v>
      </c>
      <c r="AA33" s="70">
        <v>1.9505441366052034</v>
      </c>
      <c r="AB33" s="70">
        <v>2.1116637001191707</v>
      </c>
      <c r="AC33" s="70">
        <v>2.3166001084309329</v>
      </c>
      <c r="AD33" s="70">
        <v>2.5653308702913158</v>
      </c>
      <c r="AE33" s="70">
        <v>3.2287643324110604</v>
      </c>
      <c r="AF33" s="70">
        <v>4.3142927223882799</v>
      </c>
      <c r="AG33" s="70">
        <v>-0.52457144974208392</v>
      </c>
      <c r="AH33" s="70">
        <v>1.115379357060986</v>
      </c>
      <c r="AI33" s="70">
        <v>1.8169060457966957</v>
      </c>
      <c r="AJ33" s="70">
        <v>1.5827113324854869</v>
      </c>
      <c r="AK33" s="70">
        <v>6.847743313221577</v>
      </c>
      <c r="AL33" s="70">
        <v>4.8852481806501924</v>
      </c>
      <c r="AM33" s="70">
        <v>3.5124961672075905</v>
      </c>
      <c r="AN33" s="70">
        <v>2.6943059354253895</v>
      </c>
      <c r="AO33" s="70">
        <v>2.4118507417030477</v>
      </c>
      <c r="AP33" s="70">
        <v>2.6609965224414278</v>
      </c>
      <c r="AQ33" s="70">
        <v>2.8320844466986683</v>
      </c>
      <c r="AR33" s="70">
        <v>2.9241440159659238</v>
      </c>
      <c r="AS33" s="70">
        <v>2.9363260182924567</v>
      </c>
      <c r="AT33" s="70">
        <v>2.8680715749140218</v>
      </c>
      <c r="AU33" s="70">
        <v>2.8187729622953128</v>
      </c>
      <c r="AV33" s="70">
        <v>2.7883234472926288</v>
      </c>
      <c r="AW33" s="70">
        <v>2.7768860174818055</v>
      </c>
      <c r="AX33" s="70">
        <v>2.7843704088825083</v>
      </c>
      <c r="AY33" s="70">
        <v>2.7881905874184598</v>
      </c>
      <c r="AZ33" s="70">
        <v>2.7883971225443061</v>
      </c>
      <c r="BA33" s="70">
        <v>2.7846182009856557</v>
      </c>
      <c r="BB33" s="70">
        <v>2.7768850170263315</v>
      </c>
      <c r="BC33" s="70">
        <v>2.7669055186372971</v>
      </c>
      <c r="BD33" s="70">
        <v>2.7550020577226997</v>
      </c>
      <c r="BE33" s="70">
        <v>2.7409597734524782</v>
      </c>
      <c r="BF33" s="70">
        <v>2.7246889357079196</v>
      </c>
      <c r="BG33" s="70">
        <v>2.7139812764238602</v>
      </c>
      <c r="BH33" s="70">
        <v>2.7350163042024311</v>
      </c>
      <c r="BI33" s="70">
        <v>2.7613681947699531</v>
      </c>
      <c r="BJ33" s="70">
        <v>2.7670269581454354</v>
      </c>
      <c r="BK33" s="70">
        <v>2.7663441394280897</v>
      </c>
      <c r="BL33" s="70">
        <v>2.7596130710298539</v>
      </c>
      <c r="BM33" s="70">
        <v>2.7465927083179409</v>
      </c>
      <c r="BN33" s="70">
        <v>2.7271632045621885</v>
      </c>
      <c r="BO33" s="70">
        <v>2.7142034463894626</v>
      </c>
      <c r="BP33" s="70">
        <v>2.7339014269153195</v>
      </c>
      <c r="BQ33" s="70">
        <v>2.7598254053721183</v>
      </c>
      <c r="BR33" s="70">
        <v>2.765986148591737</v>
      </c>
      <c r="BS33" s="70">
        <v>2.7659177215327846</v>
      </c>
      <c r="BT33" s="70">
        <v>2.7599140012944723</v>
      </c>
      <c r="BU33" s="70">
        <v>2.7477362626813662</v>
      </c>
      <c r="BV33" s="70">
        <v>2.7292620381166088</v>
      </c>
      <c r="BW33" s="70">
        <v>2.7158552345348363</v>
      </c>
      <c r="BX33" s="70">
        <v>2.7336983188573916</v>
      </c>
      <c r="BY33" s="70">
        <v>2.7563358715518405</v>
      </c>
      <c r="BZ33" s="70">
        <v>2.7577825484074836</v>
      </c>
      <c r="CA33" s="70">
        <v>2.0997339340380616</v>
      </c>
      <c r="CB33" s="70">
        <v>2.7546326341883809</v>
      </c>
    </row>
    <row r="34" spans="1:80" ht="17.100000000000001" customHeight="1" x14ac:dyDescent="0.2">
      <c r="A34" s="83" t="s">
        <v>135</v>
      </c>
      <c r="B34" s="39"/>
      <c r="C34" s="39"/>
      <c r="D34" s="39"/>
      <c r="E34" s="39"/>
      <c r="F34" s="39"/>
      <c r="G34" s="83"/>
      <c r="L34" s="45"/>
      <c r="M34" s="45"/>
      <c r="N34" s="45"/>
      <c r="O34" s="45"/>
      <c r="P34" s="45"/>
      <c r="Q34" s="45"/>
      <c r="R34" s="45"/>
      <c r="S34" s="45"/>
      <c r="T34" s="45"/>
      <c r="U34" s="45"/>
      <c r="V34" s="45"/>
      <c r="W34" s="45"/>
      <c r="X34" s="45"/>
      <c r="Y34" s="45"/>
      <c r="Z34" s="45"/>
      <c r="AA34" s="45"/>
      <c r="AB34" s="45"/>
      <c r="AC34" s="45"/>
      <c r="AD34" s="45"/>
      <c r="AE34" s="45"/>
      <c r="AF34" s="45"/>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row>
    <row r="35" spans="1:80" s="143" customFormat="1" ht="17.100000000000001" customHeight="1" x14ac:dyDescent="0.2">
      <c r="A35" s="160" t="s">
        <v>95</v>
      </c>
      <c r="B35" s="160"/>
      <c r="C35" s="160"/>
      <c r="D35" s="160"/>
      <c r="E35" s="160"/>
      <c r="F35" s="160"/>
      <c r="G35" s="160"/>
      <c r="L35" s="173"/>
      <c r="M35" s="173"/>
      <c r="N35" s="173"/>
      <c r="O35" s="173"/>
      <c r="P35" s="173"/>
      <c r="Q35" s="173"/>
      <c r="R35" s="173"/>
      <c r="S35" s="173"/>
      <c r="T35" s="173"/>
      <c r="U35" s="173"/>
      <c r="V35" s="173"/>
      <c r="W35" s="173"/>
      <c r="X35" s="173"/>
      <c r="Y35" s="173"/>
      <c r="Z35" s="173"/>
      <c r="AA35" s="173"/>
      <c r="AB35" s="173"/>
      <c r="AC35" s="173"/>
      <c r="AD35" s="173"/>
      <c r="AE35" s="173"/>
      <c r="AF35" s="173"/>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row>
    <row r="36" spans="1:80" s="186" customFormat="1" ht="17.100000000000001" customHeight="1" thickBot="1" x14ac:dyDescent="0.25">
      <c r="A36" s="182" t="s">
        <v>19</v>
      </c>
      <c r="B36" s="183">
        <v>9.8801724404824487</v>
      </c>
      <c r="C36" s="183">
        <v>2.1536065631408308</v>
      </c>
      <c r="D36" s="183">
        <v>10.904579320492825</v>
      </c>
      <c r="E36" s="183">
        <v>4.4222697456441251</v>
      </c>
      <c r="F36" s="183"/>
      <c r="G36" s="182"/>
      <c r="H36" s="184"/>
      <c r="I36" s="184"/>
      <c r="J36" s="184"/>
      <c r="K36" s="184"/>
      <c r="L36" s="185" t="e">
        <v>#DIV/0!</v>
      </c>
      <c r="M36" s="185" t="e">
        <v>#DIV/0!</v>
      </c>
      <c r="N36" s="185">
        <v>16.0240016101612</v>
      </c>
      <c r="O36" s="185">
        <v>18.296004732815341</v>
      </c>
      <c r="P36" s="185">
        <v>-13.335065661638069</v>
      </c>
      <c r="Q36" s="185">
        <v>-8.5764565883573169</v>
      </c>
      <c r="R36" s="185">
        <v>0.96839961317107814</v>
      </c>
      <c r="S36" s="185">
        <v>15.080045938243325</v>
      </c>
      <c r="T36" s="185">
        <v>19.915539781803737</v>
      </c>
      <c r="U36" s="185">
        <v>12.326272734632315</v>
      </c>
      <c r="V36" s="185">
        <v>13.065519522684067</v>
      </c>
      <c r="W36" s="185">
        <v>13.190256428016145</v>
      </c>
      <c r="X36" s="185">
        <v>16.014249515363655</v>
      </c>
      <c r="Y36" s="185">
        <v>18.951389259049868</v>
      </c>
      <c r="Z36" s="185">
        <v>7.8626362379679016</v>
      </c>
      <c r="AA36" s="185">
        <v>-3.332437338427674</v>
      </c>
      <c r="AB36" s="185">
        <v>-3.5664362822622531</v>
      </c>
      <c r="AC36" s="185">
        <v>2.4097212899460763</v>
      </c>
      <c r="AD36" s="185">
        <v>3.5895788977460485</v>
      </c>
      <c r="AE36" s="185">
        <v>5.9326990819849712</v>
      </c>
      <c r="AF36" s="185">
        <v>13.001319454661719</v>
      </c>
      <c r="AG36" s="185">
        <v>7.1171897566740361</v>
      </c>
      <c r="AH36" s="185">
        <v>7.0267161087310015</v>
      </c>
      <c r="AI36" s="185">
        <v>15.020727639283681</v>
      </c>
      <c r="AJ36" s="185">
        <v>4.5765319742754107</v>
      </c>
      <c r="AK36" s="185">
        <v>13.288030692993669</v>
      </c>
      <c r="AL36" s="185">
        <v>7.6587552705246198</v>
      </c>
      <c r="AM36" s="185">
        <v>4.9697145301389467</v>
      </c>
      <c r="AN36" s="185">
        <v>-3.4420657588663084</v>
      </c>
      <c r="AO36" s="185">
        <v>0.11789287727685949</v>
      </c>
      <c r="AP36" s="185">
        <v>10.604422341941389</v>
      </c>
      <c r="AQ36" s="185">
        <v>4.5985732246940358</v>
      </c>
      <c r="AR36" s="185">
        <v>17.953650929762976</v>
      </c>
      <c r="AS36" s="185">
        <v>10.804191715420641</v>
      </c>
      <c r="AT36" s="185">
        <v>7.1484299532141415</v>
      </c>
      <c r="AU36" s="185">
        <v>10.453863895765881</v>
      </c>
      <c r="AV36" s="185">
        <v>-0.6630609689081024</v>
      </c>
      <c r="AW36" s="185">
        <v>1.37028839343869</v>
      </c>
      <c r="AX36" s="185">
        <v>-0.6107872741498821</v>
      </c>
      <c r="AY36" s="185">
        <v>3.2552982957715582</v>
      </c>
      <c r="AZ36" s="185">
        <v>10.003239549811038</v>
      </c>
      <c r="BA36" s="185">
        <v>5.0444829197609176</v>
      </c>
      <c r="BB36" s="185">
        <v>11.026390767471984</v>
      </c>
      <c r="BC36" s="185">
        <v>9.5357940323098411</v>
      </c>
      <c r="BD36" s="185">
        <v>-0.67574802038412596</v>
      </c>
      <c r="BE36" s="185">
        <v>-24.997721465312061</v>
      </c>
      <c r="BF36" s="185">
        <v>-3.3582876137571827</v>
      </c>
      <c r="BG36" s="185">
        <v>-4.5905031387412754</v>
      </c>
      <c r="BH36" s="185">
        <v>-3.5545582314911894</v>
      </c>
      <c r="BI36" s="185">
        <v>47.741355672171039</v>
      </c>
      <c r="BJ36" s="185">
        <v>-1.7056381781547336</v>
      </c>
      <c r="BK36" s="185">
        <v>8.4536149600923594</v>
      </c>
      <c r="BL36" s="185">
        <v>21.819966569086112</v>
      </c>
      <c r="BM36" s="185">
        <v>2.6241571361079075</v>
      </c>
      <c r="BN36" s="185">
        <v>17.806551999602927</v>
      </c>
      <c r="BO36" s="185">
        <v>5.1403958430175534</v>
      </c>
      <c r="BP36" s="185">
        <v>4.1100753574990545</v>
      </c>
      <c r="BQ36" s="185">
        <v>11.125298245463199</v>
      </c>
      <c r="BR36" s="185">
        <v>13.913662355052846</v>
      </c>
      <c r="BS36" s="185">
        <v>6.9502736537803589</v>
      </c>
      <c r="BT36" s="185">
        <v>6.8429800830516863</v>
      </c>
      <c r="BU36" s="185">
        <v>3.7987589153507306</v>
      </c>
      <c r="BV36" s="185">
        <v>10.556978909848947</v>
      </c>
      <c r="BW36" s="185">
        <v>9.3531628155154145</v>
      </c>
      <c r="BX36" s="185">
        <v>5.4594993674930148</v>
      </c>
      <c r="BY36" s="185">
        <v>7.9766044265149549</v>
      </c>
      <c r="BZ36" s="185">
        <v>3.3485178323735099</v>
      </c>
      <c r="CA36" s="185">
        <v>7.1416697089154546</v>
      </c>
      <c r="CB36" s="185">
        <v>14.109321352919558</v>
      </c>
    </row>
    <row r="37" spans="1:80" x14ac:dyDescent="0.2">
      <c r="A37" s="103" t="s">
        <v>50</v>
      </c>
      <c r="B37" s="103"/>
      <c r="C37" s="103"/>
      <c r="D37" s="103"/>
      <c r="E37" s="103"/>
      <c r="F37" s="103"/>
      <c r="G37" s="103"/>
      <c r="H37" s="92"/>
    </row>
    <row r="38" spans="1:80" x14ac:dyDescent="0.2">
      <c r="Y38" s="35">
        <v>8.5</v>
      </c>
    </row>
  </sheetData>
  <mergeCells count="16">
    <mergeCell ref="BZ3:CB3"/>
    <mergeCell ref="AL3:AO3"/>
    <mergeCell ref="AP3:AS3"/>
    <mergeCell ref="AT3:AW3"/>
    <mergeCell ref="AX3:BA3"/>
    <mergeCell ref="BB3:BE3"/>
    <mergeCell ref="BR3:BU3"/>
    <mergeCell ref="BN3:BQ3"/>
    <mergeCell ref="BJ3:BM3"/>
    <mergeCell ref="BF3:BI3"/>
    <mergeCell ref="BV3:BY3"/>
    <mergeCell ref="H3:I3"/>
    <mergeCell ref="J3:M3"/>
    <mergeCell ref="N3:Q3"/>
    <mergeCell ref="R3:U3"/>
    <mergeCell ref="V3:Y3"/>
  </mergeCells>
  <phoneticPr fontId="31" type="noConversion"/>
  <conditionalFormatting sqref="A5:BA36">
    <cfRule type="cellIs" dxfId="10" priority="4" operator="lessThan">
      <formula>0</formula>
    </cfRule>
  </conditionalFormatting>
  <conditionalFormatting sqref="BB20:BD22">
    <cfRule type="cellIs" dxfId="9" priority="3" operator="lessThan">
      <formula>0</formula>
    </cfRule>
  </conditionalFormatting>
  <conditionalFormatting sqref="BB12:BF19 BG12:CB21 BE20:BF21 BL30:CB33 BB30:BK36 BL36:CB36">
    <cfRule type="cellIs" dxfId="8" priority="25" operator="lessThan">
      <formula>0</formula>
    </cfRule>
  </conditionalFormatting>
  <conditionalFormatting sqref="BB5:CB11">
    <cfRule type="cellIs" dxfId="7" priority="1" operator="lessThan">
      <formula>0</formula>
    </cfRule>
  </conditionalFormatting>
  <conditionalFormatting sqref="BB23:CB29">
    <cfRule type="cellIs" dxfId="6" priority="2" operator="lessThan">
      <formula>0</formula>
    </cfRule>
  </conditionalFormatting>
  <conditionalFormatting sqref="BE22:CB22">
    <cfRule type="cellIs" dxfId="5" priority="21" operator="lessThan">
      <formula>0</formula>
    </cfRule>
  </conditionalFormatting>
  <pageMargins left="0.31496062992125984" right="0" top="0.51181102362204722" bottom="0" header="0" footer="0"/>
  <pageSetup paperSize="9" scale="4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CF38"/>
  <sheetViews>
    <sheetView showGridLines="0" view="pageBreakPreview" zoomScale="120" zoomScaleNormal="100" zoomScaleSheetLayoutView="120" workbookViewId="0">
      <pane xSplit="19" ySplit="4" topLeftCell="BE5" activePane="bottomRight" state="frozen"/>
      <selection activeCell="AP1" sqref="AP1"/>
      <selection pane="topRight" activeCell="AP1" sqref="AP1"/>
      <selection pane="bottomLeft" activeCell="AP1" sqref="AP1"/>
      <selection pane="bottomRight" activeCell="BZ16" sqref="BZ16"/>
    </sheetView>
  </sheetViews>
  <sheetFormatPr defaultColWidth="9.140625" defaultRowHeight="11.25" x14ac:dyDescent="0.2"/>
  <cols>
    <col min="1" max="1" width="25.42578125" style="35" customWidth="1"/>
    <col min="2" max="3" width="6.42578125" style="35" hidden="1" customWidth="1"/>
    <col min="4" max="4" width="7" style="35" hidden="1" customWidth="1"/>
    <col min="5" max="5" width="6.85546875" style="35" hidden="1" customWidth="1"/>
    <col min="6" max="6" width="7.28515625" style="35" hidden="1" customWidth="1"/>
    <col min="7" max="7" width="7" style="35" hidden="1" customWidth="1"/>
    <col min="8" max="8" width="6" style="35" hidden="1" customWidth="1"/>
    <col min="9" max="15" width="6.5703125" style="35" hidden="1" customWidth="1"/>
    <col min="16" max="19" width="5.85546875" style="35" hidden="1" customWidth="1"/>
    <col min="20" max="35" width="6.7109375" style="35" hidden="1" customWidth="1"/>
    <col min="36" max="40" width="6.7109375" style="35" customWidth="1"/>
    <col min="41" max="43" width="6.28515625" style="35" customWidth="1"/>
    <col min="44" max="44" width="6" style="35" customWidth="1"/>
    <col min="45" max="45" width="6.140625" style="35" customWidth="1"/>
    <col min="46" max="46" width="6.7109375" style="35" customWidth="1"/>
    <col min="47" max="47" width="7.42578125" style="35" customWidth="1"/>
    <col min="48" max="48" width="6" style="35" customWidth="1"/>
    <col min="49" max="51" width="7" style="35" customWidth="1"/>
    <col min="52" max="57" width="6" style="35" bestFit="1" customWidth="1"/>
    <col min="58" max="58" width="6.28515625" style="35" customWidth="1"/>
    <col min="59" max="62" width="6" style="35" bestFit="1" customWidth="1"/>
    <col min="63" max="66" width="6.28515625" style="35" bestFit="1" customWidth="1"/>
    <col min="67" max="67" width="6.5703125" style="35" bestFit="1" customWidth="1"/>
    <col min="68" max="68" width="6.28515625" style="35" bestFit="1" customWidth="1"/>
    <col min="69" max="69" width="6.85546875" style="35" customWidth="1"/>
    <col min="70" max="70" width="6.28515625" style="35" bestFit="1" customWidth="1"/>
    <col min="71" max="71" width="6.5703125" style="35" bestFit="1" customWidth="1"/>
    <col min="72" max="72" width="6.28515625" style="35" bestFit="1" customWidth="1"/>
    <col min="73" max="73" width="6.7109375" style="35" customWidth="1"/>
    <col min="74" max="74" width="6.28515625" style="35" customWidth="1"/>
    <col min="75" max="75" width="6.5703125" style="35" bestFit="1" customWidth="1"/>
    <col min="76" max="76" width="6.7109375" style="35" customWidth="1"/>
    <col min="77" max="77" width="7" style="35" customWidth="1"/>
    <col min="78" max="78" width="6.85546875" style="35" customWidth="1"/>
    <col min="79" max="81" width="7.140625" style="35" customWidth="1"/>
    <col min="82" max="16384" width="9.140625" style="35"/>
  </cols>
  <sheetData>
    <row r="1" spans="1:84" s="94" customFormat="1" ht="17.25" customHeight="1" x14ac:dyDescent="0.2">
      <c r="A1" s="31" t="s">
        <v>180</v>
      </c>
      <c r="AQ1" s="31"/>
    </row>
    <row r="2" spans="1:84" ht="3.75" customHeight="1" thickBot="1" x14ac:dyDescent="0.25">
      <c r="I2" s="35" t="s">
        <v>20</v>
      </c>
      <c r="J2" s="35" t="s">
        <v>21</v>
      </c>
      <c r="K2" s="35" t="s">
        <v>22</v>
      </c>
      <c r="L2" s="35" t="s">
        <v>23</v>
      </c>
      <c r="M2" s="35" t="s">
        <v>24</v>
      </c>
      <c r="N2" s="35" t="s">
        <v>25</v>
      </c>
      <c r="O2" s="35" t="s">
        <v>26</v>
      </c>
      <c r="P2" s="35" t="s">
        <v>27</v>
      </c>
      <c r="Q2" s="35" t="s">
        <v>28</v>
      </c>
      <c r="R2" s="35" t="s">
        <v>29</v>
      </c>
      <c r="S2" s="35" t="s">
        <v>30</v>
      </c>
      <c r="T2" s="35" t="s">
        <v>31</v>
      </c>
      <c r="U2" s="35" t="s">
        <v>32</v>
      </c>
      <c r="V2" s="35" t="s">
        <v>33</v>
      </c>
      <c r="W2" s="35" t="s">
        <v>34</v>
      </c>
      <c r="X2" s="35" t="s">
        <v>35</v>
      </c>
      <c r="Y2" s="35" t="s">
        <v>36</v>
      </c>
      <c r="Z2" s="35" t="s">
        <v>37</v>
      </c>
      <c r="AA2" s="35" t="s">
        <v>38</v>
      </c>
      <c r="AB2" s="35" t="s">
        <v>39</v>
      </c>
      <c r="AC2" s="35" t="s">
        <v>40</v>
      </c>
      <c r="AD2" s="35" t="s">
        <v>41</v>
      </c>
      <c r="AE2" s="35" t="s">
        <v>42</v>
      </c>
      <c r="AF2" s="35" t="s">
        <v>43</v>
      </c>
      <c r="AG2" s="35" t="s">
        <v>44</v>
      </c>
      <c r="AH2" s="35" t="s">
        <v>45</v>
      </c>
      <c r="AI2" s="35" t="s">
        <v>51</v>
      </c>
      <c r="AJ2" s="35" t="s">
        <v>73</v>
      </c>
      <c r="AK2" s="35" t="s">
        <v>74</v>
      </c>
      <c r="AL2" s="35" t="s">
        <v>75</v>
      </c>
      <c r="AM2" s="35" t="s">
        <v>78</v>
      </c>
    </row>
    <row r="3" spans="1:84" s="86" customFormat="1" ht="12" customHeight="1" x14ac:dyDescent="0.2">
      <c r="I3" s="260" t="s">
        <v>67</v>
      </c>
      <c r="J3" s="260"/>
      <c r="K3" s="260" t="s">
        <v>66</v>
      </c>
      <c r="L3" s="260"/>
      <c r="M3" s="260"/>
      <c r="N3" s="260"/>
      <c r="O3" s="260" t="s">
        <v>60</v>
      </c>
      <c r="P3" s="260"/>
      <c r="Q3" s="260"/>
      <c r="R3" s="260"/>
      <c r="S3" s="260" t="s">
        <v>61</v>
      </c>
      <c r="T3" s="260"/>
      <c r="U3" s="260"/>
      <c r="V3" s="260"/>
      <c r="W3" s="260" t="s">
        <v>62</v>
      </c>
      <c r="X3" s="260"/>
      <c r="Y3" s="260"/>
      <c r="Z3" s="260"/>
      <c r="AA3" s="260" t="s">
        <v>63</v>
      </c>
      <c r="AB3" s="260"/>
      <c r="AC3" s="260"/>
      <c r="AD3" s="260"/>
      <c r="AE3" s="86" t="s">
        <v>64</v>
      </c>
      <c r="AF3" s="86" t="s">
        <v>64</v>
      </c>
      <c r="AH3" s="86" t="s">
        <v>64</v>
      </c>
      <c r="AI3" s="86" t="s">
        <v>65</v>
      </c>
      <c r="AJ3" s="86" t="s">
        <v>65</v>
      </c>
      <c r="AK3" s="86" t="s">
        <v>65</v>
      </c>
      <c r="AM3" s="260" t="s">
        <v>77</v>
      </c>
      <c r="AN3" s="260"/>
      <c r="AO3" s="260"/>
      <c r="AP3" s="260"/>
      <c r="AQ3" s="260" t="s">
        <v>80</v>
      </c>
      <c r="AR3" s="260"/>
      <c r="AS3" s="260"/>
      <c r="AT3" s="260"/>
      <c r="AU3" s="260" t="s">
        <v>92</v>
      </c>
      <c r="AV3" s="260"/>
      <c r="AW3" s="260"/>
      <c r="AX3" s="260"/>
      <c r="AY3" s="262" t="s">
        <v>134</v>
      </c>
      <c r="AZ3" s="262"/>
      <c r="BA3" s="262"/>
      <c r="BB3" s="262"/>
      <c r="BC3" s="262" t="s">
        <v>136</v>
      </c>
      <c r="BD3" s="262"/>
      <c r="BE3" s="262"/>
      <c r="BF3" s="262"/>
      <c r="BG3" s="261" t="s">
        <v>137</v>
      </c>
      <c r="BH3" s="261"/>
      <c r="BI3" s="261"/>
      <c r="BJ3" s="261"/>
      <c r="BK3" s="260" t="s">
        <v>138</v>
      </c>
      <c r="BL3" s="260"/>
      <c r="BM3" s="260"/>
      <c r="BN3" s="260"/>
      <c r="BO3" s="260" t="s">
        <v>139</v>
      </c>
      <c r="BP3" s="260"/>
      <c r="BQ3" s="260"/>
      <c r="BR3" s="260"/>
      <c r="BS3" s="260" t="s">
        <v>140</v>
      </c>
      <c r="BT3" s="260"/>
      <c r="BU3" s="260"/>
      <c r="BV3" s="260"/>
      <c r="BW3" s="260" t="s">
        <v>174</v>
      </c>
      <c r="BX3" s="260"/>
      <c r="BY3" s="260"/>
      <c r="BZ3" s="260"/>
      <c r="CA3" s="86" t="s">
        <v>175</v>
      </c>
      <c r="CB3" s="86" t="s">
        <v>175</v>
      </c>
      <c r="CC3" s="86" t="s">
        <v>175</v>
      </c>
    </row>
    <row r="4" spans="1:84" s="143" customFormat="1" ht="13.5" customHeight="1" x14ac:dyDescent="0.2">
      <c r="A4" s="88"/>
      <c r="B4" s="158" t="s">
        <v>66</v>
      </c>
      <c r="C4" s="158" t="s">
        <v>60</v>
      </c>
      <c r="D4" s="158" t="s">
        <v>61</v>
      </c>
      <c r="E4" s="158" t="s">
        <v>62</v>
      </c>
      <c r="F4" s="158" t="s">
        <v>63</v>
      </c>
      <c r="G4" s="158" t="s">
        <v>64</v>
      </c>
      <c r="H4" s="88"/>
      <c r="I4" s="89" t="s">
        <v>48</v>
      </c>
      <c r="J4" s="89" t="s">
        <v>49</v>
      </c>
      <c r="K4" s="89" t="s">
        <v>46</v>
      </c>
      <c r="L4" s="89" t="s">
        <v>47</v>
      </c>
      <c r="M4" s="89" t="s">
        <v>48</v>
      </c>
      <c r="N4" s="89" t="s">
        <v>49</v>
      </c>
      <c r="O4" s="89" t="s">
        <v>46</v>
      </c>
      <c r="P4" s="89" t="s">
        <v>47</v>
      </c>
      <c r="Q4" s="89" t="s">
        <v>48</v>
      </c>
      <c r="R4" s="89" t="s">
        <v>49</v>
      </c>
      <c r="S4" s="89" t="s">
        <v>46</v>
      </c>
      <c r="T4" s="89" t="s">
        <v>47</v>
      </c>
      <c r="U4" s="89" t="s">
        <v>48</v>
      </c>
      <c r="V4" s="89" t="s">
        <v>49</v>
      </c>
      <c r="W4" s="89" t="s">
        <v>46</v>
      </c>
      <c r="X4" s="89" t="s">
        <v>47</v>
      </c>
      <c r="Y4" s="89" t="s">
        <v>48</v>
      </c>
      <c r="Z4" s="89" t="s">
        <v>49</v>
      </c>
      <c r="AA4" s="89" t="s">
        <v>46</v>
      </c>
      <c r="AB4" s="89" t="s">
        <v>47</v>
      </c>
      <c r="AC4" s="89" t="s">
        <v>48</v>
      </c>
      <c r="AD4" s="89" t="s">
        <v>49</v>
      </c>
      <c r="AE4" s="89" t="s">
        <v>46</v>
      </c>
      <c r="AF4" s="89" t="s">
        <v>47</v>
      </c>
      <c r="AG4" s="89" t="s">
        <v>48</v>
      </c>
      <c r="AH4" s="89" t="s">
        <v>49</v>
      </c>
      <c r="AI4" s="89" t="s">
        <v>46</v>
      </c>
      <c r="AJ4" s="89" t="s">
        <v>47</v>
      </c>
      <c r="AK4" s="89" t="s">
        <v>48</v>
      </c>
      <c r="AL4" s="89" t="s">
        <v>49</v>
      </c>
      <c r="AM4" s="89" t="s">
        <v>46</v>
      </c>
      <c r="AN4" s="89" t="s">
        <v>47</v>
      </c>
      <c r="AO4" s="89" t="s">
        <v>48</v>
      </c>
      <c r="AP4" s="89" t="s">
        <v>49</v>
      </c>
      <c r="AQ4" s="89" t="s">
        <v>46</v>
      </c>
      <c r="AR4" s="89" t="s">
        <v>47</v>
      </c>
      <c r="AS4" s="89" t="s">
        <v>48</v>
      </c>
      <c r="AT4" s="89" t="s">
        <v>49</v>
      </c>
      <c r="AU4" s="89" t="s">
        <v>46</v>
      </c>
      <c r="AV4" s="89" t="s">
        <v>47</v>
      </c>
      <c r="AW4" s="89" t="s">
        <v>48</v>
      </c>
      <c r="AX4" s="89" t="s">
        <v>49</v>
      </c>
      <c r="AY4" s="159" t="s">
        <v>46</v>
      </c>
      <c r="AZ4" s="159" t="s">
        <v>47</v>
      </c>
      <c r="BA4" s="89" t="s">
        <v>48</v>
      </c>
      <c r="BB4" s="89" t="s">
        <v>49</v>
      </c>
      <c r="BC4" s="159" t="s">
        <v>46</v>
      </c>
      <c r="BD4" s="159" t="s">
        <v>47</v>
      </c>
      <c r="BE4" s="159" t="s">
        <v>48</v>
      </c>
      <c r="BF4" s="159" t="s">
        <v>49</v>
      </c>
      <c r="BG4" s="159" t="s">
        <v>46</v>
      </c>
      <c r="BH4" s="159" t="s">
        <v>47</v>
      </c>
      <c r="BI4" s="159" t="s">
        <v>48</v>
      </c>
      <c r="BJ4" s="159" t="s">
        <v>49</v>
      </c>
      <c r="BK4" s="159" t="s">
        <v>46</v>
      </c>
      <c r="BL4" s="159" t="s">
        <v>47</v>
      </c>
      <c r="BM4" s="159" t="s">
        <v>48</v>
      </c>
      <c r="BN4" s="159" t="s">
        <v>49</v>
      </c>
      <c r="BO4" s="159" t="s">
        <v>46</v>
      </c>
      <c r="BP4" s="159" t="s">
        <v>47</v>
      </c>
      <c r="BQ4" s="159" t="s">
        <v>48</v>
      </c>
      <c r="BR4" s="159" t="s">
        <v>49</v>
      </c>
      <c r="BS4" s="159" t="s">
        <v>46</v>
      </c>
      <c r="BT4" s="159" t="s">
        <v>47</v>
      </c>
      <c r="BU4" s="159" t="s">
        <v>48</v>
      </c>
      <c r="BV4" s="159" t="s">
        <v>49</v>
      </c>
      <c r="BW4" s="159" t="s">
        <v>46</v>
      </c>
      <c r="BX4" s="159" t="s">
        <v>47</v>
      </c>
      <c r="BY4" s="159" t="s">
        <v>48</v>
      </c>
      <c r="BZ4" s="159" t="s">
        <v>49</v>
      </c>
      <c r="CA4" s="159" t="s">
        <v>46</v>
      </c>
      <c r="CB4" s="159" t="s">
        <v>47</v>
      </c>
      <c r="CC4" s="159" t="s">
        <v>48</v>
      </c>
    </row>
    <row r="5" spans="1:84" s="37" customFormat="1" ht="17.100000000000001" customHeight="1" x14ac:dyDescent="0.2">
      <c r="A5" s="39" t="s">
        <v>97</v>
      </c>
      <c r="B5" s="79"/>
      <c r="C5" s="79"/>
      <c r="D5" s="79"/>
      <c r="E5" s="79"/>
      <c r="F5" s="79"/>
      <c r="G5" s="79"/>
      <c r="H5" s="79"/>
      <c r="I5" s="122" t="e">
        <v>#DIV/0!</v>
      </c>
      <c r="J5" s="122" t="e">
        <v>#DIV/0!</v>
      </c>
      <c r="K5" s="122">
        <v>169.51822416722814</v>
      </c>
      <c r="L5" s="122">
        <v>197.11355997509327</v>
      </c>
      <c r="M5" s="122">
        <v>224.42093242890988</v>
      </c>
      <c r="N5" s="122">
        <v>177.68329847040528</v>
      </c>
      <c r="O5" s="122">
        <v>139.62945341931567</v>
      </c>
      <c r="P5" s="122">
        <v>162.92921445625285</v>
      </c>
      <c r="Q5" s="122">
        <v>174.2613690990662</v>
      </c>
      <c r="R5" s="122">
        <v>155.48923487904253</v>
      </c>
      <c r="S5" s="122">
        <v>138.96649235566332</v>
      </c>
      <c r="T5" s="122">
        <v>156.17021387454838</v>
      </c>
      <c r="U5" s="122">
        <v>178.66024432377264</v>
      </c>
      <c r="V5" s="122">
        <v>171.6848935284045</v>
      </c>
      <c r="W5" s="122">
        <v>137.37735959307273</v>
      </c>
      <c r="X5" s="122">
        <v>147.2581655980849</v>
      </c>
      <c r="Y5" s="122">
        <v>181.45588461956544</v>
      </c>
      <c r="Z5" s="122">
        <v>165.7097676894696</v>
      </c>
      <c r="AA5" s="122">
        <v>134.91218756309925</v>
      </c>
      <c r="AB5" s="122">
        <v>167.85980893516833</v>
      </c>
      <c r="AC5" s="122">
        <v>190.65712438062749</v>
      </c>
      <c r="AD5" s="122">
        <v>183.01912098819483</v>
      </c>
      <c r="AE5" s="122">
        <v>153.73013712797786</v>
      </c>
      <c r="AF5" s="122">
        <v>188.93798210105871</v>
      </c>
      <c r="AG5" s="122">
        <v>210.3359309515883</v>
      </c>
      <c r="AH5" s="122">
        <v>179.71995582702132</v>
      </c>
      <c r="AI5" s="122">
        <v>159.35422830304634</v>
      </c>
      <c r="AJ5" s="122">
        <v>192.86198577026937</v>
      </c>
      <c r="AK5" s="122">
        <v>221.66388580974944</v>
      </c>
      <c r="AL5" s="122">
        <v>193.72830643186077</v>
      </c>
      <c r="AM5" s="122">
        <v>166.3239767252029</v>
      </c>
      <c r="AN5" s="122">
        <v>198.02433533051379</v>
      </c>
      <c r="AO5" s="122">
        <v>243.0694459312725</v>
      </c>
      <c r="AP5" s="122">
        <v>215.88943177506175</v>
      </c>
      <c r="AQ5" s="122">
        <v>191.52156094881605</v>
      </c>
      <c r="AR5" s="122">
        <v>219.13215391921361</v>
      </c>
      <c r="AS5" s="122">
        <v>240.68922940294487</v>
      </c>
      <c r="AT5" s="122">
        <v>228.87247977693775</v>
      </c>
      <c r="AU5" s="259">
        <v>102.26658444016567</v>
      </c>
      <c r="AV5" s="259">
        <v>100.3208385815084</v>
      </c>
      <c r="AW5" s="259">
        <v>106.43320773286788</v>
      </c>
      <c r="AX5" s="259">
        <v>108.9462503418857</v>
      </c>
      <c r="AY5" s="259">
        <v>105.17889397457374</v>
      </c>
      <c r="AZ5" s="259">
        <v>107.41317928793673</v>
      </c>
      <c r="BA5" s="259">
        <v>108.25571555245934</v>
      </c>
      <c r="BB5" s="259">
        <v>109.62404304773636</v>
      </c>
      <c r="BC5" s="259">
        <v>108.59652570152763</v>
      </c>
      <c r="BD5" s="259">
        <v>112.11936706956674</v>
      </c>
      <c r="BE5" s="259">
        <v>111.87089092576686</v>
      </c>
      <c r="BF5" s="259">
        <v>109.57130216199644</v>
      </c>
      <c r="BG5" s="259">
        <v>111.82211740916405</v>
      </c>
      <c r="BH5" s="259">
        <v>113.61348345240873</v>
      </c>
      <c r="BI5" s="259">
        <v>113.49601509889398</v>
      </c>
      <c r="BJ5" s="259">
        <v>114.44593935594685</v>
      </c>
      <c r="BK5" s="259">
        <v>115.62811216475571</v>
      </c>
      <c r="BL5" s="259">
        <v>117.15355026864091</v>
      </c>
      <c r="BM5" s="259">
        <v>120.01326384603028</v>
      </c>
      <c r="BN5" s="259">
        <v>122.9210975300028</v>
      </c>
      <c r="BO5" s="259">
        <v>124.85855953796042</v>
      </c>
      <c r="BP5" s="259">
        <v>124.95115559836678</v>
      </c>
      <c r="BQ5" s="259">
        <v>125.78234600778235</v>
      </c>
      <c r="BR5" s="259">
        <v>132.05511917103237</v>
      </c>
      <c r="BS5" s="259">
        <v>131.4791462299396</v>
      </c>
      <c r="BT5" s="259">
        <v>132.1851184578085</v>
      </c>
      <c r="BU5" s="259">
        <v>133.3806723061418</v>
      </c>
      <c r="BV5" s="259">
        <v>135.88896872492563</v>
      </c>
      <c r="BW5" s="259">
        <v>137.02476961423628</v>
      </c>
      <c r="BX5" s="259">
        <v>139.24051464275573</v>
      </c>
      <c r="BY5" s="259">
        <v>141.32309466429248</v>
      </c>
      <c r="BZ5" s="259">
        <v>143.22198214839855</v>
      </c>
      <c r="CA5" s="259">
        <v>138.14266255640089</v>
      </c>
      <c r="CB5" s="259">
        <v>144.51503278628473</v>
      </c>
      <c r="CC5" s="259">
        <v>145.71406344536371</v>
      </c>
      <c r="CD5" s="258"/>
      <c r="CE5" s="258"/>
      <c r="CF5" s="258"/>
    </row>
    <row r="6" spans="1:84" s="160" customFormat="1" ht="17.100000000000001" customHeight="1" x14ac:dyDescent="0.2">
      <c r="A6" s="160" t="s">
        <v>96</v>
      </c>
      <c r="I6" s="160" t="e">
        <v>#DIV/0!</v>
      </c>
      <c r="J6" s="160" t="e">
        <v>#DIV/0!</v>
      </c>
      <c r="K6" s="160">
        <v>83.342758415943408</v>
      </c>
      <c r="L6" s="160">
        <v>120.87091256197368</v>
      </c>
      <c r="M6" s="160">
        <v>202.80695749389639</v>
      </c>
      <c r="N6" s="160">
        <v>106.14355333394003</v>
      </c>
      <c r="O6" s="160">
        <v>88.710091009291787</v>
      </c>
      <c r="P6" s="160">
        <v>139.69058415510008</v>
      </c>
      <c r="Q6" s="160">
        <v>203.52773400013211</v>
      </c>
      <c r="R6" s="160">
        <v>125.87609354843956</v>
      </c>
      <c r="S6" s="160">
        <v>95.087447566870765</v>
      </c>
      <c r="T6" s="160">
        <v>146.40761646311412</v>
      </c>
      <c r="U6" s="160">
        <v>217.80864175622926</v>
      </c>
      <c r="V6" s="160">
        <v>152.00116555975575</v>
      </c>
      <c r="W6" s="160">
        <v>86.745155700269393</v>
      </c>
      <c r="X6" s="160">
        <v>150.06801372811418</v>
      </c>
      <c r="Y6" s="160">
        <v>256.26112985300307</v>
      </c>
      <c r="Z6" s="160">
        <v>172.93860711680196</v>
      </c>
      <c r="AA6" s="160">
        <v>80.725496122340672</v>
      </c>
      <c r="AB6" s="160">
        <v>163.15282133230241</v>
      </c>
      <c r="AC6" s="160">
        <v>269.73045986360427</v>
      </c>
      <c r="AD6" s="160">
        <v>192.52692930205657</v>
      </c>
      <c r="AE6" s="160">
        <v>91.718037182079897</v>
      </c>
      <c r="AF6" s="160">
        <v>185.26043624646502</v>
      </c>
      <c r="AG6" s="160">
        <v>307.33581389503661</v>
      </c>
      <c r="AH6" s="160">
        <v>200.7008182130385</v>
      </c>
      <c r="AI6" s="160">
        <v>108.82361454271303</v>
      </c>
      <c r="AJ6" s="160">
        <v>184.96143507127832</v>
      </c>
      <c r="AK6" s="160">
        <v>317.9499247744078</v>
      </c>
      <c r="AL6" s="160">
        <v>208.3844291314887</v>
      </c>
      <c r="AM6" s="160">
        <v>126.42866095318024</v>
      </c>
      <c r="AN6" s="160">
        <v>222.62764240573563</v>
      </c>
      <c r="AO6" s="160">
        <v>338.68558061000988</v>
      </c>
      <c r="AP6" s="160">
        <v>249.28892794723026</v>
      </c>
      <c r="AQ6" s="160">
        <v>159.95335623837971</v>
      </c>
      <c r="AR6" s="160">
        <v>241.10906847575785</v>
      </c>
      <c r="AS6" s="160">
        <v>343.40822196922528</v>
      </c>
      <c r="AT6" s="160">
        <v>266.07811206458103</v>
      </c>
      <c r="AU6" s="160">
        <v>102.14390140676417</v>
      </c>
      <c r="AV6" s="160">
        <v>94.090335867122903</v>
      </c>
      <c r="AW6" s="160">
        <v>110.99282419763578</v>
      </c>
      <c r="AX6" s="160">
        <v>116.61138789277538</v>
      </c>
      <c r="AY6" s="160">
        <v>100.94100281635012</v>
      </c>
      <c r="AZ6" s="160">
        <v>106.60955113836586</v>
      </c>
      <c r="BA6" s="160">
        <v>112.26614924825553</v>
      </c>
      <c r="BB6" s="160">
        <v>116.33675428984454</v>
      </c>
      <c r="BC6" s="160">
        <v>109.16230128748239</v>
      </c>
      <c r="BD6" s="160">
        <v>119.14168071875699</v>
      </c>
      <c r="BE6" s="160">
        <v>116.55240063944368</v>
      </c>
      <c r="BF6" s="160">
        <v>113.09197012078145</v>
      </c>
      <c r="BG6" s="160">
        <v>111.0764661092379</v>
      </c>
      <c r="BH6" s="160">
        <v>116.78887435541299</v>
      </c>
      <c r="BI6" s="160">
        <v>113.68909900042836</v>
      </c>
      <c r="BJ6" s="160">
        <v>122.17879265018918</v>
      </c>
      <c r="BK6" s="160">
        <v>116.8243321869768</v>
      </c>
      <c r="BL6" s="160">
        <v>125.01550991203874</v>
      </c>
      <c r="BM6" s="160">
        <v>124.38790568123559</v>
      </c>
      <c r="BN6" s="160">
        <v>126.69708875084294</v>
      </c>
      <c r="BO6" s="160">
        <v>126.59108850627487</v>
      </c>
      <c r="BP6" s="160">
        <v>130.35174816046884</v>
      </c>
      <c r="BQ6" s="160">
        <v>131.35429034154683</v>
      </c>
      <c r="BR6" s="160">
        <v>143.4498275489513</v>
      </c>
      <c r="BS6" s="160">
        <v>131.11884724319495</v>
      </c>
      <c r="BT6" s="160">
        <v>138.6488705762514</v>
      </c>
      <c r="BU6" s="160">
        <v>149.15101793147429</v>
      </c>
      <c r="BV6" s="160">
        <v>157.02213803357924</v>
      </c>
      <c r="BW6" s="160">
        <v>144.17741337534281</v>
      </c>
      <c r="BX6" s="160">
        <v>155.68756863129312</v>
      </c>
      <c r="BY6" s="160">
        <v>173.07675978184795</v>
      </c>
      <c r="BZ6" s="160">
        <v>169.67014282884315</v>
      </c>
      <c r="CA6" s="160">
        <v>143.3403015824901</v>
      </c>
      <c r="CB6" s="160">
        <v>162.07072039877792</v>
      </c>
      <c r="CC6" s="160">
        <v>177.23065743567182</v>
      </c>
      <c r="CD6" s="258"/>
      <c r="CE6" s="258"/>
      <c r="CF6" s="258"/>
    </row>
    <row r="7" spans="1:84" ht="17.100000000000001" customHeight="1" x14ac:dyDescent="0.2">
      <c r="A7" s="72" t="s">
        <v>1</v>
      </c>
      <c r="B7" s="123"/>
      <c r="C7" s="123"/>
      <c r="D7" s="123"/>
      <c r="E7" s="123"/>
      <c r="F7" s="123"/>
      <c r="G7" s="123"/>
      <c r="H7" s="123"/>
      <c r="I7" s="69" t="e">
        <v>#DIV/0!</v>
      </c>
      <c r="J7" s="69" t="e">
        <v>#DIV/0!</v>
      </c>
      <c r="K7" s="69">
        <v>188.75097960719469</v>
      </c>
      <c r="L7" s="69">
        <v>85.68232664405835</v>
      </c>
      <c r="M7" s="69">
        <v>113.65009604464382</v>
      </c>
      <c r="N7" s="69">
        <v>138.82568311358278</v>
      </c>
      <c r="O7" s="69">
        <v>182.90172120555837</v>
      </c>
      <c r="P7" s="69">
        <v>92.121384761110193</v>
      </c>
      <c r="Q7" s="69">
        <v>155.69019313660107</v>
      </c>
      <c r="R7" s="69">
        <v>138.33058358120834</v>
      </c>
      <c r="S7" s="69">
        <v>190.5949452539532</v>
      </c>
      <c r="T7" s="69">
        <v>97.273236405053822</v>
      </c>
      <c r="U7" s="69">
        <v>103.51039282574168</v>
      </c>
      <c r="V7" s="69">
        <v>179.80918343722695</v>
      </c>
      <c r="W7" s="69">
        <v>175.80395458447924</v>
      </c>
      <c r="X7" s="69">
        <v>81.364644361967052</v>
      </c>
      <c r="Y7" s="69">
        <v>113.94218714620359</v>
      </c>
      <c r="Z7" s="69">
        <v>175.98228316974337</v>
      </c>
      <c r="AA7" s="69">
        <v>207.26857170366236</v>
      </c>
      <c r="AB7" s="69">
        <v>123.4969104716388</v>
      </c>
      <c r="AC7" s="69">
        <v>151.93878570977256</v>
      </c>
      <c r="AD7" s="69">
        <v>286.65939538220289</v>
      </c>
      <c r="AE7" s="69">
        <v>262.34472982235786</v>
      </c>
      <c r="AF7" s="69">
        <v>151.24631785513048</v>
      </c>
      <c r="AG7" s="69">
        <v>202.74730379781522</v>
      </c>
      <c r="AH7" s="69">
        <v>294.65639913894722</v>
      </c>
      <c r="AI7" s="69">
        <v>261.05837423320548</v>
      </c>
      <c r="AJ7" s="69">
        <v>184.63947851668601</v>
      </c>
      <c r="AK7" s="69">
        <v>225.84258147893678</v>
      </c>
      <c r="AL7" s="69">
        <v>375.5341001164773</v>
      </c>
      <c r="AM7" s="69">
        <v>384.63381059400245</v>
      </c>
      <c r="AN7" s="69">
        <v>280.53701946522614</v>
      </c>
      <c r="AO7" s="69">
        <v>325.02717236343972</v>
      </c>
      <c r="AP7" s="69">
        <v>596.41280541644096</v>
      </c>
      <c r="AQ7" s="69">
        <v>676.78069898061074</v>
      </c>
      <c r="AR7" s="69">
        <v>410.5022790806612</v>
      </c>
      <c r="AS7" s="69">
        <v>353.47983303589302</v>
      </c>
      <c r="AT7" s="69">
        <v>579.58828707492285</v>
      </c>
      <c r="AU7" s="69">
        <v>105.81673027861187</v>
      </c>
      <c r="AV7" s="69">
        <v>98.94739115993832</v>
      </c>
      <c r="AW7" s="69">
        <v>96.083137052513578</v>
      </c>
      <c r="AX7" s="69">
        <v>99.648116322786123</v>
      </c>
      <c r="AY7" s="69">
        <v>99.414195803570195</v>
      </c>
      <c r="AZ7" s="69">
        <v>92.198663338099195</v>
      </c>
      <c r="BA7" s="69">
        <v>90.703539981004312</v>
      </c>
      <c r="BB7" s="69">
        <v>85.109559663097585</v>
      </c>
      <c r="BC7" s="69">
        <v>87.523435484200064</v>
      </c>
      <c r="BD7" s="69">
        <v>91.094533508876125</v>
      </c>
      <c r="BE7" s="69">
        <v>95.195841492668009</v>
      </c>
      <c r="BF7" s="69">
        <v>83.117494898357918</v>
      </c>
      <c r="BG7" s="69">
        <v>83.505323779570759</v>
      </c>
      <c r="BH7" s="69">
        <v>82.513385862008747</v>
      </c>
      <c r="BI7" s="69">
        <v>91.362991193419447</v>
      </c>
      <c r="BJ7" s="69">
        <v>99.879412518815855</v>
      </c>
      <c r="BK7" s="69">
        <v>99.838741181151875</v>
      </c>
      <c r="BL7" s="69">
        <v>129.30518106448486</v>
      </c>
      <c r="BM7" s="69">
        <v>134.38613275861303</v>
      </c>
      <c r="BN7" s="69">
        <v>130.05357649304119</v>
      </c>
      <c r="BO7" s="69">
        <v>121.6164990918619</v>
      </c>
      <c r="BP7" s="69">
        <v>125.57940430211833</v>
      </c>
      <c r="BQ7" s="69">
        <v>122.30837137997585</v>
      </c>
      <c r="BR7" s="69">
        <v>145.7187400973493</v>
      </c>
      <c r="BS7" s="69">
        <v>144.7037031774849</v>
      </c>
      <c r="BT7" s="69">
        <v>161.22797390253248</v>
      </c>
      <c r="BU7" s="69">
        <v>185.19618129230088</v>
      </c>
      <c r="BV7" s="69">
        <v>226.19909054692536</v>
      </c>
      <c r="BW7" s="69">
        <v>182.82838631502943</v>
      </c>
      <c r="BX7" s="69">
        <v>228.75904419687743</v>
      </c>
      <c r="BY7" s="69">
        <v>251.20239030176509</v>
      </c>
      <c r="BZ7" s="69">
        <v>369.96720361556424</v>
      </c>
      <c r="CA7" s="69">
        <v>208.08641030563911</v>
      </c>
      <c r="CB7" s="69">
        <v>236.9539139745732</v>
      </c>
      <c r="CC7" s="69">
        <v>252.57770038509818</v>
      </c>
    </row>
    <row r="8" spans="1:84" ht="17.100000000000001" customHeight="1" x14ac:dyDescent="0.2">
      <c r="A8" s="72" t="s">
        <v>2</v>
      </c>
      <c r="B8" s="123"/>
      <c r="C8" s="123"/>
      <c r="D8" s="123"/>
      <c r="E8" s="123"/>
      <c r="F8" s="123"/>
      <c r="G8" s="123"/>
      <c r="H8" s="123"/>
      <c r="I8" s="69" t="e">
        <v>#DIV/0!</v>
      </c>
      <c r="J8" s="69" t="e">
        <v>#DIV/0!</v>
      </c>
      <c r="K8" s="69">
        <v>50.841526284806434</v>
      </c>
      <c r="L8" s="69">
        <v>120.38749315818116</v>
      </c>
      <c r="M8" s="69">
        <v>297.30800371408145</v>
      </c>
      <c r="N8" s="69">
        <v>105.29358597672855</v>
      </c>
      <c r="O8" s="69">
        <v>54.533938277651259</v>
      </c>
      <c r="P8" s="69">
        <v>128.42355467688523</v>
      </c>
      <c r="Q8" s="69">
        <v>275.44702791103521</v>
      </c>
      <c r="R8" s="69">
        <v>108.00354427324297</v>
      </c>
      <c r="S8" s="69">
        <v>55.770905891303087</v>
      </c>
      <c r="T8" s="69">
        <v>139.4911704095027</v>
      </c>
      <c r="U8" s="69">
        <v>294.2738054349802</v>
      </c>
      <c r="V8" s="69">
        <v>117.06987664272053</v>
      </c>
      <c r="W8" s="69">
        <v>46.68306540950443</v>
      </c>
      <c r="X8" s="69">
        <v>137.74930686396377</v>
      </c>
      <c r="Y8" s="69">
        <v>384.19465641145393</v>
      </c>
      <c r="Z8" s="69">
        <v>142.16314219218708</v>
      </c>
      <c r="AA8" s="69">
        <v>35.584736364825012</v>
      </c>
      <c r="AB8" s="69">
        <v>171.70204218212498</v>
      </c>
      <c r="AC8" s="69">
        <v>438.52378471553146</v>
      </c>
      <c r="AD8" s="69">
        <v>165.37767608430985</v>
      </c>
      <c r="AE8" s="69">
        <v>38.635120417997243</v>
      </c>
      <c r="AF8" s="69">
        <v>199.79894705201346</v>
      </c>
      <c r="AG8" s="69">
        <v>489.07811997607621</v>
      </c>
      <c r="AH8" s="69">
        <v>185.20503977193565</v>
      </c>
      <c r="AI8" s="69">
        <v>44.309057012709971</v>
      </c>
      <c r="AJ8" s="69">
        <v>168.46922726282529</v>
      </c>
      <c r="AK8" s="69">
        <v>486.17316649092726</v>
      </c>
      <c r="AL8" s="69">
        <v>183.49723205726812</v>
      </c>
      <c r="AM8" s="69">
        <v>48.076509297902874</v>
      </c>
      <c r="AN8" s="69">
        <v>189.44429588441702</v>
      </c>
      <c r="AO8" s="69">
        <v>518.84157693738325</v>
      </c>
      <c r="AP8" s="69">
        <v>209.36774653725649</v>
      </c>
      <c r="AQ8" s="69">
        <v>53.372852913925229</v>
      </c>
      <c r="AR8" s="69">
        <v>181.37904468562772</v>
      </c>
      <c r="AS8" s="69">
        <v>450.11690610058082</v>
      </c>
      <c r="AT8" s="69">
        <v>218.39816811081846</v>
      </c>
      <c r="AU8" s="69">
        <v>104.09123453765801</v>
      </c>
      <c r="AV8" s="69">
        <v>95.676742032026013</v>
      </c>
      <c r="AW8" s="69">
        <v>104.08750896977909</v>
      </c>
      <c r="AX8" s="69">
        <v>107.29511502870676</v>
      </c>
      <c r="AY8" s="69">
        <v>98.311579725990285</v>
      </c>
      <c r="AZ8" s="69">
        <v>101.05843408847389</v>
      </c>
      <c r="BA8" s="69">
        <v>103.59143225892871</v>
      </c>
      <c r="BB8" s="69">
        <v>111.69825324723264</v>
      </c>
      <c r="BC8" s="69">
        <v>103.71696815957741</v>
      </c>
      <c r="BD8" s="69">
        <v>105.27323208065012</v>
      </c>
      <c r="BE8" s="69">
        <v>105.65048611178651</v>
      </c>
      <c r="BF8" s="69">
        <v>105.10923622058743</v>
      </c>
      <c r="BG8" s="69">
        <v>105.48663840208654</v>
      </c>
      <c r="BH8" s="69">
        <v>99.341063058247443</v>
      </c>
      <c r="BI8" s="69">
        <v>100.55750833175657</v>
      </c>
      <c r="BJ8" s="69">
        <v>115.43198334989135</v>
      </c>
      <c r="BK8" s="69">
        <v>110.68596894678764</v>
      </c>
      <c r="BL8" s="69">
        <v>112.2430324664422</v>
      </c>
      <c r="BM8" s="69">
        <v>101.09980446144142</v>
      </c>
      <c r="BN8" s="69">
        <v>116.94817085884249</v>
      </c>
      <c r="BO8" s="69">
        <v>122.99656760214914</v>
      </c>
      <c r="BP8" s="69">
        <v>122.02213569694844</v>
      </c>
      <c r="BQ8" s="69">
        <v>109.09078959614989</v>
      </c>
      <c r="BR8" s="69">
        <v>137.56287090834886</v>
      </c>
      <c r="BS8" s="69">
        <v>123.11562596571717</v>
      </c>
      <c r="BT8" s="69">
        <v>123.66148145271845</v>
      </c>
      <c r="BU8" s="69">
        <v>111.28913119237684</v>
      </c>
      <c r="BV8" s="69">
        <v>139.30162653340852</v>
      </c>
      <c r="BW8" s="69">
        <v>132.83579354168856</v>
      </c>
      <c r="BX8" s="69">
        <v>133.07466376799638</v>
      </c>
      <c r="BY8" s="69">
        <v>121.68379168988707</v>
      </c>
      <c r="BZ8" s="69">
        <v>125.97285361895534</v>
      </c>
      <c r="CA8" s="69">
        <v>123.03798562405635</v>
      </c>
      <c r="CB8" s="69">
        <v>137.14502579789897</v>
      </c>
      <c r="CC8" s="69">
        <v>127.3564484568582</v>
      </c>
    </row>
    <row r="9" spans="1:84" ht="17.100000000000001" customHeight="1" x14ac:dyDescent="0.2">
      <c r="A9" s="72" t="s">
        <v>3</v>
      </c>
      <c r="B9" s="123"/>
      <c r="C9" s="123"/>
      <c r="D9" s="123"/>
      <c r="E9" s="123"/>
      <c r="F9" s="123"/>
      <c r="G9" s="123"/>
      <c r="H9" s="123"/>
      <c r="I9" s="69" t="e">
        <v>#DIV/0!</v>
      </c>
      <c r="J9" s="69" t="e">
        <v>#DIV/0!</v>
      </c>
      <c r="K9" s="69">
        <v>130.76967929218083</v>
      </c>
      <c r="L9" s="69">
        <v>134.20483619617539</v>
      </c>
      <c r="M9" s="69">
        <v>144.43201749828259</v>
      </c>
      <c r="N9" s="69">
        <v>145.28882806151299</v>
      </c>
      <c r="O9" s="69">
        <v>151.76603624417214</v>
      </c>
      <c r="P9" s="69">
        <v>151.77007496771705</v>
      </c>
      <c r="Q9" s="69">
        <v>158.28378381211462</v>
      </c>
      <c r="R9" s="69">
        <v>163.93531892606168</v>
      </c>
      <c r="S9" s="69">
        <v>171.4122868175204</v>
      </c>
      <c r="T9" s="69">
        <v>174.37103880446122</v>
      </c>
      <c r="U9" s="69">
        <v>181.28687962246346</v>
      </c>
      <c r="V9" s="69">
        <v>188.26582076814651</v>
      </c>
      <c r="W9" s="69">
        <v>196.69840144403878</v>
      </c>
      <c r="X9" s="69">
        <v>201.13040373311421</v>
      </c>
      <c r="Y9" s="69">
        <v>203.30419818925765</v>
      </c>
      <c r="Z9" s="69">
        <v>206.99055917491899</v>
      </c>
      <c r="AA9" s="69">
        <v>208.40677684939143</v>
      </c>
      <c r="AB9" s="69">
        <v>222.19707802493326</v>
      </c>
      <c r="AC9" s="69">
        <v>215.7414682492215</v>
      </c>
      <c r="AD9" s="69">
        <v>222.07772912560196</v>
      </c>
      <c r="AE9" s="69">
        <v>220.11840619477624</v>
      </c>
      <c r="AF9" s="69">
        <v>224.68341872176177</v>
      </c>
      <c r="AG9" s="69">
        <v>237.87198677114648</v>
      </c>
      <c r="AH9" s="69">
        <v>245.88617683017819</v>
      </c>
      <c r="AI9" s="69">
        <v>258.70232485209624</v>
      </c>
      <c r="AJ9" s="69">
        <v>263.54157003629501</v>
      </c>
      <c r="AK9" s="69">
        <v>266.59328589502252</v>
      </c>
      <c r="AL9" s="69">
        <v>274.34836485349194</v>
      </c>
      <c r="AM9" s="69">
        <v>285.5833179951224</v>
      </c>
      <c r="AN9" s="69">
        <v>294.23471442792498</v>
      </c>
      <c r="AO9" s="69">
        <v>304.53563922446085</v>
      </c>
      <c r="AP9" s="69">
        <v>309.15670153149046</v>
      </c>
      <c r="AQ9" s="69">
        <v>321.46018628292546</v>
      </c>
      <c r="AR9" s="69">
        <v>326.70858038742961</v>
      </c>
      <c r="AS9" s="69">
        <v>328.77583856397814</v>
      </c>
      <c r="AT9" s="69">
        <v>334.09694823879022</v>
      </c>
      <c r="AU9" s="69">
        <v>107.75110592980985</v>
      </c>
      <c r="AV9" s="69">
        <v>108.34239837454187</v>
      </c>
      <c r="AW9" s="69">
        <v>110.46132596570799</v>
      </c>
      <c r="AX9" s="69">
        <v>110.6698446598035</v>
      </c>
      <c r="AY9" s="69">
        <v>114.3590727524367</v>
      </c>
      <c r="AZ9" s="69">
        <v>116.52011140510727</v>
      </c>
      <c r="BA9" s="69">
        <v>120.52752811405279</v>
      </c>
      <c r="BB9" s="69">
        <v>120.41221588565017</v>
      </c>
      <c r="BC9" s="69">
        <v>123.2884862161645</v>
      </c>
      <c r="BD9" s="69">
        <v>126.62880283347464</v>
      </c>
      <c r="BE9" s="69">
        <v>130.81910284159349</v>
      </c>
      <c r="BF9" s="69">
        <v>132.20313752312279</v>
      </c>
      <c r="BG9" s="69">
        <v>131.72257688160832</v>
      </c>
      <c r="BH9" s="69">
        <v>132.04385027480515</v>
      </c>
      <c r="BI9" s="69">
        <v>129.43380744342309</v>
      </c>
      <c r="BJ9" s="69">
        <v>134.16453604279383</v>
      </c>
      <c r="BK9" s="69">
        <v>135.7007947853823</v>
      </c>
      <c r="BL9" s="69">
        <v>136.93405855134571</v>
      </c>
      <c r="BM9" s="69">
        <v>133.02029179038809</v>
      </c>
      <c r="BN9" s="69">
        <v>133.21036819554328</v>
      </c>
      <c r="BO9" s="69">
        <v>136.95173739050588</v>
      </c>
      <c r="BP9" s="69">
        <v>139.33305312648534</v>
      </c>
      <c r="BQ9" s="69">
        <v>145.36231362250822</v>
      </c>
      <c r="BR9" s="69">
        <v>147.65167301545122</v>
      </c>
      <c r="BS9" s="69">
        <v>147.94710808159789</v>
      </c>
      <c r="BT9" s="69">
        <v>149.34966705490521</v>
      </c>
      <c r="BU9" s="69">
        <v>152.95487358474671</v>
      </c>
      <c r="BV9" s="69">
        <v>155.18395657337581</v>
      </c>
      <c r="BW9" s="69">
        <v>159.41719601827961</v>
      </c>
      <c r="BX9" s="69">
        <v>161.84656463695819</v>
      </c>
      <c r="BY9" s="69">
        <v>166.66256538448158</v>
      </c>
      <c r="BZ9" s="69">
        <v>169.94578670701787</v>
      </c>
      <c r="CA9" s="69">
        <v>170.13189973494565</v>
      </c>
      <c r="CB9" s="69">
        <v>171.44876884709865</v>
      </c>
      <c r="CC9" s="69">
        <v>175.17965218206874</v>
      </c>
    </row>
    <row r="10" spans="1:84" ht="17.100000000000001" customHeight="1" x14ac:dyDescent="0.2">
      <c r="A10" s="72" t="s">
        <v>4</v>
      </c>
      <c r="B10" s="123"/>
      <c r="C10" s="123"/>
      <c r="D10" s="123"/>
      <c r="E10" s="123"/>
      <c r="F10" s="123"/>
      <c r="G10" s="123"/>
      <c r="H10" s="123"/>
      <c r="I10" s="69" t="e">
        <v>#DIV/0!</v>
      </c>
      <c r="J10" s="69" t="e">
        <v>#DIV/0!</v>
      </c>
      <c r="K10" s="69">
        <v>53.215736048388138</v>
      </c>
      <c r="L10" s="69">
        <v>157.21350188478894</v>
      </c>
      <c r="M10" s="69">
        <v>272.95299684514663</v>
      </c>
      <c r="N10" s="69">
        <v>77.870411218065613</v>
      </c>
      <c r="O10" s="69">
        <v>45.437683401317344</v>
      </c>
      <c r="P10" s="69">
        <v>145.64471106791149</v>
      </c>
      <c r="Q10" s="69">
        <v>281.86568803952974</v>
      </c>
      <c r="R10" s="69">
        <v>89.211069527432116</v>
      </c>
      <c r="S10" s="69">
        <v>54.053161978248617</v>
      </c>
      <c r="T10" s="69">
        <v>180.49539141739885</v>
      </c>
      <c r="U10" s="69">
        <v>343.00190176590655</v>
      </c>
      <c r="V10" s="69">
        <v>109.55483989073598</v>
      </c>
      <c r="W10" s="69">
        <v>65.992757132440474</v>
      </c>
      <c r="X10" s="69">
        <v>188.74253326775624</v>
      </c>
      <c r="Y10" s="69">
        <v>368.26130764360136</v>
      </c>
      <c r="Z10" s="69">
        <v>115.39321386819967</v>
      </c>
      <c r="AA10" s="69">
        <v>74.771506465530052</v>
      </c>
      <c r="AB10" s="69">
        <v>197.10820166427615</v>
      </c>
      <c r="AC10" s="69">
        <v>375.21608243177116</v>
      </c>
      <c r="AD10" s="69">
        <v>115.08782180660884</v>
      </c>
      <c r="AE10" s="69">
        <v>76.911122409113332</v>
      </c>
      <c r="AF10" s="69">
        <v>204.84795968978972</v>
      </c>
      <c r="AG10" s="69">
        <v>390.2767643665656</v>
      </c>
      <c r="AH10" s="69">
        <v>111.36537313666723</v>
      </c>
      <c r="AI10" s="69">
        <v>70.292198940869795</v>
      </c>
      <c r="AJ10" s="69">
        <v>179.66794915081715</v>
      </c>
      <c r="AK10" s="69">
        <v>347.92742528728581</v>
      </c>
      <c r="AL10" s="69">
        <v>104.02942827224643</v>
      </c>
      <c r="AM10" s="69">
        <v>75.937239127470974</v>
      </c>
      <c r="AN10" s="69">
        <v>204.05652175941191</v>
      </c>
      <c r="AO10" s="69">
        <v>405.48101973177097</v>
      </c>
      <c r="AP10" s="69">
        <v>113.41298070364596</v>
      </c>
      <c r="AQ10" s="69">
        <v>72.244410082884741</v>
      </c>
      <c r="AR10" s="69">
        <v>206.33063357319577</v>
      </c>
      <c r="AS10" s="69">
        <v>347.43638982283363</v>
      </c>
      <c r="AT10" s="69">
        <v>111.63366209736596</v>
      </c>
      <c r="AU10" s="69">
        <v>77.40139807875147</v>
      </c>
      <c r="AV10" s="69">
        <v>90.847300895422634</v>
      </c>
      <c r="AW10" s="69">
        <v>118.76131968058934</v>
      </c>
      <c r="AX10" s="69">
        <v>87.647031049200592</v>
      </c>
      <c r="AY10" s="69">
        <v>85.864393497632648</v>
      </c>
      <c r="AZ10" s="69">
        <v>108.21439956262748</v>
      </c>
      <c r="BA10" s="69">
        <v>144.61751751148734</v>
      </c>
      <c r="BB10" s="69">
        <v>101.51428997225909</v>
      </c>
      <c r="BC10" s="69">
        <v>87.121765663151891</v>
      </c>
      <c r="BD10" s="69">
        <v>102.08231675751873</v>
      </c>
      <c r="BE10" s="69">
        <v>154.07710241846615</v>
      </c>
      <c r="BF10" s="69">
        <v>104.68773978819871</v>
      </c>
      <c r="BG10" s="69">
        <v>85.635646088254745</v>
      </c>
      <c r="BH10" s="69">
        <v>108.84554093297237</v>
      </c>
      <c r="BI10" s="69">
        <v>144.37766670103855</v>
      </c>
      <c r="BJ10" s="69">
        <v>103.7951508202336</v>
      </c>
      <c r="BK10" s="69">
        <v>89.094779480911129</v>
      </c>
      <c r="BL10" s="69">
        <v>115.16745294221393</v>
      </c>
      <c r="BM10" s="69">
        <v>141.56271580190781</v>
      </c>
      <c r="BN10" s="69">
        <v>102.45637115966424</v>
      </c>
      <c r="BO10" s="69">
        <v>88.338806344369942</v>
      </c>
      <c r="BP10" s="69">
        <v>113.10300958684361</v>
      </c>
      <c r="BQ10" s="69">
        <v>153.24617037094731</v>
      </c>
      <c r="BR10" s="69">
        <v>107.70575589827867</v>
      </c>
      <c r="BS10" s="69">
        <v>88.644333595626037</v>
      </c>
      <c r="BT10" s="69">
        <v>111.42295404988678</v>
      </c>
      <c r="BU10" s="69">
        <v>151.4452641800475</v>
      </c>
      <c r="BV10" s="69">
        <v>105.26230371856767</v>
      </c>
      <c r="BW10" s="69">
        <v>90.506312549470053</v>
      </c>
      <c r="BX10" s="69">
        <v>117.73875729830625</v>
      </c>
      <c r="BY10" s="69">
        <v>147.83691988655815</v>
      </c>
      <c r="BZ10" s="69">
        <v>95.903418740116877</v>
      </c>
      <c r="CA10" s="69">
        <v>92.280156338561682</v>
      </c>
      <c r="CB10" s="69">
        <v>121.60390331388396</v>
      </c>
      <c r="CC10" s="69">
        <v>147.87385470142593</v>
      </c>
    </row>
    <row r="11" spans="1:84" ht="17.100000000000001" customHeight="1" x14ac:dyDescent="0.2">
      <c r="A11" s="72" t="s">
        <v>5</v>
      </c>
      <c r="B11" s="123"/>
      <c r="C11" s="123"/>
      <c r="D11" s="123"/>
      <c r="E11" s="123"/>
      <c r="F11" s="123"/>
      <c r="G11" s="123"/>
      <c r="H11" s="123"/>
      <c r="I11" s="69" t="e">
        <v>#DIV/0!</v>
      </c>
      <c r="J11" s="69" t="e">
        <v>#DIV/0!</v>
      </c>
      <c r="K11" s="69">
        <v>172.48555638876178</v>
      </c>
      <c r="L11" s="69">
        <v>180.15666553568357</v>
      </c>
      <c r="M11" s="69">
        <v>140.14480302545414</v>
      </c>
      <c r="N11" s="69">
        <v>72.472644356089745</v>
      </c>
      <c r="O11" s="69">
        <v>213.69995638677301</v>
      </c>
      <c r="P11" s="69">
        <v>257.56530636313465</v>
      </c>
      <c r="Q11" s="69">
        <v>140.51515112569101</v>
      </c>
      <c r="R11" s="69">
        <v>152.12083737617019</v>
      </c>
      <c r="S11" s="69">
        <v>174.20684181855424</v>
      </c>
      <c r="T11" s="69">
        <v>178.63965774631114</v>
      </c>
      <c r="U11" s="69">
        <v>180.98574898146677</v>
      </c>
      <c r="V11" s="69">
        <v>233.70650983752705</v>
      </c>
      <c r="W11" s="69">
        <v>118.98346088862235</v>
      </c>
      <c r="X11" s="69">
        <v>228.76989612448466</v>
      </c>
      <c r="Y11" s="69">
        <v>179.32139644060746</v>
      </c>
      <c r="Z11" s="69">
        <v>258.10760102953088</v>
      </c>
      <c r="AA11" s="69">
        <v>179.63195231085462</v>
      </c>
      <c r="AB11" s="69">
        <v>143.32398719721786</v>
      </c>
      <c r="AC11" s="69">
        <v>159.10855523798921</v>
      </c>
      <c r="AD11" s="69">
        <v>196.87003984156769</v>
      </c>
      <c r="AE11" s="69">
        <v>187.8747148024022</v>
      </c>
      <c r="AF11" s="69">
        <v>161.48510921016293</v>
      </c>
      <c r="AG11" s="69">
        <v>187.87616968859803</v>
      </c>
      <c r="AH11" s="69">
        <v>190.43046467714814</v>
      </c>
      <c r="AI11" s="69">
        <v>184.74602478544591</v>
      </c>
      <c r="AJ11" s="69">
        <v>191.06266488919303</v>
      </c>
      <c r="AK11" s="69">
        <v>196.81688224349853</v>
      </c>
      <c r="AL11" s="69">
        <v>192.48056828277464</v>
      </c>
      <c r="AM11" s="69">
        <v>208.19720798781859</v>
      </c>
      <c r="AN11" s="69">
        <v>249.49464561728908</v>
      </c>
      <c r="AO11" s="69">
        <v>172.77977842516532</v>
      </c>
      <c r="AP11" s="69">
        <v>217.37222838503561</v>
      </c>
      <c r="AQ11" s="69">
        <v>226.84119665825571</v>
      </c>
      <c r="AR11" s="69">
        <v>224.55686309050975</v>
      </c>
      <c r="AS11" s="69">
        <v>225.90700627561154</v>
      </c>
      <c r="AT11" s="69">
        <v>216.56875275551144</v>
      </c>
      <c r="AU11" s="69">
        <v>80.820458919071498</v>
      </c>
      <c r="AV11" s="69">
        <v>63.400907276293793</v>
      </c>
      <c r="AW11" s="69">
        <v>136.99288177545677</v>
      </c>
      <c r="AX11" s="69">
        <v>155.2997725694444</v>
      </c>
      <c r="AY11" s="69">
        <v>93.706837590610959</v>
      </c>
      <c r="AZ11" s="69">
        <v>114.53052348710371</v>
      </c>
      <c r="BA11" s="69">
        <v>128.10361282555797</v>
      </c>
      <c r="BB11" s="69">
        <v>133.24455707332007</v>
      </c>
      <c r="BC11" s="69">
        <v>126.97268566567124</v>
      </c>
      <c r="BD11" s="69">
        <v>154.59370699866804</v>
      </c>
      <c r="BE11" s="69">
        <v>120.23834357585477</v>
      </c>
      <c r="BF11" s="69">
        <v>118.04490755312396</v>
      </c>
      <c r="BG11" s="69">
        <v>118.82763652587572</v>
      </c>
      <c r="BH11" s="69">
        <v>168.29650879113333</v>
      </c>
      <c r="BI11" s="69">
        <v>122.08633915085616</v>
      </c>
      <c r="BJ11" s="69">
        <v>125.67033720732206</v>
      </c>
      <c r="BK11" s="69">
        <v>131.22553858531657</v>
      </c>
      <c r="BL11" s="69">
        <v>135.19180547030871</v>
      </c>
      <c r="BM11" s="69">
        <v>134.93644549187059</v>
      </c>
      <c r="BN11" s="69">
        <v>134.47539525030967</v>
      </c>
      <c r="BO11" s="69">
        <v>136.47611333528326</v>
      </c>
      <c r="BP11" s="69">
        <v>143.52795130774328</v>
      </c>
      <c r="BQ11" s="69">
        <v>137.4043136078036</v>
      </c>
      <c r="BR11" s="69">
        <v>139.18001165716427</v>
      </c>
      <c r="BS11" s="69">
        <v>145.52086613928853</v>
      </c>
      <c r="BT11" s="69">
        <v>149.79948692886919</v>
      </c>
      <c r="BU11" s="69">
        <v>155.31669780483753</v>
      </c>
      <c r="BV11" s="69">
        <v>158.35140401083095</v>
      </c>
      <c r="BW11" s="69">
        <v>158.95804363699278</v>
      </c>
      <c r="BX11" s="69">
        <v>161.29439132016745</v>
      </c>
      <c r="BY11" s="69">
        <v>172.31060945801443</v>
      </c>
      <c r="BZ11" s="69">
        <v>163.6148317066955</v>
      </c>
      <c r="CA11" s="69">
        <v>164.09121129486749</v>
      </c>
      <c r="CB11" s="69">
        <v>164.17629173370884</v>
      </c>
      <c r="CC11" s="69">
        <v>165.13224514368673</v>
      </c>
    </row>
    <row r="12" spans="1:84" ht="17.100000000000001" customHeight="1" x14ac:dyDescent="0.2">
      <c r="A12" s="72" t="s">
        <v>6</v>
      </c>
      <c r="B12" s="123"/>
      <c r="C12" s="123"/>
      <c r="D12" s="123"/>
      <c r="E12" s="123"/>
      <c r="F12" s="123"/>
      <c r="G12" s="123"/>
      <c r="H12" s="123"/>
      <c r="I12" s="69" t="e">
        <v>#DIV/0!</v>
      </c>
      <c r="J12" s="69" t="e">
        <v>#DIV/0!</v>
      </c>
      <c r="K12" s="69">
        <v>102.23230458304005</v>
      </c>
      <c r="L12" s="69">
        <v>88.024264682833604</v>
      </c>
      <c r="M12" s="69">
        <v>90.422947196354073</v>
      </c>
      <c r="N12" s="69">
        <v>87.562415768232597</v>
      </c>
      <c r="O12" s="69">
        <v>78.218999862820752</v>
      </c>
      <c r="P12" s="69">
        <v>88.953368876410636</v>
      </c>
      <c r="Q12" s="69">
        <v>107.91241430988001</v>
      </c>
      <c r="R12" s="69">
        <v>125.15049596332624</v>
      </c>
      <c r="S12" s="69">
        <v>155.74474329652935</v>
      </c>
      <c r="T12" s="69">
        <v>141.28911785315154</v>
      </c>
      <c r="U12" s="69">
        <v>145.0206010052211</v>
      </c>
      <c r="V12" s="69">
        <v>170.28320274436405</v>
      </c>
      <c r="W12" s="69">
        <v>167.08964644952914</v>
      </c>
      <c r="X12" s="69">
        <v>140.05490501672725</v>
      </c>
      <c r="Y12" s="69">
        <v>147.90218808064859</v>
      </c>
      <c r="Z12" s="69">
        <v>157.77863568455984</v>
      </c>
      <c r="AA12" s="69">
        <v>139.36040904792739</v>
      </c>
      <c r="AB12" s="69">
        <v>131.75205428747987</v>
      </c>
      <c r="AC12" s="69">
        <v>140.09851400409931</v>
      </c>
      <c r="AD12" s="69">
        <v>190.76443152341912</v>
      </c>
      <c r="AE12" s="69">
        <v>146.96463341397256</v>
      </c>
      <c r="AF12" s="69">
        <v>151.60413678725556</v>
      </c>
      <c r="AG12" s="69">
        <v>85.324710364762652</v>
      </c>
      <c r="AH12" s="69">
        <v>167.3465245511052</v>
      </c>
      <c r="AI12" s="69">
        <v>228.45524377200124</v>
      </c>
      <c r="AJ12" s="69">
        <v>162.41340029797396</v>
      </c>
      <c r="AK12" s="69">
        <v>98.628872841638923</v>
      </c>
      <c r="AL12" s="69">
        <v>136.45809569317387</v>
      </c>
      <c r="AM12" s="69">
        <v>208.8010965116878</v>
      </c>
      <c r="AN12" s="69">
        <v>202.68916020368528</v>
      </c>
      <c r="AO12" s="69">
        <v>93.343727039892201</v>
      </c>
      <c r="AP12" s="69">
        <v>148.17264641422167</v>
      </c>
      <c r="AQ12" s="69">
        <v>328.37856073350724</v>
      </c>
      <c r="AR12" s="69">
        <v>233.61252974279662</v>
      </c>
      <c r="AS12" s="69">
        <v>133.61597607682515</v>
      </c>
      <c r="AT12" s="69">
        <v>206.5047108643785</v>
      </c>
      <c r="AU12" s="69">
        <v>109.02745605108757</v>
      </c>
      <c r="AV12" s="69">
        <v>118.10551890414447</v>
      </c>
      <c r="AW12" s="69">
        <v>114.85298486258624</v>
      </c>
      <c r="AX12" s="69">
        <v>120.6464922178903</v>
      </c>
      <c r="AY12" s="69">
        <v>124.91047618225839</v>
      </c>
      <c r="AZ12" s="69">
        <v>125.78343981646493</v>
      </c>
      <c r="BA12" s="69">
        <v>134.32267854564324</v>
      </c>
      <c r="BB12" s="69">
        <v>133.37372960701578</v>
      </c>
      <c r="BC12" s="69">
        <v>134.66077123005212</v>
      </c>
      <c r="BD12" s="69">
        <v>159.26676112747217</v>
      </c>
      <c r="BE12" s="69">
        <v>161.02638241810391</v>
      </c>
      <c r="BF12" s="69">
        <v>154.14502199902614</v>
      </c>
      <c r="BG12" s="69">
        <v>165.97843188993537</v>
      </c>
      <c r="BH12" s="69">
        <v>154.40058385329007</v>
      </c>
      <c r="BI12" s="69">
        <v>157.37526331032663</v>
      </c>
      <c r="BJ12" s="69">
        <v>167.966063318756</v>
      </c>
      <c r="BK12" s="69">
        <v>155.77262382144755</v>
      </c>
      <c r="BL12" s="69">
        <v>156.93253811606834</v>
      </c>
      <c r="BM12" s="69">
        <v>155.1870854476895</v>
      </c>
      <c r="BN12" s="69">
        <v>165.05810562118762</v>
      </c>
      <c r="BO12" s="69">
        <v>148.42394234743836</v>
      </c>
      <c r="BP12" s="69">
        <v>153.00882264087869</v>
      </c>
      <c r="BQ12" s="69">
        <v>171.04624807704622</v>
      </c>
      <c r="BR12" s="69">
        <v>182.57638894645859</v>
      </c>
      <c r="BS12" s="69">
        <v>153.10927272886894</v>
      </c>
      <c r="BT12" s="69">
        <v>162.22541885257723</v>
      </c>
      <c r="BU12" s="69">
        <v>187.78799801059131</v>
      </c>
      <c r="BV12" s="69">
        <v>193.58219430412188</v>
      </c>
      <c r="BW12" s="69">
        <v>159.24946802442037</v>
      </c>
      <c r="BX12" s="69">
        <v>156.65071210511513</v>
      </c>
      <c r="BY12" s="69">
        <v>195.58468764115025</v>
      </c>
      <c r="BZ12" s="69">
        <v>212.04481168877672</v>
      </c>
      <c r="CA12" s="69">
        <v>165.62423832246103</v>
      </c>
      <c r="CB12" s="69">
        <v>169.65201786544793</v>
      </c>
      <c r="CC12" s="69">
        <v>209.69177919379115</v>
      </c>
    </row>
    <row r="13" spans="1:84" s="160" customFormat="1" ht="17.100000000000001" customHeight="1" x14ac:dyDescent="0.2">
      <c r="A13" s="160" t="s">
        <v>93</v>
      </c>
      <c r="I13" s="160" t="e">
        <v>#DIV/0!</v>
      </c>
      <c r="J13" s="160" t="e">
        <v>#DIV/0!</v>
      </c>
      <c r="K13" s="160">
        <v>515.68608223723356</v>
      </c>
      <c r="L13" s="160">
        <v>504.59359638872155</v>
      </c>
      <c r="M13" s="160">
        <v>600.65559447284227</v>
      </c>
      <c r="N13" s="160">
        <v>409.77987874837874</v>
      </c>
      <c r="O13" s="160">
        <v>165.83618154670435</v>
      </c>
      <c r="P13" s="160">
        <v>174.4187632931023</v>
      </c>
      <c r="Q13" s="160">
        <v>169.60908845412922</v>
      </c>
      <c r="R13" s="160">
        <v>172.90291778574587</v>
      </c>
      <c r="S13" s="160">
        <v>170.37573275987009</v>
      </c>
      <c r="T13" s="160">
        <v>158.26313356631528</v>
      </c>
      <c r="U13" s="160">
        <v>171.53789960675417</v>
      </c>
      <c r="V13" s="160">
        <v>179.80540525563097</v>
      </c>
      <c r="W13" s="160">
        <v>174.33202540035543</v>
      </c>
      <c r="X13" s="160">
        <v>154.59283289250592</v>
      </c>
      <c r="Y13" s="160">
        <v>167.04354125902449</v>
      </c>
      <c r="Z13" s="160">
        <v>176.73505873427905</v>
      </c>
      <c r="AA13" s="160">
        <v>179.66886731680637</v>
      </c>
      <c r="AB13" s="160">
        <v>181.73288520458723</v>
      </c>
      <c r="AC13" s="160">
        <v>173.06440770539885</v>
      </c>
      <c r="AD13" s="160">
        <v>198.24472651754405</v>
      </c>
      <c r="AE13" s="160">
        <v>200.12897867846783</v>
      </c>
      <c r="AF13" s="160">
        <v>206.28541244194355</v>
      </c>
      <c r="AG13" s="160">
        <v>195.09871526010997</v>
      </c>
      <c r="AH13" s="160">
        <v>181.51731428420746</v>
      </c>
      <c r="AI13" s="160">
        <v>185.27500078206003</v>
      </c>
      <c r="AJ13" s="160">
        <v>200.30950105762275</v>
      </c>
      <c r="AK13" s="160">
        <v>204.17644692980764</v>
      </c>
      <c r="AL13" s="160">
        <v>185.79604249188824</v>
      </c>
      <c r="AM13" s="160">
        <v>180.80157748903386</v>
      </c>
      <c r="AN13" s="160">
        <v>185.06998085265889</v>
      </c>
      <c r="AO13" s="160">
        <v>219.73322794636999</v>
      </c>
      <c r="AP13" s="160">
        <v>206.54510396993024</v>
      </c>
      <c r="AQ13" s="160">
        <v>202.81685906183807</v>
      </c>
      <c r="AR13" s="160">
        <v>200.42953336658206</v>
      </c>
      <c r="AS13" s="160">
        <v>203.49865918069546</v>
      </c>
      <c r="AT13" s="160">
        <v>215.64397343469227</v>
      </c>
      <c r="AU13" s="160">
        <v>105.67279720720389</v>
      </c>
      <c r="AV13" s="160">
        <v>105.27360539304253</v>
      </c>
      <c r="AW13" s="160">
        <v>106.5099727189352</v>
      </c>
      <c r="AX13" s="160">
        <v>109.34370807467585</v>
      </c>
      <c r="AY13" s="160">
        <v>111.46770288806131</v>
      </c>
      <c r="AZ13" s="160">
        <v>108.46497903768868</v>
      </c>
      <c r="BA13" s="160">
        <v>108.24197742154691</v>
      </c>
      <c r="BB13" s="160">
        <v>107.49893984203428</v>
      </c>
      <c r="BC13" s="160">
        <v>108.76951066415161</v>
      </c>
      <c r="BD13" s="160">
        <v>110.34755327993038</v>
      </c>
      <c r="BE13" s="160">
        <v>112.08224480265498</v>
      </c>
      <c r="BF13" s="160">
        <v>113.05142935962155</v>
      </c>
      <c r="BG13" s="160">
        <v>115.37585338482418</v>
      </c>
      <c r="BH13" s="160">
        <v>115.57811666896281</v>
      </c>
      <c r="BI13" s="160">
        <v>118.03020708779522</v>
      </c>
      <c r="BJ13" s="160">
        <v>117.83228143648283</v>
      </c>
      <c r="BK13" s="160">
        <v>119.16088201219988</v>
      </c>
      <c r="BL13" s="160">
        <v>113.40245003162495</v>
      </c>
      <c r="BM13" s="160">
        <v>123.02174488995992</v>
      </c>
      <c r="BN13" s="160">
        <v>124.9064136053584</v>
      </c>
      <c r="BO13" s="160">
        <v>125.63704899403109</v>
      </c>
      <c r="BP13" s="160">
        <v>122.83104641391891</v>
      </c>
      <c r="BQ13" s="160">
        <v>123.61649860301327</v>
      </c>
      <c r="BR13" s="160">
        <v>127.37306204652094</v>
      </c>
      <c r="BS13" s="160">
        <v>128.91092675804722</v>
      </c>
      <c r="BT13" s="160">
        <v>129.29454312038746</v>
      </c>
      <c r="BU13" s="160">
        <v>125.21424514166586</v>
      </c>
      <c r="BV13" s="160">
        <v>125.63411342362301</v>
      </c>
      <c r="BW13" s="160">
        <v>127.18904005782821</v>
      </c>
      <c r="BX13" s="160">
        <v>130.46510885461734</v>
      </c>
      <c r="BY13" s="160">
        <v>129.99549258739148</v>
      </c>
      <c r="BZ13" s="160">
        <v>132.30539760506949</v>
      </c>
      <c r="CA13" s="160">
        <v>129.18592133801471</v>
      </c>
      <c r="CB13" s="160">
        <v>130.95822500802055</v>
      </c>
      <c r="CC13" s="160">
        <v>137.83166783006934</v>
      </c>
      <c r="CD13" s="258"/>
      <c r="CE13" s="258"/>
      <c r="CF13" s="258"/>
    </row>
    <row r="14" spans="1:84" ht="17.100000000000001" customHeight="1" x14ac:dyDescent="0.2">
      <c r="A14" s="72" t="s">
        <v>8</v>
      </c>
      <c r="B14" s="123"/>
      <c r="C14" s="123"/>
      <c r="D14" s="123"/>
      <c r="E14" s="123"/>
      <c r="F14" s="123"/>
      <c r="G14" s="123"/>
      <c r="H14" s="123"/>
      <c r="I14" s="69" t="e">
        <v>#DIV/0!</v>
      </c>
      <c r="J14" s="69" t="e">
        <v>#DIV/0!</v>
      </c>
      <c r="K14" s="69">
        <v>202.8349982991227</v>
      </c>
      <c r="L14" s="69">
        <v>343.702072803833</v>
      </c>
      <c r="M14" s="69">
        <v>352.67444703634527</v>
      </c>
      <c r="N14" s="69">
        <v>276.55753934261384</v>
      </c>
      <c r="O14" s="69">
        <v>415.71508802647196</v>
      </c>
      <c r="P14" s="69">
        <v>526.19420008937573</v>
      </c>
      <c r="Q14" s="69">
        <v>410.6873128656087</v>
      </c>
      <c r="R14" s="69">
        <v>249.15440603015168</v>
      </c>
      <c r="S14" s="69">
        <v>315.91978686213309</v>
      </c>
      <c r="T14" s="69">
        <v>343.96058832316686</v>
      </c>
      <c r="U14" s="69">
        <v>293.77991284214681</v>
      </c>
      <c r="V14" s="69">
        <v>473.82636068768437</v>
      </c>
      <c r="W14" s="69">
        <v>656.89120404214896</v>
      </c>
      <c r="X14" s="69">
        <v>715.51488864984276</v>
      </c>
      <c r="Y14" s="69">
        <v>425.60663421510361</v>
      </c>
      <c r="Z14" s="69">
        <v>248.06825722926465</v>
      </c>
      <c r="AA14" s="69">
        <v>272.59029474654437</v>
      </c>
      <c r="AB14" s="69">
        <v>508.07775011409973</v>
      </c>
      <c r="AC14" s="69">
        <v>201.56857868934469</v>
      </c>
      <c r="AD14" s="69">
        <v>266.26145841251116</v>
      </c>
      <c r="AE14" s="69">
        <v>453.38435626829704</v>
      </c>
      <c r="AF14" s="69">
        <v>854.47481737049054</v>
      </c>
      <c r="AG14" s="69">
        <v>205.14686114023792</v>
      </c>
      <c r="AH14" s="69">
        <v>138.04493710656075</v>
      </c>
      <c r="AI14" s="69">
        <v>251.69291086982756</v>
      </c>
      <c r="AJ14" s="69">
        <v>842.75128365818034</v>
      </c>
      <c r="AK14" s="69">
        <v>458.37820072042695</v>
      </c>
      <c r="AL14" s="69">
        <v>225.08751773819395</v>
      </c>
      <c r="AM14" s="69">
        <v>148.27352890626057</v>
      </c>
      <c r="AN14" s="69">
        <v>121.52565181993779</v>
      </c>
      <c r="AO14" s="69">
        <v>295.96193017729456</v>
      </c>
      <c r="AP14" s="69">
        <v>382.54034254371817</v>
      </c>
      <c r="AQ14" s="69">
        <v>186.35532716930263</v>
      </c>
      <c r="AR14" s="69">
        <v>142.41237037428925</v>
      </c>
      <c r="AS14" s="69">
        <v>206.04307197928085</v>
      </c>
      <c r="AT14" s="69">
        <v>233.61934672335437</v>
      </c>
      <c r="AU14" s="69">
        <v>104.96697552575733</v>
      </c>
      <c r="AV14" s="69">
        <v>119.47703356034177</v>
      </c>
      <c r="AW14" s="69">
        <v>116.27097328412211</v>
      </c>
      <c r="AX14" s="69">
        <v>134.45700039312436</v>
      </c>
      <c r="AY14" s="69">
        <v>160.28021643270316</v>
      </c>
      <c r="AZ14" s="69">
        <v>161.90769119736876</v>
      </c>
      <c r="BA14" s="69">
        <v>142.78990757663982</v>
      </c>
      <c r="BB14" s="69">
        <v>140.903413147843</v>
      </c>
      <c r="BC14" s="69">
        <v>124.3296254633982</v>
      </c>
      <c r="BD14" s="69">
        <v>127.32376388373754</v>
      </c>
      <c r="BE14" s="69">
        <v>122.89786623515731</v>
      </c>
      <c r="BF14" s="69">
        <v>147.92698685448343</v>
      </c>
      <c r="BG14" s="69">
        <v>133.97546680573021</v>
      </c>
      <c r="BH14" s="69">
        <v>148.69934213174355</v>
      </c>
      <c r="BI14" s="69">
        <v>168.11231652958901</v>
      </c>
      <c r="BJ14" s="69">
        <v>154.30862418297417</v>
      </c>
      <c r="BK14" s="69">
        <v>136.13166447689778</v>
      </c>
      <c r="BL14" s="69">
        <v>65.561307407872988</v>
      </c>
      <c r="BM14" s="69">
        <v>135.17824194407549</v>
      </c>
      <c r="BN14" s="69">
        <v>106.99264866917547</v>
      </c>
      <c r="BO14" s="69">
        <v>106.19465259903404</v>
      </c>
      <c r="BP14" s="69">
        <v>95.016501234543554</v>
      </c>
      <c r="BQ14" s="69">
        <v>106.70184794694745</v>
      </c>
      <c r="BR14" s="69">
        <v>129.24526761377157</v>
      </c>
      <c r="BS14" s="69">
        <v>121.77040857863311</v>
      </c>
      <c r="BT14" s="69">
        <v>94.269127319391529</v>
      </c>
      <c r="BU14" s="69">
        <v>97.415383650393679</v>
      </c>
      <c r="BV14" s="69">
        <v>103.83743690507916</v>
      </c>
      <c r="BW14" s="69">
        <v>80.447826978715469</v>
      </c>
      <c r="BX14" s="69">
        <v>127.0964952432734</v>
      </c>
      <c r="BY14" s="69">
        <v>121.72326351196428</v>
      </c>
      <c r="BZ14" s="69">
        <v>107.74948098239014</v>
      </c>
      <c r="CA14" s="69">
        <v>89.358530266376718</v>
      </c>
      <c r="CB14" s="69">
        <v>101.56044912460646</v>
      </c>
      <c r="CC14" s="69">
        <v>125.91506190501107</v>
      </c>
      <c r="CD14" s="258"/>
      <c r="CE14" s="258"/>
      <c r="CF14" s="258"/>
    </row>
    <row r="15" spans="1:84" ht="17.100000000000001" customHeight="1" x14ac:dyDescent="0.2">
      <c r="A15" s="42" t="s">
        <v>9</v>
      </c>
      <c r="B15" s="123"/>
      <c r="C15" s="123"/>
      <c r="D15" s="123"/>
      <c r="E15" s="123"/>
      <c r="F15" s="123"/>
      <c r="G15" s="123"/>
      <c r="H15" s="123"/>
      <c r="I15" s="69" t="e">
        <v>#DIV/0!</v>
      </c>
      <c r="J15" s="69" t="e">
        <v>#DIV/0!</v>
      </c>
      <c r="K15" s="69" t="e">
        <v>#DIV/0!</v>
      </c>
      <c r="L15" s="69" t="e">
        <v>#DIV/0!</v>
      </c>
      <c r="M15" s="69" t="e">
        <v>#DIV/0!</v>
      </c>
      <c r="N15" s="69" t="e">
        <v>#DIV/0!</v>
      </c>
      <c r="O15" s="69">
        <v>155.01702053124637</v>
      </c>
      <c r="P15" s="69">
        <v>156.63584143149376</v>
      </c>
      <c r="Q15" s="69">
        <v>142.6894120188052</v>
      </c>
      <c r="R15" s="69">
        <v>152.64326524668812</v>
      </c>
      <c r="S15" s="69">
        <v>149.43971782209468</v>
      </c>
      <c r="T15" s="69">
        <v>135.9133503353178</v>
      </c>
      <c r="U15" s="69">
        <v>163.12774852023168</v>
      </c>
      <c r="V15" s="69">
        <v>170.37357352765582</v>
      </c>
      <c r="W15" s="69">
        <v>156.6960502891645</v>
      </c>
      <c r="X15" s="69">
        <v>134.82602256005049</v>
      </c>
      <c r="Y15" s="69">
        <v>155.97227463765094</v>
      </c>
      <c r="Z15" s="69">
        <v>172.46618092515735</v>
      </c>
      <c r="AA15" s="69">
        <v>175.58422429979669</v>
      </c>
      <c r="AB15" s="69">
        <v>174.79037244162714</v>
      </c>
      <c r="AC15" s="69">
        <v>164.14970076206322</v>
      </c>
      <c r="AD15" s="69">
        <v>186.60414405330016</v>
      </c>
      <c r="AE15" s="69">
        <v>204.25321943832131</v>
      </c>
      <c r="AF15" s="69">
        <v>206.53555565292524</v>
      </c>
      <c r="AG15" s="69">
        <v>195.10288353101009</v>
      </c>
      <c r="AH15" s="69">
        <v>187.27598722818448</v>
      </c>
      <c r="AI15" s="69">
        <v>182.22579527067003</v>
      </c>
      <c r="AJ15" s="69">
        <v>176.31742620116614</v>
      </c>
      <c r="AK15" s="69">
        <v>187.56712174762288</v>
      </c>
      <c r="AL15" s="69">
        <v>180.04788618290038</v>
      </c>
      <c r="AM15" s="69">
        <v>178.10122135516727</v>
      </c>
      <c r="AN15" s="69">
        <v>185.16564149705539</v>
      </c>
      <c r="AO15" s="69">
        <v>229.87315517382223</v>
      </c>
      <c r="AP15" s="69">
        <v>193.10875832343854</v>
      </c>
      <c r="AQ15" s="69">
        <v>203.10193436590427</v>
      </c>
      <c r="AR15" s="69">
        <v>200.19635671784818</v>
      </c>
      <c r="AS15" s="69">
        <v>201.48938393657491</v>
      </c>
      <c r="AT15" s="69">
        <v>214.77629005214362</v>
      </c>
      <c r="AU15" s="69">
        <v>107.7290938855291</v>
      </c>
      <c r="AV15" s="69">
        <v>106.10423624478787</v>
      </c>
      <c r="AW15" s="69">
        <v>107.58899220107448</v>
      </c>
      <c r="AX15" s="69">
        <v>110.07518281637248</v>
      </c>
      <c r="AY15" s="69">
        <v>109.69785563974401</v>
      </c>
      <c r="AZ15" s="69">
        <v>106.73218803711084</v>
      </c>
      <c r="BA15" s="69">
        <v>106.95549152361201</v>
      </c>
      <c r="BB15" s="69">
        <v>107.23689467213097</v>
      </c>
      <c r="BC15" s="69">
        <v>110.58498793900047</v>
      </c>
      <c r="BD15" s="69">
        <v>113.17243408747257</v>
      </c>
      <c r="BE15" s="69">
        <v>117.42755292158009</v>
      </c>
      <c r="BF15" s="69">
        <v>119.10495255945757</v>
      </c>
      <c r="BG15" s="69">
        <v>121.06880227952419</v>
      </c>
      <c r="BH15" s="69">
        <v>122.57134532740127</v>
      </c>
      <c r="BI15" s="69">
        <v>126.09667781303916</v>
      </c>
      <c r="BJ15" s="69">
        <v>126.6324730667455</v>
      </c>
      <c r="BK15" s="69">
        <v>128.66390860954857</v>
      </c>
      <c r="BL15" s="69">
        <v>123.97293932384159</v>
      </c>
      <c r="BM15" s="69">
        <v>131.54375811267863</v>
      </c>
      <c r="BN15" s="69">
        <v>138.29609809110968</v>
      </c>
      <c r="BO15" s="69">
        <v>137.59516137660228</v>
      </c>
      <c r="BP15" s="69">
        <v>133.69206994794726</v>
      </c>
      <c r="BQ15" s="69">
        <v>135.76711549165836</v>
      </c>
      <c r="BR15" s="69">
        <v>137.6228008564967</v>
      </c>
      <c r="BS15" s="69">
        <v>139.22406913423484</v>
      </c>
      <c r="BT15" s="69">
        <v>141.23140074179096</v>
      </c>
      <c r="BU15" s="69">
        <v>139.82765833617796</v>
      </c>
      <c r="BV15" s="69">
        <v>138.91914717779534</v>
      </c>
      <c r="BW15" s="69">
        <v>143.36814793942375</v>
      </c>
      <c r="BX15" s="69">
        <v>136.02035490461947</v>
      </c>
      <c r="BY15" s="69">
        <v>142.7829548435468</v>
      </c>
      <c r="BZ15" s="69">
        <v>144.93102168966979</v>
      </c>
      <c r="CA15" s="69">
        <v>143.72908612682673</v>
      </c>
      <c r="CB15" s="69">
        <v>142.4021795787055</v>
      </c>
      <c r="CC15" s="69">
        <v>152.64704728444519</v>
      </c>
      <c r="CD15" s="258"/>
      <c r="CE15" s="258"/>
      <c r="CF15" s="258"/>
    </row>
    <row r="16" spans="1:84" ht="17.100000000000001" customHeight="1" x14ac:dyDescent="0.2">
      <c r="A16" s="42" t="s">
        <v>10</v>
      </c>
      <c r="B16" s="123"/>
      <c r="C16" s="123"/>
      <c r="D16" s="123"/>
      <c r="E16" s="123"/>
      <c r="F16" s="123"/>
      <c r="G16" s="123"/>
      <c r="H16" s="123"/>
      <c r="I16" s="69" t="e">
        <v>#DIV/0!</v>
      </c>
      <c r="J16" s="69" t="e">
        <v>#DIV/0!</v>
      </c>
      <c r="K16" s="69">
        <v>222.21897833878111</v>
      </c>
      <c r="L16" s="69">
        <v>203.83318396696214</v>
      </c>
      <c r="M16" s="69">
        <v>195.85478440867959</v>
      </c>
      <c r="N16" s="69">
        <v>186.8430761916353</v>
      </c>
      <c r="O16" s="69">
        <v>189.4354767675751</v>
      </c>
      <c r="P16" s="69">
        <v>185.03278524824344</v>
      </c>
      <c r="Q16" s="69">
        <v>196.49288887552154</v>
      </c>
      <c r="R16" s="69">
        <v>186.49601003386348</v>
      </c>
      <c r="S16" s="69">
        <v>187.97373097427274</v>
      </c>
      <c r="T16" s="69">
        <v>190.46193517345412</v>
      </c>
      <c r="U16" s="69">
        <v>198.91817485823259</v>
      </c>
      <c r="V16" s="69">
        <v>204.10342162461689</v>
      </c>
      <c r="W16" s="69">
        <v>217.04441949067231</v>
      </c>
      <c r="X16" s="69">
        <v>195.45048103836086</v>
      </c>
      <c r="Y16" s="69">
        <v>187.91118361163194</v>
      </c>
      <c r="Z16" s="69">
        <v>190.82708413608827</v>
      </c>
      <c r="AA16" s="69">
        <v>191.60601999863283</v>
      </c>
      <c r="AB16" s="69">
        <v>189.60037518398164</v>
      </c>
      <c r="AC16" s="69">
        <v>195.64512707423782</v>
      </c>
      <c r="AD16" s="69">
        <v>192.53843545705726</v>
      </c>
      <c r="AE16" s="69">
        <v>195.03374479246679</v>
      </c>
      <c r="AF16" s="69">
        <v>197.0031161940579</v>
      </c>
      <c r="AG16" s="69">
        <v>204.62548127359312</v>
      </c>
      <c r="AH16" s="69">
        <v>179.98249064091559</v>
      </c>
      <c r="AI16" s="69">
        <v>176.64894946886074</v>
      </c>
      <c r="AJ16" s="69">
        <v>179.83781963930389</v>
      </c>
      <c r="AK16" s="69">
        <v>182.1017719656233</v>
      </c>
      <c r="AL16" s="69">
        <v>179.59216523363187</v>
      </c>
      <c r="AM16" s="69">
        <v>176.45446769098041</v>
      </c>
      <c r="AN16" s="69">
        <v>180.20352390871653</v>
      </c>
      <c r="AO16" s="69">
        <v>183.26289014046452</v>
      </c>
      <c r="AP16" s="69">
        <v>184.01394047789015</v>
      </c>
      <c r="AQ16" s="69">
        <v>184.94666424308934</v>
      </c>
      <c r="AR16" s="69">
        <v>180.69336299440371</v>
      </c>
      <c r="AS16" s="69">
        <v>191.85433808092716</v>
      </c>
      <c r="AT16" s="69">
        <v>177.91463837359379</v>
      </c>
      <c r="AU16" s="69">
        <v>104.30515097985665</v>
      </c>
      <c r="AV16" s="69">
        <v>103.92619263390388</v>
      </c>
      <c r="AW16" s="69">
        <v>108.92026308346101</v>
      </c>
      <c r="AX16" s="69">
        <v>108.3764668352547</v>
      </c>
      <c r="AY16" s="69">
        <v>117.52896894506347</v>
      </c>
      <c r="AZ16" s="69">
        <v>116.87987178011569</v>
      </c>
      <c r="BA16" s="69">
        <v>117.067965339184</v>
      </c>
      <c r="BB16" s="69">
        <v>116.43945356481336</v>
      </c>
      <c r="BC16" s="69">
        <v>116.6946479302966</v>
      </c>
      <c r="BD16" s="69">
        <v>116.89553359726284</v>
      </c>
      <c r="BE16" s="69">
        <v>117.14702906926992</v>
      </c>
      <c r="BF16" s="69">
        <v>116.93719067439264</v>
      </c>
      <c r="BG16" s="69">
        <v>116.58565948294731</v>
      </c>
      <c r="BH16" s="69">
        <v>115.83389585485671</v>
      </c>
      <c r="BI16" s="69">
        <v>115.37569208617462</v>
      </c>
      <c r="BJ16" s="69">
        <v>115.10669929577162</v>
      </c>
      <c r="BK16" s="69">
        <v>114.12434695833052</v>
      </c>
      <c r="BL16" s="69">
        <v>114.15974746642465</v>
      </c>
      <c r="BM16" s="69">
        <v>114.65458245452444</v>
      </c>
      <c r="BN16" s="69">
        <v>115.49626891331089</v>
      </c>
      <c r="BO16" s="69">
        <v>116.62739563468172</v>
      </c>
      <c r="BP16" s="69">
        <v>104.34724048644159</v>
      </c>
      <c r="BQ16" s="69">
        <v>102.59173172091873</v>
      </c>
      <c r="BR16" s="69">
        <v>101.18211892285795</v>
      </c>
      <c r="BS16" s="69">
        <v>99.28184699073806</v>
      </c>
      <c r="BT16" s="69">
        <v>98.003931249581356</v>
      </c>
      <c r="BU16" s="69">
        <v>96.418539835035986</v>
      </c>
      <c r="BV16" s="69">
        <v>98.464027952136064</v>
      </c>
      <c r="BW16" s="69">
        <v>97.075128707514878</v>
      </c>
      <c r="BX16" s="69">
        <v>96.721011672707789</v>
      </c>
      <c r="BY16" s="69">
        <v>94.577707465792841</v>
      </c>
      <c r="BZ16" s="69">
        <v>92.401641464806488</v>
      </c>
      <c r="CA16" s="69">
        <v>92.180405007884531</v>
      </c>
      <c r="CB16" s="69">
        <v>92.000705480881422</v>
      </c>
      <c r="CC16" s="69">
        <v>91.878382426330433</v>
      </c>
      <c r="CD16" s="258"/>
      <c r="CE16" s="258"/>
      <c r="CF16" s="258"/>
    </row>
    <row r="17" spans="1:84" ht="17.100000000000001" customHeight="1" x14ac:dyDescent="0.2">
      <c r="A17" s="42" t="s">
        <v>11</v>
      </c>
      <c r="B17" s="123"/>
      <c r="C17" s="123"/>
      <c r="D17" s="123"/>
      <c r="E17" s="123"/>
      <c r="F17" s="123"/>
      <c r="G17" s="123"/>
      <c r="H17" s="123"/>
      <c r="I17" s="69" t="e">
        <v>#DIV/0!</v>
      </c>
      <c r="J17" s="69" t="e">
        <v>#DIV/0!</v>
      </c>
      <c r="K17" s="69">
        <v>165.31755029717814</v>
      </c>
      <c r="L17" s="69">
        <v>171.13791510307158</v>
      </c>
      <c r="M17" s="69">
        <v>173.18370880294677</v>
      </c>
      <c r="N17" s="69">
        <v>175.07543012824996</v>
      </c>
      <c r="O17" s="69">
        <v>173.36105704356325</v>
      </c>
      <c r="P17" s="69">
        <v>177.61658711185916</v>
      </c>
      <c r="Q17" s="69">
        <v>176.09264207069882</v>
      </c>
      <c r="R17" s="69">
        <v>172.01148322260639</v>
      </c>
      <c r="S17" s="69">
        <v>167.97292759854733</v>
      </c>
      <c r="T17" s="69">
        <v>165.50750454217419</v>
      </c>
      <c r="U17" s="69">
        <v>167.03831197666653</v>
      </c>
      <c r="V17" s="69">
        <v>168.63939442785835</v>
      </c>
      <c r="W17" s="69">
        <v>167.54205365716535</v>
      </c>
      <c r="X17" s="69">
        <v>167.18667038785591</v>
      </c>
      <c r="Y17" s="69">
        <v>166.73740330234236</v>
      </c>
      <c r="Z17" s="69">
        <v>164.94950072196281</v>
      </c>
      <c r="AA17" s="69">
        <v>162.73308163262814</v>
      </c>
      <c r="AB17" s="69">
        <v>164.55716656482699</v>
      </c>
      <c r="AC17" s="69">
        <v>166.41203703065256</v>
      </c>
      <c r="AD17" s="69">
        <v>167.16086840206569</v>
      </c>
      <c r="AE17" s="69">
        <v>165.63304490339402</v>
      </c>
      <c r="AF17" s="69">
        <v>165.92965582853085</v>
      </c>
      <c r="AG17" s="69">
        <v>173.98038340067257</v>
      </c>
      <c r="AH17" s="69">
        <v>174.52568060233807</v>
      </c>
      <c r="AI17" s="69">
        <v>175.41461114866539</v>
      </c>
      <c r="AJ17" s="69">
        <v>173.0748016300717</v>
      </c>
      <c r="AK17" s="69">
        <v>181.89798267369997</v>
      </c>
      <c r="AL17" s="69">
        <v>181.39812813198949</v>
      </c>
      <c r="AM17" s="69">
        <v>179.63686831348136</v>
      </c>
      <c r="AN17" s="69">
        <v>183.3678107362706</v>
      </c>
      <c r="AO17" s="69">
        <v>186.23736250302599</v>
      </c>
      <c r="AP17" s="69">
        <v>194.70683983457229</v>
      </c>
      <c r="AQ17" s="69">
        <v>195.1396797195209</v>
      </c>
      <c r="AR17" s="69">
        <v>195.63779564608714</v>
      </c>
      <c r="AS17" s="69">
        <v>196.60304709037172</v>
      </c>
      <c r="AT17" s="69">
        <v>195.66225617613614</v>
      </c>
      <c r="AU17" s="69">
        <v>105.90269857990877</v>
      </c>
      <c r="AV17" s="69">
        <v>107.57449302323255</v>
      </c>
      <c r="AW17" s="69">
        <v>107.05860867892225</v>
      </c>
      <c r="AX17" s="69">
        <v>109.85286016778018</v>
      </c>
      <c r="AY17" s="69">
        <v>109.00103754634654</v>
      </c>
      <c r="AZ17" s="69">
        <v>107.59977568997061</v>
      </c>
      <c r="BA17" s="69">
        <v>104.93841622946991</v>
      </c>
      <c r="BB17" s="69">
        <v>103.63962173317709</v>
      </c>
      <c r="BC17" s="69">
        <v>105.16966937188369</v>
      </c>
      <c r="BD17" s="69">
        <v>107.70155971803955</v>
      </c>
      <c r="BE17" s="69">
        <v>106.98108245161831</v>
      </c>
      <c r="BF17" s="69">
        <v>106.89520723610295</v>
      </c>
      <c r="BG17" s="69">
        <v>106.54524204089071</v>
      </c>
      <c r="BH17" s="69">
        <v>106.36690150159968</v>
      </c>
      <c r="BI17" s="69">
        <v>106.42658266721017</v>
      </c>
      <c r="BJ17" s="69">
        <v>106.08999587475824</v>
      </c>
      <c r="BK17" s="69">
        <v>106.6809095863029</v>
      </c>
      <c r="BL17" s="69">
        <v>107.20590656077296</v>
      </c>
      <c r="BM17" s="69">
        <v>107.167613915986</v>
      </c>
      <c r="BN17" s="69">
        <v>107.35466902676288</v>
      </c>
      <c r="BO17" s="69">
        <v>113.48759459678632</v>
      </c>
      <c r="BP17" s="69">
        <v>114.94803382303513</v>
      </c>
      <c r="BQ17" s="69">
        <v>115.66572543480747</v>
      </c>
      <c r="BR17" s="69">
        <v>113.81492658293911</v>
      </c>
      <c r="BS17" s="69">
        <v>119.84481419317711</v>
      </c>
      <c r="BT17" s="69">
        <v>120.40285957256086</v>
      </c>
      <c r="BU17" s="69">
        <v>120.17808586147258</v>
      </c>
      <c r="BV17" s="69">
        <v>121.82279612536043</v>
      </c>
      <c r="BW17" s="69">
        <v>125.90244070012237</v>
      </c>
      <c r="BX17" s="69">
        <v>132.69389544095407</v>
      </c>
      <c r="BY17" s="69">
        <v>134.70794731971316</v>
      </c>
      <c r="BZ17" s="69">
        <v>135.64668403877474</v>
      </c>
      <c r="CA17" s="69">
        <v>136.02915494516549</v>
      </c>
      <c r="CB17" s="69">
        <v>136.11703585843549</v>
      </c>
      <c r="CC17" s="69">
        <v>143.30198281879223</v>
      </c>
      <c r="CD17" s="258"/>
      <c r="CE17" s="258"/>
      <c r="CF17" s="258"/>
    </row>
    <row r="18" spans="1:84" ht="17.100000000000001" customHeight="1" x14ac:dyDescent="0.2">
      <c r="A18" s="72" t="s">
        <v>12</v>
      </c>
      <c r="B18" s="123"/>
      <c r="C18" s="123"/>
      <c r="D18" s="123"/>
      <c r="E18" s="123"/>
      <c r="F18" s="123"/>
      <c r="G18" s="123"/>
      <c r="H18" s="123"/>
      <c r="I18" s="69" t="e">
        <v>#DIV/0!</v>
      </c>
      <c r="J18" s="69" t="e">
        <v>#DIV/0!</v>
      </c>
      <c r="K18" s="69">
        <v>218.41744407083524</v>
      </c>
      <c r="L18" s="69">
        <v>205.25774652333558</v>
      </c>
      <c r="M18" s="69">
        <v>273.1003635897136</v>
      </c>
      <c r="N18" s="69">
        <v>138.81030996586654</v>
      </c>
      <c r="O18" s="69">
        <v>167.81173354005827</v>
      </c>
      <c r="P18" s="69">
        <v>191.06077352631971</v>
      </c>
      <c r="Q18" s="69">
        <v>229.75491492176405</v>
      </c>
      <c r="R18" s="69">
        <v>236.50431788180674</v>
      </c>
      <c r="S18" s="69">
        <v>214.29160527817999</v>
      </c>
      <c r="T18" s="69">
        <v>201.83248915824464</v>
      </c>
      <c r="U18" s="69">
        <v>172.43032288405254</v>
      </c>
      <c r="V18" s="69">
        <v>175.25272157703293</v>
      </c>
      <c r="W18" s="69">
        <v>183.84989999363128</v>
      </c>
      <c r="X18" s="69">
        <v>172.43310081172709</v>
      </c>
      <c r="Y18" s="69">
        <v>151.31715192410576</v>
      </c>
      <c r="Z18" s="69">
        <v>174.05070191854318</v>
      </c>
      <c r="AA18" s="69">
        <v>176.94013509912853</v>
      </c>
      <c r="AB18" s="69">
        <v>176.9160794026219</v>
      </c>
      <c r="AC18" s="69">
        <v>193.65725748158872</v>
      </c>
      <c r="AD18" s="69">
        <v>251.13266865936964</v>
      </c>
      <c r="AE18" s="69">
        <v>171.11325725777661</v>
      </c>
      <c r="AF18" s="69">
        <v>180.73020067826258</v>
      </c>
      <c r="AG18" s="69">
        <v>200.20028668387613</v>
      </c>
      <c r="AH18" s="69">
        <v>175.56069510609046</v>
      </c>
      <c r="AI18" s="69">
        <v>191.95817452071623</v>
      </c>
      <c r="AJ18" s="69">
        <v>211.02309617026407</v>
      </c>
      <c r="AK18" s="69">
        <v>218.35027418357132</v>
      </c>
      <c r="AL18" s="69">
        <v>198.55890896077847</v>
      </c>
      <c r="AM18" s="69">
        <v>198.10580469470398</v>
      </c>
      <c r="AN18" s="69">
        <v>196.32525643290447</v>
      </c>
      <c r="AO18" s="69">
        <v>201.40356418473581</v>
      </c>
      <c r="AP18" s="69">
        <v>226.23221525782964</v>
      </c>
      <c r="AQ18" s="69">
        <v>212.45113669264239</v>
      </c>
      <c r="AR18" s="69">
        <v>217.03963513197263</v>
      </c>
      <c r="AS18" s="69">
        <v>214.68444462842263</v>
      </c>
      <c r="AT18" s="69">
        <v>230.48630208238637</v>
      </c>
      <c r="AU18" s="69">
        <v>100.30598576856111</v>
      </c>
      <c r="AV18" s="69">
        <v>100.37417922029749</v>
      </c>
      <c r="AW18" s="69">
        <v>100.80951495626513</v>
      </c>
      <c r="AX18" s="69">
        <v>101.87249985457466</v>
      </c>
      <c r="AY18" s="69">
        <v>104.75413614300371</v>
      </c>
      <c r="AZ18" s="69">
        <v>103.93294779746287</v>
      </c>
      <c r="BA18" s="69">
        <v>102.61305415629704</v>
      </c>
      <c r="BB18" s="69">
        <v>101.3429293986763</v>
      </c>
      <c r="BC18" s="69">
        <v>99.765253479525597</v>
      </c>
      <c r="BD18" s="69">
        <v>98.375748284770822</v>
      </c>
      <c r="BE18" s="69">
        <v>97.42509005080791</v>
      </c>
      <c r="BF18" s="69">
        <v>95.892923520707697</v>
      </c>
      <c r="BG18" s="69">
        <v>94.561124347873346</v>
      </c>
      <c r="BH18" s="69">
        <v>94.491346299820975</v>
      </c>
      <c r="BI18" s="69">
        <v>95.153247844205751</v>
      </c>
      <c r="BJ18" s="69">
        <v>97.36319066312646</v>
      </c>
      <c r="BK18" s="69">
        <v>102.67871095227821</v>
      </c>
      <c r="BL18" s="69">
        <v>104.90579654472931</v>
      </c>
      <c r="BM18" s="69">
        <v>105.84315265349677</v>
      </c>
      <c r="BN18" s="69">
        <v>107.05925101389948</v>
      </c>
      <c r="BO18" s="69">
        <v>107.9280226444294</v>
      </c>
      <c r="BP18" s="69">
        <v>107.29130324499663</v>
      </c>
      <c r="BQ18" s="69">
        <v>106.3221273148699</v>
      </c>
      <c r="BR18" s="69">
        <v>115.23978355178063</v>
      </c>
      <c r="BS18" s="69">
        <v>117.50008686368653</v>
      </c>
      <c r="BT18" s="69">
        <v>122.54873634047728</v>
      </c>
      <c r="BU18" s="69">
        <v>106.26833219840522</v>
      </c>
      <c r="BV18" s="69">
        <v>106.23835454433912</v>
      </c>
      <c r="BW18" s="69">
        <v>114.22144242191099</v>
      </c>
      <c r="BX18" s="69">
        <v>125.99581085325934</v>
      </c>
      <c r="BY18" s="69">
        <v>111.76240894369431</v>
      </c>
      <c r="BZ18" s="69">
        <v>118.24219834726752</v>
      </c>
      <c r="CA18" s="69">
        <v>116.54228168828722</v>
      </c>
      <c r="CB18" s="69">
        <v>123.07310893898318</v>
      </c>
      <c r="CC18" s="69">
        <v>119.08781085454123</v>
      </c>
      <c r="CD18" s="258"/>
      <c r="CE18" s="258"/>
      <c r="CF18" s="258"/>
    </row>
    <row r="19" spans="1:84" s="160" customFormat="1" ht="17.100000000000001" customHeight="1" x14ac:dyDescent="0.2">
      <c r="A19" s="160" t="s">
        <v>94</v>
      </c>
      <c r="I19" s="160" t="e">
        <v>#DIV/0!</v>
      </c>
      <c r="J19" s="160" t="e">
        <v>#DIV/0!</v>
      </c>
      <c r="K19" s="160">
        <v>173.52298940927588</v>
      </c>
      <c r="L19" s="160">
        <v>183.48629733583707</v>
      </c>
      <c r="M19" s="160">
        <v>182.99624738134887</v>
      </c>
      <c r="N19" s="160">
        <v>171.68364346362861</v>
      </c>
      <c r="O19" s="160">
        <v>158.88112669900335</v>
      </c>
      <c r="P19" s="160">
        <v>164.0882052677853</v>
      </c>
      <c r="Q19" s="160">
        <v>157.13383085954194</v>
      </c>
      <c r="R19" s="160">
        <v>154.18311359948075</v>
      </c>
      <c r="S19" s="160">
        <v>144.51165659290911</v>
      </c>
      <c r="T19" s="160">
        <v>155.15469951549764</v>
      </c>
      <c r="U19" s="160">
        <v>161.6973490772163</v>
      </c>
      <c r="V19" s="160">
        <v>172.370188647633</v>
      </c>
      <c r="W19" s="160">
        <v>148.9070481898784</v>
      </c>
      <c r="X19" s="160">
        <v>145.93753795415037</v>
      </c>
      <c r="Y19" s="160">
        <v>158.35822387523532</v>
      </c>
      <c r="Z19" s="160">
        <v>152.68953790608353</v>
      </c>
      <c r="AA19" s="160">
        <v>146.16759650367356</v>
      </c>
      <c r="AB19" s="160">
        <v>157.68119777419184</v>
      </c>
      <c r="AC19" s="160">
        <v>164.52738709029828</v>
      </c>
      <c r="AD19" s="160">
        <v>165.74580933450326</v>
      </c>
      <c r="AE19" s="160">
        <v>168.99061714199408</v>
      </c>
      <c r="AF19" s="160">
        <v>176.4264945832889</v>
      </c>
      <c r="AG19" s="160">
        <v>179.660366066737</v>
      </c>
      <c r="AH19" s="160">
        <v>166.21806253986176</v>
      </c>
      <c r="AI19" s="160">
        <v>170.87194889407283</v>
      </c>
      <c r="AJ19" s="160">
        <v>185.65593237619572</v>
      </c>
      <c r="AK19" s="160">
        <v>192.0964843896287</v>
      </c>
      <c r="AL19" s="160">
        <v>189.83987195510684</v>
      </c>
      <c r="AM19" s="160">
        <v>176.09214240405964</v>
      </c>
      <c r="AN19" s="160">
        <v>188.91506862473045</v>
      </c>
      <c r="AO19" s="160">
        <v>210.65479367058308</v>
      </c>
      <c r="AP19" s="160">
        <v>202.79552751891242</v>
      </c>
      <c r="AQ19" s="160">
        <v>201.45822754891495</v>
      </c>
      <c r="AR19" s="160">
        <v>212.58705066570394</v>
      </c>
      <c r="AS19" s="160">
        <v>220.93414335844611</v>
      </c>
      <c r="AT19" s="160">
        <v>218.68454565516737</v>
      </c>
      <c r="AU19" s="160">
        <v>100.98822298118495</v>
      </c>
      <c r="AV19" s="160">
        <v>99.579723883310848</v>
      </c>
      <c r="AW19" s="160">
        <v>102.94704818508818</v>
      </c>
      <c r="AX19" s="160">
        <v>104.43642611690036</v>
      </c>
      <c r="AY19" s="160">
        <v>102.42537022927831</v>
      </c>
      <c r="AZ19" s="160">
        <v>104.76742123248972</v>
      </c>
      <c r="BA19" s="160">
        <v>105.11752685515316</v>
      </c>
      <c r="BB19" s="160">
        <v>106.96503272801317</v>
      </c>
      <c r="BC19" s="160">
        <v>107.45924667646989</v>
      </c>
      <c r="BD19" s="160">
        <v>108.99152713061504</v>
      </c>
      <c r="BE19" s="160">
        <v>107.87334728346876</v>
      </c>
      <c r="BF19" s="160">
        <v>106.47606425056692</v>
      </c>
      <c r="BG19" s="160">
        <v>109.29747626635695</v>
      </c>
      <c r="BH19" s="160">
        <v>108.8621311183085</v>
      </c>
      <c r="BI19" s="160">
        <v>108.48926940702634</v>
      </c>
      <c r="BJ19" s="160">
        <v>108.27843813975883</v>
      </c>
      <c r="BK19" s="160">
        <v>110.79199393458903</v>
      </c>
      <c r="BL19" s="160">
        <v>112.65241755073761</v>
      </c>
      <c r="BM19" s="160">
        <v>114.73137896765336</v>
      </c>
      <c r="BN19" s="160">
        <v>118.31953628334462</v>
      </c>
      <c r="BO19" s="160">
        <v>122.17355368067398</v>
      </c>
      <c r="BP19" s="160">
        <v>122.67947394283816</v>
      </c>
      <c r="BQ19" s="160">
        <v>122.62984771281783</v>
      </c>
      <c r="BR19" s="160">
        <v>126.96396696465166</v>
      </c>
      <c r="BS19" s="160">
        <v>133.75655236007159</v>
      </c>
      <c r="BT19" s="160">
        <v>129.60194028629232</v>
      </c>
      <c r="BU19" s="160">
        <v>131.30177130693573</v>
      </c>
      <c r="BV19" s="160">
        <v>130.7043251097553</v>
      </c>
      <c r="BW19" s="160">
        <v>138.95744548211738</v>
      </c>
      <c r="BX19" s="160">
        <v>135.20437701418732</v>
      </c>
      <c r="BY19" s="160">
        <v>134.74828178781297</v>
      </c>
      <c r="BZ19" s="160">
        <v>134.90851442248842</v>
      </c>
      <c r="CA19" s="160">
        <v>141.36608221127634</v>
      </c>
      <c r="CB19" s="160">
        <v>143.42761144512107</v>
      </c>
      <c r="CC19" s="160">
        <v>137.33640126438129</v>
      </c>
      <c r="CD19" s="258"/>
      <c r="CE19" s="258"/>
      <c r="CF19" s="258"/>
    </row>
    <row r="20" spans="1:84" ht="17.100000000000001" customHeight="1" x14ac:dyDescent="0.2">
      <c r="A20" s="82" t="s">
        <v>52</v>
      </c>
      <c r="B20" s="123"/>
      <c r="C20" s="123"/>
      <c r="D20" s="123"/>
      <c r="E20" s="123"/>
      <c r="F20" s="123"/>
      <c r="G20" s="123"/>
      <c r="H20" s="123"/>
      <c r="I20" s="69" t="e">
        <v>#DIV/0!</v>
      </c>
      <c r="J20" s="69" t="e">
        <v>#DIV/0!</v>
      </c>
      <c r="K20" s="69">
        <v>128.85198139740234</v>
      </c>
      <c r="L20" s="69">
        <v>147.9025517224874</v>
      </c>
      <c r="M20" s="69">
        <v>126.19146174912301</v>
      </c>
      <c r="N20" s="69">
        <v>104.64113352697974</v>
      </c>
      <c r="O20" s="69">
        <v>118.66682419779735</v>
      </c>
      <c r="P20" s="69">
        <v>149.87881565243379</v>
      </c>
      <c r="Q20" s="69">
        <v>145.11264481038236</v>
      </c>
      <c r="R20" s="69">
        <v>137.38850746220683</v>
      </c>
      <c r="S20" s="69">
        <v>131.50302563821825</v>
      </c>
      <c r="T20" s="69">
        <v>131.26005493080254</v>
      </c>
      <c r="U20" s="69">
        <v>109.34770873382004</v>
      </c>
      <c r="V20" s="69">
        <v>150.80727986267843</v>
      </c>
      <c r="W20" s="69">
        <v>112.98904683670663</v>
      </c>
      <c r="X20" s="69">
        <v>129.14486229987608</v>
      </c>
      <c r="Y20" s="69">
        <v>136.61100115259057</v>
      </c>
      <c r="Z20" s="69">
        <v>123.14228840715995</v>
      </c>
      <c r="AA20" s="69">
        <v>104.68398172737292</v>
      </c>
      <c r="AB20" s="69">
        <v>130.57590359416514</v>
      </c>
      <c r="AC20" s="69">
        <v>137.31425680806692</v>
      </c>
      <c r="AD20" s="69">
        <v>133.70011994897155</v>
      </c>
      <c r="AE20" s="69">
        <v>143.14133832623872</v>
      </c>
      <c r="AF20" s="69">
        <v>181.38277849720311</v>
      </c>
      <c r="AG20" s="69">
        <v>185.56298994180759</v>
      </c>
      <c r="AH20" s="69">
        <v>157.14404678704139</v>
      </c>
      <c r="AI20" s="69">
        <v>157.51093126587276</v>
      </c>
      <c r="AJ20" s="69">
        <v>202.56673109916704</v>
      </c>
      <c r="AK20" s="69">
        <v>238.26105834667436</v>
      </c>
      <c r="AL20" s="69">
        <v>189.10576363390001</v>
      </c>
      <c r="AM20" s="69">
        <v>159.42103706925747</v>
      </c>
      <c r="AN20" s="69">
        <v>179.8753935198315</v>
      </c>
      <c r="AO20" s="69">
        <v>276.87421031906723</v>
      </c>
      <c r="AP20" s="69">
        <v>221.63643034727349</v>
      </c>
      <c r="AQ20" s="69">
        <v>199.48988312610359</v>
      </c>
      <c r="AR20" s="69">
        <v>224.04494346278074</v>
      </c>
      <c r="AS20" s="69">
        <v>268.4087780675606</v>
      </c>
      <c r="AT20" s="69">
        <v>258.17722856690938</v>
      </c>
      <c r="AU20" s="69">
        <v>101.52128744823632</v>
      </c>
      <c r="AV20" s="69">
        <v>92.612758008721514</v>
      </c>
      <c r="AW20" s="69">
        <v>108.48733208134482</v>
      </c>
      <c r="AX20" s="69">
        <v>111.25956551557077</v>
      </c>
      <c r="AY20" s="69">
        <v>98.598289135044482</v>
      </c>
      <c r="AZ20" s="69">
        <v>105.34168915611464</v>
      </c>
      <c r="BA20" s="69">
        <v>104.74254940270147</v>
      </c>
      <c r="BB20" s="69">
        <v>103.5264198406262</v>
      </c>
      <c r="BC20" s="69">
        <v>100.93344958420396</v>
      </c>
      <c r="BD20" s="69">
        <v>107.84316608215154</v>
      </c>
      <c r="BE20" s="69">
        <v>109.31895525962634</v>
      </c>
      <c r="BF20" s="69">
        <v>113.20888465985408</v>
      </c>
      <c r="BG20" s="69">
        <v>102.3978158100628</v>
      </c>
      <c r="BH20" s="69">
        <v>110.19456402222183</v>
      </c>
      <c r="BI20" s="69">
        <v>111.86522832015839</v>
      </c>
      <c r="BJ20" s="69">
        <v>107.97020054761812</v>
      </c>
      <c r="BK20" s="69">
        <v>107.12525634600772</v>
      </c>
      <c r="BL20" s="69">
        <v>113.5110192114259</v>
      </c>
      <c r="BM20" s="69">
        <v>126.99344475231842</v>
      </c>
      <c r="BN20" s="69">
        <v>137.38306539994477</v>
      </c>
      <c r="BO20" s="69">
        <v>139.86455891884822</v>
      </c>
      <c r="BP20" s="69">
        <v>134.61705296562582</v>
      </c>
      <c r="BQ20" s="69">
        <v>143.55661108282828</v>
      </c>
      <c r="BR20" s="69">
        <v>154.18894049850294</v>
      </c>
      <c r="BS20" s="69">
        <v>164.75045552814177</v>
      </c>
      <c r="BT20" s="69">
        <v>149.37805525933717</v>
      </c>
      <c r="BU20" s="69">
        <v>147.65649659023302</v>
      </c>
      <c r="BV20" s="69">
        <v>139.97864456694316</v>
      </c>
      <c r="BW20" s="69">
        <v>165.39049349019695</v>
      </c>
      <c r="BX20" s="69">
        <v>158.40349377201684</v>
      </c>
      <c r="BY20" s="69">
        <v>152.37965285321908</v>
      </c>
      <c r="BZ20" s="69">
        <v>150.90369583824253</v>
      </c>
      <c r="CA20" s="69">
        <v>163.15492802392271</v>
      </c>
      <c r="CB20" s="69">
        <v>184.57701042881189</v>
      </c>
      <c r="CC20" s="69">
        <v>157.02496686751752</v>
      </c>
      <c r="CD20" s="258"/>
      <c r="CE20" s="258"/>
      <c r="CF20" s="258"/>
    </row>
    <row r="21" spans="1:84" ht="17.100000000000001" customHeight="1" x14ac:dyDescent="0.2">
      <c r="A21" s="82" t="s">
        <v>53</v>
      </c>
      <c r="B21" s="123"/>
      <c r="C21" s="123"/>
      <c r="D21" s="123"/>
      <c r="E21" s="123"/>
      <c r="F21" s="123"/>
      <c r="G21" s="123"/>
      <c r="H21" s="123"/>
      <c r="I21" s="69" t="e">
        <v>#DIV/0!</v>
      </c>
      <c r="J21" s="69" t="e">
        <v>#DIV/0!</v>
      </c>
      <c r="K21" s="69">
        <v>169.54501517685901</v>
      </c>
      <c r="L21" s="69">
        <v>186.05011771104495</v>
      </c>
      <c r="M21" s="69">
        <v>189.00773468634654</v>
      </c>
      <c r="N21" s="69">
        <v>176.48126039300379</v>
      </c>
      <c r="O21" s="69">
        <v>174.03919658167351</v>
      </c>
      <c r="P21" s="69">
        <v>184.56806807251988</v>
      </c>
      <c r="Q21" s="69">
        <v>194.43258947731491</v>
      </c>
      <c r="R21" s="69">
        <v>183.14238352502181</v>
      </c>
      <c r="S21" s="69">
        <v>182.84719849719275</v>
      </c>
      <c r="T21" s="69">
        <v>194.47517084183795</v>
      </c>
      <c r="U21" s="69">
        <v>188.81091379106746</v>
      </c>
      <c r="V21" s="69">
        <v>196.32671349530776</v>
      </c>
      <c r="W21" s="69">
        <v>158.90301517707363</v>
      </c>
      <c r="X21" s="69">
        <v>158.99122525251053</v>
      </c>
      <c r="Y21" s="69">
        <v>197.14714651736139</v>
      </c>
      <c r="Z21" s="69">
        <v>176.00071943026472</v>
      </c>
      <c r="AA21" s="69">
        <v>147.97738454598752</v>
      </c>
      <c r="AB21" s="69">
        <v>162.37060056152646</v>
      </c>
      <c r="AC21" s="69">
        <v>168.36616902805068</v>
      </c>
      <c r="AD21" s="69">
        <v>183.51325935872816</v>
      </c>
      <c r="AE21" s="69">
        <v>171.90561753521257</v>
      </c>
      <c r="AF21" s="69">
        <v>178.05658396683074</v>
      </c>
      <c r="AG21" s="69">
        <v>182.2962294657728</v>
      </c>
      <c r="AH21" s="69">
        <v>213.55582286658876</v>
      </c>
      <c r="AI21" s="69">
        <v>212.03406638389146</v>
      </c>
      <c r="AJ21" s="69">
        <v>211.77596368140473</v>
      </c>
      <c r="AK21" s="69">
        <v>202.62031651897036</v>
      </c>
      <c r="AL21" s="69">
        <v>222.2071077213819</v>
      </c>
      <c r="AM21" s="69">
        <v>223.97249810086524</v>
      </c>
      <c r="AN21" s="69">
        <v>221.22072990345188</v>
      </c>
      <c r="AO21" s="69">
        <v>233.3714524041703</v>
      </c>
      <c r="AP21" s="69">
        <v>246.61815383862708</v>
      </c>
      <c r="AQ21" s="69">
        <v>255.92633449984845</v>
      </c>
      <c r="AR21" s="69">
        <v>252.12220923848156</v>
      </c>
      <c r="AS21" s="69">
        <v>229.73420784634041</v>
      </c>
      <c r="AT21" s="69">
        <v>245.65960999048349</v>
      </c>
      <c r="AU21" s="69">
        <v>102.09513717691183</v>
      </c>
      <c r="AV21" s="69">
        <v>102.57426851859152</v>
      </c>
      <c r="AW21" s="69">
        <v>102.00251009385958</v>
      </c>
      <c r="AX21" s="69">
        <v>101.61239124040694</v>
      </c>
      <c r="AY21" s="69">
        <v>108.62672446958517</v>
      </c>
      <c r="AZ21" s="69">
        <v>111.49121686654257</v>
      </c>
      <c r="BA21" s="69">
        <v>109.73226749951468</v>
      </c>
      <c r="BB21" s="69">
        <v>114.96424295211295</v>
      </c>
      <c r="BC21" s="69">
        <v>123.49235029444053</v>
      </c>
      <c r="BD21" s="69">
        <v>125.32869014148784</v>
      </c>
      <c r="BE21" s="69">
        <v>116.26476153749417</v>
      </c>
      <c r="BF21" s="69">
        <v>114.23984507931767</v>
      </c>
      <c r="BG21" s="69">
        <v>134.83166917278112</v>
      </c>
      <c r="BH21" s="69">
        <v>124.22809021677008</v>
      </c>
      <c r="BI21" s="69">
        <v>109.96433359726367</v>
      </c>
      <c r="BJ21" s="69">
        <v>114.12555919974727</v>
      </c>
      <c r="BK21" s="69">
        <v>131.16763735508039</v>
      </c>
      <c r="BL21" s="69">
        <v>141.09244856582845</v>
      </c>
      <c r="BM21" s="69">
        <v>126.4959698483386</v>
      </c>
      <c r="BN21" s="69">
        <v>143.94993066428734</v>
      </c>
      <c r="BO21" s="69">
        <v>166.3301075773746</v>
      </c>
      <c r="BP21" s="69">
        <v>179.78422869043098</v>
      </c>
      <c r="BQ21" s="69">
        <v>182.92644990429361</v>
      </c>
      <c r="BR21" s="69">
        <v>185.84648751377514</v>
      </c>
      <c r="BS21" s="69">
        <v>184.79399096937669</v>
      </c>
      <c r="BT21" s="69">
        <v>190.30128054909085</v>
      </c>
      <c r="BU21" s="69">
        <v>189.21167167138208</v>
      </c>
      <c r="BV21" s="69">
        <v>192.98774408197585</v>
      </c>
      <c r="BW21" s="69">
        <v>194.81404189878978</v>
      </c>
      <c r="BX21" s="69">
        <v>197.95277052285135</v>
      </c>
      <c r="BY21" s="69">
        <v>192.06597198477121</v>
      </c>
      <c r="BZ21" s="69">
        <v>188.23962534974277</v>
      </c>
      <c r="CA21" s="69">
        <v>188.14067624566789</v>
      </c>
      <c r="CB21" s="69">
        <v>190.10354012492289</v>
      </c>
      <c r="CC21" s="69">
        <v>192.76412854633526</v>
      </c>
      <c r="CD21" s="258"/>
      <c r="CE21" s="258"/>
      <c r="CF21" s="258"/>
    </row>
    <row r="22" spans="1:84" ht="17.100000000000001" customHeight="1" x14ac:dyDescent="0.2">
      <c r="A22" s="82" t="s">
        <v>55</v>
      </c>
      <c r="B22" s="123"/>
      <c r="C22" s="123"/>
      <c r="D22" s="123"/>
      <c r="E22" s="123"/>
      <c r="F22" s="123"/>
      <c r="G22" s="123"/>
      <c r="H22" s="123"/>
      <c r="I22" s="69" t="e">
        <v>#DIV/0!</v>
      </c>
      <c r="J22" s="69" t="e">
        <v>#DIV/0!</v>
      </c>
      <c r="K22" s="69">
        <v>168.89849246191127</v>
      </c>
      <c r="L22" s="69">
        <v>216.68621502972215</v>
      </c>
      <c r="M22" s="69">
        <v>257.82776628321955</v>
      </c>
      <c r="N22" s="69">
        <v>229.40399434405285</v>
      </c>
      <c r="O22" s="69">
        <v>188.0114285148353</v>
      </c>
      <c r="P22" s="69">
        <v>185.36531139639686</v>
      </c>
      <c r="Q22" s="69">
        <v>213.40084385939653</v>
      </c>
      <c r="R22" s="69">
        <v>189.74989283490672</v>
      </c>
      <c r="S22" s="69">
        <v>188.81309181105749</v>
      </c>
      <c r="T22" s="69">
        <v>206.11266990837845</v>
      </c>
      <c r="U22" s="69">
        <v>209.46595471669846</v>
      </c>
      <c r="V22" s="69">
        <v>197.54832602198326</v>
      </c>
      <c r="W22" s="69">
        <v>158.37798269908555</v>
      </c>
      <c r="X22" s="69">
        <v>96.197502140480935</v>
      </c>
      <c r="Y22" s="69">
        <v>149.92424105924502</v>
      </c>
      <c r="Z22" s="69">
        <v>150.29049158861707</v>
      </c>
      <c r="AA22" s="69">
        <v>144.60366504923414</v>
      </c>
      <c r="AB22" s="69">
        <v>182.93891784527045</v>
      </c>
      <c r="AC22" s="69">
        <v>144.36986691953913</v>
      </c>
      <c r="AD22" s="69">
        <v>172.68386683685102</v>
      </c>
      <c r="AE22" s="69">
        <v>121.19372357340264</v>
      </c>
      <c r="AF22" s="69">
        <v>165.12767103070621</v>
      </c>
      <c r="AG22" s="69">
        <v>126.16310700280266</v>
      </c>
      <c r="AH22" s="69">
        <v>156.64650141176895</v>
      </c>
      <c r="AI22" s="69">
        <v>129.14964013875189</v>
      </c>
      <c r="AJ22" s="69">
        <v>215.27502691188965</v>
      </c>
      <c r="AK22" s="69">
        <v>168.70944163119356</v>
      </c>
      <c r="AL22" s="69">
        <v>159.77089530341141</v>
      </c>
      <c r="AM22" s="69">
        <v>156.52368495158879</v>
      </c>
      <c r="AN22" s="69">
        <v>256.60504945651434</v>
      </c>
      <c r="AO22" s="69">
        <v>181.01933761349866</v>
      </c>
      <c r="AP22" s="69">
        <v>193.06055745163079</v>
      </c>
      <c r="AQ22" s="69">
        <v>162.74867529735752</v>
      </c>
      <c r="AR22" s="69">
        <v>182.09923570937065</v>
      </c>
      <c r="AS22" s="69">
        <v>203.91773508170269</v>
      </c>
      <c r="AT22" s="69">
        <v>182.54257267692461</v>
      </c>
      <c r="AU22" s="69">
        <v>103.94581188589636</v>
      </c>
      <c r="AV22" s="69">
        <v>103.27583894249013</v>
      </c>
      <c r="AW22" s="69">
        <v>102.4201158143343</v>
      </c>
      <c r="AX22" s="69">
        <v>103.25332193292334</v>
      </c>
      <c r="AY22" s="69">
        <v>105.75917027874455</v>
      </c>
      <c r="AZ22" s="69">
        <v>106.04807335251918</v>
      </c>
      <c r="BA22" s="69">
        <v>107.14054522374971</v>
      </c>
      <c r="BB22" s="69">
        <v>109.76414527784254</v>
      </c>
      <c r="BC22" s="69">
        <v>112.38398176965563</v>
      </c>
      <c r="BD22" s="69">
        <v>113.00893479668272</v>
      </c>
      <c r="BE22" s="69">
        <v>112.59556251195085</v>
      </c>
      <c r="BF22" s="69">
        <v>105.81470940281822</v>
      </c>
      <c r="BG22" s="69">
        <v>108.91583794036164</v>
      </c>
      <c r="BH22" s="69">
        <v>107.95935756227151</v>
      </c>
      <c r="BI22" s="69">
        <v>109.08946217030493</v>
      </c>
      <c r="BJ22" s="69">
        <v>110.98587934759165</v>
      </c>
      <c r="BK22" s="69">
        <v>111.15650641583092</v>
      </c>
      <c r="BL22" s="69">
        <v>113.55698284557565</v>
      </c>
      <c r="BM22" s="69">
        <v>113.80407935491417</v>
      </c>
      <c r="BN22" s="69">
        <v>115.36847038108158</v>
      </c>
      <c r="BO22" s="69">
        <v>113.54317592833081</v>
      </c>
      <c r="BP22" s="69">
        <v>112.45825628418787</v>
      </c>
      <c r="BQ22" s="69">
        <v>111.7323165858284</v>
      </c>
      <c r="BR22" s="69">
        <v>114.53633598374586</v>
      </c>
      <c r="BS22" s="69">
        <v>114.5683028874343</v>
      </c>
      <c r="BT22" s="69">
        <v>114.40025419344502</v>
      </c>
      <c r="BU22" s="69">
        <v>117.2543352048589</v>
      </c>
      <c r="BV22" s="69">
        <v>122.42122308089969</v>
      </c>
      <c r="BW22" s="69">
        <v>122.66021726868408</v>
      </c>
      <c r="BX22" s="69">
        <v>124.304533301384</v>
      </c>
      <c r="BY22" s="69">
        <v>126.2955636396365</v>
      </c>
      <c r="BZ22" s="69">
        <v>128.7240231240398</v>
      </c>
      <c r="CA22" s="69">
        <v>130.02758634545961</v>
      </c>
      <c r="CB22" s="69">
        <v>130.78813598919359</v>
      </c>
      <c r="CC22" s="69">
        <v>132.53752069875981</v>
      </c>
    </row>
    <row r="23" spans="1:84" ht="17.100000000000001" customHeight="1" x14ac:dyDescent="0.2">
      <c r="A23" s="82" t="s">
        <v>54</v>
      </c>
      <c r="B23" s="123"/>
      <c r="C23" s="123"/>
      <c r="D23" s="123"/>
      <c r="E23" s="123"/>
      <c r="F23" s="123"/>
      <c r="G23" s="123"/>
      <c r="H23" s="123"/>
      <c r="I23" s="69" t="e">
        <v>#DIV/0!</v>
      </c>
      <c r="J23" s="69" t="e">
        <v>#DIV/0!</v>
      </c>
      <c r="K23" s="69" t="e">
        <v>#DIV/0!</v>
      </c>
      <c r="L23" s="69" t="e">
        <v>#DIV/0!</v>
      </c>
      <c r="M23" s="69" t="e">
        <v>#DIV/0!</v>
      </c>
      <c r="N23" s="69" t="e">
        <v>#DIV/0!</v>
      </c>
      <c r="O23" s="69">
        <v>310.76904690205794</v>
      </c>
      <c r="P23" s="69">
        <v>229.88932197814745</v>
      </c>
      <c r="Q23" s="69">
        <v>258.40335204646203</v>
      </c>
      <c r="R23" s="69">
        <v>281.58270921917506</v>
      </c>
      <c r="S23" s="69">
        <v>246.96423294866645</v>
      </c>
      <c r="T23" s="69">
        <v>248.46049003316364</v>
      </c>
      <c r="U23" s="69">
        <v>285.25088804258257</v>
      </c>
      <c r="V23" s="69">
        <v>262.39898680443184</v>
      </c>
      <c r="W23" s="69">
        <v>224.11625868151265</v>
      </c>
      <c r="X23" s="69">
        <v>187.71471687195177</v>
      </c>
      <c r="Y23" s="69">
        <v>198.22964735560308</v>
      </c>
      <c r="Z23" s="69">
        <v>221.55674887477042</v>
      </c>
      <c r="AA23" s="69">
        <v>213.5736405279348</v>
      </c>
      <c r="AB23" s="69">
        <v>204.62686010031166</v>
      </c>
      <c r="AC23" s="69">
        <v>187.63821674248362</v>
      </c>
      <c r="AD23" s="69">
        <v>195.25675750971874</v>
      </c>
      <c r="AE23" s="69">
        <v>170.15769366329175</v>
      </c>
      <c r="AF23" s="69">
        <v>160.98350598971584</v>
      </c>
      <c r="AG23" s="69">
        <v>163.83764938156301</v>
      </c>
      <c r="AH23" s="69">
        <v>164.4131888842382</v>
      </c>
      <c r="AI23" s="69">
        <v>184.84042954581338</v>
      </c>
      <c r="AJ23" s="69">
        <v>209.61938570356472</v>
      </c>
      <c r="AK23" s="69">
        <v>282.30085484449069</v>
      </c>
      <c r="AL23" s="69">
        <v>306.21137589996749</v>
      </c>
      <c r="AM23" s="69">
        <v>263.47649446007074</v>
      </c>
      <c r="AN23" s="69">
        <v>214.82110476340469</v>
      </c>
      <c r="AO23" s="69">
        <v>303.73036372022409</v>
      </c>
      <c r="AP23" s="69">
        <v>219.54861068845167</v>
      </c>
      <c r="AQ23" s="69">
        <v>237.84425885807906</v>
      </c>
      <c r="AR23" s="69">
        <v>183.69692412386121</v>
      </c>
      <c r="AS23" s="69">
        <v>202.58814531880046</v>
      </c>
      <c r="AT23" s="69">
        <v>209.33491438639447</v>
      </c>
      <c r="AU23" s="69">
        <v>81.396684836832065</v>
      </c>
      <c r="AV23" s="69">
        <v>79.725346148966025</v>
      </c>
      <c r="AW23" s="69">
        <v>82.13563396620674</v>
      </c>
      <c r="AX23" s="69">
        <v>91.149900431533908</v>
      </c>
      <c r="AY23" s="69">
        <v>102.57683238733135</v>
      </c>
      <c r="AZ23" s="69">
        <v>111.04539358664437</v>
      </c>
      <c r="BA23" s="69">
        <v>112.91157582706313</v>
      </c>
      <c r="BB23" s="69">
        <v>111.47875201153934</v>
      </c>
      <c r="BC23" s="69">
        <v>101.88294672266092</v>
      </c>
      <c r="BD23" s="69">
        <v>98.061291860186984</v>
      </c>
      <c r="BE23" s="69">
        <v>94.828923033439466</v>
      </c>
      <c r="BF23" s="69">
        <v>94.746496290375788</v>
      </c>
      <c r="BG23" s="69">
        <v>91.624071426441517</v>
      </c>
      <c r="BH23" s="69">
        <v>91.009341003505568</v>
      </c>
      <c r="BI23" s="69">
        <v>91.971594656145271</v>
      </c>
      <c r="BJ23" s="69">
        <v>91.068352858602466</v>
      </c>
      <c r="BK23" s="69">
        <v>88.471276873404392</v>
      </c>
      <c r="BL23" s="69">
        <v>88.838705192313881</v>
      </c>
      <c r="BM23" s="69">
        <v>87.964105682058602</v>
      </c>
      <c r="BN23" s="69">
        <v>83.859179659771272</v>
      </c>
      <c r="BO23" s="69">
        <v>77.557326248106435</v>
      </c>
      <c r="BP23" s="69">
        <v>77.155205356844348</v>
      </c>
      <c r="BQ23" s="69">
        <v>79.743436846501012</v>
      </c>
      <c r="BR23" s="69">
        <v>89.945051724093659</v>
      </c>
      <c r="BS23" s="69">
        <v>107.96404419930631</v>
      </c>
      <c r="BT23" s="69">
        <v>122.1753149848409</v>
      </c>
      <c r="BU23" s="69">
        <v>127.22357549180924</v>
      </c>
      <c r="BV23" s="69">
        <v>126.41129901896299</v>
      </c>
      <c r="BW23" s="69">
        <v>118.22286564057069</v>
      </c>
      <c r="BX23" s="69">
        <v>113.84765821808334</v>
      </c>
      <c r="BY23" s="69">
        <v>112.61468458350741</v>
      </c>
      <c r="BZ23" s="69">
        <v>113.22399927508333</v>
      </c>
      <c r="CA23" s="69">
        <v>113.09177171183687</v>
      </c>
      <c r="CB23" s="69">
        <v>113.97477368965419</v>
      </c>
      <c r="CC23" s="69">
        <v>113.48063327367903</v>
      </c>
    </row>
    <row r="24" spans="1:84" ht="17.100000000000001" customHeight="1" x14ac:dyDescent="0.2">
      <c r="A24" s="82" t="s">
        <v>72</v>
      </c>
      <c r="B24" s="123"/>
      <c r="C24" s="123"/>
      <c r="D24" s="123"/>
      <c r="E24" s="123"/>
      <c r="F24" s="123"/>
      <c r="G24" s="123"/>
      <c r="H24" s="123"/>
      <c r="I24" s="69" t="e">
        <v>#DIV/0!</v>
      </c>
      <c r="J24" s="69" t="e">
        <v>#DIV/0!</v>
      </c>
      <c r="K24" s="69">
        <v>198.18838995329554</v>
      </c>
      <c r="L24" s="69">
        <v>163.57328304456999</v>
      </c>
      <c r="M24" s="69">
        <v>180.70096132007092</v>
      </c>
      <c r="N24" s="69">
        <v>192.0312051705485</v>
      </c>
      <c r="O24" s="69">
        <v>209.22259254097924</v>
      </c>
      <c r="P24" s="69">
        <v>176.58431428236909</v>
      </c>
      <c r="Q24" s="69">
        <v>177.98699884713869</v>
      </c>
      <c r="R24" s="69">
        <v>176.29405016188875</v>
      </c>
      <c r="S24" s="69">
        <v>155.58957781180186</v>
      </c>
      <c r="T24" s="69">
        <v>207.81003258518828</v>
      </c>
      <c r="U24" s="69">
        <v>268.09613874657856</v>
      </c>
      <c r="V24" s="69">
        <v>211.77528938572831</v>
      </c>
      <c r="W24" s="69">
        <v>192.45978957138036</v>
      </c>
      <c r="X24" s="69">
        <v>146.85788414416911</v>
      </c>
      <c r="Y24" s="69">
        <v>232.43108622100203</v>
      </c>
      <c r="Z24" s="69">
        <v>202.29905385937732</v>
      </c>
      <c r="AA24" s="69">
        <v>197.97909615411407</v>
      </c>
      <c r="AB24" s="69">
        <v>186.22944346952647</v>
      </c>
      <c r="AC24" s="69">
        <v>223.08072850844641</v>
      </c>
      <c r="AD24" s="69">
        <v>205.63774777963846</v>
      </c>
      <c r="AE24" s="69">
        <v>216.42556608497298</v>
      </c>
      <c r="AF24" s="69">
        <v>202.5258290139877</v>
      </c>
      <c r="AG24" s="69">
        <v>209.99918088626299</v>
      </c>
      <c r="AH24" s="69">
        <v>226.19505824706289</v>
      </c>
      <c r="AI24" s="69">
        <v>141.27014073070183</v>
      </c>
      <c r="AJ24" s="69">
        <v>185.5034195018103</v>
      </c>
      <c r="AK24" s="69">
        <v>207.8496762987557</v>
      </c>
      <c r="AL24" s="69">
        <v>213.11972842877722</v>
      </c>
      <c r="AM24" s="69">
        <v>171.55371534603316</v>
      </c>
      <c r="AN24" s="69">
        <v>183.37581900227403</v>
      </c>
      <c r="AO24" s="69">
        <v>210.35136742381954</v>
      </c>
      <c r="AP24" s="69">
        <v>208.33917504862521</v>
      </c>
      <c r="AQ24" s="69">
        <v>203.71094529299768</v>
      </c>
      <c r="AR24" s="69">
        <v>216.93953947838835</v>
      </c>
      <c r="AS24" s="69">
        <v>235.5806362081322</v>
      </c>
      <c r="AT24" s="69">
        <v>228.53237793211417</v>
      </c>
      <c r="AU24" s="69">
        <v>103.6040937768723</v>
      </c>
      <c r="AV24" s="69">
        <v>105.38867455879874</v>
      </c>
      <c r="AW24" s="69">
        <v>104.63272671341106</v>
      </c>
      <c r="AX24" s="69">
        <v>103.85215614804312</v>
      </c>
      <c r="AY24" s="69">
        <v>100.23472977871167</v>
      </c>
      <c r="AZ24" s="69">
        <v>102.95042739703975</v>
      </c>
      <c r="BA24" s="69">
        <v>105.28247793425574</v>
      </c>
      <c r="BB24" s="69">
        <v>114.50749126903732</v>
      </c>
      <c r="BC24" s="69">
        <v>117.1255211939425</v>
      </c>
      <c r="BD24" s="69">
        <v>114.99303056008677</v>
      </c>
      <c r="BE24" s="69">
        <v>104.63732031541555</v>
      </c>
      <c r="BF24" s="69">
        <v>87.266256810944569</v>
      </c>
      <c r="BG24" s="69">
        <v>117.86197740147426</v>
      </c>
      <c r="BH24" s="69">
        <v>105.98608222690483</v>
      </c>
      <c r="BI24" s="69">
        <v>103.6908253400934</v>
      </c>
      <c r="BJ24" s="69">
        <v>97.740446125398378</v>
      </c>
      <c r="BK24" s="69">
        <v>120.59550419205654</v>
      </c>
      <c r="BL24" s="69">
        <v>115.96051509918411</v>
      </c>
      <c r="BM24" s="69">
        <v>114.94382571330357</v>
      </c>
      <c r="BN24" s="69">
        <v>110.62724386079377</v>
      </c>
      <c r="BO24" s="69">
        <v>138.84769294244313</v>
      </c>
      <c r="BP24" s="69">
        <v>139.69329469765589</v>
      </c>
      <c r="BQ24" s="69">
        <v>105.14140665586498</v>
      </c>
      <c r="BR24" s="69">
        <v>118.87518925092435</v>
      </c>
      <c r="BS24" s="69">
        <v>142.41836740775429</v>
      </c>
      <c r="BT24" s="69">
        <v>135.12556526909151</v>
      </c>
      <c r="BU24" s="69">
        <v>145.51428825764791</v>
      </c>
      <c r="BV24" s="69">
        <v>117.89839950737498</v>
      </c>
      <c r="BW24" s="69">
        <v>143.66602762243531</v>
      </c>
      <c r="BX24" s="69">
        <v>137.46559741262786</v>
      </c>
      <c r="BY24" s="69">
        <v>149.13037144718584</v>
      </c>
      <c r="BZ24" s="69">
        <v>125.51375428902149</v>
      </c>
      <c r="CA24" s="69">
        <v>147.59835324056499</v>
      </c>
      <c r="CB24" s="69">
        <v>143.1931496366424</v>
      </c>
      <c r="CC24" s="69">
        <v>154.94923248018799</v>
      </c>
    </row>
    <row r="25" spans="1:84" ht="17.100000000000001" customHeight="1" x14ac:dyDescent="0.2">
      <c r="A25" s="82" t="s">
        <v>14</v>
      </c>
      <c r="B25" s="123"/>
      <c r="C25" s="123"/>
      <c r="D25" s="123"/>
      <c r="E25" s="123"/>
      <c r="F25" s="123"/>
      <c r="G25" s="123"/>
      <c r="H25" s="123"/>
      <c r="I25" s="69" t="e">
        <v>#DIV/0!</v>
      </c>
      <c r="J25" s="69" t="e">
        <v>#DIV/0!</v>
      </c>
      <c r="K25" s="69">
        <v>144.04863900861557</v>
      </c>
      <c r="L25" s="69">
        <v>146.5422782902923</v>
      </c>
      <c r="M25" s="69">
        <v>161.53559238983007</v>
      </c>
      <c r="N25" s="69">
        <v>163.44538088141107</v>
      </c>
      <c r="O25" s="69">
        <v>167.85462078429077</v>
      </c>
      <c r="P25" s="69">
        <v>163.28415090438173</v>
      </c>
      <c r="Q25" s="69">
        <v>171.22890558442919</v>
      </c>
      <c r="R25" s="69">
        <v>165.32107951411641</v>
      </c>
      <c r="S25" s="69">
        <v>166.16133990462967</v>
      </c>
      <c r="T25" s="69">
        <v>175.75448184224135</v>
      </c>
      <c r="U25" s="69">
        <v>177.00981344113015</v>
      </c>
      <c r="V25" s="69">
        <v>181.04511363160347</v>
      </c>
      <c r="W25" s="69">
        <v>187.59733343477845</v>
      </c>
      <c r="X25" s="69">
        <v>185.5251859264925</v>
      </c>
      <c r="Y25" s="69">
        <v>180.24297214061349</v>
      </c>
      <c r="Z25" s="69">
        <v>165.65510965710729</v>
      </c>
      <c r="AA25" s="69">
        <v>172.67759771031703</v>
      </c>
      <c r="AB25" s="69">
        <v>182.48090572003528</v>
      </c>
      <c r="AC25" s="69">
        <v>183.05191762020948</v>
      </c>
      <c r="AD25" s="69">
        <v>187.55031888998491</v>
      </c>
      <c r="AE25" s="69">
        <v>185.28036185635065</v>
      </c>
      <c r="AF25" s="69">
        <v>187.25048811117833</v>
      </c>
      <c r="AG25" s="69">
        <v>190.76465528549491</v>
      </c>
      <c r="AH25" s="69">
        <v>193.07788817818613</v>
      </c>
      <c r="AI25" s="69">
        <v>190.61931063598124</v>
      </c>
      <c r="AJ25" s="69">
        <v>194.65146569345561</v>
      </c>
      <c r="AK25" s="69">
        <v>195.87405062504396</v>
      </c>
      <c r="AL25" s="69">
        <v>192.70288251446027</v>
      </c>
      <c r="AM25" s="69">
        <v>189.43707043440853</v>
      </c>
      <c r="AN25" s="69">
        <v>195.4443815907938</v>
      </c>
      <c r="AO25" s="69">
        <v>195.15790883113178</v>
      </c>
      <c r="AP25" s="69">
        <v>198.83669211031264</v>
      </c>
      <c r="AQ25" s="69">
        <v>208.53834451824733</v>
      </c>
      <c r="AR25" s="69">
        <v>208.88028360248603</v>
      </c>
      <c r="AS25" s="69">
        <v>207.21049098815686</v>
      </c>
      <c r="AT25" s="69">
        <v>200.54323419484322</v>
      </c>
      <c r="AU25" s="69">
        <v>101.55467847959159</v>
      </c>
      <c r="AV25" s="69">
        <v>101.52593577380505</v>
      </c>
      <c r="AW25" s="69">
        <v>102.44671517102699</v>
      </c>
      <c r="AX25" s="69">
        <v>102.823363467289</v>
      </c>
      <c r="AY25" s="69">
        <v>102.45125611542846</v>
      </c>
      <c r="AZ25" s="69">
        <v>102.87698709710817</v>
      </c>
      <c r="BA25" s="69">
        <v>103.72389442963079</v>
      </c>
      <c r="BB25" s="69">
        <v>105.13114911988235</v>
      </c>
      <c r="BC25" s="69">
        <v>105.1280334241532</v>
      </c>
      <c r="BD25" s="69">
        <v>106.1141247604058</v>
      </c>
      <c r="BE25" s="69">
        <v>105.85436151772925</v>
      </c>
      <c r="BF25" s="69">
        <v>106.04063909192536</v>
      </c>
      <c r="BG25" s="69">
        <v>105.81920500229032</v>
      </c>
      <c r="BH25" s="69">
        <v>105.9274605507879</v>
      </c>
      <c r="BI25" s="69">
        <v>106.09679179542466</v>
      </c>
      <c r="BJ25" s="69">
        <v>106.21235723896582</v>
      </c>
      <c r="BK25" s="69">
        <v>106.42366298802858</v>
      </c>
      <c r="BL25" s="69">
        <v>106.77585709101176</v>
      </c>
      <c r="BM25" s="69">
        <v>107.43083223288707</v>
      </c>
      <c r="BN25" s="69">
        <v>107.93290080216688</v>
      </c>
      <c r="BO25" s="69">
        <v>108.83389443143943</v>
      </c>
      <c r="BP25" s="69">
        <v>109.36135339929889</v>
      </c>
      <c r="BQ25" s="69">
        <v>109.92994709019838</v>
      </c>
      <c r="BR25" s="69">
        <v>109.67495861287988</v>
      </c>
      <c r="BS25" s="69">
        <v>109.94961015169508</v>
      </c>
      <c r="BT25" s="69">
        <v>110.17634972375848</v>
      </c>
      <c r="BU25" s="69">
        <v>110.78129864009389</v>
      </c>
      <c r="BV25" s="69">
        <v>111.27524293706597</v>
      </c>
      <c r="BW25" s="69">
        <v>112.28308799930147</v>
      </c>
      <c r="BX25" s="69">
        <v>112.45626800568256</v>
      </c>
      <c r="BY25" s="69">
        <v>112.18763426061335</v>
      </c>
      <c r="BZ25" s="69">
        <v>112.78719629640224</v>
      </c>
      <c r="CA25" s="69">
        <v>112.60109242194143</v>
      </c>
      <c r="CB25" s="69">
        <v>112.61754856452781</v>
      </c>
      <c r="CC25" s="69">
        <v>111.70248521965473</v>
      </c>
    </row>
    <row r="26" spans="1:84" ht="17.100000000000001" customHeight="1" x14ac:dyDescent="0.2">
      <c r="A26" s="82" t="s">
        <v>56</v>
      </c>
      <c r="B26" s="123"/>
      <c r="C26" s="123"/>
      <c r="D26" s="123"/>
      <c r="E26" s="123"/>
      <c r="F26" s="123"/>
      <c r="G26" s="123"/>
      <c r="H26" s="123"/>
      <c r="I26" s="69" t="e">
        <v>#DIV/0!</v>
      </c>
      <c r="J26" s="69" t="e">
        <v>#DIV/0!</v>
      </c>
      <c r="K26" s="69" t="e">
        <v>#DIV/0!</v>
      </c>
      <c r="L26" s="69" t="e">
        <v>#DIV/0!</v>
      </c>
      <c r="M26" s="69" t="e">
        <v>#DIV/0!</v>
      </c>
      <c r="N26" s="69" t="e">
        <v>#DIV/0!</v>
      </c>
      <c r="O26" s="69">
        <v>190.30817253524782</v>
      </c>
      <c r="P26" s="69">
        <v>182.63733554894358</v>
      </c>
      <c r="Q26" s="69">
        <v>66.001879195915322</v>
      </c>
      <c r="R26" s="69">
        <v>64.981781881058964</v>
      </c>
      <c r="S26" s="69">
        <v>55.438199017547632</v>
      </c>
      <c r="T26" s="69">
        <v>84.254392884961533</v>
      </c>
      <c r="U26" s="69">
        <v>171.31736625538127</v>
      </c>
      <c r="V26" s="69">
        <v>133.4780531294125</v>
      </c>
      <c r="W26" s="69">
        <v>75.284792302599286</v>
      </c>
      <c r="X26" s="69">
        <v>93.899099905686413</v>
      </c>
      <c r="Y26" s="69">
        <v>76.096004490019268</v>
      </c>
      <c r="Z26" s="69">
        <v>97.079143230658303</v>
      </c>
      <c r="AA26" s="69">
        <v>92.702365590104762</v>
      </c>
      <c r="AB26" s="69">
        <v>92.343921384885405</v>
      </c>
      <c r="AC26" s="69">
        <v>139.88537835418845</v>
      </c>
      <c r="AD26" s="69">
        <v>110.28422517569656</v>
      </c>
      <c r="AE26" s="69">
        <v>113.15318171734894</v>
      </c>
      <c r="AF26" s="69">
        <v>94.838452142169757</v>
      </c>
      <c r="AG26" s="69">
        <v>163.55229044496394</v>
      </c>
      <c r="AH26" s="69">
        <v>130.44451253672943</v>
      </c>
      <c r="AI26" s="69">
        <v>131.70733901056647</v>
      </c>
      <c r="AJ26" s="69">
        <v>120.96637104293902</v>
      </c>
      <c r="AK26" s="69">
        <v>111.45897601310286</v>
      </c>
      <c r="AL26" s="69">
        <v>234.06655408871538</v>
      </c>
      <c r="AM26" s="69">
        <v>155.66175685779854</v>
      </c>
      <c r="AN26" s="69">
        <v>130.67468344400811</v>
      </c>
      <c r="AO26" s="69">
        <v>130.29630136908608</v>
      </c>
      <c r="AP26" s="69">
        <v>184.35873692994005</v>
      </c>
      <c r="AQ26" s="69">
        <v>194.80390874610066</v>
      </c>
      <c r="AR26" s="69">
        <v>214.51563136957316</v>
      </c>
      <c r="AS26" s="69">
        <v>192.74975590130461</v>
      </c>
      <c r="AT26" s="69">
        <v>186.6440343740486</v>
      </c>
      <c r="AU26" s="69">
        <v>103.33676486795851</v>
      </c>
      <c r="AV26" s="69">
        <v>103.17805986572874</v>
      </c>
      <c r="AW26" s="69">
        <v>103.24202670382418</v>
      </c>
      <c r="AX26" s="69">
        <v>104.74434461214</v>
      </c>
      <c r="AY26" s="69">
        <v>102.30455247452623</v>
      </c>
      <c r="AZ26" s="69">
        <v>102.39283448125627</v>
      </c>
      <c r="BA26" s="69">
        <v>102.35733838112451</v>
      </c>
      <c r="BB26" s="69">
        <v>104.79771548510392</v>
      </c>
      <c r="BC26" s="69">
        <v>104.81382038601159</v>
      </c>
      <c r="BD26" s="69">
        <v>105.53337954417039</v>
      </c>
      <c r="BE26" s="69">
        <v>105.76418009804142</v>
      </c>
      <c r="BF26" s="69">
        <v>107.70209852033487</v>
      </c>
      <c r="BG26" s="69">
        <v>106.16323538506676</v>
      </c>
      <c r="BH26" s="69">
        <v>105.47842518887262</v>
      </c>
      <c r="BI26" s="69">
        <v>105.60439371529597</v>
      </c>
      <c r="BJ26" s="69">
        <v>106.04981969267766</v>
      </c>
      <c r="BK26" s="69">
        <v>105.98273297307121</v>
      </c>
      <c r="BL26" s="69">
        <v>107.61402828170704</v>
      </c>
      <c r="BM26" s="69">
        <v>109.59785041039734</v>
      </c>
      <c r="BN26" s="69">
        <v>111.30014646562682</v>
      </c>
      <c r="BO26" s="69">
        <v>113.43526071951106</v>
      </c>
      <c r="BP26" s="69">
        <v>116.20944113306936</v>
      </c>
      <c r="BQ26" s="69">
        <v>115.80387628291602</v>
      </c>
      <c r="BR26" s="69">
        <v>116.32871254656519</v>
      </c>
      <c r="BS26" s="69">
        <v>117.59149015575458</v>
      </c>
      <c r="BT26" s="69">
        <v>118.81318194847552</v>
      </c>
      <c r="BU26" s="69">
        <v>118.36419713625099</v>
      </c>
      <c r="BV26" s="69">
        <v>119.14278552328284</v>
      </c>
      <c r="BW26" s="69">
        <v>119.50155054888224</v>
      </c>
      <c r="BX26" s="69">
        <v>120.26337340986004</v>
      </c>
      <c r="BY26" s="69">
        <v>120.86207142543748</v>
      </c>
      <c r="BZ26" s="69">
        <v>123.01128433744042</v>
      </c>
      <c r="CA26" s="69">
        <v>122.74719269427339</v>
      </c>
      <c r="CB26" s="69">
        <v>123.15449272784669</v>
      </c>
      <c r="CC26" s="69">
        <v>123.52443330404141</v>
      </c>
    </row>
    <row r="27" spans="1:84" ht="17.100000000000001" customHeight="1" x14ac:dyDescent="0.2">
      <c r="A27" s="82" t="s">
        <v>57</v>
      </c>
      <c r="B27" s="123"/>
      <c r="C27" s="123"/>
      <c r="D27" s="123"/>
      <c r="E27" s="123"/>
      <c r="F27" s="123"/>
      <c r="G27" s="123"/>
      <c r="H27" s="123"/>
      <c r="I27" s="69" t="e">
        <v>#DIV/0!</v>
      </c>
      <c r="J27" s="69" t="e">
        <v>#DIV/0!</v>
      </c>
      <c r="K27" s="69" t="e">
        <v>#DIV/0!</v>
      </c>
      <c r="L27" s="69" t="e">
        <v>#DIV/0!</v>
      </c>
      <c r="M27" s="69" t="e">
        <v>#DIV/0!</v>
      </c>
      <c r="N27" s="69" t="e">
        <v>#DIV/0!</v>
      </c>
      <c r="O27" s="69">
        <v>146.20977268320496</v>
      </c>
      <c r="P27" s="69">
        <v>151.69182419971827</v>
      </c>
      <c r="Q27" s="69">
        <v>149.21581439788284</v>
      </c>
      <c r="R27" s="69">
        <v>142.33757728067027</v>
      </c>
      <c r="S27" s="69">
        <v>133.91526658376009</v>
      </c>
      <c r="T27" s="69">
        <v>124.26248573970689</v>
      </c>
      <c r="U27" s="69">
        <v>136.95576100722911</v>
      </c>
      <c r="V27" s="69">
        <v>132.19168794089597</v>
      </c>
      <c r="W27" s="69">
        <v>121.90990148322578</v>
      </c>
      <c r="X27" s="69">
        <v>127.46372932481668</v>
      </c>
      <c r="Y27" s="69">
        <v>153.6493244150104</v>
      </c>
      <c r="Z27" s="69">
        <v>162.69923007109983</v>
      </c>
      <c r="AA27" s="69">
        <v>162.88410228170497</v>
      </c>
      <c r="AB27" s="69">
        <v>174.59419611266196</v>
      </c>
      <c r="AC27" s="69">
        <v>186.45134437103701</v>
      </c>
      <c r="AD27" s="69">
        <v>199.39314728207694</v>
      </c>
      <c r="AE27" s="69">
        <v>189.99492765439149</v>
      </c>
      <c r="AF27" s="69">
        <v>190.10632926482748</v>
      </c>
      <c r="AG27" s="69">
        <v>201.76718742065347</v>
      </c>
      <c r="AH27" s="69">
        <v>183.82714650209488</v>
      </c>
      <c r="AI27" s="69">
        <v>178.41747479475495</v>
      </c>
      <c r="AJ27" s="69">
        <v>171.84979308981116</v>
      </c>
      <c r="AK27" s="69">
        <v>170.08632250357783</v>
      </c>
      <c r="AL27" s="69">
        <v>180.10025095085734</v>
      </c>
      <c r="AM27" s="69">
        <v>197.8537110920791</v>
      </c>
      <c r="AN27" s="69">
        <v>206.34586264308123</v>
      </c>
      <c r="AO27" s="69">
        <v>232.53932452721662</v>
      </c>
      <c r="AP27" s="69">
        <v>220.46510257141674</v>
      </c>
      <c r="AQ27" s="69">
        <v>232.10230871964504</v>
      </c>
      <c r="AR27" s="69">
        <v>246.64561936248163</v>
      </c>
      <c r="AS27" s="69">
        <v>227.15939720359316</v>
      </c>
      <c r="AT27" s="69">
        <v>280.35730443560533</v>
      </c>
      <c r="AU27" s="69">
        <v>101.2103368828913</v>
      </c>
      <c r="AV27" s="69">
        <v>101.13595513055846</v>
      </c>
      <c r="AW27" s="69">
        <v>100.39167956306365</v>
      </c>
      <c r="AX27" s="69">
        <v>99.766430579387006</v>
      </c>
      <c r="AY27" s="69">
        <v>101.43763712042295</v>
      </c>
      <c r="AZ27" s="69">
        <v>102.11508140456264</v>
      </c>
      <c r="BA27" s="69">
        <v>101.97293573114692</v>
      </c>
      <c r="BB27" s="69">
        <v>101.00265823669423</v>
      </c>
      <c r="BC27" s="69">
        <v>102.67873433614108</v>
      </c>
      <c r="BD27" s="69">
        <v>101.94079749862961</v>
      </c>
      <c r="BE27" s="69">
        <v>103.0048252807765</v>
      </c>
      <c r="BF27" s="69">
        <v>101.6517186750127</v>
      </c>
      <c r="BG27" s="69">
        <v>107.53292016261892</v>
      </c>
      <c r="BH27" s="69">
        <v>109.14571754999105</v>
      </c>
      <c r="BI27" s="69">
        <v>110.24839023808116</v>
      </c>
      <c r="BJ27" s="69">
        <v>113.80321928955297</v>
      </c>
      <c r="BK27" s="69">
        <v>117.30030721063254</v>
      </c>
      <c r="BL27" s="69">
        <v>119.11218177236233</v>
      </c>
      <c r="BM27" s="69">
        <v>118.47973280795388</v>
      </c>
      <c r="BN27" s="69">
        <v>118.82493262304892</v>
      </c>
      <c r="BO27" s="69">
        <v>118.69562207080271</v>
      </c>
      <c r="BP27" s="69">
        <v>120.03831947645966</v>
      </c>
      <c r="BQ27" s="69">
        <v>119.42760339825158</v>
      </c>
      <c r="BR27" s="69">
        <v>123.74255322836005</v>
      </c>
      <c r="BS27" s="69">
        <v>127.72119322593991</v>
      </c>
      <c r="BT27" s="69">
        <v>133.30153437039357</v>
      </c>
      <c r="BU27" s="69">
        <v>122.74168137133697</v>
      </c>
      <c r="BV27" s="69">
        <v>122.98620850736523</v>
      </c>
      <c r="BW27" s="69">
        <v>128.19823875489507</v>
      </c>
      <c r="BX27" s="69">
        <v>128.08209483823885</v>
      </c>
      <c r="BY27" s="69">
        <v>115.10926870357139</v>
      </c>
      <c r="BZ27" s="69">
        <v>134.17826332128769</v>
      </c>
      <c r="CA27" s="69">
        <v>126.8523113258826</v>
      </c>
      <c r="CB27" s="69">
        <v>124.25801479925033</v>
      </c>
      <c r="CC27" s="69">
        <v>115.64137446823781</v>
      </c>
    </row>
    <row r="28" spans="1:84" ht="17.100000000000001" customHeight="1" x14ac:dyDescent="0.2">
      <c r="A28" s="82" t="s">
        <v>15</v>
      </c>
      <c r="B28" s="123"/>
      <c r="C28" s="123"/>
      <c r="D28" s="123"/>
      <c r="E28" s="123"/>
      <c r="F28" s="123"/>
      <c r="G28" s="123"/>
      <c r="H28" s="123"/>
      <c r="I28" s="69" t="e">
        <v>#DIV/0!</v>
      </c>
      <c r="J28" s="69" t="e">
        <v>#DIV/0!</v>
      </c>
      <c r="K28" s="69">
        <v>258.534557863548</v>
      </c>
      <c r="L28" s="69">
        <v>247.95465485083636</v>
      </c>
      <c r="M28" s="69">
        <v>225.84350991440658</v>
      </c>
      <c r="N28" s="69">
        <v>188.40747886109006</v>
      </c>
      <c r="O28" s="69">
        <v>236.81361102020765</v>
      </c>
      <c r="P28" s="69">
        <v>206.85861406842835</v>
      </c>
      <c r="Q28" s="69">
        <v>203.45504606534141</v>
      </c>
      <c r="R28" s="69">
        <v>192.48739606231416</v>
      </c>
      <c r="S28" s="69">
        <v>179.27437469981268</v>
      </c>
      <c r="T28" s="69">
        <v>190.22256719069946</v>
      </c>
      <c r="U28" s="69">
        <v>219.80978923891246</v>
      </c>
      <c r="V28" s="69">
        <v>240.32198099513838</v>
      </c>
      <c r="W28" s="69">
        <v>238.16222138589808</v>
      </c>
      <c r="X28" s="69">
        <v>229.06253845460799</v>
      </c>
      <c r="Y28" s="69">
        <v>266.81338553639262</v>
      </c>
      <c r="Z28" s="69">
        <v>263.72662247342771</v>
      </c>
      <c r="AA28" s="69">
        <v>286.67928388338908</v>
      </c>
      <c r="AB28" s="69">
        <v>250.13816319189189</v>
      </c>
      <c r="AC28" s="69">
        <v>276.51575368337859</v>
      </c>
      <c r="AD28" s="69">
        <v>293.73115013105661</v>
      </c>
      <c r="AE28" s="69">
        <v>319.01525667529114</v>
      </c>
      <c r="AF28" s="69">
        <v>304.64180885114047</v>
      </c>
      <c r="AG28" s="69">
        <v>310.29867901711106</v>
      </c>
      <c r="AH28" s="69">
        <v>301.17454878441634</v>
      </c>
      <c r="AI28" s="69">
        <v>247.2227048126507</v>
      </c>
      <c r="AJ28" s="69">
        <v>240.65746077442429</v>
      </c>
      <c r="AK28" s="69">
        <v>225.21537095316785</v>
      </c>
      <c r="AL28" s="69">
        <v>286.97874654270379</v>
      </c>
      <c r="AM28" s="69">
        <v>262.21864944351825</v>
      </c>
      <c r="AN28" s="69">
        <v>307.07578991595386</v>
      </c>
      <c r="AO28" s="69">
        <v>224.02898371342289</v>
      </c>
      <c r="AP28" s="69">
        <v>265.62594815493514</v>
      </c>
      <c r="AQ28" s="69">
        <v>247.68087267562925</v>
      </c>
      <c r="AR28" s="69">
        <v>275.56890937424254</v>
      </c>
      <c r="AS28" s="69">
        <v>183.40986587520268</v>
      </c>
      <c r="AT28" s="69">
        <v>254.37465232386552</v>
      </c>
      <c r="AU28" s="69">
        <v>102.56326672177143</v>
      </c>
      <c r="AV28" s="69">
        <v>104.11336701590899</v>
      </c>
      <c r="AW28" s="69">
        <v>104.4924099859565</v>
      </c>
      <c r="AX28" s="69">
        <v>104.61620024444547</v>
      </c>
      <c r="AY28" s="69">
        <v>106.02981349416578</v>
      </c>
      <c r="AZ28" s="69">
        <v>106.19718747548583</v>
      </c>
      <c r="BA28" s="69">
        <v>106.63587698041697</v>
      </c>
      <c r="BB28" s="69">
        <v>106.82537549986151</v>
      </c>
      <c r="BC28" s="69">
        <v>108.26652811371527</v>
      </c>
      <c r="BD28" s="69">
        <v>108.39207238089352</v>
      </c>
      <c r="BE28" s="69">
        <v>109.10149792393824</v>
      </c>
      <c r="BF28" s="69">
        <v>109.27943377178192</v>
      </c>
      <c r="BG28" s="69">
        <v>111.35045905752033</v>
      </c>
      <c r="BH28" s="69">
        <v>111.55832880198912</v>
      </c>
      <c r="BI28" s="69">
        <v>110.85299731235135</v>
      </c>
      <c r="BJ28" s="69">
        <v>111.91630914060843</v>
      </c>
      <c r="BK28" s="69">
        <v>113.05146731760227</v>
      </c>
      <c r="BL28" s="69">
        <v>114.06853563463612</v>
      </c>
      <c r="BM28" s="69">
        <v>115.85115845804827</v>
      </c>
      <c r="BN28" s="69">
        <v>118.71889450485997</v>
      </c>
      <c r="BO28" s="69">
        <v>123.5609104953848</v>
      </c>
      <c r="BP28" s="69">
        <v>125.8029510856046</v>
      </c>
      <c r="BQ28" s="69">
        <v>126.12987694961775</v>
      </c>
      <c r="BR28" s="69">
        <v>127.03640359078874</v>
      </c>
      <c r="BS28" s="69">
        <v>131.36057927359042</v>
      </c>
      <c r="BT28" s="69">
        <v>127.28317530818715</v>
      </c>
      <c r="BU28" s="69">
        <v>128.8565001700633</v>
      </c>
      <c r="BV28" s="69">
        <v>130.78008747986073</v>
      </c>
      <c r="BW28" s="69">
        <v>131.50967246331197</v>
      </c>
      <c r="BX28" s="69">
        <v>133.06431231358033</v>
      </c>
      <c r="BY28" s="69">
        <v>134.68468975546267</v>
      </c>
      <c r="BZ28" s="69">
        <v>136.18723810552035</v>
      </c>
      <c r="CA28" s="69">
        <v>137.49182934740131</v>
      </c>
      <c r="CB28" s="69">
        <v>138.40789488602638</v>
      </c>
      <c r="CC28" s="69">
        <v>140.32746815657757</v>
      </c>
    </row>
    <row r="29" spans="1:84" ht="17.100000000000001" customHeight="1" x14ac:dyDescent="0.2">
      <c r="A29" s="82" t="s">
        <v>16</v>
      </c>
      <c r="B29" s="123"/>
      <c r="C29" s="123"/>
      <c r="D29" s="123"/>
      <c r="E29" s="123"/>
      <c r="F29" s="123"/>
      <c r="G29" s="123"/>
      <c r="H29" s="123"/>
      <c r="I29" s="69" t="e">
        <v>#DIV/0!</v>
      </c>
      <c r="J29" s="69" t="e">
        <v>#DIV/0!</v>
      </c>
      <c r="K29" s="69">
        <v>136.94805522260279</v>
      </c>
      <c r="L29" s="69">
        <v>147.18968995629481</v>
      </c>
      <c r="M29" s="69">
        <v>151.73736571666757</v>
      </c>
      <c r="N29" s="69">
        <v>152.06539004468246</v>
      </c>
      <c r="O29" s="69">
        <v>156.60624393649846</v>
      </c>
      <c r="P29" s="69">
        <v>148.92416906773104</v>
      </c>
      <c r="Q29" s="69">
        <v>159.08688428888999</v>
      </c>
      <c r="R29" s="69">
        <v>179.40283409002745</v>
      </c>
      <c r="S29" s="69">
        <v>146.66774984369982</v>
      </c>
      <c r="T29" s="69">
        <v>150.56397392688882</v>
      </c>
      <c r="U29" s="69">
        <v>147.04938400182749</v>
      </c>
      <c r="V29" s="69">
        <v>152.07021194531643</v>
      </c>
      <c r="W29" s="69">
        <v>147.2529135544483</v>
      </c>
      <c r="X29" s="69">
        <v>139.27846472501827</v>
      </c>
      <c r="Y29" s="69">
        <v>119.95756977470116</v>
      </c>
      <c r="Z29" s="69">
        <v>118.24713845572255</v>
      </c>
      <c r="AA29" s="69">
        <v>127.70316158659645</v>
      </c>
      <c r="AB29" s="69">
        <v>135.26069889875276</v>
      </c>
      <c r="AC29" s="69">
        <v>125.72101600672934</v>
      </c>
      <c r="AD29" s="69">
        <v>123.71746880200266</v>
      </c>
      <c r="AE29" s="69">
        <v>162.04422778549153</v>
      </c>
      <c r="AF29" s="69">
        <v>157.07076401576001</v>
      </c>
      <c r="AG29" s="69">
        <v>147.67017359520247</v>
      </c>
      <c r="AH29" s="69">
        <v>90.68978069501236</v>
      </c>
      <c r="AI29" s="69">
        <v>161.80684937001985</v>
      </c>
      <c r="AJ29" s="69">
        <v>156.95265458852421</v>
      </c>
      <c r="AK29" s="69">
        <v>159.84058502840006</v>
      </c>
      <c r="AL29" s="69">
        <v>104.91961239074952</v>
      </c>
      <c r="AM29" s="69">
        <v>130.38966976327671</v>
      </c>
      <c r="AN29" s="69">
        <v>144.37051160107214</v>
      </c>
      <c r="AO29" s="69">
        <v>166.46168473349178</v>
      </c>
      <c r="AP29" s="69">
        <v>133.50866224634177</v>
      </c>
      <c r="AQ29" s="69">
        <v>158.5364693945092</v>
      </c>
      <c r="AR29" s="69">
        <v>191.33091054886427</v>
      </c>
      <c r="AS29" s="69">
        <v>229.59274271587725</v>
      </c>
      <c r="AT29" s="69">
        <v>180.74564386653128</v>
      </c>
      <c r="AU29" s="69">
        <v>100.20902341357116</v>
      </c>
      <c r="AV29" s="69">
        <v>103.35524441618959</v>
      </c>
      <c r="AW29" s="69">
        <v>104.20661298633136</v>
      </c>
      <c r="AX29" s="69">
        <v>106.52466970375194</v>
      </c>
      <c r="AY29" s="69">
        <v>101.77901823737945</v>
      </c>
      <c r="AZ29" s="69">
        <v>103.05575875916806</v>
      </c>
      <c r="BA29" s="69">
        <v>103.92346799564085</v>
      </c>
      <c r="BB29" s="69">
        <v>108.22474918104209</v>
      </c>
      <c r="BC29" s="69">
        <v>108.20013294458153</v>
      </c>
      <c r="BD29" s="69">
        <v>108.18604928821512</v>
      </c>
      <c r="BE29" s="69">
        <v>105.53342306289169</v>
      </c>
      <c r="BF29" s="69">
        <v>100.91298038927042</v>
      </c>
      <c r="BG29" s="69">
        <v>109.76589549793196</v>
      </c>
      <c r="BH29" s="69">
        <v>103.80020156961068</v>
      </c>
      <c r="BI29" s="69">
        <v>104.64363197661876</v>
      </c>
      <c r="BJ29" s="69">
        <v>107.67526872675633</v>
      </c>
      <c r="BK29" s="69">
        <v>109.44704600785312</v>
      </c>
      <c r="BL29" s="69">
        <v>109.34011136397315</v>
      </c>
      <c r="BM29" s="69">
        <v>106.86419050422312</v>
      </c>
      <c r="BN29" s="69">
        <v>115.33396449057969</v>
      </c>
      <c r="BO29" s="69">
        <v>119.1567833972297</v>
      </c>
      <c r="BP29" s="69">
        <v>118.18786641312522</v>
      </c>
      <c r="BQ29" s="69">
        <v>122.4684956471834</v>
      </c>
      <c r="BR29" s="69">
        <v>127.59233802700824</v>
      </c>
      <c r="BS29" s="69">
        <v>131.66907481893907</v>
      </c>
      <c r="BT29" s="69">
        <v>112.79609563247594</v>
      </c>
      <c r="BU29" s="69">
        <v>133.14927973956065</v>
      </c>
      <c r="BV29" s="69">
        <v>135.44433764827281</v>
      </c>
      <c r="BW29" s="69">
        <v>139.15328815348579</v>
      </c>
      <c r="BX29" s="69">
        <v>124.02831013294791</v>
      </c>
      <c r="BY29" s="69">
        <v>136.58171266906422</v>
      </c>
      <c r="BZ29" s="69">
        <v>138.49380871931899</v>
      </c>
      <c r="CA29" s="69">
        <v>159.97945157081909</v>
      </c>
      <c r="CB29" s="69">
        <v>144.11194857179538</v>
      </c>
      <c r="CC29" s="69">
        <v>138.43114019202991</v>
      </c>
    </row>
    <row r="30" spans="1:84" ht="17.100000000000001" customHeight="1" x14ac:dyDescent="0.2">
      <c r="A30" s="82" t="s">
        <v>58</v>
      </c>
      <c r="B30" s="123"/>
      <c r="C30" s="123"/>
      <c r="D30" s="123"/>
      <c r="E30" s="123"/>
      <c r="F30" s="123"/>
      <c r="G30" s="123"/>
      <c r="H30" s="123"/>
      <c r="I30" s="69" t="e">
        <v>#DIV/0!</v>
      </c>
      <c r="J30" s="69" t="e">
        <v>#DIV/0!</v>
      </c>
      <c r="K30" s="69">
        <v>142.22630823433425</v>
      </c>
      <c r="L30" s="69">
        <v>146.07820355496909</v>
      </c>
      <c r="M30" s="69">
        <v>165.32078953399125</v>
      </c>
      <c r="N30" s="69">
        <v>161.30137560925749</v>
      </c>
      <c r="O30" s="69">
        <v>161.18489869688227</v>
      </c>
      <c r="P30" s="69">
        <v>157.23821683734954</v>
      </c>
      <c r="Q30" s="69">
        <v>178.08147674559655</v>
      </c>
      <c r="R30" s="69">
        <v>168.57795314358529</v>
      </c>
      <c r="S30" s="69">
        <v>161.77888937698251</v>
      </c>
      <c r="T30" s="69">
        <v>158.79796585400248</v>
      </c>
      <c r="U30" s="69">
        <v>172.18935062679762</v>
      </c>
      <c r="V30" s="69">
        <v>180.58697179634265</v>
      </c>
      <c r="W30" s="69">
        <v>163.22194463437128</v>
      </c>
      <c r="X30" s="69">
        <v>150.87836287716121</v>
      </c>
      <c r="Y30" s="69">
        <v>190.39524448629399</v>
      </c>
      <c r="Z30" s="69">
        <v>183.84754085593258</v>
      </c>
      <c r="AA30" s="69">
        <v>171.49674128662633</v>
      </c>
      <c r="AB30" s="69">
        <v>177.52415273139789</v>
      </c>
      <c r="AC30" s="69">
        <v>186.24150508324476</v>
      </c>
      <c r="AD30" s="69">
        <v>212.90388452301502</v>
      </c>
      <c r="AE30" s="69">
        <v>222.22159123157539</v>
      </c>
      <c r="AF30" s="69">
        <v>213.70880766602122</v>
      </c>
      <c r="AG30" s="69">
        <v>196.86861566128323</v>
      </c>
      <c r="AH30" s="69">
        <v>173.2816554647367</v>
      </c>
      <c r="AI30" s="69">
        <v>226.241845197701</v>
      </c>
      <c r="AJ30" s="69">
        <v>187.75077438291117</v>
      </c>
      <c r="AK30" s="69">
        <v>168.63676562910513</v>
      </c>
      <c r="AL30" s="69">
        <v>187.40358862776753</v>
      </c>
      <c r="AM30" s="69">
        <v>190.1756240836815</v>
      </c>
      <c r="AN30" s="69">
        <v>215.58205537486219</v>
      </c>
      <c r="AO30" s="69">
        <v>196.17087864914282</v>
      </c>
      <c r="AP30" s="69">
        <v>217.84886081583804</v>
      </c>
      <c r="AQ30" s="69">
        <v>216.91165689482804</v>
      </c>
      <c r="AR30" s="69">
        <v>207.18978896286507</v>
      </c>
      <c r="AS30" s="69">
        <v>204.17295810872506</v>
      </c>
      <c r="AT30" s="69">
        <v>218.70039066639282</v>
      </c>
      <c r="AU30" s="69">
        <v>101.11535168009516</v>
      </c>
      <c r="AV30" s="69">
        <v>102.24093130359351</v>
      </c>
      <c r="AW30" s="69">
        <v>103.86576517700649</v>
      </c>
      <c r="AX30" s="69">
        <v>104.96623599320485</v>
      </c>
      <c r="AY30" s="69">
        <v>106.38716532267709</v>
      </c>
      <c r="AZ30" s="69">
        <v>106.2449502348243</v>
      </c>
      <c r="BA30" s="69">
        <v>106.61235213199811</v>
      </c>
      <c r="BB30" s="69">
        <v>105.49026432163664</v>
      </c>
      <c r="BC30" s="69">
        <v>107.49709610027406</v>
      </c>
      <c r="BD30" s="69">
        <v>108.2279034784023</v>
      </c>
      <c r="BE30" s="69">
        <v>110.88503301165618</v>
      </c>
      <c r="BF30" s="69">
        <v>110.79821091361966</v>
      </c>
      <c r="BG30" s="69">
        <v>111.69789503919978</v>
      </c>
      <c r="BH30" s="69">
        <v>113.12911622723767</v>
      </c>
      <c r="BI30" s="69">
        <v>117.79653573530813</v>
      </c>
      <c r="BJ30" s="69">
        <v>119.04710534249283</v>
      </c>
      <c r="BK30" s="69">
        <v>119.27066501246124</v>
      </c>
      <c r="BL30" s="69">
        <v>119.17456194199299</v>
      </c>
      <c r="BM30" s="69">
        <v>121.4735392943324</v>
      </c>
      <c r="BN30" s="69">
        <v>120.1450559115292</v>
      </c>
      <c r="BO30" s="69">
        <v>121.87804554187585</v>
      </c>
      <c r="BP30" s="69">
        <v>122.31069358244291</v>
      </c>
      <c r="BQ30" s="69">
        <v>122.53395312979754</v>
      </c>
      <c r="BR30" s="69">
        <v>123.64464333071822</v>
      </c>
      <c r="BS30" s="69">
        <v>124.41711576655344</v>
      </c>
      <c r="BT30" s="69">
        <v>127.20897983494478</v>
      </c>
      <c r="BU30" s="69">
        <v>117.01220469303468</v>
      </c>
      <c r="BV30" s="69">
        <v>133.13443884167836</v>
      </c>
      <c r="BW30" s="69">
        <v>130.99426573252549</v>
      </c>
      <c r="BX30" s="69">
        <v>128.26707523694259</v>
      </c>
      <c r="BY30" s="69">
        <v>127.8574429312489</v>
      </c>
      <c r="BZ30" s="69">
        <v>128.98058577966799</v>
      </c>
      <c r="CA30" s="69">
        <v>131.91297981152019</v>
      </c>
      <c r="CB30" s="69">
        <v>132.44552259846313</v>
      </c>
      <c r="CC30" s="69">
        <v>133.98415080453378</v>
      </c>
    </row>
    <row r="31" spans="1:84" ht="17.100000000000001" customHeight="1" x14ac:dyDescent="0.2">
      <c r="A31" s="82" t="s">
        <v>71</v>
      </c>
      <c r="B31" s="123"/>
      <c r="C31" s="123"/>
      <c r="D31" s="123"/>
      <c r="E31" s="123"/>
      <c r="F31" s="123"/>
      <c r="G31" s="123"/>
      <c r="H31" s="123"/>
      <c r="I31" s="69" t="e">
        <v>#DIV/0!</v>
      </c>
      <c r="J31" s="69" t="e">
        <v>#DIV/0!</v>
      </c>
      <c r="K31" s="69" t="e">
        <v>#DIV/0!</v>
      </c>
      <c r="L31" s="69" t="e">
        <v>#DIV/0!</v>
      </c>
      <c r="M31" s="69" t="e">
        <v>#DIV/0!</v>
      </c>
      <c r="N31" s="69" t="e">
        <v>#DIV/0!</v>
      </c>
      <c r="O31" s="69">
        <v>293.85547397062777</v>
      </c>
      <c r="P31" s="69">
        <v>321.77827346360306</v>
      </c>
      <c r="Q31" s="69">
        <v>285.14484881087884</v>
      </c>
      <c r="R31" s="69">
        <v>245.70888647696387</v>
      </c>
      <c r="S31" s="69">
        <v>217.08189622113699</v>
      </c>
      <c r="T31" s="69">
        <v>146.89984962953463</v>
      </c>
      <c r="U31" s="69">
        <v>779.35826468786604</v>
      </c>
      <c r="V31" s="69">
        <v>598.99842660131287</v>
      </c>
      <c r="W31" s="69">
        <v>433.36853333188714</v>
      </c>
      <c r="X31" s="69">
        <v>178.67750781800589</v>
      </c>
      <c r="Y31" s="69">
        <v>170.3144293564358</v>
      </c>
      <c r="Z31" s="69">
        <v>227.18209226219082</v>
      </c>
      <c r="AA31" s="69">
        <v>219.68609482998747</v>
      </c>
      <c r="AB31" s="69">
        <v>242.92770967150611</v>
      </c>
      <c r="AC31" s="69">
        <v>360.21849008160507</v>
      </c>
      <c r="AD31" s="69">
        <v>238.56343654858927</v>
      </c>
      <c r="AE31" s="69">
        <v>252.22394555265919</v>
      </c>
      <c r="AF31" s="69">
        <v>208.71880255639473</v>
      </c>
      <c r="AG31" s="69">
        <v>186.09846321281651</v>
      </c>
      <c r="AH31" s="69">
        <v>222.07650752369253</v>
      </c>
      <c r="AI31" s="69">
        <v>277.16963710658808</v>
      </c>
      <c r="AJ31" s="69">
        <v>305.15772904381424</v>
      </c>
      <c r="AK31" s="69">
        <v>340.1971672792028</v>
      </c>
      <c r="AL31" s="69">
        <v>208.69722767976646</v>
      </c>
      <c r="AM31" s="69">
        <v>349.05194274182844</v>
      </c>
      <c r="AN31" s="69">
        <v>271.235073992423</v>
      </c>
      <c r="AO31" s="69">
        <v>392.63454416920496</v>
      </c>
      <c r="AP31" s="69">
        <v>349.53441512106002</v>
      </c>
      <c r="AQ31" s="69">
        <v>437.38403892946724</v>
      </c>
      <c r="AR31" s="69">
        <v>285.55499009545133</v>
      </c>
      <c r="AS31" s="69">
        <v>308.46964786927299</v>
      </c>
      <c r="AT31" s="69">
        <v>148.82190139282429</v>
      </c>
      <c r="AU31" s="69">
        <v>98.617523913797669</v>
      </c>
      <c r="AV31" s="69">
        <v>98.083639897736731</v>
      </c>
      <c r="AW31" s="69">
        <v>98.457574034084743</v>
      </c>
      <c r="AX31" s="69">
        <v>98.111285503832676</v>
      </c>
      <c r="AY31" s="69">
        <v>93.823617039327644</v>
      </c>
      <c r="AZ31" s="69">
        <v>93.266810004662915</v>
      </c>
      <c r="BA31" s="69">
        <v>93.491500559562411</v>
      </c>
      <c r="BB31" s="69">
        <v>95.551424789082745</v>
      </c>
      <c r="BC31" s="69">
        <v>103.72703174637938</v>
      </c>
      <c r="BD31" s="69">
        <v>103.30951061749336</v>
      </c>
      <c r="BE31" s="69">
        <v>103.4398973096349</v>
      </c>
      <c r="BF31" s="69">
        <v>101.82884947982622</v>
      </c>
      <c r="BG31" s="69">
        <v>107.48126582661376</v>
      </c>
      <c r="BH31" s="69">
        <v>109.10837084846285</v>
      </c>
      <c r="BI31" s="69">
        <v>108.59336700065498</v>
      </c>
      <c r="BJ31" s="69">
        <v>109.66354920945534</v>
      </c>
      <c r="BK31" s="69">
        <v>113.61590031658227</v>
      </c>
      <c r="BL31" s="69">
        <v>112.45036682315381</v>
      </c>
      <c r="BM31" s="69">
        <v>111.38710367144664</v>
      </c>
      <c r="BN31" s="69">
        <v>116.73288611217001</v>
      </c>
      <c r="BO31" s="69">
        <v>120.58603924117371</v>
      </c>
      <c r="BP31" s="69">
        <v>122.97053919625247</v>
      </c>
      <c r="BQ31" s="69">
        <v>122.27006397689027</v>
      </c>
      <c r="BR31" s="69">
        <v>124.22070319367799</v>
      </c>
      <c r="BS31" s="69">
        <v>128.07416339167645</v>
      </c>
      <c r="BT31" s="69">
        <v>133.75554588998503</v>
      </c>
      <c r="BU31" s="69">
        <v>138.52195534637076</v>
      </c>
      <c r="BV31" s="69">
        <v>143.94813405358477</v>
      </c>
      <c r="BW31" s="69">
        <v>145.50563694995864</v>
      </c>
      <c r="BX31" s="69">
        <v>148.26835178625234</v>
      </c>
      <c r="BY31" s="69">
        <v>151.86470251549537</v>
      </c>
      <c r="BZ31" s="69">
        <v>157.27241763105354</v>
      </c>
      <c r="CA31" s="69">
        <v>145.40764211237058</v>
      </c>
      <c r="CB31" s="69">
        <v>148.21579771789055</v>
      </c>
      <c r="CC31" s="69">
        <v>151.84775547165253</v>
      </c>
    </row>
    <row r="32" spans="1:84" ht="17.100000000000001" customHeight="1" x14ac:dyDescent="0.2">
      <c r="A32" s="82" t="s">
        <v>17</v>
      </c>
      <c r="B32" s="123"/>
      <c r="C32" s="123"/>
      <c r="D32" s="123"/>
      <c r="E32" s="123"/>
      <c r="F32" s="123"/>
      <c r="G32" s="123"/>
      <c r="H32" s="123"/>
      <c r="I32" s="69" t="e">
        <v>#DIV/0!</v>
      </c>
      <c r="J32" s="69" t="e">
        <v>#DIV/0!</v>
      </c>
      <c r="K32" s="69">
        <v>167.51618265769008</v>
      </c>
      <c r="L32" s="69">
        <v>157.27533888733299</v>
      </c>
      <c r="M32" s="69">
        <v>145.61662371401334</v>
      </c>
      <c r="N32" s="69">
        <v>147.16463707768818</v>
      </c>
      <c r="O32" s="69">
        <v>143.1884330611442</v>
      </c>
      <c r="P32" s="69">
        <v>144.67072710320571</v>
      </c>
      <c r="Q32" s="69">
        <v>149.14132299395567</v>
      </c>
      <c r="R32" s="69">
        <v>150.36115241535487</v>
      </c>
      <c r="S32" s="69">
        <v>149.88450651464856</v>
      </c>
      <c r="T32" s="69">
        <v>157.69918318654607</v>
      </c>
      <c r="U32" s="69">
        <v>162.78737302897048</v>
      </c>
      <c r="V32" s="69">
        <v>163.00556702917982</v>
      </c>
      <c r="W32" s="69">
        <v>156.62763940008165</v>
      </c>
      <c r="X32" s="69">
        <v>154.35543712857108</v>
      </c>
      <c r="Y32" s="69">
        <v>160.74707878711757</v>
      </c>
      <c r="Z32" s="69">
        <v>158.16611150494393</v>
      </c>
      <c r="AA32" s="69">
        <v>160.30810414058928</v>
      </c>
      <c r="AB32" s="69">
        <v>158.46923186252323</v>
      </c>
      <c r="AC32" s="69">
        <v>153.18316814267999</v>
      </c>
      <c r="AD32" s="69">
        <v>142.72677903991115</v>
      </c>
      <c r="AE32" s="69">
        <v>147.79066109412915</v>
      </c>
      <c r="AF32" s="69">
        <v>140.79764087696751</v>
      </c>
      <c r="AG32" s="69">
        <v>133.0355105093721</v>
      </c>
      <c r="AH32" s="69">
        <v>137.25607549911038</v>
      </c>
      <c r="AI32" s="69">
        <v>130.58388429514002</v>
      </c>
      <c r="AJ32" s="69">
        <v>129.66949759903653</v>
      </c>
      <c r="AK32" s="69">
        <v>142.64419901467912</v>
      </c>
      <c r="AL32" s="69">
        <v>159.2400034597641</v>
      </c>
      <c r="AM32" s="69">
        <v>136.49962655780712</v>
      </c>
      <c r="AN32" s="69">
        <v>120.74730664452717</v>
      </c>
      <c r="AO32" s="69">
        <v>150.889631788641</v>
      </c>
      <c r="AP32" s="69">
        <v>152.88961736035012</v>
      </c>
      <c r="AQ32" s="69">
        <v>150.09130465102467</v>
      </c>
      <c r="AR32" s="69">
        <v>157.13464204283011</v>
      </c>
      <c r="AS32" s="69">
        <v>169.39581519504745</v>
      </c>
      <c r="AT32" s="69">
        <v>156.53134535829594</v>
      </c>
      <c r="AU32" s="69">
        <v>101.69818877104204</v>
      </c>
      <c r="AV32" s="69">
        <v>101.88671845167769</v>
      </c>
      <c r="AW32" s="69">
        <v>98.851691415348654</v>
      </c>
      <c r="AX32" s="69">
        <v>99.548055948053559</v>
      </c>
      <c r="AY32" s="69">
        <v>99.442887802539914</v>
      </c>
      <c r="AZ32" s="69">
        <v>99.298324505215561</v>
      </c>
      <c r="BA32" s="69">
        <v>100.19208950236251</v>
      </c>
      <c r="BB32" s="69">
        <v>105.75184395235753</v>
      </c>
      <c r="BC32" s="69">
        <v>109.19026533735526</v>
      </c>
      <c r="BD32" s="69">
        <v>111.01721069251045</v>
      </c>
      <c r="BE32" s="69">
        <v>111.35600917007463</v>
      </c>
      <c r="BF32" s="69">
        <v>110.5017995552209</v>
      </c>
      <c r="BG32" s="69">
        <v>114.53259882557593</v>
      </c>
      <c r="BH32" s="69">
        <v>114.39063166645218</v>
      </c>
      <c r="BI32" s="69">
        <v>115.00991208802529</v>
      </c>
      <c r="BJ32" s="69">
        <v>113.2557544566243</v>
      </c>
      <c r="BK32" s="69">
        <v>108.79857967483673</v>
      </c>
      <c r="BL32" s="69">
        <v>103.61132625360294</v>
      </c>
      <c r="BM32" s="69">
        <v>109.60337800934057</v>
      </c>
      <c r="BN32" s="69">
        <v>108.06637119777058</v>
      </c>
      <c r="BO32" s="69">
        <v>105.54713682867791</v>
      </c>
      <c r="BP32" s="69">
        <v>104.81050303965034</v>
      </c>
      <c r="BQ32" s="69">
        <v>103.93502145001226</v>
      </c>
      <c r="BR32" s="69">
        <v>105.17113479948223</v>
      </c>
      <c r="BS32" s="69">
        <v>115.61221957424925</v>
      </c>
      <c r="BT32" s="69">
        <v>115.30208799529088</v>
      </c>
      <c r="BU32" s="69">
        <v>117.68301438714958</v>
      </c>
      <c r="BV32" s="69">
        <v>122.7562502057818</v>
      </c>
      <c r="BW32" s="69">
        <v>131.34225677133554</v>
      </c>
      <c r="BX32" s="69">
        <v>130.81201479538137</v>
      </c>
      <c r="BY32" s="69">
        <v>129.92579411294983</v>
      </c>
      <c r="BZ32" s="69">
        <v>130.33071941985105</v>
      </c>
      <c r="CA32" s="69">
        <v>137.0743644525524</v>
      </c>
      <c r="CB32" s="69">
        <v>140.24191529450886</v>
      </c>
      <c r="CC32" s="69">
        <v>130.25235908675035</v>
      </c>
    </row>
    <row r="33" spans="1:84" ht="17.100000000000001" customHeight="1" x14ac:dyDescent="0.2">
      <c r="A33" s="82" t="s">
        <v>59</v>
      </c>
      <c r="B33" s="123"/>
      <c r="C33" s="123"/>
      <c r="D33" s="123"/>
      <c r="E33" s="123"/>
      <c r="F33" s="123"/>
      <c r="G33" s="123"/>
      <c r="H33" s="123"/>
      <c r="I33" s="69" t="e">
        <v>#DIV/0!</v>
      </c>
      <c r="J33" s="69" t="e">
        <v>#DIV/0!</v>
      </c>
      <c r="K33" s="69">
        <v>127.70453683997766</v>
      </c>
      <c r="L33" s="69">
        <v>129.56500653190218</v>
      </c>
      <c r="M33" s="69">
        <v>129.22465809864303</v>
      </c>
      <c r="N33" s="69">
        <v>129.92658786193351</v>
      </c>
      <c r="O33" s="69">
        <v>129.75836224960676</v>
      </c>
      <c r="P33" s="69">
        <v>130.67328454840006</v>
      </c>
      <c r="Q33" s="69">
        <v>131.3619284805705</v>
      </c>
      <c r="R33" s="69">
        <v>131.82043257408768</v>
      </c>
      <c r="S33" s="69">
        <v>132.11812494463001</v>
      </c>
      <c r="T33" s="69">
        <v>133.43870103887096</v>
      </c>
      <c r="U33" s="69">
        <v>134.09834561401362</v>
      </c>
      <c r="V33" s="69">
        <v>135.31905699009323</v>
      </c>
      <c r="W33" s="69">
        <v>136.40140137509741</v>
      </c>
      <c r="X33" s="69">
        <v>138.36210437102312</v>
      </c>
      <c r="Y33" s="69">
        <v>139.1913909133176</v>
      </c>
      <c r="Z33" s="69">
        <v>140.05652866786832</v>
      </c>
      <c r="AA33" s="69">
        <v>140.64636838672777</v>
      </c>
      <c r="AB33" s="69">
        <v>142.17532269820634</v>
      </c>
      <c r="AC33" s="69">
        <v>142.99609966676138</v>
      </c>
      <c r="AD33" s="69">
        <v>144.24871987175919</v>
      </c>
      <c r="AE33" s="69">
        <v>145.66040984995607</v>
      </c>
      <c r="AF33" s="69">
        <v>150.20517212112998</v>
      </c>
      <c r="AG33" s="69">
        <v>153.68148286455911</v>
      </c>
      <c r="AH33" s="69">
        <v>164.82867886780309</v>
      </c>
      <c r="AI33" s="69">
        <v>162.29368770363453</v>
      </c>
      <c r="AJ33" s="69">
        <v>161.34067740106599</v>
      </c>
      <c r="AK33" s="69">
        <v>160.63272242868615</v>
      </c>
      <c r="AL33" s="69">
        <v>162.46325009599585</v>
      </c>
      <c r="AM33" s="69">
        <v>163.89561418754494</v>
      </c>
      <c r="AN33" s="69">
        <v>165.74002408563643</v>
      </c>
      <c r="AO33" s="69">
        <v>166.2363019540557</v>
      </c>
      <c r="AP33" s="69">
        <v>167.88691967392944</v>
      </c>
      <c r="AQ33" s="69">
        <v>169.80927357510777</v>
      </c>
      <c r="AR33" s="69">
        <v>171.80146891766961</v>
      </c>
      <c r="AS33" s="69">
        <v>172.32973213439627</v>
      </c>
      <c r="AT33" s="69">
        <v>171.90403156705119</v>
      </c>
      <c r="AU33" s="69">
        <v>102.7650041198096</v>
      </c>
      <c r="AV33" s="69">
        <v>103.72044398243538</v>
      </c>
      <c r="AW33" s="69">
        <v>104.06692315645812</v>
      </c>
      <c r="AX33" s="69">
        <v>105.14765968589286</v>
      </c>
      <c r="AY33" s="69">
        <v>105.88384675782716</v>
      </c>
      <c r="AZ33" s="69">
        <v>106.27332582722346</v>
      </c>
      <c r="BA33" s="69">
        <v>106.38411922501143</v>
      </c>
      <c r="BB33" s="69">
        <v>107.28480863667436</v>
      </c>
      <c r="BC33" s="69">
        <v>107.60228457700461</v>
      </c>
      <c r="BD33" s="69">
        <v>108.32186631485496</v>
      </c>
      <c r="BE33" s="69">
        <v>108.89799465254721</v>
      </c>
      <c r="BF33" s="69">
        <v>110.20219289653421</v>
      </c>
      <c r="BG33" s="69">
        <v>110.61554442206823</v>
      </c>
      <c r="BH33" s="69">
        <v>111.06746366505477</v>
      </c>
      <c r="BI33" s="69">
        <v>111.30050751266999</v>
      </c>
      <c r="BJ33" s="69">
        <v>112.34583350779035</v>
      </c>
      <c r="BK33" s="69">
        <v>112.91445377479383</v>
      </c>
      <c r="BL33" s="69">
        <v>113.89132816423573</v>
      </c>
      <c r="BM33" s="69">
        <v>115.05043751430379</v>
      </c>
      <c r="BN33" s="69">
        <v>119.24795374523154</v>
      </c>
      <c r="BO33" s="69">
        <v>123.22686815341312</v>
      </c>
      <c r="BP33" s="69">
        <v>126.03663042337445</v>
      </c>
      <c r="BQ33" s="69">
        <v>126.16875275682271</v>
      </c>
      <c r="BR33" s="69">
        <v>126.9131028870562</v>
      </c>
      <c r="BS33" s="69">
        <v>127.31755641790994</v>
      </c>
      <c r="BT33" s="69">
        <v>129.16218770885243</v>
      </c>
      <c r="BU33" s="69">
        <v>130.04935165183878</v>
      </c>
      <c r="BV33" s="69">
        <v>131.34408009097743</v>
      </c>
      <c r="BW33" s="69">
        <v>131.71412151015031</v>
      </c>
      <c r="BX33" s="69">
        <v>133.07909666112695</v>
      </c>
      <c r="BY33" s="69">
        <v>134.64642174491362</v>
      </c>
      <c r="BZ33" s="69">
        <v>136.24795982886062</v>
      </c>
      <c r="CA33" s="69">
        <v>136.76319038351653</v>
      </c>
      <c r="CB33" s="69">
        <v>137.37986917890112</v>
      </c>
      <c r="CC33" s="69">
        <v>138.61095064779727</v>
      </c>
    </row>
    <row r="34" spans="1:84" ht="17.100000000000001" customHeight="1" x14ac:dyDescent="0.2">
      <c r="A34" s="83"/>
      <c r="B34" s="123"/>
      <c r="C34" s="123"/>
      <c r="D34" s="123"/>
      <c r="E34" s="123"/>
      <c r="F34" s="123"/>
      <c r="G34" s="123"/>
      <c r="H34" s="123"/>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row>
    <row r="35" spans="1:84" s="143" customFormat="1" ht="17.100000000000001" customHeight="1" x14ac:dyDescent="0.2">
      <c r="A35" s="160" t="s">
        <v>95</v>
      </c>
      <c r="B35" s="175"/>
      <c r="C35" s="175"/>
      <c r="D35" s="175"/>
      <c r="E35" s="175"/>
      <c r="F35" s="175"/>
      <c r="G35" s="175"/>
      <c r="H35" s="175"/>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row>
    <row r="36" spans="1:84" s="124" customFormat="1" ht="17.100000000000001" customHeight="1" thickBot="1" x14ac:dyDescent="0.25">
      <c r="A36" s="124" t="s">
        <v>19</v>
      </c>
      <c r="I36" s="124" t="e">
        <v>#DIV/0!</v>
      </c>
      <c r="J36" s="124" t="e">
        <v>#DIV/0!</v>
      </c>
      <c r="K36" s="124">
        <v>203.14672189567827</v>
      </c>
      <c r="L36" s="124">
        <v>222.56055888400508</v>
      </c>
      <c r="M36" s="124">
        <v>158.08568149542555</v>
      </c>
      <c r="N36" s="124">
        <v>179.12987250600517</v>
      </c>
      <c r="O36" s="124">
        <v>196.47715416248494</v>
      </c>
      <c r="P36" s="124">
        <v>212.8024403005972</v>
      </c>
      <c r="Q36" s="124">
        <v>217.88417507568263</v>
      </c>
      <c r="R36" s="124">
        <v>233.97645305775035</v>
      </c>
      <c r="S36" s="124">
        <v>215.78972996913478</v>
      </c>
      <c r="T36" s="124">
        <v>195.8559404349424</v>
      </c>
      <c r="U36" s="124">
        <v>191.96370698983264</v>
      </c>
      <c r="V36" s="124">
        <v>217.94759643089412</v>
      </c>
      <c r="W36" s="124">
        <v>200.77444670519219</v>
      </c>
      <c r="X36" s="124">
        <v>117.25913720671815</v>
      </c>
      <c r="Y36" s="124">
        <v>167.12029718342774</v>
      </c>
      <c r="Z36" s="124">
        <v>187.02245123433576</v>
      </c>
      <c r="AA36" s="124">
        <v>186.91462163194078</v>
      </c>
      <c r="AB36" s="124">
        <v>203.21491857751903</v>
      </c>
      <c r="AC36" s="124">
        <v>186.05999574074289</v>
      </c>
      <c r="AD36" s="124">
        <v>214.88475490205721</v>
      </c>
      <c r="AE36" s="124">
        <v>221.46833600806647</v>
      </c>
      <c r="AF36" s="124">
        <v>221.97670138606273</v>
      </c>
      <c r="AG36" s="124">
        <v>197.37628709019478</v>
      </c>
      <c r="AH36" s="124">
        <v>200.15748847375284</v>
      </c>
      <c r="AI36" s="124">
        <v>228.93643466549935</v>
      </c>
      <c r="AJ36" s="124">
        <v>241.20296342741457</v>
      </c>
      <c r="AK36" s="124">
        <v>211.63583456693101</v>
      </c>
      <c r="AL36" s="124">
        <v>202.83086408634756</v>
      </c>
      <c r="AM36" s="124">
        <v>224.51359589528531</v>
      </c>
      <c r="AN36" s="124">
        <v>227.89379486499843</v>
      </c>
      <c r="AO36" s="124">
        <v>247.46310876789838</v>
      </c>
      <c r="AP36" s="124">
        <v>229.12832523938184</v>
      </c>
      <c r="AQ36" s="124">
        <v>222.65597291603254</v>
      </c>
      <c r="AR36" s="124">
        <v>260.05117355217851</v>
      </c>
      <c r="AS36" s="124">
        <v>215.47991646030499</v>
      </c>
      <c r="AT36" s="124">
        <v>225.82303574823709</v>
      </c>
      <c r="AU36" s="124">
        <v>98.860365155175884</v>
      </c>
      <c r="AV36" s="124">
        <v>106.25055815407001</v>
      </c>
      <c r="AW36" s="124">
        <v>116.0361913375279</v>
      </c>
      <c r="AX36" s="124">
        <v>112.94703952400783</v>
      </c>
      <c r="AY36" s="124">
        <v>118.81178614740251</v>
      </c>
      <c r="AZ36" s="124">
        <v>122.87995976524218</v>
      </c>
      <c r="BA36" s="124">
        <v>116.97476340438561</v>
      </c>
      <c r="BB36" s="124">
        <v>113.88375428192212</v>
      </c>
      <c r="BC36" s="124">
        <v>113.05823699281751</v>
      </c>
      <c r="BD36" s="124">
        <v>117.37788468865506</v>
      </c>
      <c r="BE36" s="124">
        <v>123.89241574564322</v>
      </c>
      <c r="BF36" s="124">
        <v>102.89785177376788</v>
      </c>
      <c r="BG36" s="124">
        <v>118.15687562474086</v>
      </c>
      <c r="BH36" s="124">
        <v>125.57577080387436</v>
      </c>
      <c r="BI36" s="124">
        <v>128.99381381348866</v>
      </c>
      <c r="BJ36" s="124">
        <v>116.6793201650663</v>
      </c>
      <c r="BK36" s="124">
        <v>129.0572524845264</v>
      </c>
      <c r="BL36" s="124">
        <v>136.24320921549216</v>
      </c>
      <c r="BM36" s="124">
        <v>129.9675228740638</v>
      </c>
      <c r="BN36" s="124">
        <v>131.56068636002726</v>
      </c>
      <c r="BO36" s="124">
        <v>131.32229168501891</v>
      </c>
      <c r="BP36" s="124">
        <v>129.29170572951503</v>
      </c>
      <c r="BQ36" s="124">
        <v>138.11395232108325</v>
      </c>
      <c r="BR36" s="124">
        <v>147.96689058327013</v>
      </c>
      <c r="BS36" s="124">
        <v>129.26802204725814</v>
      </c>
      <c r="BT36" s="124">
        <v>138.78259066388961</v>
      </c>
      <c r="BU36" s="124">
        <v>136.4798842255434</v>
      </c>
      <c r="BV36" s="124">
        <v>141.37944219171729</v>
      </c>
      <c r="BW36" s="124">
        <v>132.01222966010133</v>
      </c>
      <c r="BX36" s="124">
        <v>143.53574977333105</v>
      </c>
      <c r="BY36" s="124">
        <v>141.95383705020024</v>
      </c>
      <c r="BZ36" s="124">
        <v>156.28189770771274</v>
      </c>
      <c r="CA36" s="124">
        <v>131.19510622934416</v>
      </c>
      <c r="CB36" s="124">
        <v>146.30100944550827</v>
      </c>
      <c r="CC36" s="124">
        <v>148.15003388828057</v>
      </c>
      <c r="CD36" s="258"/>
      <c r="CE36" s="258"/>
      <c r="CF36" s="258"/>
    </row>
    <row r="37" spans="1:84" x14ac:dyDescent="0.2">
      <c r="A37" s="103" t="s">
        <v>50</v>
      </c>
      <c r="B37" s="103"/>
      <c r="C37" s="103"/>
      <c r="D37" s="103"/>
      <c r="E37" s="103"/>
      <c r="F37" s="103"/>
      <c r="G37" s="103"/>
      <c r="H37" s="103"/>
      <c r="I37" s="92"/>
    </row>
    <row r="38" spans="1:84" x14ac:dyDescent="0.2">
      <c r="Z38" s="35">
        <v>8.5</v>
      </c>
    </row>
  </sheetData>
  <mergeCells count="16">
    <mergeCell ref="BW3:BZ3"/>
    <mergeCell ref="I3:J3"/>
    <mergeCell ref="K3:N3"/>
    <mergeCell ref="O3:R3"/>
    <mergeCell ref="S3:V3"/>
    <mergeCell ref="W3:Z3"/>
    <mergeCell ref="BS3:BV3"/>
    <mergeCell ref="BO3:BR3"/>
    <mergeCell ref="BK3:BN3"/>
    <mergeCell ref="AA3:AD3"/>
    <mergeCell ref="BG3:BJ3"/>
    <mergeCell ref="AQ3:AT3"/>
    <mergeCell ref="AM3:AP3"/>
    <mergeCell ref="AU3:AX3"/>
    <mergeCell ref="AY3:BB3"/>
    <mergeCell ref="BC3:BF3"/>
  </mergeCells>
  <phoneticPr fontId="31" type="noConversion"/>
  <pageMargins left="0.51181102362204722" right="0" top="0.51181102362204722" bottom="0" header="0" footer="0"/>
  <pageSetup paperSize="9" scale="4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BV38"/>
  <sheetViews>
    <sheetView showGridLines="0" view="pageBreakPreview" zoomScaleNormal="100" zoomScaleSheetLayoutView="100" workbookViewId="0">
      <pane xSplit="11" ySplit="4" topLeftCell="AP5" activePane="bottomRight" state="frozen"/>
      <selection activeCell="AP1" sqref="AP1"/>
      <selection pane="topRight" activeCell="AP1" sqref="AP1"/>
      <selection pane="bottomLeft" activeCell="AP1" sqref="AP1"/>
      <selection pane="bottomRight" activeCell="BV23" sqref="BV23"/>
    </sheetView>
  </sheetViews>
  <sheetFormatPr defaultColWidth="9.140625" defaultRowHeight="11.25" x14ac:dyDescent="0.2"/>
  <cols>
    <col min="1" max="1" width="26.42578125" style="1" customWidth="1"/>
    <col min="2" max="19" width="6.7109375" style="1" hidden="1" customWidth="1"/>
    <col min="20" max="23" width="7.140625" style="1" hidden="1" customWidth="1"/>
    <col min="24" max="35" width="6.7109375" style="1" hidden="1" customWidth="1"/>
    <col min="36" max="44" width="6.7109375" style="1" customWidth="1"/>
    <col min="45" max="50" width="6.85546875" style="1" bestFit="1" customWidth="1"/>
    <col min="51" max="51" width="6.85546875" style="1" customWidth="1"/>
    <col min="52" max="58" width="6.85546875" style="1" bestFit="1" customWidth="1"/>
    <col min="59" max="59" width="7.140625" style="1" customWidth="1"/>
    <col min="60" max="60" width="6.7109375" style="1" customWidth="1"/>
    <col min="61" max="63" width="6.85546875" style="1" customWidth="1"/>
    <col min="64" max="64" width="6.85546875" style="1" bestFit="1" customWidth="1"/>
    <col min="65" max="65" width="6.7109375" style="1" bestFit="1" customWidth="1"/>
    <col min="66" max="66" width="6.85546875" style="1" bestFit="1" customWidth="1"/>
    <col min="67" max="67" width="7.140625" style="1" customWidth="1"/>
    <col min="68" max="68" width="6.85546875" style="1" bestFit="1" customWidth="1"/>
    <col min="69" max="69" width="6.7109375" style="1" bestFit="1" customWidth="1"/>
    <col min="70" max="70" width="6.85546875" style="1" bestFit="1" customWidth="1"/>
    <col min="71" max="71" width="6.7109375" style="1" bestFit="1" customWidth="1"/>
    <col min="72" max="16384" width="9.140625" style="1"/>
  </cols>
  <sheetData>
    <row r="1" spans="1:74" ht="16.5" customHeight="1" x14ac:dyDescent="0.2">
      <c r="A1" s="31" t="s">
        <v>181</v>
      </c>
      <c r="AJ1" s="31"/>
    </row>
    <row r="2" spans="1:74" ht="1.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row>
    <row r="3" spans="1:74" s="87" customFormat="1" ht="12" customHeight="1" x14ac:dyDescent="0.2">
      <c r="A3" s="86"/>
      <c r="B3" s="260"/>
      <c r="C3" s="260"/>
      <c r="D3" s="260"/>
      <c r="E3" s="260"/>
      <c r="F3" s="260"/>
      <c r="G3" s="260"/>
      <c r="H3" s="260" t="s">
        <v>60</v>
      </c>
      <c r="I3" s="260"/>
      <c r="J3" s="260"/>
      <c r="K3" s="260"/>
      <c r="L3" s="260" t="s">
        <v>61</v>
      </c>
      <c r="M3" s="260"/>
      <c r="N3" s="260"/>
      <c r="O3" s="260"/>
      <c r="P3" s="86" t="s">
        <v>62</v>
      </c>
      <c r="Q3" s="86"/>
      <c r="R3" s="260" t="s">
        <v>62</v>
      </c>
      <c r="S3" s="260"/>
      <c r="T3" s="260" t="s">
        <v>63</v>
      </c>
      <c r="U3" s="260"/>
      <c r="V3" s="260"/>
      <c r="W3" s="260"/>
      <c r="X3" s="86" t="s">
        <v>64</v>
      </c>
      <c r="Y3" s="86" t="s">
        <v>64</v>
      </c>
      <c r="Z3" s="86"/>
      <c r="AA3" s="86" t="s">
        <v>64</v>
      </c>
      <c r="AB3" s="86" t="s">
        <v>65</v>
      </c>
      <c r="AD3" s="86" t="s">
        <v>65</v>
      </c>
      <c r="AE3" s="86" t="s">
        <v>65</v>
      </c>
      <c r="AF3" s="260" t="s">
        <v>77</v>
      </c>
      <c r="AG3" s="260"/>
      <c r="AH3" s="260"/>
      <c r="AI3" s="260"/>
      <c r="AJ3" s="260" t="s">
        <v>80</v>
      </c>
      <c r="AK3" s="260"/>
      <c r="AL3" s="260"/>
      <c r="AM3" s="260"/>
      <c r="AN3" s="260" t="s">
        <v>92</v>
      </c>
      <c r="AO3" s="260"/>
      <c r="AP3" s="260"/>
      <c r="AQ3" s="260"/>
      <c r="AR3" s="260" t="s">
        <v>134</v>
      </c>
      <c r="AS3" s="260"/>
      <c r="AT3" s="260"/>
      <c r="AU3" s="260"/>
      <c r="AV3" s="260" t="s">
        <v>136</v>
      </c>
      <c r="AW3" s="260"/>
      <c r="AX3" s="260"/>
      <c r="AY3" s="260"/>
      <c r="AZ3" s="261" t="s">
        <v>137</v>
      </c>
      <c r="BA3" s="261"/>
      <c r="BB3" s="261"/>
      <c r="BC3" s="261"/>
      <c r="BD3" s="261" t="s">
        <v>138</v>
      </c>
      <c r="BE3" s="261"/>
      <c r="BF3" s="261"/>
      <c r="BG3" s="261"/>
      <c r="BH3" s="261" t="s">
        <v>139</v>
      </c>
      <c r="BI3" s="261"/>
      <c r="BJ3" s="261"/>
      <c r="BK3" s="261"/>
      <c r="BL3" s="261" t="s">
        <v>140</v>
      </c>
      <c r="BM3" s="261"/>
      <c r="BN3" s="261"/>
      <c r="BO3" s="261"/>
      <c r="BP3" s="261" t="s">
        <v>174</v>
      </c>
      <c r="BQ3" s="261"/>
      <c r="BR3" s="261"/>
      <c r="BS3" s="261"/>
      <c r="BT3" s="261" t="s">
        <v>175</v>
      </c>
      <c r="BU3" s="261"/>
      <c r="BV3" s="261"/>
    </row>
    <row r="4" spans="1:74" s="91" customFormat="1" ht="12" customHeight="1" x14ac:dyDescent="0.2">
      <c r="A4" s="88"/>
      <c r="B4" s="89"/>
      <c r="C4" s="89"/>
      <c r="D4" s="89"/>
      <c r="E4" s="89"/>
      <c r="F4" s="89"/>
      <c r="G4" s="89"/>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89" t="s">
        <v>47</v>
      </c>
      <c r="AP4" s="90" t="s">
        <v>48</v>
      </c>
      <c r="AQ4" s="90" t="s">
        <v>49</v>
      </c>
      <c r="AR4" s="90" t="s">
        <v>46</v>
      </c>
      <c r="AS4" s="90" t="s">
        <v>47</v>
      </c>
      <c r="AT4" s="90" t="s">
        <v>48</v>
      </c>
      <c r="AU4" s="90" t="s">
        <v>49</v>
      </c>
      <c r="AV4" s="157" t="s">
        <v>46</v>
      </c>
      <c r="AW4" s="157" t="s">
        <v>47</v>
      </c>
      <c r="AX4" s="157" t="s">
        <v>48</v>
      </c>
      <c r="AY4" s="157" t="s">
        <v>49</v>
      </c>
      <c r="AZ4" s="157" t="s">
        <v>46</v>
      </c>
      <c r="BA4" s="157" t="s">
        <v>47</v>
      </c>
      <c r="BB4" s="157" t="s">
        <v>48</v>
      </c>
      <c r="BC4" s="157" t="s">
        <v>49</v>
      </c>
      <c r="BD4" s="157" t="s">
        <v>46</v>
      </c>
      <c r="BE4" s="157" t="s">
        <v>47</v>
      </c>
      <c r="BF4" s="157" t="s">
        <v>48</v>
      </c>
      <c r="BG4" s="157" t="s">
        <v>49</v>
      </c>
      <c r="BH4" s="157" t="s">
        <v>46</v>
      </c>
      <c r="BI4" s="157" t="s">
        <v>47</v>
      </c>
      <c r="BJ4" s="157" t="s">
        <v>48</v>
      </c>
      <c r="BK4" s="157" t="s">
        <v>49</v>
      </c>
      <c r="BL4" s="157" t="s">
        <v>46</v>
      </c>
      <c r="BM4" s="157" t="s">
        <v>47</v>
      </c>
      <c r="BN4" s="157" t="s">
        <v>48</v>
      </c>
      <c r="BO4" s="157" t="s">
        <v>49</v>
      </c>
      <c r="BP4" s="157" t="s">
        <v>46</v>
      </c>
      <c r="BQ4" s="157" t="s">
        <v>47</v>
      </c>
      <c r="BR4" s="157" t="s">
        <v>48</v>
      </c>
      <c r="BS4" s="157" t="s">
        <v>49</v>
      </c>
      <c r="BT4" s="157" t="s">
        <v>46</v>
      </c>
      <c r="BU4" s="157" t="s">
        <v>47</v>
      </c>
      <c r="BV4" s="157" t="s">
        <v>48</v>
      </c>
    </row>
    <row r="5" spans="1:74" s="8" customFormat="1" ht="17.100000000000001" customHeight="1" x14ac:dyDescent="0.2">
      <c r="A5" s="39" t="s">
        <v>97</v>
      </c>
      <c r="B5" s="79"/>
      <c r="C5" s="79"/>
      <c r="D5" s="79"/>
      <c r="E5" s="79"/>
      <c r="F5" s="79"/>
      <c r="G5" s="79"/>
      <c r="H5" s="79">
        <v>19281.408611306768</v>
      </c>
      <c r="I5" s="79">
        <v>19536.768840938505</v>
      </c>
      <c r="J5" s="79">
        <v>20670.649922929169</v>
      </c>
      <c r="K5" s="79">
        <v>21088.658752276213</v>
      </c>
      <c r="L5" s="79">
        <v>21342.529993265409</v>
      </c>
      <c r="M5" s="79">
        <v>21896.853013550503</v>
      </c>
      <c r="N5" s="79">
        <v>22390.232398853594</v>
      </c>
      <c r="O5" s="79">
        <v>21682.914697379085</v>
      </c>
      <c r="P5" s="79">
        <v>22486.720764151112</v>
      </c>
      <c r="Q5" s="79">
        <v>21911.014463813659</v>
      </c>
      <c r="R5" s="79">
        <v>22517.310280110985</v>
      </c>
      <c r="S5" s="79">
        <v>22741.164264584695</v>
      </c>
      <c r="T5" s="79">
        <v>23670.651370530493</v>
      </c>
      <c r="U5" s="79">
        <v>22632.372513668481</v>
      </c>
      <c r="V5" s="79">
        <v>22653.883943873825</v>
      </c>
      <c r="W5" s="79">
        <v>22266.49094022674</v>
      </c>
      <c r="X5" s="79">
        <v>23206.646183477365</v>
      </c>
      <c r="Y5" s="79">
        <v>22781.854734579141</v>
      </c>
      <c r="Z5" s="79">
        <v>24142.298179200308</v>
      </c>
      <c r="AA5" s="79">
        <v>25208.00071848229</v>
      </c>
      <c r="AB5" s="79">
        <v>24323.405427659403</v>
      </c>
      <c r="AC5" s="79">
        <v>25323.803210422753</v>
      </c>
      <c r="AD5" s="79">
        <v>25570.867075995542</v>
      </c>
      <c r="AE5" s="79">
        <v>26198.304190264473</v>
      </c>
      <c r="AF5" s="79">
        <v>26581.323890586285</v>
      </c>
      <c r="AG5" s="79">
        <v>26727.381248542224</v>
      </c>
      <c r="AH5" s="79">
        <v>25866.213821367201</v>
      </c>
      <c r="AI5" s="79">
        <v>26198.377939572332</v>
      </c>
      <c r="AJ5" s="79">
        <v>26416.451424884999</v>
      </c>
      <c r="AK5" s="79">
        <v>26812.127049850034</v>
      </c>
      <c r="AL5" s="79">
        <v>27622.084522560148</v>
      </c>
      <c r="AM5" s="79">
        <v>27889.913993062761</v>
      </c>
      <c r="AN5" s="79">
        <v>28283.055090545124</v>
      </c>
      <c r="AO5" s="79">
        <v>28554.154355455663</v>
      </c>
      <c r="AP5" s="79">
        <v>29229.257957474172</v>
      </c>
      <c r="AQ5" s="79">
        <v>29445.349585144646</v>
      </c>
      <c r="AR5" s="79">
        <v>29941.016679116874</v>
      </c>
      <c r="AS5" s="79">
        <v>30143.98135587592</v>
      </c>
      <c r="AT5" s="79">
        <v>31566.283040172366</v>
      </c>
      <c r="AU5" s="79">
        <v>31403.381947332262</v>
      </c>
      <c r="AV5" s="79">
        <v>32277.505804444816</v>
      </c>
      <c r="AW5" s="79">
        <v>32675.788598487674</v>
      </c>
      <c r="AX5" s="79">
        <v>31950.549714858505</v>
      </c>
      <c r="AY5" s="79">
        <v>29675.735170801268</v>
      </c>
      <c r="AZ5" s="79">
        <v>31890.176541598405</v>
      </c>
      <c r="BA5" s="79">
        <v>32666.765676169423</v>
      </c>
      <c r="BB5" s="79">
        <v>32921.015309327311</v>
      </c>
      <c r="BC5" s="79">
        <v>33306.169379921143</v>
      </c>
      <c r="BD5" s="79">
        <v>32640.31904955607</v>
      </c>
      <c r="BE5" s="79">
        <v>34251.442494537805</v>
      </c>
      <c r="BF5" s="79">
        <v>35011.569857575276</v>
      </c>
      <c r="BG5" s="79">
        <v>35145.427386623349</v>
      </c>
      <c r="BH5" s="79">
        <v>35487.5132429605</v>
      </c>
      <c r="BI5" s="79">
        <v>35824.548176188408</v>
      </c>
      <c r="BJ5" s="79">
        <v>35816.890574382145</v>
      </c>
      <c r="BK5" s="79">
        <v>36991.392379874153</v>
      </c>
      <c r="BL5" s="79">
        <v>37471.978536521594</v>
      </c>
      <c r="BM5" s="79">
        <v>37983.242769868986</v>
      </c>
      <c r="BN5" s="79">
        <v>38376.531763283529</v>
      </c>
      <c r="BO5" s="79">
        <v>39004.919336065686</v>
      </c>
      <c r="BP5" s="79">
        <v>39841.908182691936</v>
      </c>
      <c r="BQ5" s="79">
        <v>40048.472188510088</v>
      </c>
      <c r="BR5" s="79">
        <v>41537.21599002595</v>
      </c>
      <c r="BS5" s="79">
        <v>41152.310114500797</v>
      </c>
      <c r="BT5" s="79">
        <v>41956.65709860163</v>
      </c>
      <c r="BU5" s="79">
        <v>43451.337501280766</v>
      </c>
      <c r="BV5" s="79">
        <v>43978.86125157628</v>
      </c>
    </row>
    <row r="6" spans="1:74" s="163" customFormat="1" ht="17.100000000000001" customHeight="1" x14ac:dyDescent="0.2">
      <c r="A6" s="160" t="s">
        <v>96</v>
      </c>
      <c r="B6" s="161"/>
      <c r="C6" s="161"/>
      <c r="D6" s="161"/>
      <c r="E6" s="161"/>
      <c r="F6" s="161"/>
      <c r="G6" s="161"/>
      <c r="H6" s="161">
        <v>5418.8793197142704</v>
      </c>
      <c r="I6" s="161">
        <v>5379.0102071037509</v>
      </c>
      <c r="J6" s="161">
        <v>5427.2084178840705</v>
      </c>
      <c r="K6" s="161">
        <v>5738.8634245020912</v>
      </c>
      <c r="L6" s="161">
        <v>5490.5743127848136</v>
      </c>
      <c r="M6" s="161">
        <v>5532.3699431344248</v>
      </c>
      <c r="N6" s="161">
        <v>5851.2592853647575</v>
      </c>
      <c r="O6" s="161">
        <v>5835.9553736226126</v>
      </c>
      <c r="P6" s="161">
        <v>6128.9977239451982</v>
      </c>
      <c r="Q6" s="161">
        <v>5564.0628685507099</v>
      </c>
      <c r="R6" s="161">
        <v>5419.9698732721517</v>
      </c>
      <c r="S6" s="161">
        <v>5502.7141035876466</v>
      </c>
      <c r="T6" s="161">
        <v>6154.7240184680868</v>
      </c>
      <c r="U6" s="161">
        <v>5509.1534746591069</v>
      </c>
      <c r="V6" s="161">
        <v>5589.3870425102796</v>
      </c>
      <c r="W6" s="161">
        <v>5236.6888230812328</v>
      </c>
      <c r="X6" s="161">
        <v>6195.7516032230333</v>
      </c>
      <c r="Y6" s="161">
        <v>5535.5894361414357</v>
      </c>
      <c r="Z6" s="161">
        <v>5643.2175501345846</v>
      </c>
      <c r="AA6" s="161">
        <v>5850.6261570854904</v>
      </c>
      <c r="AB6" s="161">
        <v>5919.8009380279418</v>
      </c>
      <c r="AC6" s="161">
        <v>6130.1701241428736</v>
      </c>
      <c r="AD6" s="161">
        <v>5947.1033889361088</v>
      </c>
      <c r="AE6" s="161">
        <v>6098.9140231319016</v>
      </c>
      <c r="AF6" s="161">
        <v>6058.9851123079598</v>
      </c>
      <c r="AG6" s="161">
        <v>6151.8418308913424</v>
      </c>
      <c r="AH6" s="161">
        <v>6459.6385175325722</v>
      </c>
      <c r="AI6" s="161">
        <v>6172.2801280386921</v>
      </c>
      <c r="AJ6" s="161">
        <v>6113.4118117958624</v>
      </c>
      <c r="AK6" s="161">
        <v>6365.2951660330173</v>
      </c>
      <c r="AL6" s="161">
        <v>6582.8786020866137</v>
      </c>
      <c r="AM6" s="161">
        <v>6545.6274902718596</v>
      </c>
      <c r="AN6" s="161">
        <v>6624.146365821618</v>
      </c>
      <c r="AO6" s="161">
        <v>6533.1995001801752</v>
      </c>
      <c r="AP6" s="161">
        <v>6887.5131797139957</v>
      </c>
      <c r="AQ6" s="161">
        <v>6659.0805578418858</v>
      </c>
      <c r="AR6" s="161">
        <v>6777.8345278834622</v>
      </c>
      <c r="AS6" s="161">
        <v>6778.2823749044037</v>
      </c>
      <c r="AT6" s="161">
        <v>7531.2265462949545</v>
      </c>
      <c r="AU6" s="161">
        <v>7188.4800155681569</v>
      </c>
      <c r="AV6" s="161">
        <v>7180.5443713932473</v>
      </c>
      <c r="AW6" s="161">
        <v>7289.0879691908685</v>
      </c>
      <c r="AX6" s="161">
        <v>7451.5710665054467</v>
      </c>
      <c r="AY6" s="161">
        <v>7595.3946794175308</v>
      </c>
      <c r="AZ6" s="161">
        <v>7565.5859448395104</v>
      </c>
      <c r="BA6" s="161">
        <v>7818.2609427794378</v>
      </c>
      <c r="BB6" s="161">
        <v>7524.9016024593693</v>
      </c>
      <c r="BC6" s="161">
        <v>7643.6426622089202</v>
      </c>
      <c r="BD6" s="161">
        <v>7912.3917569357573</v>
      </c>
      <c r="BE6" s="161">
        <v>7634.5176951214007</v>
      </c>
      <c r="BF6" s="161">
        <v>8038.7603087401976</v>
      </c>
      <c r="BG6" s="161">
        <v>8456.0784529881093</v>
      </c>
      <c r="BH6" s="161">
        <v>8143.4332870703565</v>
      </c>
      <c r="BI6" s="161">
        <v>8514.0709378945357</v>
      </c>
      <c r="BJ6" s="161">
        <v>8384.5547403293785</v>
      </c>
      <c r="BK6" s="161">
        <v>8258.2818211595168</v>
      </c>
      <c r="BL6" s="161">
        <v>8594.2364487785544</v>
      </c>
      <c r="BM6" s="161">
        <v>8663.201464922211</v>
      </c>
      <c r="BN6" s="161">
        <v>8847.9761894068397</v>
      </c>
      <c r="BO6" s="161">
        <v>9132.1583150450097</v>
      </c>
      <c r="BP6" s="161">
        <v>9180.7150023564427</v>
      </c>
      <c r="BQ6" s="161">
        <v>9290.6771484296314</v>
      </c>
      <c r="BR6" s="161">
        <v>9645.6266393689821</v>
      </c>
      <c r="BS6" s="161">
        <v>9451.6368909583998</v>
      </c>
      <c r="BT6" s="161">
        <v>9588.3203925332764</v>
      </c>
      <c r="BU6" s="161">
        <v>10082.951351835829</v>
      </c>
      <c r="BV6" s="161">
        <v>9947.820589964851</v>
      </c>
    </row>
    <row r="7" spans="1:74" ht="17.100000000000001" customHeight="1" x14ac:dyDescent="0.2">
      <c r="A7" s="72" t="s">
        <v>1</v>
      </c>
      <c r="B7" s="81"/>
      <c r="C7" s="81"/>
      <c r="D7" s="81"/>
      <c r="E7" s="81"/>
      <c r="F7" s="81"/>
      <c r="G7" s="81"/>
      <c r="H7" s="81">
        <v>494.58271862520797</v>
      </c>
      <c r="I7" s="81">
        <v>483.636768327087</v>
      </c>
      <c r="J7" s="81">
        <v>365.78296979247199</v>
      </c>
      <c r="K7" s="81">
        <v>572.76168160807003</v>
      </c>
      <c r="L7" s="81">
        <v>449.31212600278002</v>
      </c>
      <c r="M7" s="81">
        <v>446.51706714042098</v>
      </c>
      <c r="N7" s="81">
        <v>524.32521268340804</v>
      </c>
      <c r="O7" s="81">
        <v>498.13034852391002</v>
      </c>
      <c r="P7" s="81">
        <v>558.42660903597096</v>
      </c>
      <c r="Q7" s="81">
        <v>528.73262831845898</v>
      </c>
      <c r="R7" s="81">
        <v>487.19815086296501</v>
      </c>
      <c r="S7" s="81">
        <v>521.39465125421896</v>
      </c>
      <c r="T7" s="81">
        <v>497.51563747500001</v>
      </c>
      <c r="U7" s="81">
        <v>511.68430405634803</v>
      </c>
      <c r="V7" s="81">
        <v>546.36114798864298</v>
      </c>
      <c r="W7" s="81">
        <v>539.23502607659805</v>
      </c>
      <c r="X7" s="81">
        <v>537.11765283882801</v>
      </c>
      <c r="Y7" s="81">
        <v>552.28079914341197</v>
      </c>
      <c r="Z7" s="81">
        <v>493.08552029456501</v>
      </c>
      <c r="AA7" s="81">
        <v>503.845280805801</v>
      </c>
      <c r="AB7" s="81">
        <v>517.82319565556804</v>
      </c>
      <c r="AC7" s="81">
        <v>504.22703307131701</v>
      </c>
      <c r="AD7" s="81">
        <v>564.81304685682801</v>
      </c>
      <c r="AE7" s="81">
        <v>583.15386696689404</v>
      </c>
      <c r="AF7" s="81">
        <v>604.20549666169597</v>
      </c>
      <c r="AG7" s="81">
        <v>573.243105633666</v>
      </c>
      <c r="AH7" s="81">
        <v>576.089683957641</v>
      </c>
      <c r="AI7" s="81">
        <v>586.49967031687299</v>
      </c>
      <c r="AJ7" s="81">
        <v>503.30610982643299</v>
      </c>
      <c r="AK7" s="81">
        <v>710.83122374787104</v>
      </c>
      <c r="AL7" s="81">
        <v>654.644938745849</v>
      </c>
      <c r="AM7" s="81">
        <v>690.02127629951895</v>
      </c>
      <c r="AN7" s="81">
        <v>709.64796574148704</v>
      </c>
      <c r="AO7" s="81">
        <v>670.80290558364698</v>
      </c>
      <c r="AP7" s="81">
        <v>664.73906137080201</v>
      </c>
      <c r="AQ7" s="81">
        <v>663.55758798530906</v>
      </c>
      <c r="AR7" s="81">
        <v>709.13984807803001</v>
      </c>
      <c r="AS7" s="81">
        <v>706.25186105285104</v>
      </c>
      <c r="AT7" s="81">
        <v>675.46612971642799</v>
      </c>
      <c r="AU7" s="81">
        <v>746.04682897407497</v>
      </c>
      <c r="AV7" s="81">
        <v>727.012605359585</v>
      </c>
      <c r="AW7" s="81">
        <v>768.48116127938999</v>
      </c>
      <c r="AX7" s="81">
        <v>801.68145777734696</v>
      </c>
      <c r="AY7" s="81">
        <v>764.05391718846101</v>
      </c>
      <c r="AZ7" s="81">
        <v>774.69189980149497</v>
      </c>
      <c r="BA7" s="81">
        <v>864.71596687287797</v>
      </c>
      <c r="BB7" s="81">
        <v>898.46824908671601</v>
      </c>
      <c r="BC7" s="81">
        <v>906.01440152236296</v>
      </c>
      <c r="BD7" s="81">
        <v>939.95052374358397</v>
      </c>
      <c r="BE7" s="81">
        <v>921.4245261945</v>
      </c>
      <c r="BF7" s="81">
        <v>849.23070311130903</v>
      </c>
      <c r="BG7" s="81">
        <v>927.14782591795699</v>
      </c>
      <c r="BH7" s="81">
        <v>924.89568524809897</v>
      </c>
      <c r="BI7" s="81">
        <v>884.41857602008804</v>
      </c>
      <c r="BJ7" s="81">
        <v>914.97791907665101</v>
      </c>
      <c r="BK7" s="81">
        <v>934.86632282809705</v>
      </c>
      <c r="BL7" s="81">
        <v>975.81338911009504</v>
      </c>
      <c r="BM7" s="81">
        <v>1034.64919922834</v>
      </c>
      <c r="BN7" s="81">
        <v>1077.4858167816401</v>
      </c>
      <c r="BO7" s="81">
        <v>1017.19260710153</v>
      </c>
      <c r="BP7" s="81">
        <v>1140.7185703986299</v>
      </c>
      <c r="BQ7" s="81">
        <v>1139.7589006200899</v>
      </c>
      <c r="BR7" s="81">
        <v>1182.3411242461</v>
      </c>
      <c r="BS7" s="81">
        <v>1104.6495824282799</v>
      </c>
      <c r="BT7" s="81">
        <v>1224.5714644817499</v>
      </c>
      <c r="BU7" s="81">
        <v>1284.94754343624</v>
      </c>
      <c r="BV7" s="81">
        <v>1280.0868889569499</v>
      </c>
    </row>
    <row r="8" spans="1:74" ht="17.100000000000001" customHeight="1" x14ac:dyDescent="0.2">
      <c r="A8" s="72" t="s">
        <v>2</v>
      </c>
      <c r="B8" s="81"/>
      <c r="C8" s="81"/>
      <c r="D8" s="81"/>
      <c r="E8" s="81"/>
      <c r="F8" s="81"/>
      <c r="G8" s="81"/>
      <c r="H8" s="81">
        <v>3034.2315533882702</v>
      </c>
      <c r="I8" s="81">
        <v>3055.24655437196</v>
      </c>
      <c r="J8" s="81">
        <v>3107.8951809354699</v>
      </c>
      <c r="K8" s="81">
        <v>3120.2413626745802</v>
      </c>
      <c r="L8" s="81">
        <v>3018.1073673771202</v>
      </c>
      <c r="M8" s="81">
        <v>3070.5057379855598</v>
      </c>
      <c r="N8" s="81">
        <v>3290.8640032005401</v>
      </c>
      <c r="O8" s="81">
        <v>3331.5541957196601</v>
      </c>
      <c r="P8" s="81">
        <v>3183.67190725511</v>
      </c>
      <c r="Q8" s="81">
        <v>3281.86716151377</v>
      </c>
      <c r="R8" s="81">
        <v>2920.8209692158198</v>
      </c>
      <c r="S8" s="81">
        <v>2922.8504260415002</v>
      </c>
      <c r="T8" s="81">
        <v>3564.9335067807201</v>
      </c>
      <c r="U8" s="81">
        <v>2769.5856353203799</v>
      </c>
      <c r="V8" s="81">
        <v>2781.5975535354401</v>
      </c>
      <c r="W8" s="81">
        <v>2730.0320762892002</v>
      </c>
      <c r="X8" s="81">
        <v>3459.1795831599202</v>
      </c>
      <c r="Y8" s="81">
        <v>2733.9919433356699</v>
      </c>
      <c r="Z8" s="81">
        <v>2998.93163185506</v>
      </c>
      <c r="AA8" s="81">
        <v>3157.9863846185799</v>
      </c>
      <c r="AB8" s="81">
        <v>3149.70831255128</v>
      </c>
      <c r="AC8" s="81">
        <v>3432.7295059080402</v>
      </c>
      <c r="AD8" s="81">
        <v>3156.3731886134501</v>
      </c>
      <c r="AE8" s="81">
        <v>3223.4230079838399</v>
      </c>
      <c r="AF8" s="81">
        <v>3198.9918895818701</v>
      </c>
      <c r="AG8" s="81">
        <v>3374.4569380838402</v>
      </c>
      <c r="AH8" s="81">
        <v>3335.9938596069001</v>
      </c>
      <c r="AI8" s="81">
        <v>3265.8907233625901</v>
      </c>
      <c r="AJ8" s="81">
        <v>3247.5947908636299</v>
      </c>
      <c r="AK8" s="81">
        <v>3276.5138813898502</v>
      </c>
      <c r="AL8" s="81">
        <v>3540.1029273225199</v>
      </c>
      <c r="AM8" s="81">
        <v>3485.13837179457</v>
      </c>
      <c r="AN8" s="81">
        <v>3588.4230329289899</v>
      </c>
      <c r="AO8" s="81">
        <v>3582.1011809747702</v>
      </c>
      <c r="AP8" s="81">
        <v>3913.4612431956298</v>
      </c>
      <c r="AQ8" s="81">
        <v>3586.8932586866199</v>
      </c>
      <c r="AR8" s="81">
        <v>3585.2692857248398</v>
      </c>
      <c r="AS8" s="81">
        <v>3511.11578089878</v>
      </c>
      <c r="AT8" s="81">
        <v>4220.7530562517504</v>
      </c>
      <c r="AU8" s="81">
        <v>3744.73850125638</v>
      </c>
      <c r="AV8" s="81">
        <v>3722.0179255961898</v>
      </c>
      <c r="AW8" s="81">
        <v>3791.1797017030999</v>
      </c>
      <c r="AX8" s="81">
        <v>3961.6440826921598</v>
      </c>
      <c r="AY8" s="81">
        <v>4159.40197707472</v>
      </c>
      <c r="AZ8" s="81">
        <v>4085.0857981961799</v>
      </c>
      <c r="BA8" s="81">
        <v>4118.4373541944697</v>
      </c>
      <c r="BB8" s="81">
        <v>3866.8168540338902</v>
      </c>
      <c r="BC8" s="81">
        <v>3972.50926110615</v>
      </c>
      <c r="BD8" s="81">
        <v>4101.5878985066201</v>
      </c>
      <c r="BE8" s="81">
        <v>3882.12649958763</v>
      </c>
      <c r="BF8" s="81">
        <v>4274.1488241253801</v>
      </c>
      <c r="BG8" s="81">
        <v>4567.2199622276703</v>
      </c>
      <c r="BH8" s="81">
        <v>4382.6022920308797</v>
      </c>
      <c r="BI8" s="81">
        <v>4556.7512951656199</v>
      </c>
      <c r="BJ8" s="81">
        <v>4230.7677222639704</v>
      </c>
      <c r="BK8" s="81">
        <v>4250.8675122529403</v>
      </c>
      <c r="BL8" s="81">
        <v>4563.4329267891699</v>
      </c>
      <c r="BM8" s="81">
        <v>4508.0169118292997</v>
      </c>
      <c r="BN8" s="81">
        <v>4607.7433124716999</v>
      </c>
      <c r="BO8" s="81">
        <v>4710.2145997285897</v>
      </c>
      <c r="BP8" s="81">
        <v>4809.2737166831103</v>
      </c>
      <c r="BQ8" s="81">
        <v>4771.6127619448598</v>
      </c>
      <c r="BR8" s="81">
        <v>4804.5359614992003</v>
      </c>
      <c r="BS8" s="81">
        <v>4826.7162825497699</v>
      </c>
      <c r="BT8" s="81">
        <v>4781.9883017025004</v>
      </c>
      <c r="BU8" s="81">
        <v>5122.2451843318304</v>
      </c>
      <c r="BV8" s="81">
        <v>5071.8453055095997</v>
      </c>
    </row>
    <row r="9" spans="1:74" ht="17.100000000000001" customHeight="1" x14ac:dyDescent="0.2">
      <c r="A9" s="72" t="s">
        <v>3</v>
      </c>
      <c r="B9" s="81"/>
      <c r="C9" s="81"/>
      <c r="D9" s="81"/>
      <c r="E9" s="81"/>
      <c r="F9" s="81"/>
      <c r="G9" s="81"/>
      <c r="H9" s="81">
        <v>651.257478276185</v>
      </c>
      <c r="I9" s="81">
        <v>661.30304755092504</v>
      </c>
      <c r="J9" s="81">
        <v>668.35498267991795</v>
      </c>
      <c r="K9" s="81">
        <v>670.05398310105602</v>
      </c>
      <c r="L9" s="81">
        <v>673.42238139779204</v>
      </c>
      <c r="M9" s="81">
        <v>676.54202822500395</v>
      </c>
      <c r="N9" s="81">
        <v>678.53032884741003</v>
      </c>
      <c r="O9" s="81">
        <v>684.10473161953905</v>
      </c>
      <c r="P9" s="81">
        <v>689.29439001533797</v>
      </c>
      <c r="Q9" s="81">
        <v>693.03527078464595</v>
      </c>
      <c r="R9" s="81">
        <v>695.44501719253299</v>
      </c>
      <c r="S9" s="81">
        <v>698.17105813442595</v>
      </c>
      <c r="T9" s="81">
        <v>693.14899399561205</v>
      </c>
      <c r="U9" s="81">
        <v>689.28531211146196</v>
      </c>
      <c r="V9" s="81">
        <v>731.81651204477498</v>
      </c>
      <c r="W9" s="81">
        <v>730.64191208701698</v>
      </c>
      <c r="X9" s="81">
        <v>729.65302681596199</v>
      </c>
      <c r="Y9" s="81">
        <v>733.51584123974305</v>
      </c>
      <c r="Z9" s="81">
        <v>728.43709963401898</v>
      </c>
      <c r="AA9" s="81">
        <v>731.53216766594301</v>
      </c>
      <c r="AB9" s="81">
        <v>743.13440302617198</v>
      </c>
      <c r="AC9" s="81">
        <v>749.52343932939698</v>
      </c>
      <c r="AD9" s="81">
        <v>756.56445888752296</v>
      </c>
      <c r="AE9" s="81">
        <v>759.74504545054299</v>
      </c>
      <c r="AF9" s="81">
        <v>759.67079547831099</v>
      </c>
      <c r="AG9" s="81">
        <v>765.08308787098497</v>
      </c>
      <c r="AH9" s="81">
        <v>773.95909321142801</v>
      </c>
      <c r="AI9" s="81">
        <v>793.79164830925004</v>
      </c>
      <c r="AJ9" s="81">
        <v>802.21639178896203</v>
      </c>
      <c r="AK9" s="81">
        <v>821.04977836526098</v>
      </c>
      <c r="AL9" s="81">
        <v>836.022652910332</v>
      </c>
      <c r="AM9" s="81">
        <v>849.95020885174597</v>
      </c>
      <c r="AN9" s="81">
        <v>867.882954418905</v>
      </c>
      <c r="AO9" s="81">
        <v>875.60982409272697</v>
      </c>
      <c r="AP9" s="81">
        <v>894.96226415055798</v>
      </c>
      <c r="AQ9" s="81">
        <v>906.56286749082301</v>
      </c>
      <c r="AR9" s="81">
        <v>925.00410317464298</v>
      </c>
      <c r="AS9" s="81">
        <v>942.90440429580201</v>
      </c>
      <c r="AT9" s="81">
        <v>958.01291294093005</v>
      </c>
      <c r="AU9" s="81">
        <v>979.44583884773203</v>
      </c>
      <c r="AV9" s="81">
        <v>997.40605643569597</v>
      </c>
      <c r="AW9" s="81">
        <v>1017.16961646275</v>
      </c>
      <c r="AX9" s="81">
        <v>1037.1696538818701</v>
      </c>
      <c r="AY9" s="81">
        <v>1053.95604066896</v>
      </c>
      <c r="AZ9" s="81">
        <v>1072.91433638648</v>
      </c>
      <c r="BA9" s="81">
        <v>1094.29880159253</v>
      </c>
      <c r="BB9" s="81">
        <v>1117.2587172692899</v>
      </c>
      <c r="BC9" s="81">
        <v>1141.0169059125301</v>
      </c>
      <c r="BD9" s="81">
        <v>1162.99802798729</v>
      </c>
      <c r="BE9" s="81">
        <v>1184.40834488631</v>
      </c>
      <c r="BF9" s="81">
        <v>1208.8953809893601</v>
      </c>
      <c r="BG9" s="81">
        <v>1236.7746408866601</v>
      </c>
      <c r="BH9" s="81">
        <v>1265.04301769413</v>
      </c>
      <c r="BI9" s="81">
        <v>1289.7119419241401</v>
      </c>
      <c r="BJ9" s="81">
        <v>1324.3171962005599</v>
      </c>
      <c r="BK9" s="81">
        <v>1337.6113141122601</v>
      </c>
      <c r="BL9" s="81">
        <v>1363.5615999751401</v>
      </c>
      <c r="BM9" s="81">
        <v>1393.1747599371499</v>
      </c>
      <c r="BN9" s="81">
        <v>1420.6493736679799</v>
      </c>
      <c r="BO9" s="81">
        <v>1450.6894065320801</v>
      </c>
      <c r="BP9" s="81">
        <v>1479.1426547476699</v>
      </c>
      <c r="BQ9" s="81">
        <v>1512.80582786387</v>
      </c>
      <c r="BR9" s="81">
        <v>1550.0460135163901</v>
      </c>
      <c r="BS9" s="81">
        <v>1578.7005364082299</v>
      </c>
      <c r="BT9" s="81">
        <v>1616.34225650198</v>
      </c>
      <c r="BU9" s="81">
        <v>1652.18808162446</v>
      </c>
      <c r="BV9" s="81">
        <v>1651.73773196048</v>
      </c>
    </row>
    <row r="10" spans="1:74" ht="17.100000000000001" customHeight="1" x14ac:dyDescent="0.2">
      <c r="A10" s="72" t="s">
        <v>4</v>
      </c>
      <c r="B10" s="81"/>
      <c r="C10" s="81"/>
      <c r="D10" s="81"/>
      <c r="E10" s="81"/>
      <c r="F10" s="81"/>
      <c r="G10" s="81"/>
      <c r="H10" s="81">
        <v>3.4582539915079802</v>
      </c>
      <c r="I10" s="81">
        <v>3.58727567896441</v>
      </c>
      <c r="J10" s="81">
        <v>3.8063551061571901</v>
      </c>
      <c r="K10" s="81">
        <v>3.8088649493452902</v>
      </c>
      <c r="L10" s="81">
        <v>3.8443027166808199</v>
      </c>
      <c r="M10" s="81">
        <v>3.8071824327711901</v>
      </c>
      <c r="N10" s="81">
        <v>3.7534743815370102</v>
      </c>
      <c r="O10" s="81">
        <v>3.56861317846381</v>
      </c>
      <c r="P10" s="81">
        <v>3.3079595483738302</v>
      </c>
      <c r="Q10" s="81">
        <v>3.20837974803834</v>
      </c>
      <c r="R10" s="81">
        <v>3.2196759387400502</v>
      </c>
      <c r="S10" s="81">
        <v>3.2767977922761502</v>
      </c>
      <c r="T10" s="81">
        <v>3.4666228620528399</v>
      </c>
      <c r="U10" s="81">
        <v>3.5438930205340999</v>
      </c>
      <c r="V10" s="81">
        <v>3.5748164534516098</v>
      </c>
      <c r="W10" s="81">
        <v>3.5505585062295801</v>
      </c>
      <c r="X10" s="81">
        <v>3.4238124828776102</v>
      </c>
      <c r="Y10" s="81">
        <v>3.4462371925362301</v>
      </c>
      <c r="Z10" s="81">
        <v>3.5428412278352401</v>
      </c>
      <c r="AA10" s="81">
        <v>3.7518520117716498</v>
      </c>
      <c r="AB10" s="81">
        <v>4.06540649249383</v>
      </c>
      <c r="AC10" s="81">
        <v>4.1793673680882497</v>
      </c>
      <c r="AD10" s="81">
        <v>4.2471311220771497</v>
      </c>
      <c r="AE10" s="81">
        <v>4.2271004134851999</v>
      </c>
      <c r="AF10" s="81">
        <v>4.0246167199801297</v>
      </c>
      <c r="AG10" s="81">
        <v>3.9164620746385599</v>
      </c>
      <c r="AH10" s="81">
        <v>3.9030523314032699</v>
      </c>
      <c r="AI10" s="81">
        <v>3.96325340028188</v>
      </c>
      <c r="AJ10" s="81">
        <v>4.08492383942475</v>
      </c>
      <c r="AK10" s="81">
        <v>4.1195036026869598</v>
      </c>
      <c r="AL10" s="81">
        <v>4.10462892479838</v>
      </c>
      <c r="AM10" s="81">
        <v>4.1826670824799201</v>
      </c>
      <c r="AN10" s="81">
        <v>4.0804210386436397</v>
      </c>
      <c r="AO10" s="81">
        <v>4.0524008345943399</v>
      </c>
      <c r="AP10" s="81">
        <v>4.00661838116089</v>
      </c>
      <c r="AQ10" s="81">
        <v>4.2514382869614904</v>
      </c>
      <c r="AR10" s="81">
        <v>4.2560685077252502</v>
      </c>
      <c r="AS10" s="81">
        <v>4.4280605312565697</v>
      </c>
      <c r="AT10" s="81">
        <v>4.3047044044493097</v>
      </c>
      <c r="AU10" s="81">
        <v>4.90374499608519</v>
      </c>
      <c r="AV10" s="81">
        <v>4.9802162181316003</v>
      </c>
      <c r="AW10" s="81">
        <v>5.4007218769917396</v>
      </c>
      <c r="AX10" s="81">
        <v>4.1661828830359902</v>
      </c>
      <c r="AY10" s="81">
        <v>4.2595186700498404</v>
      </c>
      <c r="AZ10" s="81">
        <v>4.61430188840942</v>
      </c>
      <c r="BA10" s="81">
        <v>4.8909107449465399</v>
      </c>
      <c r="BB10" s="81">
        <v>5.1611980058820004</v>
      </c>
      <c r="BC10" s="81">
        <v>5.0129287765128803</v>
      </c>
      <c r="BD10" s="81">
        <v>4.9659580549150499</v>
      </c>
      <c r="BE10" s="81">
        <v>4.9954512495710599</v>
      </c>
      <c r="BF10" s="81">
        <v>5.2479786738232299</v>
      </c>
      <c r="BG10" s="81">
        <v>5.1583725097388697</v>
      </c>
      <c r="BH10" s="81">
        <v>5.1212278347565396</v>
      </c>
      <c r="BI10" s="81">
        <v>5.2043512457402503</v>
      </c>
      <c r="BJ10" s="81">
        <v>5.1874483640792999</v>
      </c>
      <c r="BK10" s="81">
        <v>5.2169583221969198</v>
      </c>
      <c r="BL10" s="81">
        <v>5.4180919654999302</v>
      </c>
      <c r="BM10" s="81">
        <v>5.5909201382107296</v>
      </c>
      <c r="BN10" s="81">
        <v>5.5525523575350997</v>
      </c>
      <c r="BO10" s="81">
        <v>5.6653950709299199</v>
      </c>
      <c r="BP10" s="81">
        <v>5.66655993413986</v>
      </c>
      <c r="BQ10" s="81">
        <v>5.4307380659676996</v>
      </c>
      <c r="BR10" s="81">
        <v>5.4458140103938399</v>
      </c>
      <c r="BS10" s="81">
        <v>6.60226277610096</v>
      </c>
      <c r="BT10" s="81">
        <v>5.00990653955329</v>
      </c>
      <c r="BU10" s="81">
        <v>5.4526283475389201</v>
      </c>
      <c r="BV10" s="81">
        <v>6.0190996290357202</v>
      </c>
    </row>
    <row r="11" spans="1:74" ht="17.100000000000001" customHeight="1" x14ac:dyDescent="0.2">
      <c r="A11" s="72" t="s">
        <v>5</v>
      </c>
      <c r="B11" s="81"/>
      <c r="C11" s="81"/>
      <c r="D11" s="81"/>
      <c r="E11" s="81"/>
      <c r="F11" s="81"/>
      <c r="G11" s="81"/>
      <c r="H11" s="81">
        <v>669.17401791374596</v>
      </c>
      <c r="I11" s="81">
        <v>615.35691019759304</v>
      </c>
      <c r="J11" s="81">
        <v>725.72597742453104</v>
      </c>
      <c r="K11" s="81">
        <v>807.03055220558997</v>
      </c>
      <c r="L11" s="81">
        <v>793.262418382634</v>
      </c>
      <c r="M11" s="81">
        <v>775.75988262427802</v>
      </c>
      <c r="N11" s="81">
        <v>794.189503188255</v>
      </c>
      <c r="O11" s="81">
        <v>757.26281591533495</v>
      </c>
      <c r="P11" s="81">
        <v>1140.1300356301799</v>
      </c>
      <c r="Q11" s="81">
        <v>502.41783896376597</v>
      </c>
      <c r="R11" s="81">
        <v>732.33540259645702</v>
      </c>
      <c r="S11" s="81">
        <v>785.56889751445101</v>
      </c>
      <c r="T11" s="81">
        <v>811.40241938354404</v>
      </c>
      <c r="U11" s="81">
        <v>944.88949703885305</v>
      </c>
      <c r="V11" s="81">
        <v>946.44983613772501</v>
      </c>
      <c r="W11" s="81">
        <v>805.64971515166098</v>
      </c>
      <c r="X11" s="81">
        <v>899.48119715115695</v>
      </c>
      <c r="Y11" s="81">
        <v>954.49035866149097</v>
      </c>
      <c r="Z11" s="81">
        <v>864.49324924217797</v>
      </c>
      <c r="AA11" s="81">
        <v>908.34080805958297</v>
      </c>
      <c r="AB11" s="81">
        <v>952.82885857131703</v>
      </c>
      <c r="AC11" s="81">
        <v>863.35090411862598</v>
      </c>
      <c r="AD11" s="81">
        <v>918.57771372193997</v>
      </c>
      <c r="AE11" s="81">
        <v>948.14997653135401</v>
      </c>
      <c r="AF11" s="81">
        <v>898.47987260710602</v>
      </c>
      <c r="AG11" s="81">
        <v>852.93342290502198</v>
      </c>
      <c r="AH11" s="81">
        <v>1169.75426298356</v>
      </c>
      <c r="AI11" s="81">
        <v>935.216174184848</v>
      </c>
      <c r="AJ11" s="81">
        <v>984.87035388079198</v>
      </c>
      <c r="AK11" s="81">
        <v>981.16310583978998</v>
      </c>
      <c r="AL11" s="81">
        <v>1007.0886609855201</v>
      </c>
      <c r="AM11" s="81">
        <v>1019.64077214616</v>
      </c>
      <c r="AN11" s="81">
        <v>1020.7127830345499</v>
      </c>
      <c r="AO11" s="81">
        <v>1005.01897461437</v>
      </c>
      <c r="AP11" s="81">
        <v>1038.1885993977201</v>
      </c>
      <c r="AQ11" s="81">
        <v>1066.25669607841</v>
      </c>
      <c r="AR11" s="81">
        <v>1064.0748716122901</v>
      </c>
      <c r="AS11" s="81">
        <v>1065.3327791832201</v>
      </c>
      <c r="AT11" s="81">
        <v>1057.8687252095399</v>
      </c>
      <c r="AU11" s="81">
        <v>1093.86449778766</v>
      </c>
      <c r="AV11" s="81">
        <v>1111.0299802304</v>
      </c>
      <c r="AW11" s="81">
        <v>1124.2162665787</v>
      </c>
      <c r="AX11" s="81">
        <v>1099.78011849889</v>
      </c>
      <c r="AY11" s="81">
        <v>1086.4958873252799</v>
      </c>
      <c r="AZ11" s="81">
        <v>1085.2099259484201</v>
      </c>
      <c r="BA11" s="81">
        <v>1172.5878435832501</v>
      </c>
      <c r="BB11" s="81">
        <v>1153.89275749287</v>
      </c>
      <c r="BC11" s="81">
        <v>1142.0541011399</v>
      </c>
      <c r="BD11" s="81">
        <v>1137.0845602786701</v>
      </c>
      <c r="BE11" s="81">
        <v>1144.41294470512</v>
      </c>
      <c r="BF11" s="81">
        <v>1213.75435458424</v>
      </c>
      <c r="BG11" s="81">
        <v>1205.05946586921</v>
      </c>
      <c r="BH11" s="81">
        <v>1179.3780209966701</v>
      </c>
      <c r="BI11" s="81">
        <v>1190.2228727443601</v>
      </c>
      <c r="BJ11" s="81">
        <v>1249.6263021369</v>
      </c>
      <c r="BK11" s="81">
        <v>1229.78217634782</v>
      </c>
      <c r="BL11" s="81">
        <v>1237.5107857358701</v>
      </c>
      <c r="BM11" s="81">
        <v>1220.97481029913</v>
      </c>
      <c r="BN11" s="81">
        <v>1182.4862980779401</v>
      </c>
      <c r="BO11" s="81">
        <v>1358.45717737225</v>
      </c>
      <c r="BP11" s="81">
        <v>1278.5858221395199</v>
      </c>
      <c r="BQ11" s="81">
        <v>1279.3100391750399</v>
      </c>
      <c r="BR11" s="81">
        <v>1278.76271461543</v>
      </c>
      <c r="BS11" s="81">
        <v>1327.4418268337199</v>
      </c>
      <c r="BT11" s="81">
        <v>1398.38214210041</v>
      </c>
      <c r="BU11" s="81">
        <v>1381.0344847986</v>
      </c>
      <c r="BV11" s="81">
        <v>1222.18809085371</v>
      </c>
    </row>
    <row r="12" spans="1:74" ht="17.100000000000001" customHeight="1" x14ac:dyDescent="0.2">
      <c r="A12" s="72" t="s">
        <v>6</v>
      </c>
      <c r="B12" s="81"/>
      <c r="C12" s="81"/>
      <c r="D12" s="81"/>
      <c r="E12" s="81"/>
      <c r="F12" s="81"/>
      <c r="G12" s="81"/>
      <c r="H12" s="81">
        <v>566.17529751935297</v>
      </c>
      <c r="I12" s="81">
        <v>559.87965097722201</v>
      </c>
      <c r="J12" s="81">
        <v>555.64295194552199</v>
      </c>
      <c r="K12" s="81">
        <v>564.96697996344994</v>
      </c>
      <c r="L12" s="81">
        <v>552.62571690780703</v>
      </c>
      <c r="M12" s="81">
        <v>559.23804472638994</v>
      </c>
      <c r="N12" s="81">
        <v>559.59676306360802</v>
      </c>
      <c r="O12" s="81">
        <v>561.33466866570404</v>
      </c>
      <c r="P12" s="81">
        <v>554.16682246022503</v>
      </c>
      <c r="Q12" s="81">
        <v>554.801589222031</v>
      </c>
      <c r="R12" s="81">
        <v>580.95065746563705</v>
      </c>
      <c r="S12" s="81">
        <v>571.45227285077499</v>
      </c>
      <c r="T12" s="81">
        <v>584.25683797115801</v>
      </c>
      <c r="U12" s="81">
        <v>590.16483311152899</v>
      </c>
      <c r="V12" s="81">
        <v>579.58717635024595</v>
      </c>
      <c r="W12" s="81">
        <v>427.57953497052802</v>
      </c>
      <c r="X12" s="81">
        <v>566.896330774288</v>
      </c>
      <c r="Y12" s="81">
        <v>557.86425656858398</v>
      </c>
      <c r="Z12" s="81">
        <v>554.72720788092795</v>
      </c>
      <c r="AA12" s="81">
        <v>545.16966392381198</v>
      </c>
      <c r="AB12" s="81">
        <v>552.24076173111098</v>
      </c>
      <c r="AC12" s="81">
        <v>576.15987434740498</v>
      </c>
      <c r="AD12" s="81">
        <v>546.52784973429095</v>
      </c>
      <c r="AE12" s="81">
        <v>580.215025785786</v>
      </c>
      <c r="AF12" s="81">
        <v>593.61244125899702</v>
      </c>
      <c r="AG12" s="81">
        <v>582.20881432319004</v>
      </c>
      <c r="AH12" s="81">
        <v>599.93856544163998</v>
      </c>
      <c r="AI12" s="81">
        <v>586.91865846484905</v>
      </c>
      <c r="AJ12" s="81">
        <v>571.33924159662104</v>
      </c>
      <c r="AK12" s="81">
        <v>571.61767308755896</v>
      </c>
      <c r="AL12" s="81">
        <v>540.91479319759401</v>
      </c>
      <c r="AM12" s="81">
        <v>496.69419409738498</v>
      </c>
      <c r="AN12" s="81">
        <v>433.39920865904202</v>
      </c>
      <c r="AO12" s="81">
        <v>395.61421408006697</v>
      </c>
      <c r="AP12" s="81">
        <v>372.15539321812599</v>
      </c>
      <c r="AQ12" s="81">
        <v>431.55870931376302</v>
      </c>
      <c r="AR12" s="81">
        <v>490.09035078593399</v>
      </c>
      <c r="AS12" s="81">
        <v>548.24948894249303</v>
      </c>
      <c r="AT12" s="81">
        <v>614.82101777185699</v>
      </c>
      <c r="AU12" s="81">
        <v>619.48060370622397</v>
      </c>
      <c r="AV12" s="81">
        <v>618.09758755324503</v>
      </c>
      <c r="AW12" s="81">
        <v>582.64050128993699</v>
      </c>
      <c r="AX12" s="81">
        <v>547.12957077214401</v>
      </c>
      <c r="AY12" s="81">
        <v>527.22733849005999</v>
      </c>
      <c r="AZ12" s="81">
        <v>543.06968261852501</v>
      </c>
      <c r="BA12" s="81">
        <v>563.33006579136304</v>
      </c>
      <c r="BB12" s="81">
        <v>483.30382657071999</v>
      </c>
      <c r="BC12" s="81">
        <v>477.03506375146401</v>
      </c>
      <c r="BD12" s="81">
        <v>565.80478836467796</v>
      </c>
      <c r="BE12" s="81">
        <v>497.14992849826899</v>
      </c>
      <c r="BF12" s="81">
        <v>487.48306725608597</v>
      </c>
      <c r="BG12" s="81">
        <v>514.71818557687402</v>
      </c>
      <c r="BH12" s="81">
        <v>386.39304326582197</v>
      </c>
      <c r="BI12" s="81">
        <v>587.76190079458797</v>
      </c>
      <c r="BJ12" s="81">
        <v>659.67815228721702</v>
      </c>
      <c r="BK12" s="81">
        <v>499.937537296203</v>
      </c>
      <c r="BL12" s="81">
        <v>448.49965520277902</v>
      </c>
      <c r="BM12" s="81">
        <v>500.79486349008101</v>
      </c>
      <c r="BN12" s="81">
        <v>554.05883605004499</v>
      </c>
      <c r="BO12" s="81">
        <v>589.93912923963001</v>
      </c>
      <c r="BP12" s="81">
        <v>467.32767845337401</v>
      </c>
      <c r="BQ12" s="81">
        <v>581.75888075980401</v>
      </c>
      <c r="BR12" s="81">
        <v>824.49501148146896</v>
      </c>
      <c r="BS12" s="81">
        <v>607.526399962298</v>
      </c>
      <c r="BT12" s="81">
        <v>562.02632120708301</v>
      </c>
      <c r="BU12" s="81">
        <v>637.08342929716002</v>
      </c>
      <c r="BV12" s="81">
        <v>715.94347305507495</v>
      </c>
    </row>
    <row r="13" spans="1:74" s="163" customFormat="1" ht="17.100000000000001" customHeight="1" x14ac:dyDescent="0.2">
      <c r="A13" s="160" t="s">
        <v>93</v>
      </c>
      <c r="B13" s="161"/>
      <c r="C13" s="161"/>
      <c r="D13" s="161"/>
      <c r="E13" s="161"/>
      <c r="F13" s="161"/>
      <c r="G13" s="161"/>
      <c r="H13" s="161">
        <v>4827.2019438137713</v>
      </c>
      <c r="I13" s="161">
        <v>4837.9511470164616</v>
      </c>
      <c r="J13" s="161">
        <v>5045.4055994951195</v>
      </c>
      <c r="K13" s="161">
        <v>5080.7288616592205</v>
      </c>
      <c r="L13" s="161">
        <v>5229.2667776672261</v>
      </c>
      <c r="M13" s="161">
        <v>5654.5393601666301</v>
      </c>
      <c r="N13" s="161">
        <v>5352.2273634323565</v>
      </c>
      <c r="O13" s="161">
        <v>5467.2134480832192</v>
      </c>
      <c r="P13" s="161">
        <v>5473.1409326045632</v>
      </c>
      <c r="Q13" s="161">
        <v>5450.8599941591247</v>
      </c>
      <c r="R13" s="161">
        <v>5705.4645271598929</v>
      </c>
      <c r="S13" s="161">
        <v>5710.1066034829128</v>
      </c>
      <c r="T13" s="161">
        <v>5726.9839710554661</v>
      </c>
      <c r="U13" s="161">
        <v>5683.6489504793526</v>
      </c>
      <c r="V13" s="161">
        <v>5688.4441099643554</v>
      </c>
      <c r="W13" s="161">
        <v>5393.8721690137663</v>
      </c>
      <c r="X13" s="161">
        <v>5672.9447965181625</v>
      </c>
      <c r="Y13" s="161">
        <v>5639.6676985200211</v>
      </c>
      <c r="Z13" s="161">
        <v>5982.8773250597715</v>
      </c>
      <c r="AA13" s="161">
        <v>6234.6006716962811</v>
      </c>
      <c r="AB13" s="161">
        <v>6197.9643283646355</v>
      </c>
      <c r="AC13" s="161">
        <v>6294.5184595469391</v>
      </c>
      <c r="AD13" s="161">
        <v>6463.610815473432</v>
      </c>
      <c r="AE13" s="161">
        <v>6717.3836368382345</v>
      </c>
      <c r="AF13" s="161">
        <v>6859.1499319548439</v>
      </c>
      <c r="AG13" s="161">
        <v>6774.5134802464891</v>
      </c>
      <c r="AH13" s="161">
        <v>6234.7229986264429</v>
      </c>
      <c r="AI13" s="161">
        <v>6603.0190615707925</v>
      </c>
      <c r="AJ13" s="161">
        <v>6810.0731706743036</v>
      </c>
      <c r="AK13" s="161">
        <v>7061.3088010513238</v>
      </c>
      <c r="AL13" s="161">
        <v>7254.6057887098723</v>
      </c>
      <c r="AM13" s="161">
        <v>7145.5963811189522</v>
      </c>
      <c r="AN13" s="161">
        <v>7163.8099008506551</v>
      </c>
      <c r="AO13" s="161">
        <v>7221.6637044979652</v>
      </c>
      <c r="AP13" s="161">
        <v>7504.2004393131801</v>
      </c>
      <c r="AQ13" s="161">
        <v>7734.8303660770325</v>
      </c>
      <c r="AR13" s="161">
        <v>7795.0483605980253</v>
      </c>
      <c r="AS13" s="161">
        <v>7955.7257307010132</v>
      </c>
      <c r="AT13" s="161">
        <v>8235.0953838746664</v>
      </c>
      <c r="AU13" s="161">
        <v>8306.126634881115</v>
      </c>
      <c r="AV13" s="161">
        <v>8565.2873074082891</v>
      </c>
      <c r="AW13" s="161">
        <v>8788.3074709907323</v>
      </c>
      <c r="AX13" s="161">
        <v>8519.1180868545471</v>
      </c>
      <c r="AY13" s="161">
        <v>7489.7614092702761</v>
      </c>
      <c r="AZ13" s="161">
        <v>8331.279960961112</v>
      </c>
      <c r="BA13" s="161">
        <v>8659.1468376505964</v>
      </c>
      <c r="BB13" s="161">
        <v>8751.5789724127899</v>
      </c>
      <c r="BC13" s="161">
        <v>8758.2812724174473</v>
      </c>
      <c r="BD13" s="161">
        <v>8306.221889988843</v>
      </c>
      <c r="BE13" s="161">
        <v>9394.8315772256083</v>
      </c>
      <c r="BF13" s="161">
        <v>9294.8047767828448</v>
      </c>
      <c r="BG13" s="161">
        <v>9341.6652595610103</v>
      </c>
      <c r="BH13" s="161">
        <v>9255.5266773015537</v>
      </c>
      <c r="BI13" s="161">
        <v>9203.2317993531669</v>
      </c>
      <c r="BJ13" s="161">
        <v>9383.2861788229384</v>
      </c>
      <c r="BK13" s="161">
        <v>9914.281329215768</v>
      </c>
      <c r="BL13" s="161">
        <v>10037.899294761148</v>
      </c>
      <c r="BM13" s="161">
        <v>9663.0934325953986</v>
      </c>
      <c r="BN13" s="161">
        <v>10040.640848556062</v>
      </c>
      <c r="BO13" s="161">
        <v>10001.921743957731</v>
      </c>
      <c r="BP13" s="161">
        <v>10540.581781730485</v>
      </c>
      <c r="BQ13" s="161">
        <v>10422.667245846475</v>
      </c>
      <c r="BR13" s="161">
        <v>10795.035660796511</v>
      </c>
      <c r="BS13" s="161">
        <v>10752.744433217173</v>
      </c>
      <c r="BT13" s="161">
        <v>11182.706565223467</v>
      </c>
      <c r="BU13" s="161">
        <v>11713.264400701746</v>
      </c>
      <c r="BV13" s="161">
        <v>11447.732188872542</v>
      </c>
    </row>
    <row r="14" spans="1:74" ht="17.100000000000001" customHeight="1" x14ac:dyDescent="0.2">
      <c r="A14" s="72" t="s">
        <v>8</v>
      </c>
      <c r="B14" s="81"/>
      <c r="C14" s="81"/>
      <c r="D14" s="81"/>
      <c r="E14" s="81"/>
      <c r="F14" s="81"/>
      <c r="G14" s="81"/>
      <c r="H14" s="81">
        <v>91.308042789606304</v>
      </c>
      <c r="I14" s="81">
        <v>138.90810943804999</v>
      </c>
      <c r="J14" s="81">
        <v>139.51889216924101</v>
      </c>
      <c r="K14" s="81">
        <v>157.312803949742</v>
      </c>
      <c r="L14" s="81">
        <v>198.69682285769699</v>
      </c>
      <c r="M14" s="81">
        <v>219.474998456794</v>
      </c>
      <c r="N14" s="81">
        <v>170.27061858706401</v>
      </c>
      <c r="O14" s="81">
        <v>113.040978372551</v>
      </c>
      <c r="P14" s="81">
        <v>92.935269702609503</v>
      </c>
      <c r="Q14" s="81">
        <v>93.5866666641259</v>
      </c>
      <c r="R14" s="81">
        <v>176.68682298269701</v>
      </c>
      <c r="S14" s="81">
        <v>248.78738204236001</v>
      </c>
      <c r="T14" s="81">
        <v>239.25390386397299</v>
      </c>
      <c r="U14" s="81">
        <v>161.12354117781601</v>
      </c>
      <c r="V14" s="81">
        <v>163.78259353037399</v>
      </c>
      <c r="W14" s="81">
        <v>153.00741806882601</v>
      </c>
      <c r="X14" s="81">
        <v>164.635672514275</v>
      </c>
      <c r="Y14" s="81">
        <v>120.226334326244</v>
      </c>
      <c r="Z14" s="81">
        <v>238.00720891781799</v>
      </c>
      <c r="AA14" s="81">
        <v>207.810237868538</v>
      </c>
      <c r="AB14" s="81">
        <v>177.13132240196401</v>
      </c>
      <c r="AC14" s="81">
        <v>216.37324923502101</v>
      </c>
      <c r="AD14" s="81">
        <v>246.52964402704399</v>
      </c>
      <c r="AE14" s="81">
        <v>250.545388890373</v>
      </c>
      <c r="AF14" s="81">
        <v>285.51678709290599</v>
      </c>
      <c r="AG14" s="81">
        <v>281.90023716346701</v>
      </c>
      <c r="AH14" s="81">
        <v>233.302336691806</v>
      </c>
      <c r="AI14" s="81">
        <v>222.93525548753999</v>
      </c>
      <c r="AJ14" s="81">
        <v>279.59398412798299</v>
      </c>
      <c r="AK14" s="81">
        <v>345.37619371098498</v>
      </c>
      <c r="AL14" s="81">
        <v>338.28963051802498</v>
      </c>
      <c r="AM14" s="81">
        <v>382.37404009999898</v>
      </c>
      <c r="AN14" s="81">
        <v>309.03786007599803</v>
      </c>
      <c r="AO14" s="81">
        <v>272.05235926386501</v>
      </c>
      <c r="AP14" s="81">
        <v>310.867871781453</v>
      </c>
      <c r="AQ14" s="81">
        <v>390.69717969109303</v>
      </c>
      <c r="AR14" s="81">
        <v>378.14640157593698</v>
      </c>
      <c r="AS14" s="81">
        <v>313.78305310815898</v>
      </c>
      <c r="AT14" s="81">
        <v>432.62458027082499</v>
      </c>
      <c r="AU14" s="81">
        <v>379.09663410422502</v>
      </c>
      <c r="AV14" s="81">
        <v>424.83812110358599</v>
      </c>
      <c r="AW14" s="81">
        <v>529.38902273220799</v>
      </c>
      <c r="AX14" s="81">
        <v>509.15039422869302</v>
      </c>
      <c r="AY14" s="81">
        <v>312.28085197902999</v>
      </c>
      <c r="AZ14" s="81">
        <v>594.00241774900496</v>
      </c>
      <c r="BA14" s="81">
        <v>501.288943913926</v>
      </c>
      <c r="BB14" s="81">
        <v>422.07018650236603</v>
      </c>
      <c r="BC14" s="81">
        <v>364.33897098809501</v>
      </c>
      <c r="BD14" s="81">
        <v>249.29083225623199</v>
      </c>
      <c r="BE14" s="81">
        <v>728.54994279447897</v>
      </c>
      <c r="BF14" s="81">
        <v>642.14744998461094</v>
      </c>
      <c r="BG14" s="81">
        <v>678.17167068161598</v>
      </c>
      <c r="BH14" s="81">
        <v>452.93391589039601</v>
      </c>
      <c r="BI14" s="81">
        <v>339.34337307789502</v>
      </c>
      <c r="BJ14" s="81">
        <v>525.35146104722799</v>
      </c>
      <c r="BK14" s="81">
        <v>1051.5305024997001</v>
      </c>
      <c r="BL14" s="81">
        <v>858.28183222742405</v>
      </c>
      <c r="BM14" s="81">
        <v>656.70256601149003</v>
      </c>
      <c r="BN14" s="81">
        <v>581.91062610304198</v>
      </c>
      <c r="BO14" s="81">
        <v>259.84656478141198</v>
      </c>
      <c r="BP14" s="81">
        <v>759.88169556917705</v>
      </c>
      <c r="BQ14" s="81">
        <v>709.86326011009498</v>
      </c>
      <c r="BR14" s="81">
        <v>604.55721862333803</v>
      </c>
      <c r="BS14" s="81">
        <v>377.64552165792298</v>
      </c>
      <c r="BT14" s="81">
        <v>666.03864966858396</v>
      </c>
      <c r="BU14" s="81">
        <v>906.24226901810198</v>
      </c>
      <c r="BV14" s="81">
        <v>693.32288791602605</v>
      </c>
    </row>
    <row r="15" spans="1:74" ht="17.100000000000001" customHeight="1" x14ac:dyDescent="0.2">
      <c r="A15" s="42" t="s">
        <v>9</v>
      </c>
      <c r="B15" s="81"/>
      <c r="C15" s="81"/>
      <c r="D15" s="81"/>
      <c r="E15" s="81"/>
      <c r="F15" s="81"/>
      <c r="G15" s="81"/>
      <c r="H15" s="81">
        <v>3156.45746147824</v>
      </c>
      <c r="I15" s="81">
        <v>3156.6514306490099</v>
      </c>
      <c r="J15" s="81">
        <v>3396.0411962714102</v>
      </c>
      <c r="K15" s="81">
        <v>3420.0422651878898</v>
      </c>
      <c r="L15" s="81">
        <v>3493.89002949525</v>
      </c>
      <c r="M15" s="81">
        <v>3787.4650731726701</v>
      </c>
      <c r="N15" s="81">
        <v>3340.3164550003498</v>
      </c>
      <c r="O15" s="81">
        <v>3530.4011129022401</v>
      </c>
      <c r="P15" s="81">
        <v>3624.9157461916202</v>
      </c>
      <c r="Q15" s="81">
        <v>3634.9497507770702</v>
      </c>
      <c r="R15" s="81">
        <v>3701.6915721400201</v>
      </c>
      <c r="S15" s="81">
        <v>3575.6261287301299</v>
      </c>
      <c r="T15" s="81">
        <v>3554.58199224691</v>
      </c>
      <c r="U15" s="81">
        <v>3545.66981877325</v>
      </c>
      <c r="V15" s="81">
        <v>3518.6718513454098</v>
      </c>
      <c r="W15" s="81">
        <v>3564.1427971816702</v>
      </c>
      <c r="X15" s="81">
        <v>3439.2133399252202</v>
      </c>
      <c r="Y15" s="81">
        <v>3485.53353903893</v>
      </c>
      <c r="Z15" s="81">
        <v>3678.5862747381302</v>
      </c>
      <c r="AA15" s="81">
        <v>3892.0264841498802</v>
      </c>
      <c r="AB15" s="81">
        <v>3914.0259501094602</v>
      </c>
      <c r="AC15" s="81">
        <v>3971.6392917764601</v>
      </c>
      <c r="AD15" s="81">
        <v>4071.68624721063</v>
      </c>
      <c r="AE15" s="81">
        <v>4226.7592890750102</v>
      </c>
      <c r="AF15" s="81">
        <v>4321.6762289682702</v>
      </c>
      <c r="AG15" s="81">
        <v>4208.2348230254302</v>
      </c>
      <c r="AH15" s="81">
        <v>3630.96194295142</v>
      </c>
      <c r="AI15" s="81">
        <v>4124.6688222726998</v>
      </c>
      <c r="AJ15" s="81">
        <v>4065.5686430154101</v>
      </c>
      <c r="AK15" s="81">
        <v>4165.1067446628804</v>
      </c>
      <c r="AL15" s="81">
        <v>4380.2623280428097</v>
      </c>
      <c r="AM15" s="81">
        <v>4252.5123746659001</v>
      </c>
      <c r="AN15" s="81">
        <v>4278.4004068194099</v>
      </c>
      <c r="AO15" s="81">
        <v>4335.8924219065602</v>
      </c>
      <c r="AP15" s="81">
        <v>4464.8888905507201</v>
      </c>
      <c r="AQ15" s="81">
        <v>4557.1442376179702</v>
      </c>
      <c r="AR15" s="81">
        <v>4574.2960511881702</v>
      </c>
      <c r="AS15" s="81">
        <v>4722.8603091305904</v>
      </c>
      <c r="AT15" s="81">
        <v>4821.1652250848301</v>
      </c>
      <c r="AU15" s="81">
        <v>4867.6985718926298</v>
      </c>
      <c r="AV15" s="81">
        <v>5105.9867556183299</v>
      </c>
      <c r="AW15" s="81">
        <v>5135.2682504579298</v>
      </c>
      <c r="AX15" s="81">
        <v>4791.3176922866296</v>
      </c>
      <c r="AY15" s="81">
        <v>4193.7811881672196</v>
      </c>
      <c r="AZ15" s="81">
        <v>4901.9302720486803</v>
      </c>
      <c r="BA15" s="81">
        <v>4859.8597774849204</v>
      </c>
      <c r="BB15" s="81">
        <v>4922.4367801242897</v>
      </c>
      <c r="BC15" s="81">
        <v>4964.6703565929101</v>
      </c>
      <c r="BD15" s="81">
        <v>4581.0999440829</v>
      </c>
      <c r="BE15" s="81">
        <v>5210.6015181010098</v>
      </c>
      <c r="BF15" s="81">
        <v>5317.8361110240403</v>
      </c>
      <c r="BG15" s="81">
        <v>5293.51709854193</v>
      </c>
      <c r="BH15" s="81">
        <v>5269.7376308676703</v>
      </c>
      <c r="BI15" s="81">
        <v>5313.5074425316097</v>
      </c>
      <c r="BJ15" s="81">
        <v>5259.9398355346102</v>
      </c>
      <c r="BK15" s="81">
        <v>5196.8964677108697</v>
      </c>
      <c r="BL15" s="81">
        <v>5490.4046697653803</v>
      </c>
      <c r="BM15" s="81">
        <v>5255.2844473923597</v>
      </c>
      <c r="BN15" s="81">
        <v>5528.911457614</v>
      </c>
      <c r="BO15" s="81">
        <v>5752.1071513806601</v>
      </c>
      <c r="BP15" s="81">
        <v>5809.2341932020499</v>
      </c>
      <c r="BQ15" s="81">
        <v>5684.5112009615004</v>
      </c>
      <c r="BR15" s="81">
        <v>5827.3528268484297</v>
      </c>
      <c r="BS15" s="81">
        <v>5942.2012679590598</v>
      </c>
      <c r="BT15" s="81">
        <v>6073.0876267583999</v>
      </c>
      <c r="BU15" s="81">
        <v>6209.0679998327696</v>
      </c>
      <c r="BV15" s="81">
        <v>6107.1018444060601</v>
      </c>
    </row>
    <row r="16" spans="1:74" ht="17.100000000000001" customHeight="1" x14ac:dyDescent="0.2">
      <c r="A16" s="42" t="s">
        <v>10</v>
      </c>
      <c r="B16" s="81"/>
      <c r="C16" s="81"/>
      <c r="D16" s="81"/>
      <c r="E16" s="81"/>
      <c r="F16" s="81"/>
      <c r="G16" s="81"/>
      <c r="H16" s="81">
        <v>210.09723933755299</v>
      </c>
      <c r="I16" s="81">
        <v>211.96724336276799</v>
      </c>
      <c r="J16" s="81">
        <v>218.00149782387501</v>
      </c>
      <c r="K16" s="81">
        <v>226.351193493251</v>
      </c>
      <c r="L16" s="81">
        <v>232.303608113179</v>
      </c>
      <c r="M16" s="81">
        <v>239.227271143249</v>
      </c>
      <c r="N16" s="81">
        <v>240.275488876667</v>
      </c>
      <c r="O16" s="81">
        <v>239.339565514925</v>
      </c>
      <c r="P16" s="81">
        <v>235.40375177178899</v>
      </c>
      <c r="Q16" s="81">
        <v>232.040453750377</v>
      </c>
      <c r="R16" s="81">
        <v>276.64700433491498</v>
      </c>
      <c r="S16" s="81">
        <v>276.74443636620998</v>
      </c>
      <c r="T16" s="81">
        <v>281.79193116763503</v>
      </c>
      <c r="U16" s="81">
        <v>288.00407217899101</v>
      </c>
      <c r="V16" s="81">
        <v>273.45080007995603</v>
      </c>
      <c r="W16" s="81">
        <v>279.67240265771898</v>
      </c>
      <c r="X16" s="81">
        <v>280.67772727070701</v>
      </c>
      <c r="Y16" s="81">
        <v>283.78719267760198</v>
      </c>
      <c r="Z16" s="81">
        <v>283.45137701059798</v>
      </c>
      <c r="AA16" s="81">
        <v>295.839726546973</v>
      </c>
      <c r="AB16" s="81">
        <v>302.015781309548</v>
      </c>
      <c r="AC16" s="81">
        <v>301.01526496148199</v>
      </c>
      <c r="AD16" s="81">
        <v>303.31868602833902</v>
      </c>
      <c r="AE16" s="81">
        <v>302.44611833732</v>
      </c>
      <c r="AF16" s="81">
        <v>308.922147944225</v>
      </c>
      <c r="AG16" s="81">
        <v>311.798222953915</v>
      </c>
      <c r="AH16" s="81">
        <v>313.38205220510298</v>
      </c>
      <c r="AI16" s="81">
        <v>322.86064776240602</v>
      </c>
      <c r="AJ16" s="81">
        <v>327.91498307614103</v>
      </c>
      <c r="AK16" s="81">
        <v>340.55762643789899</v>
      </c>
      <c r="AL16" s="81">
        <v>358.50831827140598</v>
      </c>
      <c r="AM16" s="81">
        <v>352.866241471911</v>
      </c>
      <c r="AN16" s="81">
        <v>363.25027784223801</v>
      </c>
      <c r="AO16" s="81">
        <v>366.34645194409802</v>
      </c>
      <c r="AP16" s="81">
        <v>364.71641863095101</v>
      </c>
      <c r="AQ16" s="81">
        <v>359.46670657151202</v>
      </c>
      <c r="AR16" s="81">
        <v>363.54782440325602</v>
      </c>
      <c r="AS16" s="81">
        <v>365.02813152881799</v>
      </c>
      <c r="AT16" s="81">
        <v>372.04883772078603</v>
      </c>
      <c r="AU16" s="81">
        <v>389.35399436903299</v>
      </c>
      <c r="AV16" s="81">
        <v>408.67984988221002</v>
      </c>
      <c r="AW16" s="81">
        <v>421.59709628386798</v>
      </c>
      <c r="AX16" s="81">
        <v>435.158712675554</v>
      </c>
      <c r="AY16" s="81">
        <v>386.45770825047401</v>
      </c>
      <c r="AZ16" s="81">
        <v>444.835654647615</v>
      </c>
      <c r="BA16" s="81">
        <v>459.06750858886801</v>
      </c>
      <c r="BB16" s="81">
        <v>467.380425751247</v>
      </c>
      <c r="BC16" s="81">
        <v>473.30484222946899</v>
      </c>
      <c r="BD16" s="81">
        <v>467.51347706369802</v>
      </c>
      <c r="BE16" s="81">
        <v>473.98323485186103</v>
      </c>
      <c r="BF16" s="81">
        <v>477.42361049502102</v>
      </c>
      <c r="BG16" s="81">
        <v>483.428487582576</v>
      </c>
      <c r="BH16" s="81">
        <v>495.89613133299298</v>
      </c>
      <c r="BI16" s="81">
        <v>511.91348882725703</v>
      </c>
      <c r="BJ16" s="81">
        <v>520.12668914722701</v>
      </c>
      <c r="BK16" s="81">
        <v>535.34557965243096</v>
      </c>
      <c r="BL16" s="81">
        <v>554.57949273020495</v>
      </c>
      <c r="BM16" s="81">
        <v>554.92391319171804</v>
      </c>
      <c r="BN16" s="81">
        <v>565.65713044250697</v>
      </c>
      <c r="BO16" s="81">
        <v>571.99004034971597</v>
      </c>
      <c r="BP16" s="81">
        <v>589.77359720042296</v>
      </c>
      <c r="BQ16" s="81">
        <v>613.90570842717102</v>
      </c>
      <c r="BR16" s="81">
        <v>641.28924935747898</v>
      </c>
      <c r="BS16" s="81">
        <v>668.89278739352801</v>
      </c>
      <c r="BT16" s="81">
        <v>744.31133362661797</v>
      </c>
      <c r="BU16" s="81">
        <v>680.695548410225</v>
      </c>
      <c r="BV16" s="81">
        <v>691.001996371671</v>
      </c>
    </row>
    <row r="17" spans="1:74" ht="17.100000000000001" customHeight="1" x14ac:dyDescent="0.2">
      <c r="A17" s="42" t="s">
        <v>11</v>
      </c>
      <c r="B17" s="81"/>
      <c r="C17" s="81"/>
      <c r="D17" s="81"/>
      <c r="E17" s="81"/>
      <c r="F17" s="81"/>
      <c r="G17" s="81"/>
      <c r="H17" s="81">
        <v>415.29276253059902</v>
      </c>
      <c r="I17" s="81">
        <v>421.55035946362898</v>
      </c>
      <c r="J17" s="81">
        <v>428.09990523731301</v>
      </c>
      <c r="K17" s="81">
        <v>436.23507995335501</v>
      </c>
      <c r="L17" s="81">
        <v>440.25080429374998</v>
      </c>
      <c r="M17" s="81">
        <v>447.54802619010297</v>
      </c>
      <c r="N17" s="81">
        <v>454.32395386462599</v>
      </c>
      <c r="O17" s="81">
        <v>462.93614882777302</v>
      </c>
      <c r="P17" s="81">
        <v>468.733574965694</v>
      </c>
      <c r="Q17" s="81">
        <v>475.04097314844199</v>
      </c>
      <c r="R17" s="81">
        <v>481.94190663872098</v>
      </c>
      <c r="S17" s="81">
        <v>490.12885970428198</v>
      </c>
      <c r="T17" s="81">
        <v>501.87121472574802</v>
      </c>
      <c r="U17" s="81">
        <v>503.67094931821498</v>
      </c>
      <c r="V17" s="81">
        <v>511.94399655928601</v>
      </c>
      <c r="W17" s="81">
        <v>518.65695327348897</v>
      </c>
      <c r="X17" s="81">
        <v>529.07145668764997</v>
      </c>
      <c r="Y17" s="81">
        <v>537.208055320075</v>
      </c>
      <c r="Z17" s="81">
        <v>545.31740786186595</v>
      </c>
      <c r="AA17" s="81">
        <v>553.60733208892998</v>
      </c>
      <c r="AB17" s="81">
        <v>560.22683037024296</v>
      </c>
      <c r="AC17" s="81">
        <v>569.05721418536496</v>
      </c>
      <c r="AD17" s="81">
        <v>579.89291377829898</v>
      </c>
      <c r="AE17" s="81">
        <v>588.03320543356097</v>
      </c>
      <c r="AF17" s="81">
        <v>597.91608473002304</v>
      </c>
      <c r="AG17" s="81">
        <v>605.53630983385801</v>
      </c>
      <c r="AH17" s="81">
        <v>615.83133733895397</v>
      </c>
      <c r="AI17" s="81">
        <v>622.44833929218601</v>
      </c>
      <c r="AJ17" s="81">
        <v>631.77033277934004</v>
      </c>
      <c r="AK17" s="81">
        <v>641.53328675353998</v>
      </c>
      <c r="AL17" s="81">
        <v>648.22179699522201</v>
      </c>
      <c r="AM17" s="81">
        <v>656.51200696104195</v>
      </c>
      <c r="AN17" s="81">
        <v>660.57148287882001</v>
      </c>
      <c r="AO17" s="81">
        <v>667.01189184575298</v>
      </c>
      <c r="AP17" s="81">
        <v>673.23230680941697</v>
      </c>
      <c r="AQ17" s="81">
        <v>680.92821020149802</v>
      </c>
      <c r="AR17" s="81">
        <v>689.93713490861296</v>
      </c>
      <c r="AS17" s="81">
        <v>698.634092268475</v>
      </c>
      <c r="AT17" s="81">
        <v>705.99829732389503</v>
      </c>
      <c r="AU17" s="81">
        <v>714.03029586727598</v>
      </c>
      <c r="AV17" s="81">
        <v>719.56897772483296</v>
      </c>
      <c r="AW17" s="81">
        <v>725.98587878301601</v>
      </c>
      <c r="AX17" s="81">
        <v>735.88280049215098</v>
      </c>
      <c r="AY17" s="81">
        <v>742.26667325812298</v>
      </c>
      <c r="AZ17" s="81">
        <v>751.83614832430203</v>
      </c>
      <c r="BA17" s="81">
        <v>761.11283201582103</v>
      </c>
      <c r="BB17" s="81">
        <v>769.68051681477698</v>
      </c>
      <c r="BC17" s="81">
        <v>780.38688351374401</v>
      </c>
      <c r="BD17" s="81">
        <v>795.98942830249302</v>
      </c>
      <c r="BE17" s="81">
        <v>809.64926815275896</v>
      </c>
      <c r="BF17" s="81">
        <v>820.46338638206203</v>
      </c>
      <c r="BG17" s="81">
        <v>829.27736834852897</v>
      </c>
      <c r="BH17" s="81">
        <v>833.30512310009499</v>
      </c>
      <c r="BI17" s="81">
        <v>841.36834795564403</v>
      </c>
      <c r="BJ17" s="81">
        <v>852.691271748193</v>
      </c>
      <c r="BK17" s="81">
        <v>864.12954784849603</v>
      </c>
      <c r="BL17" s="81">
        <v>877.32881912108905</v>
      </c>
      <c r="BM17" s="81">
        <v>886.85905245365905</v>
      </c>
      <c r="BN17" s="81">
        <v>896.91367303192305</v>
      </c>
      <c r="BO17" s="81">
        <v>910.28543913967303</v>
      </c>
      <c r="BP17" s="81">
        <v>907.78700245087498</v>
      </c>
      <c r="BQ17" s="81">
        <v>914.52619634512803</v>
      </c>
      <c r="BR17" s="81">
        <v>918.35800389455403</v>
      </c>
      <c r="BS17" s="81">
        <v>924.24439055549101</v>
      </c>
      <c r="BT17" s="81">
        <v>933.30750872629403</v>
      </c>
      <c r="BU17" s="81">
        <v>945.05976789272995</v>
      </c>
      <c r="BV17" s="81">
        <v>957.26184135233405</v>
      </c>
    </row>
    <row r="18" spans="1:74" ht="17.100000000000001" customHeight="1" x14ac:dyDescent="0.2">
      <c r="A18" s="72" t="s">
        <v>12</v>
      </c>
      <c r="B18" s="81"/>
      <c r="C18" s="81"/>
      <c r="D18" s="81"/>
      <c r="E18" s="81"/>
      <c r="F18" s="81"/>
      <c r="G18" s="81"/>
      <c r="H18" s="81">
        <v>954.04643767777304</v>
      </c>
      <c r="I18" s="81">
        <v>908.87400410300495</v>
      </c>
      <c r="J18" s="81">
        <v>863.74410799328098</v>
      </c>
      <c r="K18" s="81">
        <v>840.78751907498304</v>
      </c>
      <c r="L18" s="81">
        <v>864.12551290734996</v>
      </c>
      <c r="M18" s="81">
        <v>960.82399120381399</v>
      </c>
      <c r="N18" s="81">
        <v>1147.0408471036501</v>
      </c>
      <c r="O18" s="81">
        <v>1121.49564246573</v>
      </c>
      <c r="P18" s="81">
        <v>1051.1525899728499</v>
      </c>
      <c r="Q18" s="81">
        <v>1015.24214981911</v>
      </c>
      <c r="R18" s="81">
        <v>1068.4972210635401</v>
      </c>
      <c r="S18" s="81">
        <v>1118.81979663993</v>
      </c>
      <c r="T18" s="81">
        <v>1149.4849290512</v>
      </c>
      <c r="U18" s="81">
        <v>1185.18056903108</v>
      </c>
      <c r="V18" s="81">
        <v>1220.5948684493301</v>
      </c>
      <c r="W18" s="81">
        <v>878.39259783206205</v>
      </c>
      <c r="X18" s="81">
        <v>1259.3466001203101</v>
      </c>
      <c r="Y18" s="81">
        <v>1212.9125771571701</v>
      </c>
      <c r="Z18" s="81">
        <v>1237.51505653136</v>
      </c>
      <c r="AA18" s="81">
        <v>1285.3168910419599</v>
      </c>
      <c r="AB18" s="81">
        <v>1244.56444417342</v>
      </c>
      <c r="AC18" s="81">
        <v>1236.4334393886099</v>
      </c>
      <c r="AD18" s="81">
        <v>1262.1833244291199</v>
      </c>
      <c r="AE18" s="81">
        <v>1349.5996351019701</v>
      </c>
      <c r="AF18" s="81">
        <v>1345.1186832194201</v>
      </c>
      <c r="AG18" s="81">
        <v>1367.0438872698201</v>
      </c>
      <c r="AH18" s="81">
        <v>1441.2453294391601</v>
      </c>
      <c r="AI18" s="81">
        <v>1310.1059967559599</v>
      </c>
      <c r="AJ18" s="81">
        <v>1505.22522767543</v>
      </c>
      <c r="AK18" s="81">
        <v>1568.73494948602</v>
      </c>
      <c r="AL18" s="81">
        <v>1529.3237148824101</v>
      </c>
      <c r="AM18" s="81">
        <v>1501.3317179200999</v>
      </c>
      <c r="AN18" s="81">
        <v>1552.54987323419</v>
      </c>
      <c r="AO18" s="81">
        <v>1580.36057953769</v>
      </c>
      <c r="AP18" s="81">
        <v>1690.4949515406399</v>
      </c>
      <c r="AQ18" s="81">
        <v>1746.59403199496</v>
      </c>
      <c r="AR18" s="81">
        <v>1789.12094852205</v>
      </c>
      <c r="AS18" s="81">
        <v>1855.4201446649699</v>
      </c>
      <c r="AT18" s="81">
        <v>1903.2584434743301</v>
      </c>
      <c r="AU18" s="81">
        <v>1955.9471386479499</v>
      </c>
      <c r="AV18" s="81">
        <v>1906.2136030793299</v>
      </c>
      <c r="AW18" s="81">
        <v>1976.06722273371</v>
      </c>
      <c r="AX18" s="81">
        <v>2047.60848717152</v>
      </c>
      <c r="AY18" s="81">
        <v>1854.9749876154301</v>
      </c>
      <c r="AZ18" s="81">
        <v>1638.6754681915099</v>
      </c>
      <c r="BA18" s="81">
        <v>2077.81777564706</v>
      </c>
      <c r="BB18" s="81">
        <v>2170.0110632201099</v>
      </c>
      <c r="BC18" s="81">
        <v>2175.58021909323</v>
      </c>
      <c r="BD18" s="81">
        <v>2212.3282082835199</v>
      </c>
      <c r="BE18" s="81">
        <v>2172.0476133255002</v>
      </c>
      <c r="BF18" s="81">
        <v>2036.93421889711</v>
      </c>
      <c r="BG18" s="81">
        <v>2057.2706344063599</v>
      </c>
      <c r="BH18" s="81">
        <v>2203.6538761103998</v>
      </c>
      <c r="BI18" s="81">
        <v>2197.0991469607602</v>
      </c>
      <c r="BJ18" s="81">
        <v>2225.1769213456801</v>
      </c>
      <c r="BK18" s="81">
        <v>2266.3792315042701</v>
      </c>
      <c r="BL18" s="81">
        <v>2257.3044809170501</v>
      </c>
      <c r="BM18" s="81">
        <v>2309.3234535461702</v>
      </c>
      <c r="BN18" s="81">
        <v>2467.2479613645901</v>
      </c>
      <c r="BO18" s="81">
        <v>2507.6925483062701</v>
      </c>
      <c r="BP18" s="81">
        <v>2473.9052933079602</v>
      </c>
      <c r="BQ18" s="81">
        <v>2499.86088000258</v>
      </c>
      <c r="BR18" s="81">
        <v>2803.4783620727098</v>
      </c>
      <c r="BS18" s="81">
        <v>2839.7604656511699</v>
      </c>
      <c r="BT18" s="81">
        <v>2765.9614464435699</v>
      </c>
      <c r="BU18" s="81">
        <v>2972.1988155479198</v>
      </c>
      <c r="BV18" s="81">
        <v>2999.0436188264498</v>
      </c>
    </row>
    <row r="19" spans="1:74" s="163" customFormat="1" ht="17.100000000000001" customHeight="1" x14ac:dyDescent="0.2">
      <c r="A19" s="160" t="s">
        <v>94</v>
      </c>
      <c r="B19" s="161"/>
      <c r="C19" s="161"/>
      <c r="D19" s="161"/>
      <c r="E19" s="161"/>
      <c r="F19" s="161"/>
      <c r="G19" s="161"/>
      <c r="H19" s="161">
        <v>7877.7985520758575</v>
      </c>
      <c r="I19" s="161">
        <v>8234.0425300443003</v>
      </c>
      <c r="J19" s="161">
        <v>9154.5646461273209</v>
      </c>
      <c r="K19" s="161">
        <v>9167.8919274806904</v>
      </c>
      <c r="L19" s="161">
        <v>9452.0913184096607</v>
      </c>
      <c r="M19" s="161">
        <v>9458.9791403454583</v>
      </c>
      <c r="N19" s="161">
        <v>9928.7760876189532</v>
      </c>
      <c r="O19" s="161">
        <v>9149.6942005474812</v>
      </c>
      <c r="P19" s="161">
        <v>9559.6879610958804</v>
      </c>
      <c r="Q19" s="161">
        <v>9479.3433227651276</v>
      </c>
      <c r="R19" s="161">
        <v>9924.5286113802522</v>
      </c>
      <c r="S19" s="161">
        <v>10075.780985805706</v>
      </c>
      <c r="T19" s="161">
        <v>10355.400453788909</v>
      </c>
      <c r="U19" s="161">
        <v>10071.588717386521</v>
      </c>
      <c r="V19" s="161">
        <v>9954.1623484575794</v>
      </c>
      <c r="W19" s="161">
        <v>10159.311959166591</v>
      </c>
      <c r="X19" s="161">
        <v>9850.8713408585609</v>
      </c>
      <c r="Y19" s="161">
        <v>10159.794207142484</v>
      </c>
      <c r="Z19" s="161">
        <v>10894.889832725274</v>
      </c>
      <c r="AA19" s="161">
        <v>11550.655133414655</v>
      </c>
      <c r="AB19" s="161">
        <v>10614.951727464737</v>
      </c>
      <c r="AC19" s="161">
        <v>11241.189269645261</v>
      </c>
      <c r="AD19" s="161">
        <v>11449.704287397408</v>
      </c>
      <c r="AE19" s="161">
        <v>11604.974744667517</v>
      </c>
      <c r="AF19" s="161">
        <v>11954.947388810742</v>
      </c>
      <c r="AG19" s="161">
        <v>12066.116684875971</v>
      </c>
      <c r="AH19" s="161">
        <v>11510.078047620076</v>
      </c>
      <c r="AI19" s="161">
        <v>11643.517827581198</v>
      </c>
      <c r="AJ19" s="161">
        <v>11609.621001761832</v>
      </c>
      <c r="AK19" s="161">
        <v>11580.560829364564</v>
      </c>
      <c r="AL19" s="161">
        <v>11815.395456883523</v>
      </c>
      <c r="AM19" s="161">
        <v>12220.120740543669</v>
      </c>
      <c r="AN19" s="161">
        <v>12483.63363985451</v>
      </c>
      <c r="AO19" s="161">
        <v>12810.474117448342</v>
      </c>
      <c r="AP19" s="161">
        <v>12877.387727211428</v>
      </c>
      <c r="AQ19" s="161">
        <v>13038.562038800737</v>
      </c>
      <c r="AR19" s="161">
        <v>13373.209130162208</v>
      </c>
      <c r="AS19" s="161">
        <v>13359.0724580018</v>
      </c>
      <c r="AT19" s="161">
        <v>13646.548260634505</v>
      </c>
      <c r="AU19" s="161">
        <v>13787.096284742958</v>
      </c>
      <c r="AV19" s="161">
        <v>14323.204876889458</v>
      </c>
      <c r="AW19" s="161">
        <v>14346.25459654215</v>
      </c>
      <c r="AX19" s="161">
        <v>13846.43614589123</v>
      </c>
      <c r="AY19" s="161">
        <v>12995.289909442072</v>
      </c>
      <c r="AZ19" s="161">
        <v>13868.84471452003</v>
      </c>
      <c r="BA19" s="161">
        <v>14031.988246852614</v>
      </c>
      <c r="BB19" s="161">
        <v>14589.98623942144</v>
      </c>
      <c r="BC19" s="161">
        <v>14537.278322561893</v>
      </c>
      <c r="BD19" s="161">
        <v>14353.276233891616</v>
      </c>
      <c r="BE19" s="161">
        <v>14863.887189476265</v>
      </c>
      <c r="BF19" s="161">
        <v>15180.112455445455</v>
      </c>
      <c r="BG19" s="161">
        <v>14912.122656121221</v>
      </c>
      <c r="BH19" s="161">
        <v>15676.092686250831</v>
      </c>
      <c r="BI19" s="161">
        <v>15605.012731317576</v>
      </c>
      <c r="BJ19" s="161">
        <v>15449.460479071306</v>
      </c>
      <c r="BK19" s="161">
        <v>16108.64940338901</v>
      </c>
      <c r="BL19" s="161">
        <v>16111.275193363286</v>
      </c>
      <c r="BM19" s="161">
        <v>16963.042060138148</v>
      </c>
      <c r="BN19" s="161">
        <v>16708.755744885682</v>
      </c>
      <c r="BO19" s="161">
        <v>17056.080839700004</v>
      </c>
      <c r="BP19" s="161">
        <v>17116.937317695159</v>
      </c>
      <c r="BQ19" s="161">
        <v>17379.740017756561</v>
      </c>
      <c r="BR19" s="161">
        <v>18163.327167978528</v>
      </c>
      <c r="BS19" s="161">
        <v>17910.007535502835</v>
      </c>
      <c r="BT19" s="161">
        <v>18088.758294998075</v>
      </c>
      <c r="BU19" s="161">
        <v>18487.026394894703</v>
      </c>
      <c r="BV19" s="161">
        <v>19235.410114725852</v>
      </c>
    </row>
    <row r="20" spans="1:74" ht="17.100000000000001" customHeight="1" x14ac:dyDescent="0.2">
      <c r="A20" s="82" t="s">
        <v>52</v>
      </c>
      <c r="B20" s="81"/>
      <c r="C20" s="81"/>
      <c r="D20" s="81"/>
      <c r="E20" s="81"/>
      <c r="F20" s="81"/>
      <c r="G20" s="81"/>
      <c r="H20" s="81">
        <v>2159.3657041657598</v>
      </c>
      <c r="I20" s="81">
        <v>2086.94884117836</v>
      </c>
      <c r="J20" s="81">
        <v>2045.39429697676</v>
      </c>
      <c r="K20" s="81">
        <v>2096.7325599924102</v>
      </c>
      <c r="L20" s="81">
        <v>1970.6234161626001</v>
      </c>
      <c r="M20" s="81">
        <v>2266.0341969921301</v>
      </c>
      <c r="N20" s="81">
        <v>2893.6019996944501</v>
      </c>
      <c r="O20" s="81">
        <v>2053.2946702002901</v>
      </c>
      <c r="P20" s="81">
        <v>2344.1148604403802</v>
      </c>
      <c r="Q20" s="81">
        <v>2209.1358247851399</v>
      </c>
      <c r="R20" s="81">
        <v>2315.1791802686298</v>
      </c>
      <c r="S20" s="81">
        <v>2388.17436717603</v>
      </c>
      <c r="T20" s="81">
        <v>2521.60256781722</v>
      </c>
      <c r="U20" s="81">
        <v>2326.4070322653802</v>
      </c>
      <c r="V20" s="81">
        <v>2296.5946592110399</v>
      </c>
      <c r="W20" s="81">
        <v>2365.1587159600799</v>
      </c>
      <c r="X20" s="81">
        <v>2264.1637470498699</v>
      </c>
      <c r="Y20" s="81">
        <v>2262.7740633797798</v>
      </c>
      <c r="Z20" s="81">
        <v>2359.7572984826802</v>
      </c>
      <c r="AA20" s="81">
        <v>2444.7033225728201</v>
      </c>
      <c r="AB20" s="81">
        <v>2322.6386508021601</v>
      </c>
      <c r="AC20" s="81">
        <v>2417.5378193382899</v>
      </c>
      <c r="AD20" s="81">
        <v>2429.6336691001202</v>
      </c>
      <c r="AE20" s="81">
        <v>2454.9981754061801</v>
      </c>
      <c r="AF20" s="81">
        <v>2624.06644321043</v>
      </c>
      <c r="AG20" s="81">
        <v>2614.2436416862502</v>
      </c>
      <c r="AH20" s="81">
        <v>2317.5565467904999</v>
      </c>
      <c r="AI20" s="81">
        <v>2410.27097377883</v>
      </c>
      <c r="AJ20" s="81">
        <v>2399.7064591169301</v>
      </c>
      <c r="AK20" s="81">
        <v>2400.0511765720398</v>
      </c>
      <c r="AL20" s="81">
        <v>2491.6320697968499</v>
      </c>
      <c r="AM20" s="81">
        <v>2550.8726621810101</v>
      </c>
      <c r="AN20" s="81">
        <v>2545.0513786770598</v>
      </c>
      <c r="AO20" s="81">
        <v>2661.75370531215</v>
      </c>
      <c r="AP20" s="81">
        <v>2667.72682185639</v>
      </c>
      <c r="AQ20" s="81">
        <v>2695.7573330681698</v>
      </c>
      <c r="AR20" s="81">
        <v>2754.7692558212598</v>
      </c>
      <c r="AS20" s="81">
        <v>2738.0507458699699</v>
      </c>
      <c r="AT20" s="81">
        <v>2824.02971500893</v>
      </c>
      <c r="AU20" s="81">
        <v>2768.55244351397</v>
      </c>
      <c r="AV20" s="81">
        <v>2889.7532772198701</v>
      </c>
      <c r="AW20" s="81">
        <v>2875.7512459934901</v>
      </c>
      <c r="AX20" s="81">
        <v>2741.0012257519502</v>
      </c>
      <c r="AY20" s="81">
        <v>2432.5078613194401</v>
      </c>
      <c r="AZ20" s="81">
        <v>2808.8514756849099</v>
      </c>
      <c r="BA20" s="81">
        <v>2672.1519362013601</v>
      </c>
      <c r="BB20" s="81">
        <v>2676.1342261764098</v>
      </c>
      <c r="BC20" s="81">
        <v>2716.6006954808199</v>
      </c>
      <c r="BD20" s="81">
        <v>2640.1611565164699</v>
      </c>
      <c r="BE20" s="81">
        <v>2801.1509300512998</v>
      </c>
      <c r="BF20" s="81">
        <v>2922.0391474191802</v>
      </c>
      <c r="BG20" s="81">
        <v>2880.4046002447199</v>
      </c>
      <c r="BH20" s="81">
        <v>2796.3352244487601</v>
      </c>
      <c r="BI20" s="81">
        <v>2885.1204664441402</v>
      </c>
      <c r="BJ20" s="81">
        <v>2911.0589360255499</v>
      </c>
      <c r="BK20" s="81">
        <v>3088.3656504544201</v>
      </c>
      <c r="BL20" s="81">
        <v>3137.9789082451198</v>
      </c>
      <c r="BM20" s="81">
        <v>3152.1587279857599</v>
      </c>
      <c r="BN20" s="81">
        <v>3181.40531852187</v>
      </c>
      <c r="BO20" s="81">
        <v>3302.9569500197799</v>
      </c>
      <c r="BP20" s="81">
        <v>3463.0725768382299</v>
      </c>
      <c r="BQ20" s="81">
        <v>3401.8196748236501</v>
      </c>
      <c r="BR20" s="81">
        <v>3528.2279694020899</v>
      </c>
      <c r="BS20" s="81">
        <v>3531.9888441338899</v>
      </c>
      <c r="BT20" s="81">
        <v>3678.7300456806602</v>
      </c>
      <c r="BU20" s="81">
        <v>3574.9233514028801</v>
      </c>
      <c r="BV20" s="81">
        <v>3713.9337654481301</v>
      </c>
    </row>
    <row r="21" spans="1:74" ht="17.100000000000001" customHeight="1" x14ac:dyDescent="0.2">
      <c r="A21" s="82" t="s">
        <v>53</v>
      </c>
      <c r="B21" s="81"/>
      <c r="C21" s="81"/>
      <c r="D21" s="81"/>
      <c r="E21" s="81"/>
      <c r="F21" s="81"/>
      <c r="G21" s="81"/>
      <c r="H21" s="81">
        <v>577.408351131583</v>
      </c>
      <c r="I21" s="81">
        <v>587.31496101223297</v>
      </c>
      <c r="J21" s="81">
        <v>579.64974413515802</v>
      </c>
      <c r="K21" s="81">
        <v>595.18026333539797</v>
      </c>
      <c r="L21" s="81">
        <v>593.37478488330305</v>
      </c>
      <c r="M21" s="81">
        <v>626.31308876016897</v>
      </c>
      <c r="N21" s="81">
        <v>706.96393176971901</v>
      </c>
      <c r="O21" s="81">
        <v>636.95214436881997</v>
      </c>
      <c r="P21" s="81">
        <v>706.07110035709104</v>
      </c>
      <c r="Q21" s="81">
        <v>681.31487823958798</v>
      </c>
      <c r="R21" s="81">
        <v>685.90048847012304</v>
      </c>
      <c r="S21" s="81">
        <v>686.86170707009398</v>
      </c>
      <c r="T21" s="81">
        <v>727.24938578450497</v>
      </c>
      <c r="U21" s="81">
        <v>720.46335959054295</v>
      </c>
      <c r="V21" s="81">
        <v>713.59398120916899</v>
      </c>
      <c r="W21" s="81">
        <v>733.92372314622401</v>
      </c>
      <c r="X21" s="81">
        <v>743.10267209032304</v>
      </c>
      <c r="Y21" s="81">
        <v>762.41893292701104</v>
      </c>
      <c r="Z21" s="81">
        <v>779.45846298114895</v>
      </c>
      <c r="AA21" s="81">
        <v>785.61129638273201</v>
      </c>
      <c r="AB21" s="81">
        <v>789.15658736758405</v>
      </c>
      <c r="AC21" s="81">
        <v>805.35364449082101</v>
      </c>
      <c r="AD21" s="81">
        <v>826.68873276965905</v>
      </c>
      <c r="AE21" s="81">
        <v>849.769651941142</v>
      </c>
      <c r="AF21" s="81">
        <v>871.58364253086302</v>
      </c>
      <c r="AG21" s="81">
        <v>929.727984198542</v>
      </c>
      <c r="AH21" s="81">
        <v>862.80788188845997</v>
      </c>
      <c r="AI21" s="81">
        <v>873.61460394808705</v>
      </c>
      <c r="AJ21" s="81">
        <v>878.50331553400997</v>
      </c>
      <c r="AK21" s="81">
        <v>891.13045374475803</v>
      </c>
      <c r="AL21" s="81">
        <v>906.95272270366104</v>
      </c>
      <c r="AM21" s="81">
        <v>943.77338910039498</v>
      </c>
      <c r="AN21" s="81">
        <v>977.70567878004204</v>
      </c>
      <c r="AO21" s="81">
        <v>998.87536014592695</v>
      </c>
      <c r="AP21" s="81">
        <v>1013.75115993012</v>
      </c>
      <c r="AQ21" s="81">
        <v>1035.33480539278</v>
      </c>
      <c r="AR21" s="81">
        <v>1014.74503243309</v>
      </c>
      <c r="AS21" s="81">
        <v>1003.1621506448899</v>
      </c>
      <c r="AT21" s="81">
        <v>1008.91371344655</v>
      </c>
      <c r="AU21" s="81">
        <v>1030.2021692488499</v>
      </c>
      <c r="AV21" s="81">
        <v>1069.41966382741</v>
      </c>
      <c r="AW21" s="81">
        <v>1018.2284926137399</v>
      </c>
      <c r="AX21" s="81">
        <v>975.26644659175497</v>
      </c>
      <c r="AY21" s="81">
        <v>924.10794780999402</v>
      </c>
      <c r="AZ21" s="81">
        <v>1007.84418766158</v>
      </c>
      <c r="BA21" s="81">
        <v>985.11456258028795</v>
      </c>
      <c r="BB21" s="81">
        <v>978.00632634429201</v>
      </c>
      <c r="BC21" s="81">
        <v>1003.69481858283</v>
      </c>
      <c r="BD21" s="81">
        <v>934.59814120957401</v>
      </c>
      <c r="BE21" s="81">
        <v>957.83840595824597</v>
      </c>
      <c r="BF21" s="81">
        <v>1001.0506050947899</v>
      </c>
      <c r="BG21" s="81">
        <v>924.90097130362506</v>
      </c>
      <c r="BH21" s="81">
        <v>884.12070365374598</v>
      </c>
      <c r="BI21" s="81">
        <v>930.60912493557896</v>
      </c>
      <c r="BJ21" s="81">
        <v>899.72561538709101</v>
      </c>
      <c r="BK21" s="81">
        <v>901.82796533330497</v>
      </c>
      <c r="BL21" s="81">
        <v>947.47739927843304</v>
      </c>
      <c r="BM21" s="81">
        <v>985.77450823800802</v>
      </c>
      <c r="BN21" s="81">
        <v>1009.8546072516</v>
      </c>
      <c r="BO21" s="81">
        <v>1047.7904792300601</v>
      </c>
      <c r="BP21" s="81">
        <v>1086.7628259046701</v>
      </c>
      <c r="BQ21" s="81">
        <v>1079.45345459541</v>
      </c>
      <c r="BR21" s="81">
        <v>1142.1218003670999</v>
      </c>
      <c r="BS21" s="81">
        <v>1174.57489160568</v>
      </c>
      <c r="BT21" s="81">
        <v>1168.1289119432699</v>
      </c>
      <c r="BU21" s="81">
        <v>1207.71852530975</v>
      </c>
      <c r="BV21" s="81">
        <v>1213.9120318707201</v>
      </c>
    </row>
    <row r="22" spans="1:74" ht="17.100000000000001" customHeight="1" x14ac:dyDescent="0.2">
      <c r="A22" s="82" t="s">
        <v>55</v>
      </c>
      <c r="B22" s="81"/>
      <c r="C22" s="81"/>
      <c r="D22" s="81"/>
      <c r="E22" s="81"/>
      <c r="F22" s="81"/>
      <c r="G22" s="81"/>
      <c r="H22" s="81">
        <v>448.66006159344198</v>
      </c>
      <c r="I22" s="81">
        <v>492.99910923375199</v>
      </c>
      <c r="J22" s="81">
        <v>479.14730516124303</v>
      </c>
      <c r="K22" s="81">
        <v>491.13597386251399</v>
      </c>
      <c r="L22" s="81">
        <v>462.07116289696302</v>
      </c>
      <c r="M22" s="81">
        <v>491.68247844702802</v>
      </c>
      <c r="N22" s="81">
        <v>540.61115142436495</v>
      </c>
      <c r="O22" s="81">
        <v>550.297803177677</v>
      </c>
      <c r="P22" s="81">
        <v>559.04976511135601</v>
      </c>
      <c r="Q22" s="81">
        <v>562.662087956194</v>
      </c>
      <c r="R22" s="81">
        <v>545.99776528209304</v>
      </c>
      <c r="S22" s="81">
        <v>563.62054401200101</v>
      </c>
      <c r="T22" s="81">
        <v>604.07364070710003</v>
      </c>
      <c r="U22" s="81">
        <v>560.75169040156504</v>
      </c>
      <c r="V22" s="81">
        <v>578.97278590095402</v>
      </c>
      <c r="W22" s="81">
        <v>598.04113971640004</v>
      </c>
      <c r="X22" s="81">
        <v>606.27166937008099</v>
      </c>
      <c r="Y22" s="81">
        <v>615.05772562911102</v>
      </c>
      <c r="Z22" s="81">
        <v>676.97803387799001</v>
      </c>
      <c r="AA22" s="81">
        <v>651.81564778969698</v>
      </c>
      <c r="AB22" s="81">
        <v>641.18481361742704</v>
      </c>
      <c r="AC22" s="81">
        <v>628.06516676558704</v>
      </c>
      <c r="AD22" s="81">
        <v>631.36762767165305</v>
      </c>
      <c r="AE22" s="81">
        <v>637.39494569386602</v>
      </c>
      <c r="AF22" s="81">
        <v>634.76940899774695</v>
      </c>
      <c r="AG22" s="81">
        <v>659.41665027737702</v>
      </c>
      <c r="AH22" s="81">
        <v>721.97493151739604</v>
      </c>
      <c r="AI22" s="81">
        <v>671.61428287477099</v>
      </c>
      <c r="AJ22" s="81">
        <v>750.41616071228702</v>
      </c>
      <c r="AK22" s="81">
        <v>796.00838929731106</v>
      </c>
      <c r="AL22" s="81">
        <v>809.54404002137903</v>
      </c>
      <c r="AM22" s="81">
        <v>861.19730069967102</v>
      </c>
      <c r="AN22" s="81">
        <v>889.95129576551699</v>
      </c>
      <c r="AO22" s="81">
        <v>885.52997640878903</v>
      </c>
      <c r="AP22" s="81">
        <v>890.83790401106796</v>
      </c>
      <c r="AQ22" s="81">
        <v>882.62604790316504</v>
      </c>
      <c r="AR22" s="81">
        <v>897.26272059501503</v>
      </c>
      <c r="AS22" s="81">
        <v>878.32653198282401</v>
      </c>
      <c r="AT22" s="81">
        <v>891.58196930202803</v>
      </c>
      <c r="AU22" s="81">
        <v>890.26376728020796</v>
      </c>
      <c r="AV22" s="81">
        <v>963.64241859765605</v>
      </c>
      <c r="AW22" s="81">
        <v>951.00331991171697</v>
      </c>
      <c r="AX22" s="81">
        <v>878.96924697240001</v>
      </c>
      <c r="AY22" s="81">
        <v>469.96561594691599</v>
      </c>
      <c r="AZ22" s="81">
        <v>748.41278752381004</v>
      </c>
      <c r="BA22" s="81">
        <v>765.37968336460403</v>
      </c>
      <c r="BB22" s="81">
        <v>920.60669565243302</v>
      </c>
      <c r="BC22" s="81">
        <v>805.33958310158698</v>
      </c>
      <c r="BD22" s="81">
        <v>773.92907524351801</v>
      </c>
      <c r="BE22" s="81">
        <v>883.70023976990296</v>
      </c>
      <c r="BF22" s="81">
        <v>762.25089940030398</v>
      </c>
      <c r="BG22" s="81">
        <v>736.04440115615205</v>
      </c>
      <c r="BH22" s="81">
        <v>784.70512297916696</v>
      </c>
      <c r="BI22" s="81">
        <v>893.25802047707498</v>
      </c>
      <c r="BJ22" s="81">
        <v>886.72716800244802</v>
      </c>
      <c r="BK22" s="81">
        <v>971.77710710911299</v>
      </c>
      <c r="BL22" s="81">
        <v>953.41403772619697</v>
      </c>
      <c r="BM22" s="81">
        <v>901.079469135914</v>
      </c>
      <c r="BN22" s="81">
        <v>1014.39851899845</v>
      </c>
      <c r="BO22" s="81">
        <v>1140.4445714278199</v>
      </c>
      <c r="BP22" s="81">
        <v>1066.88997961068</v>
      </c>
      <c r="BQ22" s="81">
        <v>1078.2732646520401</v>
      </c>
      <c r="BR22" s="81">
        <v>1154.1330423854899</v>
      </c>
      <c r="BS22" s="81">
        <v>940.02387244252304</v>
      </c>
      <c r="BT22" s="81">
        <v>1238.85055286033</v>
      </c>
      <c r="BU22" s="81">
        <v>1261.0830023972201</v>
      </c>
      <c r="BV22" s="81">
        <v>1193.8490112591101</v>
      </c>
    </row>
    <row r="23" spans="1:74" ht="17.100000000000001" customHeight="1" x14ac:dyDescent="0.2">
      <c r="A23" s="82" t="s">
        <v>54</v>
      </c>
      <c r="B23" s="81"/>
      <c r="C23" s="81"/>
      <c r="D23" s="81"/>
      <c r="E23" s="81"/>
      <c r="F23" s="81"/>
      <c r="G23" s="81"/>
      <c r="H23" s="81">
        <v>151.714719728582</v>
      </c>
      <c r="I23" s="81">
        <v>212.26718720345801</v>
      </c>
      <c r="J23" s="81">
        <v>225.436829407321</v>
      </c>
      <c r="K23" s="81">
        <v>233.511577349612</v>
      </c>
      <c r="L23" s="81">
        <v>238.34072819473801</v>
      </c>
      <c r="M23" s="81">
        <v>233.021697891738</v>
      </c>
      <c r="N23" s="81">
        <v>242.72294072806201</v>
      </c>
      <c r="O23" s="81">
        <v>282.62781823907102</v>
      </c>
      <c r="P23" s="81">
        <v>267.52276516802101</v>
      </c>
      <c r="Q23" s="81">
        <v>287.41880900030401</v>
      </c>
      <c r="R23" s="81">
        <v>315.02546659932602</v>
      </c>
      <c r="S23" s="81">
        <v>311.23028925189197</v>
      </c>
      <c r="T23" s="81">
        <v>320.10053404502401</v>
      </c>
      <c r="U23" s="81">
        <v>334.08063070353001</v>
      </c>
      <c r="V23" s="81">
        <v>366.573488302155</v>
      </c>
      <c r="W23" s="81">
        <v>373.19724025736701</v>
      </c>
      <c r="X23" s="81">
        <v>404.98336605426402</v>
      </c>
      <c r="Y23" s="81">
        <v>401.12610560943602</v>
      </c>
      <c r="Z23" s="81">
        <v>387.19778709140502</v>
      </c>
      <c r="AA23" s="81">
        <v>403.68528630900602</v>
      </c>
      <c r="AB23" s="81">
        <v>379.24229681155202</v>
      </c>
      <c r="AC23" s="81">
        <v>389.66973848674098</v>
      </c>
      <c r="AD23" s="81">
        <v>396.62588010251199</v>
      </c>
      <c r="AE23" s="81">
        <v>403.11497622582402</v>
      </c>
      <c r="AF23" s="81">
        <v>430.194025349642</v>
      </c>
      <c r="AG23" s="81">
        <v>441.06293873311103</v>
      </c>
      <c r="AH23" s="81">
        <v>407.266875886067</v>
      </c>
      <c r="AI23" s="81">
        <v>511.87144962474298</v>
      </c>
      <c r="AJ23" s="81">
        <v>493.31030662032703</v>
      </c>
      <c r="AK23" s="81">
        <v>525.22123302523005</v>
      </c>
      <c r="AL23" s="81">
        <v>551.88039620359405</v>
      </c>
      <c r="AM23" s="81">
        <v>560.727274026592</v>
      </c>
      <c r="AN23" s="81">
        <v>563.82567249527301</v>
      </c>
      <c r="AO23" s="81">
        <v>583.37514165873301</v>
      </c>
      <c r="AP23" s="81">
        <v>607.30688789470196</v>
      </c>
      <c r="AQ23" s="81">
        <v>599.05930037273004</v>
      </c>
      <c r="AR23" s="81">
        <v>546.36982496221901</v>
      </c>
      <c r="AS23" s="81">
        <v>527.94239938706903</v>
      </c>
      <c r="AT23" s="81">
        <v>540.40927931201202</v>
      </c>
      <c r="AU23" s="81">
        <v>576.86373187502397</v>
      </c>
      <c r="AV23" s="81">
        <v>656.12413707931501</v>
      </c>
      <c r="AW23" s="81">
        <v>695.29544884230495</v>
      </c>
      <c r="AX23" s="81">
        <v>650.82391434972101</v>
      </c>
      <c r="AY23" s="81">
        <v>620.33050852022495</v>
      </c>
      <c r="AZ23" s="81">
        <v>658.48320984417603</v>
      </c>
      <c r="BA23" s="81">
        <v>707.11590529196701</v>
      </c>
      <c r="BB23" s="81">
        <v>762.18263475744504</v>
      </c>
      <c r="BC23" s="81">
        <v>803.60529696420394</v>
      </c>
      <c r="BD23" s="81">
        <v>748.51346438471603</v>
      </c>
      <c r="BE23" s="81">
        <v>780.14147780955398</v>
      </c>
      <c r="BF23" s="81">
        <v>803.30134311052802</v>
      </c>
      <c r="BG23" s="81">
        <v>816.37419539157702</v>
      </c>
      <c r="BH23" s="81">
        <v>782.52352496226104</v>
      </c>
      <c r="BI23" s="81">
        <v>823.91752104290595</v>
      </c>
      <c r="BJ23" s="81">
        <v>904.46809131079704</v>
      </c>
      <c r="BK23" s="81">
        <v>961.48468266341899</v>
      </c>
      <c r="BL23" s="81">
        <v>992.40463552413496</v>
      </c>
      <c r="BM23" s="81">
        <v>971.34915209747203</v>
      </c>
      <c r="BN23" s="81">
        <v>918.298781186361</v>
      </c>
      <c r="BO23" s="81">
        <v>794.87830863807005</v>
      </c>
      <c r="BP23" s="81">
        <v>997.04238544561497</v>
      </c>
      <c r="BQ23" s="81">
        <v>953.65023553427704</v>
      </c>
      <c r="BR23" s="81">
        <v>1074.0643659294999</v>
      </c>
      <c r="BS23" s="81">
        <v>898.80691699152703</v>
      </c>
      <c r="BT23" s="81">
        <v>938.78234821959597</v>
      </c>
      <c r="BU23" s="81">
        <v>994.06561128288899</v>
      </c>
      <c r="BV23" s="81">
        <v>1240.7614327833401</v>
      </c>
    </row>
    <row r="24" spans="1:74" ht="17.100000000000001" customHeight="1" x14ac:dyDescent="0.2">
      <c r="A24" s="82" t="s">
        <v>72</v>
      </c>
      <c r="B24" s="81"/>
      <c r="C24" s="81"/>
      <c r="D24" s="81"/>
      <c r="E24" s="81"/>
      <c r="F24" s="81"/>
      <c r="G24" s="81"/>
      <c r="H24" s="81">
        <v>350.88539981712</v>
      </c>
      <c r="I24" s="81">
        <v>425.70783167387401</v>
      </c>
      <c r="J24" s="81">
        <v>456.49999927575402</v>
      </c>
      <c r="K24" s="81">
        <v>456.26922245543199</v>
      </c>
      <c r="L24" s="81">
        <v>561.17859356403301</v>
      </c>
      <c r="M24" s="81">
        <v>466.74791443977801</v>
      </c>
      <c r="N24" s="81">
        <v>423.02780672666103</v>
      </c>
      <c r="O24" s="81">
        <v>504.62010136788899</v>
      </c>
      <c r="P24" s="81">
        <v>486.535800565562</v>
      </c>
      <c r="Q24" s="81">
        <v>471.830259576988</v>
      </c>
      <c r="R24" s="81">
        <v>497.53525566288101</v>
      </c>
      <c r="S24" s="81">
        <v>481.02283414298103</v>
      </c>
      <c r="T24" s="81">
        <v>511.59879417907302</v>
      </c>
      <c r="U24" s="81">
        <v>521.05031947981297</v>
      </c>
      <c r="V24" s="81">
        <v>523.32300953617403</v>
      </c>
      <c r="W24" s="81">
        <v>537.15597777651601</v>
      </c>
      <c r="X24" s="81">
        <v>550.11470054941901</v>
      </c>
      <c r="Y24" s="81">
        <v>592.03295809397196</v>
      </c>
      <c r="Z24" s="81">
        <v>647.32132458382898</v>
      </c>
      <c r="AA24" s="81">
        <v>675.01913513793704</v>
      </c>
      <c r="AB24" s="81">
        <v>626.165100165166</v>
      </c>
      <c r="AC24" s="81">
        <v>740.89700999799402</v>
      </c>
      <c r="AD24" s="81">
        <v>678.27324530876899</v>
      </c>
      <c r="AE24" s="81">
        <v>686.84696462242005</v>
      </c>
      <c r="AF24" s="81">
        <v>761.13866760530505</v>
      </c>
      <c r="AG24" s="81">
        <v>756.37935733017696</v>
      </c>
      <c r="AH24" s="81">
        <v>750.17127475013297</v>
      </c>
      <c r="AI24" s="81">
        <v>726.87391876886602</v>
      </c>
      <c r="AJ24" s="81">
        <v>698.26516601215701</v>
      </c>
      <c r="AK24" s="81">
        <v>689.08917027836003</v>
      </c>
      <c r="AL24" s="81">
        <v>739.55180575211102</v>
      </c>
      <c r="AM24" s="81">
        <v>744.29630200522502</v>
      </c>
      <c r="AN24" s="81">
        <v>728.49830191031697</v>
      </c>
      <c r="AO24" s="81">
        <v>752.25948905716496</v>
      </c>
      <c r="AP24" s="81">
        <v>700.77875121484101</v>
      </c>
      <c r="AQ24" s="81">
        <v>755.36295670716595</v>
      </c>
      <c r="AR24" s="81">
        <v>761.00849620297197</v>
      </c>
      <c r="AS24" s="81">
        <v>800.93077486333095</v>
      </c>
      <c r="AT24" s="81">
        <v>827.95186939042503</v>
      </c>
      <c r="AU24" s="81">
        <v>869.67437003092596</v>
      </c>
      <c r="AV24" s="81">
        <v>919.82484784444796</v>
      </c>
      <c r="AW24" s="81">
        <v>943.31179382443804</v>
      </c>
      <c r="AX24" s="81">
        <v>908.26117041580699</v>
      </c>
      <c r="AY24" s="81">
        <v>799.46144461708298</v>
      </c>
      <c r="AZ24" s="81">
        <v>950.735712527602</v>
      </c>
      <c r="BA24" s="81">
        <v>920.41316591647001</v>
      </c>
      <c r="BB24" s="81">
        <v>1012.65639689074</v>
      </c>
      <c r="BC24" s="81">
        <v>973.44504040818697</v>
      </c>
      <c r="BD24" s="81">
        <v>955.26422066265695</v>
      </c>
      <c r="BE24" s="81">
        <v>939.48438610614699</v>
      </c>
      <c r="BF24" s="81">
        <v>1098.59431954499</v>
      </c>
      <c r="BG24" s="81">
        <v>1039.3236657421701</v>
      </c>
      <c r="BH24" s="81">
        <v>979.68230197218497</v>
      </c>
      <c r="BI24" s="81">
        <v>1067.66365891543</v>
      </c>
      <c r="BJ24" s="81">
        <v>917.10610630803399</v>
      </c>
      <c r="BK24" s="81">
        <v>1094.2681657057201</v>
      </c>
      <c r="BL24" s="81">
        <v>996.38114906658598</v>
      </c>
      <c r="BM24" s="81">
        <v>1046.1264194851101</v>
      </c>
      <c r="BN24" s="81">
        <v>994.12027025600003</v>
      </c>
      <c r="BO24" s="81">
        <v>1100.5731746921699</v>
      </c>
      <c r="BP24" s="81">
        <v>1104.4643176516799</v>
      </c>
      <c r="BQ24" s="81">
        <v>1057.37142729947</v>
      </c>
      <c r="BR24" s="81">
        <v>1071.64498943033</v>
      </c>
      <c r="BS24" s="81">
        <v>1105.95338578817</v>
      </c>
      <c r="BT24" s="81">
        <v>1187.0006304608401</v>
      </c>
      <c r="BU24" s="81">
        <v>1137.80934452872</v>
      </c>
      <c r="BV24" s="81">
        <v>1137.24314958743</v>
      </c>
    </row>
    <row r="25" spans="1:74" ht="17.100000000000001" customHeight="1" x14ac:dyDescent="0.2">
      <c r="A25" s="82" t="s">
        <v>14</v>
      </c>
      <c r="B25" s="81"/>
      <c r="C25" s="81"/>
      <c r="D25" s="81"/>
      <c r="E25" s="81"/>
      <c r="F25" s="81"/>
      <c r="G25" s="81"/>
      <c r="H25" s="81">
        <v>1117.14052285966</v>
      </c>
      <c r="I25" s="81">
        <v>1174.2904134728301</v>
      </c>
      <c r="J25" s="81">
        <v>1208.79079940101</v>
      </c>
      <c r="K25" s="81">
        <v>1239.40251129803</v>
      </c>
      <c r="L25" s="81">
        <v>1261.1895863907901</v>
      </c>
      <c r="M25" s="81">
        <v>1185.0592570001299</v>
      </c>
      <c r="N25" s="81">
        <v>1250.3212682104599</v>
      </c>
      <c r="O25" s="81">
        <v>1183.5899501525701</v>
      </c>
      <c r="P25" s="81">
        <v>1206.3115363909901</v>
      </c>
      <c r="Q25" s="81">
        <v>1234.84254390309</v>
      </c>
      <c r="R25" s="81">
        <v>1278.4934170218801</v>
      </c>
      <c r="S25" s="81">
        <v>1376.8830498188299</v>
      </c>
      <c r="T25" s="81">
        <v>1331.6945368124</v>
      </c>
      <c r="U25" s="81">
        <v>1311.4840098353</v>
      </c>
      <c r="V25" s="81">
        <v>1349.6476263095501</v>
      </c>
      <c r="W25" s="81">
        <v>1346.05959629739</v>
      </c>
      <c r="X25" s="81">
        <v>1379.76856815519</v>
      </c>
      <c r="Y25" s="81">
        <v>1422.6369056572501</v>
      </c>
      <c r="Z25" s="81">
        <v>1435.86992896482</v>
      </c>
      <c r="AA25" s="81">
        <v>1435.58888892306</v>
      </c>
      <c r="AB25" s="81">
        <v>1461.3618573091101</v>
      </c>
      <c r="AC25" s="81">
        <v>1495.0693965355199</v>
      </c>
      <c r="AD25" s="81">
        <v>1514.83127009395</v>
      </c>
      <c r="AE25" s="81">
        <v>1572.3718350096201</v>
      </c>
      <c r="AF25" s="81">
        <v>1611.3173893015401</v>
      </c>
      <c r="AG25" s="81">
        <v>1590.64565099725</v>
      </c>
      <c r="AH25" s="81">
        <v>1603.81685694046</v>
      </c>
      <c r="AI25" s="81">
        <v>1606.01353665332</v>
      </c>
      <c r="AJ25" s="81">
        <v>1583.8368803589501</v>
      </c>
      <c r="AK25" s="81">
        <v>1600.35739722686</v>
      </c>
      <c r="AL25" s="81">
        <v>1635.94229650335</v>
      </c>
      <c r="AM25" s="81">
        <v>1695.61894977975</v>
      </c>
      <c r="AN25" s="81">
        <v>1734.5157979901801</v>
      </c>
      <c r="AO25" s="81">
        <v>1816.7352951810501</v>
      </c>
      <c r="AP25" s="81">
        <v>1835.2793343160099</v>
      </c>
      <c r="AQ25" s="81">
        <v>1884.2201643957001</v>
      </c>
      <c r="AR25" s="81">
        <v>1981.12916940079</v>
      </c>
      <c r="AS25" s="81">
        <v>2005.2966420786699</v>
      </c>
      <c r="AT25" s="81">
        <v>2026.76858502405</v>
      </c>
      <c r="AU25" s="81">
        <v>1994.88002827276</v>
      </c>
      <c r="AV25" s="81">
        <v>2072.9171726842901</v>
      </c>
      <c r="AW25" s="81">
        <v>2030.0600803324301</v>
      </c>
      <c r="AX25" s="81">
        <v>2150.8039577795598</v>
      </c>
      <c r="AY25" s="81">
        <v>2164.32987402346</v>
      </c>
      <c r="AZ25" s="81">
        <v>2153.36888561258</v>
      </c>
      <c r="BA25" s="81">
        <v>2158.5904005569701</v>
      </c>
      <c r="BB25" s="81">
        <v>2185.73077470004</v>
      </c>
      <c r="BC25" s="81">
        <v>2246.53969511993</v>
      </c>
      <c r="BD25" s="81">
        <v>2304.4305093482699</v>
      </c>
      <c r="BE25" s="81">
        <v>2368.68261173364</v>
      </c>
      <c r="BF25" s="81">
        <v>2402.2627434538599</v>
      </c>
      <c r="BG25" s="81">
        <v>2453.6201342040499</v>
      </c>
      <c r="BH25" s="81">
        <v>2506.6080674565801</v>
      </c>
      <c r="BI25" s="81">
        <v>2537.4083317284199</v>
      </c>
      <c r="BJ25" s="81">
        <v>2553.8673923095998</v>
      </c>
      <c r="BK25" s="81">
        <v>2639.6839018987898</v>
      </c>
      <c r="BL25" s="81">
        <v>2691.9177405374598</v>
      </c>
      <c r="BM25" s="81">
        <v>2751.0312265734701</v>
      </c>
      <c r="BN25" s="81">
        <v>2770.20378784992</v>
      </c>
      <c r="BO25" s="81">
        <v>2784.24197599543</v>
      </c>
      <c r="BP25" s="81">
        <v>2785.47732943243</v>
      </c>
      <c r="BQ25" s="81">
        <v>2836.4331460140402</v>
      </c>
      <c r="BR25" s="81">
        <v>2955.5021497840598</v>
      </c>
      <c r="BS25" s="81">
        <v>2957.6745634682702</v>
      </c>
      <c r="BT25" s="81">
        <v>3014.0004480398102</v>
      </c>
      <c r="BU25" s="81">
        <v>3011.5102351464898</v>
      </c>
      <c r="BV25" s="81">
        <v>3156.4644743967101</v>
      </c>
    </row>
    <row r="26" spans="1:74" ht="17.100000000000001" customHeight="1" x14ac:dyDescent="0.2">
      <c r="A26" s="82" t="s">
        <v>56</v>
      </c>
      <c r="B26" s="81"/>
      <c r="C26" s="81"/>
      <c r="D26" s="81"/>
      <c r="E26" s="81"/>
      <c r="F26" s="81"/>
      <c r="G26" s="81"/>
      <c r="H26" s="81">
        <v>208.60657960224901</v>
      </c>
      <c r="I26" s="81">
        <v>315.39959002999598</v>
      </c>
      <c r="J26" s="81">
        <v>1128.9822272906399</v>
      </c>
      <c r="K26" s="81">
        <v>1037.2488951796599</v>
      </c>
      <c r="L26" s="81">
        <v>1073.2724300187499</v>
      </c>
      <c r="M26" s="81">
        <v>875.42915859237996</v>
      </c>
      <c r="N26" s="81">
        <v>608.92565566818598</v>
      </c>
      <c r="O26" s="81">
        <v>668.22707153954104</v>
      </c>
      <c r="P26" s="81">
        <v>595.01759976832295</v>
      </c>
      <c r="Q26" s="81">
        <v>644.17043811787505</v>
      </c>
      <c r="R26" s="81">
        <v>922.07803705289405</v>
      </c>
      <c r="S26" s="81">
        <v>820.36996479389495</v>
      </c>
      <c r="T26" s="81">
        <v>803.78509426092501</v>
      </c>
      <c r="U26" s="81">
        <v>778.70138102336296</v>
      </c>
      <c r="V26" s="81">
        <v>649.85961101583905</v>
      </c>
      <c r="W26" s="81">
        <v>770.30062440793097</v>
      </c>
      <c r="X26" s="81">
        <v>619.88347479192601</v>
      </c>
      <c r="Y26" s="81">
        <v>737.15363859092497</v>
      </c>
      <c r="Z26" s="81">
        <v>855.41458024106601</v>
      </c>
      <c r="AA26" s="81">
        <v>823.03520467231203</v>
      </c>
      <c r="AB26" s="81">
        <v>743.86078037106904</v>
      </c>
      <c r="AC26" s="81">
        <v>702.031804496615</v>
      </c>
      <c r="AD26" s="81">
        <v>739.24321560361602</v>
      </c>
      <c r="AE26" s="81">
        <v>688.848664523867</v>
      </c>
      <c r="AF26" s="81">
        <v>712.80573917367497</v>
      </c>
      <c r="AG26" s="81">
        <v>782.16260344591603</v>
      </c>
      <c r="AH26" s="81">
        <v>697.72581517478102</v>
      </c>
      <c r="AI26" s="81">
        <v>674.22468886827198</v>
      </c>
      <c r="AJ26" s="81">
        <v>654.91818165547704</v>
      </c>
      <c r="AK26" s="81">
        <v>583.77572836689603</v>
      </c>
      <c r="AL26" s="81">
        <v>541.45822063230503</v>
      </c>
      <c r="AM26" s="81">
        <v>557.40653858094697</v>
      </c>
      <c r="AN26" s="81">
        <v>612.58419677432596</v>
      </c>
      <c r="AO26" s="81">
        <v>613.72257788090701</v>
      </c>
      <c r="AP26" s="81">
        <v>625.52696176105701</v>
      </c>
      <c r="AQ26" s="81">
        <v>656.74756311121405</v>
      </c>
      <c r="AR26" s="81">
        <v>628.10892581179905</v>
      </c>
      <c r="AS26" s="81">
        <v>584.42929217317703</v>
      </c>
      <c r="AT26" s="81">
        <v>679.315756609505</v>
      </c>
      <c r="AU26" s="81">
        <v>773.07901462966095</v>
      </c>
      <c r="AV26" s="81">
        <v>837.011796998764</v>
      </c>
      <c r="AW26" s="81">
        <v>757.08567552793204</v>
      </c>
      <c r="AX26" s="81">
        <v>506.07814604384401</v>
      </c>
      <c r="AY26" s="81">
        <v>634.17229448611499</v>
      </c>
      <c r="AZ26" s="81">
        <v>586.69658128976801</v>
      </c>
      <c r="BA26" s="81">
        <v>698.36427928811997</v>
      </c>
      <c r="BB26" s="81">
        <v>754.84708444034902</v>
      </c>
      <c r="BC26" s="81">
        <v>745.64212072315001</v>
      </c>
      <c r="BD26" s="81">
        <v>789.52490985563497</v>
      </c>
      <c r="BE26" s="81">
        <v>740.42248061175997</v>
      </c>
      <c r="BF26" s="81">
        <v>651.61426593133001</v>
      </c>
      <c r="BG26" s="81">
        <v>684.00639994995595</v>
      </c>
      <c r="BH26" s="81">
        <v>1204.0052076925999</v>
      </c>
      <c r="BI26" s="81">
        <v>879.61430412670404</v>
      </c>
      <c r="BJ26" s="81">
        <v>825.11030799626894</v>
      </c>
      <c r="BK26" s="81">
        <v>781.68143158503801</v>
      </c>
      <c r="BL26" s="81">
        <v>732.30261774662597</v>
      </c>
      <c r="BM26" s="81">
        <v>1293.32618246779</v>
      </c>
      <c r="BN26" s="81">
        <v>907.502337108804</v>
      </c>
      <c r="BO26" s="81">
        <v>895.66343919067003</v>
      </c>
      <c r="BP26" s="81">
        <v>809.39947680833995</v>
      </c>
      <c r="BQ26" s="81">
        <v>976.13608540666098</v>
      </c>
      <c r="BR26" s="81">
        <v>1036.8483853948301</v>
      </c>
      <c r="BS26" s="81">
        <v>1072.5717659583599</v>
      </c>
      <c r="BT26" s="81">
        <v>882.67036970987601</v>
      </c>
      <c r="BU26" s="81">
        <v>781.85012570752099</v>
      </c>
      <c r="BV26" s="81">
        <v>1114.29623068556</v>
      </c>
    </row>
    <row r="27" spans="1:74" ht="17.100000000000001" customHeight="1" x14ac:dyDescent="0.2">
      <c r="A27" s="82" t="s">
        <v>57</v>
      </c>
      <c r="B27" s="81"/>
      <c r="C27" s="81"/>
      <c r="D27" s="81"/>
      <c r="E27" s="81"/>
      <c r="F27" s="81"/>
      <c r="G27" s="81"/>
      <c r="H27" s="81">
        <v>338.85429786627901</v>
      </c>
      <c r="I27" s="81">
        <v>344.82058170806602</v>
      </c>
      <c r="J27" s="81">
        <v>381.94810590581199</v>
      </c>
      <c r="K27" s="81">
        <v>413.38656985668803</v>
      </c>
      <c r="L27" s="81">
        <v>446.209153586215</v>
      </c>
      <c r="M27" s="81">
        <v>504.189025364288</v>
      </c>
      <c r="N27" s="81">
        <v>485.80476069841598</v>
      </c>
      <c r="O27" s="81">
        <v>512.02667433946203</v>
      </c>
      <c r="P27" s="81">
        <v>503.659457925879</v>
      </c>
      <c r="Q27" s="81">
        <v>487.382056500045</v>
      </c>
      <c r="R27" s="81">
        <v>449.24884320552297</v>
      </c>
      <c r="S27" s="81">
        <v>438.17969918683599</v>
      </c>
      <c r="T27" s="81">
        <v>434.87602864522</v>
      </c>
      <c r="U27" s="81">
        <v>416.09277469027899</v>
      </c>
      <c r="V27" s="81">
        <v>413.63277171539301</v>
      </c>
      <c r="W27" s="81">
        <v>400.48208272600903</v>
      </c>
      <c r="X27" s="81">
        <v>410.95793929199198</v>
      </c>
      <c r="Y27" s="81">
        <v>426.15757480654401</v>
      </c>
      <c r="Z27" s="81">
        <v>458.81426956074898</v>
      </c>
      <c r="AA27" s="81">
        <v>502.67094430565601</v>
      </c>
      <c r="AB27" s="81">
        <v>531.51774230323701</v>
      </c>
      <c r="AC27" s="81">
        <v>576.729736538775</v>
      </c>
      <c r="AD27" s="81">
        <v>587.09573049826804</v>
      </c>
      <c r="AE27" s="81">
        <v>561.63517631958996</v>
      </c>
      <c r="AF27" s="81">
        <v>524.58367849940703</v>
      </c>
      <c r="AG27" s="81">
        <v>516.04396933630005</v>
      </c>
      <c r="AH27" s="81">
        <v>444.46560412419899</v>
      </c>
      <c r="AI27" s="81">
        <v>459.23855402531001</v>
      </c>
      <c r="AJ27" s="81">
        <v>464.90143636628198</v>
      </c>
      <c r="AK27" s="81">
        <v>471.17566519080998</v>
      </c>
      <c r="AL27" s="81">
        <v>481.62521436031602</v>
      </c>
      <c r="AM27" s="81">
        <v>483.65797126577303</v>
      </c>
      <c r="AN27" s="81">
        <v>482.60378768673701</v>
      </c>
      <c r="AO27" s="81">
        <v>483.46495534110301</v>
      </c>
      <c r="AP27" s="81">
        <v>504.16348968496698</v>
      </c>
      <c r="AQ27" s="81">
        <v>529.51731500850599</v>
      </c>
      <c r="AR27" s="81">
        <v>551.26201870966304</v>
      </c>
      <c r="AS27" s="81">
        <v>570.13139950013601</v>
      </c>
      <c r="AT27" s="81">
        <v>597.93904985451195</v>
      </c>
      <c r="AU27" s="81">
        <v>625.12961703002395</v>
      </c>
      <c r="AV27" s="81">
        <v>636.26951074760802</v>
      </c>
      <c r="AW27" s="81">
        <v>658.83896137484498</v>
      </c>
      <c r="AX27" s="81">
        <v>606.96032898973704</v>
      </c>
      <c r="AY27" s="81">
        <v>616.01772768894102</v>
      </c>
      <c r="AZ27" s="81">
        <v>630.45438448829805</v>
      </c>
      <c r="BA27" s="81">
        <v>649.16810033923605</v>
      </c>
      <c r="BB27" s="81">
        <v>651.81849032280002</v>
      </c>
      <c r="BC27" s="81">
        <v>642.62685127479199</v>
      </c>
      <c r="BD27" s="81">
        <v>647.05599111936294</v>
      </c>
      <c r="BE27" s="81">
        <v>670.31324118734801</v>
      </c>
      <c r="BF27" s="81">
        <v>665.044736060643</v>
      </c>
      <c r="BG27" s="81">
        <v>681.06086251084298</v>
      </c>
      <c r="BH27" s="81">
        <v>773.66432284616496</v>
      </c>
      <c r="BI27" s="81">
        <v>774.971287624365</v>
      </c>
      <c r="BJ27" s="81">
        <v>797.305292200336</v>
      </c>
      <c r="BK27" s="81">
        <v>792.50823880366102</v>
      </c>
      <c r="BL27" s="81">
        <v>780.36153610716804</v>
      </c>
      <c r="BM27" s="81">
        <v>770.21462693633305</v>
      </c>
      <c r="BN27" s="81">
        <v>848.01305755473004</v>
      </c>
      <c r="BO27" s="81">
        <v>851.35811250418203</v>
      </c>
      <c r="BP27" s="81">
        <v>805.17407111247803</v>
      </c>
      <c r="BQ27" s="81">
        <v>804.42922601629095</v>
      </c>
      <c r="BR27" s="81">
        <v>943.12789382924404</v>
      </c>
      <c r="BS27" s="81">
        <v>847.46728682493404</v>
      </c>
      <c r="BT27" s="81">
        <v>860.33484171796101</v>
      </c>
      <c r="BU27" s="81">
        <v>1107.65556303682</v>
      </c>
      <c r="BV27" s="81">
        <v>1019.24322544948</v>
      </c>
    </row>
    <row r="28" spans="1:74" ht="17.100000000000001" customHeight="1" x14ac:dyDescent="0.2">
      <c r="A28" s="82" t="s">
        <v>15</v>
      </c>
      <c r="B28" s="81"/>
      <c r="C28" s="81"/>
      <c r="D28" s="81"/>
      <c r="E28" s="81"/>
      <c r="F28" s="81"/>
      <c r="G28" s="81"/>
      <c r="H28" s="81">
        <v>325.92272292274203</v>
      </c>
      <c r="I28" s="81">
        <v>351.477308478098</v>
      </c>
      <c r="J28" s="81">
        <v>386.52835478167799</v>
      </c>
      <c r="K28" s="81">
        <v>414.300450202202</v>
      </c>
      <c r="L28" s="81">
        <v>463.180028333351</v>
      </c>
      <c r="M28" s="81">
        <v>441.46955605337899</v>
      </c>
      <c r="N28" s="81">
        <v>418.487039948617</v>
      </c>
      <c r="O28" s="81">
        <v>410.92722970072401</v>
      </c>
      <c r="P28" s="81">
        <v>415.45399456229802</v>
      </c>
      <c r="Q28" s="81">
        <v>422.51571706661002</v>
      </c>
      <c r="R28" s="81">
        <v>399.134359617104</v>
      </c>
      <c r="S28" s="81">
        <v>427.40272750716201</v>
      </c>
      <c r="T28" s="81">
        <v>429.519513698396</v>
      </c>
      <c r="U28" s="81">
        <v>412.74265442123601</v>
      </c>
      <c r="V28" s="81">
        <v>415.88848005087198</v>
      </c>
      <c r="W28" s="81">
        <v>408.88451714038098</v>
      </c>
      <c r="X28" s="81">
        <v>385.54388063442701</v>
      </c>
      <c r="Y28" s="81">
        <v>392.30751918641101</v>
      </c>
      <c r="Z28" s="81">
        <v>437.67633457911802</v>
      </c>
      <c r="AA28" s="81">
        <v>461.11656651645501</v>
      </c>
      <c r="AB28" s="81">
        <v>491.32012264580902</v>
      </c>
      <c r="AC28" s="81">
        <v>536.82691121732501</v>
      </c>
      <c r="AD28" s="81">
        <v>531.64353747888902</v>
      </c>
      <c r="AE28" s="81">
        <v>523.00451686017698</v>
      </c>
      <c r="AF28" s="81">
        <v>533.10704189443697</v>
      </c>
      <c r="AG28" s="81">
        <v>548.94959589291295</v>
      </c>
      <c r="AH28" s="81">
        <v>555.24985497876798</v>
      </c>
      <c r="AI28" s="81">
        <v>622.59257837975201</v>
      </c>
      <c r="AJ28" s="81">
        <v>624.20655903637396</v>
      </c>
      <c r="AK28" s="81">
        <v>644.26778286200397</v>
      </c>
      <c r="AL28" s="81">
        <v>677.37547674477901</v>
      </c>
      <c r="AM28" s="81">
        <v>736.769067055606</v>
      </c>
      <c r="AN28" s="81">
        <v>745.92827424018299</v>
      </c>
      <c r="AO28" s="81">
        <v>744.96944797144101</v>
      </c>
      <c r="AP28" s="81">
        <v>732.45231633631499</v>
      </c>
      <c r="AQ28" s="81">
        <v>712.30312471826596</v>
      </c>
      <c r="AR28" s="81">
        <v>748.31140090374197</v>
      </c>
      <c r="AS28" s="81">
        <v>733.16213584803404</v>
      </c>
      <c r="AT28" s="81">
        <v>768.69198267312299</v>
      </c>
      <c r="AU28" s="81">
        <v>811.96778277953194</v>
      </c>
      <c r="AV28" s="81">
        <v>852.43267064629197</v>
      </c>
      <c r="AW28" s="81">
        <v>891.15095094914705</v>
      </c>
      <c r="AX28" s="81">
        <v>893.66277341680097</v>
      </c>
      <c r="AY28" s="81">
        <v>915.60695382177096</v>
      </c>
      <c r="AZ28" s="81">
        <v>963.39475783655803</v>
      </c>
      <c r="BA28" s="81">
        <v>982.821074004401</v>
      </c>
      <c r="BB28" s="81">
        <v>1098.8315402573201</v>
      </c>
      <c r="BC28" s="81">
        <v>947.67297361987596</v>
      </c>
      <c r="BD28" s="81">
        <v>1034.54981992226</v>
      </c>
      <c r="BE28" s="81">
        <v>1015.40800990875</v>
      </c>
      <c r="BF28" s="81">
        <v>1060.91055557599</v>
      </c>
      <c r="BG28" s="81">
        <v>1018.0687894720101</v>
      </c>
      <c r="BH28" s="81">
        <v>1136.6941993405201</v>
      </c>
      <c r="BI28" s="81">
        <v>1053.0183918033199</v>
      </c>
      <c r="BJ28" s="81">
        <v>973.78611398247904</v>
      </c>
      <c r="BK28" s="81">
        <v>1013.55102136521</v>
      </c>
      <c r="BL28" s="81">
        <v>955.70487497205397</v>
      </c>
      <c r="BM28" s="81">
        <v>1111.55109708076</v>
      </c>
      <c r="BN28" s="81">
        <v>1115.18511119954</v>
      </c>
      <c r="BO28" s="81">
        <v>1265.6681029368201</v>
      </c>
      <c r="BP28" s="81">
        <v>1004.18649236415</v>
      </c>
      <c r="BQ28" s="81">
        <v>1156.7139293067801</v>
      </c>
      <c r="BR28" s="81">
        <v>1198.3513097746199</v>
      </c>
      <c r="BS28" s="81">
        <v>1268.5559097457699</v>
      </c>
      <c r="BT28" s="81">
        <v>965.71744342234297</v>
      </c>
      <c r="BU28" s="81">
        <v>1247.059572996</v>
      </c>
      <c r="BV28" s="81">
        <v>1262.1086551357701</v>
      </c>
    </row>
    <row r="29" spans="1:74" ht="17.100000000000001" customHeight="1" x14ac:dyDescent="0.2">
      <c r="A29" s="82" t="s">
        <v>16</v>
      </c>
      <c r="B29" s="81"/>
      <c r="C29" s="81"/>
      <c r="D29" s="81"/>
      <c r="E29" s="81"/>
      <c r="F29" s="81"/>
      <c r="G29" s="81"/>
      <c r="H29" s="81">
        <v>858.80657094710295</v>
      </c>
      <c r="I29" s="81">
        <v>905.24327137738101</v>
      </c>
      <c r="J29" s="81">
        <v>903.16089158984903</v>
      </c>
      <c r="K29" s="81">
        <v>827.49411106533603</v>
      </c>
      <c r="L29" s="81">
        <v>994.99709323467505</v>
      </c>
      <c r="M29" s="81">
        <v>949.62690104837304</v>
      </c>
      <c r="N29" s="81">
        <v>953.73586713615896</v>
      </c>
      <c r="O29" s="81">
        <v>964.44121778963199</v>
      </c>
      <c r="P29" s="81">
        <v>1020.3227096665501</v>
      </c>
      <c r="Q29" s="81">
        <v>1006.59158529878</v>
      </c>
      <c r="R29" s="81">
        <v>1035.5882067314001</v>
      </c>
      <c r="S29" s="81">
        <v>1091.8133558940499</v>
      </c>
      <c r="T29" s="81">
        <v>1150.65146684192</v>
      </c>
      <c r="U29" s="81">
        <v>1161.13507505502</v>
      </c>
      <c r="V29" s="81">
        <v>1120.06071314633</v>
      </c>
      <c r="W29" s="81">
        <v>1062.72724294319</v>
      </c>
      <c r="X29" s="81">
        <v>969.08737788597102</v>
      </c>
      <c r="Y29" s="81">
        <v>993.18670738333299</v>
      </c>
      <c r="Z29" s="81">
        <v>1175.35540605954</v>
      </c>
      <c r="AA29" s="81">
        <v>1554.8791243237899</v>
      </c>
      <c r="AB29" s="81">
        <v>1013.03289064176</v>
      </c>
      <c r="AC29" s="81">
        <v>1219.45743508024</v>
      </c>
      <c r="AD29" s="81">
        <v>1321.9910525554201</v>
      </c>
      <c r="AE29" s="81">
        <v>1386.73045033023</v>
      </c>
      <c r="AF29" s="81">
        <v>1402.7284729135499</v>
      </c>
      <c r="AG29" s="81">
        <v>1359.6274685262999</v>
      </c>
      <c r="AH29" s="81">
        <v>1307.5111470510999</v>
      </c>
      <c r="AI29" s="81">
        <v>1262.54914422621</v>
      </c>
      <c r="AJ29" s="81">
        <v>1256.6831307411301</v>
      </c>
      <c r="AK29" s="81">
        <v>1186.7137897949001</v>
      </c>
      <c r="AL29" s="81">
        <v>1149.8448071616699</v>
      </c>
      <c r="AM29" s="81">
        <v>1185.3478849645901</v>
      </c>
      <c r="AN29" s="81">
        <v>1261.69248831561</v>
      </c>
      <c r="AO29" s="81">
        <v>1278.45207449553</v>
      </c>
      <c r="AP29" s="81">
        <v>1284.38042267477</v>
      </c>
      <c r="AQ29" s="81">
        <v>1278.29779627482</v>
      </c>
      <c r="AR29" s="81">
        <v>1401.4362444799999</v>
      </c>
      <c r="AS29" s="81">
        <v>1454.3937968059799</v>
      </c>
      <c r="AT29" s="81">
        <v>1391.20964064596</v>
      </c>
      <c r="AU29" s="81">
        <v>1321.1252272543099</v>
      </c>
      <c r="AV29" s="81">
        <v>1287.6345097790099</v>
      </c>
      <c r="AW29" s="81">
        <v>1392.8796624675499</v>
      </c>
      <c r="AX29" s="81">
        <v>1403.9068301259099</v>
      </c>
      <c r="AY29" s="81">
        <v>1371.32581591082</v>
      </c>
      <c r="AZ29" s="81">
        <v>1119.56504694712</v>
      </c>
      <c r="BA29" s="81">
        <v>1307.18178723798</v>
      </c>
      <c r="BB29" s="81">
        <v>1381.80447472929</v>
      </c>
      <c r="BC29" s="81">
        <v>1425.1050323649699</v>
      </c>
      <c r="BD29" s="81">
        <v>1255.6520299820399</v>
      </c>
      <c r="BE29" s="81">
        <v>1292.59781122563</v>
      </c>
      <c r="BF29" s="81">
        <v>1455.8469656684599</v>
      </c>
      <c r="BG29" s="81">
        <v>1307.5066749888899</v>
      </c>
      <c r="BH29" s="81">
        <v>1399.8176747679499</v>
      </c>
      <c r="BI29" s="81">
        <v>1301.68908790401</v>
      </c>
      <c r="BJ29" s="81">
        <v>1341.8259348199799</v>
      </c>
      <c r="BK29" s="81">
        <v>1445.2074756352799</v>
      </c>
      <c r="BL29" s="81">
        <v>1515.1210553670101</v>
      </c>
      <c r="BM29" s="81">
        <v>1414.49275371251</v>
      </c>
      <c r="BN29" s="81">
        <v>1400.6680919236901</v>
      </c>
      <c r="BO29" s="81">
        <v>1393.26150802496</v>
      </c>
      <c r="BP29" s="81">
        <v>1458.86885671245</v>
      </c>
      <c r="BQ29" s="81">
        <v>1486.4513270616301</v>
      </c>
      <c r="BR29" s="81">
        <v>1509.1909180243999</v>
      </c>
      <c r="BS29" s="81">
        <v>1575.4516241931301</v>
      </c>
      <c r="BT29" s="81">
        <v>1527.1665239122101</v>
      </c>
      <c r="BU29" s="81">
        <v>1624.90345251911</v>
      </c>
      <c r="BV29" s="81">
        <v>1579.6957409648701</v>
      </c>
    </row>
    <row r="30" spans="1:74" ht="17.100000000000001" customHeight="1" x14ac:dyDescent="0.2">
      <c r="A30" s="82" t="s">
        <v>58</v>
      </c>
      <c r="B30" s="81"/>
      <c r="C30" s="81"/>
      <c r="D30" s="81"/>
      <c r="E30" s="81"/>
      <c r="F30" s="81"/>
      <c r="G30" s="81"/>
      <c r="H30" s="81">
        <v>627.07215606710895</v>
      </c>
      <c r="I30" s="81">
        <v>628.75895911017506</v>
      </c>
      <c r="J30" s="81">
        <v>639.11752374083096</v>
      </c>
      <c r="K30" s="81">
        <v>636.57261377300699</v>
      </c>
      <c r="L30" s="81">
        <v>652.01921503562096</v>
      </c>
      <c r="M30" s="81">
        <v>671.14344680497902</v>
      </c>
      <c r="N30" s="81">
        <v>677.73920972039195</v>
      </c>
      <c r="O30" s="81">
        <v>641.75456910028299</v>
      </c>
      <c r="P30" s="81">
        <v>693.43455591884197</v>
      </c>
      <c r="Q30" s="81">
        <v>694.71520296308995</v>
      </c>
      <c r="R30" s="81">
        <v>688.34297235814097</v>
      </c>
      <c r="S30" s="81">
        <v>688.45174306759202</v>
      </c>
      <c r="T30" s="81">
        <v>718.33333717383402</v>
      </c>
      <c r="U30" s="81">
        <v>721.26126234583103</v>
      </c>
      <c r="V30" s="81">
        <v>710.75021422432997</v>
      </c>
      <c r="W30" s="81">
        <v>725.75705808899897</v>
      </c>
      <c r="X30" s="81">
        <v>672.29508601448697</v>
      </c>
      <c r="Y30" s="81">
        <v>671.37854277988595</v>
      </c>
      <c r="Z30" s="81">
        <v>758.71572648004098</v>
      </c>
      <c r="AA30" s="81">
        <v>921.648420036885</v>
      </c>
      <c r="AB30" s="81">
        <v>700.66627024989202</v>
      </c>
      <c r="AC30" s="81">
        <v>797.11879750730895</v>
      </c>
      <c r="AD30" s="81">
        <v>839.68469727112404</v>
      </c>
      <c r="AE30" s="81">
        <v>862.72467770454205</v>
      </c>
      <c r="AF30" s="81">
        <v>850.78155347651602</v>
      </c>
      <c r="AG30" s="81">
        <v>841.38675156522697</v>
      </c>
      <c r="AH30" s="81">
        <v>819.02748938816603</v>
      </c>
      <c r="AI30" s="81">
        <v>809.84738632667597</v>
      </c>
      <c r="AJ30" s="81">
        <v>800.07302714275204</v>
      </c>
      <c r="AK30" s="81">
        <v>799.131383451499</v>
      </c>
      <c r="AL30" s="81">
        <v>829.89130441101497</v>
      </c>
      <c r="AM30" s="81">
        <v>891.91239515771497</v>
      </c>
      <c r="AN30" s="81">
        <v>942.92597166104599</v>
      </c>
      <c r="AO30" s="81">
        <v>974.07082435806694</v>
      </c>
      <c r="AP30" s="81">
        <v>987.52549038673499</v>
      </c>
      <c r="AQ30" s="81">
        <v>973.999365292824</v>
      </c>
      <c r="AR30" s="81">
        <v>1027.7464045276499</v>
      </c>
      <c r="AS30" s="81">
        <v>994.56637258265403</v>
      </c>
      <c r="AT30" s="81">
        <v>1011.4677477917101</v>
      </c>
      <c r="AU30" s="81">
        <v>1043.33213890248</v>
      </c>
      <c r="AV30" s="81">
        <v>1053.4085367272201</v>
      </c>
      <c r="AW30" s="81">
        <v>1044.4577559069501</v>
      </c>
      <c r="AX30" s="81">
        <v>1042.7831306478099</v>
      </c>
      <c r="AY30" s="81">
        <v>970.30109628287005</v>
      </c>
      <c r="AZ30" s="81">
        <v>1161.15064603933</v>
      </c>
      <c r="BA30" s="81">
        <v>1087.65764874058</v>
      </c>
      <c r="BB30" s="81">
        <v>1055.84808027451</v>
      </c>
      <c r="BC30" s="81">
        <v>1092.65415094832</v>
      </c>
      <c r="BD30" s="81">
        <v>1125.36344767424</v>
      </c>
      <c r="BE30" s="81">
        <v>1267.59769708152</v>
      </c>
      <c r="BF30" s="81">
        <v>1212.4240941594901</v>
      </c>
      <c r="BG30" s="81">
        <v>1205.51359481349</v>
      </c>
      <c r="BH30" s="81">
        <v>1273.7878959120901</v>
      </c>
      <c r="BI30" s="81">
        <v>1279.4007851096001</v>
      </c>
      <c r="BJ30" s="81">
        <v>1251.75985915961</v>
      </c>
      <c r="BK30" s="81">
        <v>1218.40301460775</v>
      </c>
      <c r="BL30" s="81">
        <v>1204.0280573099101</v>
      </c>
      <c r="BM30" s="81">
        <v>1240.22015743099</v>
      </c>
      <c r="BN30" s="81">
        <v>1329.50700497198</v>
      </c>
      <c r="BO30" s="81">
        <v>1373.6017977937699</v>
      </c>
      <c r="BP30" s="81">
        <v>1310.4558286486499</v>
      </c>
      <c r="BQ30" s="81">
        <v>1320.2737644561</v>
      </c>
      <c r="BR30" s="81">
        <v>1318.8830994016901</v>
      </c>
      <c r="BS30" s="81">
        <v>1299.29075856644</v>
      </c>
      <c r="BT30" s="81">
        <v>1372.6557803223</v>
      </c>
      <c r="BU30" s="81">
        <v>1389.3104967076399</v>
      </c>
      <c r="BV30" s="81">
        <v>1367.5215554230599</v>
      </c>
    </row>
    <row r="31" spans="1:74" ht="17.100000000000001" customHeight="1" x14ac:dyDescent="0.2">
      <c r="A31" s="82" t="s">
        <v>71</v>
      </c>
      <c r="B31" s="81"/>
      <c r="C31" s="81"/>
      <c r="D31" s="81"/>
      <c r="E31" s="81"/>
      <c r="F31" s="81"/>
      <c r="G31" s="81"/>
      <c r="H31" s="81">
        <v>20.918353293975098</v>
      </c>
      <c r="I31" s="81">
        <v>15.850555983128199</v>
      </c>
      <c r="J31" s="81">
        <v>22.488555536925599</v>
      </c>
      <c r="K31" s="81">
        <v>26.3824039594247</v>
      </c>
      <c r="L31" s="81">
        <v>30.787389410224598</v>
      </c>
      <c r="M31" s="81">
        <v>37.751088443541398</v>
      </c>
      <c r="N31" s="81">
        <v>8.4781770189224801</v>
      </c>
      <c r="O31" s="81">
        <v>13.10964216532</v>
      </c>
      <c r="P31" s="81">
        <v>16.354086107293298</v>
      </c>
      <c r="Q31" s="81">
        <v>23.698501999343598</v>
      </c>
      <c r="R31" s="81">
        <v>31.429024429869902</v>
      </c>
      <c r="S31" s="81">
        <v>25.8092619038888</v>
      </c>
      <c r="T31" s="81">
        <v>26.910281926441201</v>
      </c>
      <c r="U31" s="81">
        <v>23.912458258770101</v>
      </c>
      <c r="V31" s="81">
        <v>19.523445241352</v>
      </c>
      <c r="W31" s="81">
        <v>24.4113393916032</v>
      </c>
      <c r="X31" s="81">
        <v>21.231095502629099</v>
      </c>
      <c r="Y31" s="81">
        <v>24.685007354755701</v>
      </c>
      <c r="Z31" s="81">
        <v>27.524882081295601</v>
      </c>
      <c r="AA31" s="81">
        <v>27.590779895664799</v>
      </c>
      <c r="AB31" s="81">
        <v>27.285042594801901</v>
      </c>
      <c r="AC31" s="81">
        <v>24.727628039829199</v>
      </c>
      <c r="AD31" s="81">
        <v>25.502785199760499</v>
      </c>
      <c r="AE31" s="81">
        <v>29.2274048750483</v>
      </c>
      <c r="AF31" s="81">
        <v>25.860686206161201</v>
      </c>
      <c r="AG31" s="81">
        <v>27.557785845043401</v>
      </c>
      <c r="AH31" s="81">
        <v>25.679035243581598</v>
      </c>
      <c r="AI31" s="81">
        <v>22.3974164286514</v>
      </c>
      <c r="AJ31" s="81">
        <v>23.060823103280999</v>
      </c>
      <c r="AK31" s="81">
        <v>25.329173405342001</v>
      </c>
      <c r="AL31" s="81">
        <v>32.395480727111398</v>
      </c>
      <c r="AM31" s="81">
        <v>50.976778296878301</v>
      </c>
      <c r="AN31" s="81">
        <v>41.163306079313102</v>
      </c>
      <c r="AO31" s="81">
        <v>55.111436855071403</v>
      </c>
      <c r="AP31" s="81">
        <v>59.041705310050801</v>
      </c>
      <c r="AQ31" s="81">
        <v>62.479136855048502</v>
      </c>
      <c r="AR31" s="81">
        <v>67.568386814215302</v>
      </c>
      <c r="AS31" s="81">
        <v>64.810846548418695</v>
      </c>
      <c r="AT31" s="81">
        <v>67.957672003122596</v>
      </c>
      <c r="AU31" s="81">
        <v>65.314202780758194</v>
      </c>
      <c r="AV31" s="81">
        <v>65.490283972000498</v>
      </c>
      <c r="AW31" s="81">
        <v>66.288757738724399</v>
      </c>
      <c r="AX31" s="81">
        <v>63.262933514473801</v>
      </c>
      <c r="AY31" s="81">
        <v>48.824454552305703</v>
      </c>
      <c r="AZ31" s="81">
        <v>46.516965438111001</v>
      </c>
      <c r="BA31" s="81">
        <v>52.982127946750303</v>
      </c>
      <c r="BB31" s="81">
        <v>50.767465095192399</v>
      </c>
      <c r="BC31" s="81">
        <v>60.331258091220199</v>
      </c>
      <c r="BD31" s="81">
        <v>59.022172299016901</v>
      </c>
      <c r="BE31" s="81">
        <v>53.188150876163</v>
      </c>
      <c r="BF31" s="81">
        <v>43.877630784571998</v>
      </c>
      <c r="BG31" s="81">
        <v>50.144733751668497</v>
      </c>
      <c r="BH31" s="81">
        <v>36.297631882711997</v>
      </c>
      <c r="BI31" s="81">
        <v>54.541068696850999</v>
      </c>
      <c r="BJ31" s="81">
        <v>57.006799045960399</v>
      </c>
      <c r="BK31" s="81">
        <v>66.989806511076097</v>
      </c>
      <c r="BL31" s="81">
        <v>61.616893649808901</v>
      </c>
      <c r="BM31" s="81">
        <v>52.368179290940397</v>
      </c>
      <c r="BN31" s="81">
        <v>60.446638922831902</v>
      </c>
      <c r="BO31" s="81">
        <v>57.487920003460403</v>
      </c>
      <c r="BP31" s="81">
        <v>62.507875128925598</v>
      </c>
      <c r="BQ31" s="81">
        <v>59.148708813446397</v>
      </c>
      <c r="BR31" s="81">
        <v>62.2417581980432</v>
      </c>
      <c r="BS31" s="81">
        <v>51.364170582139003</v>
      </c>
      <c r="BT31" s="81">
        <v>61.588657064220897</v>
      </c>
      <c r="BU31" s="81">
        <v>59.980608843565797</v>
      </c>
      <c r="BV31" s="81">
        <v>61.325607736588204</v>
      </c>
    </row>
    <row r="32" spans="1:74" ht="17.100000000000001" customHeight="1" x14ac:dyDescent="0.2">
      <c r="A32" s="82" t="s">
        <v>17</v>
      </c>
      <c r="B32" s="81"/>
      <c r="C32" s="81"/>
      <c r="D32" s="81"/>
      <c r="E32" s="81"/>
      <c r="F32" s="81"/>
      <c r="G32" s="81"/>
      <c r="H32" s="81">
        <v>508.05676207715698</v>
      </c>
      <c r="I32" s="81">
        <v>506.72747256287198</v>
      </c>
      <c r="J32" s="81">
        <v>509.55730747528497</v>
      </c>
      <c r="K32" s="81">
        <v>511.07854536750898</v>
      </c>
      <c r="L32" s="81">
        <v>514.559042514868</v>
      </c>
      <c r="M32" s="81">
        <v>519.23981219963105</v>
      </c>
      <c r="N32" s="81">
        <v>526.15312503006805</v>
      </c>
      <c r="O32" s="81">
        <v>534.76993782424699</v>
      </c>
      <c r="P32" s="81">
        <v>551.97474299862495</v>
      </c>
      <c r="Q32" s="81">
        <v>558.384699773889</v>
      </c>
      <c r="R32" s="81">
        <v>565.03619306415499</v>
      </c>
      <c r="S32" s="81">
        <v>579.51658157964403</v>
      </c>
      <c r="T32" s="81">
        <v>577.59279935736299</v>
      </c>
      <c r="U32" s="81">
        <v>585.02446871021698</v>
      </c>
      <c r="V32" s="81">
        <v>596.07185823757004</v>
      </c>
      <c r="W32" s="81">
        <v>612.21528529269597</v>
      </c>
      <c r="X32" s="81">
        <v>620.99640708909203</v>
      </c>
      <c r="Y32" s="81">
        <v>653.987560782836</v>
      </c>
      <c r="Z32" s="81">
        <v>686.51817417510904</v>
      </c>
      <c r="AA32" s="81">
        <v>663.34704489686305</v>
      </c>
      <c r="AB32" s="81">
        <v>682.79344642935996</v>
      </c>
      <c r="AC32" s="81">
        <v>699.09119548942897</v>
      </c>
      <c r="AD32" s="81">
        <v>715.53524449759004</v>
      </c>
      <c r="AE32" s="81">
        <v>734.67243936608998</v>
      </c>
      <c r="AF32" s="81">
        <v>757.28594759631699</v>
      </c>
      <c r="AG32" s="81">
        <v>782.97200445901103</v>
      </c>
      <c r="AH32" s="81">
        <v>779.53293644835196</v>
      </c>
      <c r="AI32" s="81">
        <v>773.62171965983703</v>
      </c>
      <c r="AJ32" s="81">
        <v>761.30346639705397</v>
      </c>
      <c r="AK32" s="81">
        <v>746.25429472696499</v>
      </c>
      <c r="AL32" s="81">
        <v>743.65408712461794</v>
      </c>
      <c r="AM32" s="81">
        <v>732.35233307135002</v>
      </c>
      <c r="AN32" s="81">
        <v>730.430586441061</v>
      </c>
      <c r="AO32" s="81">
        <v>733.837933904701</v>
      </c>
      <c r="AP32" s="81">
        <v>738.73255902493304</v>
      </c>
      <c r="AQ32" s="81">
        <v>741.39260276683001</v>
      </c>
      <c r="AR32" s="81">
        <v>760.42183548944104</v>
      </c>
      <c r="AS32" s="81">
        <v>769.18359483598795</v>
      </c>
      <c r="AT32" s="81">
        <v>774.017843379856</v>
      </c>
      <c r="AU32" s="81">
        <v>778.80686350162296</v>
      </c>
      <c r="AV32" s="81">
        <v>779.734747889446</v>
      </c>
      <c r="AW32" s="81">
        <v>780.71535587001199</v>
      </c>
      <c r="AX32" s="81">
        <v>781.85324941436897</v>
      </c>
      <c r="AY32" s="81">
        <v>783.92108228575796</v>
      </c>
      <c r="AZ32" s="81">
        <v>787.30231270021204</v>
      </c>
      <c r="BA32" s="81">
        <v>797.30396250639501</v>
      </c>
      <c r="BB32" s="81">
        <v>811.30876022348605</v>
      </c>
      <c r="BC32" s="81">
        <v>822.86598524014505</v>
      </c>
      <c r="BD32" s="81">
        <v>832.33446923746305</v>
      </c>
      <c r="BE32" s="81">
        <v>838.75251788091703</v>
      </c>
      <c r="BF32" s="81">
        <v>844.56879422271902</v>
      </c>
      <c r="BG32" s="81">
        <v>857.11254978887996</v>
      </c>
      <c r="BH32" s="81">
        <v>858.07713714763202</v>
      </c>
      <c r="BI32" s="81">
        <v>862.26909414394095</v>
      </c>
      <c r="BJ32" s="81">
        <v>866.379715653679</v>
      </c>
      <c r="BK32" s="81">
        <v>867.74871844607105</v>
      </c>
      <c r="BL32" s="81">
        <v>875.60614845121904</v>
      </c>
      <c r="BM32" s="81">
        <v>1004.5758130999</v>
      </c>
      <c r="BN32" s="81">
        <v>888.55287591749698</v>
      </c>
      <c r="BO32" s="81">
        <v>775.722481024388</v>
      </c>
      <c r="BP32" s="81">
        <v>888.38798404122701</v>
      </c>
      <c r="BQ32" s="81">
        <v>893.50842316685703</v>
      </c>
      <c r="BR32" s="81">
        <v>890.99386652957901</v>
      </c>
      <c r="BS32" s="81">
        <v>906.34433615980902</v>
      </c>
      <c r="BT32" s="81">
        <v>911.32048325051596</v>
      </c>
      <c r="BU32" s="81">
        <v>807.28167371874395</v>
      </c>
      <c r="BV32" s="81">
        <v>889.40266827116</v>
      </c>
    </row>
    <row r="33" spans="1:74" ht="17.100000000000001" customHeight="1" x14ac:dyDescent="0.2">
      <c r="A33" s="82" t="s">
        <v>59</v>
      </c>
      <c r="B33" s="81"/>
      <c r="C33" s="81"/>
      <c r="D33" s="81"/>
      <c r="E33" s="81"/>
      <c r="F33" s="81"/>
      <c r="G33" s="81"/>
      <c r="H33" s="81">
        <v>184.386350003096</v>
      </c>
      <c r="I33" s="81">
        <v>186.23644702007499</v>
      </c>
      <c r="J33" s="81">
        <v>187.862705449055</v>
      </c>
      <c r="K33" s="81">
        <v>189.196229783467</v>
      </c>
      <c r="L33" s="81">
        <v>190.28869418353</v>
      </c>
      <c r="M33" s="81">
        <v>191.27151830791399</v>
      </c>
      <c r="N33" s="81">
        <v>192.203153844475</v>
      </c>
      <c r="O33" s="81">
        <v>193.05537058195401</v>
      </c>
      <c r="P33" s="81">
        <v>193.86498611466899</v>
      </c>
      <c r="Q33" s="81">
        <v>194.68071758418901</v>
      </c>
      <c r="R33" s="81">
        <v>195.539401616232</v>
      </c>
      <c r="S33" s="81">
        <v>196.44486040081199</v>
      </c>
      <c r="T33" s="81">
        <v>197.41247253949101</v>
      </c>
      <c r="U33" s="81">
        <v>198.48160060567301</v>
      </c>
      <c r="V33" s="81">
        <v>199.66970435685201</v>
      </c>
      <c r="W33" s="81">
        <v>200.997416021806</v>
      </c>
      <c r="X33" s="81">
        <v>202.471356378889</v>
      </c>
      <c r="Y33" s="81">
        <v>204.89096496123199</v>
      </c>
      <c r="Z33" s="81">
        <v>208.28762356648099</v>
      </c>
      <c r="AA33" s="81">
        <v>199.943471651778</v>
      </c>
      <c r="AB33" s="81">
        <v>204.726126155808</v>
      </c>
      <c r="AC33" s="81">
        <v>208.612985660785</v>
      </c>
      <c r="AD33" s="81">
        <v>211.587599246075</v>
      </c>
      <c r="AE33" s="81">
        <v>213.63486578892201</v>
      </c>
      <c r="AF33" s="81">
        <v>214.724692055151</v>
      </c>
      <c r="AG33" s="81">
        <v>215.940282582554</v>
      </c>
      <c r="AH33" s="81">
        <v>217.29179743811099</v>
      </c>
      <c r="AI33" s="81">
        <v>218.787574017872</v>
      </c>
      <c r="AJ33" s="81">
        <v>220.43608896482201</v>
      </c>
      <c r="AK33" s="81">
        <v>222.05519142158801</v>
      </c>
      <c r="AL33" s="81">
        <v>223.64753474076301</v>
      </c>
      <c r="AM33" s="81">
        <v>225.21189435816899</v>
      </c>
      <c r="AN33" s="81">
        <v>226.75690303784299</v>
      </c>
      <c r="AO33" s="81">
        <v>228.31589887770599</v>
      </c>
      <c r="AP33" s="81">
        <v>229.88392280946999</v>
      </c>
      <c r="AQ33" s="81">
        <v>231.464526933516</v>
      </c>
      <c r="AR33" s="81">
        <v>233.069414010354</v>
      </c>
      <c r="AS33" s="81">
        <v>234.68577488065901</v>
      </c>
      <c r="AT33" s="81">
        <v>236.293436192721</v>
      </c>
      <c r="AU33" s="81">
        <v>237.90492764283201</v>
      </c>
      <c r="AV33" s="81">
        <v>239.54130287612699</v>
      </c>
      <c r="AW33" s="81">
        <v>241.18709518886999</v>
      </c>
      <c r="AX33" s="81">
        <v>242.80279187709101</v>
      </c>
      <c r="AY33" s="81">
        <v>244.417232176374</v>
      </c>
      <c r="AZ33" s="81">
        <v>246.067760925973</v>
      </c>
      <c r="BA33" s="81">
        <v>247.743612877489</v>
      </c>
      <c r="BB33" s="81">
        <v>249.44328955713101</v>
      </c>
      <c r="BC33" s="81">
        <v>251.154820641859</v>
      </c>
      <c r="BD33" s="81">
        <v>252.87682643639101</v>
      </c>
      <c r="BE33" s="81">
        <v>254.60922927538701</v>
      </c>
      <c r="BF33" s="81">
        <v>256.32635501859602</v>
      </c>
      <c r="BG33" s="81">
        <v>258.04108280318599</v>
      </c>
      <c r="BH33" s="81">
        <v>259.77367118846502</v>
      </c>
      <c r="BI33" s="81">
        <v>261.531588365235</v>
      </c>
      <c r="BJ33" s="81">
        <v>263.333146869475</v>
      </c>
      <c r="BK33" s="81">
        <v>265.15222327015698</v>
      </c>
      <c r="BL33" s="81">
        <v>266.96013938155897</v>
      </c>
      <c r="BM33" s="81">
        <v>268.77374660319498</v>
      </c>
      <c r="BN33" s="81">
        <v>270.59934322240701</v>
      </c>
      <c r="BO33" s="81">
        <v>272.43201821842302</v>
      </c>
      <c r="BP33" s="81">
        <v>274.24731799563699</v>
      </c>
      <c r="BQ33" s="81">
        <v>276.07735060991098</v>
      </c>
      <c r="BR33" s="81">
        <v>277.99561952755101</v>
      </c>
      <c r="BS33" s="81">
        <v>279.93920904219101</v>
      </c>
      <c r="BT33" s="81">
        <v>281.81125839414102</v>
      </c>
      <c r="BU33" s="81">
        <v>281.87483129735602</v>
      </c>
      <c r="BV33" s="81">
        <v>285.65256571392598</v>
      </c>
    </row>
    <row r="34" spans="1:74" ht="17.100000000000001" customHeight="1" x14ac:dyDescent="0.2">
      <c r="A34" s="83"/>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row>
    <row r="35" spans="1:74" s="91" customFormat="1" ht="17.100000000000001" customHeight="1" x14ac:dyDescent="0.2">
      <c r="A35" s="160" t="s">
        <v>95</v>
      </c>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row>
    <row r="36" spans="1:74" s="11" customFormat="1" ht="17.100000000000001" customHeight="1" thickBot="1" x14ac:dyDescent="0.25">
      <c r="A36" s="51" t="s">
        <v>19</v>
      </c>
      <c r="B36" s="84"/>
      <c r="C36" s="84"/>
      <c r="D36" s="84"/>
      <c r="E36" s="84"/>
      <c r="F36" s="84"/>
      <c r="G36" s="84"/>
      <c r="H36" s="84">
        <v>1157.52879570287</v>
      </c>
      <c r="I36" s="84">
        <v>1085.76495677399</v>
      </c>
      <c r="J36" s="84">
        <v>1043.4712594226601</v>
      </c>
      <c r="K36" s="84">
        <v>1101.17453863421</v>
      </c>
      <c r="L36" s="84">
        <v>1170.59758440371</v>
      </c>
      <c r="M36" s="84">
        <v>1250.96456990399</v>
      </c>
      <c r="N36" s="84">
        <v>1257.9696624375299</v>
      </c>
      <c r="O36" s="84">
        <v>1230.0516751257701</v>
      </c>
      <c r="P36" s="84">
        <v>1324.89414650547</v>
      </c>
      <c r="Q36" s="84">
        <v>1416.7482783386999</v>
      </c>
      <c r="R36" s="84">
        <v>1467.3472682986901</v>
      </c>
      <c r="S36" s="84">
        <v>1452.5625717084299</v>
      </c>
      <c r="T36" s="84">
        <v>1433.5429272180299</v>
      </c>
      <c r="U36" s="84">
        <v>1367.9813711434999</v>
      </c>
      <c r="V36" s="84">
        <v>1421.89044294161</v>
      </c>
      <c r="W36" s="84">
        <v>1476.6179889651501</v>
      </c>
      <c r="X36" s="84">
        <v>1487.0784428776101</v>
      </c>
      <c r="Y36" s="84">
        <v>1446.8033927752001</v>
      </c>
      <c r="Z36" s="84">
        <v>1621.31347128068</v>
      </c>
      <c r="AA36" s="84">
        <v>1572.1187562858599</v>
      </c>
      <c r="AB36" s="84">
        <v>1590.68843380209</v>
      </c>
      <c r="AC36" s="84">
        <v>1657.9253570876799</v>
      </c>
      <c r="AD36" s="84">
        <v>1710.4485841885901</v>
      </c>
      <c r="AE36" s="84">
        <v>1777.03178562682</v>
      </c>
      <c r="AF36" s="84">
        <v>1708.24145751274</v>
      </c>
      <c r="AG36" s="84">
        <v>1734.90925252842</v>
      </c>
      <c r="AH36" s="84">
        <v>1661.77425758811</v>
      </c>
      <c r="AI36" s="84">
        <v>1779.56092238165</v>
      </c>
      <c r="AJ36" s="84">
        <v>1883.345440653</v>
      </c>
      <c r="AK36" s="84">
        <v>1804.9622534011301</v>
      </c>
      <c r="AL36" s="84">
        <v>1969.2046748801399</v>
      </c>
      <c r="AM36" s="84">
        <v>1978.5693811282799</v>
      </c>
      <c r="AN36" s="84">
        <v>2011.4651840183401</v>
      </c>
      <c r="AO36" s="84">
        <v>1988.81703332918</v>
      </c>
      <c r="AP36" s="84">
        <v>1960.1566112355699</v>
      </c>
      <c r="AQ36" s="84">
        <v>2012.87662242499</v>
      </c>
      <c r="AR36" s="84">
        <v>1994.92466047318</v>
      </c>
      <c r="AS36" s="84">
        <v>2050.9007922687001</v>
      </c>
      <c r="AT36" s="84">
        <v>2153.4128493682401</v>
      </c>
      <c r="AU36" s="84">
        <v>2121.67901214003</v>
      </c>
      <c r="AV36" s="84">
        <v>2208.46924875382</v>
      </c>
      <c r="AW36" s="84">
        <v>2252.1385617639198</v>
      </c>
      <c r="AX36" s="84">
        <v>2133.42441560728</v>
      </c>
      <c r="AY36" s="84">
        <v>1595.2891726713899</v>
      </c>
      <c r="AZ36" s="84">
        <v>2124.4659212777501</v>
      </c>
      <c r="BA36" s="84">
        <v>2157.3696488867799</v>
      </c>
      <c r="BB36" s="84">
        <v>2054.54849503371</v>
      </c>
      <c r="BC36" s="84">
        <v>2366.9671227328799</v>
      </c>
      <c r="BD36" s="84">
        <v>2068.42916873985</v>
      </c>
      <c r="BE36" s="84">
        <v>2358.20603271453</v>
      </c>
      <c r="BF36" s="84">
        <v>2497.8923166067798</v>
      </c>
      <c r="BG36" s="84">
        <v>2435.5610179530099</v>
      </c>
      <c r="BH36" s="84">
        <v>2412.4605923377499</v>
      </c>
      <c r="BI36" s="84">
        <v>2502.23270762313</v>
      </c>
      <c r="BJ36" s="84">
        <v>2599.5891761585199</v>
      </c>
      <c r="BK36" s="84">
        <v>2710.1798261098602</v>
      </c>
      <c r="BL36" s="84">
        <v>2728.5675996186001</v>
      </c>
      <c r="BM36" s="84">
        <v>2693.9058122132301</v>
      </c>
      <c r="BN36" s="84">
        <v>2779.1589804349401</v>
      </c>
      <c r="BO36" s="84">
        <v>2814.7584373629402</v>
      </c>
      <c r="BP36" s="84">
        <v>3003.6740809098501</v>
      </c>
      <c r="BQ36" s="84">
        <v>2955.3877764774202</v>
      </c>
      <c r="BR36" s="84">
        <v>2933.2265218819298</v>
      </c>
      <c r="BS36" s="84">
        <v>3037.92125482239</v>
      </c>
      <c r="BT36" s="84">
        <v>3096.8718458468102</v>
      </c>
      <c r="BU36" s="84">
        <v>3168.09535384849</v>
      </c>
      <c r="BV36" s="84">
        <v>3347.8983580130298</v>
      </c>
    </row>
    <row r="37" spans="1:74" ht="13.5" customHeight="1" x14ac:dyDescent="0.2">
      <c r="A37" s="13" t="s">
        <v>50</v>
      </c>
      <c r="B37" s="85"/>
    </row>
    <row r="38" spans="1:74" ht="20.100000000000001" customHeight="1" x14ac:dyDescent="0.2"/>
  </sheetData>
  <mergeCells count="17">
    <mergeCell ref="BT3:BV3"/>
    <mergeCell ref="BP3:BS3"/>
    <mergeCell ref="BL3:BO3"/>
    <mergeCell ref="BH3:BK3"/>
    <mergeCell ref="BD3:BG3"/>
    <mergeCell ref="B3:C3"/>
    <mergeCell ref="T3:W3"/>
    <mergeCell ref="L3:O3"/>
    <mergeCell ref="AF3:AI3"/>
    <mergeCell ref="H3:K3"/>
    <mergeCell ref="D3:G3"/>
    <mergeCell ref="R3:S3"/>
    <mergeCell ref="AR3:AU3"/>
    <mergeCell ref="AN3:AQ3"/>
    <mergeCell ref="AJ3:AM3"/>
    <mergeCell ref="AV3:AY3"/>
    <mergeCell ref="AZ3:BC3"/>
  </mergeCells>
  <phoneticPr fontId="31" type="noConversion"/>
  <pageMargins left="0.51181102362204722" right="0" top="0.51181102362204722" bottom="0" header="0" footer="0"/>
  <pageSetup paperSize="9" scale="4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BV38"/>
  <sheetViews>
    <sheetView showGridLines="0" view="pageBreakPreview" zoomScaleNormal="100" zoomScaleSheetLayoutView="100" workbookViewId="0">
      <pane xSplit="9" ySplit="4" topLeftCell="AN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6.7109375" style="1" customWidth="1"/>
    <col min="2" max="2" width="5" style="1" hidden="1" customWidth="1"/>
    <col min="3" max="3" width="6.28515625" style="1" hidden="1" customWidth="1"/>
    <col min="4" max="4" width="6" style="1" hidden="1" customWidth="1"/>
    <col min="5" max="5" width="6.28515625" style="1" hidden="1" customWidth="1"/>
    <col min="6" max="8" width="4.7109375" style="1" hidden="1" customWidth="1"/>
    <col min="9" max="15" width="5.85546875" style="1" hidden="1" customWidth="1"/>
    <col min="16" max="19" width="6.28515625" style="1" hidden="1" customWidth="1"/>
    <col min="20" max="35" width="6.7109375" style="1" hidden="1" customWidth="1"/>
    <col min="36" max="40" width="6.7109375" style="1" customWidth="1"/>
    <col min="41" max="41" width="6.5703125" style="1" customWidth="1"/>
    <col min="42" max="42" width="7.140625" style="1" customWidth="1"/>
    <col min="43" max="46" width="6.42578125" style="1" customWidth="1"/>
    <col min="47" max="47" width="6.85546875" style="1" customWidth="1"/>
    <col min="48" max="48" width="6.42578125" style="1" customWidth="1"/>
    <col min="49" max="51" width="7.140625" style="1" customWidth="1"/>
    <col min="52" max="55" width="6.5703125" style="1" bestFit="1" customWidth="1"/>
    <col min="56" max="56" width="7.140625" style="1" customWidth="1"/>
    <col min="57" max="57" width="6.140625" style="1" customWidth="1"/>
    <col min="58" max="58" width="7.140625" style="1" customWidth="1"/>
    <col min="59" max="59" width="7.42578125" style="1" customWidth="1"/>
    <col min="60" max="60" width="7" style="1" customWidth="1"/>
    <col min="61" max="61" width="5.85546875" style="1" customWidth="1"/>
    <col min="62" max="62" width="7.42578125" style="1" customWidth="1"/>
    <col min="63" max="63" width="6.28515625" style="1" customWidth="1"/>
    <col min="64" max="64" width="6.5703125" style="1" bestFit="1" customWidth="1"/>
    <col min="65" max="65" width="6.5703125" style="1" customWidth="1"/>
    <col min="66" max="66" width="5.85546875" style="1" customWidth="1"/>
    <col min="67" max="67" width="6.85546875" style="1" customWidth="1"/>
    <col min="68" max="68" width="6.140625" style="1" customWidth="1"/>
    <col min="69" max="69" width="6.42578125" style="1" customWidth="1"/>
    <col min="70" max="70" width="6.7109375" style="1" customWidth="1"/>
    <col min="71" max="71" width="5.7109375" style="1" customWidth="1"/>
    <col min="72" max="72" width="6.42578125" style="1" customWidth="1"/>
    <col min="73" max="74" width="7.42578125" style="1" bestFit="1" customWidth="1"/>
    <col min="75" max="16384" width="9.140625" style="1"/>
  </cols>
  <sheetData>
    <row r="1" spans="1:74" ht="18.75" customHeight="1" x14ac:dyDescent="0.2">
      <c r="A1" s="31" t="s">
        <v>182</v>
      </c>
      <c r="AF1" s="118"/>
      <c r="AG1" s="118"/>
      <c r="AH1" s="118"/>
      <c r="AI1" s="118"/>
      <c r="AJ1" s="31"/>
      <c r="AL1" s="118"/>
    </row>
    <row r="2" spans="1:74" ht="1.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row>
    <row r="3" spans="1:74" s="87" customFormat="1" ht="12" customHeight="1" x14ac:dyDescent="0.2">
      <c r="A3" s="86"/>
      <c r="B3" s="260" t="s">
        <v>67</v>
      </c>
      <c r="C3" s="260"/>
      <c r="D3" s="260" t="s">
        <v>66</v>
      </c>
      <c r="E3" s="260"/>
      <c r="F3" s="260"/>
      <c r="G3" s="260"/>
      <c r="H3" s="260" t="s">
        <v>60</v>
      </c>
      <c r="I3" s="260"/>
      <c r="J3" s="260"/>
      <c r="K3" s="260"/>
      <c r="L3" s="86"/>
      <c r="M3" s="86"/>
      <c r="N3" s="260" t="s">
        <v>61</v>
      </c>
      <c r="O3" s="260"/>
      <c r="P3" s="260" t="s">
        <v>62</v>
      </c>
      <c r="Q3" s="260"/>
      <c r="R3" s="260"/>
      <c r="S3" s="260"/>
      <c r="T3" s="260" t="s">
        <v>63</v>
      </c>
      <c r="U3" s="260"/>
      <c r="V3" s="260"/>
      <c r="W3" s="260"/>
      <c r="X3" s="86" t="s">
        <v>64</v>
      </c>
      <c r="Y3" s="86" t="s">
        <v>64</v>
      </c>
      <c r="Z3" s="86"/>
      <c r="AA3" s="86" t="s">
        <v>64</v>
      </c>
      <c r="AB3" s="86" t="s">
        <v>65</v>
      </c>
      <c r="AC3" s="260" t="s">
        <v>65</v>
      </c>
      <c r="AD3" s="260"/>
      <c r="AE3" s="260"/>
      <c r="AF3" s="260" t="s">
        <v>77</v>
      </c>
      <c r="AG3" s="260"/>
      <c r="AH3" s="260"/>
      <c r="AI3" s="260"/>
      <c r="AJ3" s="260" t="s">
        <v>80</v>
      </c>
      <c r="AK3" s="260"/>
      <c r="AL3" s="260"/>
      <c r="AM3" s="260"/>
      <c r="AN3" s="260" t="s">
        <v>92</v>
      </c>
      <c r="AO3" s="260"/>
      <c r="AP3" s="260"/>
      <c r="AQ3" s="260"/>
      <c r="AR3" s="260" t="s">
        <v>134</v>
      </c>
      <c r="AS3" s="260"/>
      <c r="AT3" s="260"/>
      <c r="AU3" s="260"/>
      <c r="AV3" s="260" t="s">
        <v>136</v>
      </c>
      <c r="AW3" s="260"/>
      <c r="AX3" s="260"/>
      <c r="AY3" s="260"/>
      <c r="AZ3" s="261" t="s">
        <v>137</v>
      </c>
      <c r="BA3" s="261"/>
      <c r="BB3" s="261"/>
      <c r="BC3" s="261"/>
      <c r="BD3" s="261" t="s">
        <v>138</v>
      </c>
      <c r="BE3" s="261"/>
      <c r="BF3" s="261"/>
      <c r="BG3" s="261"/>
      <c r="BH3" s="261" t="s">
        <v>139</v>
      </c>
      <c r="BI3" s="261"/>
      <c r="BJ3" s="261"/>
      <c r="BK3" s="261"/>
      <c r="BL3" s="261" t="s">
        <v>140</v>
      </c>
      <c r="BM3" s="261"/>
      <c r="BN3" s="261"/>
      <c r="BO3" s="261"/>
      <c r="BP3" s="261" t="s">
        <v>174</v>
      </c>
      <c r="BQ3" s="261"/>
      <c r="BR3" s="261"/>
      <c r="BS3" s="261"/>
      <c r="BT3" s="261" t="s">
        <v>175</v>
      </c>
      <c r="BU3" s="261"/>
      <c r="BV3" s="261"/>
    </row>
    <row r="4" spans="1:74" s="91" customFormat="1" ht="12" customHeight="1" x14ac:dyDescent="0.2">
      <c r="A4" s="88"/>
      <c r="B4" s="89" t="s">
        <v>48</v>
      </c>
      <c r="C4" s="89" t="s">
        <v>49</v>
      </c>
      <c r="D4" s="89" t="s">
        <v>46</v>
      </c>
      <c r="E4" s="89" t="s">
        <v>47</v>
      </c>
      <c r="F4" s="89" t="s">
        <v>48</v>
      </c>
      <c r="G4" s="89" t="s">
        <v>49</v>
      </c>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90" t="s">
        <v>47</v>
      </c>
      <c r="AP4" s="90" t="s">
        <v>48</v>
      </c>
      <c r="AQ4" s="90" t="s">
        <v>49</v>
      </c>
      <c r="AR4" s="90" t="s">
        <v>46</v>
      </c>
      <c r="AS4" s="90" t="s">
        <v>47</v>
      </c>
      <c r="AT4" s="90" t="s">
        <v>48</v>
      </c>
      <c r="AU4" s="90" t="s">
        <v>49</v>
      </c>
      <c r="AV4" s="90" t="s">
        <v>46</v>
      </c>
      <c r="AW4" s="90" t="s">
        <v>47</v>
      </c>
      <c r="AX4" s="90" t="s">
        <v>48</v>
      </c>
      <c r="AY4" s="90" t="s">
        <v>49</v>
      </c>
      <c r="AZ4" s="90" t="s">
        <v>46</v>
      </c>
      <c r="BA4" s="90" t="s">
        <v>47</v>
      </c>
      <c r="BB4" s="90" t="s">
        <v>48</v>
      </c>
      <c r="BC4" s="90" t="s">
        <v>49</v>
      </c>
      <c r="BD4" s="90" t="s">
        <v>46</v>
      </c>
      <c r="BE4" s="90" t="s">
        <v>47</v>
      </c>
      <c r="BF4" s="90" t="s">
        <v>48</v>
      </c>
      <c r="BG4" s="90" t="s">
        <v>49</v>
      </c>
      <c r="BH4" s="90" t="s">
        <v>46</v>
      </c>
      <c r="BI4" s="90" t="s">
        <v>47</v>
      </c>
      <c r="BJ4" s="90" t="s">
        <v>48</v>
      </c>
      <c r="BK4" s="90" t="s">
        <v>49</v>
      </c>
      <c r="BL4" s="90" t="s">
        <v>46</v>
      </c>
      <c r="BM4" s="90" t="s">
        <v>47</v>
      </c>
      <c r="BN4" s="90" t="s">
        <v>48</v>
      </c>
      <c r="BO4" s="90" t="s">
        <v>49</v>
      </c>
      <c r="BP4" s="90" t="s">
        <v>46</v>
      </c>
      <c r="BQ4" s="90" t="s">
        <v>47</v>
      </c>
      <c r="BR4" s="90" t="s">
        <v>48</v>
      </c>
      <c r="BS4" s="90" t="s">
        <v>49</v>
      </c>
      <c r="BT4" s="90" t="s">
        <v>46</v>
      </c>
      <c r="BU4" s="90" t="s">
        <v>47</v>
      </c>
      <c r="BV4" s="90" t="s">
        <v>48</v>
      </c>
    </row>
    <row r="5" spans="1:74" s="8" customFormat="1" ht="17.100000000000001" customHeight="1" x14ac:dyDescent="0.2">
      <c r="A5" s="39" t="s">
        <v>97</v>
      </c>
      <c r="B5" s="119"/>
      <c r="C5" s="119"/>
      <c r="D5" s="119"/>
      <c r="E5" s="119" t="e">
        <v>#DIV/0!</v>
      </c>
      <c r="F5" s="119" t="e">
        <v>#DIV/0!</v>
      </c>
      <c r="G5" s="119" t="e">
        <v>#DIV/0!</v>
      </c>
      <c r="H5" s="119" t="e">
        <v>#DIV/0!</v>
      </c>
      <c r="I5" s="119">
        <v>1.3243857582168062</v>
      </c>
      <c r="J5" s="119">
        <v>5.8038311822304234</v>
      </c>
      <c r="K5" s="119">
        <v>2.022233606130408</v>
      </c>
      <c r="L5" s="119">
        <v>1.2038282944940359</v>
      </c>
      <c r="M5" s="119">
        <v>2.5972694917613337</v>
      </c>
      <c r="N5" s="119">
        <v>2.2531976855202585</v>
      </c>
      <c r="O5" s="119">
        <v>-3.1590458235293939</v>
      </c>
      <c r="P5" s="119">
        <v>3.7070941706429661</v>
      </c>
      <c r="Q5" s="119">
        <v>-2.5602056714968402</v>
      </c>
      <c r="R5" s="119">
        <v>2.7670823607854</v>
      </c>
      <c r="S5" s="119">
        <v>0.99414175889132039</v>
      </c>
      <c r="T5" s="119">
        <v>4.0872450290212692</v>
      </c>
      <c r="U5" s="119">
        <v>-4.3863552405433603</v>
      </c>
      <c r="V5" s="119">
        <v>9.5047172771445254E-2</v>
      </c>
      <c r="W5" s="119">
        <v>-1.7100511532895268</v>
      </c>
      <c r="X5" s="119">
        <v>4.2222874083501782</v>
      </c>
      <c r="Y5" s="119">
        <v>-1.8304732426207559</v>
      </c>
      <c r="Z5" s="119">
        <v>5.9716096888118519</v>
      </c>
      <c r="AA5" s="119">
        <v>4.414254729900291</v>
      </c>
      <c r="AB5" s="119">
        <v>-3.5091846461838161</v>
      </c>
      <c r="AC5" s="119">
        <v>4.1129018127771921</v>
      </c>
      <c r="AD5" s="119">
        <v>0.97561911818642155</v>
      </c>
      <c r="AE5" s="119">
        <v>2.4537185712327103</v>
      </c>
      <c r="AF5" s="119">
        <v>1.4620018820307612</v>
      </c>
      <c r="AG5" s="119">
        <v>0.54947360243280396</v>
      </c>
      <c r="AH5" s="119">
        <v>-3.222041917114471</v>
      </c>
      <c r="AI5" s="119">
        <v>1.2841621139416226</v>
      </c>
      <c r="AJ5" s="119">
        <v>0.83239308103602028</v>
      </c>
      <c r="AK5" s="119">
        <v>1.4978379139610531</v>
      </c>
      <c r="AL5" s="119">
        <v>3.0208624299154385</v>
      </c>
      <c r="AM5" s="119">
        <v>0.96962077675153413</v>
      </c>
      <c r="AN5" s="119">
        <v>1.4096174609220746</v>
      </c>
      <c r="AO5" s="119">
        <v>0.95852185714253579</v>
      </c>
      <c r="AP5" s="119">
        <v>2.3642920522684685</v>
      </c>
      <c r="AQ5" s="119">
        <v>0.73929905434091392</v>
      </c>
      <c r="AR5" s="119">
        <v>1.6833459305312326</v>
      </c>
      <c r="AS5" s="119">
        <v>0.67788171301681466</v>
      </c>
      <c r="AT5" s="119">
        <v>4.7183604166448179</v>
      </c>
      <c r="AU5" s="119">
        <v>-0.51606042001457464</v>
      </c>
      <c r="AV5" s="119">
        <v>2.7835341383885881</v>
      </c>
      <c r="AW5" s="119">
        <v>1.2339329948722666</v>
      </c>
      <c r="AX5" s="119">
        <v>-2.2194992523079771</v>
      </c>
      <c r="AY5" s="119">
        <v>-7.1197978261993473</v>
      </c>
      <c r="AZ5" s="119">
        <v>7.4621280923681477</v>
      </c>
      <c r="BA5" s="119">
        <v>2.4351986059343966</v>
      </c>
      <c r="BB5" s="119">
        <v>0.77831284455369687</v>
      </c>
      <c r="BC5" s="119">
        <v>1.1699337550039379</v>
      </c>
      <c r="BD5" s="119">
        <v>-1.9991801601972448</v>
      </c>
      <c r="BE5" s="119">
        <v>4.9359917178984913</v>
      </c>
      <c r="BF5" s="119">
        <v>2.2192564974707008</v>
      </c>
      <c r="BG5" s="119">
        <v>0.38232369925883525</v>
      </c>
      <c r="BH5" s="119">
        <v>0.97334385089125064</v>
      </c>
      <c r="BI5" s="119">
        <v>0.94972823516947802</v>
      </c>
      <c r="BJ5" s="119">
        <v>-2.1375292072356444E-2</v>
      </c>
      <c r="BK5" s="119">
        <v>3.2791841688570855</v>
      </c>
      <c r="BL5" s="119">
        <v>1.299183744456478</v>
      </c>
      <c r="BM5" s="119">
        <v>1.3643908149901796</v>
      </c>
      <c r="BN5" s="119">
        <v>1.0354276379122895</v>
      </c>
      <c r="BO5" s="119">
        <v>1.6374266873781629</v>
      </c>
      <c r="BP5" s="119">
        <v>2.1458545764824422</v>
      </c>
      <c r="BQ5" s="119">
        <v>0.51845911815009416</v>
      </c>
      <c r="BR5" s="119">
        <v>3.7173547957292108</v>
      </c>
      <c r="BS5" s="119">
        <v>-0.92665304197946385</v>
      </c>
      <c r="BT5" s="119">
        <v>1.9545609514091566</v>
      </c>
      <c r="BU5" s="119">
        <v>3.5624392076006206</v>
      </c>
      <c r="BV5" s="119">
        <v>1.2140564149031308</v>
      </c>
    </row>
    <row r="6" spans="1:74" s="8" customFormat="1" ht="17.100000000000001" customHeight="1" x14ac:dyDescent="0.2">
      <c r="A6" s="39" t="s">
        <v>96</v>
      </c>
      <c r="B6" s="80"/>
      <c r="C6" s="119" t="e">
        <v>#DIV/0!</v>
      </c>
      <c r="D6" s="119" t="e">
        <v>#DIV/0!</v>
      </c>
      <c r="E6" s="119" t="e">
        <v>#DIV/0!</v>
      </c>
      <c r="F6" s="119" t="e">
        <v>#DIV/0!</v>
      </c>
      <c r="G6" s="119" t="e">
        <v>#DIV/0!</v>
      </c>
      <c r="H6" s="119" t="e">
        <v>#DIV/0!</v>
      </c>
      <c r="I6" s="119">
        <v>-0.73574461172207783</v>
      </c>
      <c r="J6" s="119">
        <v>0.8960423744254431</v>
      </c>
      <c r="K6" s="119">
        <v>5.7424551006929558</v>
      </c>
      <c r="L6" s="119">
        <v>-4.3264509599096996</v>
      </c>
      <c r="M6" s="119">
        <v>0.7612251099541556</v>
      </c>
      <c r="N6" s="119">
        <v>5.76406396369189</v>
      </c>
      <c r="O6" s="119">
        <v>-0.26154902723971585</v>
      </c>
      <c r="P6" s="119">
        <v>5.0213260993577924</v>
      </c>
      <c r="Q6" s="119">
        <v>-9.2174101025908506</v>
      </c>
      <c r="R6" s="119">
        <v>-2.5897082524534931</v>
      </c>
      <c r="S6" s="119">
        <v>1.5266548015983705</v>
      </c>
      <c r="T6" s="119">
        <v>11.848878618922697</v>
      </c>
      <c r="U6" s="119">
        <v>-10.489025045994872</v>
      </c>
      <c r="V6" s="119">
        <v>1.456368355324078</v>
      </c>
      <c r="W6" s="119">
        <v>-6.3101412864521311</v>
      </c>
      <c r="X6" s="119">
        <v>18.314297689689617</v>
      </c>
      <c r="Y6" s="119">
        <v>-10.65507801730109</v>
      </c>
      <c r="Z6" s="119">
        <v>1.9442936517374942</v>
      </c>
      <c r="AA6" s="119">
        <v>3.675360822230922</v>
      </c>
      <c r="AB6" s="119">
        <v>1.1823483347791042</v>
      </c>
      <c r="AC6" s="119">
        <v>3.553653042006033</v>
      </c>
      <c r="AD6" s="119">
        <v>-2.9863238947607784</v>
      </c>
      <c r="AE6" s="119">
        <v>2.55268194055982</v>
      </c>
      <c r="AF6" s="119">
        <v>-0.65468886218923439</v>
      </c>
      <c r="AG6" s="119">
        <v>1.5325457458998715</v>
      </c>
      <c r="AH6" s="119">
        <v>5.0033257535269327</v>
      </c>
      <c r="AI6" s="119">
        <v>-4.4485212092586934</v>
      </c>
      <c r="AJ6" s="119">
        <v>-0.95375315153649609</v>
      </c>
      <c r="AK6" s="119">
        <v>4.1201764577865507</v>
      </c>
      <c r="AL6" s="119">
        <v>3.418277242109391</v>
      </c>
      <c r="AM6" s="119">
        <v>-0.56587876013612926</v>
      </c>
      <c r="AN6" s="119">
        <v>1.1995622370269743</v>
      </c>
      <c r="AO6" s="119">
        <v>-1.3729597840817398</v>
      </c>
      <c r="AP6" s="119">
        <v>5.4232796583672194</v>
      </c>
      <c r="AQ6" s="119">
        <v>-3.3166197423029176</v>
      </c>
      <c r="AR6" s="119">
        <v>1.7833388410015472</v>
      </c>
      <c r="AS6" s="119">
        <v>6.6075236729190578E-3</v>
      </c>
      <c r="AT6" s="119">
        <v>11.10818537419178</v>
      </c>
      <c r="AU6" s="119">
        <v>-4.5510054520324417</v>
      </c>
      <c r="AV6" s="119">
        <v>-0.11039391022473755</v>
      </c>
      <c r="AW6" s="119">
        <v>1.5116346642191969</v>
      </c>
      <c r="AX6" s="119">
        <v>2.2291279512794082</v>
      </c>
      <c r="AY6" s="119">
        <v>1.9301112695357059</v>
      </c>
      <c r="AZ6" s="119">
        <v>-0.39245800693936683</v>
      </c>
      <c r="BA6" s="119">
        <v>3.339794165080856</v>
      </c>
      <c r="BB6" s="119">
        <v>-3.7522326571998166</v>
      </c>
      <c r="BC6" s="119">
        <v>1.5779749161203949</v>
      </c>
      <c r="BD6" s="119">
        <v>3.5159819290816019</v>
      </c>
      <c r="BE6" s="119">
        <v>-3.5118845268345189</v>
      </c>
      <c r="BF6" s="119">
        <v>5.2949332199087706</v>
      </c>
      <c r="BG6" s="119">
        <v>5.1913246348964881</v>
      </c>
      <c r="BH6" s="119">
        <v>-3.6972831751256319</v>
      </c>
      <c r="BI6" s="119">
        <v>4.5513684186822667</v>
      </c>
      <c r="BJ6" s="119">
        <v>-1.5212017671676237</v>
      </c>
      <c r="BK6" s="119">
        <v>-1.5060181855870547</v>
      </c>
      <c r="BL6" s="119">
        <v>4.0680935198681212</v>
      </c>
      <c r="BM6" s="119">
        <v>0.80245658302149359</v>
      </c>
      <c r="BN6" s="119">
        <v>2.1328688387634909</v>
      </c>
      <c r="BO6" s="119">
        <v>3.2118319438789289</v>
      </c>
      <c r="BP6" s="119">
        <v>0.53171096729058842</v>
      </c>
      <c r="BQ6" s="119">
        <v>1.1977514392393696</v>
      </c>
      <c r="BR6" s="119">
        <v>3.8204910715183615</v>
      </c>
      <c r="BS6" s="119">
        <v>-2.0111679174767749</v>
      </c>
      <c r="BT6" s="119">
        <v>1.44613576623569</v>
      </c>
      <c r="BU6" s="119">
        <v>5.1586820115829379</v>
      </c>
      <c r="BV6" s="119">
        <v>-1.3401905568687922</v>
      </c>
    </row>
    <row r="7" spans="1:74" ht="17.100000000000001" customHeight="1" x14ac:dyDescent="0.2">
      <c r="A7" s="72" t="s">
        <v>1</v>
      </c>
      <c r="B7" s="81"/>
      <c r="C7" s="71" t="e">
        <v>#DIV/0!</v>
      </c>
      <c r="D7" s="71" t="e">
        <v>#DIV/0!</v>
      </c>
      <c r="E7" s="71" t="e">
        <v>#DIV/0!</v>
      </c>
      <c r="F7" s="71" t="e">
        <v>#DIV/0!</v>
      </c>
      <c r="G7" s="71" t="e">
        <v>#DIV/0!</v>
      </c>
      <c r="H7" s="71" t="e">
        <v>#DIV/0!</v>
      </c>
      <c r="I7" s="71">
        <v>-2.2131687755988394</v>
      </c>
      <c r="J7" s="71">
        <v>-24.368246223767176</v>
      </c>
      <c r="K7" s="71">
        <v>56.585114373429676</v>
      </c>
      <c r="L7" s="71">
        <v>-21.553389405991062</v>
      </c>
      <c r="M7" s="71">
        <v>-0.62207510116069065</v>
      </c>
      <c r="N7" s="71">
        <v>17.425570323948648</v>
      </c>
      <c r="O7" s="71">
        <v>-4.9959192359713356</v>
      </c>
      <c r="P7" s="71">
        <v>12.104514549401468</v>
      </c>
      <c r="Q7" s="71">
        <v>-5.3174365685713987</v>
      </c>
      <c r="R7" s="71">
        <v>-7.855478408356797</v>
      </c>
      <c r="S7" s="71">
        <v>7.0190127632221655</v>
      </c>
      <c r="T7" s="71">
        <v>-4.5798348183622162</v>
      </c>
      <c r="U7" s="71">
        <v>2.8478836671862462</v>
      </c>
      <c r="V7" s="71">
        <v>6.7769997354611533</v>
      </c>
      <c r="W7" s="71">
        <v>-1.3042878210280495</v>
      </c>
      <c r="X7" s="71">
        <v>-0.39266240792549256</v>
      </c>
      <c r="Y7" s="71">
        <v>2.8230586398421575</v>
      </c>
      <c r="Z7" s="71">
        <v>-10.718330048891589</v>
      </c>
      <c r="AA7" s="71">
        <v>2.182128671068706</v>
      </c>
      <c r="AB7" s="71">
        <v>2.7742474490208835</v>
      </c>
      <c r="AC7" s="71">
        <v>-2.6256379973551014</v>
      </c>
      <c r="AD7" s="71">
        <v>12.015621894858185</v>
      </c>
      <c r="AE7" s="71">
        <v>3.2472373313846559</v>
      </c>
      <c r="AF7" s="71">
        <v>3.6099614333856556</v>
      </c>
      <c r="AG7" s="71">
        <v>-5.1244801973998388</v>
      </c>
      <c r="AH7" s="71">
        <v>0.49657436714016789</v>
      </c>
      <c r="AI7" s="71">
        <v>1.8070079449638898</v>
      </c>
      <c r="AJ7" s="71">
        <v>-14.184758270280417</v>
      </c>
      <c r="AK7" s="71">
        <v>41.232385196556407</v>
      </c>
      <c r="AL7" s="71">
        <v>-7.9043073974408129</v>
      </c>
      <c r="AM7" s="71">
        <v>5.4038969004240656</v>
      </c>
      <c r="AN7" s="71">
        <v>2.844360038754612</v>
      </c>
      <c r="AO7" s="71">
        <v>-5.4738492933256282</v>
      </c>
      <c r="AP7" s="71">
        <v>-0.90396808993679079</v>
      </c>
      <c r="AQ7" s="71">
        <v>-0.17773491196027003</v>
      </c>
      <c r="AR7" s="71">
        <v>6.8693751556843319</v>
      </c>
      <c r="AS7" s="71">
        <v>-0.40725211437577791</v>
      </c>
      <c r="AT7" s="71">
        <v>-4.3590301185938092</v>
      </c>
      <c r="AU7" s="71">
        <v>10.449184074896234</v>
      </c>
      <c r="AV7" s="71">
        <v>-2.5513443493439758</v>
      </c>
      <c r="AW7" s="71">
        <v>5.7039665631786862</v>
      </c>
      <c r="AX7" s="71">
        <v>4.3202485852332551</v>
      </c>
      <c r="AY7" s="71">
        <v>-4.6935775081050179</v>
      </c>
      <c r="AZ7" s="71">
        <v>1.3923078429044944</v>
      </c>
      <c r="BA7" s="71">
        <v>11.620628419433654</v>
      </c>
      <c r="BB7" s="71">
        <v>3.9032796324899977</v>
      </c>
      <c r="BC7" s="71">
        <v>0.83989083012310228</v>
      </c>
      <c r="BD7" s="71">
        <v>3.7456493146464931</v>
      </c>
      <c r="BE7" s="71">
        <v>-1.9709545429369646</v>
      </c>
      <c r="BF7" s="71">
        <v>-7.835022948797854</v>
      </c>
      <c r="BG7" s="71">
        <v>9.1750242332483403</v>
      </c>
      <c r="BH7" s="71">
        <v>-0.24291063484166431</v>
      </c>
      <c r="BI7" s="71">
        <v>-4.3763972384791794</v>
      </c>
      <c r="BJ7" s="71">
        <v>3.4553031658472122</v>
      </c>
      <c r="BK7" s="71">
        <v>2.1736484932353806</v>
      </c>
      <c r="BL7" s="71">
        <v>4.3799915861903793</v>
      </c>
      <c r="BM7" s="71">
        <v>6.0294120550959951</v>
      </c>
      <c r="BN7" s="71">
        <v>4.140206901551613</v>
      </c>
      <c r="BO7" s="71">
        <v>-5.5957311679703414</v>
      </c>
      <c r="BP7" s="71">
        <v>12.143812532130438</v>
      </c>
      <c r="BQ7" s="71">
        <v>-8.4128531212102065E-2</v>
      </c>
      <c r="BR7" s="71">
        <v>3.736072918828981</v>
      </c>
      <c r="BS7" s="71">
        <v>-6.5709920956491086</v>
      </c>
      <c r="BT7" s="71">
        <v>10.85610169605582</v>
      </c>
      <c r="BU7" s="71">
        <v>4.9303842777393081</v>
      </c>
      <c r="BV7" s="71">
        <v>-0.37827649106139116</v>
      </c>
    </row>
    <row r="8" spans="1:74" ht="17.100000000000001" customHeight="1" x14ac:dyDescent="0.2">
      <c r="A8" s="72" t="s">
        <v>2</v>
      </c>
      <c r="B8" s="81"/>
      <c r="C8" s="71" t="e">
        <v>#DIV/0!</v>
      </c>
      <c r="D8" s="71" t="e">
        <v>#DIV/0!</v>
      </c>
      <c r="E8" s="71" t="e">
        <v>#DIV/0!</v>
      </c>
      <c r="F8" s="71" t="e">
        <v>#DIV/0!</v>
      </c>
      <c r="G8" s="71" t="e">
        <v>#DIV/0!</v>
      </c>
      <c r="H8" s="71" t="e">
        <v>#DIV/0!</v>
      </c>
      <c r="I8" s="71">
        <v>0.69259714078915291</v>
      </c>
      <c r="J8" s="71">
        <v>1.7232202254895412</v>
      </c>
      <c r="K8" s="71">
        <v>0.39725219225039687</v>
      </c>
      <c r="L8" s="71">
        <v>-3.2732722705115846</v>
      </c>
      <c r="M8" s="71">
        <v>1.7361334184070598</v>
      </c>
      <c r="N8" s="71">
        <v>7.1766114125404235</v>
      </c>
      <c r="O8" s="71">
        <v>1.2364592544555686</v>
      </c>
      <c r="P8" s="71">
        <v>-4.438837844947785</v>
      </c>
      <c r="Q8" s="71">
        <v>3.0843396279273572</v>
      </c>
      <c r="R8" s="71">
        <v>-11.001243332817189</v>
      </c>
      <c r="S8" s="71">
        <v>6.9482410838261899E-2</v>
      </c>
      <c r="T8" s="71">
        <v>21.96770231615346</v>
      </c>
      <c r="U8" s="71">
        <v>-22.310314342400506</v>
      </c>
      <c r="V8" s="71">
        <v>0.43370813532077612</v>
      </c>
      <c r="W8" s="71">
        <v>-1.8538079737918767</v>
      </c>
      <c r="X8" s="71">
        <v>26.708386073683599</v>
      </c>
      <c r="Y8" s="71">
        <v>-20.964151250042928</v>
      </c>
      <c r="Z8" s="71">
        <v>9.6905804409995522</v>
      </c>
      <c r="AA8" s="71">
        <v>5.3037138650984472</v>
      </c>
      <c r="AB8" s="71">
        <v>-0.26213134127555104</v>
      </c>
      <c r="AC8" s="71">
        <v>8.9856318513352065</v>
      </c>
      <c r="AD8" s="71">
        <v>-8.0506290058379388</v>
      </c>
      <c r="AE8" s="71">
        <v>2.1242678024344652</v>
      </c>
      <c r="AF8" s="71">
        <v>-0.75792467639085315</v>
      </c>
      <c r="AG8" s="71">
        <v>5.485010733331519</v>
      </c>
      <c r="AH8" s="71">
        <v>-1.1398301766085361</v>
      </c>
      <c r="AI8" s="71">
        <v>-2.1014168249269716</v>
      </c>
      <c r="AJ8" s="71">
        <v>-0.56021263565495527</v>
      </c>
      <c r="AK8" s="71">
        <v>0.89047718045298652</v>
      </c>
      <c r="AL8" s="71">
        <v>8.0448017458378374</v>
      </c>
      <c r="AM8" s="71">
        <v>-1.5526259167137013</v>
      </c>
      <c r="AN8" s="71">
        <v>2.963574186044049</v>
      </c>
      <c r="AO8" s="71">
        <v>-0.17617354186525436</v>
      </c>
      <c r="AP8" s="71">
        <v>9.2504383734545836</v>
      </c>
      <c r="AQ8" s="71">
        <v>-8.3447353688966945</v>
      </c>
      <c r="AR8" s="71">
        <v>-4.5275196239735749E-2</v>
      </c>
      <c r="AS8" s="71">
        <v>-2.0682827123003178</v>
      </c>
      <c r="AT8" s="71">
        <v>20.211161341176755</v>
      </c>
      <c r="AU8" s="71">
        <v>-11.277953214777659</v>
      </c>
      <c r="AV8" s="71">
        <v>-0.60673330467714282</v>
      </c>
      <c r="AW8" s="71">
        <v>1.8581795544639013</v>
      </c>
      <c r="AX8" s="71">
        <v>4.4963413607770342</v>
      </c>
      <c r="AY8" s="71">
        <v>4.9918137584982869</v>
      </c>
      <c r="AZ8" s="71">
        <v>-1.7867034561253492</v>
      </c>
      <c r="BA8" s="71">
        <v>0.81642241181363318</v>
      </c>
      <c r="BB8" s="71">
        <v>-6.1096109645643608</v>
      </c>
      <c r="BC8" s="71">
        <v>2.7333181544918705</v>
      </c>
      <c r="BD8" s="71">
        <v>3.2492973311414763</v>
      </c>
      <c r="BE8" s="71">
        <v>-5.3506447831800807</v>
      </c>
      <c r="BF8" s="71">
        <v>10.098133705313096</v>
      </c>
      <c r="BG8" s="71">
        <v>6.8568304512012679</v>
      </c>
      <c r="BH8" s="71">
        <v>-4.042232949663827</v>
      </c>
      <c r="BI8" s="71">
        <v>3.9736437744169573</v>
      </c>
      <c r="BJ8" s="71">
        <v>-7.1538592252663458</v>
      </c>
      <c r="BK8" s="71">
        <v>0.4750861145885299</v>
      </c>
      <c r="BL8" s="71">
        <v>7.3529794479661792</v>
      </c>
      <c r="BM8" s="71">
        <v>-1.2143492815366308</v>
      </c>
      <c r="BN8" s="71">
        <v>2.2122011206460179</v>
      </c>
      <c r="BO8" s="71">
        <v>2.2238931361374448</v>
      </c>
      <c r="BP8" s="71">
        <v>2.1030701437728228</v>
      </c>
      <c r="BQ8" s="71">
        <v>-0.78309027426753941</v>
      </c>
      <c r="BR8" s="71">
        <v>0.68998054110580576</v>
      </c>
      <c r="BS8" s="71">
        <v>0.46165376278395343</v>
      </c>
      <c r="BT8" s="71">
        <v>-0.92667516027359342</v>
      </c>
      <c r="BU8" s="71">
        <v>7.1153850900929738</v>
      </c>
      <c r="BV8" s="71">
        <v>-0.98394116268382126</v>
      </c>
    </row>
    <row r="9" spans="1:74" ht="17.100000000000001" customHeight="1" x14ac:dyDescent="0.2">
      <c r="A9" s="72" t="s">
        <v>3</v>
      </c>
      <c r="B9" s="81"/>
      <c r="C9" s="71" t="e">
        <v>#DIV/0!</v>
      </c>
      <c r="D9" s="71" t="e">
        <v>#DIV/0!</v>
      </c>
      <c r="E9" s="71" t="e">
        <v>#DIV/0!</v>
      </c>
      <c r="F9" s="71" t="e">
        <v>#DIV/0!</v>
      </c>
      <c r="G9" s="71" t="e">
        <v>#DIV/0!</v>
      </c>
      <c r="H9" s="71" t="e">
        <v>#DIV/0!</v>
      </c>
      <c r="I9" s="71">
        <v>1.5424881264058055</v>
      </c>
      <c r="J9" s="71">
        <v>1.0663696704724224</v>
      </c>
      <c r="K9" s="71">
        <v>0.25420629233967595</v>
      </c>
      <c r="L9" s="71">
        <v>0.50270551055406898</v>
      </c>
      <c r="M9" s="71">
        <v>0.46325262025543879</v>
      </c>
      <c r="N9" s="71">
        <v>0.29389166370383801</v>
      </c>
      <c r="O9" s="71">
        <v>0.82154069392859075</v>
      </c>
      <c r="P9" s="71">
        <v>0.75860583269362625</v>
      </c>
      <c r="Q9" s="71">
        <v>0.5427116227109785</v>
      </c>
      <c r="R9" s="71">
        <v>0.34770905745660219</v>
      </c>
      <c r="S9" s="71">
        <v>0.39198511377618317</v>
      </c>
      <c r="T9" s="71">
        <v>-0.71931714732393903</v>
      </c>
      <c r="U9" s="71">
        <v>-0.55741001106820454</v>
      </c>
      <c r="V9" s="71">
        <v>6.1703331241788284</v>
      </c>
      <c r="W9" s="71">
        <v>-0.16050470827394525</v>
      </c>
      <c r="X9" s="71">
        <v>-0.13534472286572674</v>
      </c>
      <c r="Y9" s="71">
        <v>0.52940428968513142</v>
      </c>
      <c r="Z9" s="71">
        <v>-0.69238335700293474</v>
      </c>
      <c r="AA9" s="71">
        <v>0.42489159784406816</v>
      </c>
      <c r="AB9" s="71">
        <v>1.5860184791664844</v>
      </c>
      <c r="AC9" s="71">
        <v>0.85974169372426967</v>
      </c>
      <c r="AD9" s="71">
        <v>0.93939951556760715</v>
      </c>
      <c r="AE9" s="71">
        <v>0.42039862243818948</v>
      </c>
      <c r="AF9" s="71">
        <v>-9.7730117065708555E-3</v>
      </c>
      <c r="AG9" s="71">
        <v>0.71245234447459005</v>
      </c>
      <c r="AH9" s="71">
        <v>1.1601361317687076</v>
      </c>
      <c r="AI9" s="71">
        <v>2.562481049938925</v>
      </c>
      <c r="AJ9" s="71">
        <v>1.0613293170388394</v>
      </c>
      <c r="AK9" s="71">
        <v>2.3476691288119911</v>
      </c>
      <c r="AL9" s="71">
        <v>1.8236256728407563</v>
      </c>
      <c r="AM9" s="71">
        <v>1.6659304497228522</v>
      </c>
      <c r="AN9" s="71">
        <v>2.1098583635134949</v>
      </c>
      <c r="AO9" s="71">
        <v>0.89031241303678677</v>
      </c>
      <c r="AP9" s="71">
        <v>2.2101670773147397</v>
      </c>
      <c r="AQ9" s="71">
        <v>1.2962114499068367</v>
      </c>
      <c r="AR9" s="71">
        <v>2.0341927013690198</v>
      </c>
      <c r="AS9" s="71">
        <v>1.9351591046704142</v>
      </c>
      <c r="AT9" s="71">
        <v>1.6023372651877255</v>
      </c>
      <c r="AU9" s="71">
        <v>2.2372272458214271</v>
      </c>
      <c r="AV9" s="71">
        <v>1.8337121743345453</v>
      </c>
      <c r="AW9" s="71">
        <v>1.9814958912201197</v>
      </c>
      <c r="AX9" s="71">
        <v>1.9662440850987117</v>
      </c>
      <c r="AY9" s="71">
        <v>1.6184803252064395</v>
      </c>
      <c r="AZ9" s="71">
        <v>1.7987748052079144</v>
      </c>
      <c r="BA9" s="71">
        <v>1.9931195325501694</v>
      </c>
      <c r="BB9" s="71">
        <v>2.0981395249036527</v>
      </c>
      <c r="BC9" s="71">
        <v>2.1264715393143563</v>
      </c>
      <c r="BD9" s="71">
        <v>1.9264501657125344</v>
      </c>
      <c r="BE9" s="71">
        <v>1.8409590028345191</v>
      </c>
      <c r="BF9" s="71">
        <v>2.0674487991217738</v>
      </c>
      <c r="BG9" s="71">
        <v>2.3061763934016932</v>
      </c>
      <c r="BH9" s="71">
        <v>2.2856530100911376</v>
      </c>
      <c r="BI9" s="71">
        <v>1.9500462739184599</v>
      </c>
      <c r="BJ9" s="71">
        <v>2.6831770065485872</v>
      </c>
      <c r="BK9" s="71">
        <v>1.003846959764676</v>
      </c>
      <c r="BL9" s="71">
        <v>1.9400468274375138</v>
      </c>
      <c r="BM9" s="71">
        <v>2.1717508004442054</v>
      </c>
      <c r="BN9" s="71">
        <v>1.9720866700218886</v>
      </c>
      <c r="BO9" s="71">
        <v>2.1145282869156956</v>
      </c>
      <c r="BP9" s="71">
        <v>1.9613604461073519</v>
      </c>
      <c r="BQ9" s="71">
        <v>2.2758570992561067</v>
      </c>
      <c r="BR9" s="71">
        <v>2.4616632859687293</v>
      </c>
      <c r="BS9" s="71">
        <v>1.8486240177370661</v>
      </c>
      <c r="BT9" s="71">
        <v>2.384348343821463</v>
      </c>
      <c r="BU9" s="71">
        <v>2.2177125530366215</v>
      </c>
      <c r="BV9" s="71">
        <v>-2.7257772222710752E-2</v>
      </c>
    </row>
    <row r="10" spans="1:74" ht="17.100000000000001" customHeight="1" x14ac:dyDescent="0.2">
      <c r="A10" s="72" t="s">
        <v>4</v>
      </c>
      <c r="B10" s="81"/>
      <c r="C10" s="71" t="e">
        <v>#DIV/0!</v>
      </c>
      <c r="D10" s="71" t="e">
        <v>#DIV/0!</v>
      </c>
      <c r="E10" s="71" t="e">
        <v>#DIV/0!</v>
      </c>
      <c r="F10" s="71" t="e">
        <v>#DIV/0!</v>
      </c>
      <c r="G10" s="71" t="e">
        <v>#DIV/0!</v>
      </c>
      <c r="H10" s="71" t="e">
        <v>#DIV/0!</v>
      </c>
      <c r="I10" s="71">
        <v>3.7308331826769514</v>
      </c>
      <c r="J10" s="71">
        <v>6.1071254845968426</v>
      </c>
      <c r="K10" s="71">
        <v>6.5938230094197969E-2</v>
      </c>
      <c r="L10" s="71">
        <v>0.93040230637795318</v>
      </c>
      <c r="M10" s="71">
        <v>-0.9655921150163671</v>
      </c>
      <c r="N10" s="71">
        <v>-1.4107033792727042</v>
      </c>
      <c r="O10" s="71">
        <v>-4.9250689969409507</v>
      </c>
      <c r="P10" s="71">
        <v>-7.304059505888616</v>
      </c>
      <c r="Q10" s="71">
        <v>-3.0103088891894947</v>
      </c>
      <c r="R10" s="71">
        <v>0.35208396726156277</v>
      </c>
      <c r="S10" s="71">
        <v>1.7741491573358026</v>
      </c>
      <c r="T10" s="71">
        <v>5.7930052999954018</v>
      </c>
      <c r="U10" s="71">
        <v>2.2289750444760781</v>
      </c>
      <c r="V10" s="71">
        <v>0.87258370211324987</v>
      </c>
      <c r="W10" s="71">
        <v>-0.67857881762314332</v>
      </c>
      <c r="X10" s="71">
        <v>-3.5697489037172514</v>
      </c>
      <c r="Y10" s="71">
        <v>0.65496313746051804</v>
      </c>
      <c r="Z10" s="71">
        <v>2.8031743000230147</v>
      </c>
      <c r="AA10" s="71">
        <v>5.8995244351980336</v>
      </c>
      <c r="AB10" s="71">
        <v>8.3573253885916863</v>
      </c>
      <c r="AC10" s="71">
        <v>2.8031852609285535</v>
      </c>
      <c r="AD10" s="71">
        <v>1.6213878326732711</v>
      </c>
      <c r="AE10" s="71">
        <v>-0.47162915427375607</v>
      </c>
      <c r="AF10" s="71">
        <v>-4.7901320928907083</v>
      </c>
      <c r="AG10" s="71">
        <v>-2.6873278343410467</v>
      </c>
      <c r="AH10" s="71">
        <v>-0.34239430842765151</v>
      </c>
      <c r="AI10" s="71">
        <v>1.5424099849813189</v>
      </c>
      <c r="AJ10" s="71">
        <v>3.0699636600126645</v>
      </c>
      <c r="AK10" s="71">
        <v>0.84652161512708268</v>
      </c>
      <c r="AL10" s="71">
        <v>-0.36107937565287296</v>
      </c>
      <c r="AM10" s="71">
        <v>1.9012232070496626</v>
      </c>
      <c r="AN10" s="71">
        <v>-2.4445178595389971</v>
      </c>
      <c r="AO10" s="71">
        <v>-0.68669884269133563</v>
      </c>
      <c r="AP10" s="71">
        <v>-1.1297612280260272</v>
      </c>
      <c r="AQ10" s="71">
        <v>6.1103874267572689</v>
      </c>
      <c r="AR10" s="71">
        <v>0.10890951370410296</v>
      </c>
      <c r="AS10" s="71">
        <v>4.0411009178807689</v>
      </c>
      <c r="AT10" s="71">
        <v>-2.7857823066446352</v>
      </c>
      <c r="AU10" s="71">
        <v>13.915951836709549</v>
      </c>
      <c r="AV10" s="71">
        <v>1.5594453240831196</v>
      </c>
      <c r="AW10" s="71">
        <v>8.443522137235604</v>
      </c>
      <c r="AX10" s="71">
        <v>-22.858777438904166</v>
      </c>
      <c r="AY10" s="71">
        <v>2.2403190074516077</v>
      </c>
      <c r="AZ10" s="71">
        <v>8.3291856625534741</v>
      </c>
      <c r="BA10" s="71">
        <v>5.9945981694853767</v>
      </c>
      <c r="BB10" s="71">
        <v>5.5263175925819308</v>
      </c>
      <c r="BC10" s="71">
        <v>-2.8727677023850595</v>
      </c>
      <c r="BD10" s="71">
        <v>-0.9369916009559609</v>
      </c>
      <c r="BE10" s="71">
        <v>0.59390744605301027</v>
      </c>
      <c r="BF10" s="71">
        <v>5.0551474058295298</v>
      </c>
      <c r="BG10" s="71">
        <v>-1.7074414675370742</v>
      </c>
      <c r="BH10" s="71">
        <v>-0.72008516081771834</v>
      </c>
      <c r="BI10" s="71">
        <v>1.623114879200882</v>
      </c>
      <c r="BJ10" s="71">
        <v>-0.32478364473930155</v>
      </c>
      <c r="BK10" s="71">
        <v>0.56887232501363627</v>
      </c>
      <c r="BL10" s="71">
        <v>3.8553814479834747</v>
      </c>
      <c r="BM10" s="71">
        <v>3.1898346098828689</v>
      </c>
      <c r="BN10" s="71">
        <v>-0.68625163170205061</v>
      </c>
      <c r="BO10" s="71">
        <v>2.0322674353837833</v>
      </c>
      <c r="BP10" s="71">
        <v>2.0561023465370809E-2</v>
      </c>
      <c r="BQ10" s="71">
        <v>-4.1616407646442033</v>
      </c>
      <c r="BR10" s="71">
        <v>0.27760396916609587</v>
      </c>
      <c r="BS10" s="71">
        <v>21.23555383088609</v>
      </c>
      <c r="BT10" s="71">
        <v>-24.118340795397032</v>
      </c>
      <c r="BU10" s="71">
        <v>8.8369274853798974</v>
      </c>
      <c r="BV10" s="71">
        <v>10.38895823062067</v>
      </c>
    </row>
    <row r="11" spans="1:74" ht="17.100000000000001" customHeight="1" x14ac:dyDescent="0.2">
      <c r="A11" s="72" t="s">
        <v>5</v>
      </c>
      <c r="B11" s="81"/>
      <c r="C11" s="71" t="e">
        <v>#DIV/0!</v>
      </c>
      <c r="D11" s="71" t="e">
        <v>#DIV/0!</v>
      </c>
      <c r="E11" s="71" t="e">
        <v>#DIV/0!</v>
      </c>
      <c r="F11" s="71" t="e">
        <v>#DIV/0!</v>
      </c>
      <c r="G11" s="71" t="e">
        <v>#DIV/0!</v>
      </c>
      <c r="H11" s="71" t="e">
        <v>#DIV/0!</v>
      </c>
      <c r="I11" s="71">
        <v>-8.0423187803878129</v>
      </c>
      <c r="J11" s="71">
        <v>17.935780909894738</v>
      </c>
      <c r="K11" s="71">
        <v>11.203205798088423</v>
      </c>
      <c r="L11" s="71">
        <v>-1.7060238655560278</v>
      </c>
      <c r="M11" s="71">
        <v>-2.2063992132693611</v>
      </c>
      <c r="N11" s="71">
        <v>2.375686211258099</v>
      </c>
      <c r="O11" s="71">
        <v>-4.6496065642618989</v>
      </c>
      <c r="P11" s="71">
        <v>50.559358213311654</v>
      </c>
      <c r="Q11" s="71">
        <v>-55.933286268871399</v>
      </c>
      <c r="R11" s="71">
        <v>45.762221362779385</v>
      </c>
      <c r="S11" s="71">
        <v>7.269004711401017</v>
      </c>
      <c r="T11" s="71">
        <v>3.2885112879125655</v>
      </c>
      <c r="U11" s="71">
        <v>16.451402468916054</v>
      </c>
      <c r="V11" s="71">
        <v>0.16513455846021152</v>
      </c>
      <c r="W11" s="71">
        <v>-14.876659661186221</v>
      </c>
      <c r="X11" s="71">
        <v>11.646684686263754</v>
      </c>
      <c r="Y11" s="71">
        <v>6.1156544110715583</v>
      </c>
      <c r="Z11" s="71">
        <v>-9.4288128321713511</v>
      </c>
      <c r="AA11" s="71">
        <v>5.072053351005601</v>
      </c>
      <c r="AB11" s="71">
        <v>4.8977267251451906</v>
      </c>
      <c r="AC11" s="71">
        <v>-9.3907687249161764</v>
      </c>
      <c r="AD11" s="71">
        <v>6.3967975639863006</v>
      </c>
      <c r="AE11" s="71">
        <v>3.2193533946726971</v>
      </c>
      <c r="AF11" s="71">
        <v>-5.23863367122126</v>
      </c>
      <c r="AG11" s="71">
        <v>-5.0692787997490214</v>
      </c>
      <c r="AH11" s="71">
        <v>37.144849946139047</v>
      </c>
      <c r="AI11" s="71">
        <v>-20.050201672315538</v>
      </c>
      <c r="AJ11" s="71">
        <v>5.3093799130691455</v>
      </c>
      <c r="AK11" s="71">
        <v>-0.37641990404055914</v>
      </c>
      <c r="AL11" s="71">
        <v>2.6423287821794039</v>
      </c>
      <c r="AM11" s="71">
        <v>1.2463759792863405</v>
      </c>
      <c r="AN11" s="71">
        <v>0.10513613398703825</v>
      </c>
      <c r="AO11" s="71">
        <v>-1.5375342291219951</v>
      </c>
      <c r="AP11" s="71">
        <v>3.3003978652320853</v>
      </c>
      <c r="AQ11" s="71">
        <v>2.7035643328170655</v>
      </c>
      <c r="AR11" s="71">
        <v>-0.20462469067199507</v>
      </c>
      <c r="AS11" s="71">
        <v>0.11821607712847459</v>
      </c>
      <c r="AT11" s="71">
        <v>-0.70063121303775011</v>
      </c>
      <c r="AU11" s="71">
        <v>3.4026691327877279</v>
      </c>
      <c r="AV11" s="71">
        <v>1.5692512626067634</v>
      </c>
      <c r="AW11" s="71">
        <v>1.1868524326918317</v>
      </c>
      <c r="AX11" s="71">
        <v>-2.1736163055330882</v>
      </c>
      <c r="AY11" s="71">
        <v>-1.2078988290624815</v>
      </c>
      <c r="AZ11" s="71">
        <v>-0.11835860511406615</v>
      </c>
      <c r="BA11" s="71">
        <v>8.051706452875095</v>
      </c>
      <c r="BB11" s="71">
        <v>-1.5943441843342621</v>
      </c>
      <c r="BC11" s="71">
        <v>-1.0259754449531866</v>
      </c>
      <c r="BD11" s="71">
        <v>-0.43514058189272342</v>
      </c>
      <c r="BE11" s="71">
        <v>0.64448895732556188</v>
      </c>
      <c r="BF11" s="71">
        <v>6.059124916398706</v>
      </c>
      <c r="BG11" s="71">
        <v>-0.71636313247323002</v>
      </c>
      <c r="BH11" s="71">
        <v>-2.1311350684271702</v>
      </c>
      <c r="BI11" s="71">
        <v>0.9195399231304302</v>
      </c>
      <c r="BJ11" s="71">
        <v>4.9909500777421956</v>
      </c>
      <c r="BK11" s="71">
        <v>-1.5880048103297684</v>
      </c>
      <c r="BL11" s="71">
        <v>0.62845352101315033</v>
      </c>
      <c r="BM11" s="71">
        <v>-1.3362287931015571</v>
      </c>
      <c r="BN11" s="71">
        <v>-3.152277335824849</v>
      </c>
      <c r="BO11" s="71">
        <v>14.881430726118339</v>
      </c>
      <c r="BP11" s="71">
        <v>-5.8795637111823007</v>
      </c>
      <c r="BQ11" s="71">
        <v>5.664203551922764E-2</v>
      </c>
      <c r="BR11" s="71">
        <v>-4.2782792509221679E-2</v>
      </c>
      <c r="BS11" s="71">
        <v>3.8067353436191942</v>
      </c>
      <c r="BT11" s="71">
        <v>5.3441374102170869</v>
      </c>
      <c r="BU11" s="71">
        <v>-1.2405519764256412</v>
      </c>
      <c r="BV11" s="71">
        <v>-11.501986061416492</v>
      </c>
    </row>
    <row r="12" spans="1:74" ht="17.100000000000001" customHeight="1" x14ac:dyDescent="0.2">
      <c r="A12" s="72" t="s">
        <v>6</v>
      </c>
      <c r="B12" s="81"/>
      <c r="C12" s="71" t="e">
        <v>#DIV/0!</v>
      </c>
      <c r="D12" s="71" t="e">
        <v>#DIV/0!</v>
      </c>
      <c r="E12" s="71" t="e">
        <v>#DIV/0!</v>
      </c>
      <c r="F12" s="71" t="e">
        <v>#DIV/0!</v>
      </c>
      <c r="G12" s="71" t="e">
        <v>#DIV/0!</v>
      </c>
      <c r="H12" s="71" t="e">
        <v>#DIV/0!</v>
      </c>
      <c r="I12" s="71">
        <v>-1.1119606541851512</v>
      </c>
      <c r="J12" s="71">
        <v>-0.75671602357849643</v>
      </c>
      <c r="K12" s="71">
        <v>1.6780610615649616</v>
      </c>
      <c r="L12" s="71">
        <v>-2.1844220093077515</v>
      </c>
      <c r="M12" s="71">
        <v>1.1965291545934287</v>
      </c>
      <c r="N12" s="71">
        <v>6.4144122632714407E-2</v>
      </c>
      <c r="O12" s="71">
        <v>0.31056391258976745</v>
      </c>
      <c r="P12" s="71">
        <v>-1.2769291842453012</v>
      </c>
      <c r="Q12" s="71">
        <v>0.11454434586826157</v>
      </c>
      <c r="R12" s="71">
        <v>4.7132287923460137</v>
      </c>
      <c r="S12" s="71">
        <v>-1.6349726939458464</v>
      </c>
      <c r="T12" s="71">
        <v>2.2407059572106647</v>
      </c>
      <c r="U12" s="71">
        <v>1.0111982875350867</v>
      </c>
      <c r="V12" s="71">
        <v>-1.7923224441406371</v>
      </c>
      <c r="W12" s="71">
        <v>-26.226881404956991</v>
      </c>
      <c r="X12" s="71">
        <v>32.582662267351672</v>
      </c>
      <c r="Y12" s="71">
        <v>-1.5932497205208063</v>
      </c>
      <c r="Z12" s="71">
        <v>-0.56233190255851051</v>
      </c>
      <c r="AA12" s="71">
        <v>-1.7229268406765197</v>
      </c>
      <c r="AB12" s="71">
        <v>1.2970453558265538</v>
      </c>
      <c r="AC12" s="71">
        <v>4.3312834317616566</v>
      </c>
      <c r="AD12" s="71">
        <v>-5.1430212224822363</v>
      </c>
      <c r="AE12" s="71">
        <v>6.1638535104611814</v>
      </c>
      <c r="AF12" s="71">
        <v>2.309043178443515</v>
      </c>
      <c r="AG12" s="71">
        <v>-1.9210559185081966</v>
      </c>
      <c r="AH12" s="71">
        <v>3.0452563895070117</v>
      </c>
      <c r="AI12" s="71">
        <v>-2.1702067056160068</v>
      </c>
      <c r="AJ12" s="71">
        <v>-2.6544422542261192</v>
      </c>
      <c r="AK12" s="71">
        <v>4.8733129228062388E-2</v>
      </c>
      <c r="AL12" s="71">
        <v>-5.3712264920230961</v>
      </c>
      <c r="AM12" s="71">
        <v>-8.1751506256282802</v>
      </c>
      <c r="AN12" s="71">
        <v>-12.743250513198657</v>
      </c>
      <c r="AO12" s="71">
        <v>-8.7182887795027693</v>
      </c>
      <c r="AP12" s="71">
        <v>-5.9297214374590794</v>
      </c>
      <c r="AQ12" s="71">
        <v>15.961965667610212</v>
      </c>
      <c r="AR12" s="71">
        <v>13.562845612650065</v>
      </c>
      <c r="AS12" s="71">
        <v>11.867023715788738</v>
      </c>
      <c r="AT12" s="71">
        <v>12.142561036905363</v>
      </c>
      <c r="AU12" s="71">
        <v>0.75787681287369235</v>
      </c>
      <c r="AV12" s="71">
        <v>-0.22325414947693689</v>
      </c>
      <c r="AW12" s="71">
        <v>-5.7364867582910044</v>
      </c>
      <c r="AX12" s="71">
        <v>-6.0948269883699391</v>
      </c>
      <c r="AY12" s="71">
        <v>-3.6375720387396893</v>
      </c>
      <c r="AZ12" s="71">
        <v>3.0048411703832212</v>
      </c>
      <c r="BA12" s="71">
        <v>3.7307151957274298</v>
      </c>
      <c r="BB12" s="71">
        <v>-14.205923681389631</v>
      </c>
      <c r="BC12" s="71">
        <v>-1.2970645946952186</v>
      </c>
      <c r="BD12" s="71">
        <v>18.608637259307017</v>
      </c>
      <c r="BE12" s="71">
        <v>-12.134018883940389</v>
      </c>
      <c r="BF12" s="71">
        <v>-1.9444559252746019</v>
      </c>
      <c r="BG12" s="71">
        <v>5.586884991531571</v>
      </c>
      <c r="BH12" s="71">
        <v>-24.931145995401494</v>
      </c>
      <c r="BI12" s="71">
        <v>52.115031840837986</v>
      </c>
      <c r="BJ12" s="71">
        <v>12.23560958874781</v>
      </c>
      <c r="BK12" s="71">
        <v>-24.214931847775457</v>
      </c>
      <c r="BL12" s="71">
        <v>-10.288861758933709</v>
      </c>
      <c r="BM12" s="71">
        <v>11.660033108310387</v>
      </c>
      <c r="BN12" s="71">
        <v>10.635886356493929</v>
      </c>
      <c r="BO12" s="71">
        <v>6.4758994632014399</v>
      </c>
      <c r="BP12" s="71">
        <v>-20.783746103481793</v>
      </c>
      <c r="BQ12" s="71">
        <v>24.486288226098928</v>
      </c>
      <c r="BR12" s="71">
        <v>41.724525185527092</v>
      </c>
      <c r="BS12" s="71">
        <v>-26.315333446265189</v>
      </c>
      <c r="BT12" s="71">
        <v>-7.4893994331832525</v>
      </c>
      <c r="BU12" s="71">
        <v>13.354731844030777</v>
      </c>
      <c r="BV12" s="71">
        <v>12.378291465674195</v>
      </c>
    </row>
    <row r="13" spans="1:74" s="163" customFormat="1" ht="17.100000000000001" customHeight="1" x14ac:dyDescent="0.2">
      <c r="A13" s="160" t="s">
        <v>93</v>
      </c>
      <c r="B13" s="161"/>
      <c r="C13" s="162" t="e">
        <v>#DIV/0!</v>
      </c>
      <c r="D13" s="162" t="e">
        <v>#DIV/0!</v>
      </c>
      <c r="E13" s="162" t="e">
        <v>#DIV/0!</v>
      </c>
      <c r="F13" s="162" t="e">
        <v>#DIV/0!</v>
      </c>
      <c r="G13" s="162" t="e">
        <v>#DIV/0!</v>
      </c>
      <c r="H13" s="162" t="e">
        <v>#DIV/0!</v>
      </c>
      <c r="I13" s="162">
        <v>0.22267979106334046</v>
      </c>
      <c r="J13" s="162">
        <v>4.2880642274900627</v>
      </c>
      <c r="K13" s="162">
        <v>0.70010748328410699</v>
      </c>
      <c r="L13" s="162">
        <v>2.92355526249235</v>
      </c>
      <c r="M13" s="162">
        <v>8.132547077453145</v>
      </c>
      <c r="N13" s="162">
        <v>-5.3463594022160059</v>
      </c>
      <c r="O13" s="162">
        <v>2.1483781768404375</v>
      </c>
      <c r="P13" s="162">
        <v>0.10841875075175977</v>
      </c>
      <c r="Q13" s="162">
        <v>-0.4070960115919342</v>
      </c>
      <c r="R13" s="162">
        <v>4.6709057520022634</v>
      </c>
      <c r="S13" s="162">
        <v>8.1361934701762451E-2</v>
      </c>
      <c r="T13" s="162">
        <v>0.29557009605143403</v>
      </c>
      <c r="U13" s="162">
        <v>-0.75668136658197938</v>
      </c>
      <c r="V13" s="162">
        <v>8.4367622398606734E-2</v>
      </c>
      <c r="W13" s="162">
        <v>-5.1784272686197674</v>
      </c>
      <c r="X13" s="162">
        <v>5.173882857431944</v>
      </c>
      <c r="Y13" s="162">
        <v>-0.58659301635661798</v>
      </c>
      <c r="Z13" s="162">
        <v>6.0856356240601928</v>
      </c>
      <c r="AA13" s="162">
        <v>4.2073960898737717</v>
      </c>
      <c r="AB13" s="162">
        <v>-0.5876293488685902</v>
      </c>
      <c r="AC13" s="162">
        <v>1.5578361872853774</v>
      </c>
      <c r="AD13" s="162">
        <v>2.6863429984867127</v>
      </c>
      <c r="AE13" s="162">
        <v>3.9261773118716814</v>
      </c>
      <c r="AF13" s="162">
        <v>2.1104391647241982</v>
      </c>
      <c r="AG13" s="162">
        <v>-1.2339204208681509</v>
      </c>
      <c r="AH13" s="162">
        <v>-7.9679593699827684</v>
      </c>
      <c r="AI13" s="162">
        <v>5.9071760369384219</v>
      </c>
      <c r="AJ13" s="162">
        <v>3.1357490743674221</v>
      </c>
      <c r="AK13" s="162">
        <v>3.6891766663961434</v>
      </c>
      <c r="AL13" s="162">
        <v>2.7374102040371051</v>
      </c>
      <c r="AM13" s="162">
        <v>-1.5026234473080269</v>
      </c>
      <c r="AN13" s="162">
        <v>0.25489152703654927</v>
      </c>
      <c r="AO13" s="162">
        <v>0.80758429450284996</v>
      </c>
      <c r="AP13" s="162">
        <v>3.9123496520509393</v>
      </c>
      <c r="AQ13" s="162">
        <v>3.0733444372784025</v>
      </c>
      <c r="AR13" s="162">
        <v>0.77853025432972345</v>
      </c>
      <c r="AS13" s="162">
        <v>2.061274833331006</v>
      </c>
      <c r="AT13" s="162">
        <v>3.5115546039448109</v>
      </c>
      <c r="AU13" s="162">
        <v>0.86254314850482405</v>
      </c>
      <c r="AV13" s="162">
        <v>3.1201146324791651</v>
      </c>
      <c r="AW13" s="162">
        <v>2.6037674578592185</v>
      </c>
      <c r="AX13" s="162">
        <v>-3.0630401249017614</v>
      </c>
      <c r="AY13" s="162">
        <v>-12.082901857794681</v>
      </c>
      <c r="AZ13" s="162">
        <v>11.235585564171192</v>
      </c>
      <c r="BA13" s="162">
        <v>3.9353722144233494</v>
      </c>
      <c r="BB13" s="162">
        <v>1.0674508296855789</v>
      </c>
      <c r="BC13" s="162">
        <v>7.6583894469606228E-2</v>
      </c>
      <c r="BD13" s="162">
        <v>-5.1615079302406048</v>
      </c>
      <c r="BE13" s="162">
        <v>13.105954808994724</v>
      </c>
      <c r="BF13" s="162">
        <v>-1.0647003048489201</v>
      </c>
      <c r="BG13" s="162">
        <v>0.50415779463401922</v>
      </c>
      <c r="BH13" s="162">
        <v>-0.92209022552264264</v>
      </c>
      <c r="BI13" s="162">
        <v>-0.56501244901207004</v>
      </c>
      <c r="BJ13" s="162">
        <v>1.9564255621859594</v>
      </c>
      <c r="BK13" s="162">
        <v>5.6589465595883404</v>
      </c>
      <c r="BL13" s="162">
        <v>1.246867639120719</v>
      </c>
      <c r="BM13" s="162">
        <v>-3.7339073760319863</v>
      </c>
      <c r="BN13" s="162">
        <v>3.9071071659839918</v>
      </c>
      <c r="BO13" s="162">
        <v>-0.38562383798339539</v>
      </c>
      <c r="BP13" s="162">
        <v>5.3855654099489891</v>
      </c>
      <c r="BQ13" s="162">
        <v>-1.11867198913429</v>
      </c>
      <c r="BR13" s="162">
        <v>3.5726787219310774</v>
      </c>
      <c r="BS13" s="162">
        <v>-0.39176551989470454</v>
      </c>
      <c r="BT13" s="162">
        <v>3.9986269056861756</v>
      </c>
      <c r="BU13" s="162">
        <v>4.7444492295651841</v>
      </c>
      <c r="BV13" s="162">
        <v>-2.266936037175904</v>
      </c>
    </row>
    <row r="14" spans="1:74" ht="17.100000000000001" customHeight="1" x14ac:dyDescent="0.2">
      <c r="A14" s="72" t="s">
        <v>8</v>
      </c>
      <c r="B14" s="81"/>
      <c r="C14" s="71" t="e">
        <v>#DIV/0!</v>
      </c>
      <c r="D14" s="71" t="e">
        <v>#DIV/0!</v>
      </c>
      <c r="E14" s="71" t="e">
        <v>#DIV/0!</v>
      </c>
      <c r="F14" s="71" t="e">
        <v>#DIV/0!</v>
      </c>
      <c r="G14" s="71" t="e">
        <v>#DIV/0!</v>
      </c>
      <c r="H14" s="71" t="e">
        <v>#DIV/0!</v>
      </c>
      <c r="I14" s="71">
        <v>52.131296646150481</v>
      </c>
      <c r="J14" s="71">
        <v>0.43970271689819374</v>
      </c>
      <c r="K14" s="71">
        <v>12.753765102231739</v>
      </c>
      <c r="L14" s="71">
        <v>26.30683445269737</v>
      </c>
      <c r="M14" s="71">
        <v>10.45722588829614</v>
      </c>
      <c r="N14" s="71">
        <v>-22.419127561546105</v>
      </c>
      <c r="O14" s="71">
        <v>-33.610989781686818</v>
      </c>
      <c r="P14" s="71">
        <v>-17.786212539384415</v>
      </c>
      <c r="Q14" s="71">
        <v>0.70091469428221753</v>
      </c>
      <c r="R14" s="71">
        <v>88.794867132953968</v>
      </c>
      <c r="S14" s="71">
        <v>40.806981438974567</v>
      </c>
      <c r="T14" s="71">
        <v>-3.8319781735408842</v>
      </c>
      <c r="U14" s="71">
        <v>-32.655836090590086</v>
      </c>
      <c r="V14" s="71">
        <v>1.650318962158015</v>
      </c>
      <c r="W14" s="71">
        <v>-6.5789503202302697</v>
      </c>
      <c r="X14" s="71">
        <v>7.5997978347810191</v>
      </c>
      <c r="Y14" s="71">
        <v>-26.974310919269584</v>
      </c>
      <c r="Z14" s="71">
        <v>97.965953342606255</v>
      </c>
      <c r="AA14" s="71">
        <v>-12.687418665418138</v>
      </c>
      <c r="AB14" s="71">
        <v>-14.762947091173462</v>
      </c>
      <c r="AC14" s="71">
        <v>22.154143209073606</v>
      </c>
      <c r="AD14" s="71">
        <v>13.937210306098248</v>
      </c>
      <c r="AE14" s="71">
        <v>1.6289095289848676</v>
      </c>
      <c r="AF14" s="71">
        <v>13.958108890934273</v>
      </c>
      <c r="AG14" s="71">
        <v>-1.2666680534837216</v>
      </c>
      <c r="AH14" s="71">
        <v>-17.239396802451168</v>
      </c>
      <c r="AI14" s="71">
        <v>-4.4436251052045854</v>
      </c>
      <c r="AJ14" s="71">
        <v>25.414880439854738</v>
      </c>
      <c r="AK14" s="71">
        <v>23.527762869493806</v>
      </c>
      <c r="AL14" s="71">
        <v>-2.0518389286813821</v>
      </c>
      <c r="AM14" s="71">
        <v>13.031558051149039</v>
      </c>
      <c r="AN14" s="71">
        <v>-19.179173357276547</v>
      </c>
      <c r="AO14" s="71">
        <v>-11.967951371083663</v>
      </c>
      <c r="AP14" s="71">
        <v>14.267662527396286</v>
      </c>
      <c r="AQ14" s="71">
        <v>25.679497676029328</v>
      </c>
      <c r="AR14" s="71">
        <v>-3.212405609141944</v>
      </c>
      <c r="AS14" s="71">
        <v>-17.020748630567873</v>
      </c>
      <c r="AT14" s="71">
        <v>37.873787633044074</v>
      </c>
      <c r="AU14" s="71">
        <v>-12.372839780183376</v>
      </c>
      <c r="AV14" s="71">
        <v>12.065917469155174</v>
      </c>
      <c r="AW14" s="71">
        <v>24.609585730450469</v>
      </c>
      <c r="AX14" s="71">
        <v>-3.8230162762087905</v>
      </c>
      <c r="AY14" s="71">
        <v>-38.666284948654273</v>
      </c>
      <c r="AZ14" s="71">
        <v>90.214165865313106</v>
      </c>
      <c r="BA14" s="71">
        <v>-15.608265398383436</v>
      </c>
      <c r="BB14" s="71">
        <v>-15.803013087231033</v>
      </c>
      <c r="BC14" s="71">
        <v>-13.678107897807513</v>
      </c>
      <c r="BD14" s="71">
        <v>-31.577225576459757</v>
      </c>
      <c r="BE14" s="71">
        <v>192.2489913490455</v>
      </c>
      <c r="BF14" s="71">
        <v>-11.859515420240974</v>
      </c>
      <c r="BG14" s="71">
        <v>5.6099608739189621</v>
      </c>
      <c r="BH14" s="71">
        <v>-33.212498328754769</v>
      </c>
      <c r="BI14" s="71">
        <v>-25.078833540032008</v>
      </c>
      <c r="BJ14" s="71">
        <v>54.814121248990922</v>
      </c>
      <c r="BK14" s="71">
        <v>100.15752890523886</v>
      </c>
      <c r="BL14" s="71">
        <v>-18.377847319966946</v>
      </c>
      <c r="BM14" s="71">
        <v>-23.486372266880316</v>
      </c>
      <c r="BN14" s="71">
        <v>-11.389012892503214</v>
      </c>
      <c r="BO14" s="71">
        <v>-55.345966695682989</v>
      </c>
      <c r="BP14" s="71">
        <v>192.43476672797439</v>
      </c>
      <c r="BQ14" s="71">
        <v>-6.5823977272694512</v>
      </c>
      <c r="BR14" s="71">
        <v>-14.834693863494874</v>
      </c>
      <c r="BS14" s="71">
        <v>-37.533535284240749</v>
      </c>
      <c r="BT14" s="71">
        <v>76.366092399181639</v>
      </c>
      <c r="BU14" s="71">
        <v>36.064516596603148</v>
      </c>
      <c r="BV14" s="71">
        <v>-23.494752825066357</v>
      </c>
    </row>
    <row r="15" spans="1:74" ht="17.100000000000001" customHeight="1" x14ac:dyDescent="0.2">
      <c r="A15" s="42" t="s">
        <v>9</v>
      </c>
      <c r="B15" s="81"/>
      <c r="C15" s="71" t="e">
        <v>#DIV/0!</v>
      </c>
      <c r="D15" s="71" t="e">
        <v>#DIV/0!</v>
      </c>
      <c r="E15" s="71" t="e">
        <v>#DIV/0!</v>
      </c>
      <c r="F15" s="71" t="e">
        <v>#DIV/0!</v>
      </c>
      <c r="G15" s="71" t="e">
        <v>#DIV/0!</v>
      </c>
      <c r="H15" s="71" t="e">
        <v>#DIV/0!</v>
      </c>
      <c r="I15" s="71">
        <v>6.1451539625334561E-3</v>
      </c>
      <c r="J15" s="71">
        <v>7.5836617023369524</v>
      </c>
      <c r="K15" s="71">
        <v>0.70673668337213336</v>
      </c>
      <c r="L15" s="71">
        <v>2.1592646693008977</v>
      </c>
      <c r="M15" s="71">
        <v>8.4025267309238103</v>
      </c>
      <c r="N15" s="71">
        <v>-11.80601298054359</v>
      </c>
      <c r="O15" s="71">
        <v>5.6906182531699878</v>
      </c>
      <c r="P15" s="71">
        <v>2.677164159731471</v>
      </c>
      <c r="Q15" s="71">
        <v>0.27680656015223182</v>
      </c>
      <c r="R15" s="71">
        <v>1.8361140026401213</v>
      </c>
      <c r="S15" s="71">
        <v>-3.4056171605083008</v>
      </c>
      <c r="T15" s="71">
        <v>-0.58854409621101889</v>
      </c>
      <c r="U15" s="71">
        <v>-0.25072353073016806</v>
      </c>
      <c r="V15" s="71">
        <v>-0.76143489968789613</v>
      </c>
      <c r="W15" s="71">
        <v>1.2922758289857006</v>
      </c>
      <c r="X15" s="71">
        <v>-3.5051754198860197</v>
      </c>
      <c r="Y15" s="71">
        <v>1.3468254084731068</v>
      </c>
      <c r="Z15" s="71">
        <v>5.5386853558273552</v>
      </c>
      <c r="AA15" s="71">
        <v>5.8022347029755172</v>
      </c>
      <c r="AB15" s="71">
        <v>0.56524450820598648</v>
      </c>
      <c r="AC15" s="71">
        <v>1.4719713768220899</v>
      </c>
      <c r="AD15" s="71">
        <v>2.5190342849443548</v>
      </c>
      <c r="AE15" s="71">
        <v>3.8085705147496318</v>
      </c>
      <c r="AF15" s="71">
        <v>2.2456197148154056</v>
      </c>
      <c r="AG15" s="71">
        <v>-2.6249399522907391</v>
      </c>
      <c r="AH15" s="71">
        <v>-13.717696477284292</v>
      </c>
      <c r="AI15" s="71">
        <v>13.59713726219811</v>
      </c>
      <c r="AJ15" s="71">
        <v>-1.4328466551824959</v>
      </c>
      <c r="AK15" s="71">
        <v>2.4483192976823887</v>
      </c>
      <c r="AL15" s="71">
        <v>5.1656679304948661</v>
      </c>
      <c r="AM15" s="71">
        <v>-2.9164909270169459</v>
      </c>
      <c r="AN15" s="71">
        <v>0.60877029559598395</v>
      </c>
      <c r="AO15" s="71">
        <v>1.3437735980838195</v>
      </c>
      <c r="AP15" s="71">
        <v>2.9750846213900894</v>
      </c>
      <c r="AQ15" s="71">
        <v>2.0662406014737567</v>
      </c>
      <c r="AR15" s="71">
        <v>0.37637197059983141</v>
      </c>
      <c r="AS15" s="71">
        <v>3.2478059198601805</v>
      </c>
      <c r="AT15" s="71">
        <v>2.0814699042482676</v>
      </c>
      <c r="AU15" s="71">
        <v>0.96518880053484413</v>
      </c>
      <c r="AV15" s="71">
        <v>4.8952945669569203</v>
      </c>
      <c r="AW15" s="71">
        <v>0.5734737718890548</v>
      </c>
      <c r="AX15" s="71">
        <v>-6.6978109301423334</v>
      </c>
      <c r="AY15" s="71">
        <v>-12.471235315524209</v>
      </c>
      <c r="AZ15" s="71">
        <v>16.885694606087419</v>
      </c>
      <c r="BA15" s="71">
        <v>-0.85824343123871438</v>
      </c>
      <c r="BB15" s="71">
        <v>1.2876297980711326</v>
      </c>
      <c r="BC15" s="71">
        <v>0.85798108447325827</v>
      </c>
      <c r="BD15" s="71">
        <v>-7.725999612454471</v>
      </c>
      <c r="BE15" s="71">
        <v>13.741275713296641</v>
      </c>
      <c r="BF15" s="71">
        <v>2.0580079392083617</v>
      </c>
      <c r="BG15" s="71">
        <v>-0.45731030393539873</v>
      </c>
      <c r="BH15" s="71">
        <v>-0.44921868072947957</v>
      </c>
      <c r="BI15" s="71">
        <v>0.83058806206131042</v>
      </c>
      <c r="BJ15" s="71">
        <v>-1.0081402458989919</v>
      </c>
      <c r="BK15" s="71">
        <v>-1.1985568237461219</v>
      </c>
      <c r="BL15" s="71">
        <v>5.6477592709056834</v>
      </c>
      <c r="BM15" s="71">
        <v>-4.2823842050802359</v>
      </c>
      <c r="BN15" s="71">
        <v>5.206702186356682</v>
      </c>
      <c r="BO15" s="71">
        <v>4.0368831274968597</v>
      </c>
      <c r="BP15" s="71">
        <v>0.99314982002165486</v>
      </c>
      <c r="BQ15" s="71">
        <v>-2.1469782090469014</v>
      </c>
      <c r="BR15" s="71">
        <v>2.5128216101107936</v>
      </c>
      <c r="BS15" s="71">
        <v>1.9708509939794228</v>
      </c>
      <c r="BT15" s="71">
        <v>2.2026577844997064</v>
      </c>
      <c r="BU15" s="71">
        <v>2.2390648946877034</v>
      </c>
      <c r="BV15" s="71">
        <v>-1.6422135404130844</v>
      </c>
    </row>
    <row r="16" spans="1:74" ht="17.100000000000001" customHeight="1" x14ac:dyDescent="0.2">
      <c r="A16" s="42" t="s">
        <v>10</v>
      </c>
      <c r="B16" s="81"/>
      <c r="C16" s="71" t="e">
        <v>#DIV/0!</v>
      </c>
      <c r="D16" s="71" t="e">
        <v>#DIV/0!</v>
      </c>
      <c r="E16" s="71" t="e">
        <v>#DIV/0!</v>
      </c>
      <c r="F16" s="71" t="e">
        <v>#DIV/0!</v>
      </c>
      <c r="G16" s="71" t="e">
        <v>#DIV/0!</v>
      </c>
      <c r="H16" s="71" t="e">
        <v>#DIV/0!</v>
      </c>
      <c r="I16" s="71">
        <v>0.89006596712608577</v>
      </c>
      <c r="J16" s="71">
        <v>2.8467863078163402</v>
      </c>
      <c r="K16" s="71">
        <v>3.8301093124239793</v>
      </c>
      <c r="L16" s="71">
        <v>2.6297253078568339</v>
      </c>
      <c r="M16" s="71">
        <v>2.9804371470187219</v>
      </c>
      <c r="N16" s="71">
        <v>0.43816816051474028</v>
      </c>
      <c r="O16" s="71">
        <v>-0.38952094785764668</v>
      </c>
      <c r="P16" s="71">
        <v>-1.644447600908916</v>
      </c>
      <c r="Q16" s="71">
        <v>-1.4287359466864102</v>
      </c>
      <c r="R16" s="71">
        <v>19.223609445499768</v>
      </c>
      <c r="S16" s="71">
        <v>3.5218899813949101E-2</v>
      </c>
      <c r="T16" s="71">
        <v>1.823883026412787</v>
      </c>
      <c r="U16" s="71">
        <v>2.204513445653089</v>
      </c>
      <c r="V16" s="71">
        <v>-5.053148029792542</v>
      </c>
      <c r="W16" s="71">
        <v>2.2752182754425254</v>
      </c>
      <c r="X16" s="71">
        <v>0.35946507536477323</v>
      </c>
      <c r="Y16" s="71">
        <v>1.1078418787023869</v>
      </c>
      <c r="Z16" s="71">
        <v>-0.11833362310521567</v>
      </c>
      <c r="AA16" s="71">
        <v>4.370537785714057</v>
      </c>
      <c r="AB16" s="71">
        <v>2.0876353675220116</v>
      </c>
      <c r="AC16" s="71">
        <v>-0.3312794926568885</v>
      </c>
      <c r="AD16" s="71">
        <v>0.76521736103707383</v>
      </c>
      <c r="AE16" s="71">
        <v>-0.28767356948707912</v>
      </c>
      <c r="AF16" s="71">
        <v>2.1412176299390406</v>
      </c>
      <c r="AG16" s="71">
        <v>0.93100317631136242</v>
      </c>
      <c r="AH16" s="71">
        <v>0.50796609300178819</v>
      </c>
      <c r="AI16" s="71">
        <v>3.0246134041841843</v>
      </c>
      <c r="AJ16" s="71">
        <v>1.5654850935734155</v>
      </c>
      <c r="AK16" s="71">
        <v>3.85546376782131</v>
      </c>
      <c r="AL16" s="71">
        <v>5.2709704437584604</v>
      </c>
      <c r="AM16" s="71">
        <v>-1.5737645437905012</v>
      </c>
      <c r="AN16" s="71">
        <v>2.9427684345807892</v>
      </c>
      <c r="AO16" s="71">
        <v>0.85235285166243013</v>
      </c>
      <c r="AP16" s="71">
        <v>-0.44494311450182789</v>
      </c>
      <c r="AQ16" s="71">
        <v>-1.4393955937451408</v>
      </c>
      <c r="AR16" s="71">
        <v>1.1353256802746792</v>
      </c>
      <c r="AS16" s="71">
        <v>0.40718360177010027</v>
      </c>
      <c r="AT16" s="71">
        <v>1.9233329120590614</v>
      </c>
      <c r="AU16" s="71">
        <v>4.6513131862634838</v>
      </c>
      <c r="AV16" s="71">
        <v>4.9635693463208286</v>
      </c>
      <c r="AW16" s="71">
        <v>3.1607250529677389</v>
      </c>
      <c r="AX16" s="71">
        <v>3.2167243349690455</v>
      </c>
      <c r="AY16" s="71">
        <v>-11.191549888923058</v>
      </c>
      <c r="AZ16" s="71">
        <v>15.105908137121338</v>
      </c>
      <c r="BA16" s="71">
        <v>3.1993509945885679</v>
      </c>
      <c r="BB16" s="71">
        <v>1.8108267317659132</v>
      </c>
      <c r="BC16" s="71">
        <v>1.2675790751611737</v>
      </c>
      <c r="BD16" s="71">
        <v>-1.2236015035238523</v>
      </c>
      <c r="BE16" s="71">
        <v>1.3838655152355051</v>
      </c>
      <c r="BF16" s="71">
        <v>0.72584331895941823</v>
      </c>
      <c r="BG16" s="71">
        <v>1.2577670973014321</v>
      </c>
      <c r="BH16" s="71">
        <v>2.5790047691981233</v>
      </c>
      <c r="BI16" s="71">
        <v>3.2299823455384846</v>
      </c>
      <c r="BJ16" s="71">
        <v>1.6044117803548419</v>
      </c>
      <c r="BK16" s="71">
        <v>2.9259968432221894</v>
      </c>
      <c r="BL16" s="71">
        <v>3.5928031927080495</v>
      </c>
      <c r="BM16" s="71">
        <v>6.2104795800776991E-2</v>
      </c>
      <c r="BN16" s="71">
        <v>1.9341781811231362</v>
      </c>
      <c r="BO16" s="71">
        <v>1.119566883609302</v>
      </c>
      <c r="BP16" s="71">
        <v>3.1090675704482651</v>
      </c>
      <c r="BQ16" s="71">
        <v>4.0917584885623803</v>
      </c>
      <c r="BR16" s="71">
        <v>4.4605450893207443</v>
      </c>
      <c r="BS16" s="71">
        <v>4.3043818469911344</v>
      </c>
      <c r="BT16" s="71">
        <v>11.275132226641759</v>
      </c>
      <c r="BU16" s="71">
        <v>-8.5469322234324139</v>
      </c>
      <c r="BV16" s="71">
        <v>1.5141053861035036</v>
      </c>
    </row>
    <row r="17" spans="1:74" ht="17.100000000000001" customHeight="1" x14ac:dyDescent="0.2">
      <c r="A17" s="42" t="s">
        <v>11</v>
      </c>
      <c r="B17" s="81"/>
      <c r="C17" s="71" t="e">
        <v>#DIV/0!</v>
      </c>
      <c r="D17" s="71" t="e">
        <v>#DIV/0!</v>
      </c>
      <c r="E17" s="71" t="e">
        <v>#DIV/0!</v>
      </c>
      <c r="F17" s="71" t="e">
        <v>#DIV/0!</v>
      </c>
      <c r="G17" s="71" t="e">
        <v>#DIV/0!</v>
      </c>
      <c r="H17" s="71" t="e">
        <v>#DIV/0!</v>
      </c>
      <c r="I17" s="71">
        <v>1.5067917136092346</v>
      </c>
      <c r="J17" s="71">
        <v>1.5536805097302153</v>
      </c>
      <c r="K17" s="71">
        <v>1.9002981819237652</v>
      </c>
      <c r="L17" s="71">
        <v>0.92054136059491753</v>
      </c>
      <c r="M17" s="71">
        <v>1.6575147223317765</v>
      </c>
      <c r="N17" s="71">
        <v>1.5140112966658181</v>
      </c>
      <c r="O17" s="71">
        <v>1.8956066238394298</v>
      </c>
      <c r="P17" s="71">
        <v>1.2523165781287426</v>
      </c>
      <c r="Q17" s="71">
        <v>1.3456254297997683</v>
      </c>
      <c r="R17" s="71">
        <v>1.4527027941487747</v>
      </c>
      <c r="S17" s="71">
        <v>1.6987427224705254</v>
      </c>
      <c r="T17" s="71">
        <v>2.3957689470786914</v>
      </c>
      <c r="U17" s="71">
        <v>0.35860486508485501</v>
      </c>
      <c r="V17" s="71">
        <v>1.64255001251703</v>
      </c>
      <c r="W17" s="71">
        <v>1.3112677869688838</v>
      </c>
      <c r="X17" s="71">
        <v>2.007975280853791</v>
      </c>
      <c r="Y17" s="71">
        <v>1.5379016443952009</v>
      </c>
      <c r="Z17" s="71">
        <v>1.5095366611655336</v>
      </c>
      <c r="AA17" s="71">
        <v>1.5202016490850623</v>
      </c>
      <c r="AB17" s="71">
        <v>1.1957027838369827</v>
      </c>
      <c r="AC17" s="71">
        <v>1.5762157998191917</v>
      </c>
      <c r="AD17" s="71">
        <v>1.9041494111353696</v>
      </c>
      <c r="AE17" s="71">
        <v>1.4037577390321632</v>
      </c>
      <c r="AF17" s="71">
        <v>1.6806668747856524</v>
      </c>
      <c r="AG17" s="71">
        <v>1.2744639755385867</v>
      </c>
      <c r="AH17" s="71">
        <v>1.7001503192964007</v>
      </c>
      <c r="AI17" s="71">
        <v>1.0744828254152461</v>
      </c>
      <c r="AJ17" s="71">
        <v>1.4976332811417636</v>
      </c>
      <c r="AK17" s="71">
        <v>1.545332768515717</v>
      </c>
      <c r="AL17" s="71">
        <v>1.0425819485578192</v>
      </c>
      <c r="AM17" s="71">
        <v>1.2789156434184212</v>
      </c>
      <c r="AN17" s="71">
        <v>0.61833993510174157</v>
      </c>
      <c r="AO17" s="71">
        <v>0.97497532573842527</v>
      </c>
      <c r="AP17" s="71">
        <v>0.93257931975558872</v>
      </c>
      <c r="AQ17" s="71">
        <v>1.1431274634685185</v>
      </c>
      <c r="AR17" s="71">
        <v>1.3230359048348239</v>
      </c>
      <c r="AS17" s="71">
        <v>1.2605434495150059</v>
      </c>
      <c r="AT17" s="71">
        <v>1.0540861284779712</v>
      </c>
      <c r="AU17" s="71">
        <v>1.1376795912718896</v>
      </c>
      <c r="AV17" s="71">
        <v>0.77569283679057577</v>
      </c>
      <c r="AW17" s="71">
        <v>0.89177010916623445</v>
      </c>
      <c r="AX17" s="71">
        <v>1.3632388725969946</v>
      </c>
      <c r="AY17" s="71">
        <v>0.86751215841742724</v>
      </c>
      <c r="AZ17" s="71">
        <v>1.2892233224178762</v>
      </c>
      <c r="BA17" s="71">
        <v>1.2338704001124468</v>
      </c>
      <c r="BB17" s="71">
        <v>1.1256786692538379</v>
      </c>
      <c r="BC17" s="71">
        <v>1.3910143838997024</v>
      </c>
      <c r="BD17" s="71">
        <v>1.9993345760115133</v>
      </c>
      <c r="BE17" s="71">
        <v>1.7160830740424071</v>
      </c>
      <c r="BF17" s="71">
        <v>1.3356546661217772</v>
      </c>
      <c r="BG17" s="71">
        <v>1.074268774543774</v>
      </c>
      <c r="BH17" s="71">
        <v>0.48569452215814213</v>
      </c>
      <c r="BI17" s="71">
        <v>0.96761973880010732</v>
      </c>
      <c r="BJ17" s="71">
        <v>1.3457748701934724</v>
      </c>
      <c r="BK17" s="71">
        <v>1.3414322955191293</v>
      </c>
      <c r="BL17" s="71">
        <v>1.5274644068654419</v>
      </c>
      <c r="BM17" s="71">
        <v>1.0862783855792424</v>
      </c>
      <c r="BN17" s="71">
        <v>1.1337337709353079</v>
      </c>
      <c r="BO17" s="71">
        <v>1.4908643395465493</v>
      </c>
      <c r="BP17" s="71">
        <v>-0.274467390268196</v>
      </c>
      <c r="BQ17" s="71">
        <v>0.74237611643022117</v>
      </c>
      <c r="BR17" s="71">
        <v>0.41899374394518407</v>
      </c>
      <c r="BS17" s="71">
        <v>0.64096862399785071</v>
      </c>
      <c r="BT17" s="71">
        <v>0.98059758473145742</v>
      </c>
      <c r="BU17" s="71">
        <v>1.2592054662106555</v>
      </c>
      <c r="BV17" s="71">
        <v>1.2911430445094352</v>
      </c>
    </row>
    <row r="18" spans="1:74" ht="17.100000000000001" customHeight="1" x14ac:dyDescent="0.2">
      <c r="A18" s="72" t="s">
        <v>12</v>
      </c>
      <c r="B18" s="81"/>
      <c r="C18" s="71" t="e">
        <v>#DIV/0!</v>
      </c>
      <c r="D18" s="71" t="e">
        <v>#DIV/0!</v>
      </c>
      <c r="E18" s="71" t="e">
        <v>#DIV/0!</v>
      </c>
      <c r="F18" s="71" t="e">
        <v>#DIV/0!</v>
      </c>
      <c r="G18" s="71" t="e">
        <v>#DIV/0!</v>
      </c>
      <c r="H18" s="71" t="e">
        <v>#DIV/0!</v>
      </c>
      <c r="I18" s="71">
        <v>-4.7348254540650503</v>
      </c>
      <c r="J18" s="71">
        <v>-4.9654733115910847</v>
      </c>
      <c r="K18" s="71">
        <v>-2.6577997703084222</v>
      </c>
      <c r="L18" s="71">
        <v>2.7757302889132918</v>
      </c>
      <c r="M18" s="71">
        <v>11.19032789242873</v>
      </c>
      <c r="N18" s="71">
        <v>19.380954014951833</v>
      </c>
      <c r="O18" s="71">
        <v>-2.2270527420556352</v>
      </c>
      <c r="P18" s="71">
        <v>-6.272253750199452</v>
      </c>
      <c r="Q18" s="71">
        <v>-3.4162918396716813</v>
      </c>
      <c r="R18" s="71">
        <v>5.2455536104286882</v>
      </c>
      <c r="S18" s="71">
        <v>4.7096590037268182</v>
      </c>
      <c r="T18" s="71">
        <v>2.7408464261505117</v>
      </c>
      <c r="U18" s="71">
        <v>3.1053595465008632</v>
      </c>
      <c r="V18" s="71">
        <v>2.9880931516791831</v>
      </c>
      <c r="W18" s="71">
        <v>-28.035696320107352</v>
      </c>
      <c r="X18" s="71">
        <v>43.369445875166825</v>
      </c>
      <c r="Y18" s="71">
        <v>-3.6871519690213961</v>
      </c>
      <c r="Z18" s="71">
        <v>2.0283802672615758</v>
      </c>
      <c r="AA18" s="71">
        <v>3.8627275085108215</v>
      </c>
      <c r="AB18" s="71">
        <v>-3.170614745092426</v>
      </c>
      <c r="AC18" s="71">
        <v>-0.65332131436635077</v>
      </c>
      <c r="AD18" s="71">
        <v>2.0825937102803227</v>
      </c>
      <c r="AE18" s="71">
        <v>6.9258014252714162</v>
      </c>
      <c r="AF18" s="71">
        <v>-0.33202082795550369</v>
      </c>
      <c r="AG18" s="71">
        <v>1.6299828650007342</v>
      </c>
      <c r="AH18" s="71">
        <v>5.4278756417638352</v>
      </c>
      <c r="AI18" s="71">
        <v>-9.0990291523949658</v>
      </c>
      <c r="AJ18" s="71">
        <v>14.89339270277501</v>
      </c>
      <c r="AK18" s="71">
        <v>4.2192836422672908</v>
      </c>
      <c r="AL18" s="71">
        <v>-2.5122940377227287</v>
      </c>
      <c r="AM18" s="71">
        <v>-1.8303513304547492</v>
      </c>
      <c r="AN18" s="71">
        <v>3.411514903917845</v>
      </c>
      <c r="AO18" s="71">
        <v>1.7912922981060841</v>
      </c>
      <c r="AP18" s="71">
        <v>6.9689394578019703</v>
      </c>
      <c r="AQ18" s="71">
        <v>3.3185003246057665</v>
      </c>
      <c r="AR18" s="71">
        <v>2.4348483819400135</v>
      </c>
      <c r="AS18" s="71">
        <v>3.7056855321988325</v>
      </c>
      <c r="AT18" s="71">
        <v>2.5783000657243704</v>
      </c>
      <c r="AU18" s="71">
        <v>2.7683415961858859</v>
      </c>
      <c r="AV18" s="71">
        <v>-2.5426830094702035</v>
      </c>
      <c r="AW18" s="71">
        <v>3.6645221470215761</v>
      </c>
      <c r="AX18" s="71">
        <v>3.6203861698004047</v>
      </c>
      <c r="AY18" s="71">
        <v>-9.4077310561544785</v>
      </c>
      <c r="AZ18" s="71">
        <v>-11.660508678986192</v>
      </c>
      <c r="BA18" s="71">
        <v>26.798613635206259</v>
      </c>
      <c r="BB18" s="71">
        <v>4.4370246829917415</v>
      </c>
      <c r="BC18" s="71">
        <v>0.25664181936730923</v>
      </c>
      <c r="BD18" s="71">
        <v>1.6891121213451044</v>
      </c>
      <c r="BE18" s="71">
        <v>-1.8207332351139804</v>
      </c>
      <c r="BF18" s="71">
        <v>-6.2205539878348093</v>
      </c>
      <c r="BG18" s="71">
        <v>0.99838351776824208</v>
      </c>
      <c r="BH18" s="71">
        <v>7.1154100610724802</v>
      </c>
      <c r="BI18" s="71">
        <v>-0.2974482163782044</v>
      </c>
      <c r="BJ18" s="71">
        <v>1.2779475347646452</v>
      </c>
      <c r="BK18" s="71">
        <v>1.8516419869065048</v>
      </c>
      <c r="BL18" s="71">
        <v>-0.40040741907066968</v>
      </c>
      <c r="BM18" s="71">
        <v>2.3044730150000303</v>
      </c>
      <c r="BN18" s="71">
        <v>6.8385616391637427</v>
      </c>
      <c r="BO18" s="71">
        <v>1.6392591087322606</v>
      </c>
      <c r="BP18" s="71">
        <v>-1.3473443951943054</v>
      </c>
      <c r="BQ18" s="71">
        <v>1.0491746294747362</v>
      </c>
      <c r="BR18" s="71">
        <v>12.145375148628922</v>
      </c>
      <c r="BS18" s="71">
        <v>1.294181687624496</v>
      </c>
      <c r="BT18" s="71">
        <v>-2.5987762031428052</v>
      </c>
      <c r="BU18" s="71">
        <v>7.4562633318525418</v>
      </c>
      <c r="BV18" s="71">
        <v>0.90319675581935766</v>
      </c>
    </row>
    <row r="19" spans="1:74" s="163" customFormat="1" ht="17.100000000000001" customHeight="1" x14ac:dyDescent="0.2">
      <c r="A19" s="160" t="s">
        <v>94</v>
      </c>
      <c r="B19" s="161"/>
      <c r="C19" s="162" t="e">
        <v>#DIV/0!</v>
      </c>
      <c r="D19" s="162" t="e">
        <v>#DIV/0!</v>
      </c>
      <c r="E19" s="162" t="e">
        <v>#DIV/0!</v>
      </c>
      <c r="F19" s="162" t="e">
        <v>#DIV/0!</v>
      </c>
      <c r="G19" s="162" t="e">
        <v>#DIV/0!</v>
      </c>
      <c r="H19" s="162" t="e">
        <v>#DIV/0!</v>
      </c>
      <c r="I19" s="162">
        <v>4.5221260179922895</v>
      </c>
      <c r="J19" s="162">
        <v>11.179467591091829</v>
      </c>
      <c r="K19" s="162">
        <v>0.14558072249790666</v>
      </c>
      <c r="L19" s="162">
        <v>3.0999426386897566</v>
      </c>
      <c r="M19" s="162">
        <v>7.2870878028674646E-2</v>
      </c>
      <c r="N19" s="162">
        <v>4.9666770621119793</v>
      </c>
      <c r="O19" s="162">
        <v>-7.8467061820739037</v>
      </c>
      <c r="P19" s="162">
        <v>4.48095588291757</v>
      </c>
      <c r="Q19" s="162">
        <v>-0.84045251955632283</v>
      </c>
      <c r="R19" s="162">
        <v>4.6963726648236115</v>
      </c>
      <c r="S19" s="162">
        <v>1.524025778433602</v>
      </c>
      <c r="T19" s="162">
        <v>2.7751642118573061</v>
      </c>
      <c r="U19" s="162">
        <v>-2.7407123236701469</v>
      </c>
      <c r="V19" s="162">
        <v>-1.1659170387510853</v>
      </c>
      <c r="W19" s="162">
        <v>2.0609429857330053</v>
      </c>
      <c r="X19" s="162">
        <v>-3.0360384595703782</v>
      </c>
      <c r="Y19" s="162">
        <v>3.1359953408649277</v>
      </c>
      <c r="Z19" s="162">
        <v>7.2353397184561796</v>
      </c>
      <c r="AA19" s="162">
        <v>6.01901727101124</v>
      </c>
      <c r="AB19" s="162">
        <v>-8.1008686965559296</v>
      </c>
      <c r="AC19" s="162">
        <v>5.8995797461821819</v>
      </c>
      <c r="AD19" s="162">
        <v>1.8549195529978579</v>
      </c>
      <c r="AE19" s="162">
        <v>1.3561088860697845</v>
      </c>
      <c r="AF19" s="162">
        <v>3.0157122427520777</v>
      </c>
      <c r="AG19" s="162">
        <v>0.92990201001870165</v>
      </c>
      <c r="AH19" s="162">
        <v>-4.6082650431588323</v>
      </c>
      <c r="AI19" s="162">
        <v>1.1593299316394523</v>
      </c>
      <c r="AJ19" s="162">
        <v>-0.29112186129066631</v>
      </c>
      <c r="AK19" s="162">
        <v>-0.2503111203445707</v>
      </c>
      <c r="AL19" s="162">
        <v>2.0278346703511474</v>
      </c>
      <c r="AM19" s="162">
        <v>3.4254061587448259</v>
      </c>
      <c r="AN19" s="162">
        <v>2.1563853983583181</v>
      </c>
      <c r="AO19" s="162">
        <v>2.6181517899594553</v>
      </c>
      <c r="AP19" s="162">
        <v>0.52233515441826306</v>
      </c>
      <c r="AQ19" s="162">
        <v>1.2516071970771536</v>
      </c>
      <c r="AR19" s="162">
        <v>2.5665950767087109</v>
      </c>
      <c r="AS19" s="162">
        <v>-0.1057088992089672</v>
      </c>
      <c r="AT19" s="162">
        <v>2.1519143902877236</v>
      </c>
      <c r="AU19" s="162">
        <v>1.0299162940264228</v>
      </c>
      <c r="AV19" s="162">
        <v>3.8884808017172423</v>
      </c>
      <c r="AW19" s="162">
        <v>0.16092571355927898</v>
      </c>
      <c r="AX19" s="162">
        <v>-3.4839647330069723</v>
      </c>
      <c r="AY19" s="162">
        <v>-6.1470419354205159</v>
      </c>
      <c r="AZ19" s="162">
        <v>6.7220878577187726</v>
      </c>
      <c r="BA19" s="162">
        <v>1.1763310909507885</v>
      </c>
      <c r="BB19" s="162">
        <v>3.9766138821701658</v>
      </c>
      <c r="BC19" s="162">
        <v>-0.36126090864384564</v>
      </c>
      <c r="BD19" s="162">
        <v>-1.265725843500598</v>
      </c>
      <c r="BE19" s="162">
        <v>3.5574523005345027</v>
      </c>
      <c r="BF19" s="162">
        <v>2.1274735332563521</v>
      </c>
      <c r="BG19" s="162">
        <v>-1.7654006194670835</v>
      </c>
      <c r="BH19" s="162">
        <v>5.1231474401534083</v>
      </c>
      <c r="BI19" s="162">
        <v>-0.45342902951573949</v>
      </c>
      <c r="BJ19" s="162">
        <v>-0.99680951835492415</v>
      </c>
      <c r="BK19" s="162">
        <v>4.2667439760157189</v>
      </c>
      <c r="BL19" s="162">
        <v>1.6300497382015777E-2</v>
      </c>
      <c r="BM19" s="162">
        <v>5.2867749855438628</v>
      </c>
      <c r="BN19" s="162">
        <v>-1.4990608073183975</v>
      </c>
      <c r="BO19" s="162">
        <v>2.0787011320135607</v>
      </c>
      <c r="BP19" s="162">
        <v>0.35680223708547398</v>
      </c>
      <c r="BQ19" s="162">
        <v>1.5353371644921676</v>
      </c>
      <c r="BR19" s="162">
        <v>4.5086241187807685</v>
      </c>
      <c r="BS19" s="162">
        <v>-1.3946763725221523</v>
      </c>
      <c r="BT19" s="162">
        <v>0.99804960517690944</v>
      </c>
      <c r="BU19" s="162">
        <v>2.201743720611038</v>
      </c>
      <c r="BV19" s="162">
        <v>4.0481562791397252</v>
      </c>
    </row>
    <row r="20" spans="1:74" ht="17.100000000000001" customHeight="1" x14ac:dyDescent="0.2">
      <c r="A20" s="82" t="s">
        <v>52</v>
      </c>
      <c r="B20" s="81"/>
      <c r="C20" s="71" t="e">
        <v>#DIV/0!</v>
      </c>
      <c r="D20" s="71" t="e">
        <v>#DIV/0!</v>
      </c>
      <c r="E20" s="71" t="e">
        <v>#DIV/0!</v>
      </c>
      <c r="F20" s="71" t="e">
        <v>#DIV/0!</v>
      </c>
      <c r="G20" s="71" t="e">
        <v>#DIV/0!</v>
      </c>
      <c r="H20" s="71" t="e">
        <v>#DIV/0!</v>
      </c>
      <c r="I20" s="71">
        <v>-3.3536173538227465</v>
      </c>
      <c r="J20" s="71">
        <v>-1.9911625710066216</v>
      </c>
      <c r="K20" s="71">
        <v>2.5099445662644104</v>
      </c>
      <c r="L20" s="71">
        <v>-6.0145555153808701</v>
      </c>
      <c r="M20" s="71">
        <v>14.990727218941924</v>
      </c>
      <c r="N20" s="71">
        <v>27.694542453743011</v>
      </c>
      <c r="O20" s="71">
        <v>-29.040183466243541</v>
      </c>
      <c r="P20" s="71">
        <v>14.163587645786958</v>
      </c>
      <c r="Q20" s="71">
        <v>-5.7582091190651941</v>
      </c>
      <c r="R20" s="71">
        <v>4.8002189043221843</v>
      </c>
      <c r="S20" s="71">
        <v>3.1528957900757604</v>
      </c>
      <c r="T20" s="71">
        <v>5.5870376332263438</v>
      </c>
      <c r="U20" s="71">
        <v>-7.7409318202276145</v>
      </c>
      <c r="V20" s="71">
        <v>-1.2814770863768365</v>
      </c>
      <c r="W20" s="71">
        <v>2.9854661759334711</v>
      </c>
      <c r="X20" s="71">
        <v>-4.2701138079527805</v>
      </c>
      <c r="Y20" s="71">
        <v>-6.1377348343327753E-2</v>
      </c>
      <c r="Z20" s="71">
        <v>4.2860326478217692</v>
      </c>
      <c r="AA20" s="71">
        <v>3.5997780002528179</v>
      </c>
      <c r="AB20" s="71">
        <v>-4.9930259693924057</v>
      </c>
      <c r="AC20" s="71">
        <v>4.0858343807959496</v>
      </c>
      <c r="AD20" s="71">
        <v>0.50033756101242055</v>
      </c>
      <c r="AE20" s="71">
        <v>1.0439642250864134</v>
      </c>
      <c r="AF20" s="71">
        <v>6.8866962712213597</v>
      </c>
      <c r="AG20" s="71">
        <v>-0.3743350916130761</v>
      </c>
      <c r="AH20" s="71">
        <v>-11.348869331260191</v>
      </c>
      <c r="AI20" s="71">
        <v>4.0005249113221009</v>
      </c>
      <c r="AJ20" s="71">
        <v>-0.43831232159498024</v>
      </c>
      <c r="AK20" s="71">
        <v>1.4364984258796731E-2</v>
      </c>
      <c r="AL20" s="71">
        <v>3.8157891847795389</v>
      </c>
      <c r="AM20" s="71">
        <v>2.3775818710260133</v>
      </c>
      <c r="AN20" s="71">
        <v>-0.22820753031917995</v>
      </c>
      <c r="AO20" s="71">
        <v>4.5854605377653845</v>
      </c>
      <c r="AP20" s="71">
        <v>0.22440530588232477</v>
      </c>
      <c r="AQ20" s="71">
        <v>1.0507264455314136</v>
      </c>
      <c r="AR20" s="71">
        <v>2.1890665761790107</v>
      </c>
      <c r="AS20" s="71">
        <v>-0.60689329663313751</v>
      </c>
      <c r="AT20" s="71">
        <v>3.1401525069850944</v>
      </c>
      <c r="AU20" s="71">
        <v>-1.9644719458904336</v>
      </c>
      <c r="AV20" s="71">
        <v>4.3777691114301742</v>
      </c>
      <c r="AW20" s="71">
        <v>-0.48454071621819583</v>
      </c>
      <c r="AX20" s="71">
        <v>-4.6857328299613643</v>
      </c>
      <c r="AY20" s="71">
        <v>-11.254769298685009</v>
      </c>
      <c r="AZ20" s="71">
        <v>15.471424382625987</v>
      </c>
      <c r="BA20" s="71">
        <v>-4.8667414659302022</v>
      </c>
      <c r="BB20" s="71">
        <v>0.14902932430971294</v>
      </c>
      <c r="BC20" s="71">
        <v>1.5121240522463442</v>
      </c>
      <c r="BD20" s="71">
        <v>-2.8137936904569893</v>
      </c>
      <c r="BE20" s="71">
        <v>6.0977252520162839</v>
      </c>
      <c r="BF20" s="71">
        <v>4.3156623968729324</v>
      </c>
      <c r="BG20" s="71">
        <v>-1.4248456325861691</v>
      </c>
      <c r="BH20" s="71">
        <v>-2.9186655162548036</v>
      </c>
      <c r="BI20" s="71">
        <v>3.1750571683651474</v>
      </c>
      <c r="BJ20" s="71">
        <v>0.89904286088193786</v>
      </c>
      <c r="BK20" s="71">
        <v>6.0907978273688324</v>
      </c>
      <c r="BL20" s="71">
        <v>1.6064567284446829</v>
      </c>
      <c r="BM20" s="71">
        <v>0.45187747130428502</v>
      </c>
      <c r="BN20" s="71">
        <v>0.92782734182927928</v>
      </c>
      <c r="BO20" s="71">
        <v>3.8206898941875345</v>
      </c>
      <c r="BP20" s="71">
        <v>4.8476449811884814</v>
      </c>
      <c r="BQ20" s="71">
        <v>-1.7687443926024615</v>
      </c>
      <c r="BR20" s="71">
        <v>3.715902271774385</v>
      </c>
      <c r="BS20" s="71">
        <v>0.10659386990907738</v>
      </c>
      <c r="BT20" s="71">
        <v>4.1546337778072484</v>
      </c>
      <c r="BU20" s="71">
        <v>-2.8218078790441137</v>
      </c>
      <c r="BV20" s="71">
        <v>3.8884865598782348</v>
      </c>
    </row>
    <row r="21" spans="1:74" ht="17.100000000000001" customHeight="1" x14ac:dyDescent="0.2">
      <c r="A21" s="82" t="s">
        <v>53</v>
      </c>
      <c r="B21" s="81"/>
      <c r="C21" s="71" t="e">
        <v>#DIV/0!</v>
      </c>
      <c r="D21" s="71" t="e">
        <v>#DIV/0!</v>
      </c>
      <c r="E21" s="71" t="e">
        <v>#DIV/0!</v>
      </c>
      <c r="F21" s="71" t="e">
        <v>#DIV/0!</v>
      </c>
      <c r="G21" s="71" t="e">
        <v>#DIV/0!</v>
      </c>
      <c r="H21" s="71" t="e">
        <v>#DIV/0!</v>
      </c>
      <c r="I21" s="71">
        <v>1.7157025632267731</v>
      </c>
      <c r="J21" s="71">
        <v>-1.3051288296596408</v>
      </c>
      <c r="K21" s="71">
        <v>2.6792937213164114</v>
      </c>
      <c r="L21" s="71">
        <v>-0.30334985269454551</v>
      </c>
      <c r="M21" s="71">
        <v>5.5510117241236889</v>
      </c>
      <c r="N21" s="71">
        <v>12.877080881257651</v>
      </c>
      <c r="O21" s="71">
        <v>-9.9031625596005863</v>
      </c>
      <c r="P21" s="71">
        <v>10.851514764388416</v>
      </c>
      <c r="Q21" s="71">
        <v>-3.5061939378318585</v>
      </c>
      <c r="R21" s="71">
        <v>0.67305300045459315</v>
      </c>
      <c r="S21" s="71">
        <v>0.14013965817620821</v>
      </c>
      <c r="T21" s="71">
        <v>5.8800306231497901</v>
      </c>
      <c r="U21" s="71">
        <v>-0.93310854936532461</v>
      </c>
      <c r="V21" s="71">
        <v>-0.95346672248232123</v>
      </c>
      <c r="W21" s="71">
        <v>2.8489228430159663</v>
      </c>
      <c r="X21" s="71">
        <v>1.250667971972641</v>
      </c>
      <c r="Y21" s="71">
        <v>2.5994067256348341</v>
      </c>
      <c r="Z21" s="71">
        <v>2.2349300782341874</v>
      </c>
      <c r="AA21" s="71">
        <v>0.7893728394519739</v>
      </c>
      <c r="AB21" s="71">
        <v>0.45127800493398595</v>
      </c>
      <c r="AC21" s="71">
        <v>2.0524516151181116</v>
      </c>
      <c r="AD21" s="71">
        <v>2.6491577240365105</v>
      </c>
      <c r="AE21" s="71">
        <v>2.7919721482298154</v>
      </c>
      <c r="AF21" s="71">
        <v>2.5670474980944435</v>
      </c>
      <c r="AG21" s="71">
        <v>6.6711143750750379</v>
      </c>
      <c r="AH21" s="71">
        <v>-7.1978152155729225</v>
      </c>
      <c r="AI21" s="71">
        <v>1.2525061820221284</v>
      </c>
      <c r="AJ21" s="71">
        <v>0.55959590920637847</v>
      </c>
      <c r="AK21" s="71">
        <v>1.4373466767251264</v>
      </c>
      <c r="AL21" s="71">
        <v>1.775527802064647</v>
      </c>
      <c r="AM21" s="71">
        <v>4.0598220254491446</v>
      </c>
      <c r="AN21" s="71">
        <v>3.5953852981584156</v>
      </c>
      <c r="AO21" s="71">
        <v>2.1652407084614689</v>
      </c>
      <c r="AP21" s="71">
        <v>1.4892548537807304</v>
      </c>
      <c r="AQ21" s="71">
        <v>2.1290871286547164</v>
      </c>
      <c r="AR21" s="71">
        <v>-1.9887067306578854</v>
      </c>
      <c r="AS21" s="71">
        <v>-1.1414573531271621</v>
      </c>
      <c r="AT21" s="71">
        <v>0.57334328233602516</v>
      </c>
      <c r="AU21" s="71">
        <v>2.1100373122669103</v>
      </c>
      <c r="AV21" s="71">
        <v>3.8067765482531213</v>
      </c>
      <c r="AW21" s="71">
        <v>-4.7868178363635883</v>
      </c>
      <c r="AX21" s="71">
        <v>-4.2192932464209072</v>
      </c>
      <c r="AY21" s="71">
        <v>-5.245592008270517</v>
      </c>
      <c r="AZ21" s="71">
        <v>9.0613050185348154</v>
      </c>
      <c r="BA21" s="71">
        <v>-2.2552717334243688</v>
      </c>
      <c r="BB21" s="71">
        <v>-0.72156442570268098</v>
      </c>
      <c r="BC21" s="71">
        <v>2.6266182075283195</v>
      </c>
      <c r="BD21" s="71">
        <v>-6.8842317499274497</v>
      </c>
      <c r="BE21" s="71">
        <v>2.4866585673489539</v>
      </c>
      <c r="BF21" s="71">
        <v>4.5114289495745696</v>
      </c>
      <c r="BG21" s="71">
        <v>-7.6069714561487363</v>
      </c>
      <c r="BH21" s="71">
        <v>-4.4091496187316448</v>
      </c>
      <c r="BI21" s="71">
        <v>5.2581532238430206</v>
      </c>
      <c r="BJ21" s="71">
        <v>-3.3186338625925127</v>
      </c>
      <c r="BK21" s="71">
        <v>0.23366567654177217</v>
      </c>
      <c r="BL21" s="71">
        <v>5.0618782849849442</v>
      </c>
      <c r="BM21" s="71">
        <v>4.0420076498648649</v>
      </c>
      <c r="BN21" s="71">
        <v>2.4427593544322113</v>
      </c>
      <c r="BO21" s="71">
        <v>3.7565676985626295</v>
      </c>
      <c r="BP21" s="71">
        <v>3.7194789843144616</v>
      </c>
      <c r="BQ21" s="71">
        <v>-0.67258201467973455</v>
      </c>
      <c r="BR21" s="71">
        <v>5.8055625747363671</v>
      </c>
      <c r="BS21" s="71">
        <v>2.8414737577155957</v>
      </c>
      <c r="BT21" s="71">
        <v>-0.54879256388651321</v>
      </c>
      <c r="BU21" s="71">
        <v>3.3891476327402748</v>
      </c>
      <c r="BV21" s="71">
        <v>0.51282698999599585</v>
      </c>
    </row>
    <row r="22" spans="1:74" ht="17.100000000000001" customHeight="1" x14ac:dyDescent="0.2">
      <c r="A22" s="82" t="s">
        <v>55</v>
      </c>
      <c r="B22" s="81"/>
      <c r="C22" s="71" t="e">
        <v>#DIV/0!</v>
      </c>
      <c r="D22" s="71" t="e">
        <v>#DIV/0!</v>
      </c>
      <c r="E22" s="71" t="e">
        <v>#DIV/0!</v>
      </c>
      <c r="F22" s="71" t="e">
        <v>#DIV/0!</v>
      </c>
      <c r="G22" s="71" t="e">
        <v>#DIV/0!</v>
      </c>
      <c r="H22" s="71" t="e">
        <v>#DIV/0!</v>
      </c>
      <c r="I22" s="71">
        <v>9.8825483781278312</v>
      </c>
      <c r="J22" s="71">
        <v>-2.8097016430796873</v>
      </c>
      <c r="K22" s="71">
        <v>2.5020841340715805</v>
      </c>
      <c r="L22" s="71">
        <v>-5.9178745830756885</v>
      </c>
      <c r="M22" s="71">
        <v>6.408388561713374</v>
      </c>
      <c r="N22" s="71">
        <v>9.9512744753234692</v>
      </c>
      <c r="O22" s="71">
        <v>1.7917965117423718</v>
      </c>
      <c r="P22" s="71">
        <v>1.5904046650997206</v>
      </c>
      <c r="Q22" s="71">
        <v>0.64615407612567122</v>
      </c>
      <c r="R22" s="71">
        <v>-2.9616928225308703</v>
      </c>
      <c r="S22" s="71">
        <v>3.2276283623254409</v>
      </c>
      <c r="T22" s="71">
        <v>7.1773637644829469</v>
      </c>
      <c r="U22" s="71">
        <v>-7.171633950924317</v>
      </c>
      <c r="V22" s="71">
        <v>3.249405362708857</v>
      </c>
      <c r="W22" s="71">
        <v>3.293480156545403</v>
      </c>
      <c r="X22" s="71">
        <v>1.376248071760422</v>
      </c>
      <c r="Y22" s="71">
        <v>1.4491945942581852</v>
      </c>
      <c r="Z22" s="71">
        <v>10.067397850428407</v>
      </c>
      <c r="AA22" s="71">
        <v>-3.7168689128882382</v>
      </c>
      <c r="AB22" s="71">
        <v>-1.630957189861737</v>
      </c>
      <c r="AC22" s="71">
        <v>-2.0461568292333365</v>
      </c>
      <c r="AD22" s="71">
        <v>0.52581500787141078</v>
      </c>
      <c r="AE22" s="71">
        <v>0.95464476765152462</v>
      </c>
      <c r="AF22" s="71">
        <v>-0.41191677371412716</v>
      </c>
      <c r="AG22" s="71">
        <v>3.8828653256221424</v>
      </c>
      <c r="AH22" s="71">
        <v>9.4869125936848153</v>
      </c>
      <c r="AI22" s="71">
        <v>-6.9754012839172379</v>
      </c>
      <c r="AJ22" s="71">
        <v>11.733204585854429</v>
      </c>
      <c r="AK22" s="71">
        <v>6.0755925807552513</v>
      </c>
      <c r="AL22" s="71">
        <v>1.7004407121910869</v>
      </c>
      <c r="AM22" s="71">
        <v>6.3805374537656778</v>
      </c>
      <c r="AN22" s="71">
        <v>3.3388394323211612</v>
      </c>
      <c r="AO22" s="71">
        <v>-0.49680464287934489</v>
      </c>
      <c r="AP22" s="71">
        <v>0.59940687991217878</v>
      </c>
      <c r="AQ22" s="71">
        <v>-0.92181260708916746</v>
      </c>
      <c r="AR22" s="71">
        <v>1.6583096234948025</v>
      </c>
      <c r="AS22" s="71">
        <v>-2.1104396936979186</v>
      </c>
      <c r="AT22" s="71">
        <v>1.5091696352699024</v>
      </c>
      <c r="AU22" s="71">
        <v>-0.14784978467565768</v>
      </c>
      <c r="AV22" s="71">
        <v>8.2423495164385852</v>
      </c>
      <c r="AW22" s="71">
        <v>-1.3115963392657748</v>
      </c>
      <c r="AX22" s="71">
        <v>-7.5745343292812013</v>
      </c>
      <c r="AY22" s="71">
        <v>-46.532188974107179</v>
      </c>
      <c r="AZ22" s="71">
        <v>59.248413528266596</v>
      </c>
      <c r="BA22" s="71">
        <v>2.2670504998893115</v>
      </c>
      <c r="BB22" s="71">
        <v>20.28104686623664</v>
      </c>
      <c r="BC22" s="71">
        <v>-12.520777123954808</v>
      </c>
      <c r="BD22" s="71">
        <v>-3.9002811381874891</v>
      </c>
      <c r="BE22" s="71">
        <v>14.183620700882082</v>
      </c>
      <c r="BF22" s="71">
        <v>-13.743273443178182</v>
      </c>
      <c r="BG22" s="71">
        <v>-3.4380409737489015</v>
      </c>
      <c r="BH22" s="71">
        <v>6.6111122843377945</v>
      </c>
      <c r="BI22" s="71">
        <v>13.833591029173121</v>
      </c>
      <c r="BJ22" s="71">
        <v>-0.73112721351652477</v>
      </c>
      <c r="BK22" s="71">
        <v>9.5914439272520635</v>
      </c>
      <c r="BL22" s="71">
        <v>-1.8896379888535653</v>
      </c>
      <c r="BM22" s="71">
        <v>-5.4891753760093582</v>
      </c>
      <c r="BN22" s="71">
        <v>12.575921851954153</v>
      </c>
      <c r="BO22" s="71">
        <v>12.425693656751346</v>
      </c>
      <c r="BP22" s="71">
        <v>-6.4496419782199998</v>
      </c>
      <c r="BQ22" s="71">
        <v>1.0669595983565205</v>
      </c>
      <c r="BR22" s="71">
        <v>7.0353017384632954</v>
      </c>
      <c r="BS22" s="71">
        <v>-18.551515473504022</v>
      </c>
      <c r="BT22" s="71">
        <v>31.78926505784867</v>
      </c>
      <c r="BU22" s="71">
        <v>1.7946030282311787</v>
      </c>
      <c r="BV22" s="71">
        <v>-5.3314485256167448</v>
      </c>
    </row>
    <row r="23" spans="1:74" ht="17.100000000000001" customHeight="1" x14ac:dyDescent="0.2">
      <c r="A23" s="82" t="s">
        <v>54</v>
      </c>
      <c r="B23" s="81"/>
      <c r="C23" s="71" t="e">
        <v>#DIV/0!</v>
      </c>
      <c r="D23" s="71" t="e">
        <v>#DIV/0!</v>
      </c>
      <c r="E23" s="71" t="e">
        <v>#DIV/0!</v>
      </c>
      <c r="F23" s="71" t="e">
        <v>#DIV/0!</v>
      </c>
      <c r="G23" s="71" t="e">
        <v>#DIV/0!</v>
      </c>
      <c r="H23" s="71" t="e">
        <v>#DIV/0!</v>
      </c>
      <c r="I23" s="71">
        <v>39.912058357425394</v>
      </c>
      <c r="J23" s="71">
        <v>6.2042760246499684</v>
      </c>
      <c r="K23" s="71">
        <v>3.5818228829422871</v>
      </c>
      <c r="L23" s="71">
        <v>2.0680562822355641</v>
      </c>
      <c r="M23" s="71">
        <v>-2.2316917227231281</v>
      </c>
      <c r="N23" s="71">
        <v>4.1632358377335477</v>
      </c>
      <c r="O23" s="71">
        <v>16.44050512543722</v>
      </c>
      <c r="P23" s="71">
        <v>-5.3445032994851367</v>
      </c>
      <c r="Q23" s="71">
        <v>7.4371404690688703</v>
      </c>
      <c r="R23" s="71">
        <v>9.6050281799730186</v>
      </c>
      <c r="S23" s="71">
        <v>-1.2047208082580307</v>
      </c>
      <c r="T23" s="71">
        <v>2.8500583328356477</v>
      </c>
      <c r="U23" s="71">
        <v>4.3674081020244726</v>
      </c>
      <c r="V23" s="71">
        <v>9.7260525191775749</v>
      </c>
      <c r="W23" s="71">
        <v>1.8069369898764398</v>
      </c>
      <c r="X23" s="71">
        <v>8.5172456728180634</v>
      </c>
      <c r="Y23" s="71">
        <v>-0.95244910486302903</v>
      </c>
      <c r="Z23" s="71">
        <v>-3.472304176480745</v>
      </c>
      <c r="AA23" s="71">
        <v>4.2581594645603849</v>
      </c>
      <c r="AB23" s="71">
        <v>-6.0549617056747991</v>
      </c>
      <c r="AC23" s="71">
        <v>2.7495460719589637</v>
      </c>
      <c r="AD23" s="71">
        <v>1.7851377535204049</v>
      </c>
      <c r="AE23" s="71">
        <v>1.6360748122726809</v>
      </c>
      <c r="AF23" s="71">
        <v>6.7174505341742519</v>
      </c>
      <c r="AG23" s="71">
        <v>2.5265142570576771</v>
      </c>
      <c r="AH23" s="71">
        <v>-7.6624127486472293</v>
      </c>
      <c r="AI23" s="71">
        <v>25.684527746356455</v>
      </c>
      <c r="AJ23" s="71">
        <v>-3.6261336743870554</v>
      </c>
      <c r="AK23" s="71">
        <v>6.4687329611102351</v>
      </c>
      <c r="AL23" s="71">
        <v>5.075796921767517</v>
      </c>
      <c r="AM23" s="71">
        <v>1.6030425947100024</v>
      </c>
      <c r="AN23" s="71">
        <v>0.55256781900965279</v>
      </c>
      <c r="AO23" s="71">
        <v>3.4672896459186919</v>
      </c>
      <c r="AP23" s="71">
        <v>4.102291052018936</v>
      </c>
      <c r="AQ23" s="71">
        <v>-1.35805927552759</v>
      </c>
      <c r="AR23" s="71">
        <v>-8.7953689021651122</v>
      </c>
      <c r="AS23" s="71">
        <v>-3.3727019196977515</v>
      </c>
      <c r="AT23" s="71">
        <v>2.3614091119441794</v>
      </c>
      <c r="AU23" s="71">
        <v>6.7457118074326194</v>
      </c>
      <c r="AV23" s="71">
        <v>13.739883585099877</v>
      </c>
      <c r="AW23" s="71">
        <v>5.9701068059099249</v>
      </c>
      <c r="AX23" s="71">
        <v>-6.3960629350631955</v>
      </c>
      <c r="AY23" s="71">
        <v>-4.6853542344036274</v>
      </c>
      <c r="AZ23" s="71">
        <v>6.1503828684748907</v>
      </c>
      <c r="BA23" s="71">
        <v>7.3855634769031564</v>
      </c>
      <c r="BB23" s="71">
        <v>7.7875110789285662</v>
      </c>
      <c r="BC23" s="71">
        <v>5.4347423199875289</v>
      </c>
      <c r="BD23" s="71">
        <v>-6.8555835542161603</v>
      </c>
      <c r="BE23" s="71">
        <v>4.2254434862887047</v>
      </c>
      <c r="BF23" s="71">
        <v>2.9686750364820158</v>
      </c>
      <c r="BG23" s="71">
        <v>1.627390815808738</v>
      </c>
      <c r="BH23" s="71">
        <v>-4.1464650181745828</v>
      </c>
      <c r="BI23" s="71">
        <v>5.2898085182347954</v>
      </c>
      <c r="BJ23" s="71">
        <v>9.776533234289154</v>
      </c>
      <c r="BK23" s="71">
        <v>6.3038809108225013</v>
      </c>
      <c r="BL23" s="71">
        <v>3.2158549603790165</v>
      </c>
      <c r="BM23" s="71">
        <v>-2.1216631475670766</v>
      </c>
      <c r="BN23" s="71">
        <v>-5.4615141009344832</v>
      </c>
      <c r="BO23" s="71">
        <v>-13.440121567932673</v>
      </c>
      <c r="BP23" s="71">
        <v>25.433336727219192</v>
      </c>
      <c r="BQ23" s="71">
        <v>-4.3520867863550583</v>
      </c>
      <c r="BR23" s="71">
        <v>12.626655550266964</v>
      </c>
      <c r="BS23" s="71">
        <v>-16.317220317266955</v>
      </c>
      <c r="BT23" s="71">
        <v>4.4476105459751114</v>
      </c>
      <c r="BU23" s="71">
        <v>5.8888264322542794</v>
      </c>
      <c r="BV23" s="71">
        <v>24.816855014436957</v>
      </c>
    </row>
    <row r="24" spans="1:74" ht="17.100000000000001" customHeight="1" x14ac:dyDescent="0.2">
      <c r="A24" s="82" t="s">
        <v>72</v>
      </c>
      <c r="B24" s="81"/>
      <c r="C24" s="71" t="e">
        <v>#DIV/0!</v>
      </c>
      <c r="D24" s="71" t="e">
        <v>#DIV/0!</v>
      </c>
      <c r="E24" s="71" t="e">
        <v>#DIV/0!</v>
      </c>
      <c r="F24" s="71" t="e">
        <v>#DIV/0!</v>
      </c>
      <c r="G24" s="71" t="e">
        <v>#DIV/0!</v>
      </c>
      <c r="H24" s="71" t="e">
        <v>#DIV/0!</v>
      </c>
      <c r="I24" s="71">
        <v>21.323894324400825</v>
      </c>
      <c r="J24" s="71">
        <v>7.2331691622411265</v>
      </c>
      <c r="K24" s="71">
        <v>-5.0553520413620934E-2</v>
      </c>
      <c r="L24" s="71">
        <v>22.992866041681893</v>
      </c>
      <c r="M24" s="71">
        <v>-16.827206206232461</v>
      </c>
      <c r="N24" s="71">
        <v>-9.3669636993649501</v>
      </c>
      <c r="O24" s="71">
        <v>19.28769063021636</v>
      </c>
      <c r="P24" s="71">
        <v>-3.5837456243430155</v>
      </c>
      <c r="Q24" s="71">
        <v>-3.0224992634621972</v>
      </c>
      <c r="R24" s="71">
        <v>5.447932930147048</v>
      </c>
      <c r="S24" s="71">
        <v>-3.3188445104055941</v>
      </c>
      <c r="T24" s="71">
        <v>6.3564466935479125</v>
      </c>
      <c r="U24" s="71">
        <v>1.8474487055635258</v>
      </c>
      <c r="V24" s="71">
        <v>0.4361747745649458</v>
      </c>
      <c r="W24" s="71">
        <v>2.643294483191605</v>
      </c>
      <c r="X24" s="71">
        <v>2.4124692471158671</v>
      </c>
      <c r="Y24" s="71">
        <v>7.6199122660579155</v>
      </c>
      <c r="Z24" s="71">
        <v>9.3387311861582667</v>
      </c>
      <c r="AA24" s="71">
        <v>4.278834869516368</v>
      </c>
      <c r="AB24" s="71">
        <v>-7.2374296415742219</v>
      </c>
      <c r="AC24" s="71">
        <v>18.322948660435511</v>
      </c>
      <c r="AD24" s="71">
        <v>-8.4524250798899239</v>
      </c>
      <c r="AE24" s="71">
        <v>1.2640509371334652</v>
      </c>
      <c r="AF24" s="71">
        <v>10.816340001404146</v>
      </c>
      <c r="AG24" s="71">
        <v>-0.62528820012545117</v>
      </c>
      <c r="AH24" s="71">
        <v>-0.82076308929912578</v>
      </c>
      <c r="AI24" s="71">
        <v>-3.1056049152277665</v>
      </c>
      <c r="AJ24" s="71">
        <v>-3.93586177987576</v>
      </c>
      <c r="AK24" s="71">
        <v>-1.3141133455363052</v>
      </c>
      <c r="AL24" s="71">
        <v>7.3230922281606103</v>
      </c>
      <c r="AM24" s="71">
        <v>0.64153670050051126</v>
      </c>
      <c r="AN24" s="71">
        <v>-2.1225417958340431</v>
      </c>
      <c r="AO24" s="71">
        <v>3.2616667855696946</v>
      </c>
      <c r="AP24" s="71">
        <v>-6.8434813506768393</v>
      </c>
      <c r="AQ24" s="71">
        <v>7.7890782786578461</v>
      </c>
      <c r="AR24" s="71">
        <v>0.74739427525232216</v>
      </c>
      <c r="AS24" s="71">
        <v>5.2459701645316548</v>
      </c>
      <c r="AT24" s="71">
        <v>3.3737116084351815</v>
      </c>
      <c r="AU24" s="71">
        <v>5.0392422775998869</v>
      </c>
      <c r="AV24" s="71">
        <v>5.7665810953746455</v>
      </c>
      <c r="AW24" s="71">
        <v>2.553415037116058</v>
      </c>
      <c r="AX24" s="71">
        <v>-3.7156986309400897</v>
      </c>
      <c r="AY24" s="71">
        <v>-11.978903132995866</v>
      </c>
      <c r="AZ24" s="71">
        <v>18.92202168460728</v>
      </c>
      <c r="BA24" s="71">
        <v>-3.1893770489084927</v>
      </c>
      <c r="BB24" s="71">
        <v>10.021937363577571</v>
      </c>
      <c r="BC24" s="71">
        <v>-3.8721284537329259</v>
      </c>
      <c r="BD24" s="71">
        <v>-1.8676780907842971</v>
      </c>
      <c r="BE24" s="71">
        <v>-1.6518816695095806</v>
      </c>
      <c r="BF24" s="71">
        <v>16.935878423514961</v>
      </c>
      <c r="BG24" s="71">
        <v>-5.3951356518362692</v>
      </c>
      <c r="BH24" s="71">
        <v>-5.7384783716433407</v>
      </c>
      <c r="BI24" s="71">
        <v>8.9806008300987941</v>
      </c>
      <c r="BJ24" s="71">
        <v>-14.101590079439219</v>
      </c>
      <c r="BK24" s="71">
        <v>19.317509520341325</v>
      </c>
      <c r="BL24" s="71">
        <v>-8.9454321807858168</v>
      </c>
      <c r="BM24" s="71">
        <v>4.9925944971084268</v>
      </c>
      <c r="BN24" s="71">
        <v>-4.9713063603447516</v>
      </c>
      <c r="BO24" s="71">
        <v>10.708252071829971</v>
      </c>
      <c r="BP24" s="71">
        <v>0.35355604234115212</v>
      </c>
      <c r="BQ24" s="71">
        <v>-4.2638670710828492</v>
      </c>
      <c r="BR24" s="71">
        <v>1.3499099523915481</v>
      </c>
      <c r="BS24" s="71">
        <v>3.2014703279747314</v>
      </c>
      <c r="BT24" s="71">
        <v>7.3282695016039012</v>
      </c>
      <c r="BU24" s="71">
        <v>-4.1441667906294333</v>
      </c>
      <c r="BV24" s="71">
        <v>-4.9761846658458175E-2</v>
      </c>
    </row>
    <row r="25" spans="1:74" ht="17.100000000000001" customHeight="1" x14ac:dyDescent="0.2">
      <c r="A25" s="82" t="s">
        <v>14</v>
      </c>
      <c r="B25" s="81"/>
      <c r="C25" s="71" t="e">
        <v>#DIV/0!</v>
      </c>
      <c r="D25" s="71" t="e">
        <v>#DIV/0!</v>
      </c>
      <c r="E25" s="71" t="e">
        <v>#DIV/0!</v>
      </c>
      <c r="F25" s="71" t="e">
        <v>#DIV/0!</v>
      </c>
      <c r="G25" s="71" t="e">
        <v>#DIV/0!</v>
      </c>
      <c r="H25" s="71" t="e">
        <v>#DIV/0!</v>
      </c>
      <c r="I25" s="71">
        <v>5.1157297979736338</v>
      </c>
      <c r="J25" s="71">
        <v>2.9379773122858888</v>
      </c>
      <c r="K25" s="71">
        <v>2.5324242964282151</v>
      </c>
      <c r="L25" s="71">
        <v>1.7578692066665624</v>
      </c>
      <c r="M25" s="71">
        <v>-6.0363905801447455</v>
      </c>
      <c r="N25" s="71">
        <v>5.5070673322728858</v>
      </c>
      <c r="O25" s="71">
        <v>-5.3371337235109229</v>
      </c>
      <c r="P25" s="71">
        <v>1.9197177397029419</v>
      </c>
      <c r="Q25" s="71">
        <v>2.3651442145250723</v>
      </c>
      <c r="R25" s="71">
        <v>3.5349343391440247</v>
      </c>
      <c r="S25" s="71">
        <v>7.6957480959220392</v>
      </c>
      <c r="T25" s="71">
        <v>-3.2819427192727679</v>
      </c>
      <c r="U25" s="71">
        <v>-1.5176548689218805</v>
      </c>
      <c r="V25" s="71">
        <v>2.9099566741223715</v>
      </c>
      <c r="W25" s="71">
        <v>-0.26584939225737791</v>
      </c>
      <c r="X25" s="71">
        <v>2.5042703867290461</v>
      </c>
      <c r="Y25" s="71">
        <v>3.1069223122959677</v>
      </c>
      <c r="Z25" s="71">
        <v>0.93017573598348502</v>
      </c>
      <c r="AA25" s="71">
        <v>-1.9572806428402867E-2</v>
      </c>
      <c r="AB25" s="71">
        <v>1.7952889288091578</v>
      </c>
      <c r="AC25" s="71">
        <v>2.3065840303562846</v>
      </c>
      <c r="AD25" s="71">
        <v>1.3218030951756221</v>
      </c>
      <c r="AE25" s="71">
        <v>3.7984801377978883</v>
      </c>
      <c r="AF25" s="71">
        <v>2.4768666943008277</v>
      </c>
      <c r="AG25" s="71">
        <v>-1.2829091550517369</v>
      </c>
      <c r="AH25" s="71">
        <v>0.82804148962734025</v>
      </c>
      <c r="AI25" s="71">
        <v>0.13696574539381334</v>
      </c>
      <c r="AJ25" s="71">
        <v>-1.3808511440434379</v>
      </c>
      <c r="AK25" s="71">
        <v>1.04306933831253</v>
      </c>
      <c r="AL25" s="71">
        <v>2.223559521026508</v>
      </c>
      <c r="AM25" s="71">
        <v>3.6478458564187966</v>
      </c>
      <c r="AN25" s="71">
        <v>2.2939616365742266</v>
      </c>
      <c r="AO25" s="71">
        <v>4.7401988085746805</v>
      </c>
      <c r="AP25" s="71">
        <v>1.0207342359752847</v>
      </c>
      <c r="AQ25" s="71">
        <v>2.6666692728782859</v>
      </c>
      <c r="AR25" s="71">
        <v>5.1431890410837511</v>
      </c>
      <c r="AS25" s="71">
        <v>1.2198837436323995</v>
      </c>
      <c r="AT25" s="71">
        <v>1.0707614272531085</v>
      </c>
      <c r="AU25" s="71">
        <v>-1.573369401268454</v>
      </c>
      <c r="AV25" s="71">
        <v>3.9118715564613327</v>
      </c>
      <c r="AW25" s="71">
        <v>-2.0674773173094518</v>
      </c>
      <c r="AX25" s="71">
        <v>5.9477982261173956</v>
      </c>
      <c r="AY25" s="71">
        <v>0.62887722495470477</v>
      </c>
      <c r="AZ25" s="71">
        <v>-0.50643797613455499</v>
      </c>
      <c r="BA25" s="71">
        <v>0.24248121068697337</v>
      </c>
      <c r="BB25" s="71">
        <v>1.2573193198703647</v>
      </c>
      <c r="BC25" s="71">
        <v>2.7820864821851199</v>
      </c>
      <c r="BD25" s="71">
        <v>2.5768881072564032</v>
      </c>
      <c r="BE25" s="71">
        <v>2.7881987382445184</v>
      </c>
      <c r="BF25" s="71">
        <v>1.4176712217109921</v>
      </c>
      <c r="BG25" s="71">
        <v>2.137875671182865</v>
      </c>
      <c r="BH25" s="71">
        <v>2.1595817752660951</v>
      </c>
      <c r="BI25" s="71">
        <v>1.228762672223116</v>
      </c>
      <c r="BJ25" s="71">
        <v>0.64865636229578527</v>
      </c>
      <c r="BK25" s="71">
        <v>3.3602570692435885</v>
      </c>
      <c r="BL25" s="71">
        <v>1.9787914227569869</v>
      </c>
      <c r="BM25" s="71">
        <v>2.195961828469839</v>
      </c>
      <c r="BN25" s="71">
        <v>0.6969227063383876</v>
      </c>
      <c r="BO25" s="71">
        <v>0.50675651398215393</v>
      </c>
      <c r="BP25" s="71">
        <v>4.4369471031990848E-2</v>
      </c>
      <c r="BQ25" s="71">
        <v>1.8293387651441728</v>
      </c>
      <c r="BR25" s="71">
        <v>4.1978427708526889</v>
      </c>
      <c r="BS25" s="71">
        <v>7.3504046829042657E-2</v>
      </c>
      <c r="BT25" s="71">
        <v>1.9043976395256346</v>
      </c>
      <c r="BU25" s="71">
        <v>-8.2621517025316393E-2</v>
      </c>
      <c r="BV25" s="71">
        <v>4.8133404150017434</v>
      </c>
    </row>
    <row r="26" spans="1:74" ht="17.100000000000001" customHeight="1" x14ac:dyDescent="0.2">
      <c r="A26" s="82" t="s">
        <v>56</v>
      </c>
      <c r="B26" s="81"/>
      <c r="C26" s="71" t="e">
        <v>#DIV/0!</v>
      </c>
      <c r="D26" s="71" t="e">
        <v>#DIV/0!</v>
      </c>
      <c r="E26" s="71" t="e">
        <v>#DIV/0!</v>
      </c>
      <c r="F26" s="71" t="e">
        <v>#DIV/0!</v>
      </c>
      <c r="G26" s="71" t="e">
        <v>#DIV/0!</v>
      </c>
      <c r="H26" s="71" t="e">
        <v>#DIV/0!</v>
      </c>
      <c r="I26" s="71">
        <v>51.193500526862401</v>
      </c>
      <c r="J26" s="71">
        <v>257.95297869070424</v>
      </c>
      <c r="K26" s="71">
        <v>-8.1253123294176106</v>
      </c>
      <c r="L26" s="71">
        <v>3.4729884993370375</v>
      </c>
      <c r="M26" s="71">
        <v>-18.433648894056997</v>
      </c>
      <c r="N26" s="71">
        <v>-30.442612095844545</v>
      </c>
      <c r="O26" s="71">
        <v>9.7386955729895206</v>
      </c>
      <c r="P26" s="71">
        <v>-10.955777592570348</v>
      </c>
      <c r="Q26" s="71">
        <v>8.260736887226594</v>
      </c>
      <c r="R26" s="71">
        <v>43.14193612283794</v>
      </c>
      <c r="S26" s="71">
        <v>-11.030310686509138</v>
      </c>
      <c r="T26" s="71">
        <v>-2.0216330734556642</v>
      </c>
      <c r="U26" s="71">
        <v>-3.1206989799464235</v>
      </c>
      <c r="V26" s="71">
        <v>-16.545722551332975</v>
      </c>
      <c r="W26" s="71">
        <v>18.533389573760783</v>
      </c>
      <c r="X26" s="71">
        <v>-19.527070970715975</v>
      </c>
      <c r="Y26" s="71">
        <v>18.918098089058198</v>
      </c>
      <c r="Z26" s="71">
        <v>16.042916355428673</v>
      </c>
      <c r="AA26" s="71">
        <v>-3.7852260549065098</v>
      </c>
      <c r="AB26" s="71">
        <v>-9.6198101675086907</v>
      </c>
      <c r="AC26" s="71">
        <v>-5.6232264125537057</v>
      </c>
      <c r="AD26" s="71">
        <v>5.3005306695019572</v>
      </c>
      <c r="AE26" s="71">
        <v>-6.8170461380021248</v>
      </c>
      <c r="AF26" s="71">
        <v>3.4778429404907385</v>
      </c>
      <c r="AG26" s="71">
        <v>9.7301214707731667</v>
      </c>
      <c r="AH26" s="71">
        <v>-10.795298560572707</v>
      </c>
      <c r="AI26" s="71">
        <v>-3.3682466372011777</v>
      </c>
      <c r="AJ26" s="71">
        <v>-2.8635123470785562</v>
      </c>
      <c r="AK26" s="71">
        <v>-10.862800160586449</v>
      </c>
      <c r="AL26" s="71">
        <v>-7.2489323687666136</v>
      </c>
      <c r="AM26" s="71">
        <v>2.9454383257895289</v>
      </c>
      <c r="AN26" s="71">
        <v>9.8989972980674032</v>
      </c>
      <c r="AO26" s="71">
        <v>0.18583259453563983</v>
      </c>
      <c r="AP26" s="71">
        <v>1.9234071395757946</v>
      </c>
      <c r="AQ26" s="71">
        <v>4.99108803595949</v>
      </c>
      <c r="AR26" s="71">
        <v>-4.3606765990489631</v>
      </c>
      <c r="AS26" s="71">
        <v>-6.9541494864395208</v>
      </c>
      <c r="AT26" s="71">
        <v>16.235747541588207</v>
      </c>
      <c r="AU26" s="71">
        <v>13.802603149989112</v>
      </c>
      <c r="AV26" s="71">
        <v>8.2698897731339436</v>
      </c>
      <c r="AW26" s="71">
        <v>-9.548983868258432</v>
      </c>
      <c r="AX26" s="71">
        <v>-33.154441775569865</v>
      </c>
      <c r="AY26" s="71">
        <v>25.311140076610528</v>
      </c>
      <c r="AZ26" s="71">
        <v>-7.4862483916642404</v>
      </c>
      <c r="BA26" s="71">
        <v>19.033296180602697</v>
      </c>
      <c r="BB26" s="71">
        <v>8.0878714486664514</v>
      </c>
      <c r="BC26" s="71">
        <v>-1.2194474757789675</v>
      </c>
      <c r="BD26" s="71">
        <v>5.8852347410210504</v>
      </c>
      <c r="BE26" s="71">
        <v>-6.2192374972505178</v>
      </c>
      <c r="BF26" s="71">
        <v>-11.994262330751205</v>
      </c>
      <c r="BG26" s="71">
        <v>4.9710596762839288</v>
      </c>
      <c r="BH26" s="71">
        <v>76.02250619010124</v>
      </c>
      <c r="BI26" s="71">
        <v>-26.942649541156939</v>
      </c>
      <c r="BJ26" s="71">
        <v>-6.1963517276526829</v>
      </c>
      <c r="BK26" s="71">
        <v>-5.263402479687274</v>
      </c>
      <c r="BL26" s="71">
        <v>-6.3169997192187637</v>
      </c>
      <c r="BM26" s="71">
        <v>76.610891607556169</v>
      </c>
      <c r="BN26" s="71">
        <v>-29.831905561735184</v>
      </c>
      <c r="BO26" s="71">
        <v>-1.3045583944005346</v>
      </c>
      <c r="BP26" s="71">
        <v>-9.6312921358360892</v>
      </c>
      <c r="BQ26" s="71">
        <v>20.600039087720234</v>
      </c>
      <c r="BR26" s="71">
        <v>6.219655322226525</v>
      </c>
      <c r="BS26" s="71">
        <v>3.4453813177252934</v>
      </c>
      <c r="BT26" s="71">
        <v>-17.705239152813611</v>
      </c>
      <c r="BU26" s="71">
        <v>-11.422185162451248</v>
      </c>
      <c r="BV26" s="71">
        <v>42.52043889833719</v>
      </c>
    </row>
    <row r="27" spans="1:74" ht="17.100000000000001" customHeight="1" x14ac:dyDescent="0.2">
      <c r="A27" s="82" t="s">
        <v>57</v>
      </c>
      <c r="B27" s="81"/>
      <c r="C27" s="71" t="e">
        <v>#DIV/0!</v>
      </c>
      <c r="D27" s="71" t="e">
        <v>#DIV/0!</v>
      </c>
      <c r="E27" s="71" t="e">
        <v>#DIV/0!</v>
      </c>
      <c r="F27" s="71" t="e">
        <v>#DIV/0!</v>
      </c>
      <c r="G27" s="71" t="e">
        <v>#DIV/0!</v>
      </c>
      <c r="H27" s="71" t="e">
        <v>#DIV/0!</v>
      </c>
      <c r="I27" s="71">
        <v>1.7607224932237653</v>
      </c>
      <c r="J27" s="71">
        <v>10.76720073199664</v>
      </c>
      <c r="K27" s="71">
        <v>8.2310825645588448</v>
      </c>
      <c r="L27" s="71">
        <v>7.9399250297139234</v>
      </c>
      <c r="M27" s="71">
        <v>12.993877716780267</v>
      </c>
      <c r="N27" s="71">
        <v>-3.6463040131801683</v>
      </c>
      <c r="O27" s="71">
        <v>5.397623852707456</v>
      </c>
      <c r="P27" s="71">
        <v>-1.6341368199961681</v>
      </c>
      <c r="Q27" s="71">
        <v>-3.2318268166482977</v>
      </c>
      <c r="R27" s="71">
        <v>-7.8240905232255908</v>
      </c>
      <c r="S27" s="71">
        <v>-2.4639226535799974</v>
      </c>
      <c r="T27" s="71">
        <v>-0.753953354696002</v>
      </c>
      <c r="U27" s="71">
        <v>-4.319220356536313</v>
      </c>
      <c r="V27" s="71">
        <v>-0.59121501850569746</v>
      </c>
      <c r="W27" s="71">
        <v>-3.1793150564076944</v>
      </c>
      <c r="X27" s="71">
        <v>2.615811547591762</v>
      </c>
      <c r="Y27" s="71">
        <v>3.6985866584639648</v>
      </c>
      <c r="Z27" s="71">
        <v>7.6630562695100712</v>
      </c>
      <c r="AA27" s="71">
        <v>9.558698945194898</v>
      </c>
      <c r="AB27" s="71">
        <v>5.7387040815393364</v>
      </c>
      <c r="AC27" s="71">
        <v>8.5062060279718743</v>
      </c>
      <c r="AD27" s="71">
        <v>1.7973746284879022</v>
      </c>
      <c r="AE27" s="71">
        <v>-4.3366955091071251</v>
      </c>
      <c r="AF27" s="71">
        <v>-6.5970757143422487</v>
      </c>
      <c r="AG27" s="71">
        <v>-1.6279021847448893</v>
      </c>
      <c r="AH27" s="71">
        <v>-13.870594264314374</v>
      </c>
      <c r="AI27" s="71">
        <v>3.3237554861462293</v>
      </c>
      <c r="AJ27" s="71">
        <v>1.2331025545080587</v>
      </c>
      <c r="AK27" s="71">
        <v>1.3495825854116461</v>
      </c>
      <c r="AL27" s="71">
        <v>2.2177607931586074</v>
      </c>
      <c r="AM27" s="71">
        <v>0.42206197782996835</v>
      </c>
      <c r="AN27" s="71">
        <v>-0.21796055098133316</v>
      </c>
      <c r="AO27" s="71">
        <v>0.17844195929208606</v>
      </c>
      <c r="AP27" s="71">
        <v>4.2812894947598323</v>
      </c>
      <c r="AQ27" s="71">
        <v>5.0288896047156584</v>
      </c>
      <c r="AR27" s="71">
        <v>4.1065141941218242</v>
      </c>
      <c r="AS27" s="71">
        <v>3.422942294236142</v>
      </c>
      <c r="AT27" s="71">
        <v>4.8774107826294655</v>
      </c>
      <c r="AU27" s="71">
        <v>4.547381072055412</v>
      </c>
      <c r="AV27" s="71">
        <v>1.7820134279526556</v>
      </c>
      <c r="AW27" s="71">
        <v>3.5471526210203219</v>
      </c>
      <c r="AX27" s="71">
        <v>-7.874250830104101</v>
      </c>
      <c r="AY27" s="71">
        <v>1.4922554682082145</v>
      </c>
      <c r="AZ27" s="71">
        <v>2.3435456725438231</v>
      </c>
      <c r="BA27" s="71">
        <v>2.9682902223174823</v>
      </c>
      <c r="BB27" s="71">
        <v>0.40827483392651409</v>
      </c>
      <c r="BC27" s="71">
        <v>-1.4101531614201468</v>
      </c>
      <c r="BD27" s="71">
        <v>0.68922421087522778</v>
      </c>
      <c r="BE27" s="71">
        <v>3.5943180168615196</v>
      </c>
      <c r="BF27" s="71">
        <v>-0.78597658571875062</v>
      </c>
      <c r="BG27" s="71">
        <v>2.4082780573635665</v>
      </c>
      <c r="BH27" s="71">
        <v>13.596943449947197</v>
      </c>
      <c r="BI27" s="71">
        <v>0.16893176273038435</v>
      </c>
      <c r="BJ27" s="71">
        <v>2.8819138118567844</v>
      </c>
      <c r="BK27" s="71">
        <v>-0.60165829119689374</v>
      </c>
      <c r="BL27" s="71">
        <v>-1.5326910310521358</v>
      </c>
      <c r="BM27" s="71">
        <v>-1.3002830997351333</v>
      </c>
      <c r="BN27" s="71">
        <v>10.1008768072679</v>
      </c>
      <c r="BO27" s="71">
        <v>0.39445795317085697</v>
      </c>
      <c r="BP27" s="71">
        <v>-5.4247490818943866</v>
      </c>
      <c r="BQ27" s="71">
        <v>-9.2507337594460726E-2</v>
      </c>
      <c r="BR27" s="71">
        <v>17.24187328446769</v>
      </c>
      <c r="BS27" s="71">
        <v>-10.14290931592674</v>
      </c>
      <c r="BT27" s="71">
        <v>1.51835417048789</v>
      </c>
      <c r="BU27" s="71">
        <v>28.747030728756286</v>
      </c>
      <c r="BV27" s="71">
        <v>-7.9819341443059351</v>
      </c>
    </row>
    <row r="28" spans="1:74" ht="17.100000000000001" customHeight="1" x14ac:dyDescent="0.2">
      <c r="A28" s="82" t="s">
        <v>15</v>
      </c>
      <c r="B28" s="81"/>
      <c r="C28" s="71" t="e">
        <v>#DIV/0!</v>
      </c>
      <c r="D28" s="71" t="e">
        <v>#DIV/0!</v>
      </c>
      <c r="E28" s="71" t="e">
        <v>#DIV/0!</v>
      </c>
      <c r="F28" s="71" t="e">
        <v>#DIV/0!</v>
      </c>
      <c r="G28" s="71" t="e">
        <v>#DIV/0!</v>
      </c>
      <c r="H28" s="71" t="e">
        <v>#DIV/0!</v>
      </c>
      <c r="I28" s="71">
        <v>7.8406885307636287</v>
      </c>
      <c r="J28" s="71">
        <v>9.9724919527099942</v>
      </c>
      <c r="K28" s="71">
        <v>7.185008571029794</v>
      </c>
      <c r="L28" s="71">
        <v>11.798099207300638</v>
      </c>
      <c r="M28" s="71">
        <v>-4.6872643360924338</v>
      </c>
      <c r="N28" s="71">
        <v>-5.2059118889691058</v>
      </c>
      <c r="O28" s="71">
        <v>-1.8064622141754305</v>
      </c>
      <c r="P28" s="71">
        <v>1.1015976879582334</v>
      </c>
      <c r="Q28" s="71">
        <v>1.699760405902917</v>
      </c>
      <c r="R28" s="71">
        <v>-5.5338432406337956</v>
      </c>
      <c r="S28" s="71">
        <v>7.0824190423436129</v>
      </c>
      <c r="T28" s="71">
        <v>0.49526735675744504</v>
      </c>
      <c r="U28" s="71">
        <v>-3.9059597392216538</v>
      </c>
      <c r="V28" s="71">
        <v>0.76217604261115124</v>
      </c>
      <c r="W28" s="71">
        <v>-1.6840963975809697</v>
      </c>
      <c r="X28" s="71">
        <v>-5.7083688737327503</v>
      </c>
      <c r="Y28" s="71">
        <v>1.7543109595862916</v>
      </c>
      <c r="Z28" s="71">
        <v>11.564605105401849</v>
      </c>
      <c r="AA28" s="71">
        <v>5.3556087193697088</v>
      </c>
      <c r="AB28" s="71">
        <v>6.5500913050097864</v>
      </c>
      <c r="AC28" s="71">
        <v>9.2621463021822272</v>
      </c>
      <c r="AD28" s="71">
        <v>-0.96555773008510926</v>
      </c>
      <c r="AE28" s="71">
        <v>-1.6249648513888104</v>
      </c>
      <c r="AF28" s="71">
        <v>1.9316324636945437</v>
      </c>
      <c r="AG28" s="71">
        <v>2.9717397733442397</v>
      </c>
      <c r="AH28" s="71">
        <v>1.1476935465463134</v>
      </c>
      <c r="AI28" s="71">
        <v>12.128363978331723</v>
      </c>
      <c r="AJ28" s="71">
        <v>0.25923544749315575</v>
      </c>
      <c r="AK28" s="71">
        <v>3.213875845297065</v>
      </c>
      <c r="AL28" s="71">
        <v>5.1388094769696746</v>
      </c>
      <c r="AM28" s="71">
        <v>8.7681931734894025</v>
      </c>
      <c r="AN28" s="71">
        <v>1.2431584867128587</v>
      </c>
      <c r="AO28" s="71">
        <v>-0.12854134932995809</v>
      </c>
      <c r="AP28" s="71">
        <v>-1.6802208022369647</v>
      </c>
      <c r="AQ28" s="71">
        <v>-2.7509219601945079</v>
      </c>
      <c r="AR28" s="71">
        <v>5.0551899796478006</v>
      </c>
      <c r="AS28" s="71">
        <v>-2.0244600092170217</v>
      </c>
      <c r="AT28" s="71">
        <v>4.8461104424047052</v>
      </c>
      <c r="AU28" s="71">
        <v>5.6297972506383465</v>
      </c>
      <c r="AV28" s="71">
        <v>4.9835583042766141</v>
      </c>
      <c r="AW28" s="71">
        <v>4.5420924884894243</v>
      </c>
      <c r="AX28" s="71">
        <v>0.28186273773018744</v>
      </c>
      <c r="AY28" s="71">
        <v>2.4555325630348568</v>
      </c>
      <c r="AZ28" s="71">
        <v>5.219248697852219</v>
      </c>
      <c r="BA28" s="71">
        <v>2.0164440391462701</v>
      </c>
      <c r="BB28" s="71">
        <v>11.803823638034805</v>
      </c>
      <c r="BC28" s="71">
        <v>-13.756300315337356</v>
      </c>
      <c r="BD28" s="71">
        <v>9.1673867168054812</v>
      </c>
      <c r="BE28" s="71">
        <v>-1.850255023479519</v>
      </c>
      <c r="BF28" s="71">
        <v>4.4812080684028643</v>
      </c>
      <c r="BG28" s="71">
        <v>-4.0382071682489968</v>
      </c>
      <c r="BH28" s="71">
        <v>11.652003390658061</v>
      </c>
      <c r="BI28" s="71">
        <v>-7.3613296861853144</v>
      </c>
      <c r="BJ28" s="71">
        <v>-7.5243014212841626</v>
      </c>
      <c r="BK28" s="71">
        <v>4.0835360878278548</v>
      </c>
      <c r="BL28" s="71">
        <v>-5.7072752307268821</v>
      </c>
      <c r="BM28" s="71">
        <v>16.306940164270188</v>
      </c>
      <c r="BN28" s="71">
        <v>0.32693180982177328</v>
      </c>
      <c r="BO28" s="71">
        <v>13.493992183541103</v>
      </c>
      <c r="BP28" s="71">
        <v>-20.659571807643385</v>
      </c>
      <c r="BQ28" s="71">
        <v>15.189154415285522</v>
      </c>
      <c r="BR28" s="71">
        <v>3.5996264428831859</v>
      </c>
      <c r="BS28" s="71">
        <v>5.858432280960546</v>
      </c>
      <c r="BT28" s="71">
        <v>-23.872693666621171</v>
      </c>
      <c r="BU28" s="71">
        <v>29.132965495230899</v>
      </c>
      <c r="BV28" s="71">
        <v>1.2067652953912544</v>
      </c>
    </row>
    <row r="29" spans="1:74" ht="17.100000000000001" customHeight="1" x14ac:dyDescent="0.2">
      <c r="A29" s="82" t="s">
        <v>16</v>
      </c>
      <c r="B29" s="81"/>
      <c r="C29" s="71" t="e">
        <v>#DIV/0!</v>
      </c>
      <c r="D29" s="71" t="e">
        <v>#DIV/0!</v>
      </c>
      <c r="E29" s="71" t="e">
        <v>#DIV/0!</v>
      </c>
      <c r="F29" s="71" t="e">
        <v>#DIV/0!</v>
      </c>
      <c r="G29" s="71" t="e">
        <v>#DIV/0!</v>
      </c>
      <c r="H29" s="71" t="e">
        <v>#DIV/0!</v>
      </c>
      <c r="I29" s="71">
        <v>5.4071198336392623</v>
      </c>
      <c r="J29" s="71">
        <v>-0.23003537870692758</v>
      </c>
      <c r="K29" s="71">
        <v>-8.3779956848347936</v>
      </c>
      <c r="L29" s="71">
        <v>20.242196280248038</v>
      </c>
      <c r="M29" s="71">
        <v>-4.5598316311464053</v>
      </c>
      <c r="N29" s="71">
        <v>0.4326926799619546</v>
      </c>
      <c r="O29" s="71">
        <v>1.1224649321010194</v>
      </c>
      <c r="P29" s="71">
        <v>5.7941832893652956</v>
      </c>
      <c r="Q29" s="71">
        <v>-1.3457628883177031</v>
      </c>
      <c r="R29" s="71">
        <v>2.8806739352994937</v>
      </c>
      <c r="S29" s="71">
        <v>5.4292960075425833</v>
      </c>
      <c r="T29" s="71">
        <v>5.3890264879283833</v>
      </c>
      <c r="U29" s="71">
        <v>0.91110197268278181</v>
      </c>
      <c r="V29" s="71">
        <v>-3.5374318450197229</v>
      </c>
      <c r="W29" s="71">
        <v>-5.1187823597603206</v>
      </c>
      <c r="X29" s="71">
        <v>-8.8112792514743798</v>
      </c>
      <c r="Y29" s="71">
        <v>2.4868066644241793</v>
      </c>
      <c r="Z29" s="71">
        <v>18.341838178256719</v>
      </c>
      <c r="AA29" s="71">
        <v>32.290124017604981</v>
      </c>
      <c r="AB29" s="71">
        <v>-34.848125825708578</v>
      </c>
      <c r="AC29" s="71">
        <v>20.376884733496592</v>
      </c>
      <c r="AD29" s="71">
        <v>8.4081341853833091</v>
      </c>
      <c r="AE29" s="71">
        <v>4.8971131574353732</v>
      </c>
      <c r="AF29" s="71">
        <v>1.1536504862578179</v>
      </c>
      <c r="AG29" s="71">
        <v>-3.0726548451480928</v>
      </c>
      <c r="AH29" s="71">
        <v>-3.8331324338194528</v>
      </c>
      <c r="AI29" s="71">
        <v>-3.4387471897501687</v>
      </c>
      <c r="AJ29" s="71">
        <v>-0.46461664576827877</v>
      </c>
      <c r="AK29" s="71">
        <v>-5.5677791190660404</v>
      </c>
      <c r="AL29" s="71">
        <v>-3.1068133656390939</v>
      </c>
      <c r="AM29" s="71">
        <v>3.08764083481472</v>
      </c>
      <c r="AN29" s="71">
        <v>6.4406917428549315</v>
      </c>
      <c r="AO29" s="71">
        <v>1.3283415994886694</v>
      </c>
      <c r="AP29" s="71">
        <v>0.46371297739724593</v>
      </c>
      <c r="AQ29" s="71">
        <v>-0.47358448420465882</v>
      </c>
      <c r="AR29" s="71">
        <v>9.6330016811439823</v>
      </c>
      <c r="AS29" s="71">
        <v>3.7788056741482334</v>
      </c>
      <c r="AT29" s="71">
        <v>-4.3443636997613559</v>
      </c>
      <c r="AU29" s="71">
        <v>-5.0376601300080708</v>
      </c>
      <c r="AV29" s="71">
        <v>-2.535014606064534</v>
      </c>
      <c r="AW29" s="71">
        <v>8.1735268734450592</v>
      </c>
      <c r="AX29" s="71">
        <v>0.79168128844848695</v>
      </c>
      <c r="AY29" s="71">
        <v>-2.3207390630165858</v>
      </c>
      <c r="AZ29" s="71">
        <v>-18.35893162971508</v>
      </c>
      <c r="BA29" s="71">
        <v>16.758002654911543</v>
      </c>
      <c r="BB29" s="71">
        <v>5.7086694612678679</v>
      </c>
      <c r="BC29" s="71">
        <v>3.1336240711018926</v>
      </c>
      <c r="BD29" s="71">
        <v>-11.890562346953592</v>
      </c>
      <c r="BE29" s="71">
        <v>2.9423582617963406</v>
      </c>
      <c r="BF29" s="71">
        <v>12.629539755141494</v>
      </c>
      <c r="BG29" s="71">
        <v>-10.189277731637048</v>
      </c>
      <c r="BH29" s="71">
        <v>7.0600786630664381</v>
      </c>
      <c r="BI29" s="71">
        <v>-7.0100977172049888</v>
      </c>
      <c r="BJ29" s="71">
        <v>3.0834434496642027</v>
      </c>
      <c r="BK29" s="71">
        <v>7.7045418584169578</v>
      </c>
      <c r="BL29" s="71">
        <v>4.8376154227266044</v>
      </c>
      <c r="BM29" s="71">
        <v>-6.6416014283508629</v>
      </c>
      <c r="BN29" s="71">
        <v>-0.97735826164788708</v>
      </c>
      <c r="BO29" s="71">
        <v>-0.5287893642638708</v>
      </c>
      <c r="BP29" s="71">
        <v>4.7089041295982348</v>
      </c>
      <c r="BQ29" s="71">
        <v>1.8906751091620988</v>
      </c>
      <c r="BR29" s="71">
        <v>1.5297904848132982</v>
      </c>
      <c r="BS29" s="71">
        <v>4.3904787245518495</v>
      </c>
      <c r="BT29" s="71">
        <v>-3.0648418230962315</v>
      </c>
      <c r="BU29" s="71">
        <v>6.3998867888043431</v>
      </c>
      <c r="BV29" s="71">
        <v>-2.7821783186043336</v>
      </c>
    </row>
    <row r="30" spans="1:74" ht="17.100000000000001" customHeight="1" x14ac:dyDescent="0.2">
      <c r="A30" s="82" t="s">
        <v>58</v>
      </c>
      <c r="B30" s="81"/>
      <c r="C30" s="71" t="e">
        <v>#DIV/0!</v>
      </c>
      <c r="D30" s="71" t="e">
        <v>#DIV/0!</v>
      </c>
      <c r="E30" s="71" t="e">
        <v>#DIV/0!</v>
      </c>
      <c r="F30" s="71" t="e">
        <v>#DIV/0!</v>
      </c>
      <c r="G30" s="71" t="e">
        <v>#DIV/0!</v>
      </c>
      <c r="H30" s="71" t="e">
        <v>#DIV/0!</v>
      </c>
      <c r="I30" s="71">
        <v>0.26899664205239926</v>
      </c>
      <c r="J30" s="71">
        <v>1.6474619535148172</v>
      </c>
      <c r="K30" s="71">
        <v>-0.39819123608570983</v>
      </c>
      <c r="L30" s="71">
        <v>2.4265262011604616</v>
      </c>
      <c r="M30" s="71">
        <v>2.9330779413170083</v>
      </c>
      <c r="N30" s="71">
        <v>0.98276500304257386</v>
      </c>
      <c r="O30" s="71">
        <v>-5.3095114026167618</v>
      </c>
      <c r="P30" s="71">
        <v>8.0529207436750294</v>
      </c>
      <c r="Q30" s="71">
        <v>0.18468174585719588</v>
      </c>
      <c r="R30" s="71">
        <v>-0.91724358093363545</v>
      </c>
      <c r="S30" s="71">
        <v>1.5801818834360049E-2</v>
      </c>
      <c r="T30" s="71">
        <v>4.3404050330522859</v>
      </c>
      <c r="U30" s="71">
        <v>0.40759978974613809</v>
      </c>
      <c r="V30" s="71">
        <v>-1.4573149384613959</v>
      </c>
      <c r="W30" s="71">
        <v>2.1114089822746873</v>
      </c>
      <c r="X30" s="71">
        <v>-7.3663730140335781</v>
      </c>
      <c r="Y30" s="71">
        <v>-0.13633049737645786</v>
      </c>
      <c r="Z30" s="71">
        <v>13.008634940659537</v>
      </c>
      <c r="AA30" s="71">
        <v>21.474801150194711</v>
      </c>
      <c r="AB30" s="71">
        <v>-23.976838128594537</v>
      </c>
      <c r="AC30" s="71">
        <v>13.76582994683293</v>
      </c>
      <c r="AD30" s="71">
        <v>5.3399693868622977</v>
      </c>
      <c r="AE30" s="71">
        <v>2.7438847591596316</v>
      </c>
      <c r="AF30" s="71">
        <v>-1.3843494380852972</v>
      </c>
      <c r="AG30" s="71">
        <v>-1.1042554781423575</v>
      </c>
      <c r="AH30" s="71">
        <v>-2.6574297890317511</v>
      </c>
      <c r="AI30" s="71">
        <v>-1.1208540837069902</v>
      </c>
      <c r="AJ30" s="71">
        <v>-1.2069384119715032</v>
      </c>
      <c r="AK30" s="71">
        <v>-0.1176947177704335</v>
      </c>
      <c r="AL30" s="71">
        <v>3.8491694352763339</v>
      </c>
      <c r="AM30" s="71">
        <v>7.4733992773568403</v>
      </c>
      <c r="AN30" s="71">
        <v>5.7195725477400039</v>
      </c>
      <c r="AO30" s="71">
        <v>3.3030008328391425</v>
      </c>
      <c r="AP30" s="71">
        <v>1.3812821092896277</v>
      </c>
      <c r="AQ30" s="71">
        <v>-1.3696988306209579</v>
      </c>
      <c r="AR30" s="71">
        <v>5.518180108738302</v>
      </c>
      <c r="AS30" s="71">
        <v>-3.2284259812366267</v>
      </c>
      <c r="AT30" s="71">
        <v>1.6993712712372488</v>
      </c>
      <c r="AU30" s="71">
        <v>3.1503121261491573</v>
      </c>
      <c r="AV30" s="71">
        <v>0.96579003454642098</v>
      </c>
      <c r="AW30" s="71">
        <v>-0.84969700815968885</v>
      </c>
      <c r="AX30" s="71">
        <v>-0.16033441751658328</v>
      </c>
      <c r="AY30" s="71">
        <v>-6.9508253667195152</v>
      </c>
      <c r="AZ30" s="71">
        <v>19.669105856685754</v>
      </c>
      <c r="BA30" s="71">
        <v>-6.3293249286329623</v>
      </c>
      <c r="BB30" s="71">
        <v>-2.9245938281133754</v>
      </c>
      <c r="BC30" s="71">
        <v>3.4859248561820211</v>
      </c>
      <c r="BD30" s="71">
        <v>2.993563580711367</v>
      </c>
      <c r="BE30" s="71">
        <v>12.638961190825238</v>
      </c>
      <c r="BF30" s="71">
        <v>-4.3526114830486069</v>
      </c>
      <c r="BG30" s="71">
        <v>-0.56997377232022028</v>
      </c>
      <c r="BH30" s="71">
        <v>5.6635032066281399</v>
      </c>
      <c r="BI30" s="71">
        <v>0.4406455121392705</v>
      </c>
      <c r="BJ30" s="71">
        <v>-2.1604587297187172</v>
      </c>
      <c r="BK30" s="71">
        <v>-2.664795831866229</v>
      </c>
      <c r="BL30" s="71">
        <v>-1.1798195773889963</v>
      </c>
      <c r="BM30" s="71">
        <v>3.0059183339914641</v>
      </c>
      <c r="BN30" s="71">
        <v>7.1992740164730229</v>
      </c>
      <c r="BO30" s="71">
        <v>3.3166273405772051</v>
      </c>
      <c r="BP30" s="71">
        <v>-4.5971088015859358</v>
      </c>
      <c r="BQ30" s="71">
        <v>0.7492000564089496</v>
      </c>
      <c r="BR30" s="71">
        <v>-0.10533156772851715</v>
      </c>
      <c r="BS30" s="71">
        <v>-1.4855252026611088</v>
      </c>
      <c r="BT30" s="71">
        <v>5.6465437987726963</v>
      </c>
      <c r="BU30" s="71">
        <v>1.2133206754449066</v>
      </c>
      <c r="BV30" s="71">
        <v>-1.5683276946524938</v>
      </c>
    </row>
    <row r="31" spans="1:74" ht="17.100000000000001" customHeight="1" x14ac:dyDescent="0.2">
      <c r="A31" s="82" t="s">
        <v>71</v>
      </c>
      <c r="B31" s="81"/>
      <c r="C31" s="71" t="e">
        <v>#DIV/0!</v>
      </c>
      <c r="D31" s="71" t="e">
        <v>#DIV/0!</v>
      </c>
      <c r="E31" s="71" t="e">
        <v>#DIV/0!</v>
      </c>
      <c r="F31" s="71" t="e">
        <v>#DIV/0!</v>
      </c>
      <c r="G31" s="71" t="e">
        <v>#DIV/0!</v>
      </c>
      <c r="H31" s="71" t="e">
        <v>#DIV/0!</v>
      </c>
      <c r="I31" s="71">
        <v>-24.226559517505265</v>
      </c>
      <c r="J31" s="71">
        <v>41.878654356749912</v>
      </c>
      <c r="K31" s="71">
        <v>17.314800037314559</v>
      </c>
      <c r="L31" s="71">
        <v>16.696679565571905</v>
      </c>
      <c r="M31" s="71">
        <v>22.618673316303116</v>
      </c>
      <c r="N31" s="71">
        <v>-77.541900463076701</v>
      </c>
      <c r="O31" s="71">
        <v>54.628077900007675</v>
      </c>
      <c r="P31" s="71">
        <v>24.748531661345339</v>
      </c>
      <c r="Q31" s="71">
        <v>44.908751512412358</v>
      </c>
      <c r="R31" s="71">
        <v>32.620299927566833</v>
      </c>
      <c r="S31" s="71">
        <v>-17.880804854509336</v>
      </c>
      <c r="T31" s="71">
        <v>4.2659880265173644</v>
      </c>
      <c r="U31" s="71">
        <v>-11.140067859064429</v>
      </c>
      <c r="V31" s="71">
        <v>-18.354503622848529</v>
      </c>
      <c r="W31" s="71">
        <v>25.036022535091828</v>
      </c>
      <c r="X31" s="71">
        <v>-13.027732063190323</v>
      </c>
      <c r="Y31" s="71">
        <v>16.268175383125637</v>
      </c>
      <c r="Z31" s="71">
        <v>11.50445161197322</v>
      </c>
      <c r="AA31" s="71">
        <v>0.23941179538777835</v>
      </c>
      <c r="AB31" s="71">
        <v>-1.1081140222170216</v>
      </c>
      <c r="AC31" s="71">
        <v>-9.372954233393493</v>
      </c>
      <c r="AD31" s="71">
        <v>3.1347817052357119</v>
      </c>
      <c r="AE31" s="71">
        <v>14.604756484882998</v>
      </c>
      <c r="AF31" s="71">
        <v>-11.519047562656848</v>
      </c>
      <c r="AG31" s="71">
        <v>6.562469477232491</v>
      </c>
      <c r="AH31" s="71">
        <v>-6.8174947436850042</v>
      </c>
      <c r="AI31" s="71">
        <v>-12.779369566660137</v>
      </c>
      <c r="AJ31" s="71">
        <v>2.961978569014545</v>
      </c>
      <c r="AK31" s="71">
        <v>9.836380479143747</v>
      </c>
      <c r="AL31" s="71">
        <v>27.897899424854856</v>
      </c>
      <c r="AM31" s="71">
        <v>57.357684321123337</v>
      </c>
      <c r="AN31" s="71">
        <v>-19.250867837142525</v>
      </c>
      <c r="AO31" s="71">
        <v>33.884865197375461</v>
      </c>
      <c r="AP31" s="71">
        <v>7.131493351035223</v>
      </c>
      <c r="AQ31" s="71">
        <v>5.8220397377521937</v>
      </c>
      <c r="AR31" s="71">
        <v>8.1455189929621632</v>
      </c>
      <c r="AS31" s="71">
        <v>-4.0811101105294734</v>
      </c>
      <c r="AT31" s="71">
        <v>4.8553994003966316</v>
      </c>
      <c r="AU31" s="71">
        <v>-3.8898760720392778</v>
      </c>
      <c r="AV31" s="71">
        <v>0.26959096757770418</v>
      </c>
      <c r="AW31" s="71">
        <v>1.219224773960792</v>
      </c>
      <c r="AX31" s="71">
        <v>-4.564611447655742</v>
      </c>
      <c r="AY31" s="71">
        <v>-22.822967826594297</v>
      </c>
      <c r="AZ31" s="71">
        <v>-4.7260929699126208</v>
      </c>
      <c r="BA31" s="71">
        <v>13.898504444020432</v>
      </c>
      <c r="BB31" s="71">
        <v>-4.1800186919327853</v>
      </c>
      <c r="BC31" s="71">
        <v>18.838429254041046</v>
      </c>
      <c r="BD31" s="71">
        <v>-2.1698300907698198</v>
      </c>
      <c r="BE31" s="71">
        <v>-9.8844573074974296</v>
      </c>
      <c r="BF31" s="71">
        <v>-17.504876439996032</v>
      </c>
      <c r="BG31" s="71">
        <v>14.283138936708717</v>
      </c>
      <c r="BH31" s="71">
        <v>-27.614269401711113</v>
      </c>
      <c r="BI31" s="71">
        <v>50.260680567505766</v>
      </c>
      <c r="BJ31" s="71">
        <v>4.5208691505741694</v>
      </c>
      <c r="BK31" s="71">
        <v>17.511959331495053</v>
      </c>
      <c r="BL31" s="71">
        <v>-8.0204931781357462</v>
      </c>
      <c r="BM31" s="71">
        <v>-15.010030222283344</v>
      </c>
      <c r="BN31" s="71">
        <v>15.426275538452927</v>
      </c>
      <c r="BO31" s="71">
        <v>-4.8947616808747485</v>
      </c>
      <c r="BP31" s="71">
        <v>8.7321912588993023</v>
      </c>
      <c r="BQ31" s="71">
        <v>-5.3739889710708528</v>
      </c>
      <c r="BR31" s="71">
        <v>5.2292762541143567</v>
      </c>
      <c r="BS31" s="71">
        <v>-17.476350172007471</v>
      </c>
      <c r="BT31" s="71">
        <v>19.905872841325078</v>
      </c>
      <c r="BU31" s="71">
        <v>-2.6109486670221171</v>
      </c>
      <c r="BV31" s="71">
        <v>2.242389530473532</v>
      </c>
    </row>
    <row r="32" spans="1:74" ht="17.100000000000001" customHeight="1" x14ac:dyDescent="0.2">
      <c r="A32" s="82" t="s">
        <v>17</v>
      </c>
      <c r="B32" s="81"/>
      <c r="C32" s="71" t="e">
        <v>#DIV/0!</v>
      </c>
      <c r="D32" s="71" t="e">
        <v>#DIV/0!</v>
      </c>
      <c r="E32" s="71" t="e">
        <v>#DIV/0!</v>
      </c>
      <c r="F32" s="71" t="e">
        <v>#DIV/0!</v>
      </c>
      <c r="G32" s="71" t="e">
        <v>#DIV/0!</v>
      </c>
      <c r="H32" s="71" t="e">
        <v>#DIV/0!</v>
      </c>
      <c r="I32" s="71">
        <v>-0.26164192930929753</v>
      </c>
      <c r="J32" s="71">
        <v>0.55845302764039317</v>
      </c>
      <c r="K32" s="71">
        <v>0.29854108064142348</v>
      </c>
      <c r="L32" s="71">
        <v>0.68101022414397416</v>
      </c>
      <c r="M32" s="71">
        <v>0.90966619921517555</v>
      </c>
      <c r="N32" s="71">
        <v>1.3314296531212522</v>
      </c>
      <c r="O32" s="71">
        <v>1.6377005826367697</v>
      </c>
      <c r="P32" s="71">
        <v>3.217234918697387</v>
      </c>
      <c r="Q32" s="71">
        <v>1.1612771882353989</v>
      </c>
      <c r="R32" s="71">
        <v>1.1912026409318655</v>
      </c>
      <c r="S32" s="71">
        <v>2.5627364571042532</v>
      </c>
      <c r="T32" s="71">
        <v>-0.33196327481039845</v>
      </c>
      <c r="U32" s="71">
        <v>1.2866623962630053</v>
      </c>
      <c r="V32" s="71">
        <v>1.8883636699348338</v>
      </c>
      <c r="W32" s="71">
        <v>2.7083021672685392</v>
      </c>
      <c r="X32" s="71">
        <v>1.4343192676409267</v>
      </c>
      <c r="Y32" s="71">
        <v>5.3126158729950301</v>
      </c>
      <c r="Z32" s="71">
        <v>4.9741945172983471</v>
      </c>
      <c r="AA32" s="71">
        <v>-3.3751661863995697</v>
      </c>
      <c r="AB32" s="71">
        <v>2.9315577241352475</v>
      </c>
      <c r="AC32" s="71">
        <v>2.3869223035600795</v>
      </c>
      <c r="AD32" s="71">
        <v>2.3522037059340528</v>
      </c>
      <c r="AE32" s="71">
        <v>2.6745286155592574</v>
      </c>
      <c r="AF32" s="71">
        <v>3.0780395477662204</v>
      </c>
      <c r="AG32" s="71">
        <v>3.3918570579876128</v>
      </c>
      <c r="AH32" s="71">
        <v>-0.4392325640091399</v>
      </c>
      <c r="AI32" s="71">
        <v>-0.75830237724747729</v>
      </c>
      <c r="AJ32" s="71">
        <v>-1.5922837931953926</v>
      </c>
      <c r="AK32" s="71">
        <v>-1.9767638444247115</v>
      </c>
      <c r="AL32" s="71">
        <v>-0.34843452435987521</v>
      </c>
      <c r="AM32" s="71">
        <v>-1.5197595560816235</v>
      </c>
      <c r="AN32" s="71">
        <v>-0.26240738828939847</v>
      </c>
      <c r="AO32" s="71">
        <v>0.46648477307638103</v>
      </c>
      <c r="AP32" s="71">
        <v>0.66698992980480654</v>
      </c>
      <c r="AQ32" s="71">
        <v>0.36008210405780172</v>
      </c>
      <c r="AR32" s="71">
        <v>2.566687697125003</v>
      </c>
      <c r="AS32" s="71">
        <v>1.1522235340477138</v>
      </c>
      <c r="AT32" s="71">
        <v>0.62849085398120064</v>
      </c>
      <c r="AU32" s="71">
        <v>0.61872218615206531</v>
      </c>
      <c r="AV32" s="71">
        <v>0.11914178358047867</v>
      </c>
      <c r="AW32" s="71">
        <v>0.12576173926073242</v>
      </c>
      <c r="AX32" s="71">
        <v>0.14575011696662532</v>
      </c>
      <c r="AY32" s="71">
        <v>0.26447838810388369</v>
      </c>
      <c r="AZ32" s="71">
        <v>0.43132280670332701</v>
      </c>
      <c r="BA32" s="71">
        <v>1.2703696718329605</v>
      </c>
      <c r="BB32" s="71">
        <v>1.7565192668886009</v>
      </c>
      <c r="BC32" s="71">
        <v>1.4245162363925923</v>
      </c>
      <c r="BD32" s="71">
        <v>1.1506714540588048</v>
      </c>
      <c r="BE32" s="71">
        <v>0.77109009426628017</v>
      </c>
      <c r="BF32" s="71">
        <v>0.69344368187371774</v>
      </c>
      <c r="BG32" s="71">
        <v>1.4852260291839503</v>
      </c>
      <c r="BH32" s="71">
        <v>0.11253917107965083</v>
      </c>
      <c r="BI32" s="71">
        <v>0.48852915604342684</v>
      </c>
      <c r="BJ32" s="71">
        <v>0.47672142462893419</v>
      </c>
      <c r="BK32" s="71">
        <v>0.15801417873213541</v>
      </c>
      <c r="BL32" s="71">
        <v>0.90549600801701491</v>
      </c>
      <c r="BM32" s="71">
        <v>14.729186732734089</v>
      </c>
      <c r="BN32" s="71">
        <v>-11.549445613704524</v>
      </c>
      <c r="BO32" s="71">
        <v>-12.698219537762812</v>
      </c>
      <c r="BP32" s="71">
        <v>14.523944551414502</v>
      </c>
      <c r="BQ32" s="71">
        <v>0.57637419884242203</v>
      </c>
      <c r="BR32" s="71">
        <v>-0.2814250623811354</v>
      </c>
      <c r="BS32" s="71">
        <v>1.7228479574186162</v>
      </c>
      <c r="BT32" s="71">
        <v>0.54903494093545557</v>
      </c>
      <c r="BU32" s="71">
        <v>-11.416270285145391</v>
      </c>
      <c r="BV32" s="71">
        <v>10.172532986426619</v>
      </c>
    </row>
    <row r="33" spans="1:74" ht="17.100000000000001" customHeight="1" x14ac:dyDescent="0.2">
      <c r="A33" s="82" t="s">
        <v>59</v>
      </c>
      <c r="B33" s="81"/>
      <c r="C33" s="120" t="e">
        <v>#DIV/0!</v>
      </c>
      <c r="D33" s="120" t="e">
        <v>#DIV/0!</v>
      </c>
      <c r="E33" s="120" t="e">
        <v>#DIV/0!</v>
      </c>
      <c r="F33" s="120" t="e">
        <v>#DIV/0!</v>
      </c>
      <c r="G33" s="120" t="e">
        <v>#DIV/0!</v>
      </c>
      <c r="H33" s="120" t="e">
        <v>#DIV/0!</v>
      </c>
      <c r="I33" s="120">
        <v>1.0033806824355063</v>
      </c>
      <c r="J33" s="120">
        <v>0.87322243041112468</v>
      </c>
      <c r="K33" s="120">
        <v>0.70983984353063523</v>
      </c>
      <c r="L33" s="120">
        <v>0.57742398001974227</v>
      </c>
      <c r="M33" s="120">
        <v>0.51649107615194811</v>
      </c>
      <c r="N33" s="120">
        <v>0.4870748895615673</v>
      </c>
      <c r="O33" s="120">
        <v>0.44339373232584744</v>
      </c>
      <c r="P33" s="120">
        <v>0.41936959861539336</v>
      </c>
      <c r="Q33" s="120">
        <v>0.42077297498039901</v>
      </c>
      <c r="R33" s="120">
        <v>0.44107297461117856</v>
      </c>
      <c r="S33" s="120">
        <v>0.46305694765143013</v>
      </c>
      <c r="T33" s="120">
        <v>0.49256169731535238</v>
      </c>
      <c r="U33" s="120">
        <v>0.54157067809792458</v>
      </c>
      <c r="V33" s="71">
        <v>0.59859641778052808</v>
      </c>
      <c r="W33" s="71">
        <v>0.66495398950512374</v>
      </c>
      <c r="X33" s="71">
        <v>0.73331308742947687</v>
      </c>
      <c r="Y33" s="71">
        <v>1.195037473752647</v>
      </c>
      <c r="Z33" s="71">
        <v>1.6577883782682656</v>
      </c>
      <c r="AA33" s="71">
        <v>-4.0060718787929828</v>
      </c>
      <c r="AB33" s="71">
        <v>2.3920033320014911</v>
      </c>
      <c r="AC33" s="71">
        <v>1.8985654532528429</v>
      </c>
      <c r="AD33" s="71">
        <v>1.4259004902632766</v>
      </c>
      <c r="AE33" s="71">
        <v>0.96757397415623281</v>
      </c>
      <c r="AF33" s="71">
        <v>0.51013502042580594</v>
      </c>
      <c r="AG33" s="71">
        <v>0.56611585550243593</v>
      </c>
      <c r="AH33" s="71">
        <v>0.62587435720349305</v>
      </c>
      <c r="AI33" s="71">
        <v>0.68837231657905562</v>
      </c>
      <c r="AJ33" s="71">
        <v>0.75347741038316318</v>
      </c>
      <c r="AK33" s="71">
        <v>0.73449972024517418</v>
      </c>
      <c r="AL33" s="71">
        <v>0.71709348877677659</v>
      </c>
      <c r="AM33" s="71">
        <v>0.69947545776405384</v>
      </c>
      <c r="AN33" s="71">
        <v>0.6860244589110609</v>
      </c>
      <c r="AO33" s="71">
        <v>0.68751858001996347</v>
      </c>
      <c r="AP33" s="71">
        <v>0.68677824867724446</v>
      </c>
      <c r="AQ33" s="71">
        <v>0.68756618763463617</v>
      </c>
      <c r="AR33" s="71">
        <v>0.69336200155585281</v>
      </c>
      <c r="AS33" s="71">
        <v>0.69351050508634771</v>
      </c>
      <c r="AT33" s="71">
        <v>0.68502716574088129</v>
      </c>
      <c r="AU33" s="71">
        <v>0.68198739502720596</v>
      </c>
      <c r="AV33" s="71">
        <v>0.68782738109220976</v>
      </c>
      <c r="AW33" s="71">
        <v>0.68705993203772575</v>
      </c>
      <c r="AX33" s="71">
        <v>0.66989350609980569</v>
      </c>
      <c r="AY33" s="71">
        <v>0.66491834249593484</v>
      </c>
      <c r="AZ33" s="71">
        <v>0.67529148207028378</v>
      </c>
      <c r="BA33" s="71">
        <v>0.6810530340137344</v>
      </c>
      <c r="BB33" s="71">
        <v>0.68606276460596582</v>
      </c>
      <c r="BC33" s="71">
        <v>0.68614035990572919</v>
      </c>
      <c r="BD33" s="71">
        <v>0.68563517520037198</v>
      </c>
      <c r="BE33" s="71">
        <v>0.68507773662358495</v>
      </c>
      <c r="BF33" s="71">
        <v>0.67441614276746442</v>
      </c>
      <c r="BG33" s="71">
        <v>0.66896273091605618</v>
      </c>
      <c r="BH33" s="71">
        <v>0.67143896873216313</v>
      </c>
      <c r="BI33" s="71">
        <v>0.67671106495414968</v>
      </c>
      <c r="BJ33" s="71">
        <v>0.68884929560557584</v>
      </c>
      <c r="BK33" s="71">
        <v>0.69078899572929675</v>
      </c>
      <c r="BL33" s="71">
        <v>0.68184082679176861</v>
      </c>
      <c r="BM33" s="71">
        <v>0.67935506245890842</v>
      </c>
      <c r="BN33" s="71">
        <v>0.67923174874191528</v>
      </c>
      <c r="BO33" s="71">
        <v>0.67726513087273954</v>
      </c>
      <c r="BP33" s="71">
        <v>0.66633128847526368</v>
      </c>
      <c r="BQ33" s="71">
        <v>0.66729280258743806</v>
      </c>
      <c r="BR33" s="71">
        <v>0.69483023993173187</v>
      </c>
      <c r="BS33" s="71">
        <v>0.69914393541274933</v>
      </c>
      <c r="BT33" s="71">
        <v>0.66873424353637301</v>
      </c>
      <c r="BU33" s="71">
        <v>2.2558681146112036E-2</v>
      </c>
      <c r="BV33" s="71">
        <v>1.3402170031224792</v>
      </c>
    </row>
    <row r="34" spans="1:74" ht="17.100000000000001" customHeight="1" x14ac:dyDescent="0.2">
      <c r="A34" s="83"/>
      <c r="B34" s="81"/>
      <c r="C34" s="120"/>
      <c r="D34" s="120"/>
      <c r="E34" s="120"/>
      <c r="F34" s="120"/>
      <c r="G34" s="120"/>
      <c r="H34" s="120"/>
      <c r="I34" s="120"/>
      <c r="J34" s="120"/>
      <c r="K34" s="120"/>
      <c r="L34" s="120"/>
      <c r="M34" s="120"/>
      <c r="N34" s="120"/>
      <c r="O34" s="120"/>
      <c r="P34" s="120"/>
      <c r="Q34" s="120"/>
      <c r="R34" s="120"/>
      <c r="S34" s="120"/>
      <c r="T34" s="120"/>
      <c r="U34" s="120"/>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row>
    <row r="35" spans="1:74" s="91" customFormat="1" ht="17.100000000000001" customHeight="1" x14ac:dyDescent="0.2">
      <c r="A35" s="160" t="s">
        <v>98</v>
      </c>
      <c r="B35" s="172"/>
      <c r="C35" s="177"/>
      <c r="D35" s="177"/>
      <c r="E35" s="177"/>
      <c r="F35" s="177"/>
      <c r="G35" s="177"/>
      <c r="H35" s="177"/>
      <c r="I35" s="177"/>
      <c r="J35" s="177"/>
      <c r="K35" s="177"/>
      <c r="L35" s="177"/>
      <c r="M35" s="177"/>
      <c r="N35" s="177"/>
      <c r="O35" s="177"/>
      <c r="P35" s="177"/>
      <c r="Q35" s="178"/>
      <c r="R35" s="178"/>
      <c r="S35" s="178"/>
      <c r="T35" s="178"/>
      <c r="U35" s="178"/>
      <c r="V35" s="179"/>
      <c r="W35" s="179"/>
      <c r="X35" s="179"/>
      <c r="Y35" s="179"/>
      <c r="Z35" s="179"/>
      <c r="AA35" s="179"/>
      <c r="AB35" s="179"/>
      <c r="AC35" s="179"/>
      <c r="AD35" s="179"/>
      <c r="AE35" s="179"/>
      <c r="AF35" s="179"/>
      <c r="AG35" s="179"/>
      <c r="AH35" s="179"/>
      <c r="AI35" s="179"/>
      <c r="AJ35" s="179"/>
      <c r="AK35" s="179"/>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s="180"/>
      <c r="BR35" s="180"/>
      <c r="BS35" s="180"/>
      <c r="BT35" s="180"/>
      <c r="BU35" s="180"/>
      <c r="BV35" s="180"/>
    </row>
    <row r="36" spans="1:74" s="11" customFormat="1" ht="17.100000000000001" customHeight="1" thickBot="1" x14ac:dyDescent="0.25">
      <c r="A36" s="51" t="s">
        <v>19</v>
      </c>
      <c r="B36" s="84"/>
      <c r="C36" s="121" t="e">
        <v>#DIV/0!</v>
      </c>
      <c r="D36" s="121" t="e">
        <v>#DIV/0!</v>
      </c>
      <c r="E36" s="121" t="e">
        <v>#DIV/0!</v>
      </c>
      <c r="F36" s="121" t="e">
        <v>#DIV/0!</v>
      </c>
      <c r="G36" s="121" t="e">
        <v>#DIV/0!</v>
      </c>
      <c r="H36" s="121" t="e">
        <v>#DIV/0!</v>
      </c>
      <c r="I36" s="121">
        <v>-6.1997454573303967</v>
      </c>
      <c r="J36" s="121">
        <v>-3.8952903284880658</v>
      </c>
      <c r="K36" s="121">
        <v>5.5299346954200246</v>
      </c>
      <c r="L36" s="121">
        <v>6.3044543198034431</v>
      </c>
      <c r="M36" s="121">
        <v>6.8654665421352234</v>
      </c>
      <c r="N36" s="121">
        <v>0.55997529443041483</v>
      </c>
      <c r="O36" s="121">
        <v>-2.2192893950768289</v>
      </c>
      <c r="P36" s="121">
        <v>7.7104460973155708</v>
      </c>
      <c r="Q36" s="121">
        <v>6.9329411768859872</v>
      </c>
      <c r="R36" s="121">
        <v>3.5714876618253788</v>
      </c>
      <c r="S36" s="121">
        <v>-1.0075799307823208</v>
      </c>
      <c r="T36" s="121">
        <v>-1.3093855549389577</v>
      </c>
      <c r="U36" s="121">
        <v>-4.5733932922232379</v>
      </c>
      <c r="V36" s="121">
        <v>3.9407752865119328</v>
      </c>
      <c r="W36" s="121">
        <v>3.848928466691115</v>
      </c>
      <c r="X36" s="121">
        <v>0.70840623577876904</v>
      </c>
      <c r="Y36" s="121">
        <v>-2.708333934588858</v>
      </c>
      <c r="Z36" s="121">
        <v>12.061768681005214</v>
      </c>
      <c r="AA36" s="121">
        <v>-3.0342506779988065</v>
      </c>
      <c r="AB36" s="121">
        <v>1.1811879631854927</v>
      </c>
      <c r="AC36" s="121">
        <v>4.2269071589889684</v>
      </c>
      <c r="AD36" s="121">
        <v>3.1680091553200507</v>
      </c>
      <c r="AE36" s="121">
        <v>3.8927332896016908</v>
      </c>
      <c r="AF36" s="121">
        <v>-3.8710803414141126</v>
      </c>
      <c r="AG36" s="121">
        <v>1.5611256183015954</v>
      </c>
      <c r="AH36" s="121">
        <v>-4.2154939708647365</v>
      </c>
      <c r="AI36" s="121">
        <v>7.0880063435628582</v>
      </c>
      <c r="AJ36" s="121">
        <v>5.832029517284032</v>
      </c>
      <c r="AK36" s="121">
        <v>-4.1619123905751838</v>
      </c>
      <c r="AL36" s="121">
        <v>9.09949341984988</v>
      </c>
      <c r="AM36" s="121">
        <v>0.47555779079744287</v>
      </c>
      <c r="AN36" s="121">
        <v>1.6626054766551324</v>
      </c>
      <c r="AO36" s="121">
        <v>-1.1259529058273543</v>
      </c>
      <c r="AP36" s="121">
        <v>-1.4410788731849311</v>
      </c>
      <c r="AQ36" s="121">
        <v>2.6895815817588486</v>
      </c>
      <c r="AR36" s="121">
        <v>-0.89185605077883867</v>
      </c>
      <c r="AS36" s="121">
        <v>2.8059271061516178</v>
      </c>
      <c r="AT36" s="121">
        <v>4.9983918035421571</v>
      </c>
      <c r="AU36" s="121">
        <v>-1.4736531936976327</v>
      </c>
      <c r="AV36" s="121">
        <v>4.090639352945713</v>
      </c>
      <c r="AW36" s="121">
        <v>1.9773566253974861</v>
      </c>
      <c r="AX36" s="121">
        <v>-5.2711741707251125</v>
      </c>
      <c r="AY36" s="121">
        <v>-25.224012578046249</v>
      </c>
      <c r="AZ36" s="121">
        <v>33.171211694506006</v>
      </c>
      <c r="BA36" s="121">
        <v>1.5487999727122004</v>
      </c>
      <c r="BB36" s="121">
        <v>-4.7660424770565646</v>
      </c>
      <c r="BC36" s="121">
        <v>15.206193889039543</v>
      </c>
      <c r="BD36" s="121">
        <v>-12.612678525434717</v>
      </c>
      <c r="BE36" s="121">
        <v>14.009513516540718</v>
      </c>
      <c r="BF36" s="121">
        <v>5.9234130501929494</v>
      </c>
      <c r="BG36" s="121">
        <v>-2.4953557140702798</v>
      </c>
      <c r="BH36" s="121">
        <v>-0.94846425299888182</v>
      </c>
      <c r="BI36" s="121">
        <v>3.7211847343955107</v>
      </c>
      <c r="BJ36" s="121">
        <v>3.890783948223131</v>
      </c>
      <c r="BK36" s="121">
        <v>4.2541587326795582</v>
      </c>
      <c r="BL36" s="121">
        <v>0.67847060669525838</v>
      </c>
      <c r="BM36" s="121">
        <v>-1.270329069736631</v>
      </c>
      <c r="BN36" s="121">
        <v>3.1646677413591062</v>
      </c>
      <c r="BO36" s="121">
        <v>1.2809435220733079</v>
      </c>
      <c r="BP36" s="121">
        <v>6.7116112359502988</v>
      </c>
      <c r="BQ36" s="121">
        <v>-1.607574694582159</v>
      </c>
      <c r="BR36" s="121">
        <v>-0.74985945234925522</v>
      </c>
      <c r="BS36" s="121">
        <v>3.5692685907288579</v>
      </c>
      <c r="BT36" s="121">
        <v>1.9404910818818122</v>
      </c>
      <c r="BU36" s="121">
        <v>2.299853256672435</v>
      </c>
      <c r="BV36" s="121">
        <v>5.6754290538042484</v>
      </c>
    </row>
    <row r="37" spans="1:74" x14ac:dyDescent="0.2">
      <c r="A37" s="13" t="s">
        <v>50</v>
      </c>
      <c r="B37" s="85"/>
    </row>
    <row r="38" spans="1:74" x14ac:dyDescent="0.2">
      <c r="Z38" s="1">
        <v>8.5</v>
      </c>
    </row>
  </sheetData>
  <mergeCells count="18">
    <mergeCell ref="BT3:BV3"/>
    <mergeCell ref="T3:W3"/>
    <mergeCell ref="AJ3:AM3"/>
    <mergeCell ref="AF3:AI3"/>
    <mergeCell ref="AN3:AQ3"/>
    <mergeCell ref="AR3:AU3"/>
    <mergeCell ref="AC3:AE3"/>
    <mergeCell ref="AV3:AY3"/>
    <mergeCell ref="BL3:BO3"/>
    <mergeCell ref="BH3:BK3"/>
    <mergeCell ref="BD3:BG3"/>
    <mergeCell ref="BP3:BS3"/>
    <mergeCell ref="AZ3:BC3"/>
    <mergeCell ref="B3:C3"/>
    <mergeCell ref="D3:G3"/>
    <mergeCell ref="H3:K3"/>
    <mergeCell ref="P3:S3"/>
    <mergeCell ref="N3:O3"/>
  </mergeCells>
  <phoneticPr fontId="31" type="noConversion"/>
  <conditionalFormatting sqref="C6:AZ36">
    <cfRule type="cellIs" dxfId="4" priority="6" operator="lessThan">
      <formula>0</formula>
    </cfRule>
  </conditionalFormatting>
  <conditionalFormatting sqref="AX5:AZ5">
    <cfRule type="cellIs" dxfId="3" priority="4" operator="lessThan">
      <formula>0</formula>
    </cfRule>
  </conditionalFormatting>
  <conditionalFormatting sqref="BA5:BV36">
    <cfRule type="cellIs" dxfId="2" priority="1" operator="lessThan">
      <formula>0</formula>
    </cfRule>
  </conditionalFormatting>
  <pageMargins left="0.51181102362204722" right="0" top="0.51181102362204722" bottom="0" header="0" footer="0"/>
  <pageSetup paperSize="9" scale="4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BV38"/>
  <sheetViews>
    <sheetView showGridLines="0" view="pageBreakPreview" zoomScaleNormal="100" zoomScaleSheetLayoutView="100" workbookViewId="0">
      <pane xSplit="12" ySplit="4" topLeftCell="AO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6.42578125" style="1" customWidth="1"/>
    <col min="2" max="5" width="7.5703125" style="1" hidden="1" customWidth="1"/>
    <col min="6" max="8" width="5.7109375" style="1" hidden="1" customWidth="1"/>
    <col min="9" max="15" width="6" style="1" hidden="1" customWidth="1"/>
    <col min="16" max="19" width="6.28515625" style="1" hidden="1" customWidth="1"/>
    <col min="20" max="35" width="6.85546875" style="1" hidden="1" customWidth="1"/>
    <col min="36" max="40" width="6.85546875" style="1" customWidth="1"/>
    <col min="41" max="41" width="8.28515625" style="1" customWidth="1"/>
    <col min="42" max="47" width="7.140625" style="1" customWidth="1"/>
    <col min="48" max="48" width="6.28515625" style="1" customWidth="1"/>
    <col min="49" max="49" width="6" style="1" customWidth="1"/>
    <col min="50" max="50" width="6.7109375" style="1" customWidth="1"/>
    <col min="51" max="51" width="4.85546875" style="1" customWidth="1"/>
    <col min="52" max="55" width="6.5703125" style="1" bestFit="1" customWidth="1"/>
    <col min="56" max="56" width="7.28515625" style="1" customWidth="1"/>
    <col min="57" max="57" width="7.140625" style="1" customWidth="1"/>
    <col min="58" max="58" width="6.85546875" style="1" customWidth="1"/>
    <col min="59" max="59" width="6.5703125" style="1" customWidth="1"/>
    <col min="60" max="60" width="5.85546875" style="1" customWidth="1"/>
    <col min="61" max="61" width="5.5703125" style="1" customWidth="1"/>
    <col min="62" max="62" width="5.28515625" style="1" customWidth="1"/>
    <col min="63" max="63" width="5.7109375" style="1" customWidth="1"/>
    <col min="64" max="64" width="6.5703125" style="1" bestFit="1" customWidth="1"/>
    <col min="65" max="65" width="5.5703125" style="1" customWidth="1"/>
    <col min="66" max="66" width="5.7109375" style="1" customWidth="1"/>
    <col min="67" max="67" width="5.5703125" style="1" customWidth="1"/>
    <col min="68" max="68" width="5.85546875" style="1" bestFit="1" customWidth="1"/>
    <col min="69" max="69" width="6.5703125" style="1" customWidth="1"/>
    <col min="70" max="16384" width="9.140625" style="1"/>
  </cols>
  <sheetData>
    <row r="1" spans="1:74" ht="18.75" customHeight="1" x14ac:dyDescent="0.2">
      <c r="A1" s="31" t="s">
        <v>183</v>
      </c>
      <c r="AJ1" s="31"/>
      <c r="AN1" s="116"/>
      <c r="AO1" s="116"/>
    </row>
    <row r="2" spans="1:74" ht="2.2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c r="AR2" s="141" t="s">
        <v>134</v>
      </c>
      <c r="AS2" s="141"/>
      <c r="AT2" s="141"/>
    </row>
    <row r="3" spans="1:74" s="87" customFormat="1" ht="12" customHeight="1" x14ac:dyDescent="0.2">
      <c r="A3" s="86"/>
      <c r="B3" s="260" t="s">
        <v>67</v>
      </c>
      <c r="C3" s="260"/>
      <c r="D3" s="260" t="s">
        <v>66</v>
      </c>
      <c r="E3" s="260"/>
      <c r="F3" s="260"/>
      <c r="G3" s="260"/>
      <c r="H3" s="260" t="s">
        <v>60</v>
      </c>
      <c r="I3" s="260"/>
      <c r="J3" s="260"/>
      <c r="K3" s="260"/>
      <c r="L3" s="86" t="s">
        <v>61</v>
      </c>
      <c r="M3" s="86"/>
      <c r="N3" s="260"/>
      <c r="O3" s="260"/>
      <c r="P3" s="260" t="s">
        <v>62</v>
      </c>
      <c r="Q3" s="260"/>
      <c r="R3" s="260"/>
      <c r="S3" s="260"/>
      <c r="T3" s="260" t="s">
        <v>63</v>
      </c>
      <c r="U3" s="260"/>
      <c r="V3" s="260"/>
      <c r="W3" s="260"/>
      <c r="X3" s="86" t="s">
        <v>64</v>
      </c>
      <c r="Y3" s="86" t="s">
        <v>64</v>
      </c>
      <c r="Z3" s="86"/>
      <c r="AA3" s="86" t="s">
        <v>64</v>
      </c>
      <c r="AB3" s="86" t="s">
        <v>65</v>
      </c>
      <c r="AD3" s="86" t="s">
        <v>65</v>
      </c>
      <c r="AE3" s="86" t="s">
        <v>65</v>
      </c>
      <c r="AF3" s="260" t="s">
        <v>77</v>
      </c>
      <c r="AG3" s="260"/>
      <c r="AH3" s="260"/>
      <c r="AI3" s="260"/>
      <c r="AJ3" s="260" t="s">
        <v>80</v>
      </c>
      <c r="AK3" s="260"/>
      <c r="AL3" s="260"/>
      <c r="AM3" s="260"/>
      <c r="AN3" s="260" t="s">
        <v>92</v>
      </c>
      <c r="AO3" s="260"/>
      <c r="AP3" s="260"/>
      <c r="AQ3" s="260"/>
      <c r="AR3" s="260" t="s">
        <v>134</v>
      </c>
      <c r="AS3" s="260"/>
      <c r="AT3" s="260"/>
      <c r="AU3" s="260"/>
      <c r="AV3" s="260" t="s">
        <v>136</v>
      </c>
      <c r="AW3" s="260"/>
      <c r="AX3" s="260"/>
      <c r="AY3" s="260"/>
      <c r="AZ3" s="261" t="s">
        <v>137</v>
      </c>
      <c r="BA3" s="261"/>
      <c r="BB3" s="261"/>
      <c r="BC3" s="261"/>
      <c r="BD3" s="261" t="s">
        <v>138</v>
      </c>
      <c r="BE3" s="261"/>
      <c r="BF3" s="261"/>
      <c r="BG3" s="261"/>
      <c r="BH3" s="261" t="s">
        <v>139</v>
      </c>
      <c r="BI3" s="261"/>
      <c r="BJ3" s="261"/>
      <c r="BK3" s="261"/>
      <c r="BL3" s="261" t="s">
        <v>140</v>
      </c>
      <c r="BM3" s="261"/>
      <c r="BN3" s="261"/>
      <c r="BO3" s="261"/>
      <c r="BP3" s="261" t="s">
        <v>174</v>
      </c>
      <c r="BQ3" s="261"/>
      <c r="BR3" s="261"/>
      <c r="BS3" s="261"/>
      <c r="BT3" s="261" t="s">
        <v>175</v>
      </c>
      <c r="BU3" s="261"/>
      <c r="BV3" s="261"/>
    </row>
    <row r="4" spans="1:74" s="91" customFormat="1" ht="12" customHeight="1" x14ac:dyDescent="0.2">
      <c r="A4" s="88"/>
      <c r="B4" s="89" t="s">
        <v>48</v>
      </c>
      <c r="C4" s="89" t="s">
        <v>49</v>
      </c>
      <c r="D4" s="89" t="s">
        <v>46</v>
      </c>
      <c r="E4" s="89" t="s">
        <v>47</v>
      </c>
      <c r="F4" s="89" t="s">
        <v>48</v>
      </c>
      <c r="G4" s="89" t="s">
        <v>49</v>
      </c>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90" t="s">
        <v>47</v>
      </c>
      <c r="AP4" s="90" t="s">
        <v>48</v>
      </c>
      <c r="AQ4" s="90" t="s">
        <v>49</v>
      </c>
      <c r="AR4" s="90" t="s">
        <v>46</v>
      </c>
      <c r="AS4" s="90" t="s">
        <v>47</v>
      </c>
      <c r="AT4" s="90" t="s">
        <v>48</v>
      </c>
      <c r="AU4" s="90" t="s">
        <v>49</v>
      </c>
      <c r="AV4" s="90" t="s">
        <v>46</v>
      </c>
      <c r="AW4" s="90" t="s">
        <v>47</v>
      </c>
      <c r="AX4" s="90" t="s">
        <v>48</v>
      </c>
      <c r="AY4" s="90" t="s">
        <v>49</v>
      </c>
      <c r="AZ4" s="90" t="s">
        <v>46</v>
      </c>
      <c r="BA4" s="90" t="s">
        <v>47</v>
      </c>
      <c r="BB4" s="90" t="s">
        <v>48</v>
      </c>
      <c r="BC4" s="90" t="s">
        <v>49</v>
      </c>
      <c r="BD4" s="90" t="s">
        <v>46</v>
      </c>
      <c r="BE4" s="90" t="s">
        <v>47</v>
      </c>
      <c r="BF4" s="90" t="s">
        <v>48</v>
      </c>
      <c r="BG4" s="90" t="s">
        <v>49</v>
      </c>
      <c r="BH4" s="90" t="s">
        <v>46</v>
      </c>
      <c r="BI4" s="90" t="s">
        <v>47</v>
      </c>
      <c r="BJ4" s="90" t="s">
        <v>48</v>
      </c>
      <c r="BK4" s="90" t="s">
        <v>49</v>
      </c>
      <c r="BL4" s="90" t="s">
        <v>46</v>
      </c>
      <c r="BM4" s="90" t="s">
        <v>47</v>
      </c>
      <c r="BN4" s="90" t="s">
        <v>48</v>
      </c>
      <c r="BO4" s="90" t="s">
        <v>49</v>
      </c>
      <c r="BP4" s="90" t="s">
        <v>46</v>
      </c>
      <c r="BQ4" s="90" t="s">
        <v>47</v>
      </c>
      <c r="BR4" s="90" t="s">
        <v>48</v>
      </c>
      <c r="BS4" s="90" t="s">
        <v>49</v>
      </c>
      <c r="BT4" s="90" t="s">
        <v>46</v>
      </c>
      <c r="BU4" s="90" t="s">
        <v>47</v>
      </c>
      <c r="BV4" s="90" t="s">
        <v>48</v>
      </c>
    </row>
    <row r="5" spans="1:74" s="8" customFormat="1" ht="17.100000000000001" customHeight="1" x14ac:dyDescent="0.2">
      <c r="A5" s="112" t="s">
        <v>97</v>
      </c>
      <c r="B5" s="112" t="e">
        <v>#VALUE!</v>
      </c>
      <c r="C5" s="112" t="e">
        <v>#DIV/0!</v>
      </c>
      <c r="D5" s="112" t="e">
        <v>#DIV/0!</v>
      </c>
      <c r="E5" s="112" t="e">
        <v>#DIV/0!</v>
      </c>
      <c r="F5" s="112" t="e">
        <v>#DIV/0!</v>
      </c>
      <c r="G5" s="112" t="e">
        <v>#DIV/0!</v>
      </c>
      <c r="H5" s="112" t="e">
        <v>#DIV/0!</v>
      </c>
      <c r="I5" s="112">
        <v>1.3243857582167951</v>
      </c>
      <c r="J5" s="112">
        <v>5.803831182230434</v>
      </c>
      <c r="K5" s="112">
        <v>2.0222336061303983</v>
      </c>
      <c r="L5" s="112">
        <v>1.203828294494057</v>
      </c>
      <c r="M5" s="112">
        <v>2.5972694917613248</v>
      </c>
      <c r="N5" s="112">
        <v>2.2531976855202629</v>
      </c>
      <c r="O5" s="112">
        <v>-3.1590458235294134</v>
      </c>
      <c r="P5" s="112">
        <v>3.7070941706429745</v>
      </c>
      <c r="Q5" s="112">
        <v>-2.5602056714968189</v>
      </c>
      <c r="R5" s="112">
        <v>2.7670823607853969</v>
      </c>
      <c r="S5" s="112">
        <v>0.99414175889130763</v>
      </c>
      <c r="T5" s="112">
        <v>4.087245029021255</v>
      </c>
      <c r="U5" s="112">
        <v>-4.3863552405433515</v>
      </c>
      <c r="V5" s="112">
        <v>9.5047172771445781E-2</v>
      </c>
      <c r="W5" s="112">
        <v>-1.7100511532895224</v>
      </c>
      <c r="X5" s="112">
        <v>4.2222874083501774</v>
      </c>
      <c r="Y5" s="112">
        <v>-1.8304732426207633</v>
      </c>
      <c r="Z5" s="112">
        <v>5.9716096888118484</v>
      </c>
      <c r="AA5" s="112">
        <v>4.4142547299002723</v>
      </c>
      <c r="AB5" s="112">
        <v>-3.5091846461837997</v>
      </c>
      <c r="AC5" s="112">
        <v>4.112901812777193</v>
      </c>
      <c r="AD5" s="112">
        <v>0.97561911818639546</v>
      </c>
      <c r="AE5" s="112">
        <v>2.4537185712327156</v>
      </c>
      <c r="AF5" s="112">
        <v>1.4620018820307694</v>
      </c>
      <c r="AG5" s="112">
        <v>0.54947360243280707</v>
      </c>
      <c r="AH5" s="112">
        <v>-3.2220419171144634</v>
      </c>
      <c r="AI5" s="112">
        <v>1.2841621139416297</v>
      </c>
      <c r="AJ5" s="112">
        <v>0.83239308103601573</v>
      </c>
      <c r="AK5" s="112">
        <v>1.4978379139610691</v>
      </c>
      <c r="AL5" s="112">
        <v>3.020862429915439</v>
      </c>
      <c r="AM5" s="112">
        <v>0.96962077675152858</v>
      </c>
      <c r="AN5" s="112">
        <v>1.4096174609220775</v>
      </c>
      <c r="AO5" s="112">
        <v>0.95852185714253602</v>
      </c>
      <c r="AP5" s="112">
        <v>2.3642920522684743</v>
      </c>
      <c r="AQ5" s="112">
        <v>0.7392990543409117</v>
      </c>
      <c r="AR5" s="112">
        <v>1.6833459305312388</v>
      </c>
      <c r="AS5" s="112">
        <v>0.67788171301679356</v>
      </c>
      <c r="AT5" s="112">
        <v>4.7183604166448383</v>
      </c>
      <c r="AU5" s="112">
        <v>-0.51606042001458341</v>
      </c>
      <c r="AV5" s="112">
        <v>2.7835341383885948</v>
      </c>
      <c r="AW5" s="112">
        <v>1.2339329948722693</v>
      </c>
      <c r="AX5" s="112">
        <v>-2.2194992523079722</v>
      </c>
      <c r="AY5" s="112">
        <v>-7.1197978261993402</v>
      </c>
      <c r="AZ5" s="112">
        <v>7.4621280923681397</v>
      </c>
      <c r="BA5" s="112">
        <v>2.4351986059344068</v>
      </c>
      <c r="BB5" s="112">
        <v>0.77831284455368421</v>
      </c>
      <c r="BC5" s="112">
        <v>1.1699337550039306</v>
      </c>
      <c r="BD5" s="112">
        <v>-1.9991801601972474</v>
      </c>
      <c r="BE5" s="112">
        <v>4.9359917178985109</v>
      </c>
      <c r="BF5" s="112">
        <v>2.2192564974707056</v>
      </c>
      <c r="BG5" s="112">
        <v>0.38232369925883625</v>
      </c>
      <c r="BH5" s="112">
        <v>0.97334385089123143</v>
      </c>
      <c r="BI5" s="112">
        <v>0.94972823516951721</v>
      </c>
      <c r="BJ5" s="112">
        <v>-2.1375292072368046E-2</v>
      </c>
      <c r="BK5" s="112">
        <v>3.2791841688571077</v>
      </c>
      <c r="BL5" s="112">
        <v>1.2991837444564669</v>
      </c>
      <c r="BM5" s="112">
        <v>1.3643908149901993</v>
      </c>
      <c r="BN5" s="112">
        <v>1.0354276379122671</v>
      </c>
      <c r="BO5" s="112">
        <v>1.6374266873781593</v>
      </c>
      <c r="BP5" s="112">
        <v>2.1458545764824466</v>
      </c>
      <c r="BQ5" s="112">
        <v>0.51845911815008261</v>
      </c>
      <c r="BR5" s="112">
        <v>3.7173547957292237</v>
      </c>
      <c r="BS5" s="112">
        <v>-0.92665304197946097</v>
      </c>
      <c r="BT5" s="112">
        <v>1.9545609514091515</v>
      </c>
      <c r="BU5" s="112">
        <v>3.5624392076006353</v>
      </c>
      <c r="BV5" s="112">
        <v>1.2140564149031245</v>
      </c>
    </row>
    <row r="6" spans="1:74" s="163" customFormat="1" ht="17.100000000000001" customHeight="1" x14ac:dyDescent="0.2">
      <c r="A6" s="160" t="s">
        <v>96</v>
      </c>
      <c r="B6" s="170" t="e">
        <v>#VALUE!</v>
      </c>
      <c r="C6" s="170" t="e">
        <v>#DIV/0!</v>
      </c>
      <c r="D6" s="170" t="e">
        <v>#DIV/0!</v>
      </c>
      <c r="E6" s="170" t="e">
        <v>#DIV/0!</v>
      </c>
      <c r="F6" s="170" t="e">
        <v>#DIV/0!</v>
      </c>
      <c r="G6" s="170" t="e">
        <v>#DIV/0!</v>
      </c>
      <c r="H6" s="170" t="e">
        <v>#DIV/0!</v>
      </c>
      <c r="I6" s="170">
        <v>-0.20677489603710794</v>
      </c>
      <c r="J6" s="170">
        <v>0.24670512904530176</v>
      </c>
      <c r="K6" s="170">
        <v>1.5077175017719864</v>
      </c>
      <c r="L6" s="170">
        <v>-1.1773584780040998</v>
      </c>
      <c r="M6" s="170">
        <v>0.19583259511782217</v>
      </c>
      <c r="N6" s="170">
        <v>1.4563249889515781</v>
      </c>
      <c r="O6" s="170">
        <v>-6.8350839194185845E-2</v>
      </c>
      <c r="P6" s="170">
        <v>1.3514896609264762</v>
      </c>
      <c r="Q6" s="170">
        <v>-2.512304312041449</v>
      </c>
      <c r="R6" s="170">
        <v>-0.6576281327207818</v>
      </c>
      <c r="S6" s="170">
        <v>0.36746942368414626</v>
      </c>
      <c r="T6" s="170">
        <v>2.8670911800933134</v>
      </c>
      <c r="U6" s="170">
        <v>-2.7273036711304988</v>
      </c>
      <c r="V6" s="170">
        <v>0.35450798542095757</v>
      </c>
      <c r="W6" s="170">
        <v>-1.5568995599292152</v>
      </c>
      <c r="X6" s="170">
        <v>4.3072021663240774</v>
      </c>
      <c r="Y6" s="170">
        <v>-2.8447116479572081</v>
      </c>
      <c r="Z6" s="170">
        <v>0.47242911188344527</v>
      </c>
      <c r="AA6" s="170">
        <v>0.85910879490999648</v>
      </c>
      <c r="AB6" s="170">
        <v>0.27441597497152193</v>
      </c>
      <c r="AC6" s="170">
        <v>0.86488377106813397</v>
      </c>
      <c r="AD6" s="170">
        <v>-0.72290379800226212</v>
      </c>
      <c r="AE6" s="170">
        <v>0.59368590726555315</v>
      </c>
      <c r="AF6" s="170">
        <v>-0.15241028783374364</v>
      </c>
      <c r="AG6" s="170">
        <v>0.34933067655169592</v>
      </c>
      <c r="AH6" s="170">
        <v>1.1516155802133357</v>
      </c>
      <c r="AI6" s="170">
        <v>-1.1109410580086643</v>
      </c>
      <c r="AJ6" s="170">
        <v>-0.224702141402082</v>
      </c>
      <c r="AK6" s="170">
        <v>0.95350942556907581</v>
      </c>
      <c r="AL6" s="170">
        <v>0.81151128237255377</v>
      </c>
      <c r="AM6" s="170">
        <v>-0.13485988642287097</v>
      </c>
      <c r="AN6" s="170">
        <v>0.28153143666663472</v>
      </c>
      <c r="AO6" s="170">
        <v>-0.32155955341559234</v>
      </c>
      <c r="AP6" s="170">
        <v>1.2408480920960072</v>
      </c>
      <c r="AQ6" s="170">
        <v>-0.78152042793716447</v>
      </c>
      <c r="AR6" s="170">
        <v>0.40330297216606481</v>
      </c>
      <c r="AS6" s="170">
        <v>1.4957642412117662E-3</v>
      </c>
      <c r="AT6" s="170">
        <v>2.497825892676186</v>
      </c>
      <c r="AU6" s="170">
        <v>-1.0857994597926091</v>
      </c>
      <c r="AV6" s="170">
        <v>-2.5270030432450769E-2</v>
      </c>
      <c r="AW6" s="170">
        <v>0.33628248246701309</v>
      </c>
      <c r="AX6" s="170">
        <v>0.4972583808492943</v>
      </c>
      <c r="AY6" s="170">
        <v>0.45014440814205908</v>
      </c>
      <c r="AZ6" s="170">
        <v>-0.10044817561032167</v>
      </c>
      <c r="BA6" s="170">
        <v>0.7923286270000145</v>
      </c>
      <c r="BB6" s="170">
        <v>-0.89803607503780403</v>
      </c>
      <c r="BC6" s="170">
        <v>0.36068468312369678</v>
      </c>
      <c r="BD6" s="170">
        <v>0.80690484594981471</v>
      </c>
      <c r="BE6" s="170">
        <v>-0.85132152474513212</v>
      </c>
      <c r="BF6" s="170">
        <v>1.1802206978093341</v>
      </c>
      <c r="BG6" s="170">
        <v>1.1919435373664591</v>
      </c>
      <c r="BH6" s="170">
        <v>-0.88957565511565884</v>
      </c>
      <c r="BI6" s="170">
        <v>1.0444170835151458</v>
      </c>
      <c r="BJ6" s="170">
        <v>-0.36152918643435411</v>
      </c>
      <c r="BK6" s="170">
        <v>-0.35255131627807429</v>
      </c>
      <c r="BL6" s="170">
        <v>0.9081967614763804</v>
      </c>
      <c r="BM6" s="170">
        <v>0.1840442347511507</v>
      </c>
      <c r="BN6" s="170">
        <v>0.48646379563780989</v>
      </c>
      <c r="BO6" s="170">
        <v>0.74051018312722883</v>
      </c>
      <c r="BP6" s="170">
        <v>0.12448862384016104</v>
      </c>
      <c r="BQ6" s="170">
        <v>0.27599618363901129</v>
      </c>
      <c r="BR6" s="170">
        <v>0.88629970518871815</v>
      </c>
      <c r="BS6" s="170">
        <v>-0.46702636126880454</v>
      </c>
      <c r="BT6" s="170">
        <v>0.33214053158759016</v>
      </c>
      <c r="BU6" s="170">
        <v>1.1789093638707411</v>
      </c>
      <c r="BV6" s="170">
        <v>-0.31099333102690996</v>
      </c>
    </row>
    <row r="7" spans="1:74" ht="17.100000000000001" customHeight="1" x14ac:dyDescent="0.2">
      <c r="A7" s="70" t="s">
        <v>1</v>
      </c>
      <c r="B7" s="70" t="e">
        <v>#VALUE!</v>
      </c>
      <c r="C7" s="70" t="e">
        <v>#DIV/0!</v>
      </c>
      <c r="D7" s="70" t="e">
        <v>#DIV/0!</v>
      </c>
      <c r="E7" s="70" t="e">
        <v>#DIV/0!</v>
      </c>
      <c r="F7" s="70" t="e">
        <v>#DIV/0!</v>
      </c>
      <c r="G7" s="70" t="e">
        <v>#DIV/0!</v>
      </c>
      <c r="H7" s="70" t="e">
        <v>#DIV/0!</v>
      </c>
      <c r="I7" s="70">
        <v>-5.6769453512344456E-2</v>
      </c>
      <c r="J7" s="70">
        <v>-0.60324099391326758</v>
      </c>
      <c r="K7" s="70">
        <v>1.0013169038579885</v>
      </c>
      <c r="L7" s="70">
        <v>-0.58538362754798445</v>
      </c>
      <c r="M7" s="70">
        <v>-1.3096192734605584E-2</v>
      </c>
      <c r="N7" s="70">
        <v>0.35533939737749892</v>
      </c>
      <c r="O7" s="70">
        <v>-0.11699237280288002</v>
      </c>
      <c r="P7" s="70">
        <v>0.27808189698476854</v>
      </c>
      <c r="Q7" s="70">
        <v>-0.13205118269112345</v>
      </c>
      <c r="R7" s="70">
        <v>-0.18955981031407163</v>
      </c>
      <c r="S7" s="70">
        <v>0.1518676074800058</v>
      </c>
      <c r="T7" s="70">
        <v>-0.10500347959935478</v>
      </c>
      <c r="U7" s="70">
        <v>5.9857527194996152E-2</v>
      </c>
      <c r="V7" s="70">
        <v>0.15321789136933125</v>
      </c>
      <c r="W7" s="70">
        <v>-3.1456512842125764E-2</v>
      </c>
      <c r="X7" s="70">
        <v>-9.5092362934690502E-3</v>
      </c>
      <c r="Y7" s="70">
        <v>6.5339671164460614E-2</v>
      </c>
      <c r="Z7" s="70">
        <v>-0.25983520454547615</v>
      </c>
      <c r="AA7" s="70">
        <v>4.456808722752835E-2</v>
      </c>
      <c r="AB7" s="70">
        <v>5.5450311216147179E-2</v>
      </c>
      <c r="AC7" s="70">
        <v>-5.5897446698767485E-2</v>
      </c>
      <c r="AD7" s="70">
        <v>0.2392453190466077</v>
      </c>
      <c r="AE7" s="70">
        <v>7.1725452467285858E-2</v>
      </c>
      <c r="AF7" s="70">
        <v>8.0354932677760532E-2</v>
      </c>
      <c r="AG7" s="70">
        <v>-0.11648174919908798</v>
      </c>
      <c r="AH7" s="70">
        <v>1.0650419872804615E-2</v>
      </c>
      <c r="AI7" s="70">
        <v>4.0245497200029554E-2</v>
      </c>
      <c r="AJ7" s="70">
        <v>-0.3175523335159508</v>
      </c>
      <c r="AK7" s="70">
        <v>0.78559042841743632</v>
      </c>
      <c r="AL7" s="70">
        <v>-0.20955549292138795</v>
      </c>
      <c r="AM7" s="70">
        <v>0.128072656952362</v>
      </c>
      <c r="AN7" s="70">
        <v>7.0371997012432422E-2</v>
      </c>
      <c r="AO7" s="70">
        <v>-0.13734393273103571</v>
      </c>
      <c r="AP7" s="70">
        <v>-2.1236294156567758E-2</v>
      </c>
      <c r="AQ7" s="70">
        <v>-4.0420916165982831E-3</v>
      </c>
      <c r="AR7" s="70">
        <v>0.15480291704778223</v>
      </c>
      <c r="AS7" s="70">
        <v>-9.6455877104309317E-3</v>
      </c>
      <c r="AT7" s="70">
        <v>-0.10212894896984813</v>
      </c>
      <c r="AU7" s="70">
        <v>0.22359521761818932</v>
      </c>
      <c r="AV7" s="70">
        <v>-6.0612018305585533E-2</v>
      </c>
      <c r="AW7" s="70">
        <v>0.12847509398974227</v>
      </c>
      <c r="AX7" s="70">
        <v>0.10160518818968479</v>
      </c>
      <c r="AY7" s="70">
        <v>-0.11776805383535351</v>
      </c>
      <c r="AZ7" s="70">
        <v>3.5847410525151689E-2</v>
      </c>
      <c r="BA7" s="70">
        <v>0.28229403795853303</v>
      </c>
      <c r="BB7" s="70">
        <v>0.1033229997374993</v>
      </c>
      <c r="BC7" s="70">
        <v>2.2921991818122753E-2</v>
      </c>
      <c r="BD7" s="70">
        <v>0.10189139986083072</v>
      </c>
      <c r="BE7" s="70">
        <v>-5.6758016124036428E-2</v>
      </c>
      <c r="BF7" s="70">
        <v>-0.21077600773953967</v>
      </c>
      <c r="BG7" s="70">
        <v>0.22254678417337356</v>
      </c>
      <c r="BH7" s="70">
        <v>-6.4080616948627746E-3</v>
      </c>
      <c r="BI7" s="70">
        <v>-0.11406014546832242</v>
      </c>
      <c r="BJ7" s="70">
        <v>8.5302801046559809E-2</v>
      </c>
      <c r="BK7" s="70">
        <v>5.5528002103206388E-2</v>
      </c>
      <c r="BL7" s="70">
        <v>0.11069349826441244</v>
      </c>
      <c r="BM7" s="70">
        <v>0.15701281975517076</v>
      </c>
      <c r="BN7" s="70">
        <v>0.11277767359895136</v>
      </c>
      <c r="BO7" s="70">
        <v>-0.15710958471186071</v>
      </c>
      <c r="BP7" s="70">
        <v>0.31669329253780126</v>
      </c>
      <c r="BQ7" s="70">
        <v>-2.4086943179015331E-3</v>
      </c>
      <c r="BR7" s="70">
        <v>0.10632671185450848</v>
      </c>
      <c r="BS7" s="70">
        <v>-0.18704080176311189</v>
      </c>
      <c r="BT7" s="70">
        <v>0.29140984241177076</v>
      </c>
      <c r="BU7" s="70">
        <v>0.14390107108057093</v>
      </c>
      <c r="BV7" s="70">
        <v>-1.1186432360446582E-2</v>
      </c>
    </row>
    <row r="8" spans="1:74" ht="17.100000000000001" customHeight="1" x14ac:dyDescent="0.2">
      <c r="A8" s="70" t="s">
        <v>2</v>
      </c>
      <c r="B8" s="70" t="e">
        <v>#VALUE!</v>
      </c>
      <c r="C8" s="70" t="e">
        <v>#DIV/0!</v>
      </c>
      <c r="D8" s="70" t="e">
        <v>#DIV/0!</v>
      </c>
      <c r="E8" s="70" t="e">
        <v>#DIV/0!</v>
      </c>
      <c r="F8" s="70" t="e">
        <v>#DIV/0!</v>
      </c>
      <c r="G8" s="70" t="e">
        <v>#DIV/0!</v>
      </c>
      <c r="H8" s="70" t="e">
        <v>#DIV/0!</v>
      </c>
      <c r="I8" s="70">
        <v>0.10899100479290931</v>
      </c>
      <c r="J8" s="70">
        <v>0.26948482111937994</v>
      </c>
      <c r="K8" s="70">
        <v>5.972807717775315E-2</v>
      </c>
      <c r="L8" s="70">
        <v>-0.48430768640720717</v>
      </c>
      <c r="M8" s="70">
        <v>0.24551152382109226</v>
      </c>
      <c r="N8" s="70">
        <v>1.0063467342938057</v>
      </c>
      <c r="O8" s="70">
        <v>0.18173189002363116</v>
      </c>
      <c r="P8" s="70">
        <v>-0.68202218441797102</v>
      </c>
      <c r="Q8" s="70">
        <v>0.43668107630528924</v>
      </c>
      <c r="R8" s="70">
        <v>-1.647784007875231</v>
      </c>
      <c r="S8" s="70">
        <v>9.0128740974582504E-3</v>
      </c>
      <c r="T8" s="70">
        <v>2.8234397908076749</v>
      </c>
      <c r="U8" s="70">
        <v>-3.3600590833361395</v>
      </c>
      <c r="V8" s="70">
        <v>5.3074056676142817E-2</v>
      </c>
      <c r="W8" s="70">
        <v>-0.22762311917018746</v>
      </c>
      <c r="X8" s="70">
        <v>3.2746403949687419</v>
      </c>
      <c r="Y8" s="70">
        <v>-3.1249135876452856</v>
      </c>
      <c r="Z8" s="70">
        <v>1.1629416990235426</v>
      </c>
      <c r="AA8" s="70">
        <v>0.65882192152092978</v>
      </c>
      <c r="AB8" s="70">
        <v>-3.2839066293863337E-2</v>
      </c>
      <c r="AC8" s="70">
        <v>1.163575528922123</v>
      </c>
      <c r="AD8" s="70">
        <v>-1.0912907314839959</v>
      </c>
      <c r="AE8" s="70">
        <v>0.26221175516309436</v>
      </c>
      <c r="AF8" s="70">
        <v>-9.3254579474073826E-2</v>
      </c>
      <c r="AG8" s="70">
        <v>0.6601065064487277</v>
      </c>
      <c r="AH8" s="70">
        <v>-0.14390889297857426</v>
      </c>
      <c r="AI8" s="70">
        <v>-0.27102202405208675</v>
      </c>
      <c r="AJ8" s="70">
        <v>-6.9836127034889339E-2</v>
      </c>
      <c r="AK8" s="70">
        <v>0.10947378987844585</v>
      </c>
      <c r="AL8" s="70">
        <v>0.98309636323368099</v>
      </c>
      <c r="AM8" s="70">
        <v>-0.19898771753832678</v>
      </c>
      <c r="AN8" s="70">
        <v>0.37032979434827401</v>
      </c>
      <c r="AO8" s="70">
        <v>-2.2352083019253007E-2</v>
      </c>
      <c r="AP8" s="70">
        <v>1.1604618301628979</v>
      </c>
      <c r="AQ8" s="70">
        <v>-1.1172640269696059</v>
      </c>
      <c r="AR8" s="70">
        <v>-5.5152103291698021E-3</v>
      </c>
      <c r="AS8" s="70">
        <v>-0.24766528678961014</v>
      </c>
      <c r="AT8" s="70">
        <v>2.3541590839480859</v>
      </c>
      <c r="AU8" s="70">
        <v>-1.5079841816965827</v>
      </c>
      <c r="AV8" s="70">
        <v>-7.2350728651760177E-2</v>
      </c>
      <c r="AW8" s="70">
        <v>0.21427236827384011</v>
      </c>
      <c r="AX8" s="70">
        <v>0.52168406119798894</v>
      </c>
      <c r="AY8" s="70">
        <v>0.61894989647265264</v>
      </c>
      <c r="AZ8" s="70">
        <v>-0.2504274231145644</v>
      </c>
      <c r="BA8" s="70">
        <v>0.10458253799500011</v>
      </c>
      <c r="BB8" s="70">
        <v>-0.77026450262915969</v>
      </c>
      <c r="BC8" s="70">
        <v>0.32104844300568891</v>
      </c>
      <c r="BD8" s="70">
        <v>0.38755173531990178</v>
      </c>
      <c r="BE8" s="70">
        <v>-0.67236290976749824</v>
      </c>
      <c r="BF8" s="70">
        <v>1.1445425243046838</v>
      </c>
      <c r="BG8" s="70">
        <v>0.83706940104223837</v>
      </c>
      <c r="BH8" s="70">
        <v>-0.52529641528006488</v>
      </c>
      <c r="BI8" s="70">
        <v>0.49073318252099679</v>
      </c>
      <c r="BJ8" s="70">
        <v>-0.90994468736474343</v>
      </c>
      <c r="BK8" s="70">
        <v>5.6118188001909181E-2</v>
      </c>
      <c r="BL8" s="70">
        <v>0.84496796261793738</v>
      </c>
      <c r="BM8" s="70">
        <v>-0.14788654649195968</v>
      </c>
      <c r="BN8" s="70">
        <v>0.26255367727978801</v>
      </c>
      <c r="BO8" s="70">
        <v>0.26701549761963767</v>
      </c>
      <c r="BP8" s="70">
        <v>0.25396570135430591</v>
      </c>
      <c r="BQ8" s="70">
        <v>-9.4525981450384086E-2</v>
      </c>
      <c r="BR8" s="70">
        <v>8.2208378385495995E-2</v>
      </c>
      <c r="BS8" s="70">
        <v>5.3398670377657366E-2</v>
      </c>
      <c r="BT8" s="70">
        <v>-0.10868887001196248</v>
      </c>
      <c r="BU8" s="70">
        <v>0.81097233707084437</v>
      </c>
      <c r="BV8" s="70">
        <v>-0.11599154760367295</v>
      </c>
    </row>
    <row r="9" spans="1:74" ht="17.100000000000001" customHeight="1" x14ac:dyDescent="0.2">
      <c r="A9" s="70" t="s">
        <v>3</v>
      </c>
      <c r="B9" s="70" t="e">
        <v>#VALUE!</v>
      </c>
      <c r="C9" s="70" t="e">
        <v>#DIV/0!</v>
      </c>
      <c r="D9" s="70" t="e">
        <v>#DIV/0!</v>
      </c>
      <c r="E9" s="70" t="e">
        <v>#DIV/0!</v>
      </c>
      <c r="F9" s="70" t="e">
        <v>#DIV/0!</v>
      </c>
      <c r="G9" s="70" t="e">
        <v>#DIV/0!</v>
      </c>
      <c r="H9" s="70" t="e">
        <v>#DIV/0!</v>
      </c>
      <c r="I9" s="70">
        <v>5.2099768628155345E-2</v>
      </c>
      <c r="J9" s="70">
        <v>3.6095708488989568E-2</v>
      </c>
      <c r="K9" s="70">
        <v>8.2193855900652146E-3</v>
      </c>
      <c r="L9" s="70">
        <v>1.5972558218632318E-2</v>
      </c>
      <c r="M9" s="70">
        <v>1.4617043191206979E-2</v>
      </c>
      <c r="N9" s="70">
        <v>9.0803030973248058E-3</v>
      </c>
      <c r="O9" s="70">
        <v>2.4896582906457174E-2</v>
      </c>
      <c r="P9" s="70">
        <v>2.3934320953751725E-2</v>
      </c>
      <c r="Q9" s="70">
        <v>1.6635955097871729E-2</v>
      </c>
      <c r="R9" s="70">
        <v>1.099787694388487E-2</v>
      </c>
      <c r="S9" s="70">
        <v>1.2106423493665712E-2</v>
      </c>
      <c r="T9" s="70">
        <v>-2.208358411374246E-2</v>
      </c>
      <c r="U9" s="70">
        <v>-1.6322668200674413E-2</v>
      </c>
      <c r="V9" s="70">
        <v>0.18792196844421388</v>
      </c>
      <c r="W9" s="70">
        <v>-5.1849826752363411E-3</v>
      </c>
      <c r="X9" s="70">
        <v>-4.4411365657462364E-3</v>
      </c>
      <c r="Y9" s="70">
        <v>1.6645293737150617E-2</v>
      </c>
      <c r="Z9" s="70">
        <v>-2.2292924192934015E-2</v>
      </c>
      <c r="AA9" s="70">
        <v>1.2820105231698992E-2</v>
      </c>
      <c r="AB9" s="70">
        <v>4.60260037668212E-2</v>
      </c>
      <c r="AC9" s="70">
        <v>2.6267030421487342E-2</v>
      </c>
      <c r="AD9" s="70">
        <v>2.7803957800572557E-2</v>
      </c>
      <c r="AE9" s="70">
        <v>1.2438321131494913E-2</v>
      </c>
      <c r="AF9" s="70">
        <v>-2.8341518478737341E-4</v>
      </c>
      <c r="AG9" s="70">
        <v>2.0361259713594353E-2</v>
      </c>
      <c r="AH9" s="70">
        <v>3.3209408949958996E-2</v>
      </c>
      <c r="AI9" s="70">
        <v>7.6673591406868469E-2</v>
      </c>
      <c r="AJ9" s="70">
        <v>3.2157500358014603E-2</v>
      </c>
      <c r="AK9" s="70">
        <v>7.1294157846490305E-2</v>
      </c>
      <c r="AL9" s="70">
        <v>5.584366550715255E-2</v>
      </c>
      <c r="AM9" s="70">
        <v>5.0421813495063104E-2</v>
      </c>
      <c r="AN9" s="70">
        <v>6.4298317921021766E-2</v>
      </c>
      <c r="AO9" s="70">
        <v>2.7319784404779588E-2</v>
      </c>
      <c r="AP9" s="70">
        <v>6.7774516509656213E-2</v>
      </c>
      <c r="AQ9" s="70">
        <v>3.9688326529338562E-2</v>
      </c>
      <c r="AR9" s="70">
        <v>6.2628686511243467E-2</v>
      </c>
      <c r="AS9" s="70">
        <v>5.9785214754060283E-2</v>
      </c>
      <c r="AT9" s="70">
        <v>5.0121145135935942E-2</v>
      </c>
      <c r="AU9" s="70">
        <v>6.7898161717442895E-2</v>
      </c>
      <c r="AV9" s="70">
        <v>5.7191985303002284E-2</v>
      </c>
      <c r="AW9" s="70">
        <v>6.1230133910571471E-2</v>
      </c>
      <c r="AX9" s="70">
        <v>6.120751258638555E-2</v>
      </c>
      <c r="AY9" s="70">
        <v>5.2538647806999815E-2</v>
      </c>
      <c r="AZ9" s="70">
        <v>6.38848392749293E-2</v>
      </c>
      <c r="BA9" s="70">
        <v>6.7056590853786929E-2</v>
      </c>
      <c r="BB9" s="70">
        <v>7.0285243125582209E-2</v>
      </c>
      <c r="BC9" s="70">
        <v>7.2167241562895793E-2</v>
      </c>
      <c r="BD9" s="70">
        <v>6.5997148528318589E-2</v>
      </c>
      <c r="BE9" s="70">
        <v>6.5594692461534668E-2</v>
      </c>
      <c r="BF9" s="70">
        <v>7.1491984919920065E-2</v>
      </c>
      <c r="BG9" s="70">
        <v>7.9628705627056956E-2</v>
      </c>
      <c r="BH9" s="70">
        <v>8.0432587990746804E-2</v>
      </c>
      <c r="BI9" s="70">
        <v>6.9514378370548691E-2</v>
      </c>
      <c r="BJ9" s="70">
        <v>9.6596484919301756E-2</v>
      </c>
      <c r="BK9" s="70">
        <v>3.7116895683872379E-2</v>
      </c>
      <c r="BL9" s="70">
        <v>7.0152227838276154E-2</v>
      </c>
      <c r="BM9" s="70">
        <v>7.9027478981788316E-2</v>
      </c>
      <c r="BN9" s="70">
        <v>7.2333512694774019E-2</v>
      </c>
      <c r="BO9" s="70">
        <v>7.8277091451084954E-2</v>
      </c>
      <c r="BP9" s="70">
        <v>7.2947845297248681E-2</v>
      </c>
      <c r="BQ9" s="70">
        <v>8.4491869620903465E-2</v>
      </c>
      <c r="BR9" s="70">
        <v>9.298778109993483E-2</v>
      </c>
      <c r="BS9" s="70">
        <v>6.898517921547867E-2</v>
      </c>
      <c r="BT9" s="70">
        <v>9.1469275938621808E-2</v>
      </c>
      <c r="BU9" s="70">
        <v>8.5435369739393849E-2</v>
      </c>
      <c r="BV9" s="70">
        <v>-1.0364460333740092E-3</v>
      </c>
    </row>
    <row r="10" spans="1:74" ht="17.100000000000001" customHeight="1" x14ac:dyDescent="0.2">
      <c r="A10" s="70" t="s">
        <v>4</v>
      </c>
      <c r="B10" s="70" t="e">
        <v>#VALUE!</v>
      </c>
      <c r="C10" s="70" t="e">
        <v>#DIV/0!</v>
      </c>
      <c r="D10" s="70" t="e">
        <v>#DIV/0!</v>
      </c>
      <c r="E10" s="70" t="e">
        <v>#DIV/0!</v>
      </c>
      <c r="F10" s="70" t="e">
        <v>#DIV/0!</v>
      </c>
      <c r="G10" s="70" t="e">
        <v>#DIV/0!</v>
      </c>
      <c r="H10" s="70" t="e">
        <v>#DIV/0!</v>
      </c>
      <c r="I10" s="70">
        <v>6.6915073508047802E-4</v>
      </c>
      <c r="J10" s="70">
        <v>1.1213698077529996E-3</v>
      </c>
      <c r="K10" s="70">
        <v>1.2142062283760264E-5</v>
      </c>
      <c r="L10" s="70">
        <v>1.6804182642343119E-4</v>
      </c>
      <c r="M10" s="70">
        <v>-1.7392635231785114E-4</v>
      </c>
      <c r="N10" s="70">
        <v>-2.4527748896585068E-4</v>
      </c>
      <c r="O10" s="70">
        <v>-8.256332483742568E-4</v>
      </c>
      <c r="P10" s="70">
        <v>-1.2021152770641402E-3</v>
      </c>
      <c r="Q10" s="70">
        <v>-4.4283824831516908E-4</v>
      </c>
      <c r="R10" s="70">
        <v>5.1554850280282497E-5</v>
      </c>
      <c r="S10" s="70">
        <v>2.5367973716893888E-4</v>
      </c>
      <c r="T10" s="70">
        <v>8.3472010301736542E-4</v>
      </c>
      <c r="U10" s="70">
        <v>3.2643866563579206E-4</v>
      </c>
      <c r="V10" s="70">
        <v>1.3663363352133822E-4</v>
      </c>
      <c r="W10" s="70">
        <v>-1.0708074289658232E-4</v>
      </c>
      <c r="X10" s="70">
        <v>-5.6922316000403107E-4</v>
      </c>
      <c r="Y10" s="70">
        <v>9.6630549202692548E-5</v>
      </c>
      <c r="Z10" s="70">
        <v>4.2403937881484643E-4</v>
      </c>
      <c r="AA10" s="70">
        <v>8.6574518459258385E-4</v>
      </c>
      <c r="AB10" s="70">
        <v>1.2438688979101969E-3</v>
      </c>
      <c r="AC10" s="70">
        <v>4.6852352123699295E-4</v>
      </c>
      <c r="AD10" s="70">
        <v>2.6758916670545694E-4</v>
      </c>
      <c r="AE10" s="70">
        <v>-7.8334100022573936E-5</v>
      </c>
      <c r="AF10" s="70">
        <v>-7.7288855047463344E-4</v>
      </c>
      <c r="AG10" s="70">
        <v>-4.0688208678677786E-4</v>
      </c>
      <c r="AH10" s="70">
        <v>-5.0172304987872251E-5</v>
      </c>
      <c r="AI10" s="70">
        <v>2.3274016558573422E-4</v>
      </c>
      <c r="AJ10" s="70">
        <v>4.6441974164777692E-4</v>
      </c>
      <c r="AK10" s="70">
        <v>1.3090237862014556E-4</v>
      </c>
      <c r="AL10" s="70">
        <v>-5.5477425796633931E-5</v>
      </c>
      <c r="AM10" s="70">
        <v>2.8252088511930725E-4</v>
      </c>
      <c r="AN10" s="70">
        <v>-3.6660580545968256E-4</v>
      </c>
      <c r="AO10" s="70">
        <v>-9.9070641271235371E-5</v>
      </c>
      <c r="AP10" s="70">
        <v>-1.6033552548441176E-4</v>
      </c>
      <c r="AQ10" s="70">
        <v>8.3758508736961573E-4</v>
      </c>
      <c r="AR10" s="70">
        <v>1.5724794675543012E-5</v>
      </c>
      <c r="AS10" s="70">
        <v>5.7443615016346359E-4</v>
      </c>
      <c r="AT10" s="70">
        <v>-4.0922307292767226E-4</v>
      </c>
      <c r="AU10" s="70">
        <v>1.897722930740753E-3</v>
      </c>
      <c r="AV10" s="70">
        <v>2.4351269609962058E-4</v>
      </c>
      <c r="AW10" s="70">
        <v>1.3027823816616987E-3</v>
      </c>
      <c r="AX10" s="70">
        <v>-3.7781459818016063E-3</v>
      </c>
      <c r="AY10" s="70">
        <v>2.9212576261385809E-4</v>
      </c>
      <c r="AZ10" s="70">
        <v>1.1955330384153719E-3</v>
      </c>
      <c r="BA10" s="70">
        <v>8.6737950847121776E-4</v>
      </c>
      <c r="BB10" s="70">
        <v>8.274074746635738E-4</v>
      </c>
      <c r="BC10" s="70">
        <v>-4.5037866534788164E-4</v>
      </c>
      <c r="BD10" s="70">
        <v>-1.4102709039288968E-4</v>
      </c>
      <c r="BE10" s="70">
        <v>9.0358169021669224E-5</v>
      </c>
      <c r="BF10" s="70">
        <v>7.372752966314964E-4</v>
      </c>
      <c r="BG10" s="70">
        <v>-2.559330085708012E-4</v>
      </c>
      <c r="BH10" s="70">
        <v>-1.0568849988282595E-4</v>
      </c>
      <c r="BI10" s="70">
        <v>2.3423284244972984E-4</v>
      </c>
      <c r="BJ10" s="70">
        <v>-4.7182400117987594E-5</v>
      </c>
      <c r="BK10" s="70">
        <v>8.2391178140759012E-5</v>
      </c>
      <c r="BL10" s="70">
        <v>5.4373093404410722E-4</v>
      </c>
      <c r="BM10" s="70">
        <v>4.6121976863953051E-4</v>
      </c>
      <c r="BN10" s="70">
        <v>-1.0101238829999532E-4</v>
      </c>
      <c r="BO10" s="70">
        <v>2.9404093650479816E-4</v>
      </c>
      <c r="BP10" s="70">
        <v>2.986452041866043E-6</v>
      </c>
      <c r="BQ10" s="70">
        <v>-5.9189401042444509E-4</v>
      </c>
      <c r="BR10" s="70">
        <v>3.7644243593556216E-5</v>
      </c>
      <c r="BS10" s="70">
        <v>2.7841268080769071E-3</v>
      </c>
      <c r="BT10" s="70">
        <v>-3.8694212599903917E-3</v>
      </c>
      <c r="BU10" s="70">
        <v>1.0551884697229264E-3</v>
      </c>
      <c r="BV10" s="70">
        <v>1.3036912419096484E-3</v>
      </c>
    </row>
    <row r="11" spans="1:74" ht="17.100000000000001" customHeight="1" x14ac:dyDescent="0.2">
      <c r="A11" s="70" t="s">
        <v>5</v>
      </c>
      <c r="B11" s="70" t="e">
        <v>#VALUE!</v>
      </c>
      <c r="C11" s="70" t="e">
        <v>#DIV/0!</v>
      </c>
      <c r="D11" s="70" t="e">
        <v>#DIV/0!</v>
      </c>
      <c r="E11" s="70" t="e">
        <v>#DIV/0!</v>
      </c>
      <c r="F11" s="70" t="e">
        <v>#DIV/0!</v>
      </c>
      <c r="G11" s="70" t="e">
        <v>#DIV/0!</v>
      </c>
      <c r="H11" s="70" t="e">
        <v>#DIV/0!</v>
      </c>
      <c r="I11" s="70">
        <v>-0.27911398384345293</v>
      </c>
      <c r="J11" s="70">
        <v>0.56492999495220575</v>
      </c>
      <c r="K11" s="70">
        <v>0.39333342243327746</v>
      </c>
      <c r="L11" s="70">
        <v>-6.5286910773639906E-2</v>
      </c>
      <c r="M11" s="70">
        <v>-8.2007783350328489E-2</v>
      </c>
      <c r="N11" s="70">
        <v>8.4165612988186561E-2</v>
      </c>
      <c r="O11" s="70">
        <v>-0.16492319782625722</v>
      </c>
      <c r="P11" s="70">
        <v>1.7657553196071187</v>
      </c>
      <c r="Q11" s="70">
        <v>-2.8359501741270812</v>
      </c>
      <c r="R11" s="70">
        <v>1.0493241379234315</v>
      </c>
      <c r="S11" s="70">
        <v>0.23641142861105352</v>
      </c>
      <c r="T11" s="70">
        <v>0.11359806194849986</v>
      </c>
      <c r="U11" s="70">
        <v>0.56393495711528185</v>
      </c>
      <c r="V11" s="70">
        <v>6.894279854794811E-3</v>
      </c>
      <c r="W11" s="70">
        <v>-0.6215275108449555</v>
      </c>
      <c r="X11" s="70">
        <v>0.42140219692174119</v>
      </c>
      <c r="Y11" s="70">
        <v>0.23704054896781843</v>
      </c>
      <c r="Z11" s="70">
        <v>-0.3950385535674234</v>
      </c>
      <c r="AA11" s="70">
        <v>0.18162131248623908</v>
      </c>
      <c r="AB11" s="70">
        <v>0.1764838513318345</v>
      </c>
      <c r="AC11" s="70">
        <v>-0.36786770963798121</v>
      </c>
      <c r="AD11" s="70">
        <v>0.2180826045140952</v>
      </c>
      <c r="AE11" s="70">
        <v>0.11564825987920753</v>
      </c>
      <c r="AF11" s="70">
        <v>-0.18959282083115081</v>
      </c>
      <c r="AG11" s="70">
        <v>-0.17134755924709305</v>
      </c>
      <c r="AH11" s="70">
        <v>1.1853792825132026</v>
      </c>
      <c r="AI11" s="70">
        <v>-0.90673528958833582</v>
      </c>
      <c r="AJ11" s="70">
        <v>0.1895315038605575</v>
      </c>
      <c r="AK11" s="70">
        <v>-1.4033860874703548E-2</v>
      </c>
      <c r="AL11" s="70">
        <v>9.6693392126362757E-2</v>
      </c>
      <c r="AM11" s="70">
        <v>4.5442302337421615E-2</v>
      </c>
      <c r="AN11" s="70">
        <v>3.8437224605877831E-3</v>
      </c>
      <c r="AO11" s="70">
        <v>-5.548837765205325E-2</v>
      </c>
      <c r="AP11" s="70">
        <v>0.11616391916370147</v>
      </c>
      <c r="AQ11" s="70">
        <v>9.6027400769209931E-2</v>
      </c>
      <c r="AR11" s="70">
        <v>-7.4097421048132141E-3</v>
      </c>
      <c r="AS11" s="70">
        <v>4.2012854286519975E-3</v>
      </c>
      <c r="AT11" s="70">
        <v>-2.4761340864567674E-2</v>
      </c>
      <c r="AU11" s="70">
        <v>0.11403234436031184</v>
      </c>
      <c r="AV11" s="70">
        <v>5.4661254229015625E-2</v>
      </c>
      <c r="AW11" s="70">
        <v>4.085286647670322E-2</v>
      </c>
      <c r="AX11" s="70">
        <v>-7.4783652140964565E-2</v>
      </c>
      <c r="AY11" s="70">
        <v>-4.1577472976724192E-2</v>
      </c>
      <c r="AZ11" s="70">
        <v>-4.333376644111416E-3</v>
      </c>
      <c r="BA11" s="70">
        <v>0.27399634342209411</v>
      </c>
      <c r="BB11" s="70">
        <v>-5.7229681921091548E-2</v>
      </c>
      <c r="BC11" s="70">
        <v>-3.5960787484023447E-2</v>
      </c>
      <c r="BD11" s="70">
        <v>-1.4920781806345578E-2</v>
      </c>
      <c r="BE11" s="70">
        <v>2.2451938706002327E-2</v>
      </c>
      <c r="BF11" s="70">
        <v>0.20244814474654044</v>
      </c>
      <c r="BG11" s="70">
        <v>-2.483432976698895E-2</v>
      </c>
      <c r="BH11" s="70">
        <v>-7.3071937894016101E-2</v>
      </c>
      <c r="BI11" s="70">
        <v>3.0559627194619552E-2</v>
      </c>
      <c r="BJ11" s="70">
        <v>0.16581766530700798</v>
      </c>
      <c r="BK11" s="70">
        <v>-5.5404378969941541E-2</v>
      </c>
      <c r="BL11" s="70">
        <v>2.0892993993529452E-2</v>
      </c>
      <c r="BM11" s="70">
        <v>-4.4128909341212032E-2</v>
      </c>
      <c r="BN11" s="70">
        <v>-0.10133024306108417</v>
      </c>
      <c r="BO11" s="70">
        <v>0.45853773441473111</v>
      </c>
      <c r="BP11" s="70">
        <v>-0.20477251739597249</v>
      </c>
      <c r="BQ11" s="70">
        <v>1.8177267820587337E-3</v>
      </c>
      <c r="BR11" s="70">
        <v>-1.3666552797161652E-3</v>
      </c>
      <c r="BS11" s="70">
        <v>0.11719396945134428</v>
      </c>
      <c r="BT11" s="70">
        <v>0.17238477030647395</v>
      </c>
      <c r="BU11" s="70">
        <v>-4.1346614581427438E-2</v>
      </c>
      <c r="BV11" s="70">
        <v>-0.36557308262422955</v>
      </c>
    </row>
    <row r="12" spans="1:74" ht="17.100000000000001" customHeight="1" x14ac:dyDescent="0.2">
      <c r="A12" s="70" t="s">
        <v>6</v>
      </c>
      <c r="B12" s="70" t="e">
        <v>#VALUE!</v>
      </c>
      <c r="C12" s="70" t="e">
        <v>#DIV/0!</v>
      </c>
      <c r="D12" s="70" t="e">
        <v>#DIV/0!</v>
      </c>
      <c r="E12" s="70" t="e">
        <v>#DIV/0!</v>
      </c>
      <c r="F12" s="70" t="e">
        <v>#DIV/0!</v>
      </c>
      <c r="G12" s="70" t="e">
        <v>#DIV/0!</v>
      </c>
      <c r="H12" s="70" t="e">
        <v>#DIV/0!</v>
      </c>
      <c r="I12" s="70">
        <v>-3.2651382837450671E-2</v>
      </c>
      <c r="J12" s="70">
        <v>-2.1685771409764527E-2</v>
      </c>
      <c r="K12" s="70">
        <v>4.5107570650621716E-2</v>
      </c>
      <c r="L12" s="70">
        <v>-5.8520853320322488E-2</v>
      </c>
      <c r="M12" s="70">
        <v>3.0981930542767981E-2</v>
      </c>
      <c r="N12" s="70">
        <v>1.6382186837354757E-3</v>
      </c>
      <c r="O12" s="70">
        <v>7.7618917532316619E-3</v>
      </c>
      <c r="P12" s="70">
        <v>-3.3057576924127363E-2</v>
      </c>
      <c r="Q12" s="70">
        <v>2.8228516219133385E-3</v>
      </c>
      <c r="R12" s="70">
        <v>0.11934211575092334</v>
      </c>
      <c r="S12" s="70">
        <v>-4.2182589735203689E-2</v>
      </c>
      <c r="T12" s="70">
        <v>5.6305670947216377E-2</v>
      </c>
      <c r="U12" s="70">
        <v>2.4959157430396388E-2</v>
      </c>
      <c r="V12" s="70">
        <v>-4.6736844557038026E-2</v>
      </c>
      <c r="W12" s="70">
        <v>-0.67100035365381394</v>
      </c>
      <c r="X12" s="70">
        <v>0.62567917045280652</v>
      </c>
      <c r="Y12" s="70">
        <v>-3.8920204730551126E-2</v>
      </c>
      <c r="Z12" s="70">
        <v>-1.3769944213078074E-2</v>
      </c>
      <c r="AA12" s="70">
        <v>-3.9588376740994066E-2</v>
      </c>
      <c r="AB12" s="70">
        <v>2.8051006052671718E-2</v>
      </c>
      <c r="AC12" s="70">
        <v>9.8337844540034428E-2</v>
      </c>
      <c r="AD12" s="70">
        <v>-0.11701253704624469</v>
      </c>
      <c r="AE12" s="70">
        <v>0.13174045272449375</v>
      </c>
      <c r="AF12" s="70">
        <v>5.1138483528982107E-2</v>
      </c>
      <c r="AG12" s="70">
        <v>-4.290089907766239E-2</v>
      </c>
      <c r="AH12" s="70">
        <v>6.6335534160934545E-2</v>
      </c>
      <c r="AI12" s="70">
        <v>-5.0335573140726272E-2</v>
      </c>
      <c r="AJ12" s="70">
        <v>-5.946710481146044E-2</v>
      </c>
      <c r="AK12" s="70">
        <v>1.0540079227887105E-3</v>
      </c>
      <c r="AL12" s="70">
        <v>-0.11451116814746212</v>
      </c>
      <c r="AM12" s="70">
        <v>-0.16009146255450835</v>
      </c>
      <c r="AN12" s="70">
        <v>-0.2269457892702241</v>
      </c>
      <c r="AO12" s="70">
        <v>-0.13359587377675608</v>
      </c>
      <c r="AP12" s="70">
        <v>-8.2155544058193586E-2</v>
      </c>
      <c r="AQ12" s="70">
        <v>0.20323237826312002</v>
      </c>
      <c r="AR12" s="70">
        <v>0.19878059624634423</v>
      </c>
      <c r="AS12" s="70">
        <v>0.19424570240837419</v>
      </c>
      <c r="AT12" s="70">
        <v>0.2208451764995113</v>
      </c>
      <c r="AU12" s="70">
        <v>1.4761275277285683E-2</v>
      </c>
      <c r="AV12" s="70">
        <v>-4.4040357032196255E-3</v>
      </c>
      <c r="AW12" s="70">
        <v>-0.10985076256550584</v>
      </c>
      <c r="AX12" s="70">
        <v>-0.10867658300199839</v>
      </c>
      <c r="AY12" s="70">
        <v>-6.2290735088130711E-2</v>
      </c>
      <c r="AZ12" s="70">
        <v>5.3384841309854762E-2</v>
      </c>
      <c r="BA12" s="70">
        <v>6.3531737262131002E-2</v>
      </c>
      <c r="BB12" s="70">
        <v>-0.24497754082530004</v>
      </c>
      <c r="BC12" s="70">
        <v>-1.9041827113636719E-2</v>
      </c>
      <c r="BD12" s="70">
        <v>0.26652637113750283</v>
      </c>
      <c r="BE12" s="70">
        <v>-0.2103375881901581</v>
      </c>
      <c r="BF12" s="70">
        <v>-2.8223223718897752E-2</v>
      </c>
      <c r="BG12" s="70">
        <v>7.7788909299350714E-2</v>
      </c>
      <c r="BH12" s="70">
        <v>-0.3651261397375799</v>
      </c>
      <c r="BI12" s="70">
        <v>0.56743580805485327</v>
      </c>
      <c r="BJ12" s="70">
        <v>0.2007457320576336</v>
      </c>
      <c r="BK12" s="70">
        <v>-0.44599241427525732</v>
      </c>
      <c r="BL12" s="70">
        <v>-0.13905365217182175</v>
      </c>
      <c r="BM12" s="70">
        <v>0.13955817207872576</v>
      </c>
      <c r="BN12" s="70">
        <v>0.14023018751368105</v>
      </c>
      <c r="BO12" s="70">
        <v>9.3495403417130127E-2</v>
      </c>
      <c r="BP12" s="70">
        <v>-0.31434868440526165</v>
      </c>
      <c r="BQ12" s="70">
        <v>0.28721315701475625</v>
      </c>
      <c r="BR12" s="70">
        <v>0.60610584488490415</v>
      </c>
      <c r="BS12" s="70">
        <v>-0.52234750535825547</v>
      </c>
      <c r="BT12" s="70">
        <v>-0.11056506579732002</v>
      </c>
      <c r="BU12" s="70">
        <v>0.17889201209163677</v>
      </c>
      <c r="BV12" s="70">
        <v>0.18149048635290099</v>
      </c>
    </row>
    <row r="13" spans="1:74" s="163" customFormat="1" ht="17.100000000000001" customHeight="1" x14ac:dyDescent="0.2">
      <c r="A13" s="160" t="s">
        <v>93</v>
      </c>
      <c r="B13" s="170" t="e">
        <v>#VALUE!</v>
      </c>
      <c r="C13" s="170" t="e">
        <v>#DIV/0!</v>
      </c>
      <c r="D13" s="170" t="e">
        <v>#DIV/0!</v>
      </c>
      <c r="E13" s="170" t="e">
        <v>#DIV/0!</v>
      </c>
      <c r="F13" s="170" t="e">
        <v>#DIV/0!</v>
      </c>
      <c r="G13" s="170" t="e">
        <v>#DIV/0!</v>
      </c>
      <c r="H13" s="170" t="e">
        <v>#DIV/0!</v>
      </c>
      <c r="I13" s="170">
        <v>5.5749055576711753E-2</v>
      </c>
      <c r="J13" s="170">
        <v>1.061866750677551</v>
      </c>
      <c r="K13" s="170">
        <v>0.1708860741960424</v>
      </c>
      <c r="L13" s="170">
        <v>0.7043497538314194</v>
      </c>
      <c r="M13" s="170">
        <v>1.992606231002594</v>
      </c>
      <c r="N13" s="170">
        <v>-1.3806184685406295</v>
      </c>
      <c r="O13" s="170">
        <v>0.5135546724238117</v>
      </c>
      <c r="P13" s="170">
        <v>2.7337120512033814E-2</v>
      </c>
      <c r="Q13" s="170">
        <v>-9.9084871818924239E-2</v>
      </c>
      <c r="R13" s="170">
        <v>1.161993359190425</v>
      </c>
      <c r="S13" s="170">
        <v>2.0615589807456276E-2</v>
      </c>
      <c r="T13" s="170">
        <v>7.4215055026170443E-2</v>
      </c>
      <c r="U13" s="170">
        <v>-0.18307489683222136</v>
      </c>
      <c r="V13" s="170">
        <v>2.1187171084723341E-2</v>
      </c>
      <c r="W13" s="170">
        <v>-1.3003153970436434</v>
      </c>
      <c r="X13" s="170">
        <v>1.2533300745660934</v>
      </c>
      <c r="Y13" s="170">
        <v>-0.14339468846572948</v>
      </c>
      <c r="Z13" s="170">
        <v>1.5065043234553424</v>
      </c>
      <c r="AA13" s="170">
        <v>1.0426652208834899</v>
      </c>
      <c r="AB13" s="170">
        <v>-0.14533617219704414</v>
      </c>
      <c r="AC13" s="170">
        <v>0.3969597574215773</v>
      </c>
      <c r="AD13" s="170">
        <v>0.66772101536825246</v>
      </c>
      <c r="AE13" s="170">
        <v>0.99242947300379092</v>
      </c>
      <c r="AF13" s="170">
        <v>0.54112775425094517</v>
      </c>
      <c r="AG13" s="170">
        <v>-0.31840570491046383</v>
      </c>
      <c r="AH13" s="170">
        <v>-2.0196160506727074</v>
      </c>
      <c r="AI13" s="170">
        <v>1.4238499128160487</v>
      </c>
      <c r="AJ13" s="170">
        <v>0.79033178917065094</v>
      </c>
      <c r="AK13" s="170">
        <v>0.95105745406951059</v>
      </c>
      <c r="AL13" s="170">
        <v>0.72093119393013472</v>
      </c>
      <c r="AM13" s="170">
        <v>-0.39464584036692602</v>
      </c>
      <c r="AN13" s="170">
        <v>6.5305040869732739E-2</v>
      </c>
      <c r="AO13" s="170">
        <v>0.20455287967335009</v>
      </c>
      <c r="AP13" s="170">
        <v>0.98947680711557273</v>
      </c>
      <c r="AQ13" s="170">
        <v>0.78903791228431897</v>
      </c>
      <c r="AR13" s="170">
        <v>0.20450765696248718</v>
      </c>
      <c r="AS13" s="170">
        <v>0.53664633978530329</v>
      </c>
      <c r="AT13" s="170">
        <v>0.92678418910711047</v>
      </c>
      <c r="AU13" s="170">
        <v>0.22502253723079077</v>
      </c>
      <c r="AV13" s="170">
        <v>0.82526357499272429</v>
      </c>
      <c r="AW13" s="170">
        <v>0.69094608776038702</v>
      </c>
      <c r="AX13" s="170">
        <v>-0.82381908955257499</v>
      </c>
      <c r="AY13" s="170">
        <v>-3.2217182075761652</v>
      </c>
      <c r="AZ13" s="170">
        <v>2.8357125673463619</v>
      </c>
      <c r="BA13" s="170">
        <v>1.0281124541966895</v>
      </c>
      <c r="BB13" s="170">
        <v>0.28295465696998356</v>
      </c>
      <c r="BC13" s="170">
        <v>2.0358728130594816E-2</v>
      </c>
      <c r="BD13" s="170">
        <v>-1.3572842234481983</v>
      </c>
      <c r="BE13" s="170">
        <v>3.3351686470465767</v>
      </c>
      <c r="BF13" s="170">
        <v>-0.29203675278410568</v>
      </c>
      <c r="BG13" s="170">
        <v>0.13384284957455733</v>
      </c>
      <c r="BH13" s="170">
        <v>-0.24509186162932159</v>
      </c>
      <c r="BI13" s="170">
        <v>-0.14736134817437591</v>
      </c>
      <c r="BJ13" s="170">
        <v>0.50260055921500402</v>
      </c>
      <c r="BK13" s="170">
        <v>1.4825272151698765</v>
      </c>
      <c r="BL13" s="170">
        <v>0.33418035275859581</v>
      </c>
      <c r="BM13" s="170">
        <v>-1.0002297097828698</v>
      </c>
      <c r="BN13" s="170">
        <v>0.99398415835143306</v>
      </c>
      <c r="BO13" s="170">
        <v>-0.10089266231029013</v>
      </c>
      <c r="BP13" s="170">
        <v>1.3810053884015716</v>
      </c>
      <c r="BQ13" s="170">
        <v>-0.29595604543668624</v>
      </c>
      <c r="BR13" s="170">
        <v>0.92979430825046394</v>
      </c>
      <c r="BS13" s="170">
        <v>-0.10181526751695116</v>
      </c>
      <c r="BT13" s="170">
        <v>1.0448067941021588</v>
      </c>
      <c r="BU13" s="170">
        <v>1.2645379116630389</v>
      </c>
      <c r="BV13" s="170">
        <v>-0.61110250477646966</v>
      </c>
    </row>
    <row r="14" spans="1:74" ht="17.100000000000001" customHeight="1" x14ac:dyDescent="0.2">
      <c r="A14" s="70" t="s">
        <v>8</v>
      </c>
      <c r="B14" s="70" t="e">
        <v>#VALUE!</v>
      </c>
      <c r="C14" s="70" t="e">
        <v>#DIV/0!</v>
      </c>
      <c r="D14" s="70" t="e">
        <v>#DIV/0!</v>
      </c>
      <c r="E14" s="70" t="e">
        <v>#DIV/0!</v>
      </c>
      <c r="F14" s="70" t="e">
        <v>#DIV/0!</v>
      </c>
      <c r="G14" s="70" t="e">
        <v>#DIV/0!</v>
      </c>
      <c r="H14" s="70" t="e">
        <v>#DIV/0!</v>
      </c>
      <c r="I14" s="70">
        <v>0.24687027596381439</v>
      </c>
      <c r="J14" s="70">
        <v>3.1263241949771778E-3</v>
      </c>
      <c r="K14" s="70">
        <v>8.608298165198415E-2</v>
      </c>
      <c r="L14" s="70">
        <v>0.19623826908142361</v>
      </c>
      <c r="M14" s="70">
        <v>9.7355728705329311E-2</v>
      </c>
      <c r="N14" s="70">
        <v>-0.22470982400658526</v>
      </c>
      <c r="O14" s="70">
        <v>-0.2556009209508841</v>
      </c>
      <c r="P14" s="70">
        <v>-9.2726042372761636E-2</v>
      </c>
      <c r="Q14" s="70">
        <v>2.8968072683806809E-3</v>
      </c>
      <c r="R14" s="70">
        <v>0.37926202118944402</v>
      </c>
      <c r="S14" s="70">
        <v>0.32020058418499359</v>
      </c>
      <c r="T14" s="70">
        <v>-4.1921680295118856E-2</v>
      </c>
      <c r="U14" s="70">
        <v>-0.33007271943275623</v>
      </c>
      <c r="V14" s="70">
        <v>1.1748889123100478E-2</v>
      </c>
      <c r="W14" s="70">
        <v>-4.7564362421225567E-2</v>
      </c>
      <c r="X14" s="70">
        <v>5.2223111745197955E-2</v>
      </c>
      <c r="Y14" s="70">
        <v>-0.19136474024260128</v>
      </c>
      <c r="Z14" s="70">
        <v>0.51699423055666238</v>
      </c>
      <c r="AA14" s="70">
        <v>-0.12507910732084349</v>
      </c>
      <c r="AB14" s="70">
        <v>-0.12170308867089355</v>
      </c>
      <c r="AC14" s="70">
        <v>0.16133401611779641</v>
      </c>
      <c r="AD14" s="70">
        <v>0.11908319829152374</v>
      </c>
      <c r="AE14" s="70">
        <v>1.5704375027230769E-2</v>
      </c>
      <c r="AF14" s="70">
        <v>0.13348725913156115</v>
      </c>
      <c r="AG14" s="70">
        <v>-1.3605604989147164E-2</v>
      </c>
      <c r="AH14" s="70">
        <v>-0.18182814103537229</v>
      </c>
      <c r="AI14" s="70">
        <v>-4.0079623851644347E-2</v>
      </c>
      <c r="AJ14" s="70">
        <v>0.21626807877620804</v>
      </c>
      <c r="AK14" s="70">
        <v>0.24901985707676619</v>
      </c>
      <c r="AL14" s="70">
        <v>-2.6430440150400664E-2</v>
      </c>
      <c r="AM14" s="70">
        <v>0.15959841678845188</v>
      </c>
      <c r="AN14" s="70">
        <v>-0.26294874929425149</v>
      </c>
      <c r="AO14" s="70">
        <v>-0.13076911491254375</v>
      </c>
      <c r="AP14" s="70">
        <v>0.13593648067596076</v>
      </c>
      <c r="AQ14" s="70">
        <v>0.27311438431240431</v>
      </c>
      <c r="AR14" s="70">
        <v>-4.2623973876975099E-2</v>
      </c>
      <c r="AS14" s="70">
        <v>-0.21496714409390733</v>
      </c>
      <c r="AT14" s="70">
        <v>0.39424628671189249</v>
      </c>
      <c r="AU14" s="70">
        <v>-0.16957316798584876</v>
      </c>
      <c r="AV14" s="70">
        <v>0.14565783735037094</v>
      </c>
      <c r="AW14" s="70">
        <v>0.32391257943550483</v>
      </c>
      <c r="AX14" s="70">
        <v>-6.1937689560311558E-2</v>
      </c>
      <c r="AY14" s="70">
        <v>-0.61616949945030042</v>
      </c>
      <c r="AZ14" s="70">
        <v>0.94933306335462986</v>
      </c>
      <c r="BA14" s="70">
        <v>-0.2907273771725315</v>
      </c>
      <c r="BB14" s="70">
        <v>-0.24250566522828576</v>
      </c>
      <c r="BC14" s="70">
        <v>-0.17536280388628955</v>
      </c>
      <c r="BD14" s="70">
        <v>-0.34542591019554653</v>
      </c>
      <c r="BE14" s="70">
        <v>1.4683040009829966</v>
      </c>
      <c r="BF14" s="70">
        <v>-0.25225942768292731</v>
      </c>
      <c r="BG14" s="70">
        <v>0.10289233200210432</v>
      </c>
      <c r="BH14" s="70">
        <v>-0.64087356888124625</v>
      </c>
      <c r="BI14" s="70">
        <v>-0.32008594694933562</v>
      </c>
      <c r="BJ14" s="70">
        <v>0.5192196341305636</v>
      </c>
      <c r="BK14" s="70">
        <v>1.46908074099771</v>
      </c>
      <c r="BL14" s="70">
        <v>-0.52241523727400041</v>
      </c>
      <c r="BM14" s="70">
        <v>-0.5379466846658959</v>
      </c>
      <c r="BN14" s="70">
        <v>-0.19690772681414753</v>
      </c>
      <c r="BO14" s="70">
        <v>-0.83922138485104714</v>
      </c>
      <c r="BP14" s="70">
        <v>1.2819796561543206</v>
      </c>
      <c r="BQ14" s="70">
        <v>-0.12554226878322813</v>
      </c>
      <c r="BR14" s="70">
        <v>-0.26294646395267302</v>
      </c>
      <c r="BS14" s="70">
        <v>-0.54628528069840265</v>
      </c>
      <c r="BT14" s="70">
        <v>0.70079450511586272</v>
      </c>
      <c r="BU14" s="70">
        <v>0.5725041887513096</v>
      </c>
      <c r="BV14" s="70">
        <v>-0.49001801405031536</v>
      </c>
    </row>
    <row r="15" spans="1:74" ht="17.100000000000001" customHeight="1" x14ac:dyDescent="0.2">
      <c r="A15" s="70" t="s">
        <v>9</v>
      </c>
      <c r="B15" s="70" t="e">
        <v>#VALUE!</v>
      </c>
      <c r="C15" s="70" t="e">
        <v>#DIV/0!</v>
      </c>
      <c r="D15" s="70" t="e">
        <v>#DIV/0!</v>
      </c>
      <c r="E15" s="70" t="e">
        <v>#DIV/0!</v>
      </c>
      <c r="F15" s="70" t="e">
        <v>#DIV/0!</v>
      </c>
      <c r="G15" s="70" t="e">
        <v>#DIV/0!</v>
      </c>
      <c r="H15" s="70" t="e">
        <v>#DIV/0!</v>
      </c>
      <c r="I15" s="70">
        <v>1.0059906653090065E-3</v>
      </c>
      <c r="J15" s="70">
        <v>1.2253293652160575</v>
      </c>
      <c r="K15" s="70">
        <v>0.11611182524965594</v>
      </c>
      <c r="L15" s="70">
        <v>0.35017762473580455</v>
      </c>
      <c r="M15" s="70">
        <v>1.3755400309619203</v>
      </c>
      <c r="N15" s="70">
        <v>-2.0420679533063946</v>
      </c>
      <c r="O15" s="70">
        <v>0.84896241591321253</v>
      </c>
      <c r="P15" s="70">
        <v>0.43589450315369493</v>
      </c>
      <c r="Q15" s="70">
        <v>4.4621911263497696E-2</v>
      </c>
      <c r="R15" s="70">
        <v>0.30460397656701327</v>
      </c>
      <c r="S15" s="70">
        <v>-0.55986013356684428</v>
      </c>
      <c r="T15" s="70">
        <v>-9.2537638963333377E-2</v>
      </c>
      <c r="U15" s="70">
        <v>-3.7650731845746709E-2</v>
      </c>
      <c r="V15" s="70">
        <v>-0.11928916162693584</v>
      </c>
      <c r="W15" s="70">
        <v>0.20072030892767453</v>
      </c>
      <c r="X15" s="70">
        <v>-0.56106486465162708</v>
      </c>
      <c r="Y15" s="70">
        <v>0.19959885089595061</v>
      </c>
      <c r="Z15" s="70">
        <v>0.8473969215780206</v>
      </c>
      <c r="AA15" s="70">
        <v>0.88409234211032328</v>
      </c>
      <c r="AB15" s="70">
        <v>8.7271760284623343E-2</v>
      </c>
      <c r="AC15" s="70">
        <v>0.2368637970466293</v>
      </c>
      <c r="AD15" s="70">
        <v>0.39507081382227993</v>
      </c>
      <c r="AE15" s="70">
        <v>0.60644420622699124</v>
      </c>
      <c r="AF15" s="70">
        <v>0.36230184672995724</v>
      </c>
      <c r="AG15" s="70">
        <v>-0.42677109089745158</v>
      </c>
      <c r="AH15" s="70">
        <v>-2.159855747579071</v>
      </c>
      <c r="AI15" s="70">
        <v>1.9086940312595935</v>
      </c>
      <c r="AJ15" s="70">
        <v>-0.22558716953242972</v>
      </c>
      <c r="AK15" s="70">
        <v>0.37680345496254941</v>
      </c>
      <c r="AL15" s="70">
        <v>0.80245622803407057</v>
      </c>
      <c r="AM15" s="70">
        <v>-0.46249208046760815</v>
      </c>
      <c r="AN15" s="70">
        <v>9.2822201459456313E-2</v>
      </c>
      <c r="AO15" s="70">
        <v>0.20327370895080427</v>
      </c>
      <c r="AP15" s="70">
        <v>0.45176077371562351</v>
      </c>
      <c r="AQ15" s="70">
        <v>0.31562671622205735</v>
      </c>
      <c r="AR15" s="70">
        <v>5.8249651683038986E-2</v>
      </c>
      <c r="AS15" s="70">
        <v>0.49618975713019181</v>
      </c>
      <c r="AT15" s="70">
        <v>0.3261178899816341</v>
      </c>
      <c r="AU15" s="70">
        <v>0.14741471698957948</v>
      </c>
      <c r="AV15" s="70">
        <v>0.75879783943443324</v>
      </c>
      <c r="AW15" s="70">
        <v>9.0717960108205223E-2</v>
      </c>
      <c r="AX15" s="70">
        <v>-1.0526159365201033</v>
      </c>
      <c r="AY15" s="70">
        <v>-1.8701916225295097</v>
      </c>
      <c r="AZ15" s="70">
        <v>2.3862899429639981</v>
      </c>
      <c r="BA15" s="70">
        <v>-0.1319230531975325</v>
      </c>
      <c r="BB15" s="70">
        <v>0.19156167237278579</v>
      </c>
      <c r="BC15" s="70">
        <v>0.12828758794888878</v>
      </c>
      <c r="BD15" s="70">
        <v>-1.1516497383252011</v>
      </c>
      <c r="BE15" s="70">
        <v>1.9286011667421843</v>
      </c>
      <c r="BF15" s="70">
        <v>0.31308051606915993</v>
      </c>
      <c r="BG15" s="70">
        <v>-6.9459931619857251E-2</v>
      </c>
      <c r="BH15" s="70">
        <v>-6.7660203453124942E-2</v>
      </c>
      <c r="BI15" s="70">
        <v>0.123338627207478</v>
      </c>
      <c r="BJ15" s="70">
        <v>-0.14952765554376049</v>
      </c>
      <c r="BK15" s="70">
        <v>-0.17601574791317015</v>
      </c>
      <c r="BL15" s="70">
        <v>0.79344999788166692</v>
      </c>
      <c r="BM15" s="70">
        <v>-0.62745611936093437</v>
      </c>
      <c r="BN15" s="70">
        <v>0.72038875637732758</v>
      </c>
      <c r="BO15" s="70">
        <v>0.58159422832524155</v>
      </c>
      <c r="BP15" s="70">
        <v>0.14646112027353345</v>
      </c>
      <c r="BQ15" s="70">
        <v>-0.31304472584154863</v>
      </c>
      <c r="BR15" s="70">
        <v>0.35667184809090052</v>
      </c>
      <c r="BS15" s="70">
        <v>0.27649527868744961</v>
      </c>
      <c r="BT15" s="70">
        <v>0.31805349064284921</v>
      </c>
      <c r="BU15" s="70">
        <v>0.32409725292175812</v>
      </c>
      <c r="BV15" s="70">
        <v>-0.23466747237344299</v>
      </c>
    </row>
    <row r="16" spans="1:74" ht="17.100000000000001" customHeight="1" x14ac:dyDescent="0.2">
      <c r="A16" s="70" t="s">
        <v>10</v>
      </c>
      <c r="B16" s="70" t="e">
        <v>#VALUE!</v>
      </c>
      <c r="C16" s="70" t="e">
        <v>#DIV/0!</v>
      </c>
      <c r="D16" s="70" t="e">
        <v>#DIV/0!</v>
      </c>
      <c r="E16" s="70" t="e">
        <v>#DIV/0!</v>
      </c>
      <c r="F16" s="70" t="e">
        <v>#DIV/0!</v>
      </c>
      <c r="G16" s="70" t="e">
        <v>#DIV/0!</v>
      </c>
      <c r="H16" s="70" t="e">
        <v>#DIV/0!</v>
      </c>
      <c r="I16" s="70">
        <v>9.6984824237292041E-3</v>
      </c>
      <c r="J16" s="70">
        <v>3.088665536371854E-2</v>
      </c>
      <c r="K16" s="70">
        <v>4.0393967778023218E-2</v>
      </c>
      <c r="L16" s="70">
        <v>2.8225667122075821E-2</v>
      </c>
      <c r="M16" s="70">
        <v>3.244068548693501E-2</v>
      </c>
      <c r="N16" s="70">
        <v>4.7870702368478582E-3</v>
      </c>
      <c r="O16" s="70">
        <v>-4.1800520203172133E-3</v>
      </c>
      <c r="P16" s="70">
        <v>-1.8151682087333715E-2</v>
      </c>
      <c r="Q16" s="70">
        <v>-1.4956818544986986E-2</v>
      </c>
      <c r="R16" s="70">
        <v>0.20358048988651944</v>
      </c>
      <c r="S16" s="70">
        <v>4.3269835554497527E-4</v>
      </c>
      <c r="T16" s="70">
        <v>2.2195410677744491E-2</v>
      </c>
      <c r="U16" s="70">
        <v>2.6244064491989343E-2</v>
      </c>
      <c r="V16" s="70">
        <v>-6.430290103366651E-2</v>
      </c>
      <c r="W16" s="70">
        <v>2.7463734665443221E-2</v>
      </c>
      <c r="X16" s="70">
        <v>4.5149665283442109E-3</v>
      </c>
      <c r="Y16" s="70">
        <v>1.3399029667237491E-2</v>
      </c>
      <c r="Z16" s="70">
        <v>-1.4740488468407511E-3</v>
      </c>
      <c r="AA16" s="70">
        <v>5.1313878423753984E-2</v>
      </c>
      <c r="AB16" s="70">
        <v>2.4500375224310336E-2</v>
      </c>
      <c r="AC16" s="70">
        <v>-4.1133892663248357E-3</v>
      </c>
      <c r="AD16" s="70">
        <v>9.0958733477639192E-3</v>
      </c>
      <c r="AE16" s="70">
        <v>-3.4123508147994356E-3</v>
      </c>
      <c r="AF16" s="70">
        <v>2.471927022403058E-2</v>
      </c>
      <c r="AG16" s="70">
        <v>1.0819908825942842E-2</v>
      </c>
      <c r="AH16" s="70">
        <v>5.9258676952287067E-3</v>
      </c>
      <c r="AI16" s="70">
        <v>3.6644696524827658E-2</v>
      </c>
      <c r="AJ16" s="70">
        <v>1.9292550574669349E-2</v>
      </c>
      <c r="AK16" s="70">
        <v>4.7858976811125574E-2</v>
      </c>
      <c r="AL16" s="70">
        <v>6.69498984550254E-2</v>
      </c>
      <c r="AM16" s="70">
        <v>-2.0425963127029243E-2</v>
      </c>
      <c r="AN16" s="70">
        <v>3.723222801228393E-2</v>
      </c>
      <c r="AO16" s="70">
        <v>1.0947099215229581E-2</v>
      </c>
      <c r="AP16" s="70">
        <v>-5.7085679822823027E-3</v>
      </c>
      <c r="AQ16" s="70">
        <v>-1.7960469838395589E-2</v>
      </c>
      <c r="AR16" s="70">
        <v>1.3859974118979193E-2</v>
      </c>
      <c r="AS16" s="70">
        <v>4.9440776892337671E-3</v>
      </c>
      <c r="AT16" s="70">
        <v>2.3290573693907544E-2</v>
      </c>
      <c r="AU16" s="70">
        <v>5.4821648232146337E-2</v>
      </c>
      <c r="AV16" s="70">
        <v>6.1540682292082802E-2</v>
      </c>
      <c r="AW16" s="70">
        <v>4.0019344988791471E-2</v>
      </c>
      <c r="AX16" s="70">
        <v>4.1503562647952998E-2</v>
      </c>
      <c r="AY16" s="70">
        <v>-0.15242618627757673</v>
      </c>
      <c r="AZ16" s="70">
        <v>0.1967194614089311</v>
      </c>
      <c r="BA16" s="70">
        <v>4.4627705094979937E-2</v>
      </c>
      <c r="BB16" s="70">
        <v>2.5447628469822191E-2</v>
      </c>
      <c r="BC16" s="70">
        <v>1.7995849831956602E-2</v>
      </c>
      <c r="BD16" s="70">
        <v>-1.7388265518346682E-2</v>
      </c>
      <c r="BE16" s="70">
        <v>1.9821368101029642E-2</v>
      </c>
      <c r="BF16" s="70">
        <v>1.0044469349600807E-2</v>
      </c>
      <c r="BG16" s="70">
        <v>1.7151122077594384E-2</v>
      </c>
      <c r="BH16" s="70">
        <v>3.5474440567373144E-2</v>
      </c>
      <c r="BI16" s="70">
        <v>4.5135192721460521E-2</v>
      </c>
      <c r="BJ16" s="70">
        <v>2.292617977923047E-2</v>
      </c>
      <c r="BK16" s="70">
        <v>4.2490820004596322E-2</v>
      </c>
      <c r="BL16" s="70">
        <v>5.1995645041570684E-2</v>
      </c>
      <c r="BM16" s="70">
        <v>9.1914138234630593E-4</v>
      </c>
      <c r="BN16" s="70">
        <v>2.8257769658632931E-2</v>
      </c>
      <c r="BO16" s="70">
        <v>1.6502038136932337E-2</v>
      </c>
      <c r="BP16" s="70">
        <v>4.5593112749405224E-2</v>
      </c>
      <c r="BQ16" s="70">
        <v>6.0569667286245854E-2</v>
      </c>
      <c r="BR16" s="70">
        <v>6.8375993974033045E-2</v>
      </c>
      <c r="BS16" s="70">
        <v>6.6454954618714174E-2</v>
      </c>
      <c r="BT16" s="70">
        <v>0.18326685919514105</v>
      </c>
      <c r="BU16" s="70">
        <v>-0.15162262586099409</v>
      </c>
      <c r="BV16" s="70">
        <v>2.3719518325856382E-2</v>
      </c>
    </row>
    <row r="17" spans="1:74" ht="17.100000000000001" customHeight="1" x14ac:dyDescent="0.2">
      <c r="A17" s="70" t="s">
        <v>11</v>
      </c>
      <c r="B17" s="70" t="e">
        <v>#VALUE!</v>
      </c>
      <c r="C17" s="70" t="e">
        <v>#DIV/0!</v>
      </c>
      <c r="D17" s="70" t="e">
        <v>#DIV/0!</v>
      </c>
      <c r="E17" s="70" t="e">
        <v>#DIV/0!</v>
      </c>
      <c r="F17" s="70" t="e">
        <v>#DIV/0!</v>
      </c>
      <c r="G17" s="70" t="e">
        <v>#DIV/0!</v>
      </c>
      <c r="H17" s="70" t="e">
        <v>#DIV/0!</v>
      </c>
      <c r="I17" s="70">
        <v>3.2454044510837526E-2</v>
      </c>
      <c r="J17" s="70">
        <v>3.3524201606765822E-2</v>
      </c>
      <c r="K17" s="70">
        <v>3.9356163189711614E-2</v>
      </c>
      <c r="L17" s="70">
        <v>1.9042104040692152E-2</v>
      </c>
      <c r="M17" s="70">
        <v>3.4190988128659616E-2</v>
      </c>
      <c r="N17" s="70">
        <v>3.0944755715946251E-2</v>
      </c>
      <c r="O17" s="70">
        <v>3.8464071340268836E-2</v>
      </c>
      <c r="P17" s="70">
        <v>2.6737300860302429E-2</v>
      </c>
      <c r="Q17" s="70">
        <v>2.8049435259601744E-2</v>
      </c>
      <c r="R17" s="70">
        <v>3.1495271484010809E-2</v>
      </c>
      <c r="S17" s="70">
        <v>3.6358485821427547E-2</v>
      </c>
      <c r="T17" s="70">
        <v>5.1634801476513066E-2</v>
      </c>
      <c r="U17" s="70">
        <v>7.6032322232906383E-3</v>
      </c>
      <c r="V17" s="70">
        <v>3.6554043267335953E-2</v>
      </c>
      <c r="W17" s="70">
        <v>2.9632696675036648E-2</v>
      </c>
      <c r="X17" s="70">
        <v>4.6772091040829952E-2</v>
      </c>
      <c r="Y17" s="70">
        <v>3.5061501640931282E-2</v>
      </c>
      <c r="Z17" s="70">
        <v>3.559566434019204E-2</v>
      </c>
      <c r="AA17" s="70">
        <v>3.4337759253616471E-2</v>
      </c>
      <c r="AB17" s="70">
        <v>2.6259513220576937E-2</v>
      </c>
      <c r="AC17" s="70">
        <v>3.6304060471238554E-2</v>
      </c>
      <c r="AD17" s="70">
        <v>4.278859499458703E-2</v>
      </c>
      <c r="AE17" s="70">
        <v>3.18342417997379E-2</v>
      </c>
      <c r="AF17" s="70">
        <v>3.7723355010644721E-2</v>
      </c>
      <c r="AG17" s="70">
        <v>2.8667590580519032E-2</v>
      </c>
      <c r="AH17" s="70">
        <v>3.851865399517012E-2</v>
      </c>
      <c r="AI17" s="70">
        <v>2.5581640973546559E-2</v>
      </c>
      <c r="AJ17" s="70">
        <v>3.5582330740687854E-2</v>
      </c>
      <c r="AK17" s="70">
        <v>3.6957855607369666E-2</v>
      </c>
      <c r="AL17" s="70">
        <v>2.49458397285919E-2</v>
      </c>
      <c r="AM17" s="70">
        <v>3.0012977329965693E-2</v>
      </c>
      <c r="AN17" s="70">
        <v>1.4555354737873335E-2</v>
      </c>
      <c r="AO17" s="70">
        <v>2.2771263381253223E-2</v>
      </c>
      <c r="AP17" s="70">
        <v>2.1784623302897738E-2</v>
      </c>
      <c r="AQ17" s="70">
        <v>2.6329451822820364E-2</v>
      </c>
      <c r="AR17" s="70">
        <v>3.059540753987176E-2</v>
      </c>
      <c r="AS17" s="70">
        <v>2.904696741953975E-2</v>
      </c>
      <c r="AT17" s="70">
        <v>2.4430100883089011E-2</v>
      </c>
      <c r="AU17" s="70">
        <v>2.5444866388478954E-2</v>
      </c>
      <c r="AV17" s="70">
        <v>1.7637214574042066E-2</v>
      </c>
      <c r="AW17" s="70">
        <v>1.9880411755047678E-2</v>
      </c>
      <c r="AX17" s="70">
        <v>3.0288241335950584E-2</v>
      </c>
      <c r="AY17" s="70">
        <v>1.9980478655123736E-2</v>
      </c>
      <c r="AZ17" s="70">
        <v>3.2246800327274484E-2</v>
      </c>
      <c r="BA17" s="70">
        <v>2.9089471108503399E-2</v>
      </c>
      <c r="BB17" s="70">
        <v>2.622752703432199E-2</v>
      </c>
      <c r="BC17" s="70">
        <v>3.2521374563844824E-2</v>
      </c>
      <c r="BD17" s="70">
        <v>4.6845809888167798E-2</v>
      </c>
      <c r="BE17" s="70">
        <v>4.1849590469771228E-2</v>
      </c>
      <c r="BF17" s="70">
        <v>3.1572738085491221E-2</v>
      </c>
      <c r="BG17" s="70">
        <v>2.5174483755860219E-2</v>
      </c>
      <c r="BH17" s="70">
        <v>1.1460252587791889E-2</v>
      </c>
      <c r="BI17" s="70">
        <v>2.2721301434522192E-2</v>
      </c>
      <c r="BJ17" s="70">
        <v>3.1606605997825291E-2</v>
      </c>
      <c r="BK17" s="70">
        <v>3.193542464706358E-2</v>
      </c>
      <c r="BL17" s="70">
        <v>3.5682007146544528E-2</v>
      </c>
      <c r="BM17" s="70">
        <v>2.5432960053821202E-2</v>
      </c>
      <c r="BN17" s="70">
        <v>2.6471201100923509E-2</v>
      </c>
      <c r="BO17" s="70">
        <v>3.4843602309428387E-2</v>
      </c>
      <c r="BP17" s="70">
        <v>-6.4054399581539075E-3</v>
      </c>
      <c r="BQ17" s="70">
        <v>1.6914837169321822E-2</v>
      </c>
      <c r="BR17" s="70">
        <v>9.5679244176644241E-3</v>
      </c>
      <c r="BS17" s="70">
        <v>1.417135578453413E-2</v>
      </c>
      <c r="BT17" s="70">
        <v>2.2023352141316271E-2</v>
      </c>
      <c r="BU17" s="70">
        <v>2.8010475521958612E-2</v>
      </c>
      <c r="BV17" s="70">
        <v>2.8082158481875105E-2</v>
      </c>
    </row>
    <row r="18" spans="1:74" ht="17.100000000000001" customHeight="1" x14ac:dyDescent="0.2">
      <c r="A18" s="70" t="s">
        <v>12</v>
      </c>
      <c r="B18" s="70" t="e">
        <v>#VALUE!</v>
      </c>
      <c r="C18" s="70" t="e">
        <v>#DIV/0!</v>
      </c>
      <c r="D18" s="70" t="e">
        <v>#DIV/0!</v>
      </c>
      <c r="E18" s="70" t="e">
        <v>#DIV/0!</v>
      </c>
      <c r="F18" s="70" t="e">
        <v>#DIV/0!</v>
      </c>
      <c r="G18" s="70" t="e">
        <v>#DIV/0!</v>
      </c>
      <c r="H18" s="70" t="e">
        <v>#DIV/0!</v>
      </c>
      <c r="I18" s="70">
        <v>-0.2342797379869779</v>
      </c>
      <c r="J18" s="70">
        <v>-0.2309997957039657</v>
      </c>
      <c r="K18" s="70">
        <v>-0.11105886367333358</v>
      </c>
      <c r="L18" s="70">
        <v>0.11066608885142079</v>
      </c>
      <c r="M18" s="70">
        <v>0.4530787977197504</v>
      </c>
      <c r="N18" s="70">
        <v>0.85042748281955827</v>
      </c>
      <c r="O18" s="70">
        <v>-0.11409084185847038</v>
      </c>
      <c r="P18" s="70">
        <v>-0.32441695904187101</v>
      </c>
      <c r="Q18" s="70">
        <v>-0.1596962070654129</v>
      </c>
      <c r="R18" s="70">
        <v>0.24305160006343676</v>
      </c>
      <c r="S18" s="70">
        <v>0.22348395501232959</v>
      </c>
      <c r="T18" s="70">
        <v>0.13484416213036823</v>
      </c>
      <c r="U18" s="70">
        <v>0.15080125773099956</v>
      </c>
      <c r="V18" s="70">
        <v>0.15647630135489377</v>
      </c>
      <c r="W18" s="70">
        <v>-1.5105677748905748</v>
      </c>
      <c r="X18" s="70">
        <v>1.7108847699033476</v>
      </c>
      <c r="Y18" s="70">
        <v>-0.20008933042724655</v>
      </c>
      <c r="Z18" s="70">
        <v>0.10799155582731086</v>
      </c>
      <c r="AA18" s="70">
        <v>0.19800034841663683</v>
      </c>
      <c r="AB18" s="70">
        <v>-0.16166473225566255</v>
      </c>
      <c r="AC18" s="70">
        <v>-3.3428726947764949E-2</v>
      </c>
      <c r="AD18" s="70">
        <v>0.10168253491210143</v>
      </c>
      <c r="AE18" s="70">
        <v>0.34185900076463016</v>
      </c>
      <c r="AF18" s="70">
        <v>-1.7103976845246262E-2</v>
      </c>
      <c r="AG18" s="70">
        <v>8.2483491569675951E-2</v>
      </c>
      <c r="AH18" s="70">
        <v>0.27762331625133357</v>
      </c>
      <c r="AI18" s="70">
        <v>-0.50699083209027818</v>
      </c>
      <c r="AJ18" s="70">
        <v>0.74477599861152022</v>
      </c>
      <c r="AK18" s="70">
        <v>0.24041730961169963</v>
      </c>
      <c r="AL18" s="70">
        <v>-0.14699033213715279</v>
      </c>
      <c r="AM18" s="70">
        <v>-0.10133919089070882</v>
      </c>
      <c r="AN18" s="70">
        <v>0.18364400595437469</v>
      </c>
      <c r="AO18" s="70">
        <v>9.8329923038607409E-2</v>
      </c>
      <c r="AP18" s="70">
        <v>0.38570349740337256</v>
      </c>
      <c r="AQ18" s="70">
        <v>0.19192782976543218</v>
      </c>
      <c r="AR18" s="70">
        <v>0.14442659749757236</v>
      </c>
      <c r="AS18" s="70">
        <v>0.22143268164023983</v>
      </c>
      <c r="AT18" s="70">
        <v>0.15869933783658971</v>
      </c>
      <c r="AU18" s="70">
        <v>0.16691447360643116</v>
      </c>
      <c r="AV18" s="70">
        <v>-0.15836999865820159</v>
      </c>
      <c r="AW18" s="70">
        <v>0.21641579147283671</v>
      </c>
      <c r="AX18" s="70">
        <v>0.2189427325439397</v>
      </c>
      <c r="AY18" s="70">
        <v>-0.60291137797390149</v>
      </c>
      <c r="AZ18" s="70">
        <v>-0.72887670070847288</v>
      </c>
      <c r="BA18" s="70">
        <v>1.3770457083632666</v>
      </c>
      <c r="BB18" s="70">
        <v>0.28222349432134142</v>
      </c>
      <c r="BC18" s="70">
        <v>1.6916719672197284E-2</v>
      </c>
      <c r="BD18" s="70">
        <v>0.11033388070272555</v>
      </c>
      <c r="BE18" s="70">
        <v>-0.12340747924940262</v>
      </c>
      <c r="BF18" s="70">
        <v>-0.3944750486054337</v>
      </c>
      <c r="BG18" s="70">
        <v>5.8084843358858586E-2</v>
      </c>
      <c r="BH18" s="70">
        <v>0.41650721754988407</v>
      </c>
      <c r="BI18" s="70">
        <v>-1.8470522588504571E-2</v>
      </c>
      <c r="BJ18" s="70">
        <v>7.8375794851147276E-2</v>
      </c>
      <c r="BK18" s="70">
        <v>0.11503597743367434</v>
      </c>
      <c r="BL18" s="70">
        <v>-2.453206003718127E-2</v>
      </c>
      <c r="BM18" s="70">
        <v>0.13882099280778684</v>
      </c>
      <c r="BN18" s="70">
        <v>0.4157741580287001</v>
      </c>
      <c r="BO18" s="70">
        <v>0.10538885376915441</v>
      </c>
      <c r="BP18" s="70">
        <v>-8.6623060817533057E-2</v>
      </c>
      <c r="BQ18" s="70">
        <v>6.5146444732522582E-2</v>
      </c>
      <c r="BR18" s="70">
        <v>0.75812500572053731</v>
      </c>
      <c r="BS18" s="70">
        <v>8.7348424090753177E-2</v>
      </c>
      <c r="BT18" s="70">
        <v>-0.1793314129930107</v>
      </c>
      <c r="BU18" s="70">
        <v>0.49154862032900992</v>
      </c>
      <c r="BV18" s="70">
        <v>6.1781304839554609E-2</v>
      </c>
    </row>
    <row r="19" spans="1:74" s="163" customFormat="1" ht="17.100000000000001" customHeight="1" x14ac:dyDescent="0.2">
      <c r="A19" s="160" t="s">
        <v>94</v>
      </c>
      <c r="B19" s="170" t="e">
        <v>#VALUE!</v>
      </c>
      <c r="C19" s="170" t="e">
        <v>#DIV/0!</v>
      </c>
      <c r="D19" s="170" t="e">
        <v>#DIV/0!</v>
      </c>
      <c r="E19" s="170" t="e">
        <v>#DIV/0!</v>
      </c>
      <c r="F19" s="170" t="e">
        <v>#DIV/0!</v>
      </c>
      <c r="G19" s="170" t="e">
        <v>#DIV/0!</v>
      </c>
      <c r="H19" s="170" t="e">
        <v>#DIV/0!</v>
      </c>
      <c r="I19" s="170">
        <v>1.8476034876390646</v>
      </c>
      <c r="J19" s="170">
        <v>4.7117418626262495</v>
      </c>
      <c r="K19" s="170">
        <v>6.4474418574454323E-2</v>
      </c>
      <c r="L19" s="170">
        <v>1.3476409015262538</v>
      </c>
      <c r="M19" s="170">
        <v>3.2272752752232209E-2</v>
      </c>
      <c r="N19" s="170">
        <v>2.1454998441226638</v>
      </c>
      <c r="O19" s="170">
        <v>-3.47956141407162</v>
      </c>
      <c r="P19" s="170">
        <v>1.890860921008729</v>
      </c>
      <c r="Q19" s="170">
        <v>-0.35729815464618658</v>
      </c>
      <c r="R19" s="170">
        <v>2.0317876625491449</v>
      </c>
      <c r="S19" s="170">
        <v>0.67171599335757137</v>
      </c>
      <c r="T19" s="170">
        <v>1.2295741094428478</v>
      </c>
      <c r="U19" s="170">
        <v>-1.1990026466095798</v>
      </c>
      <c r="V19" s="170">
        <v>-0.51884250693569134</v>
      </c>
      <c r="W19" s="170">
        <v>0.90558250945965979</v>
      </c>
      <c r="X19" s="170">
        <v>-1.3852232897227639</v>
      </c>
      <c r="Y19" s="170">
        <v>1.3311827303329582</v>
      </c>
      <c r="Z19" s="170">
        <v>3.2266715513159441</v>
      </c>
      <c r="AA19" s="170">
        <v>2.716250523549383</v>
      </c>
      <c r="AB19" s="170">
        <v>-3.7119302573800259</v>
      </c>
      <c r="AC19" s="170">
        <v>2.5746293792743238</v>
      </c>
      <c r="AD19" s="170">
        <v>0.82339534871415321</v>
      </c>
      <c r="AE19" s="170">
        <v>0.6072162387323522</v>
      </c>
      <c r="AF19" s="170">
        <v>1.3358599152126722</v>
      </c>
      <c r="AG19" s="170">
        <v>0.41822332297225928</v>
      </c>
      <c r="AH19" s="170">
        <v>-2.0804082228827516</v>
      </c>
      <c r="AI19" s="170">
        <v>0.51588446953489364</v>
      </c>
      <c r="AJ19" s="170">
        <v>-0.12938520811307427</v>
      </c>
      <c r="AK19" s="170">
        <v>-0.1100078580951761</v>
      </c>
      <c r="AL19" s="170">
        <v>0.87585228535709614</v>
      </c>
      <c r="AM19" s="170">
        <v>1.4652235363684771</v>
      </c>
      <c r="AN19" s="170">
        <v>0.94483224070316707</v>
      </c>
      <c r="AO19" s="170">
        <v>1.1556052786641622</v>
      </c>
      <c r="AP19" s="170">
        <v>0.23433931514872747</v>
      </c>
      <c r="AQ19" s="170">
        <v>0.55141431172766375</v>
      </c>
      <c r="AR19" s="170">
        <v>1.1365023546207167</v>
      </c>
      <c r="AS19" s="170">
        <v>-4.7215070589998062E-2</v>
      </c>
      <c r="AT19" s="170">
        <v>0.95367562512331561</v>
      </c>
      <c r="AU19" s="170">
        <v>0.44524730368028109</v>
      </c>
      <c r="AV19" s="170">
        <v>1.7071683331611451</v>
      </c>
      <c r="AW19" s="170">
        <v>7.1411092890325045E-2</v>
      </c>
      <c r="AX19" s="170">
        <v>-1.5296293435869932</v>
      </c>
      <c r="AY19" s="170">
        <v>-2.6639486457828774</v>
      </c>
      <c r="AZ19" s="170">
        <v>2.9436669388311278</v>
      </c>
      <c r="BA19" s="170">
        <v>0.51157926993528946</v>
      </c>
      <c r="BB19" s="170">
        <v>1.7081519428655534</v>
      </c>
      <c r="BC19" s="170">
        <v>-0.16010416557417972</v>
      </c>
      <c r="BD19" s="170">
        <v>-0.55245647306773082</v>
      </c>
      <c r="BE19" s="170">
        <v>1.5643565089220335</v>
      </c>
      <c r="BF19" s="170">
        <v>0.92324656405235761</v>
      </c>
      <c r="BG19" s="170">
        <v>-0.76543211405372136</v>
      </c>
      <c r="BH19" s="170">
        <v>2.1737394788955795</v>
      </c>
      <c r="BI19" s="170">
        <v>-0.2002956770924344</v>
      </c>
      <c r="BJ19" s="170">
        <v>-0.4342057615946765</v>
      </c>
      <c r="BK19" s="170">
        <v>1.8404415172465765</v>
      </c>
      <c r="BL19" s="170">
        <v>7.0983810160779809E-3</v>
      </c>
      <c r="BM19" s="170">
        <v>2.2730768431261197</v>
      </c>
      <c r="BN19" s="170">
        <v>-0.66946973641277419</v>
      </c>
      <c r="BO19" s="170">
        <v>0.90504555481124049</v>
      </c>
      <c r="BP19" s="170">
        <v>0.15602257107832324</v>
      </c>
      <c r="BQ19" s="170">
        <v>0.65961373851960325</v>
      </c>
      <c r="BR19" s="170">
        <v>1.9565968622562793</v>
      </c>
      <c r="BS19" s="170">
        <v>-0.60986184663055321</v>
      </c>
      <c r="BT19" s="170">
        <v>0.43436385223062879</v>
      </c>
      <c r="BU19" s="170">
        <v>0.94923696842831129</v>
      </c>
      <c r="BV19" s="170">
        <v>1.7223490987109185</v>
      </c>
    </row>
    <row r="20" spans="1:74" ht="17.100000000000001" customHeight="1" x14ac:dyDescent="0.2">
      <c r="A20" s="117" t="s">
        <v>52</v>
      </c>
      <c r="B20" s="70" t="e">
        <v>#VALUE!</v>
      </c>
      <c r="C20" s="70" t="e">
        <v>#DIV/0!</v>
      </c>
      <c r="D20" s="70" t="e">
        <v>#DIV/0!</v>
      </c>
      <c r="E20" s="70" t="e">
        <v>#DIV/0!</v>
      </c>
      <c r="F20" s="70" t="e">
        <v>#DIV/0!</v>
      </c>
      <c r="G20" s="70" t="e">
        <v>#DIV/0!</v>
      </c>
      <c r="H20" s="70" t="e">
        <v>#DIV/0!</v>
      </c>
      <c r="I20" s="70">
        <v>-0.37557869576465475</v>
      </c>
      <c r="J20" s="70">
        <v>-0.2126991650457786</v>
      </c>
      <c r="K20" s="70">
        <v>0.24836308102099219</v>
      </c>
      <c r="L20" s="70">
        <v>-0.5979950897360814</v>
      </c>
      <c r="M20" s="70">
        <v>1.3841413408941972</v>
      </c>
      <c r="N20" s="70">
        <v>2.8660182461560124</v>
      </c>
      <c r="O20" s="70">
        <v>-3.753008519631019</v>
      </c>
      <c r="P20" s="70">
        <v>1.3412412228658674</v>
      </c>
      <c r="Q20" s="70">
        <v>-0.60026109218391344</v>
      </c>
      <c r="R20" s="70">
        <v>0.48397282407266884</v>
      </c>
      <c r="S20" s="70">
        <v>0.3241736512902928</v>
      </c>
      <c r="T20" s="70">
        <v>0.58672546000197778</v>
      </c>
      <c r="U20" s="70">
        <v>-0.82463102724268311</v>
      </c>
      <c r="V20" s="70">
        <v>-0.1317244713798145</v>
      </c>
      <c r="W20" s="70">
        <v>0.30265916837444301</v>
      </c>
      <c r="X20" s="70">
        <v>-0.45357379921841229</v>
      </c>
      <c r="Y20" s="70">
        <v>-5.9883003304438392E-3</v>
      </c>
      <c r="Z20" s="70">
        <v>0.42570386051885245</v>
      </c>
      <c r="AA20" s="70">
        <v>0.35185558334013434</v>
      </c>
      <c r="AB20" s="70">
        <v>-0.4842298805599573</v>
      </c>
      <c r="AC20" s="70">
        <v>0.3901557650649321</v>
      </c>
      <c r="AD20" s="70">
        <v>4.7764743949881588E-2</v>
      </c>
      <c r="AE20" s="70">
        <v>9.9192984855294958E-2</v>
      </c>
      <c r="AF20" s="70">
        <v>0.64534050210424387</v>
      </c>
      <c r="AG20" s="70">
        <v>-3.6953770867893143E-2</v>
      </c>
      <c r="AH20" s="70">
        <v>-1.1100492492579397</v>
      </c>
      <c r="AI20" s="70">
        <v>0.35843833824547572</v>
      </c>
      <c r="AJ20" s="70">
        <v>-4.0325071598964722E-2</v>
      </c>
      <c r="AK20" s="70">
        <v>1.3049347528373834E-3</v>
      </c>
      <c r="AL20" s="70">
        <v>0.3415651919541472</v>
      </c>
      <c r="AM20" s="70">
        <v>0.21446821776168221</v>
      </c>
      <c r="AN20" s="70">
        <v>-2.0872360902218241E-2</v>
      </c>
      <c r="AO20" s="70">
        <v>0.4126227745251721</v>
      </c>
      <c r="AP20" s="70">
        <v>2.0918555212259972E-2</v>
      </c>
      <c r="AQ20" s="70">
        <v>9.5898812253672777E-2</v>
      </c>
      <c r="AR20" s="70">
        <v>0.2004116900784286</v>
      </c>
      <c r="AS20" s="70">
        <v>-5.5838150489227169E-2</v>
      </c>
      <c r="AT20" s="70">
        <v>0.28522764834513264</v>
      </c>
      <c r="AU20" s="70">
        <v>-0.17574850806589301</v>
      </c>
      <c r="AV20" s="70">
        <v>0.3859483475670562</v>
      </c>
      <c r="AW20" s="70">
        <v>-4.3380152454195742E-2</v>
      </c>
      <c r="AX20" s="70">
        <v>-0.41238490644347153</v>
      </c>
      <c r="AY20" s="70">
        <v>-0.96553382394246012</v>
      </c>
      <c r="AZ20" s="70">
        <v>1.2681863219205576</v>
      </c>
      <c r="BA20" s="70">
        <v>-0.42865720515919786</v>
      </c>
      <c r="BB20" s="70">
        <v>1.2190646648421805E-2</v>
      </c>
      <c r="BC20" s="70">
        <v>0.12291987025365221</v>
      </c>
      <c r="BD20" s="70">
        <v>-0.22950564531276346</v>
      </c>
      <c r="BE20" s="70">
        <v>0.49322365167573179</v>
      </c>
      <c r="BF20" s="70">
        <v>0.35294343409670637</v>
      </c>
      <c r="BG20" s="70">
        <v>-0.11891653914356554</v>
      </c>
      <c r="BH20" s="70">
        <v>-0.23920430635581716</v>
      </c>
      <c r="BI20" s="70">
        <v>0.25018727400684265</v>
      </c>
      <c r="BJ20" s="70">
        <v>7.2404177866645783E-2</v>
      </c>
      <c r="BK20" s="70">
        <v>0.49503659191367105</v>
      </c>
      <c r="BL20" s="70">
        <v>0.13412108763359951</v>
      </c>
      <c r="BM20" s="70">
        <v>3.7841129010094725E-2</v>
      </c>
      <c r="BN20" s="70">
        <v>7.6998666789215034E-2</v>
      </c>
      <c r="BO20" s="70">
        <v>0.31673427981369495</v>
      </c>
      <c r="BP20" s="70">
        <v>0.41050110997255657</v>
      </c>
      <c r="BQ20" s="70">
        <v>-0.15373988046383086</v>
      </c>
      <c r="BR20" s="70">
        <v>0.31563824453384864</v>
      </c>
      <c r="BS20" s="70">
        <v>9.0542291825793809E-3</v>
      </c>
      <c r="BT20" s="70">
        <v>0.35658071476056274</v>
      </c>
      <c r="BU20" s="70">
        <v>-0.24741412080048625</v>
      </c>
      <c r="BV20" s="70">
        <v>0.31992206003129936</v>
      </c>
    </row>
    <row r="21" spans="1:74" ht="17.100000000000001" customHeight="1" x14ac:dyDescent="0.2">
      <c r="A21" s="117" t="s">
        <v>53</v>
      </c>
      <c r="B21" s="70" t="e">
        <v>#VALUE!</v>
      </c>
      <c r="C21" s="70" t="e">
        <v>#DIV/0!</v>
      </c>
      <c r="D21" s="70" t="e">
        <v>#DIV/0!</v>
      </c>
      <c r="E21" s="70" t="e">
        <v>#DIV/0!</v>
      </c>
      <c r="F21" s="70" t="e">
        <v>#DIV/0!</v>
      </c>
      <c r="G21" s="70" t="e">
        <v>#DIV/0!</v>
      </c>
      <c r="H21" s="70" t="e">
        <v>#DIV/0!</v>
      </c>
      <c r="I21" s="70">
        <v>5.1379077537108228E-2</v>
      </c>
      <c r="J21" s="70">
        <v>-3.9234824036064778E-2</v>
      </c>
      <c r="K21" s="70">
        <v>7.5133192512793379E-2</v>
      </c>
      <c r="L21" s="70">
        <v>-8.5613716514808796E-3</v>
      </c>
      <c r="M21" s="70">
        <v>0.15433176801091308</v>
      </c>
      <c r="N21" s="70">
        <v>0.36832161662518637</v>
      </c>
      <c r="O21" s="70">
        <v>-0.31268897148420721</v>
      </c>
      <c r="P21" s="70">
        <v>0.3187715164355916</v>
      </c>
      <c r="Q21" s="70">
        <v>-0.11009262923284946</v>
      </c>
      <c r="R21" s="70">
        <v>2.0928333729632879E-2</v>
      </c>
      <c r="S21" s="70">
        <v>4.2687984844263132E-3</v>
      </c>
      <c r="T21" s="70">
        <v>0.17759723400489036</v>
      </c>
      <c r="U21" s="70">
        <v>-2.866852326003368E-2</v>
      </c>
      <c r="V21" s="70">
        <v>-3.0352002986983821E-2</v>
      </c>
      <c r="W21" s="70">
        <v>8.9740646625642698E-2</v>
      </c>
      <c r="X21" s="70">
        <v>4.1223149928470787E-2</v>
      </c>
      <c r="Y21" s="70">
        <v>8.3235900112273734E-2</v>
      </c>
      <c r="Z21" s="70">
        <v>7.4794305611450868E-2</v>
      </c>
      <c r="AA21" s="70">
        <v>2.548569881753842E-2</v>
      </c>
      <c r="AB21" s="70">
        <v>1.4064149808805217E-2</v>
      </c>
      <c r="AC21" s="70">
        <v>6.6590417083696868E-2</v>
      </c>
      <c r="AD21" s="70">
        <v>8.424914733998945E-2</v>
      </c>
      <c r="AE21" s="70">
        <v>9.0262559743818707E-2</v>
      </c>
      <c r="AF21" s="70">
        <v>8.3264895434824723E-2</v>
      </c>
      <c r="AG21" s="70">
        <v>0.21874133096986439</v>
      </c>
      <c r="AH21" s="70">
        <v>-0.2503803185496597</v>
      </c>
      <c r="AI21" s="70">
        <v>4.1779296089712259E-2</v>
      </c>
      <c r="AJ21" s="70">
        <v>1.8660359802423417E-2</v>
      </c>
      <c r="AK21" s="70">
        <v>4.7800281754925483E-2</v>
      </c>
      <c r="AL21" s="70">
        <v>5.901161414566513E-2</v>
      </c>
      <c r="AM21" s="70">
        <v>0.13330154850066048</v>
      </c>
      <c r="AN21" s="70">
        <v>0.12166509257822472</v>
      </c>
      <c r="AO21" s="70">
        <v>7.4849344592062203E-2</v>
      </c>
      <c r="AP21" s="70">
        <v>5.2096796840880186E-2</v>
      </c>
      <c r="AQ21" s="70">
        <v>7.3842604879200774E-2</v>
      </c>
      <c r="AR21" s="70">
        <v>-6.9925381256392499E-2</v>
      </c>
      <c r="AS21" s="70">
        <v>-3.8685666262892382E-2</v>
      </c>
      <c r="AT21" s="70">
        <v>1.9080302411807658E-2</v>
      </c>
      <c r="AU21" s="70">
        <v>6.7440489509669257E-2</v>
      </c>
      <c r="AV21" s="70">
        <v>0.12488302898182464</v>
      </c>
      <c r="AW21" s="70">
        <v>-0.15859704750365405</v>
      </c>
      <c r="AX21" s="70">
        <v>-0.13147975263854345</v>
      </c>
      <c r="AY21" s="70">
        <v>-0.16011774206804913</v>
      </c>
      <c r="AZ21" s="70">
        <v>0.28217073433778406</v>
      </c>
      <c r="BA21" s="70">
        <v>-7.1274691915370614E-2</v>
      </c>
      <c r="BB21" s="70">
        <v>-2.1759840892915341E-2</v>
      </c>
      <c r="BC21" s="70">
        <v>7.8030680394172963E-2</v>
      </c>
      <c r="BD21" s="70">
        <v>-0.20745909439502025</v>
      </c>
      <c r="BE21" s="70">
        <v>7.1201095532759648E-2</v>
      </c>
      <c r="BF21" s="70">
        <v>0.12616169127310528</v>
      </c>
      <c r="BG21" s="70">
        <v>-0.21749848436084557</v>
      </c>
      <c r="BH21" s="70">
        <v>-0.11603292570970528</v>
      </c>
      <c r="BI21" s="70">
        <v>0.13099937705850573</v>
      </c>
      <c r="BJ21" s="70">
        <v>-8.6207673566739834E-2</v>
      </c>
      <c r="BK21" s="70">
        <v>5.8697165289877447E-3</v>
      </c>
      <c r="BL21" s="70">
        <v>0.1234055573695152</v>
      </c>
      <c r="BM21" s="70">
        <v>0.10220199321007079</v>
      </c>
      <c r="BN21" s="70">
        <v>6.3396638247785436E-2</v>
      </c>
      <c r="BO21" s="70">
        <v>9.8851746719736108E-2</v>
      </c>
      <c r="BP21" s="70">
        <v>9.9916490888815684E-2</v>
      </c>
      <c r="BQ21" s="70">
        <v>-1.8345936835513853E-2</v>
      </c>
      <c r="BR21" s="70">
        <v>0.15648123972546818</v>
      </c>
      <c r="BS21" s="70">
        <v>7.8130155006952903E-2</v>
      </c>
      <c r="BT21" s="70">
        <v>-1.5663712789087673E-2</v>
      </c>
      <c r="BU21" s="70">
        <v>9.4358359564827091E-2</v>
      </c>
      <c r="BV21" s="70">
        <v>1.4253891634031927E-2</v>
      </c>
    </row>
    <row r="22" spans="1:74" ht="17.100000000000001" customHeight="1" x14ac:dyDescent="0.2">
      <c r="A22" s="117" t="s">
        <v>55</v>
      </c>
      <c r="B22" s="70" t="e">
        <v>#VALUE!</v>
      </c>
      <c r="C22" s="70" t="e">
        <v>#DIV/0!</v>
      </c>
      <c r="D22" s="70" t="e">
        <v>#DIV/0!</v>
      </c>
      <c r="E22" s="70" t="e">
        <v>#DIV/0!</v>
      </c>
      <c r="F22" s="70" t="e">
        <v>#DIV/0!</v>
      </c>
      <c r="G22" s="70" t="e">
        <v>#DIV/0!</v>
      </c>
      <c r="H22" s="70" t="e">
        <v>#DIV/0!</v>
      </c>
      <c r="I22" s="70">
        <v>0.22995751261818731</v>
      </c>
      <c r="J22" s="70">
        <v>-7.0901202677297784E-2</v>
      </c>
      <c r="K22" s="70">
        <v>5.7998508735675462E-2</v>
      </c>
      <c r="L22" s="70">
        <v>-0.13782199857738156</v>
      </c>
      <c r="M22" s="70">
        <v>0.13874323034527206</v>
      </c>
      <c r="N22" s="70">
        <v>0.22345070749234258</v>
      </c>
      <c r="O22" s="70">
        <v>4.3262845962277807E-2</v>
      </c>
      <c r="P22" s="70">
        <v>4.0363401580585948E-2</v>
      </c>
      <c r="Q22" s="70">
        <v>1.6064249130521711E-2</v>
      </c>
      <c r="R22" s="70">
        <v>-7.6054546454808455E-2</v>
      </c>
      <c r="S22" s="70">
        <v>7.826324952085309E-2</v>
      </c>
      <c r="T22" s="70">
        <v>0.17788489729216503</v>
      </c>
      <c r="U22" s="70">
        <v>-0.18301967963361573</v>
      </c>
      <c r="V22" s="70">
        <v>8.0508994310625748E-2</v>
      </c>
      <c r="W22" s="70">
        <v>8.4172558942602754E-2</v>
      </c>
      <c r="X22" s="70">
        <v>3.696374824293322E-2</v>
      </c>
      <c r="Y22" s="70">
        <v>3.7860086242386536E-2</v>
      </c>
      <c r="Z22" s="70">
        <v>0.27179660730122235</v>
      </c>
      <c r="AA22" s="70">
        <v>-0.10422531401741851</v>
      </c>
      <c r="AB22" s="70">
        <v>-4.2172460604840853E-2</v>
      </c>
      <c r="AC22" s="70">
        <v>-5.3938363568618454E-2</v>
      </c>
      <c r="AD22" s="70">
        <v>1.3040935749756547E-2</v>
      </c>
      <c r="AE22" s="70">
        <v>2.3571034976248677E-2</v>
      </c>
      <c r="AF22" s="70">
        <v>-1.0021781093353147E-2</v>
      </c>
      <c r="AG22" s="70">
        <v>9.2723904125628712E-2</v>
      </c>
      <c r="AH22" s="70">
        <v>0.23406064611523103</v>
      </c>
      <c r="AI22" s="70">
        <v>-0.19469663782421776</v>
      </c>
      <c r="AJ22" s="70">
        <v>0.30078914816511121</v>
      </c>
      <c r="AK22" s="70">
        <v>0.17259028418205685</v>
      </c>
      <c r="AL22" s="70">
        <v>5.0483315623941462E-2</v>
      </c>
      <c r="AM22" s="70">
        <v>0.18699986467749941</v>
      </c>
      <c r="AN22" s="70">
        <v>0.10309818478822896</v>
      </c>
      <c r="AO22" s="70">
        <v>-1.5632396650834185E-2</v>
      </c>
      <c r="AP22" s="70">
        <v>1.8588985463212589E-2</v>
      </c>
      <c r="AQ22" s="70">
        <v>-2.8094644482081609E-2</v>
      </c>
      <c r="AR22" s="70">
        <v>4.9707926372299788E-2</v>
      </c>
      <c r="AS22" s="70">
        <v>-6.3244975329774106E-2</v>
      </c>
      <c r="AT22" s="70">
        <v>4.397374441919949E-2</v>
      </c>
      <c r="AU22" s="70">
        <v>-4.1759811256285072E-3</v>
      </c>
      <c r="AV22" s="70">
        <v>0.23366480540380669</v>
      </c>
      <c r="AW22" s="70">
        <v>-3.9157606422608376E-2</v>
      </c>
      <c r="AX22" s="70">
        <v>-0.2204509088501414</v>
      </c>
      <c r="AY22" s="70">
        <v>-1.2801145353542325</v>
      </c>
      <c r="AZ22" s="70">
        <v>0.93829915240268591</v>
      </c>
      <c r="BA22" s="70">
        <v>5.3204145228427688E-2</v>
      </c>
      <c r="BB22" s="70">
        <v>0.47518329125882175</v>
      </c>
      <c r="BC22" s="70">
        <v>-0.35013231356260177</v>
      </c>
      <c r="BD22" s="70">
        <v>-9.430837722516662E-2</v>
      </c>
      <c r="BE22" s="70">
        <v>0.33630542752883391</v>
      </c>
      <c r="BF22" s="70">
        <v>-0.35458168043277866</v>
      </c>
      <c r="BG22" s="70">
        <v>-7.4850965982839995E-2</v>
      </c>
      <c r="BH22" s="70">
        <v>0.13845534239124263</v>
      </c>
      <c r="BI22" s="70">
        <v>0.30589040363215975</v>
      </c>
      <c r="BJ22" s="70">
        <v>-1.8230104236088684E-2</v>
      </c>
      <c r="BK22" s="70">
        <v>0.23745762890845837</v>
      </c>
      <c r="BL22" s="70">
        <v>-4.9641465761388288E-2</v>
      </c>
      <c r="BM22" s="70">
        <v>-0.13966321137613735</v>
      </c>
      <c r="BN22" s="70">
        <v>0.29833958766792995</v>
      </c>
      <c r="BO22" s="70">
        <v>0.32844565842180568</v>
      </c>
      <c r="BP22" s="70">
        <v>-0.18857773088413507</v>
      </c>
      <c r="BQ22" s="70">
        <v>2.8571134166473427E-2</v>
      </c>
      <c r="BR22" s="70">
        <v>0.18941990440078268</v>
      </c>
      <c r="BS22" s="70">
        <v>-0.51546345810556848</v>
      </c>
      <c r="BT22" s="70">
        <v>0.72614800866916518</v>
      </c>
      <c r="BU22" s="70">
        <v>5.2989087011012195E-2</v>
      </c>
      <c r="BV22" s="70">
        <v>-0.15473399670638041</v>
      </c>
    </row>
    <row r="23" spans="1:74" ht="17.100000000000001" customHeight="1" x14ac:dyDescent="0.2">
      <c r="A23" s="117" t="s">
        <v>54</v>
      </c>
      <c r="B23" s="70" t="e">
        <v>#VALUE!</v>
      </c>
      <c r="C23" s="70" t="e">
        <v>#DIV/0!</v>
      </c>
      <c r="D23" s="70" t="e">
        <v>#DIV/0!</v>
      </c>
      <c r="E23" s="70" t="e">
        <v>#DIV/0!</v>
      </c>
      <c r="F23" s="70" t="e">
        <v>#DIV/0!</v>
      </c>
      <c r="G23" s="70" t="e">
        <v>#DIV/0!</v>
      </c>
      <c r="H23" s="70" t="e">
        <v>#DIV/0!</v>
      </c>
      <c r="I23" s="70">
        <v>0.31404587027613518</v>
      </c>
      <c r="J23" s="70">
        <v>6.7409520535793729E-2</v>
      </c>
      <c r="K23" s="70">
        <v>3.90638319181923E-2</v>
      </c>
      <c r="L23" s="70">
        <v>2.2899279190075436E-2</v>
      </c>
      <c r="M23" s="70">
        <v>-2.4922210743892191E-2</v>
      </c>
      <c r="N23" s="70">
        <v>4.4304278931408828E-2</v>
      </c>
      <c r="O23" s="70">
        <v>0.17822449003723687</v>
      </c>
      <c r="P23" s="70">
        <v>-6.9663388349149508E-2</v>
      </c>
      <c r="Q23" s="70">
        <v>8.8479080791547718E-2</v>
      </c>
      <c r="R23" s="70">
        <v>0.12599442916992634</v>
      </c>
      <c r="S23" s="70">
        <v>-1.6854487948261922E-2</v>
      </c>
      <c r="T23" s="70">
        <v>3.9005236011358725E-2</v>
      </c>
      <c r="U23" s="70">
        <v>5.9060887001660428E-2</v>
      </c>
      <c r="V23" s="70">
        <v>0.14356805756445296</v>
      </c>
      <c r="W23" s="70">
        <v>2.9238924202237039E-2</v>
      </c>
      <c r="X23" s="70">
        <v>0.14275318855685543</v>
      </c>
      <c r="Y23" s="70">
        <v>-1.6621361028782724E-2</v>
      </c>
      <c r="Z23" s="70">
        <v>-6.1137772496152772E-2</v>
      </c>
      <c r="AA23" s="70">
        <v>6.8292998020402756E-2</v>
      </c>
      <c r="AB23" s="70">
        <v>-9.6965204700000668E-2</v>
      </c>
      <c r="AC23" s="70">
        <v>4.2869990825097938E-2</v>
      </c>
      <c r="AD23" s="70">
        <v>2.746878720376408E-2</v>
      </c>
      <c r="AE23" s="70">
        <v>2.5376910779078068E-2</v>
      </c>
      <c r="AF23" s="70">
        <v>0.10336183948074318</v>
      </c>
      <c r="AG23" s="70">
        <v>4.0889285380244819E-2</v>
      </c>
      <c r="AH23" s="70">
        <v>-0.12644734077300351</v>
      </c>
      <c r="AI23" s="70">
        <v>0.40440620517976889</v>
      </c>
      <c r="AJ23" s="70">
        <v>-7.084844354573408E-2</v>
      </c>
      <c r="AK23" s="70">
        <v>0.12079944384521717</v>
      </c>
      <c r="AL23" s="70">
        <v>9.9429497438969908E-2</v>
      </c>
      <c r="AM23" s="70">
        <v>3.2028277285779526E-2</v>
      </c>
      <c r="AN23" s="70">
        <v>1.1109386961364228E-2</v>
      </c>
      <c r="AO23" s="70">
        <v>6.9120783100957456E-2</v>
      </c>
      <c r="AP23" s="70">
        <v>8.3811784226054162E-2</v>
      </c>
      <c r="AQ23" s="70">
        <v>-2.8216889850475806E-2</v>
      </c>
      <c r="AR23" s="70">
        <v>-0.17893988746220618</v>
      </c>
      <c r="AS23" s="70">
        <v>-6.1545757689660086E-2</v>
      </c>
      <c r="AT23" s="70">
        <v>4.1357774800085713E-2</v>
      </c>
      <c r="AU23" s="70">
        <v>0.11548541371379942</v>
      </c>
      <c r="AV23" s="70">
        <v>0.25239448839370709</v>
      </c>
      <c r="AW23" s="70">
        <v>0.121357926477689</v>
      </c>
      <c r="AX23" s="70">
        <v>-0.13609934572364751</v>
      </c>
      <c r="AY23" s="70">
        <v>-9.5439377731004083E-2</v>
      </c>
      <c r="AZ23" s="70">
        <v>0.12856531137092272</v>
      </c>
      <c r="BA23" s="70">
        <v>0.15250055258977066</v>
      </c>
      <c r="BB23" s="70">
        <v>0.16857110988998064</v>
      </c>
      <c r="BC23" s="70">
        <v>0.12582437636734389</v>
      </c>
      <c r="BD23" s="70">
        <v>-0.16541029366379315</v>
      </c>
      <c r="BE23" s="70">
        <v>9.6898603769218078E-2</v>
      </c>
      <c r="BF23" s="70">
        <v>6.7617196865993101E-2</v>
      </c>
      <c r="BG23" s="70">
        <v>3.7338663573865678E-2</v>
      </c>
      <c r="BH23" s="70">
        <v>-9.6316001671955309E-2</v>
      </c>
      <c r="BI23" s="70">
        <v>0.1166438341206003</v>
      </c>
      <c r="BJ23" s="70">
        <v>0.22484741432532801</v>
      </c>
      <c r="BK23" s="70">
        <v>0.15918911563306612</v>
      </c>
      <c r="BL23" s="70">
        <v>8.3586885681920256E-2</v>
      </c>
      <c r="BM23" s="70">
        <v>-5.6189943122809664E-2</v>
      </c>
      <c r="BN23" s="70">
        <v>-0.1396678299231322</v>
      </c>
      <c r="BO23" s="70">
        <v>-0.32160402953966938</v>
      </c>
      <c r="BP23" s="70">
        <v>0.51830405048579353</v>
      </c>
      <c r="BQ23" s="70">
        <v>-0.10891082252478129</v>
      </c>
      <c r="BR23" s="70">
        <v>0.3006709714878204</v>
      </c>
      <c r="BS23" s="70">
        <v>-0.42192873248909185</v>
      </c>
      <c r="BT23" s="70">
        <v>9.7140187554095148E-2</v>
      </c>
      <c r="BU23" s="70">
        <v>0.13176279257275611</v>
      </c>
      <c r="BV23" s="70">
        <v>0.56775196274034023</v>
      </c>
    </row>
    <row r="24" spans="1:74" ht="17.100000000000001" customHeight="1" x14ac:dyDescent="0.2">
      <c r="A24" s="117" t="s">
        <v>72</v>
      </c>
      <c r="B24" s="70" t="e">
        <v>#VALUE!</v>
      </c>
      <c r="C24" s="70" t="e">
        <v>#DIV/0!</v>
      </c>
      <c r="D24" s="70" t="e">
        <v>#DIV/0!</v>
      </c>
      <c r="E24" s="70" t="e">
        <v>#DIV/0!</v>
      </c>
      <c r="F24" s="70" t="e">
        <v>#DIV/0!</v>
      </c>
      <c r="G24" s="70" t="e">
        <v>#DIV/0!</v>
      </c>
      <c r="H24" s="70" t="e">
        <v>#DIV/0!</v>
      </c>
      <c r="I24" s="70">
        <v>0.38805480120823516</v>
      </c>
      <c r="J24" s="70">
        <v>0.15761136272112855</v>
      </c>
      <c r="K24" s="70">
        <v>-1.1164468518526979E-3</v>
      </c>
      <c r="L24" s="70">
        <v>0.49746820004509573</v>
      </c>
      <c r="M24" s="70">
        <v>-0.44245306978156945</v>
      </c>
      <c r="N24" s="70">
        <v>-0.19966388634047794</v>
      </c>
      <c r="O24" s="70">
        <v>0.36441021775819343</v>
      </c>
      <c r="P24" s="70">
        <v>-8.3403458689587179E-2</v>
      </c>
      <c r="Q24" s="70">
        <v>-6.5396556228945302E-2</v>
      </c>
      <c r="R24" s="70">
        <v>0.11731540832281029</v>
      </c>
      <c r="S24" s="70">
        <v>-7.3332122329393068E-2</v>
      </c>
      <c r="T24" s="70">
        <v>0.13445204335342056</v>
      </c>
      <c r="U24" s="70">
        <v>3.992929959040719E-2</v>
      </c>
      <c r="V24" s="70">
        <v>1.0041766743581567E-2</v>
      </c>
      <c r="W24" s="70">
        <v>6.1062236721146274E-2</v>
      </c>
      <c r="X24" s="70">
        <v>5.8198316060173255E-2</v>
      </c>
      <c r="Y24" s="70">
        <v>0.18063039877945761</v>
      </c>
      <c r="Z24" s="70">
        <v>0.24268597589615168</v>
      </c>
      <c r="AA24" s="70">
        <v>0.11472731530576068</v>
      </c>
      <c r="AB24" s="70">
        <v>-0.19380368764013756</v>
      </c>
      <c r="AC24" s="70">
        <v>0.47169344841146477</v>
      </c>
      <c r="AD24" s="70">
        <v>-0.24729209972477745</v>
      </c>
      <c r="AE24" s="70">
        <v>3.3529247515034673E-2</v>
      </c>
      <c r="AF24" s="70">
        <v>0.28357447277252573</v>
      </c>
      <c r="AG24" s="70">
        <v>-1.7904714959714949E-2</v>
      </c>
      <c r="AH24" s="70">
        <v>-2.3227425546536087E-2</v>
      </c>
      <c r="AI24" s="70">
        <v>-9.0068674689535708E-2</v>
      </c>
      <c r="AJ24" s="70">
        <v>-0.10920047348998595</v>
      </c>
      <c r="AK24" s="70">
        <v>-3.4735913564654441E-2</v>
      </c>
      <c r="AL24" s="70">
        <v>0.18820825136300867</v>
      </c>
      <c r="AM24" s="70">
        <v>1.7176459833214103E-2</v>
      </c>
      <c r="AN24" s="70">
        <v>-5.664413342700729E-2</v>
      </c>
      <c r="AO24" s="70">
        <v>8.4012095124727987E-2</v>
      </c>
      <c r="AP24" s="70">
        <v>-0.18029158630112904</v>
      </c>
      <c r="AQ24" s="70">
        <v>0.18674509483524979</v>
      </c>
      <c r="AR24" s="70">
        <v>1.9172940974877161E-2</v>
      </c>
      <c r="AS24" s="70">
        <v>0.1333364163555735</v>
      </c>
      <c r="AT24" s="70">
        <v>8.9640098327047626E-2</v>
      </c>
      <c r="AU24" s="70">
        <v>0.13217425880457132</v>
      </c>
      <c r="AV24" s="70">
        <v>0.15969769720226681</v>
      </c>
      <c r="AW24" s="70">
        <v>7.276567812360453E-2</v>
      </c>
      <c r="AX24" s="70">
        <v>-0.10726787297875129</v>
      </c>
      <c r="AY24" s="70">
        <v>-0.34052536425727609</v>
      </c>
      <c r="AZ24" s="70">
        <v>0.50975744000897316</v>
      </c>
      <c r="BA24" s="70">
        <v>-9.5084285819422965E-2</v>
      </c>
      <c r="BB24" s="70">
        <v>0.28237638182087277</v>
      </c>
      <c r="BC24" s="70">
        <v>-0.11910737294740573</v>
      </c>
      <c r="BD24" s="70">
        <v>-5.4586943152010896E-2</v>
      </c>
      <c r="BE24" s="70">
        <v>-4.8344608802849874E-2</v>
      </c>
      <c r="BF24" s="70">
        <v>0.46453498553883321</v>
      </c>
      <c r="BG24" s="70">
        <v>-0.16928876381130276</v>
      </c>
      <c r="BH24" s="70">
        <v>-0.1696987864563147</v>
      </c>
      <c r="BI24" s="70">
        <v>0.24792201228892108</v>
      </c>
      <c r="BJ24" s="70">
        <v>-0.42026364677913086</v>
      </c>
      <c r="BK24" s="70">
        <v>0.49463271812992166</v>
      </c>
      <c r="BL24" s="70">
        <v>-0.26462106544654251</v>
      </c>
      <c r="BM24" s="70">
        <v>0.13275325286077572</v>
      </c>
      <c r="BN24" s="70">
        <v>-0.136918665802713</v>
      </c>
      <c r="BO24" s="70">
        <v>0.27739063314214846</v>
      </c>
      <c r="BP24" s="70">
        <v>9.9760312948836433E-3</v>
      </c>
      <c r="BQ24" s="70">
        <v>-0.11819938476909581</v>
      </c>
      <c r="BR24" s="70">
        <v>3.5640715739850587E-2</v>
      </c>
      <c r="BS24" s="70">
        <v>8.2596764227236982E-2</v>
      </c>
      <c r="BT24" s="70">
        <v>0.19694458086840566</v>
      </c>
      <c r="BU24" s="70">
        <v>-0.11724310117585506</v>
      </c>
      <c r="BV24" s="70">
        <v>-1.3030552656135412E-3</v>
      </c>
    </row>
    <row r="25" spans="1:74" ht="17.100000000000001" customHeight="1" x14ac:dyDescent="0.2">
      <c r="A25" s="117" t="s">
        <v>14</v>
      </c>
      <c r="B25" s="70" t="e">
        <v>#VALUE!</v>
      </c>
      <c r="C25" s="70" t="e">
        <v>#DIV/0!</v>
      </c>
      <c r="D25" s="70" t="e">
        <v>#DIV/0!</v>
      </c>
      <c r="E25" s="70" t="e">
        <v>#DIV/0!</v>
      </c>
      <c r="F25" s="70" t="e">
        <v>#DIV/0!</v>
      </c>
      <c r="G25" s="70" t="e">
        <v>#DIV/0!</v>
      </c>
      <c r="H25" s="70" t="e">
        <v>#DIV/0!</v>
      </c>
      <c r="I25" s="70">
        <v>0.29639893933712375</v>
      </c>
      <c r="J25" s="70">
        <v>0.17659207727270496</v>
      </c>
      <c r="K25" s="70">
        <v>0.14809264348801957</v>
      </c>
      <c r="L25" s="70">
        <v>0.10331181014728312</v>
      </c>
      <c r="M25" s="70">
        <v>-0.35670714491057465</v>
      </c>
      <c r="N25" s="70">
        <v>0.29804287935779489</v>
      </c>
      <c r="O25" s="70">
        <v>-0.2980376302896553</v>
      </c>
      <c r="P25" s="70">
        <v>0.1047902763790632</v>
      </c>
      <c r="Q25" s="70">
        <v>0.12687936054057622</v>
      </c>
      <c r="R25" s="70">
        <v>0.19921885949589452</v>
      </c>
      <c r="S25" s="70">
        <v>0.43695109039668528</v>
      </c>
      <c r="T25" s="70">
        <v>-0.1987080014052007</v>
      </c>
      <c r="U25" s="70">
        <v>-8.5382217247564784E-2</v>
      </c>
      <c r="V25" s="70">
        <v>0.16862402053166015</v>
      </c>
      <c r="W25" s="70">
        <v>-1.5838476179403021E-2</v>
      </c>
      <c r="X25" s="70">
        <v>0.15138879290989302</v>
      </c>
      <c r="Y25" s="70">
        <v>0.18472439818805611</v>
      </c>
      <c r="Z25" s="70">
        <v>5.808580320497081E-2</v>
      </c>
      <c r="AA25" s="70">
        <v>-1.1640981304841486E-3</v>
      </c>
      <c r="AB25" s="70">
        <v>0.10224122362529728</v>
      </c>
      <c r="AC25" s="70">
        <v>0.13858067418503517</v>
      </c>
      <c r="AD25" s="70">
        <v>7.8036752198013246E-2</v>
      </c>
      <c r="AE25" s="70">
        <v>0.22502391000141661</v>
      </c>
      <c r="AF25" s="70">
        <v>0.14865677567936814</v>
      </c>
      <c r="AG25" s="70">
        <v>-7.7767903470041047E-2</v>
      </c>
      <c r="AH25" s="70">
        <v>4.9279822144671907E-2</v>
      </c>
      <c r="AI25" s="70">
        <v>8.4924671543750614E-3</v>
      </c>
      <c r="AJ25" s="70">
        <v>-8.4648966991472799E-2</v>
      </c>
      <c r="AK25" s="70">
        <v>6.2538743763089807E-2</v>
      </c>
      <c r="AL25" s="70">
        <v>0.1327194191282523</v>
      </c>
      <c r="AM25" s="70">
        <v>0.21604688533792402</v>
      </c>
      <c r="AN25" s="70">
        <v>0.1394656441755438</v>
      </c>
      <c r="AO25" s="70">
        <v>0.29070231956078735</v>
      </c>
      <c r="AP25" s="70">
        <v>6.4943401594439829E-2</v>
      </c>
      <c r="AQ25" s="70">
        <v>0.16743781231427249</v>
      </c>
      <c r="AR25" s="70">
        <v>0.32911480546313887</v>
      </c>
      <c r="AS25" s="70">
        <v>8.0716940700066922E-2</v>
      </c>
      <c r="AT25" s="70">
        <v>7.1231277288441475E-2</v>
      </c>
      <c r="AU25" s="70">
        <v>-0.10102094285446128</v>
      </c>
      <c r="AV25" s="70">
        <v>0.24849917293114798</v>
      </c>
      <c r="AW25" s="70">
        <v>-0.1327769642781951</v>
      </c>
      <c r="AX25" s="70">
        <v>0.36952092857130958</v>
      </c>
      <c r="AY25" s="70">
        <v>4.2333907756241108E-2</v>
      </c>
      <c r="AZ25" s="70">
        <v>-3.6935861395827413E-2</v>
      </c>
      <c r="BA25" s="70">
        <v>1.6373427527373367E-2</v>
      </c>
      <c r="BB25" s="70">
        <v>8.3082526173899718E-2</v>
      </c>
      <c r="BC25" s="70">
        <v>0.18471155840282175</v>
      </c>
      <c r="BD25" s="70">
        <v>0.17381408701788373</v>
      </c>
      <c r="BE25" s="70">
        <v>0.19684887971781018</v>
      </c>
      <c r="BF25" s="70">
        <v>9.8040051088578412E-2</v>
      </c>
      <c r="BG25" s="70">
        <v>0.14668691223817851</v>
      </c>
      <c r="BH25" s="70">
        <v>0.15076764516085481</v>
      </c>
      <c r="BI25" s="70">
        <v>8.679183593668531E-2</v>
      </c>
      <c r="BJ25" s="70">
        <v>4.594352593152834E-2</v>
      </c>
      <c r="BK25" s="70">
        <v>0.23959787746223238</v>
      </c>
      <c r="BL25" s="70">
        <v>0.14120538665392007</v>
      </c>
      <c r="BM25" s="70">
        <v>0.15775384259039341</v>
      </c>
      <c r="BN25" s="70">
        <v>5.0476367677745805E-2</v>
      </c>
      <c r="BO25" s="70">
        <v>3.658013765313984E-2</v>
      </c>
      <c r="BP25" s="70">
        <v>3.1671734181941895E-3</v>
      </c>
      <c r="BQ25" s="70">
        <v>0.12789502035885503</v>
      </c>
      <c r="BR25" s="70">
        <v>0.29731222506955102</v>
      </c>
      <c r="BS25" s="70">
        <v>5.2300416203435876E-3</v>
      </c>
      <c r="BT25" s="70">
        <v>0.13687174405232838</v>
      </c>
      <c r="BU25" s="70">
        <v>-5.9352032919786643E-3</v>
      </c>
      <c r="BV25" s="70">
        <v>0.33360132871847198</v>
      </c>
    </row>
    <row r="26" spans="1:74" ht="17.100000000000001" customHeight="1" x14ac:dyDescent="0.2">
      <c r="A26" s="117" t="s">
        <v>56</v>
      </c>
      <c r="B26" s="70" t="e">
        <v>#VALUE!</v>
      </c>
      <c r="C26" s="70" t="e">
        <v>#DIV/0!</v>
      </c>
      <c r="D26" s="70" t="e">
        <v>#DIV/0!</v>
      </c>
      <c r="E26" s="70" t="e">
        <v>#DIV/0!</v>
      </c>
      <c r="F26" s="70" t="e">
        <v>#DIV/0!</v>
      </c>
      <c r="G26" s="70" t="e">
        <v>#DIV/0!</v>
      </c>
      <c r="H26" s="70" t="e">
        <v>#DIV/0!</v>
      </c>
      <c r="I26" s="70">
        <v>0.55386518993805622</v>
      </c>
      <c r="J26" s="70">
        <v>4.1643664000150045</v>
      </c>
      <c r="K26" s="70">
        <v>-0.44378542742008154</v>
      </c>
      <c r="L26" s="70">
        <v>0.17081946871183426</v>
      </c>
      <c r="M26" s="70">
        <v>-0.92699071520011433</v>
      </c>
      <c r="N26" s="70">
        <v>-1.2170858650750986</v>
      </c>
      <c r="O26" s="70">
        <v>0.26485395423761371</v>
      </c>
      <c r="P26" s="70">
        <v>-0.33763667289650529</v>
      </c>
      <c r="Q26" s="70">
        <v>0.21858606626143895</v>
      </c>
      <c r="R26" s="70">
        <v>1.2683465632957671</v>
      </c>
      <c r="S26" s="70">
        <v>-0.45168837216244012</v>
      </c>
      <c r="T26" s="70">
        <v>-7.2928854213493016E-2</v>
      </c>
      <c r="U26" s="70">
        <v>-0.10596967884369585</v>
      </c>
      <c r="V26" s="70">
        <v>-0.56928088263708043</v>
      </c>
      <c r="W26" s="70">
        <v>0.53165723674797127</v>
      </c>
      <c r="X26" s="70">
        <v>-0.67553145226067346</v>
      </c>
      <c r="Y26" s="70">
        <v>0.50533008032195881</v>
      </c>
      <c r="Z26" s="70">
        <v>0.5191014648629122</v>
      </c>
      <c r="AA26" s="70">
        <v>-0.1341188619592574</v>
      </c>
      <c r="AB26" s="70">
        <v>-0.31408450509600699</v>
      </c>
      <c r="AC26" s="70">
        <v>-0.17197006397339476</v>
      </c>
      <c r="AD26" s="70">
        <v>0.14694242724049278</v>
      </c>
      <c r="AE26" s="70">
        <v>-0.19707799086350311</v>
      </c>
      <c r="AF26" s="70">
        <v>9.1445135058438737E-2</v>
      </c>
      <c r="AG26" s="70">
        <v>0.26092328793602204</v>
      </c>
      <c r="AH26" s="70">
        <v>-0.31591867338570778</v>
      </c>
      <c r="AI26" s="70">
        <v>-9.0856460357161176E-2</v>
      </c>
      <c r="AJ26" s="70">
        <v>-7.3693521245193946E-2</v>
      </c>
      <c r="AK26" s="70">
        <v>-0.26931116577438152</v>
      </c>
      <c r="AL26" s="70">
        <v>-0.1578297300169913</v>
      </c>
      <c r="AM26" s="70">
        <v>5.7737561173619119E-2</v>
      </c>
      <c r="AN26" s="70">
        <v>0.19784090480559993</v>
      </c>
      <c r="AO26" s="70">
        <v>4.0249580638889518E-3</v>
      </c>
      <c r="AP26" s="70">
        <v>4.1340337847878203E-2</v>
      </c>
      <c r="AQ26" s="70">
        <v>0.10681284278779873</v>
      </c>
      <c r="AR26" s="70">
        <v>-9.7260306645716846E-2</v>
      </c>
      <c r="AS26" s="70">
        <v>-0.14588560604586115</v>
      </c>
      <c r="AT26" s="70">
        <v>0.31477747851589588</v>
      </c>
      <c r="AU26" s="70">
        <v>0.29703610621760412</v>
      </c>
      <c r="AV26" s="70">
        <v>0.20358565990225833</v>
      </c>
      <c r="AW26" s="70">
        <v>-0.24762173990477798</v>
      </c>
      <c r="AX26" s="70">
        <v>-0.76817588878545184</v>
      </c>
      <c r="AY26" s="70">
        <v>0.40091375449074418</v>
      </c>
      <c r="AZ26" s="70">
        <v>-0.15998159076126134</v>
      </c>
      <c r="BA26" s="70">
        <v>0.35016331080102248</v>
      </c>
      <c r="BB26" s="70">
        <v>0.17290602232296767</v>
      </c>
      <c r="BC26" s="70">
        <v>-2.796075282219811E-2</v>
      </c>
      <c r="BD26" s="70">
        <v>0.13175573759899273</v>
      </c>
      <c r="BE26" s="70">
        <v>-0.15043489363362345</v>
      </c>
      <c r="BF26" s="70">
        <v>-0.25928313732944974</v>
      </c>
      <c r="BG26" s="70">
        <v>9.2518370785414569E-2</v>
      </c>
      <c r="BH26" s="70">
        <v>1.4795631933062221</v>
      </c>
      <c r="BI26" s="70">
        <v>-0.91409871789267694</v>
      </c>
      <c r="BJ26" s="70">
        <v>-0.15214147534360925</v>
      </c>
      <c r="BK26" s="70">
        <v>-0.12125250325971405</v>
      </c>
      <c r="BL26" s="70">
        <v>-0.13348730788862517</v>
      </c>
      <c r="BM26" s="70">
        <v>1.4971815917709534</v>
      </c>
      <c r="BN26" s="70">
        <v>-1.0157738445255888</v>
      </c>
      <c r="BO26" s="70">
        <v>-3.0849316950159491E-2</v>
      </c>
      <c r="BP26" s="70">
        <v>-0.22116175049378084</v>
      </c>
      <c r="BQ26" s="70">
        <v>0.41849553950519491</v>
      </c>
      <c r="BR26" s="70">
        <v>0.15159704395811499</v>
      </c>
      <c r="BS26" s="70">
        <v>8.6003309832098251E-2</v>
      </c>
      <c r="BT26" s="70">
        <v>-0.46145986876583289</v>
      </c>
      <c r="BU26" s="70">
        <v>-0.24029617937725373</v>
      </c>
      <c r="BV26" s="70">
        <v>0.76509981992669351</v>
      </c>
    </row>
    <row r="27" spans="1:74" ht="17.100000000000001" customHeight="1" x14ac:dyDescent="0.2">
      <c r="A27" s="117" t="s">
        <v>57</v>
      </c>
      <c r="B27" s="70" t="e">
        <v>#VALUE!</v>
      </c>
      <c r="C27" s="70" t="e">
        <v>#DIV/0!</v>
      </c>
      <c r="D27" s="70" t="e">
        <v>#DIV/0!</v>
      </c>
      <c r="E27" s="70" t="e">
        <v>#DIV/0!</v>
      </c>
      <c r="F27" s="70" t="e">
        <v>#DIV/0!</v>
      </c>
      <c r="G27" s="70" t="e">
        <v>#DIV/0!</v>
      </c>
      <c r="H27" s="70" t="e">
        <v>#DIV/0!</v>
      </c>
      <c r="I27" s="70">
        <v>3.094319487782821E-2</v>
      </c>
      <c r="J27" s="70">
        <v>0.19003922552406288</v>
      </c>
      <c r="K27" s="70">
        <v>0.15209228576796005</v>
      </c>
      <c r="L27" s="70">
        <v>0.15564092584116687</v>
      </c>
      <c r="M27" s="70">
        <v>0.271663536592749</v>
      </c>
      <c r="N27" s="70">
        <v>-8.395847866583947E-2</v>
      </c>
      <c r="O27" s="70">
        <v>0.11711318209626377</v>
      </c>
      <c r="P27" s="70">
        <v>-3.8588983678446244E-2</v>
      </c>
      <c r="Q27" s="70">
        <v>-7.2386728134161013E-2</v>
      </c>
      <c r="R27" s="70">
        <v>-0.17403673096697347</v>
      </c>
      <c r="S27" s="70">
        <v>-4.9158375849464142E-2</v>
      </c>
      <c r="T27" s="70">
        <v>-1.4527270913569115E-2</v>
      </c>
      <c r="U27" s="70">
        <v>-7.9352501377827761E-2</v>
      </c>
      <c r="V27" s="70">
        <v>-1.0869399456023885E-2</v>
      </c>
      <c r="W27" s="70">
        <v>-5.8050482742674478E-2</v>
      </c>
      <c r="X27" s="70">
        <v>4.7047631322352741E-2</v>
      </c>
      <c r="Y27" s="70">
        <v>6.5496907197964013E-2</v>
      </c>
      <c r="Z27" s="70">
        <v>0.14334519789838462</v>
      </c>
      <c r="AA27" s="70">
        <v>0.18165907164004608</v>
      </c>
      <c r="AB27" s="70">
        <v>0.11443508876303222</v>
      </c>
      <c r="AC27" s="70">
        <v>0.18587855376585175</v>
      </c>
      <c r="AD27" s="70">
        <v>4.093379605487777E-2</v>
      </c>
      <c r="AE27" s="70">
        <v>-9.9568599308777372E-2</v>
      </c>
      <c r="AF27" s="70">
        <v>-0.1414270845589754</v>
      </c>
      <c r="AG27" s="70">
        <v>-3.2126726261859723E-2</v>
      </c>
      <c r="AH27" s="70">
        <v>-0.26780912258661749</v>
      </c>
      <c r="AI27" s="70">
        <v>5.7112919591299389E-2</v>
      </c>
      <c r="AJ27" s="70">
        <v>2.161539296071556E-2</v>
      </c>
      <c r="AK27" s="70">
        <v>2.3751217465255402E-2</v>
      </c>
      <c r="AL27" s="70">
        <v>3.8973219655709816E-2</v>
      </c>
      <c r="AM27" s="70">
        <v>7.3591727076092539E-3</v>
      </c>
      <c r="AN27" s="70">
        <v>-3.7798021869061152E-3</v>
      </c>
      <c r="AO27" s="70">
        <v>3.0448183607077279E-3</v>
      </c>
      <c r="AP27" s="70">
        <v>7.2488696692603091E-2</v>
      </c>
      <c r="AQ27" s="70">
        <v>8.6741255492788938E-2</v>
      </c>
      <c r="AR27" s="70">
        <v>7.3847666974643025E-2</v>
      </c>
      <c r="AS27" s="70">
        <v>6.3021843889602802E-2</v>
      </c>
      <c r="AT27" s="70">
        <v>9.2249427924209607E-2</v>
      </c>
      <c r="AU27" s="70">
        <v>8.613800725574286E-2</v>
      </c>
      <c r="AV27" s="70">
        <v>3.5473547837195335E-2</v>
      </c>
      <c r="AW27" s="70">
        <v>6.9923155661330574E-2</v>
      </c>
      <c r="AX27" s="70">
        <v>-0.15876780518621986</v>
      </c>
      <c r="AY27" s="70">
        <v>2.8348177981400647E-2</v>
      </c>
      <c r="AZ27" s="70">
        <v>4.8648017365924022E-2</v>
      </c>
      <c r="BA27" s="70">
        <v>5.8681756830437505E-2</v>
      </c>
      <c r="BB27" s="70">
        <v>8.1134141342234026E-3</v>
      </c>
      <c r="BC27" s="70">
        <v>-2.7920278161663554E-2</v>
      </c>
      <c r="BD27" s="70">
        <v>1.3298256530338469E-2</v>
      </c>
      <c r="BE27" s="70">
        <v>7.1253133379838643E-2</v>
      </c>
      <c r="BF27" s="70">
        <v>-1.5381848888686061E-2</v>
      </c>
      <c r="BG27" s="70">
        <v>4.5745239403295848E-2</v>
      </c>
      <c r="BH27" s="70">
        <v>0.26348651082435737</v>
      </c>
      <c r="BI27" s="70">
        <v>3.6828863416043869E-3</v>
      </c>
      <c r="BJ27" s="70">
        <v>6.2342739023895893E-2</v>
      </c>
      <c r="BK27" s="70">
        <v>-1.3393271497738699E-2</v>
      </c>
      <c r="BL27" s="70">
        <v>-3.2836565252141243E-2</v>
      </c>
      <c r="BM27" s="70">
        <v>-2.7078658686104422E-2</v>
      </c>
      <c r="BN27" s="70">
        <v>0.20482303496243939</v>
      </c>
      <c r="BO27" s="70">
        <v>8.7164076474788403E-3</v>
      </c>
      <c r="BP27" s="70">
        <v>-0.11840568363642322</v>
      </c>
      <c r="BQ27" s="70">
        <v>-1.869501562956395E-3</v>
      </c>
      <c r="BR27" s="70">
        <v>0.3463269888551348</v>
      </c>
      <c r="BS27" s="70">
        <v>-0.23030095957148486</v>
      </c>
      <c r="BT27" s="70">
        <v>3.1268122876272869E-2</v>
      </c>
      <c r="BU27" s="70">
        <v>0.58946717498878609</v>
      </c>
      <c r="BV27" s="70">
        <v>-0.20347437540843022</v>
      </c>
    </row>
    <row r="28" spans="1:74" ht="17.100000000000001" customHeight="1" x14ac:dyDescent="0.2">
      <c r="A28" s="117" t="s">
        <v>15</v>
      </c>
      <c r="B28" s="70" t="e">
        <v>#VALUE!</v>
      </c>
      <c r="C28" s="70" t="e">
        <v>#DIV/0!</v>
      </c>
      <c r="D28" s="70" t="e">
        <v>#DIV/0!</v>
      </c>
      <c r="E28" s="70" t="e">
        <v>#DIV/0!</v>
      </c>
      <c r="F28" s="70" t="e">
        <v>#DIV/0!</v>
      </c>
      <c r="G28" s="70" t="e">
        <v>#DIV/0!</v>
      </c>
      <c r="H28" s="70" t="e">
        <v>#DIV/0!</v>
      </c>
      <c r="I28" s="70">
        <v>0.1325348477930734</v>
      </c>
      <c r="J28" s="70">
        <v>0.17941066196234023</v>
      </c>
      <c r="K28" s="70">
        <v>0.13435521149104013</v>
      </c>
      <c r="L28" s="70">
        <v>0.23178135084514642</v>
      </c>
      <c r="M28" s="70">
        <v>-0.10172398626977544</v>
      </c>
      <c r="N28" s="70">
        <v>-0.10495807817926918</v>
      </c>
      <c r="O28" s="70">
        <v>-3.3763875752714625E-2</v>
      </c>
      <c r="P28" s="70">
        <v>2.0877104968370235E-2</v>
      </c>
      <c r="Q28" s="70">
        <v>3.1403967605494409E-2</v>
      </c>
      <c r="R28" s="70">
        <v>-0.10671051989911584</v>
      </c>
      <c r="S28" s="70">
        <v>0.12554060648632093</v>
      </c>
      <c r="T28" s="70">
        <v>9.3081698307351021E-3</v>
      </c>
      <c r="U28" s="70">
        <v>-7.0876204522393724E-2</v>
      </c>
      <c r="V28" s="70">
        <v>1.3899672372996207E-2</v>
      </c>
      <c r="W28" s="70">
        <v>-3.0917271969096688E-2</v>
      </c>
      <c r="X28" s="70">
        <v>-0.10482404510261951</v>
      </c>
      <c r="Y28" s="70">
        <v>2.9145265104268132E-2</v>
      </c>
      <c r="Z28" s="70">
        <v>0.19914452059008408</v>
      </c>
      <c r="AA28" s="70">
        <v>9.7091965989931389E-2</v>
      </c>
      <c r="AB28" s="70">
        <v>0.11981734079850699</v>
      </c>
      <c r="AC28" s="70">
        <v>0.18709053182071231</v>
      </c>
      <c r="AD28" s="70">
        <v>-2.0468385792472989E-2</v>
      </c>
      <c r="AE28" s="70">
        <v>-3.3784621354595569E-2</v>
      </c>
      <c r="AF28" s="70">
        <v>3.8561751787026685E-2</v>
      </c>
      <c r="AG28" s="70">
        <v>5.960031962172728E-2</v>
      </c>
      <c r="AH28" s="70">
        <v>2.3572302229193008E-2</v>
      </c>
      <c r="AI28" s="70">
        <v>0.2603501380838138</v>
      </c>
      <c r="AJ28" s="70">
        <v>6.160612921703253E-3</v>
      </c>
      <c r="AK28" s="70">
        <v>7.5942160068978082E-2</v>
      </c>
      <c r="AL28" s="70">
        <v>0.12348029614069808</v>
      </c>
      <c r="AM28" s="70">
        <v>0.21502211486724576</v>
      </c>
      <c r="AN28" s="70">
        <v>3.2840571637672365E-2</v>
      </c>
      <c r="AO28" s="70">
        <v>-3.3901085497036825E-3</v>
      </c>
      <c r="AP28" s="70">
        <v>-4.383646414215888E-2</v>
      </c>
      <c r="AQ28" s="70">
        <v>-6.8935009049371748E-2</v>
      </c>
      <c r="AR28" s="70">
        <v>0.12228849951790824</v>
      </c>
      <c r="AS28" s="70">
        <v>-5.0597029546675915E-2</v>
      </c>
      <c r="AT28" s="70">
        <v>0.11786713375923441</v>
      </c>
      <c r="AU28" s="70">
        <v>0.13709501385175646</v>
      </c>
      <c r="AV28" s="70">
        <v>0.12885519124858952</v>
      </c>
      <c r="AW28" s="70">
        <v>0.1199543748436824</v>
      </c>
      <c r="AX28" s="70">
        <v>7.6871058829477874E-3</v>
      </c>
      <c r="AY28" s="70">
        <v>6.8681699065618607E-2</v>
      </c>
      <c r="AZ28" s="70">
        <v>0.16103326080968244</v>
      </c>
      <c r="BA28" s="70">
        <v>6.0916301741079301E-2</v>
      </c>
      <c r="BB28" s="70">
        <v>0.35513300399233982</v>
      </c>
      <c r="BC28" s="70">
        <v>-0.45915523934226066</v>
      </c>
      <c r="BD28" s="70">
        <v>0.26084310480555695</v>
      </c>
      <c r="BE28" s="70">
        <v>-5.8644678026731116E-2</v>
      </c>
      <c r="BF28" s="70">
        <v>0.13284855280035687</v>
      </c>
      <c r="BG28" s="70">
        <v>-0.12236459626991122</v>
      </c>
      <c r="BH28" s="70">
        <v>0.33752729356098216</v>
      </c>
      <c r="BI28" s="70">
        <v>-0.2357894365951341</v>
      </c>
      <c r="BJ28" s="70">
        <v>-0.22116755647878453</v>
      </c>
      <c r="BK28" s="70">
        <v>0.11102277932292814</v>
      </c>
      <c r="BL28" s="70">
        <v>-0.15637731556335863</v>
      </c>
      <c r="BM28" s="70">
        <v>0.41590070285937109</v>
      </c>
      <c r="BN28" s="70">
        <v>9.5674140851995555E-3</v>
      </c>
      <c r="BO28" s="70">
        <v>0.39212243739350533</v>
      </c>
      <c r="BP28" s="70">
        <v>-0.67038110839237797</v>
      </c>
      <c r="BQ28" s="70">
        <v>0.38283165616272063</v>
      </c>
      <c r="BR28" s="70">
        <v>0.10396746290807479</v>
      </c>
      <c r="BS28" s="70">
        <v>0.16901614202552165</v>
      </c>
      <c r="BT28" s="70">
        <v>-0.73589663734750099</v>
      </c>
      <c r="BU28" s="70">
        <v>0.67055420767312246</v>
      </c>
      <c r="BV28" s="70">
        <v>3.46343357999657E-2</v>
      </c>
    </row>
    <row r="29" spans="1:74" ht="17.100000000000001" customHeight="1" x14ac:dyDescent="0.2">
      <c r="A29" s="117" t="s">
        <v>16</v>
      </c>
      <c r="B29" s="70" t="e">
        <v>#VALUE!</v>
      </c>
      <c r="C29" s="70" t="e">
        <v>#DIV/0!</v>
      </c>
      <c r="D29" s="70" t="e">
        <v>#DIV/0!</v>
      </c>
      <c r="E29" s="70" t="e">
        <v>#DIV/0!</v>
      </c>
      <c r="F29" s="70" t="e">
        <v>#DIV/0!</v>
      </c>
      <c r="G29" s="70" t="e">
        <v>#DIV/0!</v>
      </c>
      <c r="H29" s="70" t="e">
        <v>#DIV/0!</v>
      </c>
      <c r="I29" s="70">
        <v>0.2408366596362011</v>
      </c>
      <c r="J29" s="70">
        <v>-1.0658772719716245E-2</v>
      </c>
      <c r="K29" s="70">
        <v>-0.36605902962237635</v>
      </c>
      <c r="L29" s="70">
        <v>0.79427992143530479</v>
      </c>
      <c r="M29" s="70">
        <v>-0.21258113354236108</v>
      </c>
      <c r="N29" s="70">
        <v>1.8765098734704711E-2</v>
      </c>
      <c r="O29" s="70">
        <v>4.7812592843034352E-2</v>
      </c>
      <c r="P29" s="70">
        <v>0.25772131033505713</v>
      </c>
      <c r="Q29" s="70">
        <v>-6.1063258230433078E-2</v>
      </c>
      <c r="R29" s="70">
        <v>0.13233810547890582</v>
      </c>
      <c r="S29" s="70">
        <v>0.24969744815530734</v>
      </c>
      <c r="T29" s="70">
        <v>0.25872954552067468</v>
      </c>
      <c r="U29" s="70">
        <v>4.4289479190893585E-2</v>
      </c>
      <c r="V29" s="70">
        <v>-0.18148500288197245</v>
      </c>
      <c r="W29" s="70">
        <v>-0.25308450570854274</v>
      </c>
      <c r="X29" s="70">
        <v>-0.42054163500028124</v>
      </c>
      <c r="Y29" s="70">
        <v>0.10384667093567433</v>
      </c>
      <c r="Z29" s="70">
        <v>0.79962189557685404</v>
      </c>
      <c r="AA29" s="70">
        <v>1.5720281285864779</v>
      </c>
      <c r="AB29" s="70">
        <v>-2.1495010244297279</v>
      </c>
      <c r="AC29" s="70">
        <v>0.84866629819747175</v>
      </c>
      <c r="AD29" s="70">
        <v>0.40489027901219593</v>
      </c>
      <c r="AE29" s="70">
        <v>0.25317638851434798</v>
      </c>
      <c r="AF29" s="70">
        <v>6.1065107371586637E-2</v>
      </c>
      <c r="AG29" s="70">
        <v>-0.16214769649796906</v>
      </c>
      <c r="AH29" s="70">
        <v>-0.19499224780221439</v>
      </c>
      <c r="AI29" s="70">
        <v>-0.17382521901117304</v>
      </c>
      <c r="AJ29" s="70">
        <v>-2.2390750673992807E-2</v>
      </c>
      <c r="AK29" s="70">
        <v>-0.26487032577099662</v>
      </c>
      <c r="AL29" s="70">
        <v>-0.13750860782019309</v>
      </c>
      <c r="AM29" s="70">
        <v>0.12853149360948229</v>
      </c>
      <c r="AN29" s="70">
        <v>0.27373552808377122</v>
      </c>
      <c r="AO29" s="70">
        <v>5.9256633083894283E-2</v>
      </c>
      <c r="AP29" s="70">
        <v>2.0761771143494763E-2</v>
      </c>
      <c r="AQ29" s="70">
        <v>-2.0810060962887286E-2</v>
      </c>
      <c r="AR29" s="70">
        <v>0.41819319498690538</v>
      </c>
      <c r="AS29" s="70">
        <v>0.17687292617193132</v>
      </c>
      <c r="AT29" s="70">
        <v>-0.20960786637331019</v>
      </c>
      <c r="AU29" s="70">
        <v>-0.22202301519776071</v>
      </c>
      <c r="AV29" s="70">
        <v>-0.10664684947458367</v>
      </c>
      <c r="AW29" s="70">
        <v>0.32606346142782527</v>
      </c>
      <c r="AX29" s="70">
        <v>3.3747212022513677E-2</v>
      </c>
      <c r="AY29" s="70">
        <v>-0.10197325087004122</v>
      </c>
      <c r="AZ29" s="70">
        <v>-0.8483724750698477</v>
      </c>
      <c r="BA29" s="70">
        <v>0.5883214225739003</v>
      </c>
      <c r="BB29" s="70">
        <v>0.2284361060750732</v>
      </c>
      <c r="BC29" s="70">
        <v>0.13152862154713649</v>
      </c>
      <c r="BD29" s="70">
        <v>-0.50877361623305117</v>
      </c>
      <c r="BE29" s="70">
        <v>0.11319062533517905</v>
      </c>
      <c r="BF29" s="70">
        <v>0.47661979336742905</v>
      </c>
      <c r="BG29" s="70">
        <v>-0.42368934407399717</v>
      </c>
      <c r="BH29" s="70">
        <v>0.26265436684999421</v>
      </c>
      <c r="BI29" s="70">
        <v>-0.27651581611851966</v>
      </c>
      <c r="BJ29" s="70">
        <v>0.11203727320878763</v>
      </c>
      <c r="BK29" s="70">
        <v>0.28863907267607186</v>
      </c>
      <c r="BL29" s="70">
        <v>0.18899958945521578</v>
      </c>
      <c r="BM29" s="70">
        <v>-0.26854280340821601</v>
      </c>
      <c r="BN29" s="70">
        <v>-3.6396739142521485E-2</v>
      </c>
      <c r="BO29" s="70">
        <v>-1.9299773998379659E-2</v>
      </c>
      <c r="BP29" s="70">
        <v>0.16820275443263519</v>
      </c>
      <c r="BQ29" s="70">
        <v>6.9229792465518553E-2</v>
      </c>
      <c r="BR29" s="70">
        <v>5.6780170928202964E-2</v>
      </c>
      <c r="BS29" s="70">
        <v>0.15952129816461677</v>
      </c>
      <c r="BT29" s="70">
        <v>-0.11733266041826856</v>
      </c>
      <c r="BU29" s="70">
        <v>0.23294736846458008</v>
      </c>
      <c r="BV29" s="70">
        <v>-0.10404216338083358</v>
      </c>
    </row>
    <row r="30" spans="1:74" ht="17.100000000000001" customHeight="1" x14ac:dyDescent="0.2">
      <c r="A30" s="117" t="s">
        <v>58</v>
      </c>
      <c r="B30" s="70" t="e">
        <v>#VALUE!</v>
      </c>
      <c r="C30" s="70" t="e">
        <v>#DIV/0!</v>
      </c>
      <c r="D30" s="70" t="e">
        <v>#DIV/0!</v>
      </c>
      <c r="E30" s="70" t="e">
        <v>#DIV/0!</v>
      </c>
      <c r="F30" s="70" t="e">
        <v>#DIV/0!</v>
      </c>
      <c r="G30" s="70" t="e">
        <v>#DIV/0!</v>
      </c>
      <c r="H30" s="70" t="e">
        <v>#DIV/0!</v>
      </c>
      <c r="I30" s="70">
        <v>8.7483392788893655E-3</v>
      </c>
      <c r="J30" s="70">
        <v>5.3020869085321602E-2</v>
      </c>
      <c r="K30" s="70">
        <v>-1.2311707553041168E-2</v>
      </c>
      <c r="L30" s="70">
        <v>7.3246010777934051E-2</v>
      </c>
      <c r="M30" s="70">
        <v>8.9606207771021865E-2</v>
      </c>
      <c r="N30" s="70">
        <v>3.0121967349971503E-2</v>
      </c>
      <c r="O30" s="70">
        <v>-0.16071579775988129</v>
      </c>
      <c r="P30" s="70">
        <v>0.23834427953916071</v>
      </c>
      <c r="Q30" s="70">
        <v>5.6951258375103949E-3</v>
      </c>
      <c r="R30" s="70">
        <v>-2.9082316637930244E-2</v>
      </c>
      <c r="S30" s="70">
        <v>4.8305373998032631E-4</v>
      </c>
      <c r="T30" s="70">
        <v>0.1313986995502128</v>
      </c>
      <c r="U30" s="70">
        <v>1.2369432197553354E-2</v>
      </c>
      <c r="V30" s="70">
        <v>-4.6442537631231871E-2</v>
      </c>
      <c r="W30" s="70">
        <v>6.6244022004567707E-2</v>
      </c>
      <c r="X30" s="70">
        <v>-0.2401005718324811</v>
      </c>
      <c r="Y30" s="70">
        <v>-3.9494859677465209E-3</v>
      </c>
      <c r="Z30" s="70">
        <v>0.38336292070018085</v>
      </c>
      <c r="AA30" s="70">
        <v>0.6748847700722127</v>
      </c>
      <c r="AB30" s="70">
        <v>-0.87663497099542198</v>
      </c>
      <c r="AC30" s="70">
        <v>0.39654203661686194</v>
      </c>
      <c r="AD30" s="70">
        <v>0.16808652085203316</v>
      </c>
      <c r="AE30" s="70">
        <v>9.0102460604656681E-2</v>
      </c>
      <c r="AF30" s="70">
        <v>-4.5587394288154712E-2</v>
      </c>
      <c r="AG30" s="70">
        <v>-3.5343619264261696E-2</v>
      </c>
      <c r="AH30" s="70">
        <v>-8.3656763710363388E-2</v>
      </c>
      <c r="AI30" s="70">
        <v>-3.5490710487774156E-2</v>
      </c>
      <c r="AJ30" s="70">
        <v>-3.7309024270391504E-2</v>
      </c>
      <c r="AK30" s="70">
        <v>-3.5646108408261871E-3</v>
      </c>
      <c r="AL30" s="70">
        <v>0.11472391169236985</v>
      </c>
      <c r="AM30" s="70">
        <v>0.22453443256986888</v>
      </c>
      <c r="AN30" s="70">
        <v>0.1829104833956102</v>
      </c>
      <c r="AO30" s="70">
        <v>0.11011841753768854</v>
      </c>
      <c r="AP30" s="70">
        <v>4.7119819628268368E-2</v>
      </c>
      <c r="AQ30" s="70">
        <v>-4.6275978382996359E-2</v>
      </c>
      <c r="AR30" s="70">
        <v>0.18253150324946943</v>
      </c>
      <c r="AS30" s="70">
        <v>-0.11081798691270948</v>
      </c>
      <c r="AT30" s="70">
        <v>5.6068821863710011E-2</v>
      </c>
      <c r="AU30" s="70">
        <v>0.10094438762466326</v>
      </c>
      <c r="AV30" s="70">
        <v>3.2086982993231615E-2</v>
      </c>
      <c r="AW30" s="70">
        <v>-2.7730707801584233E-2</v>
      </c>
      <c r="AX30" s="70">
        <v>-5.1249727427164944E-3</v>
      </c>
      <c r="AY30" s="70">
        <v>-0.22685692425264381</v>
      </c>
      <c r="AZ30" s="70">
        <v>0.64311650126950126</v>
      </c>
      <c r="BA30" s="70">
        <v>-0.23045653950169803</v>
      </c>
      <c r="BB30" s="70">
        <v>-9.7375934861146207E-2</v>
      </c>
      <c r="BC30" s="70">
        <v>0.11180114078493165</v>
      </c>
      <c r="BD30" s="70">
        <v>9.8207921640004164E-2</v>
      </c>
      <c r="BE30" s="70">
        <v>0.43576243599620845</v>
      </c>
      <c r="BF30" s="70">
        <v>-0.16108402713499909</v>
      </c>
      <c r="BG30" s="70">
        <v>-1.9737759186781684E-2</v>
      </c>
      <c r="BH30" s="70">
        <v>0.19426225877846587</v>
      </c>
      <c r="BI30" s="70">
        <v>1.5816518782485727E-2</v>
      </c>
      <c r="BJ30" s="70">
        <v>-7.7156383980195642E-2</v>
      </c>
      <c r="BK30" s="70">
        <v>-9.3131603600783375E-2</v>
      </c>
      <c r="BL30" s="70">
        <v>-3.8860276331909353E-2</v>
      </c>
      <c r="BM30" s="70">
        <v>9.6584438651419746E-2</v>
      </c>
      <c r="BN30" s="70">
        <v>0.23506904895392117</v>
      </c>
      <c r="BO30" s="70">
        <v>0.11490041125596798</v>
      </c>
      <c r="BP30" s="70">
        <v>-0.16189232081485797</v>
      </c>
      <c r="BQ30" s="70">
        <v>2.4642232903180086E-2</v>
      </c>
      <c r="BR30" s="70">
        <v>-3.4724546990557775E-3</v>
      </c>
      <c r="BS30" s="70">
        <v>-4.7168160812594291E-2</v>
      </c>
      <c r="BT30" s="70">
        <v>0.17827680038309299</v>
      </c>
      <c r="BU30" s="70">
        <v>3.9695050885965449E-2</v>
      </c>
      <c r="BV30" s="70">
        <v>-5.0145616999563609E-2</v>
      </c>
    </row>
    <row r="31" spans="1:74" ht="17.100000000000001" customHeight="1" x14ac:dyDescent="0.2">
      <c r="A31" s="117" t="s">
        <v>71</v>
      </c>
      <c r="B31" s="70" t="e">
        <v>#VALUE!</v>
      </c>
      <c r="C31" s="70" t="e">
        <v>#DIV/0!</v>
      </c>
      <c r="D31" s="70" t="e">
        <v>#DIV/0!</v>
      </c>
      <c r="E31" s="70" t="e">
        <v>#DIV/0!</v>
      </c>
      <c r="F31" s="70" t="e">
        <v>#DIV/0!</v>
      </c>
      <c r="G31" s="70" t="e">
        <v>#DIV/0!</v>
      </c>
      <c r="H31" s="70" t="e">
        <v>#DIV/0!</v>
      </c>
      <c r="I31" s="70">
        <v>-2.6283335481387515E-2</v>
      </c>
      <c r="J31" s="70">
        <v>3.3976957028266315E-2</v>
      </c>
      <c r="K31" s="70">
        <v>1.8837571324643265E-2</v>
      </c>
      <c r="L31" s="70">
        <v>2.0887935560740412E-2</v>
      </c>
      <c r="M31" s="70">
        <v>3.2628273384243484E-2</v>
      </c>
      <c r="N31" s="70">
        <v>-0.1336854725494292</v>
      </c>
      <c r="O31" s="70">
        <v>2.0685203547215782E-2</v>
      </c>
      <c r="P31" s="70">
        <v>1.4963135663516073E-2</v>
      </c>
      <c r="Q31" s="70">
        <v>3.266112462142079E-2</v>
      </c>
      <c r="R31" s="70">
        <v>3.5281444605375835E-2</v>
      </c>
      <c r="S31" s="70">
        <v>-2.4957521373877887E-2</v>
      </c>
      <c r="T31" s="70">
        <v>4.8415288229857389E-3</v>
      </c>
      <c r="U31" s="70">
        <v>-1.2664728235587688E-2</v>
      </c>
      <c r="V31" s="70">
        <v>-1.9392633338671951E-2</v>
      </c>
      <c r="W31" s="70">
        <v>2.1576406775814738E-2</v>
      </c>
      <c r="X31" s="70">
        <v>-1.4282645152805185E-2</v>
      </c>
      <c r="Y31" s="70">
        <v>1.4883287420418867E-2</v>
      </c>
      <c r="Z31" s="70">
        <v>1.2465511520576213E-2</v>
      </c>
      <c r="AA31" s="70">
        <v>2.7295584653979412E-4</v>
      </c>
      <c r="AB31" s="70">
        <v>-1.2128581884668619E-3</v>
      </c>
      <c r="AC31" s="70">
        <v>-1.0514212586632847E-2</v>
      </c>
      <c r="AD31" s="70">
        <v>3.0609824025652735E-3</v>
      </c>
      <c r="AE31" s="70">
        <v>1.4565871639074216E-2</v>
      </c>
      <c r="AF31" s="70">
        <v>-1.2850903037221022E-2</v>
      </c>
      <c r="AG31" s="70">
        <v>6.3845564873584951E-3</v>
      </c>
      <c r="AH31" s="70">
        <v>-7.0293104438141499E-3</v>
      </c>
      <c r="AI31" s="70">
        <v>-1.2686892784514773E-2</v>
      </c>
      <c r="AJ31" s="70">
        <v>2.5322433173526017E-3</v>
      </c>
      <c r="AK31" s="70">
        <v>8.5868849891176362E-3</v>
      </c>
      <c r="AL31" s="70">
        <v>2.6354892726830191E-2</v>
      </c>
      <c r="AM31" s="70">
        <v>6.7269715124471344E-2</v>
      </c>
      <c r="AN31" s="70">
        <v>-3.5186455648469075E-2</v>
      </c>
      <c r="AO31" s="70">
        <v>4.9316209762717916E-2</v>
      </c>
      <c r="AP31" s="70">
        <v>1.3764261431291403E-2</v>
      </c>
      <c r="AQ31" s="70">
        <v>1.1760242254520593E-2</v>
      </c>
      <c r="AR31" s="70">
        <v>1.7283713832130409E-2</v>
      </c>
      <c r="AS31" s="70">
        <v>-9.2099085857693126E-3</v>
      </c>
      <c r="AT31" s="70">
        <v>1.0439315953499603E-2</v>
      </c>
      <c r="AU31" s="70">
        <v>-8.374344293245517E-3</v>
      </c>
      <c r="AV31" s="70">
        <v>5.6070773376452182E-4</v>
      </c>
      <c r="AW31" s="70">
        <v>2.4737777806051755E-3</v>
      </c>
      <c r="AX31" s="70">
        <v>-9.2601413891833101E-3</v>
      </c>
      <c r="AY31" s="70">
        <v>-4.5190079954879545E-2</v>
      </c>
      <c r="AZ31" s="70">
        <v>-7.775676325839101E-3</v>
      </c>
      <c r="BA31" s="70">
        <v>2.027321015362198E-2</v>
      </c>
      <c r="BB31" s="70">
        <v>-6.7795596096417703E-3</v>
      </c>
      <c r="BC31" s="70">
        <v>2.9050723090299553E-2</v>
      </c>
      <c r="BD31" s="70">
        <v>-3.9304603818909592E-3</v>
      </c>
      <c r="BE31" s="70">
        <v>-1.7873665431996588E-2</v>
      </c>
      <c r="BF31" s="70">
        <v>-2.7182855417186541E-2</v>
      </c>
      <c r="BG31" s="70">
        <v>1.7900091291509219E-2</v>
      </c>
      <c r="BH31" s="70">
        <v>-3.9399440833736525E-2</v>
      </c>
      <c r="BI31" s="70">
        <v>5.1408045103746094E-2</v>
      </c>
      <c r="BJ31" s="70">
        <v>6.8827953865118197E-3</v>
      </c>
      <c r="BK31" s="70">
        <v>2.7872345435413073E-2</v>
      </c>
      <c r="BL31" s="70">
        <v>-1.4524765129388391E-2</v>
      </c>
      <c r="BM31" s="70">
        <v>-2.4681681405892032E-2</v>
      </c>
      <c r="BN31" s="70">
        <v>2.1268483264677743E-2</v>
      </c>
      <c r="BO31" s="70">
        <v>-7.7097089899151134E-3</v>
      </c>
      <c r="BP31" s="70">
        <v>1.2870056420866692E-2</v>
      </c>
      <c r="BQ31" s="70">
        <v>-8.4312385342489304E-3</v>
      </c>
      <c r="BR31" s="70">
        <v>7.7232643733265802E-3</v>
      </c>
      <c r="BS31" s="70">
        <v>-2.6187570246682293E-2</v>
      </c>
      <c r="BT31" s="70">
        <v>2.4845473932407748E-2</v>
      </c>
      <c r="BU31" s="70">
        <v>-3.8326414253548671E-3</v>
      </c>
      <c r="BV31" s="70">
        <v>3.0954142504422597E-3</v>
      </c>
    </row>
    <row r="32" spans="1:74" ht="17.100000000000001" customHeight="1" x14ac:dyDescent="0.2">
      <c r="A32" s="117" t="s">
        <v>17</v>
      </c>
      <c r="B32" s="70" t="e">
        <v>#VALUE!</v>
      </c>
      <c r="C32" s="70" t="e">
        <v>#DIV/0!</v>
      </c>
      <c r="D32" s="70" t="e">
        <v>#DIV/0!</v>
      </c>
      <c r="E32" s="70" t="e">
        <v>#DIV/0!</v>
      </c>
      <c r="F32" s="70" t="e">
        <v>#DIV/0!</v>
      </c>
      <c r="G32" s="70" t="e">
        <v>#DIV/0!</v>
      </c>
      <c r="H32" s="70" t="e">
        <v>#DIV/0!</v>
      </c>
      <c r="I32" s="70">
        <v>-6.8941514651864625E-3</v>
      </c>
      <c r="J32" s="70">
        <v>1.4484661898047271E-2</v>
      </c>
      <c r="K32" s="70">
        <v>7.3594100712651329E-3</v>
      </c>
      <c r="L32" s="70">
        <v>1.6504118105582929E-2</v>
      </c>
      <c r="M32" s="70">
        <v>2.1931653305583061E-2</v>
      </c>
      <c r="N32" s="70">
        <v>3.1572175353959855E-2</v>
      </c>
      <c r="O32" s="70">
        <v>3.8484695650680835E-2</v>
      </c>
      <c r="P32" s="70">
        <v>7.9347289857011602E-2</v>
      </c>
      <c r="Q32" s="70">
        <v>2.8505520402436629E-2</v>
      </c>
      <c r="R32" s="70">
        <v>3.0356847699822487E-2</v>
      </c>
      <c r="S32" s="70">
        <v>6.4307807350681798E-2</v>
      </c>
      <c r="T32" s="70">
        <v>-8.4594711154563924E-3</v>
      </c>
      <c r="U32" s="70">
        <v>3.1396133703807887E-2</v>
      </c>
      <c r="V32" s="70">
        <v>4.8812335165838917E-2</v>
      </c>
      <c r="W32" s="70">
        <v>7.1261189009011017E-2</v>
      </c>
      <c r="X32" s="70">
        <v>3.9436486961365119E-2</v>
      </c>
      <c r="Y32" s="70">
        <v>0.14216252289498413</v>
      </c>
      <c r="Z32" s="70">
        <v>0.14279176902527113</v>
      </c>
      <c r="AA32" s="70">
        <v>-9.5977313784521845E-2</v>
      </c>
      <c r="AB32" s="70">
        <v>7.7143767765124563E-2</v>
      </c>
      <c r="AC32" s="70">
        <v>6.700438846254643E-2</v>
      </c>
      <c r="AD32" s="70">
        <v>6.4935147661363296E-2</v>
      </c>
      <c r="AE32" s="70">
        <v>7.483983555045276E-2</v>
      </c>
      <c r="AF32" s="70">
        <v>8.6316687011483734E-2</v>
      </c>
      <c r="AG32" s="70">
        <v>9.6631969755993613E-2</v>
      </c>
      <c r="AH32" s="70">
        <v>-1.2867209019389604E-2</v>
      </c>
      <c r="AI32" s="70">
        <v>-2.2853042309701619E-2</v>
      </c>
      <c r="AJ32" s="70">
        <v>-4.7019144815742535E-2</v>
      </c>
      <c r="AK32" s="70">
        <v>-5.6968937379349376E-2</v>
      </c>
      <c r="AL32" s="70">
        <v>-9.6978788647116461E-3</v>
      </c>
      <c r="AM32" s="70">
        <v>-4.0915645030472979E-2</v>
      </c>
      <c r="AN32" s="70">
        <v>-6.8904716980017584E-3</v>
      </c>
      <c r="AO32" s="70">
        <v>1.2047310492914418E-2</v>
      </c>
      <c r="AP32" s="70">
        <v>1.7141551661104787E-2</v>
      </c>
      <c r="AQ32" s="70">
        <v>9.100620158633806E-3</v>
      </c>
      <c r="AR32" s="70">
        <v>6.4625596200125895E-2</v>
      </c>
      <c r="AS32" s="70">
        <v>2.9263399571391381E-2</v>
      </c>
      <c r="AT32" s="70">
        <v>1.6037193251931613E-2</v>
      </c>
      <c r="AU32" s="70">
        <v>1.5171314645035265E-2</v>
      </c>
      <c r="AV32" s="70">
        <v>2.9547275811860965E-3</v>
      </c>
      <c r="AW32" s="70">
        <v>3.0380537657000626E-3</v>
      </c>
      <c r="AX32" s="70">
        <v>3.4823751565391426E-3</v>
      </c>
      <c r="AY32" s="70">
        <v>6.4719790108254309E-3</v>
      </c>
      <c r="AZ32" s="70">
        <v>1.1393922998008694E-2</v>
      </c>
      <c r="BA32" s="70">
        <v>3.136279221639475E-2</v>
      </c>
      <c r="BB32" s="70">
        <v>4.2871699806227251E-2</v>
      </c>
      <c r="BC32" s="70">
        <v>3.51059191463775E-2</v>
      </c>
      <c r="BD32" s="70">
        <v>2.8428619002418647E-2</v>
      </c>
      <c r="BE32" s="70">
        <v>1.9662947024843072E-2</v>
      </c>
      <c r="BF32" s="70">
        <v>1.6981113547931703E-2</v>
      </c>
      <c r="BG32" s="70">
        <v>3.5827458229345605E-2</v>
      </c>
      <c r="BH32" s="70">
        <v>2.7445600479998307E-3</v>
      </c>
      <c r="BI32" s="70">
        <v>1.1812484486047981E-2</v>
      </c>
      <c r="BJ32" s="70">
        <v>1.1474315013050939E-2</v>
      </c>
      <c r="BK32" s="70">
        <v>3.8222268053922722E-3</v>
      </c>
      <c r="BL32" s="70">
        <v>2.1241238838641201E-2</v>
      </c>
      <c r="BM32" s="70">
        <v>0.34417628768382824</v>
      </c>
      <c r="BN32" s="70">
        <v>-0.30545821978749177</v>
      </c>
      <c r="BO32" s="70">
        <v>-0.29400883745586059</v>
      </c>
      <c r="BP32" s="70">
        <v>0.28884947061706512</v>
      </c>
      <c r="BQ32" s="70">
        <v>1.2851892289271496E-2</v>
      </c>
      <c r="BR32" s="70">
        <v>-6.2787829344447396E-3</v>
      </c>
      <c r="BS32" s="70">
        <v>3.6955942434649475E-2</v>
      </c>
      <c r="BT32" s="70">
        <v>1.2092023696510553E-2</v>
      </c>
      <c r="BU32" s="70">
        <v>-0.24796734708218571</v>
      </c>
      <c r="BV32" s="70">
        <v>0.18899532045473966</v>
      </c>
    </row>
    <row r="33" spans="1:74" ht="17.100000000000001" customHeight="1" x14ac:dyDescent="0.2">
      <c r="A33" s="117" t="s">
        <v>59</v>
      </c>
      <c r="B33" s="70" t="e">
        <v>#VALUE!</v>
      </c>
      <c r="C33" s="70" t="e">
        <v>#DIV/0!</v>
      </c>
      <c r="D33" s="70" t="e">
        <v>#DIV/0!</v>
      </c>
      <c r="E33" s="70" t="e">
        <v>#DIV/0!</v>
      </c>
      <c r="F33" s="70" t="e">
        <v>#DIV/0!</v>
      </c>
      <c r="G33" s="70" t="e">
        <v>#DIV/0!</v>
      </c>
      <c r="H33" s="70" t="e">
        <v>#DIV/0!</v>
      </c>
      <c r="I33" s="70">
        <v>9.5952378494488268E-3</v>
      </c>
      <c r="J33" s="70">
        <v>8.3240910624496432E-3</v>
      </c>
      <c r="K33" s="70">
        <v>6.4512936912195307E-3</v>
      </c>
      <c r="L33" s="70">
        <v>5.1803408310406576E-3</v>
      </c>
      <c r="M33" s="70">
        <v>4.6050028965362753E-3</v>
      </c>
      <c r="N33" s="70">
        <v>4.254654931393459E-3</v>
      </c>
      <c r="O33" s="70">
        <v>3.8061987133400452E-3</v>
      </c>
      <c r="P33" s="70">
        <v>3.7338869981942409E-3</v>
      </c>
      <c r="Q33" s="70">
        <v>3.6276141731633738E-3</v>
      </c>
      <c r="R33" s="70">
        <v>3.9189606371768668E-3</v>
      </c>
      <c r="S33" s="70">
        <v>4.0211675964680477E-3</v>
      </c>
      <c r="T33" s="70">
        <v>4.2548927021555313E-3</v>
      </c>
      <c r="U33" s="70">
        <v>4.5166820694805508E-3</v>
      </c>
      <c r="V33" s="70">
        <v>5.2495766869401885E-3</v>
      </c>
      <c r="W33" s="70">
        <v>5.8608566559423961E-3</v>
      </c>
      <c r="X33" s="70">
        <v>6.6195448624559337E-3</v>
      </c>
      <c r="Y33" s="70">
        <v>1.0426360462485518E-2</v>
      </c>
      <c r="Z33" s="70">
        <v>1.4909491105188322E-2</v>
      </c>
      <c r="AA33" s="70">
        <v>-3.45623761779724E-2</v>
      </c>
      <c r="AB33" s="70">
        <v>1.8972764073762523E-2</v>
      </c>
      <c r="AC33" s="70">
        <v>1.5979914969295572E-2</v>
      </c>
      <c r="AD33" s="70">
        <v>1.1746314566469667E-2</v>
      </c>
      <c r="AE33" s="70">
        <v>8.0062460798166219E-3</v>
      </c>
      <c r="AF33" s="70">
        <v>4.1599114901260358E-3</v>
      </c>
      <c r="AG33" s="70">
        <v>4.5731000171647116E-3</v>
      </c>
      <c r="AH33" s="70">
        <v>5.0566677033901334E-3</v>
      </c>
      <c r="AI33" s="70">
        <v>5.7827426545333949E-3</v>
      </c>
      <c r="AJ33" s="70">
        <v>6.2924313511026177E-3</v>
      </c>
      <c r="AK33" s="70">
        <v>6.1291444135481545E-3</v>
      </c>
      <c r="AL33" s="70">
        <v>5.9388921893979577E-3</v>
      </c>
      <c r="AM33" s="70">
        <v>5.6634379499067265E-3</v>
      </c>
      <c r="AN33" s="70">
        <v>5.5396681397378925E-3</v>
      </c>
      <c r="AO33" s="70">
        <v>5.5121196591812523E-3</v>
      </c>
      <c r="AP33" s="70">
        <v>5.4914038505378135E-3</v>
      </c>
      <c r="AQ33" s="70">
        <v>5.4076094793293608E-3</v>
      </c>
      <c r="AR33" s="70">
        <v>5.4503923351199475E-3</v>
      </c>
      <c r="AS33" s="70">
        <v>5.3984835840006325E-3</v>
      </c>
      <c r="AT33" s="70">
        <v>5.3332746364262648E-3</v>
      </c>
      <c r="AU33" s="70">
        <v>5.1051035944275182E-3</v>
      </c>
      <c r="AV33" s="70">
        <v>5.2108248596899782E-3</v>
      </c>
      <c r="AW33" s="70">
        <v>5.0988831749086451E-3</v>
      </c>
      <c r="AX33" s="70">
        <v>4.944629517819198E-3</v>
      </c>
      <c r="AY33" s="70">
        <v>5.0529343428861225E-3</v>
      </c>
      <c r="AZ33" s="70">
        <v>5.5618798998550278E-3</v>
      </c>
      <c r="BA33" s="70">
        <v>5.255072668945461E-3</v>
      </c>
      <c r="BB33" s="70">
        <v>5.2030761064353961E-3</v>
      </c>
      <c r="BC33" s="70">
        <v>5.1989012752078657E-3</v>
      </c>
      <c r="BD33" s="70">
        <v>5.1702307007726097E-3</v>
      </c>
      <c r="BE33" s="70">
        <v>5.3075548568191971E-3</v>
      </c>
      <c r="BF33" s="70">
        <v>5.0132946765171892E-3</v>
      </c>
      <c r="BG33" s="70">
        <v>4.8976032539111095E-3</v>
      </c>
      <c r="BH33" s="70">
        <v>4.9297690030039804E-3</v>
      </c>
      <c r="BI33" s="70">
        <v>4.9536217562911071E-3</v>
      </c>
      <c r="BJ33" s="70">
        <v>5.028838034131726E-3</v>
      </c>
      <c r="BK33" s="70">
        <v>5.0788227886623544E-3</v>
      </c>
      <c r="BL33" s="70">
        <v>4.8873967566185044E-3</v>
      </c>
      <c r="BM33" s="70">
        <v>4.8399024883844753E-3</v>
      </c>
      <c r="BN33" s="70">
        <v>4.8063211197444909E-3</v>
      </c>
      <c r="BO33" s="70">
        <v>4.7755096977507719E-3</v>
      </c>
      <c r="BP33" s="70">
        <v>4.6540277690959317E-3</v>
      </c>
      <c r="BQ33" s="70">
        <v>4.5932353588149406E-3</v>
      </c>
      <c r="BR33" s="70">
        <v>4.7898679095937794E-3</v>
      </c>
      <c r="BS33" s="70">
        <v>4.679152100869487E-3</v>
      </c>
      <c r="BT33" s="70">
        <v>4.5490747584796196E-3</v>
      </c>
      <c r="BU33" s="70">
        <v>1.5152042038430816E-4</v>
      </c>
      <c r="BV33" s="70">
        <v>8.6941729157557091E-3</v>
      </c>
    </row>
    <row r="34" spans="1:74" ht="17.100000000000001" customHeight="1" x14ac:dyDescent="0.2">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row>
    <row r="35" spans="1:74" s="91" customFormat="1" ht="17.100000000000001" customHeight="1" x14ac:dyDescent="0.2">
      <c r="A35" s="170" t="s">
        <v>95</v>
      </c>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row>
    <row r="36" spans="1:74" s="11" customFormat="1" ht="17.100000000000001" customHeight="1" thickBot="1" x14ac:dyDescent="0.25">
      <c r="A36" s="102" t="s">
        <v>19</v>
      </c>
      <c r="B36" s="102" t="e">
        <v>#VALUE!</v>
      </c>
      <c r="C36" s="102" t="e">
        <v>#DIV/0!</v>
      </c>
      <c r="D36" s="102" t="e">
        <v>#DIV/0!</v>
      </c>
      <c r="E36" s="102" t="e">
        <v>#DIV/0!</v>
      </c>
      <c r="F36" s="102" t="e">
        <v>#DIV/0!</v>
      </c>
      <c r="G36" s="102" t="e">
        <v>#DIV/0!</v>
      </c>
      <c r="H36" s="102" t="e">
        <v>#DIV/0!</v>
      </c>
      <c r="I36" s="102">
        <v>-0.37219188896187338</v>
      </c>
      <c r="J36" s="102">
        <v>-0.21648256011866807</v>
      </c>
      <c r="K36" s="102">
        <v>0.27915561158791546</v>
      </c>
      <c r="L36" s="102">
        <v>0.32919611714048358</v>
      </c>
      <c r="M36" s="102">
        <v>0.37655791288867624</v>
      </c>
      <c r="N36" s="102">
        <v>3.1991320986650237E-2</v>
      </c>
      <c r="O36" s="102">
        <v>-0.12468824268741958</v>
      </c>
      <c r="P36" s="102">
        <v>0.43740646819573537</v>
      </c>
      <c r="Q36" s="102">
        <v>0.40848166700974081</v>
      </c>
      <c r="R36" s="102">
        <v>0.23092947176660888</v>
      </c>
      <c r="S36" s="102">
        <v>-6.5659247957866262E-2</v>
      </c>
      <c r="T36" s="102">
        <v>-8.363531554107663E-2</v>
      </c>
      <c r="U36" s="102">
        <v>-0.27697402597105081</v>
      </c>
      <c r="V36" s="102">
        <v>0.2381945232014562</v>
      </c>
      <c r="W36" s="102">
        <v>0.24158129422367666</v>
      </c>
      <c r="X36" s="102">
        <v>4.6978457182771098E-2</v>
      </c>
      <c r="Y36" s="102">
        <v>-0.17354963653078381</v>
      </c>
      <c r="Z36" s="102">
        <v>0.76600470215711647</v>
      </c>
      <c r="AA36" s="102">
        <v>-0.20376980944259709</v>
      </c>
      <c r="AB36" s="102">
        <v>7.3665808421748136E-2</v>
      </c>
      <c r="AC36" s="102">
        <v>0.27642890501315792</v>
      </c>
      <c r="AD36" s="102">
        <v>0.20740655210625189</v>
      </c>
      <c r="AE36" s="102">
        <v>0.26038695223101926</v>
      </c>
      <c r="AF36" s="102">
        <v>-0.26257549959910426</v>
      </c>
      <c r="AG36" s="102">
        <v>0.10032530781931566</v>
      </c>
      <c r="AH36" s="102">
        <v>-0.27363322377233995</v>
      </c>
      <c r="AI36" s="102">
        <v>0.45536878959935162</v>
      </c>
      <c r="AJ36" s="102">
        <v>0.39614864138052108</v>
      </c>
      <c r="AK36" s="102">
        <v>-0.29672110758234116</v>
      </c>
      <c r="AL36" s="102">
        <v>0.61256766825565412</v>
      </c>
      <c r="AM36" s="102">
        <v>3.3902967172848415E-2</v>
      </c>
      <c r="AN36" s="102">
        <v>0.11794874268254306</v>
      </c>
      <c r="AO36" s="102">
        <v>-8.0076747779384005E-2</v>
      </c>
      <c r="AP36" s="102">
        <v>-0.1003721620918329</v>
      </c>
      <c r="AQ36" s="102">
        <v>0.18036725826609348</v>
      </c>
      <c r="AR36" s="102">
        <v>-6.0967053218029831E-2</v>
      </c>
      <c r="AS36" s="102">
        <v>0.18695467958027662</v>
      </c>
      <c r="AT36" s="102">
        <v>0.34007470973822607</v>
      </c>
      <c r="AU36" s="102">
        <v>-0.10053080113304623</v>
      </c>
      <c r="AV36" s="102">
        <v>0.27637226066717618</v>
      </c>
      <c r="AW36" s="102">
        <v>0.13529333175454428</v>
      </c>
      <c r="AX36" s="102">
        <v>-0.36330920001769818</v>
      </c>
      <c r="AY36" s="102">
        <v>-1.6842753809823559</v>
      </c>
      <c r="AZ36" s="102">
        <v>1.7831967618009714</v>
      </c>
      <c r="BA36" s="102">
        <v>0.10317825480241327</v>
      </c>
      <c r="BB36" s="102">
        <v>-0.3147576802440486</v>
      </c>
      <c r="BC36" s="102">
        <v>0.94899450932381879</v>
      </c>
      <c r="BD36" s="102">
        <v>-0.89634430963113298</v>
      </c>
      <c r="BE36" s="102">
        <v>0.88778808667503273</v>
      </c>
      <c r="BF36" s="102">
        <v>0.40782598839311957</v>
      </c>
      <c r="BG36" s="102">
        <v>-0.17803057362845887</v>
      </c>
      <c r="BH36" s="102">
        <v>-6.5728111259367658E-2</v>
      </c>
      <c r="BI36" s="102">
        <v>0.25296817692118168</v>
      </c>
      <c r="BJ36" s="102">
        <v>0.27175909674165855</v>
      </c>
      <c r="BK36" s="102">
        <v>0.30876675271872911</v>
      </c>
      <c r="BL36" s="102">
        <v>4.9708249205412683E-2</v>
      </c>
      <c r="BM36" s="102">
        <v>-9.250055310420105E-2</v>
      </c>
      <c r="BN36" s="102">
        <v>0.22444942033579837</v>
      </c>
      <c r="BO36" s="102">
        <v>9.276361174998006E-2</v>
      </c>
      <c r="BP36" s="102">
        <v>0.4843379931623909</v>
      </c>
      <c r="BQ36" s="102">
        <v>-0.12119475857184567</v>
      </c>
      <c r="BR36" s="102">
        <v>-5.5336079966237663E-2</v>
      </c>
      <c r="BS36" s="102">
        <v>0.25205043343684813</v>
      </c>
      <c r="BT36" s="102">
        <v>0.14324977348877393</v>
      </c>
      <c r="BU36" s="102">
        <v>0.1697549636385442</v>
      </c>
      <c r="BV36" s="102">
        <v>0.41380315199558565</v>
      </c>
    </row>
    <row r="37" spans="1:74" x14ac:dyDescent="0.2">
      <c r="A37" s="13" t="s">
        <v>50</v>
      </c>
      <c r="B37" s="85"/>
    </row>
    <row r="38" spans="1:74" x14ac:dyDescent="0.2">
      <c r="Z38" s="1">
        <v>8.5</v>
      </c>
    </row>
  </sheetData>
  <mergeCells count="17">
    <mergeCell ref="T3:W3"/>
    <mergeCell ref="AZ3:BC3"/>
    <mergeCell ref="AJ3:AM3"/>
    <mergeCell ref="AF3:AI3"/>
    <mergeCell ref="B3:C3"/>
    <mergeCell ref="D3:G3"/>
    <mergeCell ref="H3:K3"/>
    <mergeCell ref="P3:S3"/>
    <mergeCell ref="N3:O3"/>
    <mergeCell ref="AN3:AQ3"/>
    <mergeCell ref="AR3:AU3"/>
    <mergeCell ref="AV3:AY3"/>
    <mergeCell ref="BT3:BV3"/>
    <mergeCell ref="BP3:BS3"/>
    <mergeCell ref="BL3:BO3"/>
    <mergeCell ref="BH3:BK3"/>
    <mergeCell ref="BD3:BG3"/>
  </mergeCells>
  <phoneticPr fontId="31" type="noConversion"/>
  <pageMargins left="0.51181102362204722" right="0" top="0.51181102362204722" bottom="0" header="0" footer="0"/>
  <pageSetup paperSize="9" scale="4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Q38"/>
  <sheetViews>
    <sheetView view="pageBreakPreview" zoomScaleSheetLayoutView="100" workbookViewId="0">
      <pane xSplit="11" ySplit="4" topLeftCell="L5" activePane="bottomRight" state="frozen"/>
      <selection activeCell="AD23" sqref="AD23"/>
      <selection pane="topRight" activeCell="AD23" sqref="AD23"/>
      <selection pane="bottomLeft" activeCell="AD23" sqref="AD23"/>
      <selection pane="bottomRight" activeCell="X3" sqref="X3:AA3"/>
    </sheetView>
  </sheetViews>
  <sheetFormatPr defaultColWidth="9.140625" defaultRowHeight="11.25" x14ac:dyDescent="0.2"/>
  <cols>
    <col min="1" max="1" width="25.28515625" style="1" customWidth="1"/>
    <col min="2" max="5" width="7.5703125" style="1" hidden="1" customWidth="1"/>
    <col min="6" max="8" width="5.7109375" style="1" hidden="1" customWidth="1"/>
    <col min="9" max="15" width="6.140625" style="1" hidden="1" customWidth="1"/>
    <col min="16" max="19" width="6.28515625" style="1" hidden="1" customWidth="1"/>
    <col min="20" max="23" width="6.7109375" style="1" hidden="1" customWidth="1"/>
    <col min="24" max="40" width="6.7109375" style="1" customWidth="1"/>
    <col min="41" max="43" width="7.42578125" style="1" customWidth="1"/>
    <col min="44" max="16384" width="9.140625" style="1"/>
  </cols>
  <sheetData>
    <row r="1" spans="1:43" ht="18" customHeight="1" x14ac:dyDescent="0.2">
      <c r="X1" s="31" t="s">
        <v>112</v>
      </c>
    </row>
    <row r="2" spans="1:43" ht="1.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row>
    <row r="3" spans="1:43" s="7" customFormat="1" ht="15" customHeight="1" x14ac:dyDescent="0.2">
      <c r="B3" s="267" t="s">
        <v>67</v>
      </c>
      <c r="C3" s="267"/>
      <c r="D3" s="267" t="s">
        <v>66</v>
      </c>
      <c r="E3" s="267"/>
      <c r="F3" s="267"/>
      <c r="G3" s="267"/>
      <c r="H3" s="267" t="s">
        <v>60</v>
      </c>
      <c r="I3" s="267"/>
      <c r="J3" s="267"/>
      <c r="K3" s="267"/>
      <c r="L3" s="267" t="s">
        <v>61</v>
      </c>
      <c r="M3" s="267"/>
      <c r="N3" s="267"/>
      <c r="O3" s="267"/>
      <c r="P3" s="267" t="s">
        <v>62</v>
      </c>
      <c r="Q3" s="267"/>
      <c r="R3" s="267"/>
      <c r="S3" s="267"/>
      <c r="U3" s="267" t="s">
        <v>63</v>
      </c>
      <c r="V3" s="267"/>
      <c r="W3" s="267"/>
      <c r="X3" s="267" t="s">
        <v>64</v>
      </c>
      <c r="Y3" s="267"/>
      <c r="Z3" s="267"/>
      <c r="AA3" s="267"/>
      <c r="AB3" s="267" t="s">
        <v>65</v>
      </c>
      <c r="AC3" s="267"/>
      <c r="AD3" s="267"/>
      <c r="AE3" s="267"/>
      <c r="AF3" s="267" t="s">
        <v>77</v>
      </c>
      <c r="AG3" s="267"/>
      <c r="AH3" s="267"/>
      <c r="AI3" s="267"/>
      <c r="AJ3" s="265" t="s">
        <v>80</v>
      </c>
      <c r="AK3" s="265"/>
      <c r="AL3" s="265"/>
      <c r="AM3" s="265"/>
      <c r="AN3" s="267" t="s">
        <v>92</v>
      </c>
      <c r="AO3" s="267"/>
      <c r="AP3" s="267"/>
      <c r="AQ3" s="267"/>
    </row>
    <row r="4" spans="1:43" x14ac:dyDescent="0.2">
      <c r="A4" s="21" t="s">
        <v>99</v>
      </c>
      <c r="B4" s="12" t="s">
        <v>48</v>
      </c>
      <c r="C4" s="12" t="s">
        <v>49</v>
      </c>
      <c r="D4" s="12" t="s">
        <v>46</v>
      </c>
      <c r="E4" s="12" t="s">
        <v>47</v>
      </c>
      <c r="F4" s="12" t="s">
        <v>48</v>
      </c>
      <c r="G4" s="12" t="s">
        <v>49</v>
      </c>
      <c r="H4" s="12" t="s">
        <v>46</v>
      </c>
      <c r="I4" s="12" t="s">
        <v>47</v>
      </c>
      <c r="J4" s="12" t="s">
        <v>48</v>
      </c>
      <c r="K4" s="12" t="s">
        <v>49</v>
      </c>
      <c r="L4" s="12" t="s">
        <v>46</v>
      </c>
      <c r="M4" s="12" t="s">
        <v>47</v>
      </c>
      <c r="N4" s="12" t="s">
        <v>48</v>
      </c>
      <c r="O4" s="12" t="s">
        <v>49</v>
      </c>
      <c r="P4" s="12" t="s">
        <v>46</v>
      </c>
      <c r="Q4" s="12" t="s">
        <v>47</v>
      </c>
      <c r="R4" s="12" t="s">
        <v>48</v>
      </c>
      <c r="S4" s="12" t="s">
        <v>49</v>
      </c>
      <c r="T4" s="12" t="s">
        <v>46</v>
      </c>
      <c r="U4" s="12" t="s">
        <v>47</v>
      </c>
      <c r="V4" s="12" t="s">
        <v>48</v>
      </c>
      <c r="W4" s="12" t="s">
        <v>49</v>
      </c>
      <c r="X4" s="12" t="s">
        <v>46</v>
      </c>
      <c r="Y4" s="12" t="s">
        <v>47</v>
      </c>
      <c r="Z4" s="12" t="s">
        <v>48</v>
      </c>
      <c r="AA4" s="12" t="s">
        <v>49</v>
      </c>
      <c r="AB4" s="12" t="s">
        <v>46</v>
      </c>
      <c r="AC4" s="12" t="s">
        <v>47</v>
      </c>
      <c r="AD4" s="12" t="s">
        <v>48</v>
      </c>
      <c r="AE4" s="12" t="s">
        <v>49</v>
      </c>
      <c r="AF4" s="12" t="s">
        <v>46</v>
      </c>
      <c r="AG4" s="12" t="s">
        <v>47</v>
      </c>
      <c r="AH4" s="12" t="s">
        <v>48</v>
      </c>
      <c r="AI4" s="12" t="s">
        <v>49</v>
      </c>
      <c r="AJ4" s="38" t="s">
        <v>46</v>
      </c>
      <c r="AK4" s="38" t="s">
        <v>47</v>
      </c>
      <c r="AL4" s="38" t="s">
        <v>48</v>
      </c>
      <c r="AM4" s="38" t="s">
        <v>49</v>
      </c>
      <c r="AN4" s="56" t="s">
        <v>46</v>
      </c>
      <c r="AO4" s="38" t="s">
        <v>47</v>
      </c>
      <c r="AP4" s="56" t="s">
        <v>48</v>
      </c>
      <c r="AQ4" s="56" t="s">
        <v>49</v>
      </c>
    </row>
    <row r="5" spans="1:43" s="8" customFormat="1" ht="18" customHeight="1" x14ac:dyDescent="0.2">
      <c r="A5" s="2" t="s">
        <v>97</v>
      </c>
      <c r="B5" s="20" t="e">
        <f>#REF!/Deseason_VA!B5*100</f>
        <v>#REF!</v>
      </c>
      <c r="C5" s="20" t="e">
        <f>#REF!/Deseason_VA!C5*100</f>
        <v>#REF!</v>
      </c>
      <c r="D5" s="20" t="e">
        <f>#REF!/Deseason_VA!D5*100</f>
        <v>#REF!</v>
      </c>
      <c r="E5" s="20" t="e">
        <f>#REF!/Deseason_VA!E5*100</f>
        <v>#REF!</v>
      </c>
      <c r="F5" s="20" t="e">
        <f>#REF!/Deseason_VA!F5*100</f>
        <v>#REF!</v>
      </c>
      <c r="G5" s="20" t="e">
        <f>#REF!/Deseason_VA!G5*100</f>
        <v>#REF!</v>
      </c>
      <c r="H5" s="20" t="e">
        <f>#REF!/Deseason_VA!H5*100</f>
        <v>#REF!</v>
      </c>
      <c r="I5" s="20" t="e">
        <f>#REF!/Deseason_VA!I5*100</f>
        <v>#REF!</v>
      </c>
      <c r="J5" s="20" t="e">
        <f>#REF!/Deseason_VA!J5*100</f>
        <v>#REF!</v>
      </c>
      <c r="K5" s="20" t="e">
        <f>#REF!/Deseason_VA!K5*100</f>
        <v>#REF!</v>
      </c>
      <c r="L5" s="20" t="e">
        <f>#REF!/Deseason_VA!L5*100</f>
        <v>#REF!</v>
      </c>
      <c r="M5" s="20" t="e">
        <f>#REF!/Deseason_VA!M5*100</f>
        <v>#REF!</v>
      </c>
      <c r="N5" s="20" t="e">
        <f>#REF!/Deseason_VA!N5*100</f>
        <v>#REF!</v>
      </c>
      <c r="O5" s="20" t="e">
        <f>#REF!/Deseason_VA!O5*100</f>
        <v>#REF!</v>
      </c>
      <c r="P5" s="20" t="e">
        <f>#REF!/Deseason_VA!P5*100</f>
        <v>#REF!</v>
      </c>
      <c r="Q5" s="20" t="e">
        <f>#REF!/Deseason_VA!Q5*100</f>
        <v>#REF!</v>
      </c>
      <c r="R5" s="20" t="e">
        <f>#REF!/Deseason_VA!R5*100</f>
        <v>#REF!</v>
      </c>
      <c r="S5" s="20" t="e">
        <f>#REF!/Deseason_VA!S5*100</f>
        <v>#REF!</v>
      </c>
      <c r="T5" s="20" t="e">
        <f>#REF!/Deseason_VA!T5*100</f>
        <v>#REF!</v>
      </c>
      <c r="U5" s="20" t="e">
        <f>#REF!/Deseason_VA!U5*100</f>
        <v>#REF!</v>
      </c>
      <c r="V5" s="20" t="e">
        <f>#REF!/Deseason_VA!V5*100</f>
        <v>#REF!</v>
      </c>
      <c r="W5" s="20" t="e">
        <f>#REF!/Deseason_VA!W5*100</f>
        <v>#REF!</v>
      </c>
      <c r="X5" s="20" t="e">
        <f>#REF!/Deseason_VA!X5*100</f>
        <v>#REF!</v>
      </c>
      <c r="Y5" s="20" t="e">
        <f>#REF!/Deseason_VA!Y5*100</f>
        <v>#REF!</v>
      </c>
      <c r="Z5" s="20" t="e">
        <f>#REF!/Deseason_VA!Z5*100</f>
        <v>#REF!</v>
      </c>
      <c r="AA5" s="20" t="e">
        <f>#REF!/Deseason_VA!AA5*100</f>
        <v>#REF!</v>
      </c>
      <c r="AB5" s="20" t="e">
        <f>#REF!/Deseason_VA!AB5*100</f>
        <v>#REF!</v>
      </c>
      <c r="AC5" s="20" t="e">
        <f>#REF!/Deseason_VA!AC5*100</f>
        <v>#REF!</v>
      </c>
      <c r="AD5" s="20" t="e">
        <f>#REF!/Deseason_VA!AD5*100</f>
        <v>#REF!</v>
      </c>
      <c r="AE5" s="20" t="e">
        <f>#REF!/Deseason_VA!AE5*100</f>
        <v>#REF!</v>
      </c>
      <c r="AF5" s="20" t="e">
        <f>#REF!/Deseason_VA!AF5*100</f>
        <v>#REF!</v>
      </c>
      <c r="AG5" s="20" t="e">
        <f>#REF!/Deseason_VA!AG5*100</f>
        <v>#REF!</v>
      </c>
      <c r="AH5" s="20" t="e">
        <f>#REF!/Deseason_VA!AH5*100</f>
        <v>#REF!</v>
      </c>
      <c r="AI5" s="20" t="e">
        <f>#REF!/Deseason_VA!AI5*100</f>
        <v>#REF!</v>
      </c>
      <c r="AJ5" s="20" t="e">
        <f>#REF!/Deseason_VA!AJ5*100</f>
        <v>#REF!</v>
      </c>
      <c r="AK5" s="20" t="e">
        <f>#REF!/Deseason_VA!AK5*100</f>
        <v>#REF!</v>
      </c>
      <c r="AL5" s="20" t="e">
        <f>#REF!/Deseason_VA!AL5*100</f>
        <v>#REF!</v>
      </c>
      <c r="AM5" s="20" t="e">
        <f>#REF!/Deseason_VA!AM5*100</f>
        <v>#REF!</v>
      </c>
      <c r="AN5" s="20" t="e">
        <f>#REF!/Deseason_VA!AN5*100</f>
        <v>#REF!</v>
      </c>
      <c r="AO5" s="20" t="e">
        <f>#REF!/Deseason_VA!AO5*100</f>
        <v>#REF!</v>
      </c>
      <c r="AP5" s="20" t="e">
        <f>#REF!/Deseason_VA!AP5*100</f>
        <v>#REF!</v>
      </c>
      <c r="AQ5" s="20" t="e">
        <f>#REF!/Deseason_VA!AQ5*100</f>
        <v>#REF!</v>
      </c>
    </row>
    <row r="6" spans="1:43" s="8" customFormat="1" ht="24.75" customHeight="1" x14ac:dyDescent="0.2">
      <c r="A6" s="2" t="s">
        <v>96</v>
      </c>
      <c r="B6" s="20" t="e">
        <f>#REF!/Deseason_VA!B6*100</f>
        <v>#REF!</v>
      </c>
      <c r="C6" s="20" t="e">
        <f>#REF!/Deseason_VA!C6*100</f>
        <v>#REF!</v>
      </c>
      <c r="D6" s="20" t="e">
        <f>#REF!/Deseason_VA!D6*100</f>
        <v>#REF!</v>
      </c>
      <c r="E6" s="20" t="e">
        <f>#REF!/Deseason_VA!E6*100</f>
        <v>#REF!</v>
      </c>
      <c r="F6" s="20" t="e">
        <f>#REF!/Deseason_VA!F6*100</f>
        <v>#REF!</v>
      </c>
      <c r="G6" s="20" t="e">
        <f>#REF!/Deseason_VA!G6*100</f>
        <v>#REF!</v>
      </c>
      <c r="H6" s="20" t="e">
        <f>#REF!/Deseason_VA!H6*100</f>
        <v>#REF!</v>
      </c>
      <c r="I6" s="20" t="e">
        <f>#REF!/Deseason_VA!I6*100</f>
        <v>#REF!</v>
      </c>
      <c r="J6" s="20" t="e">
        <f>#REF!/Deseason_VA!J6*100</f>
        <v>#REF!</v>
      </c>
      <c r="K6" s="20" t="e">
        <f>#REF!/Deseason_VA!K6*100</f>
        <v>#REF!</v>
      </c>
      <c r="L6" s="20" t="e">
        <f>#REF!/Deseason_VA!L6*100</f>
        <v>#REF!</v>
      </c>
      <c r="M6" s="20" t="e">
        <f>#REF!/Deseason_VA!M6*100</f>
        <v>#REF!</v>
      </c>
      <c r="N6" s="20" t="e">
        <f>#REF!/Deseason_VA!N6*100</f>
        <v>#REF!</v>
      </c>
      <c r="O6" s="20" t="e">
        <f>#REF!/Deseason_VA!O6*100</f>
        <v>#REF!</v>
      </c>
      <c r="P6" s="20" t="e">
        <f>#REF!/Deseason_VA!P6*100</f>
        <v>#REF!</v>
      </c>
      <c r="Q6" s="20" t="e">
        <f>#REF!/Deseason_VA!Q6*100</f>
        <v>#REF!</v>
      </c>
      <c r="R6" s="20" t="e">
        <f>#REF!/Deseason_VA!R6*100</f>
        <v>#REF!</v>
      </c>
      <c r="S6" s="20" t="e">
        <f>#REF!/Deseason_VA!S6*100</f>
        <v>#REF!</v>
      </c>
      <c r="T6" s="20" t="e">
        <f>#REF!/Deseason_VA!T6*100</f>
        <v>#REF!</v>
      </c>
      <c r="U6" s="20" t="e">
        <f>#REF!/Deseason_VA!U6*100</f>
        <v>#REF!</v>
      </c>
      <c r="V6" s="20" t="e">
        <f>#REF!/Deseason_VA!V6*100</f>
        <v>#REF!</v>
      </c>
      <c r="W6" s="20" t="e">
        <f>#REF!/Deseason_VA!W6*100</f>
        <v>#REF!</v>
      </c>
      <c r="X6" s="20" t="e">
        <f>#REF!/Deseason_VA!X6*100</f>
        <v>#REF!</v>
      </c>
      <c r="Y6" s="20" t="e">
        <f>#REF!/Deseason_VA!Y6*100</f>
        <v>#REF!</v>
      </c>
      <c r="Z6" s="20" t="e">
        <f>#REF!/Deseason_VA!Z6*100</f>
        <v>#REF!</v>
      </c>
      <c r="AA6" s="20" t="e">
        <f>#REF!/Deseason_VA!AA6*100</f>
        <v>#REF!</v>
      </c>
      <c r="AB6" s="20" t="e">
        <f>#REF!/Deseason_VA!AB6*100</f>
        <v>#REF!</v>
      </c>
      <c r="AC6" s="20" t="e">
        <f>#REF!/Deseason_VA!AC6*100</f>
        <v>#REF!</v>
      </c>
      <c r="AD6" s="20" t="e">
        <f>#REF!/Deseason_VA!AD6*100</f>
        <v>#REF!</v>
      </c>
      <c r="AE6" s="20" t="e">
        <f>#REF!/Deseason_VA!AE6*100</f>
        <v>#REF!</v>
      </c>
      <c r="AF6" s="18" t="e">
        <f>#REF!/Deseason_VA!AF6*100</f>
        <v>#REF!</v>
      </c>
      <c r="AG6" s="18" t="e">
        <f>#REF!/Deseason_VA!AG6*100</f>
        <v>#REF!</v>
      </c>
      <c r="AH6" s="18" t="e">
        <f>#REF!/Deseason_VA!AH6*100</f>
        <v>#REF!</v>
      </c>
      <c r="AI6" s="18" t="e">
        <f>#REF!/Deseason_VA!AI6*100</f>
        <v>#REF!</v>
      </c>
      <c r="AJ6" s="18" t="e">
        <f>#REF!/Deseason_VA!AJ6*100</f>
        <v>#REF!</v>
      </c>
      <c r="AK6" s="18" t="e">
        <f>#REF!/Deseason_VA!AK6*100</f>
        <v>#REF!</v>
      </c>
      <c r="AL6" s="18" t="e">
        <f>#REF!/Deseason_VA!AL6*100</f>
        <v>#REF!</v>
      </c>
      <c r="AM6" s="18" t="e">
        <f>#REF!/Deseason_VA!AM6*100</f>
        <v>#REF!</v>
      </c>
      <c r="AN6" s="18" t="e">
        <f>#REF!/Deseason_VA!AN6*100</f>
        <v>#REF!</v>
      </c>
      <c r="AO6" s="18" t="e">
        <f>#REF!/Deseason_VA!AO6*100</f>
        <v>#REF!</v>
      </c>
      <c r="AP6" s="18" t="e">
        <f>#REF!/Deseason_VA!AP6*100</f>
        <v>#REF!</v>
      </c>
      <c r="AQ6" s="18" t="e">
        <f>#REF!/Deseason_VA!AQ6*100</f>
        <v>#REF!</v>
      </c>
    </row>
    <row r="7" spans="1:43" ht="18" customHeight="1" x14ac:dyDescent="0.2">
      <c r="A7" s="16" t="s">
        <v>1</v>
      </c>
      <c r="B7" s="23" t="e">
        <f>#REF!/Deseason_VA!B7*100</f>
        <v>#REF!</v>
      </c>
      <c r="C7" s="23" t="e">
        <f>#REF!/Deseason_VA!C7*100</f>
        <v>#REF!</v>
      </c>
      <c r="D7" s="23" t="e">
        <f>#REF!/Deseason_VA!D7*100</f>
        <v>#REF!</v>
      </c>
      <c r="E7" s="23" t="e">
        <f>#REF!/Deseason_VA!E7*100</f>
        <v>#REF!</v>
      </c>
      <c r="F7" s="23" t="e">
        <f>#REF!/Deseason_VA!F7*100</f>
        <v>#REF!</v>
      </c>
      <c r="G7" s="23" t="e">
        <f>#REF!/Deseason_VA!G7*100</f>
        <v>#REF!</v>
      </c>
      <c r="H7" s="23" t="e">
        <f>#REF!/Deseason_VA!H7*100</f>
        <v>#REF!</v>
      </c>
      <c r="I7" s="23" t="e">
        <f>#REF!/Deseason_VA!I7*100</f>
        <v>#REF!</v>
      </c>
      <c r="J7" s="23" t="e">
        <f>#REF!/Deseason_VA!J7*100</f>
        <v>#REF!</v>
      </c>
      <c r="K7" s="23" t="e">
        <f>#REF!/Deseason_VA!K7*100</f>
        <v>#REF!</v>
      </c>
      <c r="L7" s="23" t="e">
        <f>#REF!/Deseason_VA!L7*100</f>
        <v>#REF!</v>
      </c>
      <c r="M7" s="23" t="e">
        <f>#REF!/Deseason_VA!M7*100</f>
        <v>#REF!</v>
      </c>
      <c r="N7" s="23" t="e">
        <f>#REF!/Deseason_VA!N7*100</f>
        <v>#REF!</v>
      </c>
      <c r="O7" s="23" t="e">
        <f>#REF!/Deseason_VA!O7*100</f>
        <v>#REF!</v>
      </c>
      <c r="P7" s="23" t="e">
        <f>#REF!/Deseason_VA!P7*100</f>
        <v>#REF!</v>
      </c>
      <c r="Q7" s="23" t="e">
        <f>#REF!/Deseason_VA!Q7*100</f>
        <v>#REF!</v>
      </c>
      <c r="R7" s="23" t="e">
        <f>#REF!/Deseason_VA!R7*100</f>
        <v>#REF!</v>
      </c>
      <c r="S7" s="23" t="e">
        <f>#REF!/Deseason_VA!S7*100</f>
        <v>#REF!</v>
      </c>
      <c r="T7" s="23" t="e">
        <f>#REF!/Deseason_VA!T7*100</f>
        <v>#REF!</v>
      </c>
      <c r="U7" s="23" t="e">
        <f>#REF!/Deseason_VA!U7*100</f>
        <v>#REF!</v>
      </c>
      <c r="V7" s="23" t="e">
        <f>#REF!/Deseason_VA!V7*100</f>
        <v>#REF!</v>
      </c>
      <c r="W7" s="23" t="e">
        <f>#REF!/Deseason_VA!W7*100</f>
        <v>#REF!</v>
      </c>
      <c r="X7" s="23" t="e">
        <f>#REF!/Deseason_VA!X7*100</f>
        <v>#REF!</v>
      </c>
      <c r="Y7" s="23" t="e">
        <f>#REF!/Deseason_VA!Y7*100</f>
        <v>#REF!</v>
      </c>
      <c r="Z7" s="23" t="e">
        <f>#REF!/Deseason_VA!Z7*100</f>
        <v>#REF!</v>
      </c>
      <c r="AA7" s="23" t="e">
        <f>#REF!/Deseason_VA!AA7*100</f>
        <v>#REF!</v>
      </c>
      <c r="AB7" s="23" t="e">
        <f>#REF!/Deseason_VA!AB7*100</f>
        <v>#REF!</v>
      </c>
      <c r="AC7" s="23" t="e">
        <f>#REF!/Deseason_VA!AC7*100</f>
        <v>#REF!</v>
      </c>
      <c r="AD7" s="23" t="e">
        <f>#REF!/Deseason_VA!AD7*100</f>
        <v>#REF!</v>
      </c>
      <c r="AE7" s="23" t="e">
        <f>#REF!/Deseason_VA!AE7*100</f>
        <v>#REF!</v>
      </c>
      <c r="AF7" s="15" t="e">
        <f>#REF!/Deseason_VA!AF7*100</f>
        <v>#REF!</v>
      </c>
      <c r="AG7" s="15" t="e">
        <f>#REF!/Deseason_VA!AG7*100</f>
        <v>#REF!</v>
      </c>
      <c r="AH7" s="15" t="e">
        <f>#REF!/Deseason_VA!AH7*100</f>
        <v>#REF!</v>
      </c>
      <c r="AI7" s="15" t="e">
        <f>#REF!/Deseason_VA!AI7*100</f>
        <v>#REF!</v>
      </c>
      <c r="AJ7" s="15" t="e">
        <f>#REF!/Deseason_VA!AJ7*100</f>
        <v>#REF!</v>
      </c>
      <c r="AK7" s="15" t="e">
        <f>#REF!/Deseason_VA!AK7*100</f>
        <v>#REF!</v>
      </c>
      <c r="AL7" s="15" t="e">
        <f>#REF!/Deseason_VA!AL7*100</f>
        <v>#REF!</v>
      </c>
      <c r="AM7" s="15" t="e">
        <f>#REF!/Deseason_VA!AM7*100</f>
        <v>#REF!</v>
      </c>
      <c r="AN7" s="15" t="e">
        <f>#REF!/Deseason_VA!AN7*100</f>
        <v>#REF!</v>
      </c>
      <c r="AO7" s="15" t="e">
        <f>#REF!/Deseason_VA!AO7*100</f>
        <v>#REF!</v>
      </c>
      <c r="AP7" s="15" t="e">
        <f>#REF!/Deseason_VA!AP7*100</f>
        <v>#REF!</v>
      </c>
      <c r="AQ7" s="15" t="e">
        <f>#REF!/Deseason_VA!AQ7*100</f>
        <v>#REF!</v>
      </c>
    </row>
    <row r="8" spans="1:43" ht="18" customHeight="1" x14ac:dyDescent="0.2">
      <c r="A8" s="16" t="s">
        <v>2</v>
      </c>
      <c r="B8" s="23" t="e">
        <f>#REF!/Deseason_VA!B8*100</f>
        <v>#REF!</v>
      </c>
      <c r="C8" s="23" t="e">
        <f>#REF!/Deseason_VA!C8*100</f>
        <v>#REF!</v>
      </c>
      <c r="D8" s="23" t="e">
        <f>#REF!/Deseason_VA!D8*100</f>
        <v>#REF!</v>
      </c>
      <c r="E8" s="23" t="e">
        <f>#REF!/Deseason_VA!E8*100</f>
        <v>#REF!</v>
      </c>
      <c r="F8" s="23" t="e">
        <f>#REF!/Deseason_VA!F8*100</f>
        <v>#REF!</v>
      </c>
      <c r="G8" s="23" t="e">
        <f>#REF!/Deseason_VA!G8*100</f>
        <v>#REF!</v>
      </c>
      <c r="H8" s="23" t="e">
        <f>#REF!/Deseason_VA!H8*100</f>
        <v>#REF!</v>
      </c>
      <c r="I8" s="23" t="e">
        <f>#REF!/Deseason_VA!I8*100</f>
        <v>#REF!</v>
      </c>
      <c r="J8" s="23" t="e">
        <f>#REF!/Deseason_VA!J8*100</f>
        <v>#REF!</v>
      </c>
      <c r="K8" s="23" t="e">
        <f>#REF!/Deseason_VA!K8*100</f>
        <v>#REF!</v>
      </c>
      <c r="L8" s="23" t="e">
        <f>#REF!/Deseason_VA!L8*100</f>
        <v>#REF!</v>
      </c>
      <c r="M8" s="23" t="e">
        <f>#REF!/Deseason_VA!M8*100</f>
        <v>#REF!</v>
      </c>
      <c r="N8" s="23" t="e">
        <f>#REF!/Deseason_VA!N8*100</f>
        <v>#REF!</v>
      </c>
      <c r="O8" s="23" t="e">
        <f>#REF!/Deseason_VA!O8*100</f>
        <v>#REF!</v>
      </c>
      <c r="P8" s="23" t="e">
        <f>#REF!/Deseason_VA!P8*100</f>
        <v>#REF!</v>
      </c>
      <c r="Q8" s="23" t="e">
        <f>#REF!/Deseason_VA!Q8*100</f>
        <v>#REF!</v>
      </c>
      <c r="R8" s="23" t="e">
        <f>#REF!/Deseason_VA!R8*100</f>
        <v>#REF!</v>
      </c>
      <c r="S8" s="23" t="e">
        <f>#REF!/Deseason_VA!S8*100</f>
        <v>#REF!</v>
      </c>
      <c r="T8" s="23" t="e">
        <f>#REF!/Deseason_VA!T8*100</f>
        <v>#REF!</v>
      </c>
      <c r="U8" s="23" t="e">
        <f>#REF!/Deseason_VA!U8*100</f>
        <v>#REF!</v>
      </c>
      <c r="V8" s="23" t="e">
        <f>#REF!/Deseason_VA!V8*100</f>
        <v>#REF!</v>
      </c>
      <c r="W8" s="23" t="e">
        <f>#REF!/Deseason_VA!W8*100</f>
        <v>#REF!</v>
      </c>
      <c r="X8" s="23" t="e">
        <f>#REF!/Deseason_VA!X8*100</f>
        <v>#REF!</v>
      </c>
      <c r="Y8" s="23" t="e">
        <f>#REF!/Deseason_VA!Y8*100</f>
        <v>#REF!</v>
      </c>
      <c r="Z8" s="23" t="e">
        <f>#REF!/Deseason_VA!Z8*100</f>
        <v>#REF!</v>
      </c>
      <c r="AA8" s="23" t="e">
        <f>#REF!/Deseason_VA!AA8*100</f>
        <v>#REF!</v>
      </c>
      <c r="AB8" s="23" t="e">
        <f>#REF!/Deseason_VA!AB8*100</f>
        <v>#REF!</v>
      </c>
      <c r="AC8" s="23" t="e">
        <f>#REF!/Deseason_VA!AC8*100</f>
        <v>#REF!</v>
      </c>
      <c r="AD8" s="23" t="e">
        <f>#REF!/Deseason_VA!AD8*100</f>
        <v>#REF!</v>
      </c>
      <c r="AE8" s="23" t="e">
        <f>#REF!/Deseason_VA!AE8*100</f>
        <v>#REF!</v>
      </c>
      <c r="AF8" s="15" t="e">
        <f>#REF!/Deseason_VA!AF8*100</f>
        <v>#REF!</v>
      </c>
      <c r="AG8" s="15" t="e">
        <f>#REF!/Deseason_VA!AG8*100</f>
        <v>#REF!</v>
      </c>
      <c r="AH8" s="15" t="e">
        <f>#REF!/Deseason_VA!AH8*100</f>
        <v>#REF!</v>
      </c>
      <c r="AI8" s="15" t="e">
        <f>#REF!/Deseason_VA!AI8*100</f>
        <v>#REF!</v>
      </c>
      <c r="AJ8" s="15" t="e">
        <f>#REF!/Deseason_VA!AJ8*100</f>
        <v>#REF!</v>
      </c>
      <c r="AK8" s="15" t="e">
        <f>#REF!/Deseason_VA!AK8*100</f>
        <v>#REF!</v>
      </c>
      <c r="AL8" s="15" t="e">
        <f>#REF!/Deseason_VA!AL8*100</f>
        <v>#REF!</v>
      </c>
      <c r="AM8" s="15" t="e">
        <f>#REF!/Deseason_VA!AM8*100</f>
        <v>#REF!</v>
      </c>
      <c r="AN8" s="15" t="e">
        <f>#REF!/Deseason_VA!AN8*100</f>
        <v>#REF!</v>
      </c>
      <c r="AO8" s="15" t="e">
        <f>#REF!/Deseason_VA!AO8*100</f>
        <v>#REF!</v>
      </c>
      <c r="AP8" s="15" t="e">
        <f>#REF!/Deseason_VA!AP8*100</f>
        <v>#REF!</v>
      </c>
      <c r="AQ8" s="15" t="e">
        <f>#REF!/Deseason_VA!AQ8*100</f>
        <v>#REF!</v>
      </c>
    </row>
    <row r="9" spans="1:43" ht="18" customHeight="1" x14ac:dyDescent="0.2">
      <c r="A9" s="16" t="s">
        <v>3</v>
      </c>
      <c r="B9" s="23" t="e">
        <f>#REF!/Deseason_VA!B9*100</f>
        <v>#REF!</v>
      </c>
      <c r="C9" s="23" t="e">
        <f>#REF!/Deseason_VA!C9*100</f>
        <v>#REF!</v>
      </c>
      <c r="D9" s="23" t="e">
        <f>#REF!/Deseason_VA!D9*100</f>
        <v>#REF!</v>
      </c>
      <c r="E9" s="23" t="e">
        <f>#REF!/Deseason_VA!E9*100</f>
        <v>#REF!</v>
      </c>
      <c r="F9" s="23" t="e">
        <f>#REF!/Deseason_VA!F9*100</f>
        <v>#REF!</v>
      </c>
      <c r="G9" s="23" t="e">
        <f>#REF!/Deseason_VA!G9*100</f>
        <v>#REF!</v>
      </c>
      <c r="H9" s="23" t="e">
        <f>#REF!/Deseason_VA!H9*100</f>
        <v>#REF!</v>
      </c>
      <c r="I9" s="23" t="e">
        <f>#REF!/Deseason_VA!I9*100</f>
        <v>#REF!</v>
      </c>
      <c r="J9" s="23" t="e">
        <f>#REF!/Deseason_VA!J9*100</f>
        <v>#REF!</v>
      </c>
      <c r="K9" s="23" t="e">
        <f>#REF!/Deseason_VA!K9*100</f>
        <v>#REF!</v>
      </c>
      <c r="L9" s="23" t="e">
        <f>#REF!/Deseason_VA!L9*100</f>
        <v>#REF!</v>
      </c>
      <c r="M9" s="23" t="e">
        <f>#REF!/Deseason_VA!M9*100</f>
        <v>#REF!</v>
      </c>
      <c r="N9" s="23" t="e">
        <f>#REF!/Deseason_VA!N9*100</f>
        <v>#REF!</v>
      </c>
      <c r="O9" s="23" t="e">
        <f>#REF!/Deseason_VA!O9*100</f>
        <v>#REF!</v>
      </c>
      <c r="P9" s="23" t="e">
        <f>#REF!/Deseason_VA!P9*100</f>
        <v>#REF!</v>
      </c>
      <c r="Q9" s="23" t="e">
        <f>#REF!/Deseason_VA!Q9*100</f>
        <v>#REF!</v>
      </c>
      <c r="R9" s="23" t="e">
        <f>#REF!/Deseason_VA!R9*100</f>
        <v>#REF!</v>
      </c>
      <c r="S9" s="23" t="e">
        <f>#REF!/Deseason_VA!S9*100</f>
        <v>#REF!</v>
      </c>
      <c r="T9" s="23" t="e">
        <f>#REF!/Deseason_VA!T9*100</f>
        <v>#REF!</v>
      </c>
      <c r="U9" s="23" t="e">
        <f>#REF!/Deseason_VA!U9*100</f>
        <v>#REF!</v>
      </c>
      <c r="V9" s="23" t="e">
        <f>#REF!/Deseason_VA!V9*100</f>
        <v>#REF!</v>
      </c>
      <c r="W9" s="23" t="e">
        <f>#REF!/Deseason_VA!W9*100</f>
        <v>#REF!</v>
      </c>
      <c r="X9" s="23" t="e">
        <f>#REF!/Deseason_VA!X9*100</f>
        <v>#REF!</v>
      </c>
      <c r="Y9" s="23" t="e">
        <f>#REF!/Deseason_VA!Y9*100</f>
        <v>#REF!</v>
      </c>
      <c r="Z9" s="23" t="e">
        <f>#REF!/Deseason_VA!Z9*100</f>
        <v>#REF!</v>
      </c>
      <c r="AA9" s="23" t="e">
        <f>#REF!/Deseason_VA!AA9*100</f>
        <v>#REF!</v>
      </c>
      <c r="AB9" s="23" t="e">
        <f>#REF!/Deseason_VA!AB9*100</f>
        <v>#REF!</v>
      </c>
      <c r="AC9" s="23" t="e">
        <f>#REF!/Deseason_VA!AC9*100</f>
        <v>#REF!</v>
      </c>
      <c r="AD9" s="23" t="e">
        <f>#REF!/Deseason_VA!AD9*100</f>
        <v>#REF!</v>
      </c>
      <c r="AE9" s="23" t="e">
        <f>#REF!/Deseason_VA!AE9*100</f>
        <v>#REF!</v>
      </c>
      <c r="AF9" s="15" t="e">
        <f>#REF!/Deseason_VA!AF9*100</f>
        <v>#REF!</v>
      </c>
      <c r="AG9" s="15" t="e">
        <f>#REF!/Deseason_VA!AG9*100</f>
        <v>#REF!</v>
      </c>
      <c r="AH9" s="15" t="e">
        <f>#REF!/Deseason_VA!AH9*100</f>
        <v>#REF!</v>
      </c>
      <c r="AI9" s="15" t="e">
        <f>#REF!/Deseason_VA!AI9*100</f>
        <v>#REF!</v>
      </c>
      <c r="AJ9" s="15" t="e">
        <f>#REF!/Deseason_VA!AJ9*100</f>
        <v>#REF!</v>
      </c>
      <c r="AK9" s="15" t="e">
        <f>#REF!/Deseason_VA!AK9*100</f>
        <v>#REF!</v>
      </c>
      <c r="AL9" s="15" t="e">
        <f>#REF!/Deseason_VA!AL9*100</f>
        <v>#REF!</v>
      </c>
      <c r="AM9" s="15" t="e">
        <f>#REF!/Deseason_VA!AM9*100</f>
        <v>#REF!</v>
      </c>
      <c r="AN9" s="15" t="e">
        <f>#REF!/Deseason_VA!AN9*100</f>
        <v>#REF!</v>
      </c>
      <c r="AO9" s="15" t="e">
        <f>#REF!/Deseason_VA!AO9*100</f>
        <v>#REF!</v>
      </c>
      <c r="AP9" s="15" t="e">
        <f>#REF!/Deseason_VA!AP9*100</f>
        <v>#REF!</v>
      </c>
      <c r="AQ9" s="15" t="e">
        <f>#REF!/Deseason_VA!AQ9*100</f>
        <v>#REF!</v>
      </c>
    </row>
    <row r="10" spans="1:43" ht="18" customHeight="1" x14ac:dyDescent="0.2">
      <c r="A10" s="16" t="s">
        <v>4</v>
      </c>
      <c r="B10" s="23" t="e">
        <f>#REF!/Deseason_VA!B10*100</f>
        <v>#REF!</v>
      </c>
      <c r="C10" s="23" t="e">
        <f>#REF!/Deseason_VA!C10*100</f>
        <v>#REF!</v>
      </c>
      <c r="D10" s="23" t="e">
        <f>#REF!/Deseason_VA!D10*100</f>
        <v>#REF!</v>
      </c>
      <c r="E10" s="23" t="e">
        <f>#REF!/Deseason_VA!E10*100</f>
        <v>#REF!</v>
      </c>
      <c r="F10" s="23" t="e">
        <f>#REF!/Deseason_VA!F10*100</f>
        <v>#REF!</v>
      </c>
      <c r="G10" s="23" t="e">
        <f>#REF!/Deseason_VA!G10*100</f>
        <v>#REF!</v>
      </c>
      <c r="H10" s="23" t="e">
        <f>#REF!/Deseason_VA!H10*100</f>
        <v>#REF!</v>
      </c>
      <c r="I10" s="23" t="e">
        <f>#REF!/Deseason_VA!I10*100</f>
        <v>#REF!</v>
      </c>
      <c r="J10" s="23" t="e">
        <f>#REF!/Deseason_VA!J10*100</f>
        <v>#REF!</v>
      </c>
      <c r="K10" s="23" t="e">
        <f>#REF!/Deseason_VA!K10*100</f>
        <v>#REF!</v>
      </c>
      <c r="L10" s="23" t="e">
        <f>#REF!/Deseason_VA!L10*100</f>
        <v>#REF!</v>
      </c>
      <c r="M10" s="23" t="e">
        <f>#REF!/Deseason_VA!M10*100</f>
        <v>#REF!</v>
      </c>
      <c r="N10" s="23" t="e">
        <f>#REF!/Deseason_VA!N10*100</f>
        <v>#REF!</v>
      </c>
      <c r="O10" s="23" t="e">
        <f>#REF!/Deseason_VA!O10*100</f>
        <v>#REF!</v>
      </c>
      <c r="P10" s="23" t="e">
        <f>#REF!/Deseason_VA!P10*100</f>
        <v>#REF!</v>
      </c>
      <c r="Q10" s="23" t="e">
        <f>#REF!/Deseason_VA!Q10*100</f>
        <v>#REF!</v>
      </c>
      <c r="R10" s="23" t="e">
        <f>#REF!/Deseason_VA!R10*100</f>
        <v>#REF!</v>
      </c>
      <c r="S10" s="23" t="e">
        <f>#REF!/Deseason_VA!S10*100</f>
        <v>#REF!</v>
      </c>
      <c r="T10" s="23" t="e">
        <f>#REF!/Deseason_VA!T10*100</f>
        <v>#REF!</v>
      </c>
      <c r="U10" s="23" t="e">
        <f>#REF!/Deseason_VA!U10*100</f>
        <v>#REF!</v>
      </c>
      <c r="V10" s="23" t="e">
        <f>#REF!/Deseason_VA!V10*100</f>
        <v>#REF!</v>
      </c>
      <c r="W10" s="23" t="e">
        <f>#REF!/Deseason_VA!W10*100</f>
        <v>#REF!</v>
      </c>
      <c r="X10" s="23" t="e">
        <f>#REF!/Deseason_VA!X10*100</f>
        <v>#REF!</v>
      </c>
      <c r="Y10" s="23" t="e">
        <f>#REF!/Deseason_VA!Y10*100</f>
        <v>#REF!</v>
      </c>
      <c r="Z10" s="23" t="e">
        <f>#REF!/Deseason_VA!Z10*100</f>
        <v>#REF!</v>
      </c>
      <c r="AA10" s="23" t="e">
        <f>#REF!/Deseason_VA!AA10*100</f>
        <v>#REF!</v>
      </c>
      <c r="AB10" s="23" t="e">
        <f>#REF!/Deseason_VA!AB10*100</f>
        <v>#REF!</v>
      </c>
      <c r="AC10" s="23" t="e">
        <f>#REF!/Deseason_VA!AC10*100</f>
        <v>#REF!</v>
      </c>
      <c r="AD10" s="23" t="e">
        <f>#REF!/Deseason_VA!AD10*100</f>
        <v>#REF!</v>
      </c>
      <c r="AE10" s="23" t="e">
        <f>#REF!/Deseason_VA!AE10*100</f>
        <v>#REF!</v>
      </c>
      <c r="AF10" s="15" t="e">
        <f>#REF!/Deseason_VA!AF10*100</f>
        <v>#REF!</v>
      </c>
      <c r="AG10" s="15" t="e">
        <f>#REF!/Deseason_VA!AG10*100</f>
        <v>#REF!</v>
      </c>
      <c r="AH10" s="15" t="e">
        <f>#REF!/Deseason_VA!AH10*100</f>
        <v>#REF!</v>
      </c>
      <c r="AI10" s="15" t="e">
        <f>#REF!/Deseason_VA!AI10*100</f>
        <v>#REF!</v>
      </c>
      <c r="AJ10" s="15" t="e">
        <f>#REF!/Deseason_VA!AJ10*100</f>
        <v>#REF!</v>
      </c>
      <c r="AK10" s="15" t="e">
        <f>#REF!/Deseason_VA!AK10*100</f>
        <v>#REF!</v>
      </c>
      <c r="AL10" s="15" t="e">
        <f>#REF!/Deseason_VA!AL10*100</f>
        <v>#REF!</v>
      </c>
      <c r="AM10" s="15" t="e">
        <f>#REF!/Deseason_VA!AM10*100</f>
        <v>#REF!</v>
      </c>
      <c r="AN10" s="15" t="e">
        <f>#REF!/Deseason_VA!AN10*100</f>
        <v>#REF!</v>
      </c>
      <c r="AO10" s="15" t="e">
        <f>#REF!/Deseason_VA!AO10*100</f>
        <v>#REF!</v>
      </c>
      <c r="AP10" s="15" t="e">
        <f>#REF!/Deseason_VA!AP10*100</f>
        <v>#REF!</v>
      </c>
      <c r="AQ10" s="15" t="e">
        <f>#REF!/Deseason_VA!AQ10*100</f>
        <v>#REF!</v>
      </c>
    </row>
    <row r="11" spans="1:43" ht="18" customHeight="1" x14ac:dyDescent="0.2">
      <c r="A11" s="16" t="s">
        <v>5</v>
      </c>
      <c r="B11" s="23" t="e">
        <f>#REF!/Deseason_VA!B11*100</f>
        <v>#REF!</v>
      </c>
      <c r="C11" s="23" t="e">
        <f>#REF!/Deseason_VA!C11*100</f>
        <v>#REF!</v>
      </c>
      <c r="D11" s="23" t="e">
        <f>#REF!/Deseason_VA!D11*100</f>
        <v>#REF!</v>
      </c>
      <c r="E11" s="23" t="e">
        <f>#REF!/Deseason_VA!E11*100</f>
        <v>#REF!</v>
      </c>
      <c r="F11" s="23" t="e">
        <f>#REF!/Deseason_VA!F11*100</f>
        <v>#REF!</v>
      </c>
      <c r="G11" s="23" t="e">
        <f>#REF!/Deseason_VA!G11*100</f>
        <v>#REF!</v>
      </c>
      <c r="H11" s="23" t="e">
        <f>#REF!/Deseason_VA!H11*100</f>
        <v>#REF!</v>
      </c>
      <c r="I11" s="23" t="e">
        <f>#REF!/Deseason_VA!I11*100</f>
        <v>#REF!</v>
      </c>
      <c r="J11" s="23" t="e">
        <f>#REF!/Deseason_VA!J11*100</f>
        <v>#REF!</v>
      </c>
      <c r="K11" s="23" t="e">
        <f>#REF!/Deseason_VA!K11*100</f>
        <v>#REF!</v>
      </c>
      <c r="L11" s="23" t="e">
        <f>#REF!/Deseason_VA!L11*100</f>
        <v>#REF!</v>
      </c>
      <c r="M11" s="23" t="e">
        <f>#REF!/Deseason_VA!M11*100</f>
        <v>#REF!</v>
      </c>
      <c r="N11" s="23" t="e">
        <f>#REF!/Deseason_VA!N11*100</f>
        <v>#REF!</v>
      </c>
      <c r="O11" s="23" t="e">
        <f>#REF!/Deseason_VA!O11*100</f>
        <v>#REF!</v>
      </c>
      <c r="P11" s="23" t="e">
        <f>#REF!/Deseason_VA!P11*100</f>
        <v>#REF!</v>
      </c>
      <c r="Q11" s="23" t="e">
        <f>#REF!/Deseason_VA!Q11*100</f>
        <v>#REF!</v>
      </c>
      <c r="R11" s="23" t="e">
        <f>#REF!/Deseason_VA!R11*100</f>
        <v>#REF!</v>
      </c>
      <c r="S11" s="23" t="e">
        <f>#REF!/Deseason_VA!S11*100</f>
        <v>#REF!</v>
      </c>
      <c r="T11" s="23" t="e">
        <f>#REF!/Deseason_VA!T11*100</f>
        <v>#REF!</v>
      </c>
      <c r="U11" s="23" t="e">
        <f>#REF!/Deseason_VA!U11*100</f>
        <v>#REF!</v>
      </c>
      <c r="V11" s="23" t="e">
        <f>#REF!/Deseason_VA!V11*100</f>
        <v>#REF!</v>
      </c>
      <c r="W11" s="23" t="e">
        <f>#REF!/Deseason_VA!W11*100</f>
        <v>#REF!</v>
      </c>
      <c r="X11" s="23" t="e">
        <f>#REF!/Deseason_VA!X11*100</f>
        <v>#REF!</v>
      </c>
      <c r="Y11" s="23" t="e">
        <f>#REF!/Deseason_VA!Y11*100</f>
        <v>#REF!</v>
      </c>
      <c r="Z11" s="23" t="e">
        <f>#REF!/Deseason_VA!Z11*100</f>
        <v>#REF!</v>
      </c>
      <c r="AA11" s="23" t="e">
        <f>#REF!/Deseason_VA!AA11*100</f>
        <v>#REF!</v>
      </c>
      <c r="AB11" s="23" t="e">
        <f>#REF!/Deseason_VA!AB11*100</f>
        <v>#REF!</v>
      </c>
      <c r="AC11" s="23" t="e">
        <f>#REF!/Deseason_VA!AC11*100</f>
        <v>#REF!</v>
      </c>
      <c r="AD11" s="23" t="e">
        <f>#REF!/Deseason_VA!AD11*100</f>
        <v>#REF!</v>
      </c>
      <c r="AE11" s="23" t="e">
        <f>#REF!/Deseason_VA!AE11*100</f>
        <v>#REF!</v>
      </c>
      <c r="AF11" s="15" t="e">
        <f>#REF!/Deseason_VA!AF11*100</f>
        <v>#REF!</v>
      </c>
      <c r="AG11" s="15" t="e">
        <f>#REF!/Deseason_VA!AG11*100</f>
        <v>#REF!</v>
      </c>
      <c r="AH11" s="15" t="e">
        <f>#REF!/Deseason_VA!AH11*100</f>
        <v>#REF!</v>
      </c>
      <c r="AI11" s="15" t="e">
        <f>#REF!/Deseason_VA!AI11*100</f>
        <v>#REF!</v>
      </c>
      <c r="AJ11" s="15" t="e">
        <f>#REF!/Deseason_VA!AJ11*100</f>
        <v>#REF!</v>
      </c>
      <c r="AK11" s="15" t="e">
        <f>#REF!/Deseason_VA!AK11*100</f>
        <v>#REF!</v>
      </c>
      <c r="AL11" s="15" t="e">
        <f>#REF!/Deseason_VA!AL11*100</f>
        <v>#REF!</v>
      </c>
      <c r="AM11" s="15" t="e">
        <f>#REF!/Deseason_VA!AM11*100</f>
        <v>#REF!</v>
      </c>
      <c r="AN11" s="15" t="e">
        <f>#REF!/Deseason_VA!AN11*100</f>
        <v>#REF!</v>
      </c>
      <c r="AO11" s="15" t="e">
        <f>#REF!/Deseason_VA!AO11*100</f>
        <v>#REF!</v>
      </c>
      <c r="AP11" s="15" t="e">
        <f>#REF!/Deseason_VA!AP11*100</f>
        <v>#REF!</v>
      </c>
      <c r="AQ11" s="15" t="e">
        <f>#REF!/Deseason_VA!AQ11*100</f>
        <v>#REF!</v>
      </c>
    </row>
    <row r="12" spans="1:43" ht="18" customHeight="1" x14ac:dyDescent="0.2">
      <c r="A12" s="16" t="s">
        <v>6</v>
      </c>
      <c r="B12" s="23" t="e">
        <f>#REF!/Deseason_VA!B12*100</f>
        <v>#REF!</v>
      </c>
      <c r="C12" s="23" t="e">
        <f>#REF!/Deseason_VA!C12*100</f>
        <v>#REF!</v>
      </c>
      <c r="D12" s="23" t="e">
        <f>#REF!/Deseason_VA!D12*100</f>
        <v>#REF!</v>
      </c>
      <c r="E12" s="23" t="e">
        <f>#REF!/Deseason_VA!E12*100</f>
        <v>#REF!</v>
      </c>
      <c r="F12" s="23" t="e">
        <f>#REF!/Deseason_VA!F12*100</f>
        <v>#REF!</v>
      </c>
      <c r="G12" s="23" t="e">
        <f>#REF!/Deseason_VA!G12*100</f>
        <v>#REF!</v>
      </c>
      <c r="H12" s="23" t="e">
        <f>#REF!/Deseason_VA!H12*100</f>
        <v>#REF!</v>
      </c>
      <c r="I12" s="23" t="e">
        <f>#REF!/Deseason_VA!I12*100</f>
        <v>#REF!</v>
      </c>
      <c r="J12" s="23" t="e">
        <f>#REF!/Deseason_VA!J12*100</f>
        <v>#REF!</v>
      </c>
      <c r="K12" s="23" t="e">
        <f>#REF!/Deseason_VA!K12*100</f>
        <v>#REF!</v>
      </c>
      <c r="L12" s="23" t="e">
        <f>#REF!/Deseason_VA!L12*100</f>
        <v>#REF!</v>
      </c>
      <c r="M12" s="23" t="e">
        <f>#REF!/Deseason_VA!M12*100</f>
        <v>#REF!</v>
      </c>
      <c r="N12" s="23" t="e">
        <f>#REF!/Deseason_VA!N12*100</f>
        <v>#REF!</v>
      </c>
      <c r="O12" s="23" t="e">
        <f>#REF!/Deseason_VA!O12*100</f>
        <v>#REF!</v>
      </c>
      <c r="P12" s="23" t="e">
        <f>#REF!/Deseason_VA!P12*100</f>
        <v>#REF!</v>
      </c>
      <c r="Q12" s="23" t="e">
        <f>#REF!/Deseason_VA!Q12*100</f>
        <v>#REF!</v>
      </c>
      <c r="R12" s="23" t="e">
        <f>#REF!/Deseason_VA!R12*100</f>
        <v>#REF!</v>
      </c>
      <c r="S12" s="23" t="e">
        <f>#REF!/Deseason_VA!S12*100</f>
        <v>#REF!</v>
      </c>
      <c r="T12" s="23" t="e">
        <f>#REF!/Deseason_VA!T12*100</f>
        <v>#REF!</v>
      </c>
      <c r="U12" s="23" t="e">
        <f>#REF!/Deseason_VA!U12*100</f>
        <v>#REF!</v>
      </c>
      <c r="V12" s="23" t="e">
        <f>#REF!/Deseason_VA!V12*100</f>
        <v>#REF!</v>
      </c>
      <c r="W12" s="23" t="e">
        <f>#REF!/Deseason_VA!W12*100</f>
        <v>#REF!</v>
      </c>
      <c r="X12" s="23" t="e">
        <f>#REF!/Deseason_VA!X12*100</f>
        <v>#REF!</v>
      </c>
      <c r="Y12" s="23" t="e">
        <f>#REF!/Deseason_VA!Y12*100</f>
        <v>#REF!</v>
      </c>
      <c r="Z12" s="23" t="e">
        <f>#REF!/Deseason_VA!Z12*100</f>
        <v>#REF!</v>
      </c>
      <c r="AA12" s="23" t="e">
        <f>#REF!/Deseason_VA!AA12*100</f>
        <v>#REF!</v>
      </c>
      <c r="AB12" s="23" t="e">
        <f>#REF!/Deseason_VA!AB12*100</f>
        <v>#REF!</v>
      </c>
      <c r="AC12" s="23" t="e">
        <f>#REF!/Deseason_VA!AC12*100</f>
        <v>#REF!</v>
      </c>
      <c r="AD12" s="23" t="e">
        <f>#REF!/Deseason_VA!AD12*100</f>
        <v>#REF!</v>
      </c>
      <c r="AE12" s="23" t="e">
        <f>#REF!/Deseason_VA!AE12*100</f>
        <v>#REF!</v>
      </c>
      <c r="AF12" s="15" t="e">
        <f>#REF!/Deseason_VA!AF12*100</f>
        <v>#REF!</v>
      </c>
      <c r="AG12" s="15" t="e">
        <f>#REF!/Deseason_VA!AG12*100</f>
        <v>#REF!</v>
      </c>
      <c r="AH12" s="15" t="e">
        <f>#REF!/Deseason_VA!AH12*100</f>
        <v>#REF!</v>
      </c>
      <c r="AI12" s="15" t="e">
        <f>#REF!/Deseason_VA!AI12*100</f>
        <v>#REF!</v>
      </c>
      <c r="AJ12" s="15" t="e">
        <f>#REF!/Deseason_VA!AJ12*100</f>
        <v>#REF!</v>
      </c>
      <c r="AK12" s="15" t="e">
        <f>#REF!/Deseason_VA!AK12*100</f>
        <v>#REF!</v>
      </c>
      <c r="AL12" s="15" t="e">
        <f>#REF!/Deseason_VA!AL12*100</f>
        <v>#REF!</v>
      </c>
      <c r="AM12" s="15" t="e">
        <f>#REF!/Deseason_VA!AM12*100</f>
        <v>#REF!</v>
      </c>
      <c r="AN12" s="15" t="e">
        <f>#REF!/Deseason_VA!AN12*100</f>
        <v>#REF!</v>
      </c>
      <c r="AO12" s="15" t="e">
        <f>#REF!/Deseason_VA!AO12*100</f>
        <v>#REF!</v>
      </c>
      <c r="AP12" s="15" t="e">
        <f>#REF!/Deseason_VA!AP12*100</f>
        <v>#REF!</v>
      </c>
      <c r="AQ12" s="15" t="e">
        <f>#REF!/Deseason_VA!AQ12*100</f>
        <v>#REF!</v>
      </c>
    </row>
    <row r="13" spans="1:43" s="8" customFormat="1" ht="24.75" customHeight="1" x14ac:dyDescent="0.2">
      <c r="A13" s="2" t="s">
        <v>93</v>
      </c>
      <c r="B13" s="20" t="e">
        <f>#REF!/Deseason_VA!B13*100</f>
        <v>#REF!</v>
      </c>
      <c r="C13" s="20" t="e">
        <f>#REF!/Deseason_VA!C13*100</f>
        <v>#REF!</v>
      </c>
      <c r="D13" s="20" t="e">
        <f>#REF!/Deseason_VA!D13*100</f>
        <v>#REF!</v>
      </c>
      <c r="E13" s="20" t="e">
        <f>#REF!/Deseason_VA!E13*100</f>
        <v>#REF!</v>
      </c>
      <c r="F13" s="20" t="e">
        <f>#REF!/Deseason_VA!F13*100</f>
        <v>#REF!</v>
      </c>
      <c r="G13" s="20" t="e">
        <f>#REF!/Deseason_VA!G13*100</f>
        <v>#REF!</v>
      </c>
      <c r="H13" s="20" t="e">
        <f>#REF!/Deseason_VA!H13*100</f>
        <v>#REF!</v>
      </c>
      <c r="I13" s="20" t="e">
        <f>#REF!/Deseason_VA!I13*100</f>
        <v>#REF!</v>
      </c>
      <c r="J13" s="20" t="e">
        <f>#REF!/Deseason_VA!J13*100</f>
        <v>#REF!</v>
      </c>
      <c r="K13" s="20" t="e">
        <f>#REF!/Deseason_VA!K13*100</f>
        <v>#REF!</v>
      </c>
      <c r="L13" s="20" t="e">
        <f>#REF!/Deseason_VA!L13*100</f>
        <v>#REF!</v>
      </c>
      <c r="M13" s="20" t="e">
        <f>#REF!/Deseason_VA!M13*100</f>
        <v>#REF!</v>
      </c>
      <c r="N13" s="20" t="e">
        <f>#REF!/Deseason_VA!N13*100</f>
        <v>#REF!</v>
      </c>
      <c r="O13" s="20" t="e">
        <f>#REF!/Deseason_VA!O13*100</f>
        <v>#REF!</v>
      </c>
      <c r="P13" s="20" t="e">
        <f>#REF!/Deseason_VA!P13*100</f>
        <v>#REF!</v>
      </c>
      <c r="Q13" s="20" t="e">
        <f>#REF!/Deseason_VA!Q13*100</f>
        <v>#REF!</v>
      </c>
      <c r="R13" s="20" t="e">
        <f>#REF!/Deseason_VA!R13*100</f>
        <v>#REF!</v>
      </c>
      <c r="S13" s="20" t="e">
        <f>#REF!/Deseason_VA!S13*100</f>
        <v>#REF!</v>
      </c>
      <c r="T13" s="20" t="e">
        <f>#REF!/Deseason_VA!T13*100</f>
        <v>#REF!</v>
      </c>
      <c r="U13" s="20" t="e">
        <f>#REF!/Deseason_VA!U13*100</f>
        <v>#REF!</v>
      </c>
      <c r="V13" s="20" t="e">
        <f>#REF!/Deseason_VA!V13*100</f>
        <v>#REF!</v>
      </c>
      <c r="W13" s="20" t="e">
        <f>#REF!/Deseason_VA!W13*100</f>
        <v>#REF!</v>
      </c>
      <c r="X13" s="20" t="e">
        <f>#REF!/Deseason_VA!X13*100</f>
        <v>#REF!</v>
      </c>
      <c r="Y13" s="20" t="e">
        <f>#REF!/Deseason_VA!Y13*100</f>
        <v>#REF!</v>
      </c>
      <c r="Z13" s="20" t="e">
        <f>#REF!/Deseason_VA!Z13*100</f>
        <v>#REF!</v>
      </c>
      <c r="AA13" s="20" t="e">
        <f>#REF!/Deseason_VA!AA13*100</f>
        <v>#REF!</v>
      </c>
      <c r="AB13" s="20" t="e">
        <f>#REF!/Deseason_VA!AB13*100</f>
        <v>#REF!</v>
      </c>
      <c r="AC13" s="20" t="e">
        <f>#REF!/Deseason_VA!AC13*100</f>
        <v>#REF!</v>
      </c>
      <c r="AD13" s="20" t="e">
        <f>#REF!/Deseason_VA!AD13*100</f>
        <v>#REF!</v>
      </c>
      <c r="AE13" s="20" t="e">
        <f>#REF!/Deseason_VA!AE13*100</f>
        <v>#REF!</v>
      </c>
      <c r="AF13" s="18" t="e">
        <f>#REF!/Deseason_VA!AF13*100</f>
        <v>#REF!</v>
      </c>
      <c r="AG13" s="18" t="e">
        <f>#REF!/Deseason_VA!AG13*100</f>
        <v>#REF!</v>
      </c>
      <c r="AH13" s="18" t="e">
        <f>#REF!/Deseason_VA!AH13*100</f>
        <v>#REF!</v>
      </c>
      <c r="AI13" s="18" t="e">
        <f>#REF!/Deseason_VA!AI13*100</f>
        <v>#REF!</v>
      </c>
      <c r="AJ13" s="18" t="e">
        <f>#REF!/Deseason_VA!AJ13*100</f>
        <v>#REF!</v>
      </c>
      <c r="AK13" s="18" t="e">
        <f>#REF!/Deseason_VA!AK13*100</f>
        <v>#REF!</v>
      </c>
      <c r="AL13" s="18" t="e">
        <f>#REF!/Deseason_VA!AL13*100</f>
        <v>#REF!</v>
      </c>
      <c r="AM13" s="18" t="e">
        <f>#REF!/Deseason_VA!AM13*100</f>
        <v>#REF!</v>
      </c>
      <c r="AN13" s="18" t="e">
        <f>#REF!/Deseason_VA!AN13*100</f>
        <v>#REF!</v>
      </c>
      <c r="AO13" s="18" t="e">
        <f>#REF!/Deseason_VA!AO13*100</f>
        <v>#REF!</v>
      </c>
      <c r="AP13" s="18" t="e">
        <f>#REF!/Deseason_VA!AP13*100</f>
        <v>#REF!</v>
      </c>
      <c r="AQ13" s="18" t="e">
        <f>#REF!/Deseason_VA!AQ13*100</f>
        <v>#REF!</v>
      </c>
    </row>
    <row r="14" spans="1:43" ht="18" customHeight="1" x14ac:dyDescent="0.2">
      <c r="A14" s="16" t="s">
        <v>8</v>
      </c>
      <c r="B14" s="23" t="e">
        <f>#REF!/Deseason_VA!B14*100</f>
        <v>#REF!</v>
      </c>
      <c r="C14" s="23" t="e">
        <f>#REF!/Deseason_VA!C14*100</f>
        <v>#REF!</v>
      </c>
      <c r="D14" s="23" t="e">
        <f>#REF!/Deseason_VA!D14*100</f>
        <v>#REF!</v>
      </c>
      <c r="E14" s="23" t="e">
        <f>#REF!/Deseason_VA!E14*100</f>
        <v>#REF!</v>
      </c>
      <c r="F14" s="23" t="e">
        <f>#REF!/Deseason_VA!F14*100</f>
        <v>#REF!</v>
      </c>
      <c r="G14" s="23" t="e">
        <f>#REF!/Deseason_VA!G14*100</f>
        <v>#REF!</v>
      </c>
      <c r="H14" s="23" t="e">
        <f>#REF!/Deseason_VA!H14*100</f>
        <v>#REF!</v>
      </c>
      <c r="I14" s="23" t="e">
        <f>#REF!/Deseason_VA!I14*100</f>
        <v>#REF!</v>
      </c>
      <c r="J14" s="23" t="e">
        <f>#REF!/Deseason_VA!J14*100</f>
        <v>#REF!</v>
      </c>
      <c r="K14" s="23" t="e">
        <f>#REF!/Deseason_VA!K14*100</f>
        <v>#REF!</v>
      </c>
      <c r="L14" s="23" t="e">
        <f>#REF!/Deseason_VA!L14*100</f>
        <v>#REF!</v>
      </c>
      <c r="M14" s="23" t="e">
        <f>#REF!/Deseason_VA!M14*100</f>
        <v>#REF!</v>
      </c>
      <c r="N14" s="23" t="e">
        <f>#REF!/Deseason_VA!N14*100</f>
        <v>#REF!</v>
      </c>
      <c r="O14" s="23" t="e">
        <f>#REF!/Deseason_VA!O14*100</f>
        <v>#REF!</v>
      </c>
      <c r="P14" s="23" t="e">
        <f>#REF!/Deseason_VA!P14*100</f>
        <v>#REF!</v>
      </c>
      <c r="Q14" s="23" t="e">
        <f>#REF!/Deseason_VA!Q14*100</f>
        <v>#REF!</v>
      </c>
      <c r="R14" s="23" t="e">
        <f>#REF!/Deseason_VA!R14*100</f>
        <v>#REF!</v>
      </c>
      <c r="S14" s="23" t="e">
        <f>#REF!/Deseason_VA!S14*100</f>
        <v>#REF!</v>
      </c>
      <c r="T14" s="23" t="e">
        <f>#REF!/Deseason_VA!T14*100</f>
        <v>#REF!</v>
      </c>
      <c r="U14" s="23" t="e">
        <f>#REF!/Deseason_VA!U14*100</f>
        <v>#REF!</v>
      </c>
      <c r="V14" s="23" t="e">
        <f>#REF!/Deseason_VA!V14*100</f>
        <v>#REF!</v>
      </c>
      <c r="W14" s="23" t="e">
        <f>#REF!/Deseason_VA!W14*100</f>
        <v>#REF!</v>
      </c>
      <c r="X14" s="23" t="e">
        <f>#REF!/Deseason_VA!X14*100</f>
        <v>#REF!</v>
      </c>
      <c r="Y14" s="23" t="e">
        <f>#REF!/Deseason_VA!Y14*100</f>
        <v>#REF!</v>
      </c>
      <c r="Z14" s="23" t="e">
        <f>#REF!/Deseason_VA!Z14*100</f>
        <v>#REF!</v>
      </c>
      <c r="AA14" s="23" t="e">
        <f>#REF!/Deseason_VA!AA14*100</f>
        <v>#REF!</v>
      </c>
      <c r="AB14" s="23" t="e">
        <f>#REF!/Deseason_VA!AB14*100</f>
        <v>#REF!</v>
      </c>
      <c r="AC14" s="23" t="e">
        <f>#REF!/Deseason_VA!AC14*100</f>
        <v>#REF!</v>
      </c>
      <c r="AD14" s="23" t="e">
        <f>#REF!/Deseason_VA!AD14*100</f>
        <v>#REF!</v>
      </c>
      <c r="AE14" s="23" t="e">
        <f>#REF!/Deseason_VA!AE14*100</f>
        <v>#REF!</v>
      </c>
      <c r="AF14" s="15" t="e">
        <f>#REF!/Deseason_VA!AF14*100</f>
        <v>#REF!</v>
      </c>
      <c r="AG14" s="15" t="e">
        <f>#REF!/Deseason_VA!AG14*100</f>
        <v>#REF!</v>
      </c>
      <c r="AH14" s="15" t="e">
        <f>#REF!/Deseason_VA!AH14*100</f>
        <v>#REF!</v>
      </c>
      <c r="AI14" s="15" t="e">
        <f>#REF!/Deseason_VA!AI14*100</f>
        <v>#REF!</v>
      </c>
      <c r="AJ14" s="15" t="e">
        <f>#REF!/Deseason_VA!AJ14*100</f>
        <v>#REF!</v>
      </c>
      <c r="AK14" s="15" t="e">
        <f>#REF!/Deseason_VA!AK14*100</f>
        <v>#REF!</v>
      </c>
      <c r="AL14" s="15" t="e">
        <f>#REF!/Deseason_VA!AL14*100</f>
        <v>#REF!</v>
      </c>
      <c r="AM14" s="15" t="e">
        <f>#REF!/Deseason_VA!AM14*100</f>
        <v>#REF!</v>
      </c>
      <c r="AN14" s="15" t="e">
        <f>#REF!/Deseason_VA!AN14*100</f>
        <v>#REF!</v>
      </c>
      <c r="AO14" s="15" t="e">
        <f>#REF!/Deseason_VA!AO14*100</f>
        <v>#REF!</v>
      </c>
      <c r="AP14" s="15" t="e">
        <f>#REF!/Deseason_VA!AP14*100</f>
        <v>#REF!</v>
      </c>
      <c r="AQ14" s="15" t="e">
        <f>#REF!/Deseason_VA!AQ14*100</f>
        <v>#REF!</v>
      </c>
    </row>
    <row r="15" spans="1:43" ht="18" customHeight="1" x14ac:dyDescent="0.2">
      <c r="A15" s="4" t="s">
        <v>9</v>
      </c>
      <c r="B15" s="23" t="e">
        <f>#REF!/Deseason_VA!B15*100</f>
        <v>#REF!</v>
      </c>
      <c r="C15" s="23" t="e">
        <f>#REF!/Deseason_VA!C15*100</f>
        <v>#REF!</v>
      </c>
      <c r="D15" s="23" t="e">
        <f>#REF!/Deseason_VA!D15*100</f>
        <v>#REF!</v>
      </c>
      <c r="E15" s="23" t="e">
        <f>#REF!/Deseason_VA!E15*100</f>
        <v>#REF!</v>
      </c>
      <c r="F15" s="23" t="e">
        <f>#REF!/Deseason_VA!F15*100</f>
        <v>#REF!</v>
      </c>
      <c r="G15" s="23" t="e">
        <f>#REF!/Deseason_VA!G15*100</f>
        <v>#REF!</v>
      </c>
      <c r="H15" s="23" t="e">
        <f>#REF!/Deseason_VA!H15*100</f>
        <v>#REF!</v>
      </c>
      <c r="I15" s="23" t="e">
        <f>#REF!/Deseason_VA!I15*100</f>
        <v>#REF!</v>
      </c>
      <c r="J15" s="23" t="e">
        <f>#REF!/Deseason_VA!J15*100</f>
        <v>#REF!</v>
      </c>
      <c r="K15" s="23" t="e">
        <f>#REF!/Deseason_VA!K15*100</f>
        <v>#REF!</v>
      </c>
      <c r="L15" s="23" t="e">
        <f>#REF!/Deseason_VA!L15*100</f>
        <v>#REF!</v>
      </c>
      <c r="M15" s="23" t="e">
        <f>#REF!/Deseason_VA!M15*100</f>
        <v>#REF!</v>
      </c>
      <c r="N15" s="23" t="e">
        <f>#REF!/Deseason_VA!N15*100</f>
        <v>#REF!</v>
      </c>
      <c r="O15" s="23" t="e">
        <f>#REF!/Deseason_VA!O15*100</f>
        <v>#REF!</v>
      </c>
      <c r="P15" s="23" t="e">
        <f>#REF!/Deseason_VA!P15*100</f>
        <v>#REF!</v>
      </c>
      <c r="Q15" s="23" t="e">
        <f>#REF!/Deseason_VA!Q15*100</f>
        <v>#REF!</v>
      </c>
      <c r="R15" s="23" t="e">
        <f>#REF!/Deseason_VA!R15*100</f>
        <v>#REF!</v>
      </c>
      <c r="S15" s="23" t="e">
        <f>#REF!/Deseason_VA!S15*100</f>
        <v>#REF!</v>
      </c>
      <c r="T15" s="23" t="e">
        <f>#REF!/Deseason_VA!T15*100</f>
        <v>#REF!</v>
      </c>
      <c r="U15" s="23" t="e">
        <f>#REF!/Deseason_VA!U15*100</f>
        <v>#REF!</v>
      </c>
      <c r="V15" s="23" t="e">
        <f>#REF!/Deseason_VA!V15*100</f>
        <v>#REF!</v>
      </c>
      <c r="W15" s="23" t="e">
        <f>#REF!/Deseason_VA!W15*100</f>
        <v>#REF!</v>
      </c>
      <c r="X15" s="23" t="e">
        <f>#REF!/Deseason_VA!X15*100</f>
        <v>#REF!</v>
      </c>
      <c r="Y15" s="23" t="e">
        <f>#REF!/Deseason_VA!Y15*100</f>
        <v>#REF!</v>
      </c>
      <c r="Z15" s="23" t="e">
        <f>#REF!/Deseason_VA!Z15*100</f>
        <v>#REF!</v>
      </c>
      <c r="AA15" s="23" t="e">
        <f>#REF!/Deseason_VA!AA15*100</f>
        <v>#REF!</v>
      </c>
      <c r="AB15" s="23" t="e">
        <f>#REF!/Deseason_VA!AB15*100</f>
        <v>#REF!</v>
      </c>
      <c r="AC15" s="23" t="e">
        <f>#REF!/Deseason_VA!AC15*100</f>
        <v>#REF!</v>
      </c>
      <c r="AD15" s="23" t="e">
        <f>#REF!/Deseason_VA!AD15*100</f>
        <v>#REF!</v>
      </c>
      <c r="AE15" s="23" t="e">
        <f>#REF!/Deseason_VA!AE15*100</f>
        <v>#REF!</v>
      </c>
      <c r="AF15" s="15" t="e">
        <f>#REF!/Deseason_VA!AF15*100</f>
        <v>#REF!</v>
      </c>
      <c r="AG15" s="15" t="e">
        <f>#REF!/Deseason_VA!AG15*100</f>
        <v>#REF!</v>
      </c>
      <c r="AH15" s="15" t="e">
        <f>#REF!/Deseason_VA!AH15*100</f>
        <v>#REF!</v>
      </c>
      <c r="AI15" s="15" t="e">
        <f>#REF!/Deseason_VA!AI15*100</f>
        <v>#REF!</v>
      </c>
      <c r="AJ15" s="15" t="e">
        <f>#REF!/Deseason_VA!AJ15*100</f>
        <v>#REF!</v>
      </c>
      <c r="AK15" s="15" t="e">
        <f>#REF!/Deseason_VA!AK15*100</f>
        <v>#REF!</v>
      </c>
      <c r="AL15" s="15" t="e">
        <f>#REF!/Deseason_VA!AL15*100</f>
        <v>#REF!</v>
      </c>
      <c r="AM15" s="15" t="e">
        <f>#REF!/Deseason_VA!AM15*100</f>
        <v>#REF!</v>
      </c>
      <c r="AN15" s="15" t="e">
        <f>#REF!/Deseason_VA!AN15*100</f>
        <v>#REF!</v>
      </c>
      <c r="AO15" s="15" t="e">
        <f>#REF!/Deseason_VA!AO15*100</f>
        <v>#REF!</v>
      </c>
      <c r="AP15" s="15" t="e">
        <f>#REF!/Deseason_VA!AP15*100</f>
        <v>#REF!</v>
      </c>
      <c r="AQ15" s="15" t="e">
        <f>#REF!/Deseason_VA!AQ15*100</f>
        <v>#REF!</v>
      </c>
    </row>
    <row r="16" spans="1:43" ht="18" customHeight="1" x14ac:dyDescent="0.2">
      <c r="A16" s="4" t="s">
        <v>10</v>
      </c>
      <c r="B16" s="23" t="e">
        <f>#REF!/Deseason_VA!B16*100</f>
        <v>#REF!</v>
      </c>
      <c r="C16" s="23" t="e">
        <f>#REF!/Deseason_VA!C16*100</f>
        <v>#REF!</v>
      </c>
      <c r="D16" s="23" t="e">
        <f>#REF!/Deseason_VA!D16*100</f>
        <v>#REF!</v>
      </c>
      <c r="E16" s="23" t="e">
        <f>#REF!/Deseason_VA!E16*100</f>
        <v>#REF!</v>
      </c>
      <c r="F16" s="23" t="e">
        <f>#REF!/Deseason_VA!F16*100</f>
        <v>#REF!</v>
      </c>
      <c r="G16" s="23" t="e">
        <f>#REF!/Deseason_VA!G16*100</f>
        <v>#REF!</v>
      </c>
      <c r="H16" s="23" t="e">
        <f>#REF!/Deseason_VA!H16*100</f>
        <v>#REF!</v>
      </c>
      <c r="I16" s="23" t="e">
        <f>#REF!/Deseason_VA!I16*100</f>
        <v>#REF!</v>
      </c>
      <c r="J16" s="23" t="e">
        <f>#REF!/Deseason_VA!J16*100</f>
        <v>#REF!</v>
      </c>
      <c r="K16" s="23" t="e">
        <f>#REF!/Deseason_VA!K16*100</f>
        <v>#REF!</v>
      </c>
      <c r="L16" s="23" t="e">
        <f>#REF!/Deseason_VA!L16*100</f>
        <v>#REF!</v>
      </c>
      <c r="M16" s="23" t="e">
        <f>#REF!/Deseason_VA!M16*100</f>
        <v>#REF!</v>
      </c>
      <c r="N16" s="23" t="e">
        <f>#REF!/Deseason_VA!N16*100</f>
        <v>#REF!</v>
      </c>
      <c r="O16" s="23" t="e">
        <f>#REF!/Deseason_VA!O16*100</f>
        <v>#REF!</v>
      </c>
      <c r="P16" s="23" t="e">
        <f>#REF!/Deseason_VA!P16*100</f>
        <v>#REF!</v>
      </c>
      <c r="Q16" s="23" t="e">
        <f>#REF!/Deseason_VA!Q16*100</f>
        <v>#REF!</v>
      </c>
      <c r="R16" s="23" t="e">
        <f>#REF!/Deseason_VA!R16*100</f>
        <v>#REF!</v>
      </c>
      <c r="S16" s="23" t="e">
        <f>#REF!/Deseason_VA!S16*100</f>
        <v>#REF!</v>
      </c>
      <c r="T16" s="23" t="e">
        <f>#REF!/Deseason_VA!T16*100</f>
        <v>#REF!</v>
      </c>
      <c r="U16" s="23" t="e">
        <f>#REF!/Deseason_VA!U16*100</f>
        <v>#REF!</v>
      </c>
      <c r="V16" s="23" t="e">
        <f>#REF!/Deseason_VA!V16*100</f>
        <v>#REF!</v>
      </c>
      <c r="W16" s="23" t="e">
        <f>#REF!/Deseason_VA!W16*100</f>
        <v>#REF!</v>
      </c>
      <c r="X16" s="23" t="e">
        <f>#REF!/Deseason_VA!X16*100</f>
        <v>#REF!</v>
      </c>
      <c r="Y16" s="23" t="e">
        <f>#REF!/Deseason_VA!Y16*100</f>
        <v>#REF!</v>
      </c>
      <c r="Z16" s="23" t="e">
        <f>#REF!/Deseason_VA!Z16*100</f>
        <v>#REF!</v>
      </c>
      <c r="AA16" s="23" t="e">
        <f>#REF!/Deseason_VA!AA16*100</f>
        <v>#REF!</v>
      </c>
      <c r="AB16" s="23" t="e">
        <f>#REF!/Deseason_VA!AB16*100</f>
        <v>#REF!</v>
      </c>
      <c r="AC16" s="23" t="e">
        <f>#REF!/Deseason_VA!AC16*100</f>
        <v>#REF!</v>
      </c>
      <c r="AD16" s="23" t="e">
        <f>#REF!/Deseason_VA!AD16*100</f>
        <v>#REF!</v>
      </c>
      <c r="AE16" s="23" t="e">
        <f>#REF!/Deseason_VA!AE16*100</f>
        <v>#REF!</v>
      </c>
      <c r="AF16" s="15" t="e">
        <f>#REF!/Deseason_VA!AF16*100</f>
        <v>#REF!</v>
      </c>
      <c r="AG16" s="15" t="e">
        <f>#REF!/Deseason_VA!AG16*100</f>
        <v>#REF!</v>
      </c>
      <c r="AH16" s="15" t="e">
        <f>#REF!/Deseason_VA!AH16*100</f>
        <v>#REF!</v>
      </c>
      <c r="AI16" s="15" t="e">
        <f>#REF!/Deseason_VA!AI16*100</f>
        <v>#REF!</v>
      </c>
      <c r="AJ16" s="15" t="e">
        <f>#REF!/Deseason_VA!AJ16*100</f>
        <v>#REF!</v>
      </c>
      <c r="AK16" s="15" t="e">
        <f>#REF!/Deseason_VA!AK16*100</f>
        <v>#REF!</v>
      </c>
      <c r="AL16" s="15" t="e">
        <f>#REF!/Deseason_VA!AL16*100</f>
        <v>#REF!</v>
      </c>
      <c r="AM16" s="15" t="e">
        <f>#REF!/Deseason_VA!AM16*100</f>
        <v>#REF!</v>
      </c>
      <c r="AN16" s="15" t="e">
        <f>#REF!/Deseason_VA!AN16*100</f>
        <v>#REF!</v>
      </c>
      <c r="AO16" s="15" t="e">
        <f>#REF!/Deseason_VA!AO16*100</f>
        <v>#REF!</v>
      </c>
      <c r="AP16" s="15" t="e">
        <f>#REF!/Deseason_VA!AP16*100</f>
        <v>#REF!</v>
      </c>
      <c r="AQ16" s="15" t="e">
        <f>#REF!/Deseason_VA!AQ16*100</f>
        <v>#REF!</v>
      </c>
    </row>
    <row r="17" spans="1:43" ht="18" customHeight="1" x14ac:dyDescent="0.2">
      <c r="A17" s="4" t="s">
        <v>11</v>
      </c>
      <c r="B17" s="23" t="e">
        <f>#REF!/Deseason_VA!B17*100</f>
        <v>#REF!</v>
      </c>
      <c r="C17" s="23" t="e">
        <f>#REF!/Deseason_VA!C17*100</f>
        <v>#REF!</v>
      </c>
      <c r="D17" s="23" t="e">
        <f>#REF!/Deseason_VA!D17*100</f>
        <v>#REF!</v>
      </c>
      <c r="E17" s="23" t="e">
        <f>#REF!/Deseason_VA!E17*100</f>
        <v>#REF!</v>
      </c>
      <c r="F17" s="23" t="e">
        <f>#REF!/Deseason_VA!F17*100</f>
        <v>#REF!</v>
      </c>
      <c r="G17" s="23" t="e">
        <f>#REF!/Deseason_VA!G17*100</f>
        <v>#REF!</v>
      </c>
      <c r="H17" s="23" t="e">
        <f>#REF!/Deseason_VA!H17*100</f>
        <v>#REF!</v>
      </c>
      <c r="I17" s="23" t="e">
        <f>#REF!/Deseason_VA!I17*100</f>
        <v>#REF!</v>
      </c>
      <c r="J17" s="23" t="e">
        <f>#REF!/Deseason_VA!J17*100</f>
        <v>#REF!</v>
      </c>
      <c r="K17" s="23" t="e">
        <f>#REF!/Deseason_VA!K17*100</f>
        <v>#REF!</v>
      </c>
      <c r="L17" s="23" t="e">
        <f>#REF!/Deseason_VA!L17*100</f>
        <v>#REF!</v>
      </c>
      <c r="M17" s="23" t="e">
        <f>#REF!/Deseason_VA!M17*100</f>
        <v>#REF!</v>
      </c>
      <c r="N17" s="23" t="e">
        <f>#REF!/Deseason_VA!N17*100</f>
        <v>#REF!</v>
      </c>
      <c r="O17" s="23" t="e">
        <f>#REF!/Deseason_VA!O17*100</f>
        <v>#REF!</v>
      </c>
      <c r="P17" s="23" t="e">
        <f>#REF!/Deseason_VA!P17*100</f>
        <v>#REF!</v>
      </c>
      <c r="Q17" s="23" t="e">
        <f>#REF!/Deseason_VA!Q17*100</f>
        <v>#REF!</v>
      </c>
      <c r="R17" s="23" t="e">
        <f>#REF!/Deseason_VA!R17*100</f>
        <v>#REF!</v>
      </c>
      <c r="S17" s="23" t="e">
        <f>#REF!/Deseason_VA!S17*100</f>
        <v>#REF!</v>
      </c>
      <c r="T17" s="23" t="e">
        <f>#REF!/Deseason_VA!T17*100</f>
        <v>#REF!</v>
      </c>
      <c r="U17" s="23" t="e">
        <f>#REF!/Deseason_VA!U17*100</f>
        <v>#REF!</v>
      </c>
      <c r="V17" s="23" t="e">
        <f>#REF!/Deseason_VA!V17*100</f>
        <v>#REF!</v>
      </c>
      <c r="W17" s="23" t="e">
        <f>#REF!/Deseason_VA!W17*100</f>
        <v>#REF!</v>
      </c>
      <c r="X17" s="23" t="e">
        <f>#REF!/Deseason_VA!X17*100</f>
        <v>#REF!</v>
      </c>
      <c r="Y17" s="23" t="e">
        <f>#REF!/Deseason_VA!Y17*100</f>
        <v>#REF!</v>
      </c>
      <c r="Z17" s="23" t="e">
        <f>#REF!/Deseason_VA!Z17*100</f>
        <v>#REF!</v>
      </c>
      <c r="AA17" s="23" t="e">
        <f>#REF!/Deseason_VA!AA17*100</f>
        <v>#REF!</v>
      </c>
      <c r="AB17" s="23" t="e">
        <f>#REF!/Deseason_VA!AB17*100</f>
        <v>#REF!</v>
      </c>
      <c r="AC17" s="23" t="e">
        <f>#REF!/Deseason_VA!AC17*100</f>
        <v>#REF!</v>
      </c>
      <c r="AD17" s="23" t="e">
        <f>#REF!/Deseason_VA!AD17*100</f>
        <v>#REF!</v>
      </c>
      <c r="AE17" s="23" t="e">
        <f>#REF!/Deseason_VA!AE17*100</f>
        <v>#REF!</v>
      </c>
      <c r="AF17" s="15" t="e">
        <f>#REF!/Deseason_VA!AF17*100</f>
        <v>#REF!</v>
      </c>
      <c r="AG17" s="15" t="e">
        <f>#REF!/Deseason_VA!AG17*100</f>
        <v>#REF!</v>
      </c>
      <c r="AH17" s="15" t="e">
        <f>#REF!/Deseason_VA!AH17*100</f>
        <v>#REF!</v>
      </c>
      <c r="AI17" s="15" t="e">
        <f>#REF!/Deseason_VA!AI17*100</f>
        <v>#REF!</v>
      </c>
      <c r="AJ17" s="15" t="e">
        <f>#REF!/Deseason_VA!AJ17*100</f>
        <v>#REF!</v>
      </c>
      <c r="AK17" s="15" t="e">
        <f>#REF!/Deseason_VA!AK17*100</f>
        <v>#REF!</v>
      </c>
      <c r="AL17" s="15" t="e">
        <f>#REF!/Deseason_VA!AL17*100</f>
        <v>#REF!</v>
      </c>
      <c r="AM17" s="15" t="e">
        <f>#REF!/Deseason_VA!AM17*100</f>
        <v>#REF!</v>
      </c>
      <c r="AN17" s="15" t="e">
        <f>#REF!/Deseason_VA!AN17*100</f>
        <v>#REF!</v>
      </c>
      <c r="AO17" s="15" t="e">
        <f>#REF!/Deseason_VA!AO17*100</f>
        <v>#REF!</v>
      </c>
      <c r="AP17" s="15" t="e">
        <f>#REF!/Deseason_VA!AP17*100</f>
        <v>#REF!</v>
      </c>
      <c r="AQ17" s="15" t="e">
        <f>#REF!/Deseason_VA!AQ17*100</f>
        <v>#REF!</v>
      </c>
    </row>
    <row r="18" spans="1:43" ht="18" customHeight="1" x14ac:dyDescent="0.2">
      <c r="A18" s="16" t="s">
        <v>12</v>
      </c>
      <c r="B18" s="23" t="e">
        <f>#REF!/Deseason_VA!B18*100</f>
        <v>#REF!</v>
      </c>
      <c r="C18" s="23" t="e">
        <f>#REF!/Deseason_VA!C18*100</f>
        <v>#REF!</v>
      </c>
      <c r="D18" s="23" t="e">
        <f>#REF!/Deseason_VA!D18*100</f>
        <v>#REF!</v>
      </c>
      <c r="E18" s="23" t="e">
        <f>#REF!/Deseason_VA!E18*100</f>
        <v>#REF!</v>
      </c>
      <c r="F18" s="23" t="e">
        <f>#REF!/Deseason_VA!F18*100</f>
        <v>#REF!</v>
      </c>
      <c r="G18" s="23" t="e">
        <f>#REF!/Deseason_VA!G18*100</f>
        <v>#REF!</v>
      </c>
      <c r="H18" s="23" t="e">
        <f>#REF!/Deseason_VA!H18*100</f>
        <v>#REF!</v>
      </c>
      <c r="I18" s="23" t="e">
        <f>#REF!/Deseason_VA!I18*100</f>
        <v>#REF!</v>
      </c>
      <c r="J18" s="23" t="e">
        <f>#REF!/Deseason_VA!J18*100</f>
        <v>#REF!</v>
      </c>
      <c r="K18" s="23" t="e">
        <f>#REF!/Deseason_VA!K18*100</f>
        <v>#REF!</v>
      </c>
      <c r="L18" s="23" t="e">
        <f>#REF!/Deseason_VA!L18*100</f>
        <v>#REF!</v>
      </c>
      <c r="M18" s="23" t="e">
        <f>#REF!/Deseason_VA!M18*100</f>
        <v>#REF!</v>
      </c>
      <c r="N18" s="23" t="e">
        <f>#REF!/Deseason_VA!N18*100</f>
        <v>#REF!</v>
      </c>
      <c r="O18" s="23" t="e">
        <f>#REF!/Deseason_VA!O18*100</f>
        <v>#REF!</v>
      </c>
      <c r="P18" s="23" t="e">
        <f>#REF!/Deseason_VA!P18*100</f>
        <v>#REF!</v>
      </c>
      <c r="Q18" s="23" t="e">
        <f>#REF!/Deseason_VA!Q18*100</f>
        <v>#REF!</v>
      </c>
      <c r="R18" s="23" t="e">
        <f>#REF!/Deseason_VA!R18*100</f>
        <v>#REF!</v>
      </c>
      <c r="S18" s="23" t="e">
        <f>#REF!/Deseason_VA!S18*100</f>
        <v>#REF!</v>
      </c>
      <c r="T18" s="23" t="e">
        <f>#REF!/Deseason_VA!T18*100</f>
        <v>#REF!</v>
      </c>
      <c r="U18" s="23" t="e">
        <f>#REF!/Deseason_VA!U18*100</f>
        <v>#REF!</v>
      </c>
      <c r="V18" s="23" t="e">
        <f>#REF!/Deseason_VA!V18*100</f>
        <v>#REF!</v>
      </c>
      <c r="W18" s="23" t="e">
        <f>#REF!/Deseason_VA!W18*100</f>
        <v>#REF!</v>
      </c>
      <c r="X18" s="23" t="e">
        <f>#REF!/Deseason_VA!X18*100</f>
        <v>#REF!</v>
      </c>
      <c r="Y18" s="23" t="e">
        <f>#REF!/Deseason_VA!Y18*100</f>
        <v>#REF!</v>
      </c>
      <c r="Z18" s="23" t="e">
        <f>#REF!/Deseason_VA!Z18*100</f>
        <v>#REF!</v>
      </c>
      <c r="AA18" s="23" t="e">
        <f>#REF!/Deseason_VA!AA18*100</f>
        <v>#REF!</v>
      </c>
      <c r="AB18" s="23" t="e">
        <f>#REF!/Deseason_VA!AB18*100</f>
        <v>#REF!</v>
      </c>
      <c r="AC18" s="23" t="e">
        <f>#REF!/Deseason_VA!AC18*100</f>
        <v>#REF!</v>
      </c>
      <c r="AD18" s="23" t="e">
        <f>#REF!/Deseason_VA!AD18*100</f>
        <v>#REF!</v>
      </c>
      <c r="AE18" s="23" t="e">
        <f>#REF!/Deseason_VA!AE18*100</f>
        <v>#REF!</v>
      </c>
      <c r="AF18" s="15" t="e">
        <f>#REF!/Deseason_VA!AF18*100</f>
        <v>#REF!</v>
      </c>
      <c r="AG18" s="15" t="e">
        <f>#REF!/Deseason_VA!AG18*100</f>
        <v>#REF!</v>
      </c>
      <c r="AH18" s="15" t="e">
        <f>#REF!/Deseason_VA!AH18*100</f>
        <v>#REF!</v>
      </c>
      <c r="AI18" s="15" t="e">
        <f>#REF!/Deseason_VA!AI18*100</f>
        <v>#REF!</v>
      </c>
      <c r="AJ18" s="15" t="e">
        <f>#REF!/Deseason_VA!AJ18*100</f>
        <v>#REF!</v>
      </c>
      <c r="AK18" s="15" t="e">
        <f>#REF!/Deseason_VA!AK18*100</f>
        <v>#REF!</v>
      </c>
      <c r="AL18" s="15" t="e">
        <f>#REF!/Deseason_VA!AL18*100</f>
        <v>#REF!</v>
      </c>
      <c r="AM18" s="15" t="e">
        <f>#REF!/Deseason_VA!AM18*100</f>
        <v>#REF!</v>
      </c>
      <c r="AN18" s="15" t="e">
        <f>#REF!/Deseason_VA!AN18*100</f>
        <v>#REF!</v>
      </c>
      <c r="AO18" s="15" t="e">
        <f>#REF!/Deseason_VA!AO18*100</f>
        <v>#REF!</v>
      </c>
      <c r="AP18" s="15" t="e">
        <f>#REF!/Deseason_VA!AP18*100</f>
        <v>#REF!</v>
      </c>
      <c r="AQ18" s="15" t="e">
        <f>#REF!/Deseason_VA!AQ18*100</f>
        <v>#REF!</v>
      </c>
    </row>
    <row r="19" spans="1:43" s="8" customFormat="1" ht="24.75" customHeight="1" x14ac:dyDescent="0.2">
      <c r="A19" s="2" t="s">
        <v>94</v>
      </c>
      <c r="B19" s="20" t="e">
        <f>#REF!/Deseason_VA!B19*100</f>
        <v>#REF!</v>
      </c>
      <c r="C19" s="20" t="e">
        <f>#REF!/Deseason_VA!C19*100</f>
        <v>#REF!</v>
      </c>
      <c r="D19" s="20" t="e">
        <f>#REF!/Deseason_VA!D19*100</f>
        <v>#REF!</v>
      </c>
      <c r="E19" s="20" t="e">
        <f>#REF!/Deseason_VA!E19*100</f>
        <v>#REF!</v>
      </c>
      <c r="F19" s="20" t="e">
        <f>#REF!/Deseason_VA!F19*100</f>
        <v>#REF!</v>
      </c>
      <c r="G19" s="20" t="e">
        <f>#REF!/Deseason_VA!G19*100</f>
        <v>#REF!</v>
      </c>
      <c r="H19" s="20" t="e">
        <f>#REF!/Deseason_VA!H19*100</f>
        <v>#REF!</v>
      </c>
      <c r="I19" s="20" t="e">
        <f>#REF!/Deseason_VA!I19*100</f>
        <v>#REF!</v>
      </c>
      <c r="J19" s="20" t="e">
        <f>#REF!/Deseason_VA!J19*100</f>
        <v>#REF!</v>
      </c>
      <c r="K19" s="20" t="e">
        <f>#REF!/Deseason_VA!K19*100</f>
        <v>#REF!</v>
      </c>
      <c r="L19" s="20" t="e">
        <f>#REF!/Deseason_VA!L19*100</f>
        <v>#REF!</v>
      </c>
      <c r="M19" s="20" t="e">
        <f>#REF!/Deseason_VA!M19*100</f>
        <v>#REF!</v>
      </c>
      <c r="N19" s="20" t="e">
        <f>#REF!/Deseason_VA!N19*100</f>
        <v>#REF!</v>
      </c>
      <c r="O19" s="20" t="e">
        <f>#REF!/Deseason_VA!O19*100</f>
        <v>#REF!</v>
      </c>
      <c r="P19" s="20" t="e">
        <f>#REF!/Deseason_VA!P19*100</f>
        <v>#REF!</v>
      </c>
      <c r="Q19" s="20" t="e">
        <f>#REF!/Deseason_VA!Q19*100</f>
        <v>#REF!</v>
      </c>
      <c r="R19" s="20" t="e">
        <f>#REF!/Deseason_VA!R19*100</f>
        <v>#REF!</v>
      </c>
      <c r="S19" s="20" t="e">
        <f>#REF!/Deseason_VA!S19*100</f>
        <v>#REF!</v>
      </c>
      <c r="T19" s="20" t="e">
        <f>#REF!/Deseason_VA!T19*100</f>
        <v>#REF!</v>
      </c>
      <c r="U19" s="20" t="e">
        <f>#REF!/Deseason_VA!U19*100</f>
        <v>#REF!</v>
      </c>
      <c r="V19" s="20" t="e">
        <f>#REF!/Deseason_VA!V19*100</f>
        <v>#REF!</v>
      </c>
      <c r="W19" s="20" t="e">
        <f>#REF!/Deseason_VA!W19*100</f>
        <v>#REF!</v>
      </c>
      <c r="X19" s="20" t="e">
        <f>#REF!/Deseason_VA!X19*100</f>
        <v>#REF!</v>
      </c>
      <c r="Y19" s="20" t="e">
        <f>#REF!/Deseason_VA!Y19*100</f>
        <v>#REF!</v>
      </c>
      <c r="Z19" s="20" t="e">
        <f>#REF!/Deseason_VA!Z19*100</f>
        <v>#REF!</v>
      </c>
      <c r="AA19" s="20" t="e">
        <f>#REF!/Deseason_VA!AA19*100</f>
        <v>#REF!</v>
      </c>
      <c r="AB19" s="20" t="e">
        <f>#REF!/Deseason_VA!AB19*100</f>
        <v>#REF!</v>
      </c>
      <c r="AC19" s="20" t="e">
        <f>#REF!/Deseason_VA!AC19*100</f>
        <v>#REF!</v>
      </c>
      <c r="AD19" s="20" t="e">
        <f>#REF!/Deseason_VA!AD19*100</f>
        <v>#REF!</v>
      </c>
      <c r="AE19" s="20" t="e">
        <f>#REF!/Deseason_VA!AE19*100</f>
        <v>#REF!</v>
      </c>
      <c r="AF19" s="18" t="e">
        <f>#REF!/Deseason_VA!AF19*100</f>
        <v>#REF!</v>
      </c>
      <c r="AG19" s="18" t="e">
        <f>#REF!/Deseason_VA!AG19*100</f>
        <v>#REF!</v>
      </c>
      <c r="AH19" s="18" t="e">
        <f>#REF!/Deseason_VA!AH19*100</f>
        <v>#REF!</v>
      </c>
      <c r="AI19" s="18" t="e">
        <f>#REF!/Deseason_VA!AI19*100</f>
        <v>#REF!</v>
      </c>
      <c r="AJ19" s="18" t="e">
        <f>#REF!/Deseason_VA!AJ19*100</f>
        <v>#REF!</v>
      </c>
      <c r="AK19" s="18" t="e">
        <f>#REF!/Deseason_VA!AK19*100</f>
        <v>#REF!</v>
      </c>
      <c r="AL19" s="18" t="e">
        <f>#REF!/Deseason_VA!AL19*100</f>
        <v>#REF!</v>
      </c>
      <c r="AM19" s="18" t="e">
        <f>#REF!/Deseason_VA!AM19*100</f>
        <v>#REF!</v>
      </c>
      <c r="AN19" s="18" t="e">
        <f>#REF!/Deseason_VA!AN19*100</f>
        <v>#REF!</v>
      </c>
      <c r="AO19" s="18" t="e">
        <f>#REF!/Deseason_VA!AO19*100</f>
        <v>#REF!</v>
      </c>
      <c r="AP19" s="18" t="e">
        <f>#REF!/Deseason_VA!AP19*100</f>
        <v>#REF!</v>
      </c>
      <c r="AQ19" s="18" t="e">
        <f>#REF!/Deseason_VA!AQ19*100</f>
        <v>#REF!</v>
      </c>
    </row>
    <row r="20" spans="1:43" s="8" customFormat="1" ht="18" customHeight="1" x14ac:dyDescent="0.2">
      <c r="A20" s="55" t="s">
        <v>52</v>
      </c>
      <c r="B20" s="23" t="e">
        <f>#REF!/Deseason_VA!B20*100</f>
        <v>#REF!</v>
      </c>
      <c r="C20" s="23" t="e">
        <f>#REF!/Deseason_VA!C20*100</f>
        <v>#REF!</v>
      </c>
      <c r="D20" s="23" t="e">
        <f>#REF!/Deseason_VA!D20*100</f>
        <v>#REF!</v>
      </c>
      <c r="E20" s="23" t="e">
        <f>#REF!/Deseason_VA!E20*100</f>
        <v>#REF!</v>
      </c>
      <c r="F20" s="23" t="e">
        <f>#REF!/Deseason_VA!F20*100</f>
        <v>#REF!</v>
      </c>
      <c r="G20" s="23" t="e">
        <f>#REF!/Deseason_VA!G20*100</f>
        <v>#REF!</v>
      </c>
      <c r="H20" s="23" t="e">
        <f>#REF!/Deseason_VA!H20*100</f>
        <v>#REF!</v>
      </c>
      <c r="I20" s="23" t="e">
        <f>#REF!/Deseason_VA!I20*100</f>
        <v>#REF!</v>
      </c>
      <c r="J20" s="23" t="e">
        <f>#REF!/Deseason_VA!J20*100</f>
        <v>#REF!</v>
      </c>
      <c r="K20" s="23" t="e">
        <f>#REF!/Deseason_VA!K20*100</f>
        <v>#REF!</v>
      </c>
      <c r="L20" s="23" t="e">
        <f>#REF!/Deseason_VA!L20*100</f>
        <v>#REF!</v>
      </c>
      <c r="M20" s="23" t="e">
        <f>#REF!/Deseason_VA!M20*100</f>
        <v>#REF!</v>
      </c>
      <c r="N20" s="23" t="e">
        <f>#REF!/Deseason_VA!N20*100</f>
        <v>#REF!</v>
      </c>
      <c r="O20" s="23" t="e">
        <f>#REF!/Deseason_VA!O20*100</f>
        <v>#REF!</v>
      </c>
      <c r="P20" s="23" t="e">
        <f>#REF!/Deseason_VA!P20*100</f>
        <v>#REF!</v>
      </c>
      <c r="Q20" s="23" t="e">
        <f>#REF!/Deseason_VA!Q20*100</f>
        <v>#REF!</v>
      </c>
      <c r="R20" s="23" t="e">
        <f>#REF!/Deseason_VA!R20*100</f>
        <v>#REF!</v>
      </c>
      <c r="S20" s="23" t="e">
        <f>#REF!/Deseason_VA!S20*100</f>
        <v>#REF!</v>
      </c>
      <c r="T20" s="23" t="e">
        <f>#REF!/Deseason_VA!T20*100</f>
        <v>#REF!</v>
      </c>
      <c r="U20" s="23" t="e">
        <f>#REF!/Deseason_VA!U20*100</f>
        <v>#REF!</v>
      </c>
      <c r="V20" s="23" t="e">
        <f>#REF!/Deseason_VA!V20*100</f>
        <v>#REF!</v>
      </c>
      <c r="W20" s="23" t="e">
        <f>#REF!/Deseason_VA!W20*100</f>
        <v>#REF!</v>
      </c>
      <c r="X20" s="23" t="e">
        <f>#REF!/Deseason_VA!X20*100</f>
        <v>#REF!</v>
      </c>
      <c r="Y20" s="23" t="e">
        <f>#REF!/Deseason_VA!Y20*100</f>
        <v>#REF!</v>
      </c>
      <c r="Z20" s="23" t="e">
        <f>#REF!/Deseason_VA!Z20*100</f>
        <v>#REF!</v>
      </c>
      <c r="AA20" s="23" t="e">
        <f>#REF!/Deseason_VA!AA20*100</f>
        <v>#REF!</v>
      </c>
      <c r="AB20" s="23" t="e">
        <f>#REF!/Deseason_VA!AB20*100</f>
        <v>#REF!</v>
      </c>
      <c r="AC20" s="23" t="e">
        <f>#REF!/Deseason_VA!AC20*100</f>
        <v>#REF!</v>
      </c>
      <c r="AD20" s="23" t="e">
        <f>#REF!/Deseason_VA!AD20*100</f>
        <v>#REF!</v>
      </c>
      <c r="AE20" s="23" t="e">
        <f>#REF!/Deseason_VA!AE20*100</f>
        <v>#REF!</v>
      </c>
      <c r="AF20" s="15" t="e">
        <f>#REF!/Deseason_VA!AF20*100</f>
        <v>#REF!</v>
      </c>
      <c r="AG20" s="15" t="e">
        <f>#REF!/Deseason_VA!AG20*100</f>
        <v>#REF!</v>
      </c>
      <c r="AH20" s="15" t="e">
        <f>#REF!/Deseason_VA!AH20*100</f>
        <v>#REF!</v>
      </c>
      <c r="AI20" s="15" t="e">
        <f>#REF!/Deseason_VA!AI20*100</f>
        <v>#REF!</v>
      </c>
      <c r="AJ20" s="15" t="e">
        <f>#REF!/Deseason_VA!AJ20*100</f>
        <v>#REF!</v>
      </c>
      <c r="AK20" s="15" t="e">
        <f>#REF!/Deseason_VA!AK20*100</f>
        <v>#REF!</v>
      </c>
      <c r="AL20" s="15" t="e">
        <f>#REF!/Deseason_VA!AL20*100</f>
        <v>#REF!</v>
      </c>
      <c r="AM20" s="15" t="e">
        <f>#REF!/Deseason_VA!AM20*100</f>
        <v>#REF!</v>
      </c>
      <c r="AN20" s="15" t="e">
        <f>#REF!/Deseason_VA!AN20*100</f>
        <v>#REF!</v>
      </c>
      <c r="AO20" s="15" t="e">
        <f>#REF!/Deseason_VA!AO20*100</f>
        <v>#REF!</v>
      </c>
      <c r="AP20" s="15" t="e">
        <f>#REF!/Deseason_VA!AP20*100</f>
        <v>#REF!</v>
      </c>
      <c r="AQ20" s="15" t="e">
        <f>#REF!/Deseason_VA!AQ20*100</f>
        <v>#REF!</v>
      </c>
    </row>
    <row r="21" spans="1:43" s="8" customFormat="1" ht="18" customHeight="1" x14ac:dyDescent="0.2">
      <c r="A21" s="55" t="s">
        <v>53</v>
      </c>
      <c r="B21" s="23" t="e">
        <f>#REF!/Deseason_VA!B21*100</f>
        <v>#REF!</v>
      </c>
      <c r="C21" s="23" t="e">
        <f>#REF!/Deseason_VA!C21*100</f>
        <v>#REF!</v>
      </c>
      <c r="D21" s="23" t="e">
        <f>#REF!/Deseason_VA!D21*100</f>
        <v>#REF!</v>
      </c>
      <c r="E21" s="23" t="e">
        <f>#REF!/Deseason_VA!E21*100</f>
        <v>#REF!</v>
      </c>
      <c r="F21" s="23" t="e">
        <f>#REF!/Deseason_VA!F21*100</f>
        <v>#REF!</v>
      </c>
      <c r="G21" s="23" t="e">
        <f>#REF!/Deseason_VA!G21*100</f>
        <v>#REF!</v>
      </c>
      <c r="H21" s="23" t="e">
        <f>#REF!/Deseason_VA!H21*100</f>
        <v>#REF!</v>
      </c>
      <c r="I21" s="23" t="e">
        <f>#REF!/Deseason_VA!I21*100</f>
        <v>#REF!</v>
      </c>
      <c r="J21" s="23" t="e">
        <f>#REF!/Deseason_VA!J21*100</f>
        <v>#REF!</v>
      </c>
      <c r="K21" s="23" t="e">
        <f>#REF!/Deseason_VA!K21*100</f>
        <v>#REF!</v>
      </c>
      <c r="L21" s="23" t="e">
        <f>#REF!/Deseason_VA!L21*100</f>
        <v>#REF!</v>
      </c>
      <c r="M21" s="23" t="e">
        <f>#REF!/Deseason_VA!M21*100</f>
        <v>#REF!</v>
      </c>
      <c r="N21" s="23" t="e">
        <f>#REF!/Deseason_VA!N21*100</f>
        <v>#REF!</v>
      </c>
      <c r="O21" s="23" t="e">
        <f>#REF!/Deseason_VA!O21*100</f>
        <v>#REF!</v>
      </c>
      <c r="P21" s="23" t="e">
        <f>#REF!/Deseason_VA!P21*100</f>
        <v>#REF!</v>
      </c>
      <c r="Q21" s="23" t="e">
        <f>#REF!/Deseason_VA!Q21*100</f>
        <v>#REF!</v>
      </c>
      <c r="R21" s="23" t="e">
        <f>#REF!/Deseason_VA!R21*100</f>
        <v>#REF!</v>
      </c>
      <c r="S21" s="23" t="e">
        <f>#REF!/Deseason_VA!S21*100</f>
        <v>#REF!</v>
      </c>
      <c r="T21" s="23" t="e">
        <f>#REF!/Deseason_VA!T21*100</f>
        <v>#REF!</v>
      </c>
      <c r="U21" s="23" t="e">
        <f>#REF!/Deseason_VA!U21*100</f>
        <v>#REF!</v>
      </c>
      <c r="V21" s="23" t="e">
        <f>#REF!/Deseason_VA!V21*100</f>
        <v>#REF!</v>
      </c>
      <c r="W21" s="23" t="e">
        <f>#REF!/Deseason_VA!W21*100</f>
        <v>#REF!</v>
      </c>
      <c r="X21" s="23" t="e">
        <f>#REF!/Deseason_VA!X21*100</f>
        <v>#REF!</v>
      </c>
      <c r="Y21" s="23" t="e">
        <f>#REF!/Deseason_VA!Y21*100</f>
        <v>#REF!</v>
      </c>
      <c r="Z21" s="23" t="e">
        <f>#REF!/Deseason_VA!Z21*100</f>
        <v>#REF!</v>
      </c>
      <c r="AA21" s="23" t="e">
        <f>#REF!/Deseason_VA!AA21*100</f>
        <v>#REF!</v>
      </c>
      <c r="AB21" s="23" t="e">
        <f>#REF!/Deseason_VA!AB21*100</f>
        <v>#REF!</v>
      </c>
      <c r="AC21" s="23" t="e">
        <f>#REF!/Deseason_VA!AC21*100</f>
        <v>#REF!</v>
      </c>
      <c r="AD21" s="23" t="e">
        <f>#REF!/Deseason_VA!AD21*100</f>
        <v>#REF!</v>
      </c>
      <c r="AE21" s="23" t="e">
        <f>#REF!/Deseason_VA!AE21*100</f>
        <v>#REF!</v>
      </c>
      <c r="AF21" s="15" t="e">
        <f>#REF!/Deseason_VA!AF21*100</f>
        <v>#REF!</v>
      </c>
      <c r="AG21" s="15" t="e">
        <f>#REF!/Deseason_VA!AG21*100</f>
        <v>#REF!</v>
      </c>
      <c r="AH21" s="15" t="e">
        <f>#REF!/Deseason_VA!AH21*100</f>
        <v>#REF!</v>
      </c>
      <c r="AI21" s="15" t="e">
        <f>#REF!/Deseason_VA!AI21*100</f>
        <v>#REF!</v>
      </c>
      <c r="AJ21" s="15" t="e">
        <f>#REF!/Deseason_VA!AJ21*100</f>
        <v>#REF!</v>
      </c>
      <c r="AK21" s="15" t="e">
        <f>#REF!/Deseason_VA!AK21*100</f>
        <v>#REF!</v>
      </c>
      <c r="AL21" s="15" t="e">
        <f>#REF!/Deseason_VA!AL21*100</f>
        <v>#REF!</v>
      </c>
      <c r="AM21" s="15" t="e">
        <f>#REF!/Deseason_VA!AM21*100</f>
        <v>#REF!</v>
      </c>
      <c r="AN21" s="15" t="e">
        <f>#REF!/Deseason_VA!AN21*100</f>
        <v>#REF!</v>
      </c>
      <c r="AO21" s="15" t="e">
        <f>#REF!/Deseason_VA!AO21*100</f>
        <v>#REF!</v>
      </c>
      <c r="AP21" s="15" t="e">
        <f>#REF!/Deseason_VA!AP21*100</f>
        <v>#REF!</v>
      </c>
      <c r="AQ21" s="15" t="e">
        <f>#REF!/Deseason_VA!AQ21*100</f>
        <v>#REF!</v>
      </c>
    </row>
    <row r="22" spans="1:43" s="8" customFormat="1" ht="18" customHeight="1" x14ac:dyDescent="0.2">
      <c r="A22" s="55" t="s">
        <v>55</v>
      </c>
      <c r="B22" s="23" t="e">
        <f>#REF!/Deseason_VA!B22*100</f>
        <v>#REF!</v>
      </c>
      <c r="C22" s="23" t="e">
        <f>#REF!/Deseason_VA!C22*100</f>
        <v>#REF!</v>
      </c>
      <c r="D22" s="23" t="e">
        <f>#REF!/Deseason_VA!D22*100</f>
        <v>#REF!</v>
      </c>
      <c r="E22" s="23" t="e">
        <f>#REF!/Deseason_VA!E22*100</f>
        <v>#REF!</v>
      </c>
      <c r="F22" s="23" t="e">
        <f>#REF!/Deseason_VA!F22*100</f>
        <v>#REF!</v>
      </c>
      <c r="G22" s="23" t="e">
        <f>#REF!/Deseason_VA!G22*100</f>
        <v>#REF!</v>
      </c>
      <c r="H22" s="23" t="e">
        <f>#REF!/Deseason_VA!H22*100</f>
        <v>#REF!</v>
      </c>
      <c r="I22" s="23" t="e">
        <f>#REF!/Deseason_VA!I22*100</f>
        <v>#REF!</v>
      </c>
      <c r="J22" s="23" t="e">
        <f>#REF!/Deseason_VA!J22*100</f>
        <v>#REF!</v>
      </c>
      <c r="K22" s="23" t="e">
        <f>#REF!/Deseason_VA!K22*100</f>
        <v>#REF!</v>
      </c>
      <c r="L22" s="23" t="e">
        <f>#REF!/Deseason_VA!L22*100</f>
        <v>#REF!</v>
      </c>
      <c r="M22" s="23" t="e">
        <f>#REF!/Deseason_VA!M22*100</f>
        <v>#REF!</v>
      </c>
      <c r="N22" s="23" t="e">
        <f>#REF!/Deseason_VA!N22*100</f>
        <v>#REF!</v>
      </c>
      <c r="O22" s="23" t="e">
        <f>#REF!/Deseason_VA!O22*100</f>
        <v>#REF!</v>
      </c>
      <c r="P22" s="23" t="e">
        <f>#REF!/Deseason_VA!P22*100</f>
        <v>#REF!</v>
      </c>
      <c r="Q22" s="23" t="e">
        <f>#REF!/Deseason_VA!Q22*100</f>
        <v>#REF!</v>
      </c>
      <c r="R22" s="23" t="e">
        <f>#REF!/Deseason_VA!R22*100</f>
        <v>#REF!</v>
      </c>
      <c r="S22" s="23" t="e">
        <f>#REF!/Deseason_VA!S22*100</f>
        <v>#REF!</v>
      </c>
      <c r="T22" s="23" t="e">
        <f>#REF!/Deseason_VA!T22*100</f>
        <v>#REF!</v>
      </c>
      <c r="U22" s="23" t="e">
        <f>#REF!/Deseason_VA!U22*100</f>
        <v>#REF!</v>
      </c>
      <c r="V22" s="23" t="e">
        <f>#REF!/Deseason_VA!V22*100</f>
        <v>#REF!</v>
      </c>
      <c r="W22" s="23" t="e">
        <f>#REF!/Deseason_VA!W22*100</f>
        <v>#REF!</v>
      </c>
      <c r="X22" s="23" t="e">
        <f>#REF!/Deseason_VA!X22*100</f>
        <v>#REF!</v>
      </c>
      <c r="Y22" s="23" t="e">
        <f>#REF!/Deseason_VA!Y22*100</f>
        <v>#REF!</v>
      </c>
      <c r="Z22" s="23" t="e">
        <f>#REF!/Deseason_VA!Z22*100</f>
        <v>#REF!</v>
      </c>
      <c r="AA22" s="23" t="e">
        <f>#REF!/Deseason_VA!AA22*100</f>
        <v>#REF!</v>
      </c>
      <c r="AB22" s="23" t="e">
        <f>#REF!/Deseason_VA!AB22*100</f>
        <v>#REF!</v>
      </c>
      <c r="AC22" s="23" t="e">
        <f>#REF!/Deseason_VA!AC22*100</f>
        <v>#REF!</v>
      </c>
      <c r="AD22" s="23" t="e">
        <f>#REF!/Deseason_VA!AD22*100</f>
        <v>#REF!</v>
      </c>
      <c r="AE22" s="23" t="e">
        <f>#REF!/Deseason_VA!AE22*100</f>
        <v>#REF!</v>
      </c>
      <c r="AF22" s="15" t="e">
        <f>#REF!/Deseason_VA!AF22*100</f>
        <v>#REF!</v>
      </c>
      <c r="AG22" s="15" t="e">
        <f>#REF!/Deseason_VA!AG22*100</f>
        <v>#REF!</v>
      </c>
      <c r="AH22" s="15" t="e">
        <f>#REF!/Deseason_VA!AH22*100</f>
        <v>#REF!</v>
      </c>
      <c r="AI22" s="15" t="e">
        <f>#REF!/Deseason_VA!AI22*100</f>
        <v>#REF!</v>
      </c>
      <c r="AJ22" s="15" t="e">
        <f>#REF!/Deseason_VA!AJ22*100</f>
        <v>#REF!</v>
      </c>
      <c r="AK22" s="15" t="e">
        <f>#REF!/Deseason_VA!AK22*100</f>
        <v>#REF!</v>
      </c>
      <c r="AL22" s="15" t="e">
        <f>#REF!/Deseason_VA!AL22*100</f>
        <v>#REF!</v>
      </c>
      <c r="AM22" s="15" t="e">
        <f>#REF!/Deseason_VA!AM22*100</f>
        <v>#REF!</v>
      </c>
      <c r="AN22" s="15" t="e">
        <f>#REF!/Deseason_VA!AN22*100</f>
        <v>#REF!</v>
      </c>
      <c r="AO22" s="15" t="e">
        <f>#REF!/Deseason_VA!AO22*100</f>
        <v>#REF!</v>
      </c>
      <c r="AP22" s="15" t="e">
        <f>#REF!/Deseason_VA!AP22*100</f>
        <v>#REF!</v>
      </c>
      <c r="AQ22" s="15" t="e">
        <f>#REF!/Deseason_VA!AQ22*100</f>
        <v>#REF!</v>
      </c>
    </row>
    <row r="23" spans="1:43" s="8" customFormat="1" ht="18" customHeight="1" x14ac:dyDescent="0.2">
      <c r="A23" s="55" t="s">
        <v>54</v>
      </c>
      <c r="B23" s="23" t="e">
        <f>#REF!/Deseason_VA!B23*100</f>
        <v>#REF!</v>
      </c>
      <c r="C23" s="23" t="e">
        <f>#REF!/Deseason_VA!C23*100</f>
        <v>#REF!</v>
      </c>
      <c r="D23" s="23" t="e">
        <f>#REF!/Deseason_VA!D23*100</f>
        <v>#REF!</v>
      </c>
      <c r="E23" s="23" t="e">
        <f>#REF!/Deseason_VA!E23*100</f>
        <v>#REF!</v>
      </c>
      <c r="F23" s="23" t="e">
        <f>#REF!/Deseason_VA!F23*100</f>
        <v>#REF!</v>
      </c>
      <c r="G23" s="23" t="e">
        <f>#REF!/Deseason_VA!G23*100</f>
        <v>#REF!</v>
      </c>
      <c r="H23" s="23" t="e">
        <f>#REF!/Deseason_VA!H23*100</f>
        <v>#REF!</v>
      </c>
      <c r="I23" s="23" t="e">
        <f>#REF!/Deseason_VA!I23*100</f>
        <v>#REF!</v>
      </c>
      <c r="J23" s="23" t="e">
        <f>#REF!/Deseason_VA!J23*100</f>
        <v>#REF!</v>
      </c>
      <c r="K23" s="23" t="e">
        <f>#REF!/Deseason_VA!K23*100</f>
        <v>#REF!</v>
      </c>
      <c r="L23" s="23" t="e">
        <f>#REF!/Deseason_VA!L23*100</f>
        <v>#REF!</v>
      </c>
      <c r="M23" s="23" t="e">
        <f>#REF!/Deseason_VA!M23*100</f>
        <v>#REF!</v>
      </c>
      <c r="N23" s="23" t="e">
        <f>#REF!/Deseason_VA!N23*100</f>
        <v>#REF!</v>
      </c>
      <c r="O23" s="23" t="e">
        <f>#REF!/Deseason_VA!O23*100</f>
        <v>#REF!</v>
      </c>
      <c r="P23" s="23" t="e">
        <f>#REF!/Deseason_VA!P23*100</f>
        <v>#REF!</v>
      </c>
      <c r="Q23" s="23" t="e">
        <f>#REF!/Deseason_VA!Q23*100</f>
        <v>#REF!</v>
      </c>
      <c r="R23" s="23" t="e">
        <f>#REF!/Deseason_VA!R23*100</f>
        <v>#REF!</v>
      </c>
      <c r="S23" s="23" t="e">
        <f>#REF!/Deseason_VA!S23*100</f>
        <v>#REF!</v>
      </c>
      <c r="T23" s="23" t="e">
        <f>#REF!/Deseason_VA!T23*100</f>
        <v>#REF!</v>
      </c>
      <c r="U23" s="23" t="e">
        <f>#REF!/Deseason_VA!U23*100</f>
        <v>#REF!</v>
      </c>
      <c r="V23" s="23" t="e">
        <f>#REF!/Deseason_VA!V23*100</f>
        <v>#REF!</v>
      </c>
      <c r="W23" s="23" t="e">
        <f>#REF!/Deseason_VA!W23*100</f>
        <v>#REF!</v>
      </c>
      <c r="X23" s="23" t="e">
        <f>#REF!/Deseason_VA!X23*100</f>
        <v>#REF!</v>
      </c>
      <c r="Y23" s="23" t="e">
        <f>#REF!/Deseason_VA!Y23*100</f>
        <v>#REF!</v>
      </c>
      <c r="Z23" s="23" t="e">
        <f>#REF!/Deseason_VA!Z23*100</f>
        <v>#REF!</v>
      </c>
      <c r="AA23" s="23" t="e">
        <f>#REF!/Deseason_VA!AA23*100</f>
        <v>#REF!</v>
      </c>
      <c r="AB23" s="23" t="e">
        <f>#REF!/Deseason_VA!AB23*100</f>
        <v>#REF!</v>
      </c>
      <c r="AC23" s="23" t="e">
        <f>#REF!/Deseason_VA!AC23*100</f>
        <v>#REF!</v>
      </c>
      <c r="AD23" s="23" t="e">
        <f>#REF!/Deseason_VA!AD23*100</f>
        <v>#REF!</v>
      </c>
      <c r="AE23" s="23" t="e">
        <f>#REF!/Deseason_VA!AE23*100</f>
        <v>#REF!</v>
      </c>
      <c r="AF23" s="15" t="e">
        <f>#REF!/Deseason_VA!AF23*100</f>
        <v>#REF!</v>
      </c>
      <c r="AG23" s="15" t="e">
        <f>#REF!/Deseason_VA!AG23*100</f>
        <v>#REF!</v>
      </c>
      <c r="AH23" s="15" t="e">
        <f>#REF!/Deseason_VA!AH23*100</f>
        <v>#REF!</v>
      </c>
      <c r="AI23" s="15" t="e">
        <f>#REF!/Deseason_VA!AI23*100</f>
        <v>#REF!</v>
      </c>
      <c r="AJ23" s="15" t="e">
        <f>#REF!/Deseason_VA!AJ23*100</f>
        <v>#REF!</v>
      </c>
      <c r="AK23" s="15" t="e">
        <f>#REF!/Deseason_VA!AK23*100</f>
        <v>#REF!</v>
      </c>
      <c r="AL23" s="15" t="e">
        <f>#REF!/Deseason_VA!AL23*100</f>
        <v>#REF!</v>
      </c>
      <c r="AM23" s="15" t="e">
        <f>#REF!/Deseason_VA!AM23*100</f>
        <v>#REF!</v>
      </c>
      <c r="AN23" s="15" t="e">
        <f>#REF!/Deseason_VA!AN23*100</f>
        <v>#REF!</v>
      </c>
      <c r="AO23" s="15" t="e">
        <f>#REF!/Deseason_VA!AO23*100</f>
        <v>#REF!</v>
      </c>
      <c r="AP23" s="15" t="e">
        <f>#REF!/Deseason_VA!AP23*100</f>
        <v>#REF!</v>
      </c>
      <c r="AQ23" s="15" t="e">
        <f>#REF!/Deseason_VA!AQ23*100</f>
        <v>#REF!</v>
      </c>
    </row>
    <row r="24" spans="1:43" s="8" customFormat="1" ht="18" customHeight="1" x14ac:dyDescent="0.2">
      <c r="A24" s="55" t="s">
        <v>72</v>
      </c>
      <c r="B24" s="23" t="e">
        <f>#REF!/Deseason_VA!B24*100</f>
        <v>#REF!</v>
      </c>
      <c r="C24" s="23" t="e">
        <f>#REF!/Deseason_VA!C24*100</f>
        <v>#REF!</v>
      </c>
      <c r="D24" s="23" t="e">
        <f>#REF!/Deseason_VA!D24*100</f>
        <v>#REF!</v>
      </c>
      <c r="E24" s="23" t="e">
        <f>#REF!/Deseason_VA!E24*100</f>
        <v>#REF!</v>
      </c>
      <c r="F24" s="23" t="e">
        <f>#REF!/Deseason_VA!F24*100</f>
        <v>#REF!</v>
      </c>
      <c r="G24" s="23" t="e">
        <f>#REF!/Deseason_VA!G24*100</f>
        <v>#REF!</v>
      </c>
      <c r="H24" s="23" t="e">
        <f>#REF!/Deseason_VA!H24*100</f>
        <v>#REF!</v>
      </c>
      <c r="I24" s="23" t="e">
        <f>#REF!/Deseason_VA!I24*100</f>
        <v>#REF!</v>
      </c>
      <c r="J24" s="23" t="e">
        <f>#REF!/Deseason_VA!J24*100</f>
        <v>#REF!</v>
      </c>
      <c r="K24" s="23" t="e">
        <f>#REF!/Deseason_VA!K24*100</f>
        <v>#REF!</v>
      </c>
      <c r="L24" s="23" t="e">
        <f>#REF!/Deseason_VA!L24*100</f>
        <v>#REF!</v>
      </c>
      <c r="M24" s="23" t="e">
        <f>#REF!/Deseason_VA!M24*100</f>
        <v>#REF!</v>
      </c>
      <c r="N24" s="23" t="e">
        <f>#REF!/Deseason_VA!N24*100</f>
        <v>#REF!</v>
      </c>
      <c r="O24" s="23" t="e">
        <f>#REF!/Deseason_VA!O24*100</f>
        <v>#REF!</v>
      </c>
      <c r="P24" s="23" t="e">
        <f>#REF!/Deseason_VA!P24*100</f>
        <v>#REF!</v>
      </c>
      <c r="Q24" s="23" t="e">
        <f>#REF!/Deseason_VA!Q24*100</f>
        <v>#REF!</v>
      </c>
      <c r="R24" s="23" t="e">
        <f>#REF!/Deseason_VA!R24*100</f>
        <v>#REF!</v>
      </c>
      <c r="S24" s="23" t="e">
        <f>#REF!/Deseason_VA!S24*100</f>
        <v>#REF!</v>
      </c>
      <c r="T24" s="23" t="e">
        <f>#REF!/Deseason_VA!T24*100</f>
        <v>#REF!</v>
      </c>
      <c r="U24" s="23" t="e">
        <f>#REF!/Deseason_VA!U24*100</f>
        <v>#REF!</v>
      </c>
      <c r="V24" s="23" t="e">
        <f>#REF!/Deseason_VA!V24*100</f>
        <v>#REF!</v>
      </c>
      <c r="W24" s="23" t="e">
        <f>#REF!/Deseason_VA!W24*100</f>
        <v>#REF!</v>
      </c>
      <c r="X24" s="23" t="e">
        <f>#REF!/Deseason_VA!X24*100</f>
        <v>#REF!</v>
      </c>
      <c r="Y24" s="23" t="e">
        <f>#REF!/Deseason_VA!Y24*100</f>
        <v>#REF!</v>
      </c>
      <c r="Z24" s="23" t="e">
        <f>#REF!/Deseason_VA!Z24*100</f>
        <v>#REF!</v>
      </c>
      <c r="AA24" s="23" t="e">
        <f>#REF!/Deseason_VA!AA24*100</f>
        <v>#REF!</v>
      </c>
      <c r="AB24" s="23" t="e">
        <f>#REF!/Deseason_VA!AB24*100</f>
        <v>#REF!</v>
      </c>
      <c r="AC24" s="23" t="e">
        <f>#REF!/Deseason_VA!AC24*100</f>
        <v>#REF!</v>
      </c>
      <c r="AD24" s="23" t="e">
        <f>#REF!/Deseason_VA!AD24*100</f>
        <v>#REF!</v>
      </c>
      <c r="AE24" s="23" t="e">
        <f>#REF!/Deseason_VA!AE24*100</f>
        <v>#REF!</v>
      </c>
      <c r="AF24" s="15" t="e">
        <f>#REF!/Deseason_VA!AF24*100</f>
        <v>#REF!</v>
      </c>
      <c r="AG24" s="15" t="e">
        <f>#REF!/Deseason_VA!AG24*100</f>
        <v>#REF!</v>
      </c>
      <c r="AH24" s="15" t="e">
        <f>#REF!/Deseason_VA!AH24*100</f>
        <v>#REF!</v>
      </c>
      <c r="AI24" s="15" t="e">
        <f>#REF!/Deseason_VA!AI24*100</f>
        <v>#REF!</v>
      </c>
      <c r="AJ24" s="15" t="e">
        <f>#REF!/Deseason_VA!AJ24*100</f>
        <v>#REF!</v>
      </c>
      <c r="AK24" s="15" t="e">
        <f>#REF!/Deseason_VA!AK24*100</f>
        <v>#REF!</v>
      </c>
      <c r="AL24" s="15" t="e">
        <f>#REF!/Deseason_VA!AL24*100</f>
        <v>#REF!</v>
      </c>
      <c r="AM24" s="15" t="e">
        <f>#REF!/Deseason_VA!AM24*100</f>
        <v>#REF!</v>
      </c>
      <c r="AN24" s="15" t="e">
        <f>#REF!/Deseason_VA!AN24*100</f>
        <v>#REF!</v>
      </c>
      <c r="AO24" s="15" t="e">
        <f>#REF!/Deseason_VA!AO24*100</f>
        <v>#REF!</v>
      </c>
      <c r="AP24" s="15" t="e">
        <f>#REF!/Deseason_VA!AP24*100</f>
        <v>#REF!</v>
      </c>
      <c r="AQ24" s="15" t="e">
        <f>#REF!/Deseason_VA!AQ24*100</f>
        <v>#REF!</v>
      </c>
    </row>
    <row r="25" spans="1:43" s="8" customFormat="1" ht="18" customHeight="1" x14ac:dyDescent="0.2">
      <c r="A25" s="55" t="s">
        <v>14</v>
      </c>
      <c r="B25" s="23" t="e">
        <f>#REF!/Deseason_VA!B25*100</f>
        <v>#REF!</v>
      </c>
      <c r="C25" s="23" t="e">
        <f>#REF!/Deseason_VA!C25*100</f>
        <v>#REF!</v>
      </c>
      <c r="D25" s="23" t="e">
        <f>#REF!/Deseason_VA!D25*100</f>
        <v>#REF!</v>
      </c>
      <c r="E25" s="23" t="e">
        <f>#REF!/Deseason_VA!E25*100</f>
        <v>#REF!</v>
      </c>
      <c r="F25" s="23" t="e">
        <f>#REF!/Deseason_VA!F25*100</f>
        <v>#REF!</v>
      </c>
      <c r="G25" s="23" t="e">
        <f>#REF!/Deseason_VA!G25*100</f>
        <v>#REF!</v>
      </c>
      <c r="H25" s="23" t="e">
        <f>#REF!/Deseason_VA!H25*100</f>
        <v>#REF!</v>
      </c>
      <c r="I25" s="23" t="e">
        <f>#REF!/Deseason_VA!I25*100</f>
        <v>#REF!</v>
      </c>
      <c r="J25" s="23" t="e">
        <f>#REF!/Deseason_VA!J25*100</f>
        <v>#REF!</v>
      </c>
      <c r="K25" s="23" t="e">
        <f>#REF!/Deseason_VA!K25*100</f>
        <v>#REF!</v>
      </c>
      <c r="L25" s="23" t="e">
        <f>#REF!/Deseason_VA!L25*100</f>
        <v>#REF!</v>
      </c>
      <c r="M25" s="23" t="e">
        <f>#REF!/Deseason_VA!M25*100</f>
        <v>#REF!</v>
      </c>
      <c r="N25" s="23" t="e">
        <f>#REF!/Deseason_VA!N25*100</f>
        <v>#REF!</v>
      </c>
      <c r="O25" s="23" t="e">
        <f>#REF!/Deseason_VA!O25*100</f>
        <v>#REF!</v>
      </c>
      <c r="P25" s="23" t="e">
        <f>#REF!/Deseason_VA!P25*100</f>
        <v>#REF!</v>
      </c>
      <c r="Q25" s="23" t="e">
        <f>#REF!/Deseason_VA!Q25*100</f>
        <v>#REF!</v>
      </c>
      <c r="R25" s="23" t="e">
        <f>#REF!/Deseason_VA!R25*100</f>
        <v>#REF!</v>
      </c>
      <c r="S25" s="23" t="e">
        <f>#REF!/Deseason_VA!S25*100</f>
        <v>#REF!</v>
      </c>
      <c r="T25" s="23" t="e">
        <f>#REF!/Deseason_VA!T25*100</f>
        <v>#REF!</v>
      </c>
      <c r="U25" s="23" t="e">
        <f>#REF!/Deseason_VA!U25*100</f>
        <v>#REF!</v>
      </c>
      <c r="V25" s="23" t="e">
        <f>#REF!/Deseason_VA!V25*100</f>
        <v>#REF!</v>
      </c>
      <c r="W25" s="23" t="e">
        <f>#REF!/Deseason_VA!W25*100</f>
        <v>#REF!</v>
      </c>
      <c r="X25" s="23" t="e">
        <f>#REF!/Deseason_VA!X25*100</f>
        <v>#REF!</v>
      </c>
      <c r="Y25" s="23" t="e">
        <f>#REF!/Deseason_VA!Y25*100</f>
        <v>#REF!</v>
      </c>
      <c r="Z25" s="23" t="e">
        <f>#REF!/Deseason_VA!Z25*100</f>
        <v>#REF!</v>
      </c>
      <c r="AA25" s="23" t="e">
        <f>#REF!/Deseason_VA!AA25*100</f>
        <v>#REF!</v>
      </c>
      <c r="AB25" s="23" t="e">
        <f>#REF!/Deseason_VA!AB25*100</f>
        <v>#REF!</v>
      </c>
      <c r="AC25" s="23" t="e">
        <f>#REF!/Deseason_VA!AC25*100</f>
        <v>#REF!</v>
      </c>
      <c r="AD25" s="23" t="e">
        <f>#REF!/Deseason_VA!AD25*100</f>
        <v>#REF!</v>
      </c>
      <c r="AE25" s="23" t="e">
        <f>#REF!/Deseason_VA!AE25*100</f>
        <v>#REF!</v>
      </c>
      <c r="AF25" s="15" t="e">
        <f>#REF!/Deseason_VA!AF25*100</f>
        <v>#REF!</v>
      </c>
      <c r="AG25" s="15" t="e">
        <f>#REF!/Deseason_VA!AG25*100</f>
        <v>#REF!</v>
      </c>
      <c r="AH25" s="15" t="e">
        <f>#REF!/Deseason_VA!AH25*100</f>
        <v>#REF!</v>
      </c>
      <c r="AI25" s="15" t="e">
        <f>#REF!/Deseason_VA!AI25*100</f>
        <v>#REF!</v>
      </c>
      <c r="AJ25" s="15" t="e">
        <f>#REF!/Deseason_VA!AJ25*100</f>
        <v>#REF!</v>
      </c>
      <c r="AK25" s="15" t="e">
        <f>#REF!/Deseason_VA!AK25*100</f>
        <v>#REF!</v>
      </c>
      <c r="AL25" s="15" t="e">
        <f>#REF!/Deseason_VA!AL25*100</f>
        <v>#REF!</v>
      </c>
      <c r="AM25" s="15" t="e">
        <f>#REF!/Deseason_VA!AM25*100</f>
        <v>#REF!</v>
      </c>
      <c r="AN25" s="15" t="e">
        <f>#REF!/Deseason_VA!AN25*100</f>
        <v>#REF!</v>
      </c>
      <c r="AO25" s="15" t="e">
        <f>#REF!/Deseason_VA!AO25*100</f>
        <v>#REF!</v>
      </c>
      <c r="AP25" s="15" t="e">
        <f>#REF!/Deseason_VA!AP25*100</f>
        <v>#REF!</v>
      </c>
      <c r="AQ25" s="15" t="e">
        <f>#REF!/Deseason_VA!AQ25*100</f>
        <v>#REF!</v>
      </c>
    </row>
    <row r="26" spans="1:43" s="8" customFormat="1" ht="18" customHeight="1" x14ac:dyDescent="0.2">
      <c r="A26" s="55" t="s">
        <v>56</v>
      </c>
      <c r="B26" s="23" t="e">
        <f>#REF!/Deseason_VA!B26*100</f>
        <v>#REF!</v>
      </c>
      <c r="C26" s="23" t="e">
        <f>#REF!/Deseason_VA!C26*100</f>
        <v>#REF!</v>
      </c>
      <c r="D26" s="23" t="e">
        <f>#REF!/Deseason_VA!D26*100</f>
        <v>#REF!</v>
      </c>
      <c r="E26" s="23" t="e">
        <f>#REF!/Deseason_VA!E26*100</f>
        <v>#REF!</v>
      </c>
      <c r="F26" s="23" t="e">
        <f>#REF!/Deseason_VA!F26*100</f>
        <v>#REF!</v>
      </c>
      <c r="G26" s="23" t="e">
        <f>#REF!/Deseason_VA!G26*100</f>
        <v>#REF!</v>
      </c>
      <c r="H26" s="23" t="e">
        <f>#REF!/Deseason_VA!H26*100</f>
        <v>#REF!</v>
      </c>
      <c r="I26" s="23" t="e">
        <f>#REF!/Deseason_VA!I26*100</f>
        <v>#REF!</v>
      </c>
      <c r="J26" s="23" t="e">
        <f>#REF!/Deseason_VA!J26*100</f>
        <v>#REF!</v>
      </c>
      <c r="K26" s="23" t="e">
        <f>#REF!/Deseason_VA!K26*100</f>
        <v>#REF!</v>
      </c>
      <c r="L26" s="23" t="e">
        <f>#REF!/Deseason_VA!L26*100</f>
        <v>#REF!</v>
      </c>
      <c r="M26" s="23" t="e">
        <f>#REF!/Deseason_VA!M26*100</f>
        <v>#REF!</v>
      </c>
      <c r="N26" s="23" t="e">
        <f>#REF!/Deseason_VA!N26*100</f>
        <v>#REF!</v>
      </c>
      <c r="O26" s="23" t="e">
        <f>#REF!/Deseason_VA!O26*100</f>
        <v>#REF!</v>
      </c>
      <c r="P26" s="23" t="e">
        <f>#REF!/Deseason_VA!P26*100</f>
        <v>#REF!</v>
      </c>
      <c r="Q26" s="23" t="e">
        <f>#REF!/Deseason_VA!Q26*100</f>
        <v>#REF!</v>
      </c>
      <c r="R26" s="23" t="e">
        <f>#REF!/Deseason_VA!R26*100</f>
        <v>#REF!</v>
      </c>
      <c r="S26" s="23" t="e">
        <f>#REF!/Deseason_VA!S26*100</f>
        <v>#REF!</v>
      </c>
      <c r="T26" s="23" t="e">
        <f>#REF!/Deseason_VA!T26*100</f>
        <v>#REF!</v>
      </c>
      <c r="U26" s="23" t="e">
        <f>#REF!/Deseason_VA!U26*100</f>
        <v>#REF!</v>
      </c>
      <c r="V26" s="23" t="e">
        <f>#REF!/Deseason_VA!V26*100</f>
        <v>#REF!</v>
      </c>
      <c r="W26" s="23" t="e">
        <f>#REF!/Deseason_VA!W26*100</f>
        <v>#REF!</v>
      </c>
      <c r="X26" s="23" t="e">
        <f>#REF!/Deseason_VA!X26*100</f>
        <v>#REF!</v>
      </c>
      <c r="Y26" s="23" t="e">
        <f>#REF!/Deseason_VA!Y26*100</f>
        <v>#REF!</v>
      </c>
      <c r="Z26" s="23" t="e">
        <f>#REF!/Deseason_VA!Z26*100</f>
        <v>#REF!</v>
      </c>
      <c r="AA26" s="23" t="e">
        <f>#REF!/Deseason_VA!AA26*100</f>
        <v>#REF!</v>
      </c>
      <c r="AB26" s="23" t="e">
        <f>#REF!/Deseason_VA!AB26*100</f>
        <v>#REF!</v>
      </c>
      <c r="AC26" s="23" t="e">
        <f>#REF!/Deseason_VA!AC26*100</f>
        <v>#REF!</v>
      </c>
      <c r="AD26" s="23" t="e">
        <f>#REF!/Deseason_VA!AD26*100</f>
        <v>#REF!</v>
      </c>
      <c r="AE26" s="23" t="e">
        <f>#REF!/Deseason_VA!AE26*100</f>
        <v>#REF!</v>
      </c>
      <c r="AF26" s="15" t="e">
        <f>#REF!/Deseason_VA!AF26*100</f>
        <v>#REF!</v>
      </c>
      <c r="AG26" s="15" t="e">
        <f>#REF!/Deseason_VA!AG26*100</f>
        <v>#REF!</v>
      </c>
      <c r="AH26" s="15" t="e">
        <f>#REF!/Deseason_VA!AH26*100</f>
        <v>#REF!</v>
      </c>
      <c r="AI26" s="15" t="e">
        <f>#REF!/Deseason_VA!AI26*100</f>
        <v>#REF!</v>
      </c>
      <c r="AJ26" s="15" t="e">
        <f>#REF!/Deseason_VA!AJ26*100</f>
        <v>#REF!</v>
      </c>
      <c r="AK26" s="15" t="e">
        <f>#REF!/Deseason_VA!AK26*100</f>
        <v>#REF!</v>
      </c>
      <c r="AL26" s="15" t="e">
        <f>#REF!/Deseason_VA!AL26*100</f>
        <v>#REF!</v>
      </c>
      <c r="AM26" s="15" t="e">
        <f>#REF!/Deseason_VA!AM26*100</f>
        <v>#REF!</v>
      </c>
      <c r="AN26" s="15" t="e">
        <f>#REF!/Deseason_VA!AN26*100</f>
        <v>#REF!</v>
      </c>
      <c r="AO26" s="15" t="e">
        <f>#REF!/Deseason_VA!AO26*100</f>
        <v>#REF!</v>
      </c>
      <c r="AP26" s="15" t="e">
        <f>#REF!/Deseason_VA!AP26*100</f>
        <v>#REF!</v>
      </c>
      <c r="AQ26" s="15" t="e">
        <f>#REF!/Deseason_VA!AQ26*100</f>
        <v>#REF!</v>
      </c>
    </row>
    <row r="27" spans="1:43" s="8" customFormat="1" ht="18" customHeight="1" x14ac:dyDescent="0.2">
      <c r="A27" s="55" t="s">
        <v>57</v>
      </c>
      <c r="B27" s="23" t="e">
        <f>#REF!/Deseason_VA!B27*100</f>
        <v>#REF!</v>
      </c>
      <c r="C27" s="23" t="e">
        <f>#REF!/Deseason_VA!C27*100</f>
        <v>#REF!</v>
      </c>
      <c r="D27" s="23" t="e">
        <f>#REF!/Deseason_VA!D27*100</f>
        <v>#REF!</v>
      </c>
      <c r="E27" s="23" t="e">
        <f>#REF!/Deseason_VA!E27*100</f>
        <v>#REF!</v>
      </c>
      <c r="F27" s="23" t="e">
        <f>#REF!/Deseason_VA!F27*100</f>
        <v>#REF!</v>
      </c>
      <c r="G27" s="23" t="e">
        <f>#REF!/Deseason_VA!G27*100</f>
        <v>#REF!</v>
      </c>
      <c r="H27" s="23" t="e">
        <f>#REF!/Deseason_VA!H27*100</f>
        <v>#REF!</v>
      </c>
      <c r="I27" s="23" t="e">
        <f>#REF!/Deseason_VA!I27*100</f>
        <v>#REF!</v>
      </c>
      <c r="J27" s="23" t="e">
        <f>#REF!/Deseason_VA!J27*100</f>
        <v>#REF!</v>
      </c>
      <c r="K27" s="23" t="e">
        <f>#REF!/Deseason_VA!K27*100</f>
        <v>#REF!</v>
      </c>
      <c r="L27" s="23" t="e">
        <f>#REF!/Deseason_VA!L27*100</f>
        <v>#REF!</v>
      </c>
      <c r="M27" s="23" t="e">
        <f>#REF!/Deseason_VA!M27*100</f>
        <v>#REF!</v>
      </c>
      <c r="N27" s="23" t="e">
        <f>#REF!/Deseason_VA!N27*100</f>
        <v>#REF!</v>
      </c>
      <c r="O27" s="23" t="e">
        <f>#REF!/Deseason_VA!O27*100</f>
        <v>#REF!</v>
      </c>
      <c r="P27" s="23" t="e">
        <f>#REF!/Deseason_VA!P27*100</f>
        <v>#REF!</v>
      </c>
      <c r="Q27" s="23" t="e">
        <f>#REF!/Deseason_VA!Q27*100</f>
        <v>#REF!</v>
      </c>
      <c r="R27" s="23" t="e">
        <f>#REF!/Deseason_VA!R27*100</f>
        <v>#REF!</v>
      </c>
      <c r="S27" s="23" t="e">
        <f>#REF!/Deseason_VA!S27*100</f>
        <v>#REF!</v>
      </c>
      <c r="T27" s="23" t="e">
        <f>#REF!/Deseason_VA!T27*100</f>
        <v>#REF!</v>
      </c>
      <c r="U27" s="23" t="e">
        <f>#REF!/Deseason_VA!U27*100</f>
        <v>#REF!</v>
      </c>
      <c r="V27" s="23" t="e">
        <f>#REF!/Deseason_VA!V27*100</f>
        <v>#REF!</v>
      </c>
      <c r="W27" s="23" t="e">
        <f>#REF!/Deseason_VA!W27*100</f>
        <v>#REF!</v>
      </c>
      <c r="X27" s="23" t="e">
        <f>#REF!/Deseason_VA!X27*100</f>
        <v>#REF!</v>
      </c>
      <c r="Y27" s="23" t="e">
        <f>#REF!/Deseason_VA!Y27*100</f>
        <v>#REF!</v>
      </c>
      <c r="Z27" s="23" t="e">
        <f>#REF!/Deseason_VA!Z27*100</f>
        <v>#REF!</v>
      </c>
      <c r="AA27" s="23" t="e">
        <f>#REF!/Deseason_VA!AA27*100</f>
        <v>#REF!</v>
      </c>
      <c r="AB27" s="23" t="e">
        <f>#REF!/Deseason_VA!AB27*100</f>
        <v>#REF!</v>
      </c>
      <c r="AC27" s="23" t="e">
        <f>#REF!/Deseason_VA!AC27*100</f>
        <v>#REF!</v>
      </c>
      <c r="AD27" s="23" t="e">
        <f>#REF!/Deseason_VA!AD27*100</f>
        <v>#REF!</v>
      </c>
      <c r="AE27" s="23" t="e">
        <f>#REF!/Deseason_VA!AE27*100</f>
        <v>#REF!</v>
      </c>
      <c r="AF27" s="15" t="e">
        <f>#REF!/Deseason_VA!AF27*100</f>
        <v>#REF!</v>
      </c>
      <c r="AG27" s="15" t="e">
        <f>#REF!/Deseason_VA!AG27*100</f>
        <v>#REF!</v>
      </c>
      <c r="AH27" s="15" t="e">
        <f>#REF!/Deseason_VA!AH27*100</f>
        <v>#REF!</v>
      </c>
      <c r="AI27" s="15" t="e">
        <f>#REF!/Deseason_VA!AI27*100</f>
        <v>#REF!</v>
      </c>
      <c r="AJ27" s="15" t="e">
        <f>#REF!/Deseason_VA!AJ27*100</f>
        <v>#REF!</v>
      </c>
      <c r="AK27" s="15" t="e">
        <f>#REF!/Deseason_VA!AK27*100</f>
        <v>#REF!</v>
      </c>
      <c r="AL27" s="15" t="e">
        <f>#REF!/Deseason_VA!AL27*100</f>
        <v>#REF!</v>
      </c>
      <c r="AM27" s="15" t="e">
        <f>#REF!/Deseason_VA!AM27*100</f>
        <v>#REF!</v>
      </c>
      <c r="AN27" s="15" t="e">
        <f>#REF!/Deseason_VA!AN27*100</f>
        <v>#REF!</v>
      </c>
      <c r="AO27" s="15" t="e">
        <f>#REF!/Deseason_VA!AO27*100</f>
        <v>#REF!</v>
      </c>
      <c r="AP27" s="15" t="e">
        <f>#REF!/Deseason_VA!AP27*100</f>
        <v>#REF!</v>
      </c>
      <c r="AQ27" s="15" t="e">
        <f>#REF!/Deseason_VA!AQ27*100</f>
        <v>#REF!</v>
      </c>
    </row>
    <row r="28" spans="1:43" s="8" customFormat="1" ht="18" customHeight="1" x14ac:dyDescent="0.2">
      <c r="A28" s="55" t="s">
        <v>15</v>
      </c>
      <c r="B28" s="23" t="e">
        <f>#REF!/Deseason_VA!B28*100</f>
        <v>#REF!</v>
      </c>
      <c r="C28" s="23" t="e">
        <f>#REF!/Deseason_VA!C28*100</f>
        <v>#REF!</v>
      </c>
      <c r="D28" s="23" t="e">
        <f>#REF!/Deseason_VA!D28*100</f>
        <v>#REF!</v>
      </c>
      <c r="E28" s="23" t="e">
        <f>#REF!/Deseason_VA!E28*100</f>
        <v>#REF!</v>
      </c>
      <c r="F28" s="23" t="e">
        <f>#REF!/Deseason_VA!F28*100</f>
        <v>#REF!</v>
      </c>
      <c r="G28" s="23" t="e">
        <f>#REF!/Deseason_VA!G28*100</f>
        <v>#REF!</v>
      </c>
      <c r="H28" s="23" t="e">
        <f>#REF!/Deseason_VA!H28*100</f>
        <v>#REF!</v>
      </c>
      <c r="I28" s="23" t="e">
        <f>#REF!/Deseason_VA!I28*100</f>
        <v>#REF!</v>
      </c>
      <c r="J28" s="23" t="e">
        <f>#REF!/Deseason_VA!J28*100</f>
        <v>#REF!</v>
      </c>
      <c r="K28" s="23" t="e">
        <f>#REF!/Deseason_VA!K28*100</f>
        <v>#REF!</v>
      </c>
      <c r="L28" s="23" t="e">
        <f>#REF!/Deseason_VA!L28*100</f>
        <v>#REF!</v>
      </c>
      <c r="M28" s="23" t="e">
        <f>#REF!/Deseason_VA!M28*100</f>
        <v>#REF!</v>
      </c>
      <c r="N28" s="23" t="e">
        <f>#REF!/Deseason_VA!N28*100</f>
        <v>#REF!</v>
      </c>
      <c r="O28" s="23" t="e">
        <f>#REF!/Deseason_VA!O28*100</f>
        <v>#REF!</v>
      </c>
      <c r="P28" s="23" t="e">
        <f>#REF!/Deseason_VA!P28*100</f>
        <v>#REF!</v>
      </c>
      <c r="Q28" s="23" t="e">
        <f>#REF!/Deseason_VA!Q28*100</f>
        <v>#REF!</v>
      </c>
      <c r="R28" s="23" t="e">
        <f>#REF!/Deseason_VA!R28*100</f>
        <v>#REF!</v>
      </c>
      <c r="S28" s="23" t="e">
        <f>#REF!/Deseason_VA!S28*100</f>
        <v>#REF!</v>
      </c>
      <c r="T28" s="23" t="e">
        <f>#REF!/Deseason_VA!T28*100</f>
        <v>#REF!</v>
      </c>
      <c r="U28" s="23" t="e">
        <f>#REF!/Deseason_VA!U28*100</f>
        <v>#REF!</v>
      </c>
      <c r="V28" s="23" t="e">
        <f>#REF!/Deseason_VA!V28*100</f>
        <v>#REF!</v>
      </c>
      <c r="W28" s="23" t="e">
        <f>#REF!/Deseason_VA!W28*100</f>
        <v>#REF!</v>
      </c>
      <c r="X28" s="23" t="e">
        <f>#REF!/Deseason_VA!X28*100</f>
        <v>#REF!</v>
      </c>
      <c r="Y28" s="23" t="e">
        <f>#REF!/Deseason_VA!Y28*100</f>
        <v>#REF!</v>
      </c>
      <c r="Z28" s="23" t="e">
        <f>#REF!/Deseason_VA!Z28*100</f>
        <v>#REF!</v>
      </c>
      <c r="AA28" s="23" t="e">
        <f>#REF!/Deseason_VA!AA28*100</f>
        <v>#REF!</v>
      </c>
      <c r="AB28" s="23" t="e">
        <f>#REF!/Deseason_VA!AB28*100</f>
        <v>#REF!</v>
      </c>
      <c r="AC28" s="23" t="e">
        <f>#REF!/Deseason_VA!AC28*100</f>
        <v>#REF!</v>
      </c>
      <c r="AD28" s="23" t="e">
        <f>#REF!/Deseason_VA!AD28*100</f>
        <v>#REF!</v>
      </c>
      <c r="AE28" s="23" t="e">
        <f>#REF!/Deseason_VA!AE28*100</f>
        <v>#REF!</v>
      </c>
      <c r="AF28" s="15" t="e">
        <f>#REF!/Deseason_VA!AF28*100</f>
        <v>#REF!</v>
      </c>
      <c r="AG28" s="15" t="e">
        <f>#REF!/Deseason_VA!AG28*100</f>
        <v>#REF!</v>
      </c>
      <c r="AH28" s="15" t="e">
        <f>#REF!/Deseason_VA!AH28*100</f>
        <v>#REF!</v>
      </c>
      <c r="AI28" s="15" t="e">
        <f>#REF!/Deseason_VA!AI28*100</f>
        <v>#REF!</v>
      </c>
      <c r="AJ28" s="15" t="e">
        <f>#REF!/Deseason_VA!AJ28*100</f>
        <v>#REF!</v>
      </c>
      <c r="AK28" s="15" t="e">
        <f>#REF!/Deseason_VA!AK28*100</f>
        <v>#REF!</v>
      </c>
      <c r="AL28" s="15" t="e">
        <f>#REF!/Deseason_VA!AL28*100</f>
        <v>#REF!</v>
      </c>
      <c r="AM28" s="15" t="e">
        <f>#REF!/Deseason_VA!AM28*100</f>
        <v>#REF!</v>
      </c>
      <c r="AN28" s="15" t="e">
        <f>#REF!/Deseason_VA!AN28*100</f>
        <v>#REF!</v>
      </c>
      <c r="AO28" s="15" t="e">
        <f>#REF!/Deseason_VA!AO28*100</f>
        <v>#REF!</v>
      </c>
      <c r="AP28" s="15" t="e">
        <f>#REF!/Deseason_VA!AP28*100</f>
        <v>#REF!</v>
      </c>
      <c r="AQ28" s="15" t="e">
        <f>#REF!/Deseason_VA!AQ28*100</f>
        <v>#REF!</v>
      </c>
    </row>
    <row r="29" spans="1:43" s="8" customFormat="1" ht="18" customHeight="1" x14ac:dyDescent="0.2">
      <c r="A29" s="55" t="s">
        <v>16</v>
      </c>
      <c r="B29" s="23" t="e">
        <f>#REF!/Deseason_VA!B29*100</f>
        <v>#REF!</v>
      </c>
      <c r="C29" s="23" t="e">
        <f>#REF!/Deseason_VA!C29*100</f>
        <v>#REF!</v>
      </c>
      <c r="D29" s="23" t="e">
        <f>#REF!/Deseason_VA!D29*100</f>
        <v>#REF!</v>
      </c>
      <c r="E29" s="23" t="e">
        <f>#REF!/Deseason_VA!E29*100</f>
        <v>#REF!</v>
      </c>
      <c r="F29" s="23" t="e">
        <f>#REF!/Deseason_VA!F29*100</f>
        <v>#REF!</v>
      </c>
      <c r="G29" s="23" t="e">
        <f>#REF!/Deseason_VA!G29*100</f>
        <v>#REF!</v>
      </c>
      <c r="H29" s="23" t="e">
        <f>#REF!/Deseason_VA!H29*100</f>
        <v>#REF!</v>
      </c>
      <c r="I29" s="23" t="e">
        <f>#REF!/Deseason_VA!I29*100</f>
        <v>#REF!</v>
      </c>
      <c r="J29" s="23" t="e">
        <f>#REF!/Deseason_VA!J29*100</f>
        <v>#REF!</v>
      </c>
      <c r="K29" s="23" t="e">
        <f>#REF!/Deseason_VA!K29*100</f>
        <v>#REF!</v>
      </c>
      <c r="L29" s="23" t="e">
        <f>#REF!/Deseason_VA!L29*100</f>
        <v>#REF!</v>
      </c>
      <c r="M29" s="23" t="e">
        <f>#REF!/Deseason_VA!M29*100</f>
        <v>#REF!</v>
      </c>
      <c r="N29" s="23" t="e">
        <f>#REF!/Deseason_VA!N29*100</f>
        <v>#REF!</v>
      </c>
      <c r="O29" s="23" t="e">
        <f>#REF!/Deseason_VA!O29*100</f>
        <v>#REF!</v>
      </c>
      <c r="P29" s="23" t="e">
        <f>#REF!/Deseason_VA!P29*100</f>
        <v>#REF!</v>
      </c>
      <c r="Q29" s="23" t="e">
        <f>#REF!/Deseason_VA!Q29*100</f>
        <v>#REF!</v>
      </c>
      <c r="R29" s="23" t="e">
        <f>#REF!/Deseason_VA!R29*100</f>
        <v>#REF!</v>
      </c>
      <c r="S29" s="23" t="e">
        <f>#REF!/Deseason_VA!S29*100</f>
        <v>#REF!</v>
      </c>
      <c r="T29" s="23" t="e">
        <f>#REF!/Deseason_VA!T29*100</f>
        <v>#REF!</v>
      </c>
      <c r="U29" s="23" t="e">
        <f>#REF!/Deseason_VA!U29*100</f>
        <v>#REF!</v>
      </c>
      <c r="V29" s="23" t="e">
        <f>#REF!/Deseason_VA!V29*100</f>
        <v>#REF!</v>
      </c>
      <c r="W29" s="23" t="e">
        <f>#REF!/Deseason_VA!W29*100</f>
        <v>#REF!</v>
      </c>
      <c r="X29" s="23" t="e">
        <f>#REF!/Deseason_VA!X29*100</f>
        <v>#REF!</v>
      </c>
      <c r="Y29" s="23" t="e">
        <f>#REF!/Deseason_VA!Y29*100</f>
        <v>#REF!</v>
      </c>
      <c r="Z29" s="23" t="e">
        <f>#REF!/Deseason_VA!Z29*100</f>
        <v>#REF!</v>
      </c>
      <c r="AA29" s="23" t="e">
        <f>#REF!/Deseason_VA!AA29*100</f>
        <v>#REF!</v>
      </c>
      <c r="AB29" s="23" t="e">
        <f>#REF!/Deseason_VA!AB29*100</f>
        <v>#REF!</v>
      </c>
      <c r="AC29" s="23" t="e">
        <f>#REF!/Deseason_VA!AC29*100</f>
        <v>#REF!</v>
      </c>
      <c r="AD29" s="23" t="e">
        <f>#REF!/Deseason_VA!AD29*100</f>
        <v>#REF!</v>
      </c>
      <c r="AE29" s="23" t="e">
        <f>#REF!/Deseason_VA!AE29*100</f>
        <v>#REF!</v>
      </c>
      <c r="AF29" s="15" t="e">
        <f>#REF!/Deseason_VA!AF29*100</f>
        <v>#REF!</v>
      </c>
      <c r="AG29" s="15" t="e">
        <f>#REF!/Deseason_VA!AG29*100</f>
        <v>#REF!</v>
      </c>
      <c r="AH29" s="15" t="e">
        <f>#REF!/Deseason_VA!AH29*100</f>
        <v>#REF!</v>
      </c>
      <c r="AI29" s="15" t="e">
        <f>#REF!/Deseason_VA!AI29*100</f>
        <v>#REF!</v>
      </c>
      <c r="AJ29" s="15" t="e">
        <f>#REF!/Deseason_VA!AJ29*100</f>
        <v>#REF!</v>
      </c>
      <c r="AK29" s="15" t="e">
        <f>#REF!/Deseason_VA!AK29*100</f>
        <v>#REF!</v>
      </c>
      <c r="AL29" s="15" t="e">
        <f>#REF!/Deseason_VA!AL29*100</f>
        <v>#REF!</v>
      </c>
      <c r="AM29" s="15" t="e">
        <f>#REF!/Deseason_VA!AM29*100</f>
        <v>#REF!</v>
      </c>
      <c r="AN29" s="15" t="e">
        <f>#REF!/Deseason_VA!AN29*100</f>
        <v>#REF!</v>
      </c>
      <c r="AO29" s="15" t="e">
        <f>#REF!/Deseason_VA!AO29*100</f>
        <v>#REF!</v>
      </c>
      <c r="AP29" s="15" t="e">
        <f>#REF!/Deseason_VA!AP29*100</f>
        <v>#REF!</v>
      </c>
      <c r="AQ29" s="15" t="e">
        <f>#REF!/Deseason_VA!AQ29*100</f>
        <v>#REF!</v>
      </c>
    </row>
    <row r="30" spans="1:43" s="8" customFormat="1" ht="18" customHeight="1" x14ac:dyDescent="0.2">
      <c r="A30" s="55" t="s">
        <v>58</v>
      </c>
      <c r="B30" s="23" t="e">
        <f>#REF!/Deseason_VA!B30*100</f>
        <v>#REF!</v>
      </c>
      <c r="C30" s="23" t="e">
        <f>#REF!/Deseason_VA!C30*100</f>
        <v>#REF!</v>
      </c>
      <c r="D30" s="23" t="e">
        <f>#REF!/Deseason_VA!D30*100</f>
        <v>#REF!</v>
      </c>
      <c r="E30" s="23" t="e">
        <f>#REF!/Deseason_VA!E30*100</f>
        <v>#REF!</v>
      </c>
      <c r="F30" s="23" t="e">
        <f>#REF!/Deseason_VA!F30*100</f>
        <v>#REF!</v>
      </c>
      <c r="G30" s="23" t="e">
        <f>#REF!/Deseason_VA!G30*100</f>
        <v>#REF!</v>
      </c>
      <c r="H30" s="23" t="e">
        <f>#REF!/Deseason_VA!H30*100</f>
        <v>#REF!</v>
      </c>
      <c r="I30" s="23" t="e">
        <f>#REF!/Deseason_VA!I30*100</f>
        <v>#REF!</v>
      </c>
      <c r="J30" s="23" t="e">
        <f>#REF!/Deseason_VA!J30*100</f>
        <v>#REF!</v>
      </c>
      <c r="K30" s="23" t="e">
        <f>#REF!/Deseason_VA!K30*100</f>
        <v>#REF!</v>
      </c>
      <c r="L30" s="23" t="e">
        <f>#REF!/Deseason_VA!L30*100</f>
        <v>#REF!</v>
      </c>
      <c r="M30" s="23" t="e">
        <f>#REF!/Deseason_VA!M30*100</f>
        <v>#REF!</v>
      </c>
      <c r="N30" s="23" t="e">
        <f>#REF!/Deseason_VA!N30*100</f>
        <v>#REF!</v>
      </c>
      <c r="O30" s="23" t="e">
        <f>#REF!/Deseason_VA!O30*100</f>
        <v>#REF!</v>
      </c>
      <c r="P30" s="23" t="e">
        <f>#REF!/Deseason_VA!P30*100</f>
        <v>#REF!</v>
      </c>
      <c r="Q30" s="23" t="e">
        <f>#REF!/Deseason_VA!Q30*100</f>
        <v>#REF!</v>
      </c>
      <c r="R30" s="23" t="e">
        <f>#REF!/Deseason_VA!R30*100</f>
        <v>#REF!</v>
      </c>
      <c r="S30" s="23" t="e">
        <f>#REF!/Deseason_VA!S30*100</f>
        <v>#REF!</v>
      </c>
      <c r="T30" s="23" t="e">
        <f>#REF!/Deseason_VA!T30*100</f>
        <v>#REF!</v>
      </c>
      <c r="U30" s="23" t="e">
        <f>#REF!/Deseason_VA!U30*100</f>
        <v>#REF!</v>
      </c>
      <c r="V30" s="23" t="e">
        <f>#REF!/Deseason_VA!V30*100</f>
        <v>#REF!</v>
      </c>
      <c r="W30" s="23" t="e">
        <f>#REF!/Deseason_VA!W30*100</f>
        <v>#REF!</v>
      </c>
      <c r="X30" s="23" t="e">
        <f>#REF!/Deseason_VA!X30*100</f>
        <v>#REF!</v>
      </c>
      <c r="Y30" s="23" t="e">
        <f>#REF!/Deseason_VA!Y30*100</f>
        <v>#REF!</v>
      </c>
      <c r="Z30" s="23" t="e">
        <f>#REF!/Deseason_VA!Z30*100</f>
        <v>#REF!</v>
      </c>
      <c r="AA30" s="23" t="e">
        <f>#REF!/Deseason_VA!AA30*100</f>
        <v>#REF!</v>
      </c>
      <c r="AB30" s="23" t="e">
        <f>#REF!/Deseason_VA!AB30*100</f>
        <v>#REF!</v>
      </c>
      <c r="AC30" s="23" t="e">
        <f>#REF!/Deseason_VA!AC30*100</f>
        <v>#REF!</v>
      </c>
      <c r="AD30" s="23" t="e">
        <f>#REF!/Deseason_VA!AD30*100</f>
        <v>#REF!</v>
      </c>
      <c r="AE30" s="23" t="e">
        <f>#REF!/Deseason_VA!AE30*100</f>
        <v>#REF!</v>
      </c>
      <c r="AF30" s="15" t="e">
        <f>#REF!/Deseason_VA!AF30*100</f>
        <v>#REF!</v>
      </c>
      <c r="AG30" s="15" t="e">
        <f>#REF!/Deseason_VA!AG30*100</f>
        <v>#REF!</v>
      </c>
      <c r="AH30" s="15" t="e">
        <f>#REF!/Deseason_VA!AH30*100</f>
        <v>#REF!</v>
      </c>
      <c r="AI30" s="15" t="e">
        <f>#REF!/Deseason_VA!AI30*100</f>
        <v>#REF!</v>
      </c>
      <c r="AJ30" s="15" t="e">
        <f>#REF!/Deseason_VA!AJ30*100</f>
        <v>#REF!</v>
      </c>
      <c r="AK30" s="15" t="e">
        <f>#REF!/Deseason_VA!AK30*100</f>
        <v>#REF!</v>
      </c>
      <c r="AL30" s="15" t="e">
        <f>#REF!/Deseason_VA!AL30*100</f>
        <v>#REF!</v>
      </c>
      <c r="AM30" s="15" t="e">
        <f>#REF!/Deseason_VA!AM30*100</f>
        <v>#REF!</v>
      </c>
      <c r="AN30" s="15" t="e">
        <f>#REF!/Deseason_VA!AN30*100</f>
        <v>#REF!</v>
      </c>
      <c r="AO30" s="15" t="e">
        <f>#REF!/Deseason_VA!AO30*100</f>
        <v>#REF!</v>
      </c>
      <c r="AP30" s="15" t="e">
        <f>#REF!/Deseason_VA!AP30*100</f>
        <v>#REF!</v>
      </c>
      <c r="AQ30" s="15" t="e">
        <f>#REF!/Deseason_VA!AQ30*100</f>
        <v>#REF!</v>
      </c>
    </row>
    <row r="31" spans="1:43" s="8" customFormat="1" ht="18" customHeight="1" x14ac:dyDescent="0.2">
      <c r="A31" s="55" t="s">
        <v>71</v>
      </c>
      <c r="B31" s="23" t="e">
        <f>#REF!/Deseason_VA!B31*100</f>
        <v>#REF!</v>
      </c>
      <c r="C31" s="23" t="e">
        <f>#REF!/Deseason_VA!C31*100</f>
        <v>#REF!</v>
      </c>
      <c r="D31" s="23" t="e">
        <f>#REF!/Deseason_VA!D31*100</f>
        <v>#REF!</v>
      </c>
      <c r="E31" s="23" t="e">
        <f>#REF!/Deseason_VA!E31*100</f>
        <v>#REF!</v>
      </c>
      <c r="F31" s="23" t="e">
        <f>#REF!/Deseason_VA!F31*100</f>
        <v>#REF!</v>
      </c>
      <c r="G31" s="23" t="e">
        <f>#REF!/Deseason_VA!G31*100</f>
        <v>#REF!</v>
      </c>
      <c r="H31" s="23" t="e">
        <f>#REF!/Deseason_VA!H31*100</f>
        <v>#REF!</v>
      </c>
      <c r="I31" s="23" t="e">
        <f>#REF!/Deseason_VA!I31*100</f>
        <v>#REF!</v>
      </c>
      <c r="J31" s="23" t="e">
        <f>#REF!/Deseason_VA!J31*100</f>
        <v>#REF!</v>
      </c>
      <c r="K31" s="23" t="e">
        <f>#REF!/Deseason_VA!K31*100</f>
        <v>#REF!</v>
      </c>
      <c r="L31" s="23" t="e">
        <f>#REF!/Deseason_VA!L31*100</f>
        <v>#REF!</v>
      </c>
      <c r="M31" s="23" t="e">
        <f>#REF!/Deseason_VA!M31*100</f>
        <v>#REF!</v>
      </c>
      <c r="N31" s="23" t="e">
        <f>#REF!/Deseason_VA!N31*100</f>
        <v>#REF!</v>
      </c>
      <c r="O31" s="23" t="e">
        <f>#REF!/Deseason_VA!O31*100</f>
        <v>#REF!</v>
      </c>
      <c r="P31" s="23" t="e">
        <f>#REF!/Deseason_VA!P31*100</f>
        <v>#REF!</v>
      </c>
      <c r="Q31" s="23" t="s">
        <v>79</v>
      </c>
      <c r="R31" s="23" t="e">
        <f>#REF!/Deseason_VA!R31*100</f>
        <v>#REF!</v>
      </c>
      <c r="S31" s="23" t="e">
        <f>#REF!/Deseason_VA!S31*100</f>
        <v>#REF!</v>
      </c>
      <c r="T31" s="23" t="e">
        <f>#REF!/Deseason_VA!T31*100</f>
        <v>#REF!</v>
      </c>
      <c r="U31" s="23" t="e">
        <f>#REF!/Deseason_VA!U31*100</f>
        <v>#REF!</v>
      </c>
      <c r="V31" s="23" t="e">
        <f>#REF!/Deseason_VA!V31*100</f>
        <v>#REF!</v>
      </c>
      <c r="W31" s="23" t="e">
        <f>#REF!/Deseason_VA!W31*100</f>
        <v>#REF!</v>
      </c>
      <c r="X31" s="23" t="e">
        <f>#REF!/Deseason_VA!X31*100</f>
        <v>#REF!</v>
      </c>
      <c r="Y31" s="23" t="e">
        <f>#REF!/Deseason_VA!Y31*100</f>
        <v>#REF!</v>
      </c>
      <c r="Z31" s="23" t="e">
        <f>#REF!/Deseason_VA!Z31*100</f>
        <v>#REF!</v>
      </c>
      <c r="AA31" s="23" t="e">
        <f>#REF!/Deseason_VA!AA31*100</f>
        <v>#REF!</v>
      </c>
      <c r="AB31" s="23" t="e">
        <f>#REF!/Deseason_VA!AB31*100</f>
        <v>#REF!</v>
      </c>
      <c r="AC31" s="23" t="e">
        <f>#REF!/Deseason_VA!AC31*100</f>
        <v>#REF!</v>
      </c>
      <c r="AD31" s="23" t="e">
        <f>#REF!/Deseason_VA!AD31*100</f>
        <v>#REF!</v>
      </c>
      <c r="AE31" s="23" t="e">
        <f>#REF!/Deseason_VA!AE31*100</f>
        <v>#REF!</v>
      </c>
      <c r="AF31" s="15" t="e">
        <f>#REF!/Deseason_VA!AF31*100</f>
        <v>#REF!</v>
      </c>
      <c r="AG31" s="15" t="e">
        <f>#REF!/Deseason_VA!AG31*100</f>
        <v>#REF!</v>
      </c>
      <c r="AH31" s="15" t="e">
        <f>#REF!/Deseason_VA!AH31*100</f>
        <v>#REF!</v>
      </c>
      <c r="AI31" s="15" t="e">
        <f>#REF!/Deseason_VA!AI31*100</f>
        <v>#REF!</v>
      </c>
      <c r="AJ31" s="15" t="e">
        <f>#REF!/Deseason_VA!AJ31*100</f>
        <v>#REF!</v>
      </c>
      <c r="AK31" s="15" t="e">
        <f>#REF!/Deseason_VA!AK31*100</f>
        <v>#REF!</v>
      </c>
      <c r="AL31" s="15" t="e">
        <f>#REF!/Deseason_VA!AL31*100</f>
        <v>#REF!</v>
      </c>
      <c r="AM31" s="15" t="e">
        <f>#REF!/Deseason_VA!AM31*100</f>
        <v>#REF!</v>
      </c>
      <c r="AN31" s="15" t="e">
        <f>#REF!/Deseason_VA!AN31*100</f>
        <v>#REF!</v>
      </c>
      <c r="AO31" s="15" t="e">
        <f>#REF!/Deseason_VA!AO31*100</f>
        <v>#REF!</v>
      </c>
      <c r="AP31" s="15" t="e">
        <f>#REF!/Deseason_VA!AP31*100</f>
        <v>#REF!</v>
      </c>
      <c r="AQ31" s="15" t="e">
        <f>#REF!/Deseason_VA!AQ31*100</f>
        <v>#REF!</v>
      </c>
    </row>
    <row r="32" spans="1:43" s="8" customFormat="1" ht="18" customHeight="1" x14ac:dyDescent="0.2">
      <c r="A32" s="55" t="s">
        <v>17</v>
      </c>
      <c r="B32" s="23" t="e">
        <f>#REF!/Deseason_VA!B32*100</f>
        <v>#REF!</v>
      </c>
      <c r="C32" s="23" t="e">
        <f>#REF!/Deseason_VA!C32*100</f>
        <v>#REF!</v>
      </c>
      <c r="D32" s="23" t="e">
        <f>#REF!/Deseason_VA!D32*100</f>
        <v>#REF!</v>
      </c>
      <c r="E32" s="23" t="e">
        <f>#REF!/Deseason_VA!E32*100</f>
        <v>#REF!</v>
      </c>
      <c r="F32" s="23" t="e">
        <f>#REF!/Deseason_VA!F32*100</f>
        <v>#REF!</v>
      </c>
      <c r="G32" s="23" t="e">
        <f>#REF!/Deseason_VA!G32*100</f>
        <v>#REF!</v>
      </c>
      <c r="H32" s="23" t="e">
        <f>#REF!/Deseason_VA!H32*100</f>
        <v>#REF!</v>
      </c>
      <c r="I32" s="23" t="e">
        <f>#REF!/Deseason_VA!I32*100</f>
        <v>#REF!</v>
      </c>
      <c r="J32" s="23" t="e">
        <f>#REF!/Deseason_VA!J32*100</f>
        <v>#REF!</v>
      </c>
      <c r="K32" s="23" t="e">
        <f>#REF!/Deseason_VA!K32*100</f>
        <v>#REF!</v>
      </c>
      <c r="L32" s="23" t="e">
        <f>#REF!/Deseason_VA!L32*100</f>
        <v>#REF!</v>
      </c>
      <c r="M32" s="23" t="e">
        <f>#REF!/Deseason_VA!M32*100</f>
        <v>#REF!</v>
      </c>
      <c r="N32" s="23" t="e">
        <f>#REF!/Deseason_VA!N32*100</f>
        <v>#REF!</v>
      </c>
      <c r="O32" s="23" t="e">
        <f>#REF!/Deseason_VA!O32*100</f>
        <v>#REF!</v>
      </c>
      <c r="P32" s="23" t="e">
        <f>#REF!/Deseason_VA!P32*100</f>
        <v>#REF!</v>
      </c>
      <c r="Q32" s="23" t="e">
        <f>#REF!/Deseason_VA!Q32*100</f>
        <v>#REF!</v>
      </c>
      <c r="R32" s="23" t="e">
        <f>#REF!/Deseason_VA!R32*100</f>
        <v>#REF!</v>
      </c>
      <c r="S32" s="23" t="e">
        <f>#REF!/Deseason_VA!S32*100</f>
        <v>#REF!</v>
      </c>
      <c r="T32" s="23" t="e">
        <f>#REF!/Deseason_VA!T32*100</f>
        <v>#REF!</v>
      </c>
      <c r="U32" s="23" t="e">
        <f>#REF!/Deseason_VA!U32*100</f>
        <v>#REF!</v>
      </c>
      <c r="V32" s="23" t="e">
        <f>#REF!/Deseason_VA!V32*100</f>
        <v>#REF!</v>
      </c>
      <c r="W32" s="23" t="e">
        <f>#REF!/Deseason_VA!W32*100</f>
        <v>#REF!</v>
      </c>
      <c r="X32" s="23" t="e">
        <f>#REF!/Deseason_VA!X32*100</f>
        <v>#REF!</v>
      </c>
      <c r="Y32" s="23" t="e">
        <f>#REF!/Deseason_VA!Y32*100</f>
        <v>#REF!</v>
      </c>
      <c r="Z32" s="23" t="e">
        <f>#REF!/Deseason_VA!Z32*100</f>
        <v>#REF!</v>
      </c>
      <c r="AA32" s="23" t="e">
        <f>#REF!/Deseason_VA!AA32*100</f>
        <v>#REF!</v>
      </c>
      <c r="AB32" s="23" t="e">
        <f>#REF!/Deseason_VA!AB32*100</f>
        <v>#REF!</v>
      </c>
      <c r="AC32" s="23" t="e">
        <f>#REF!/Deseason_VA!AC32*100</f>
        <v>#REF!</v>
      </c>
      <c r="AD32" s="23" t="e">
        <f>#REF!/Deseason_VA!AD32*100</f>
        <v>#REF!</v>
      </c>
      <c r="AE32" s="23" t="e">
        <f>#REF!/Deseason_VA!AE32*100</f>
        <v>#REF!</v>
      </c>
      <c r="AF32" s="15" t="e">
        <f>#REF!/Deseason_VA!AF32*100</f>
        <v>#REF!</v>
      </c>
      <c r="AG32" s="15" t="e">
        <f>#REF!/Deseason_VA!AG32*100</f>
        <v>#REF!</v>
      </c>
      <c r="AH32" s="15" t="e">
        <f>#REF!/Deseason_VA!AH32*100</f>
        <v>#REF!</v>
      </c>
      <c r="AI32" s="15" t="e">
        <f>#REF!/Deseason_VA!AI32*100</f>
        <v>#REF!</v>
      </c>
      <c r="AJ32" s="15" t="e">
        <f>#REF!/Deseason_VA!AJ32*100</f>
        <v>#REF!</v>
      </c>
      <c r="AK32" s="15" t="e">
        <f>#REF!/Deseason_VA!AK32*100</f>
        <v>#REF!</v>
      </c>
      <c r="AL32" s="15" t="e">
        <f>#REF!/Deseason_VA!AL32*100</f>
        <v>#REF!</v>
      </c>
      <c r="AM32" s="15" t="e">
        <f>#REF!/Deseason_VA!AM32*100</f>
        <v>#REF!</v>
      </c>
      <c r="AN32" s="15" t="e">
        <f>#REF!/Deseason_VA!AN32*100</f>
        <v>#REF!</v>
      </c>
      <c r="AO32" s="15" t="e">
        <f>#REF!/Deseason_VA!AO32*100</f>
        <v>#REF!</v>
      </c>
      <c r="AP32" s="15" t="e">
        <f>#REF!/Deseason_VA!AP32*100</f>
        <v>#REF!</v>
      </c>
      <c r="AQ32" s="15" t="e">
        <f>#REF!/Deseason_VA!AQ32*100</f>
        <v>#REF!</v>
      </c>
    </row>
    <row r="33" spans="1:43" s="8" customFormat="1" ht="18" customHeight="1" x14ac:dyDescent="0.2">
      <c r="A33" s="55" t="s">
        <v>59</v>
      </c>
      <c r="B33" s="23" t="e">
        <f>#REF!/Deseason_VA!B33*100</f>
        <v>#REF!</v>
      </c>
      <c r="C33" s="23" t="e">
        <f>#REF!/Deseason_VA!C33*100</f>
        <v>#REF!</v>
      </c>
      <c r="D33" s="23" t="e">
        <f>#REF!/Deseason_VA!D33*100</f>
        <v>#REF!</v>
      </c>
      <c r="E33" s="23" t="e">
        <f>#REF!/Deseason_VA!E33*100</f>
        <v>#REF!</v>
      </c>
      <c r="F33" s="23" t="e">
        <f>#REF!/Deseason_VA!F33*100</f>
        <v>#REF!</v>
      </c>
      <c r="G33" s="23" t="e">
        <f>#REF!/Deseason_VA!G33*100</f>
        <v>#REF!</v>
      </c>
      <c r="H33" s="23" t="e">
        <f>#REF!/Deseason_VA!H33*100</f>
        <v>#REF!</v>
      </c>
      <c r="I33" s="23" t="e">
        <f>#REF!/Deseason_VA!I33*100</f>
        <v>#REF!</v>
      </c>
      <c r="J33" s="23" t="e">
        <f>#REF!/Deseason_VA!J33*100</f>
        <v>#REF!</v>
      </c>
      <c r="K33" s="23" t="e">
        <f>#REF!/Deseason_VA!K33*100</f>
        <v>#REF!</v>
      </c>
      <c r="L33" s="23" t="e">
        <f>#REF!/Deseason_VA!L33*100</f>
        <v>#REF!</v>
      </c>
      <c r="M33" s="23" t="e">
        <f>#REF!/Deseason_VA!M33*100</f>
        <v>#REF!</v>
      </c>
      <c r="N33" s="23" t="e">
        <f>#REF!/Deseason_VA!N33*100</f>
        <v>#REF!</v>
      </c>
      <c r="O33" s="23" t="e">
        <f>#REF!/Deseason_VA!O33*100</f>
        <v>#REF!</v>
      </c>
      <c r="P33" s="23" t="e">
        <f>#REF!/Deseason_VA!P33*100</f>
        <v>#REF!</v>
      </c>
      <c r="Q33" s="23" t="e">
        <f>#REF!/Deseason_VA!Q33*100</f>
        <v>#REF!</v>
      </c>
      <c r="R33" s="23" t="e">
        <f>#REF!/Deseason_VA!R33*100</f>
        <v>#REF!</v>
      </c>
      <c r="S33" s="23" t="e">
        <f>#REF!/Deseason_VA!S33*100</f>
        <v>#REF!</v>
      </c>
      <c r="T33" s="23" t="e">
        <f>#REF!/Deseason_VA!T33*100</f>
        <v>#REF!</v>
      </c>
      <c r="U33" s="23" t="e">
        <f>#REF!/Deseason_VA!U33*100</f>
        <v>#REF!</v>
      </c>
      <c r="V33" s="23" t="e">
        <f>#REF!/Deseason_VA!V33*100</f>
        <v>#REF!</v>
      </c>
      <c r="W33" s="23" t="e">
        <f>#REF!/Deseason_VA!W33*100</f>
        <v>#REF!</v>
      </c>
      <c r="X33" s="23" t="e">
        <f>#REF!/Deseason_VA!X33*100</f>
        <v>#REF!</v>
      </c>
      <c r="Y33" s="23" t="e">
        <f>#REF!/Deseason_VA!Y33*100</f>
        <v>#REF!</v>
      </c>
      <c r="Z33" s="23" t="e">
        <f>#REF!/Deseason_VA!Z33*100</f>
        <v>#REF!</v>
      </c>
      <c r="AA33" s="23" t="e">
        <f>#REF!/Deseason_VA!AA33*100</f>
        <v>#REF!</v>
      </c>
      <c r="AB33" s="23" t="e">
        <f>#REF!/Deseason_VA!AB33*100</f>
        <v>#REF!</v>
      </c>
      <c r="AC33" s="23" t="e">
        <f>#REF!/Deseason_VA!AC33*100</f>
        <v>#REF!</v>
      </c>
      <c r="AD33" s="23" t="e">
        <f>#REF!/Deseason_VA!AD33*100</f>
        <v>#REF!</v>
      </c>
      <c r="AE33" s="23" t="e">
        <f>#REF!/Deseason_VA!AE33*100</f>
        <v>#REF!</v>
      </c>
      <c r="AF33" s="15" t="e">
        <f>#REF!/Deseason_VA!AF33*100</f>
        <v>#REF!</v>
      </c>
      <c r="AG33" s="15" t="e">
        <f>#REF!/Deseason_VA!AG33*100</f>
        <v>#REF!</v>
      </c>
      <c r="AH33" s="15" t="e">
        <f>#REF!/Deseason_VA!AH33*100</f>
        <v>#REF!</v>
      </c>
      <c r="AI33" s="15" t="e">
        <f>#REF!/Deseason_VA!AI33*100</f>
        <v>#REF!</v>
      </c>
      <c r="AJ33" s="15" t="e">
        <f>#REF!/Deseason_VA!AJ33*100</f>
        <v>#REF!</v>
      </c>
      <c r="AK33" s="15" t="e">
        <f>#REF!/Deseason_VA!AK33*100</f>
        <v>#REF!</v>
      </c>
      <c r="AL33" s="15" t="e">
        <f>#REF!/Deseason_VA!AL33*100</f>
        <v>#REF!</v>
      </c>
      <c r="AM33" s="15" t="e">
        <f>#REF!/Deseason_VA!AM33*100</f>
        <v>#REF!</v>
      </c>
      <c r="AN33" s="15" t="e">
        <f>#REF!/Deseason_VA!AN33*100</f>
        <v>#REF!</v>
      </c>
      <c r="AO33" s="15" t="e">
        <f>#REF!/Deseason_VA!AO33*100</f>
        <v>#REF!</v>
      </c>
      <c r="AP33" s="15" t="e">
        <f>#REF!/Deseason_VA!AP33*100</f>
        <v>#REF!</v>
      </c>
      <c r="AQ33" s="15" t="e">
        <f>#REF!/Deseason_VA!AQ33*100</f>
        <v>#REF!</v>
      </c>
    </row>
    <row r="34" spans="1:43" ht="18" customHeight="1" x14ac:dyDescent="0.2">
      <c r="A34" s="17"/>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18"/>
      <c r="AG34" s="18"/>
      <c r="AH34" s="18"/>
      <c r="AI34" s="18"/>
      <c r="AJ34" s="18"/>
      <c r="AK34" s="18"/>
      <c r="AL34" s="18"/>
      <c r="AM34" s="18"/>
      <c r="AN34" s="18"/>
      <c r="AO34" s="18"/>
      <c r="AP34" s="18"/>
      <c r="AQ34" s="18"/>
    </row>
    <row r="35" spans="1:43" ht="18" customHeight="1" x14ac:dyDescent="0.2">
      <c r="A35" s="2" t="s">
        <v>95</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18"/>
      <c r="AG35" s="18"/>
      <c r="AH35" s="18"/>
      <c r="AI35" s="18"/>
      <c r="AJ35" s="18"/>
      <c r="AK35" s="18"/>
      <c r="AL35" s="18"/>
      <c r="AM35" s="18"/>
      <c r="AN35" s="18"/>
      <c r="AO35" s="18"/>
      <c r="AP35" s="18"/>
      <c r="AQ35" s="18"/>
    </row>
    <row r="36" spans="1:43" s="11" customFormat="1" ht="18" customHeight="1" thickBot="1" x14ac:dyDescent="0.25">
      <c r="A36" s="24" t="s">
        <v>76</v>
      </c>
      <c r="B36" s="24" t="e">
        <f>#REF!/Deseason_VA!B36*100</f>
        <v>#REF!</v>
      </c>
      <c r="C36" s="24" t="e">
        <f>#REF!/Deseason_VA!C36*100</f>
        <v>#REF!</v>
      </c>
      <c r="D36" s="24" t="e">
        <f>#REF!/Deseason_VA!D36*100</f>
        <v>#REF!</v>
      </c>
      <c r="E36" s="24" t="e">
        <f>#REF!/Deseason_VA!E36*100</f>
        <v>#REF!</v>
      </c>
      <c r="F36" s="24" t="e">
        <f>#REF!/Deseason_VA!F36*100</f>
        <v>#REF!</v>
      </c>
      <c r="G36" s="24" t="e">
        <f>#REF!/Deseason_VA!G36*100</f>
        <v>#REF!</v>
      </c>
      <c r="H36" s="24" t="e">
        <f>#REF!/Deseason_VA!H36*100</f>
        <v>#REF!</v>
      </c>
      <c r="I36" s="24" t="e">
        <f>#REF!/Deseason_VA!I36*100</f>
        <v>#REF!</v>
      </c>
      <c r="J36" s="24" t="e">
        <f>#REF!/Deseason_VA!J36*100</f>
        <v>#REF!</v>
      </c>
      <c r="K36" s="24" t="e">
        <f>#REF!/Deseason_VA!K36*100</f>
        <v>#REF!</v>
      </c>
      <c r="L36" s="24" t="e">
        <f>#REF!/Deseason_VA!L36*100</f>
        <v>#REF!</v>
      </c>
      <c r="M36" s="24" t="e">
        <f>#REF!/Deseason_VA!M36*100</f>
        <v>#REF!</v>
      </c>
      <c r="N36" s="24" t="e">
        <f>#REF!/Deseason_VA!N36*100</f>
        <v>#REF!</v>
      </c>
      <c r="O36" s="24" t="e">
        <f>#REF!/Deseason_VA!O36*100</f>
        <v>#REF!</v>
      </c>
      <c r="P36" s="24" t="e">
        <f>#REF!/Deseason_VA!P36*100</f>
        <v>#REF!</v>
      </c>
      <c r="Q36" s="24" t="e">
        <f>#REF!/Deseason_VA!Q36*100</f>
        <v>#REF!</v>
      </c>
      <c r="R36" s="24" t="e">
        <f>#REF!/Deseason_VA!R36*100</f>
        <v>#REF!</v>
      </c>
      <c r="S36" s="24" t="e">
        <f>#REF!/Deseason_VA!S36*100</f>
        <v>#REF!</v>
      </c>
      <c r="T36" s="24" t="e">
        <f>#REF!/Deseason_VA!T36*100</f>
        <v>#REF!</v>
      </c>
      <c r="U36" s="24" t="e">
        <f>#REF!/Deseason_VA!U36*100</f>
        <v>#REF!</v>
      </c>
      <c r="V36" s="24" t="e">
        <f>#REF!/Deseason_VA!V36*100</f>
        <v>#REF!</v>
      </c>
      <c r="W36" s="24" t="e">
        <f>#REF!/Deseason_VA!W36*100</f>
        <v>#REF!</v>
      </c>
      <c r="X36" s="24" t="e">
        <f>#REF!/Deseason_VA!X36*100</f>
        <v>#REF!</v>
      </c>
      <c r="Y36" s="24" t="e">
        <f>#REF!/Deseason_VA!Y36*100</f>
        <v>#REF!</v>
      </c>
      <c r="Z36" s="24" t="e">
        <f>#REF!/Deseason_VA!Z36*100</f>
        <v>#REF!</v>
      </c>
      <c r="AA36" s="24" t="e">
        <f>#REF!/Deseason_VA!AA36*100</f>
        <v>#REF!</v>
      </c>
      <c r="AB36" s="24" t="e">
        <f>#REF!/Deseason_VA!AB36*100</f>
        <v>#REF!</v>
      </c>
      <c r="AC36" s="24" t="e">
        <f>#REF!/Deseason_VA!AC36*100</f>
        <v>#REF!</v>
      </c>
      <c r="AD36" s="24" t="e">
        <f>#REF!/Deseason_VA!AD36*100</f>
        <v>#REF!</v>
      </c>
      <c r="AE36" s="24" t="e">
        <f>#REF!/Deseason_VA!AE36*100</f>
        <v>#REF!</v>
      </c>
      <c r="AF36" s="19" t="e">
        <f>#REF!/Deseason_VA!AF36*100</f>
        <v>#REF!</v>
      </c>
      <c r="AG36" s="19" t="e">
        <f>#REF!/Deseason_VA!AG36*100</f>
        <v>#REF!</v>
      </c>
      <c r="AH36" s="19" t="e">
        <f>#REF!/Deseason_VA!AH36*100</f>
        <v>#REF!</v>
      </c>
      <c r="AI36" s="19" t="e">
        <f>#REF!/Deseason_VA!AI36*100</f>
        <v>#REF!</v>
      </c>
      <c r="AJ36" s="19" t="e">
        <f>#REF!/Deseason_VA!AJ36*100</f>
        <v>#REF!</v>
      </c>
      <c r="AK36" s="19" t="e">
        <f>#REF!/Deseason_VA!AK36*100</f>
        <v>#REF!</v>
      </c>
      <c r="AL36" s="19" t="e">
        <f>#REF!/Deseason_VA!AL36*100</f>
        <v>#REF!</v>
      </c>
      <c r="AM36" s="19" t="e">
        <f>#REF!/Deseason_VA!AM36*100</f>
        <v>#REF!</v>
      </c>
      <c r="AN36" s="19" t="e">
        <f>#REF!/Deseason_VA!AN36*100</f>
        <v>#REF!</v>
      </c>
      <c r="AO36" s="19" t="e">
        <f>#REF!/Deseason_VA!AO36*100</f>
        <v>#REF!</v>
      </c>
      <c r="AP36" s="19" t="e">
        <f>#REF!/Deseason_VA!AP36*100</f>
        <v>#REF!</v>
      </c>
      <c r="AQ36" s="19" t="e">
        <f>#REF!/Deseason_VA!AQ36*100</f>
        <v>#REF!</v>
      </c>
    </row>
    <row r="37" spans="1:43" x14ac:dyDescent="0.2">
      <c r="A37" s="13" t="s">
        <v>50</v>
      </c>
      <c r="B37" s="6"/>
    </row>
    <row r="38" spans="1:43" x14ac:dyDescent="0.2">
      <c r="Z38" s="1">
        <v>8.5</v>
      </c>
    </row>
  </sheetData>
  <mergeCells count="11">
    <mergeCell ref="AN3:AQ3"/>
    <mergeCell ref="B3:C3"/>
    <mergeCell ref="D3:G3"/>
    <mergeCell ref="H3:K3"/>
    <mergeCell ref="L3:O3"/>
    <mergeCell ref="P3:S3"/>
    <mergeCell ref="U3:W3"/>
    <mergeCell ref="AF3:AI3"/>
    <mergeCell ref="AB3:AE3"/>
    <mergeCell ref="X3:AA3"/>
    <mergeCell ref="AJ3:AM3"/>
  </mergeCells>
  <pageMargins left="0.5" right="0" top="0.5" bottom="0" header="0" footer="0"/>
  <pageSetup paperSize="9"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BV38"/>
  <sheetViews>
    <sheetView showGridLines="0" view="pageBreakPreview" zoomScaleNormal="100" zoomScaleSheetLayoutView="100" workbookViewId="0">
      <pane xSplit="11" ySplit="4" topLeftCell="AJ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6.42578125" style="1" customWidth="1"/>
    <col min="2" max="2" width="8.7109375" style="1" hidden="1" customWidth="1"/>
    <col min="3" max="4" width="7.5703125" style="1" hidden="1" customWidth="1"/>
    <col min="5" max="7" width="6.7109375" style="1" hidden="1" customWidth="1"/>
    <col min="8" max="8" width="6.85546875" style="1" hidden="1" customWidth="1"/>
    <col min="9" max="35" width="6.7109375" style="1" hidden="1" customWidth="1"/>
    <col min="36" max="37" width="6.7109375" style="1" customWidth="1"/>
    <col min="38" max="45" width="6.85546875" style="1" customWidth="1"/>
    <col min="46" max="58" width="6.85546875" style="1" bestFit="1" customWidth="1"/>
    <col min="59" max="59" width="6.85546875" style="1" customWidth="1"/>
    <col min="60" max="60" width="7.28515625" style="1" customWidth="1"/>
    <col min="61" max="61" width="7" style="1" customWidth="1"/>
    <col min="62" max="62" width="6.7109375" style="1" customWidth="1"/>
    <col min="63" max="63" width="7" style="1" customWidth="1"/>
    <col min="64" max="64" width="7.42578125" style="1" customWidth="1"/>
    <col min="65" max="65" width="7.7109375" style="1" customWidth="1"/>
    <col min="66" max="66" width="8" style="1" customWidth="1"/>
    <col min="67" max="67" width="7.5703125" style="1" customWidth="1"/>
    <col min="68" max="16384" width="9.140625" style="1"/>
  </cols>
  <sheetData>
    <row r="1" spans="1:74" ht="15.75" customHeight="1" x14ac:dyDescent="0.2">
      <c r="A1" s="31" t="s">
        <v>184</v>
      </c>
      <c r="AJ1" s="31"/>
      <c r="AK1" s="31"/>
    </row>
    <row r="2" spans="1:74" ht="1.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1" t="s">
        <v>51</v>
      </c>
      <c r="AC2" s="11" t="s">
        <v>73</v>
      </c>
      <c r="AD2" s="11" t="s">
        <v>74</v>
      </c>
      <c r="AE2" s="11" t="s">
        <v>75</v>
      </c>
      <c r="AF2" s="11" t="s">
        <v>78</v>
      </c>
    </row>
    <row r="3" spans="1:74" s="87" customFormat="1" ht="12" customHeight="1" x14ac:dyDescent="0.2">
      <c r="A3" s="86"/>
      <c r="B3" s="260" t="s">
        <v>67</v>
      </c>
      <c r="C3" s="260"/>
      <c r="D3" s="260" t="s">
        <v>66</v>
      </c>
      <c r="E3" s="260"/>
      <c r="F3" s="260"/>
      <c r="G3" s="260"/>
      <c r="H3" s="260" t="s">
        <v>60</v>
      </c>
      <c r="I3" s="260"/>
      <c r="J3" s="260"/>
      <c r="K3" s="260"/>
      <c r="L3" s="260" t="s">
        <v>61</v>
      </c>
      <c r="M3" s="260"/>
      <c r="N3" s="260"/>
      <c r="O3" s="260"/>
      <c r="P3" s="260" t="s">
        <v>62</v>
      </c>
      <c r="Q3" s="260"/>
      <c r="R3" s="260"/>
      <c r="S3" s="260"/>
      <c r="T3" s="260" t="s">
        <v>63</v>
      </c>
      <c r="U3" s="260"/>
      <c r="V3" s="260"/>
      <c r="W3" s="260"/>
      <c r="X3" s="86" t="s">
        <v>64</v>
      </c>
      <c r="Y3" s="86" t="s">
        <v>64</v>
      </c>
      <c r="Z3" s="86"/>
      <c r="AA3" s="86" t="s">
        <v>64</v>
      </c>
      <c r="AB3" s="86" t="s">
        <v>65</v>
      </c>
      <c r="AE3" s="86" t="s">
        <v>65</v>
      </c>
      <c r="AF3" s="260" t="s">
        <v>77</v>
      </c>
      <c r="AG3" s="260"/>
      <c r="AH3" s="260"/>
      <c r="AI3" s="260"/>
      <c r="AJ3" s="260" t="s">
        <v>80</v>
      </c>
      <c r="AK3" s="260"/>
      <c r="AL3" s="260"/>
      <c r="AM3" s="260"/>
      <c r="AN3" s="260" t="s">
        <v>92</v>
      </c>
      <c r="AO3" s="260"/>
      <c r="AP3" s="260"/>
      <c r="AQ3" s="260"/>
      <c r="AR3" s="260" t="s">
        <v>134</v>
      </c>
      <c r="AS3" s="260"/>
      <c r="AT3" s="260"/>
      <c r="AU3" s="260"/>
      <c r="AV3" s="260" t="s">
        <v>136</v>
      </c>
      <c r="AW3" s="260"/>
      <c r="AX3" s="260"/>
      <c r="AY3" s="260"/>
      <c r="AZ3" s="261" t="s">
        <v>137</v>
      </c>
      <c r="BA3" s="261"/>
      <c r="BB3" s="261"/>
      <c r="BC3" s="261"/>
      <c r="BD3" s="261" t="s">
        <v>138</v>
      </c>
      <c r="BE3" s="261"/>
      <c r="BF3" s="261"/>
      <c r="BG3" s="261"/>
      <c r="BH3" s="261" t="s">
        <v>139</v>
      </c>
      <c r="BI3" s="261"/>
      <c r="BJ3" s="261"/>
      <c r="BK3" s="261"/>
      <c r="BL3" s="261" t="s">
        <v>140</v>
      </c>
      <c r="BM3" s="261"/>
      <c r="BN3" s="261"/>
      <c r="BO3" s="261"/>
      <c r="BP3" s="261" t="s">
        <v>174</v>
      </c>
      <c r="BQ3" s="261"/>
      <c r="BR3" s="261"/>
      <c r="BS3" s="261"/>
      <c r="BT3" s="261" t="s">
        <v>175</v>
      </c>
      <c r="BU3" s="261"/>
      <c r="BV3" s="261"/>
    </row>
    <row r="4" spans="1:74" s="91" customFormat="1" ht="14.25" customHeight="1" x14ac:dyDescent="0.2">
      <c r="A4" s="88"/>
      <c r="B4" s="89" t="s">
        <v>48</v>
      </c>
      <c r="C4" s="89" t="s">
        <v>49</v>
      </c>
      <c r="D4" s="89" t="s">
        <v>46</v>
      </c>
      <c r="E4" s="89" t="s">
        <v>47</v>
      </c>
      <c r="F4" s="89" t="s">
        <v>48</v>
      </c>
      <c r="G4" s="89" t="s">
        <v>49</v>
      </c>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89" t="s">
        <v>47</v>
      </c>
      <c r="AP4" s="90" t="s">
        <v>48</v>
      </c>
      <c r="AQ4" s="90" t="s">
        <v>49</v>
      </c>
      <c r="AR4" s="90" t="s">
        <v>46</v>
      </c>
      <c r="AS4" s="90" t="s">
        <v>47</v>
      </c>
      <c r="AT4" s="90" t="s">
        <v>48</v>
      </c>
      <c r="AU4" s="90" t="s">
        <v>49</v>
      </c>
      <c r="AV4" s="90" t="s">
        <v>46</v>
      </c>
      <c r="AW4" s="90" t="s">
        <v>47</v>
      </c>
      <c r="AX4" s="90" t="s">
        <v>48</v>
      </c>
      <c r="AY4" s="90" t="s">
        <v>49</v>
      </c>
      <c r="AZ4" s="90" t="s">
        <v>46</v>
      </c>
      <c r="BA4" s="90" t="s">
        <v>47</v>
      </c>
      <c r="BB4" s="90" t="s">
        <v>48</v>
      </c>
      <c r="BC4" s="90" t="s">
        <v>49</v>
      </c>
      <c r="BD4" s="90" t="s">
        <v>46</v>
      </c>
      <c r="BE4" s="90" t="s">
        <v>47</v>
      </c>
      <c r="BF4" s="90" t="s">
        <v>48</v>
      </c>
      <c r="BG4" s="90" t="s">
        <v>49</v>
      </c>
      <c r="BH4" s="90" t="s">
        <v>46</v>
      </c>
      <c r="BI4" s="90" t="s">
        <v>47</v>
      </c>
      <c r="BJ4" s="90" t="s">
        <v>48</v>
      </c>
      <c r="BK4" s="90" t="s">
        <v>49</v>
      </c>
      <c r="BL4" s="90" t="s">
        <v>46</v>
      </c>
      <c r="BM4" s="90" t="s">
        <v>47</v>
      </c>
      <c r="BN4" s="90" t="s">
        <v>48</v>
      </c>
      <c r="BO4" s="90" t="s">
        <v>49</v>
      </c>
      <c r="BP4" s="90" t="s">
        <v>46</v>
      </c>
      <c r="BQ4" s="90" t="s">
        <v>47</v>
      </c>
      <c r="BR4" s="90" t="s">
        <v>48</v>
      </c>
      <c r="BS4" s="90" t="s">
        <v>49</v>
      </c>
      <c r="BT4" s="90" t="s">
        <v>46</v>
      </c>
      <c r="BU4" s="90" t="s">
        <v>47</v>
      </c>
      <c r="BV4" s="90" t="s">
        <v>48</v>
      </c>
    </row>
    <row r="5" spans="1:74" s="8" customFormat="1" ht="17.100000000000001" customHeight="1" x14ac:dyDescent="0.2">
      <c r="A5" s="39" t="s">
        <v>97</v>
      </c>
      <c r="B5" s="79"/>
      <c r="C5" s="79"/>
      <c r="D5" s="79"/>
      <c r="E5" s="79"/>
      <c r="F5" s="79"/>
      <c r="G5" s="79"/>
      <c r="H5" s="79">
        <v>19321.52119478989</v>
      </c>
      <c r="I5" s="79">
        <v>19646.987355250112</v>
      </c>
      <c r="J5" s="79">
        <v>20838.390466991488</v>
      </c>
      <c r="K5" s="79">
        <v>21122.126367378081</v>
      </c>
      <c r="L5" s="79">
        <v>21418.024183757261</v>
      </c>
      <c r="M5" s="79">
        <v>21679.120192682934</v>
      </c>
      <c r="N5" s="79">
        <v>21679.065979152892</v>
      </c>
      <c r="O5" s="79">
        <v>21729.734660804625</v>
      </c>
      <c r="P5" s="79">
        <v>21900.113368140315</v>
      </c>
      <c r="Q5" s="79">
        <v>22149.61224074191</v>
      </c>
      <c r="R5" s="79">
        <v>22485.95563724537</v>
      </c>
      <c r="S5" s="79">
        <v>22826.893908683276</v>
      </c>
      <c r="T5" s="79">
        <v>22949.803790837232</v>
      </c>
      <c r="U5" s="79">
        <v>22773.997754843051</v>
      </c>
      <c r="V5" s="79">
        <v>22547.539355633653</v>
      </c>
      <c r="W5" s="79">
        <v>22437.040735435163</v>
      </c>
      <c r="X5" s="79">
        <v>22500.573376319051</v>
      </c>
      <c r="Y5" s="79">
        <v>23012.920286715256</v>
      </c>
      <c r="Z5" s="79">
        <v>23903.17123835129</v>
      </c>
      <c r="AA5" s="79">
        <v>24489.840209336475</v>
      </c>
      <c r="AB5" s="79">
        <v>24776.316188161694</v>
      </c>
      <c r="AC5" s="79">
        <v>25114.086745933299</v>
      </c>
      <c r="AD5" s="79">
        <v>25621.400337933119</v>
      </c>
      <c r="AE5" s="79">
        <v>26114.927806441228</v>
      </c>
      <c r="AF5" s="79">
        <v>26538.290820420767</v>
      </c>
      <c r="AG5" s="79">
        <v>26545.612048094143</v>
      </c>
      <c r="AH5" s="79">
        <v>26228.291837979486</v>
      </c>
      <c r="AI5" s="79">
        <v>26164.867444096235</v>
      </c>
      <c r="AJ5" s="79">
        <v>26459.002899271636</v>
      </c>
      <c r="AK5" s="79">
        <v>26890.982372318118</v>
      </c>
      <c r="AL5" s="79">
        <v>27386.001153998219</v>
      </c>
      <c r="AM5" s="79">
        <v>27829.696384491599</v>
      </c>
      <c r="AN5" s="79">
        <v>28157.980491201593</v>
      </c>
      <c r="AO5" s="79">
        <v>28505.645975255622</v>
      </c>
      <c r="AP5" s="79">
        <v>28964.892403690726</v>
      </c>
      <c r="AQ5" s="79">
        <v>29471.223640955901</v>
      </c>
      <c r="AR5" s="79">
        <v>29869.311563278319</v>
      </c>
      <c r="AS5" s="79">
        <v>30328.589305197231</v>
      </c>
      <c r="AT5" s="79">
        <v>30858.148617235471</v>
      </c>
      <c r="AU5" s="79">
        <v>31484.421049779758</v>
      </c>
      <c r="AV5" s="79">
        <v>32198.083008745001</v>
      </c>
      <c r="AW5" s="79">
        <v>32489.962334925509</v>
      </c>
      <c r="AX5" s="79">
        <v>32127.768133788762</v>
      </c>
      <c r="AY5" s="79">
        <v>31925.614295417006</v>
      </c>
      <c r="AZ5" s="79">
        <v>32151.054282142686</v>
      </c>
      <c r="BA5" s="79">
        <v>32497.725678917282</v>
      </c>
      <c r="BB5" s="79">
        <v>32852.132039658973</v>
      </c>
      <c r="BC5" s="79">
        <v>32937.677887751968</v>
      </c>
      <c r="BD5" s="79">
        <v>33205.300695864433</v>
      </c>
      <c r="BE5" s="79">
        <v>34095.250352448231</v>
      </c>
      <c r="BF5" s="79">
        <v>34842.846961560477</v>
      </c>
      <c r="BG5" s="79">
        <v>35120.265768815349</v>
      </c>
      <c r="BH5" s="79">
        <v>35413.009187546275</v>
      </c>
      <c r="BI5" s="79">
        <v>35619.048489236433</v>
      </c>
      <c r="BJ5" s="79">
        <v>36075.371849674208</v>
      </c>
      <c r="BK5" s="79">
        <v>36783.200840873811</v>
      </c>
      <c r="BL5" s="79">
        <v>37156.070309953189</v>
      </c>
      <c r="BM5" s="79">
        <v>37436.947479931849</v>
      </c>
      <c r="BN5" s="79">
        <v>38261.276301601814</v>
      </c>
      <c r="BO5" s="79">
        <v>39229.273049812662</v>
      </c>
      <c r="BP5" s="79">
        <v>39773.916947054669</v>
      </c>
      <c r="BQ5" s="79">
        <v>40187.24501451946</v>
      </c>
      <c r="BR5" s="79">
        <v>40669.909058481877</v>
      </c>
      <c r="BS5" s="79">
        <v>41354.613019678902</v>
      </c>
      <c r="BT5" s="79">
        <v>42247.595036309904</v>
      </c>
      <c r="BU5" s="79">
        <v>43299.342185174901</v>
      </c>
      <c r="BV5" s="79">
        <v>43749.46109859732</v>
      </c>
    </row>
    <row r="6" spans="1:74" s="163" customFormat="1" ht="17.100000000000001" customHeight="1" x14ac:dyDescent="0.2">
      <c r="A6" s="160" t="s">
        <v>96</v>
      </c>
      <c r="B6" s="161"/>
      <c r="C6" s="161"/>
      <c r="D6" s="161"/>
      <c r="E6" s="161"/>
      <c r="F6" s="161"/>
      <c r="G6" s="161"/>
      <c r="H6" s="161">
        <v>5456.4527707381376</v>
      </c>
      <c r="I6" s="161">
        <v>5501.0784036316281</v>
      </c>
      <c r="J6" s="161">
        <v>5622.9922113125813</v>
      </c>
      <c r="K6" s="161">
        <v>5658.0279072332942</v>
      </c>
      <c r="L6" s="161">
        <v>5604.7816513738417</v>
      </c>
      <c r="M6" s="161">
        <v>5627.1604546048638</v>
      </c>
      <c r="N6" s="161">
        <v>5712.0892706455697</v>
      </c>
      <c r="O6" s="161">
        <v>5775.8787535579231</v>
      </c>
      <c r="P6" s="161">
        <v>5770.1844697271154</v>
      </c>
      <c r="Q6" s="161">
        <v>5670.4114048294205</v>
      </c>
      <c r="R6" s="161">
        <v>5564.7466559371233</v>
      </c>
      <c r="S6" s="161">
        <v>5524.5602268352277</v>
      </c>
      <c r="T6" s="161">
        <v>5571.242532522012</v>
      </c>
      <c r="U6" s="161">
        <v>5579.4439760847936</v>
      </c>
      <c r="V6" s="161">
        <v>5522.0826292958918</v>
      </c>
      <c r="W6" s="161">
        <v>5439.0314792908384</v>
      </c>
      <c r="X6" s="161">
        <v>5493.6998241071524</v>
      </c>
      <c r="Y6" s="161">
        <v>5593.7692365256107</v>
      </c>
      <c r="Z6" s="161">
        <v>5679.3151051330897</v>
      </c>
      <c r="AA6" s="161">
        <v>5849.0996074434697</v>
      </c>
      <c r="AB6" s="161">
        <v>6013.0737666417735</v>
      </c>
      <c r="AC6" s="161">
        <v>6026.2304413326783</v>
      </c>
      <c r="AD6" s="161">
        <v>5992.5443354280342</v>
      </c>
      <c r="AE6" s="161">
        <v>5989.9006437614789</v>
      </c>
      <c r="AF6" s="161">
        <v>6028.0330527382011</v>
      </c>
      <c r="AG6" s="161">
        <v>6154.112073653122</v>
      </c>
      <c r="AH6" s="161">
        <v>6248.4003692484848</v>
      </c>
      <c r="AI6" s="161">
        <v>6239.5056918244991</v>
      </c>
      <c r="AJ6" s="161">
        <v>6219.0738154760875</v>
      </c>
      <c r="AK6" s="161">
        <v>6294.9720776128388</v>
      </c>
      <c r="AL6" s="161">
        <v>6407.6261672887867</v>
      </c>
      <c r="AM6" s="161">
        <v>6477.4046995613462</v>
      </c>
      <c r="AN6" s="161">
        <v>6491.9933499268782</v>
      </c>
      <c r="AO6" s="161">
        <v>6510.6556329873765</v>
      </c>
      <c r="AP6" s="161">
        <v>6593.2903642584406</v>
      </c>
      <c r="AQ6" s="161">
        <v>6679.9109517438092</v>
      </c>
      <c r="AR6" s="161">
        <v>6761.5509759807164</v>
      </c>
      <c r="AS6" s="161">
        <v>6852.1134012734856</v>
      </c>
      <c r="AT6" s="161">
        <v>6975.369160633204</v>
      </c>
      <c r="AU6" s="161">
        <v>7095.5818866754671</v>
      </c>
      <c r="AV6" s="161">
        <v>7180.5525742687996</v>
      </c>
      <c r="AW6" s="161">
        <v>7249.5002660696746</v>
      </c>
      <c r="AX6" s="161">
        <v>7355.6491098218921</v>
      </c>
      <c r="AY6" s="161">
        <v>7495.2349747275184</v>
      </c>
      <c r="AZ6" s="161">
        <v>7590.5940801147135</v>
      </c>
      <c r="BA6" s="161">
        <v>7587.1720393382466</v>
      </c>
      <c r="BB6" s="161">
        <v>7546.1287291707094</v>
      </c>
      <c r="BC6" s="161">
        <v>7507.5132474900784</v>
      </c>
      <c r="BD6" s="161">
        <v>7567.2380207300839</v>
      </c>
      <c r="BE6" s="161">
        <v>7797.3910520181435</v>
      </c>
      <c r="BF6" s="161">
        <v>8061.1159818575461</v>
      </c>
      <c r="BG6" s="161">
        <v>8321.114146219461</v>
      </c>
      <c r="BH6" s="161">
        <v>8461.1523503424942</v>
      </c>
      <c r="BI6" s="161">
        <v>8405.3814852559026</v>
      </c>
      <c r="BJ6" s="161">
        <v>8326.4781071667312</v>
      </c>
      <c r="BK6" s="161">
        <v>8334.9072418107389</v>
      </c>
      <c r="BL6" s="161">
        <v>8409.8466551095789</v>
      </c>
      <c r="BM6" s="161">
        <v>8569.3642616028155</v>
      </c>
      <c r="BN6" s="161">
        <v>8758.1031554755955</v>
      </c>
      <c r="BO6" s="161">
        <v>8937.1503140503337</v>
      </c>
      <c r="BP6" s="161">
        <v>9086.2922472556365</v>
      </c>
      <c r="BQ6" s="161">
        <v>9214.9187869640245</v>
      </c>
      <c r="BR6" s="161">
        <v>9307.5553500473543</v>
      </c>
      <c r="BS6" s="161">
        <v>9438.1407808499516</v>
      </c>
      <c r="BT6" s="161">
        <v>9615.1067094342561</v>
      </c>
      <c r="BU6" s="161">
        <v>9828.6601020394974</v>
      </c>
      <c r="BV6" s="161">
        <v>9969.3844888333442</v>
      </c>
    </row>
    <row r="7" spans="1:74" ht="17.100000000000001" customHeight="1" x14ac:dyDescent="0.2">
      <c r="A7" s="72" t="s">
        <v>1</v>
      </c>
      <c r="B7" s="81"/>
      <c r="C7" s="81"/>
      <c r="D7" s="81"/>
      <c r="E7" s="81"/>
      <c r="F7" s="81"/>
      <c r="G7" s="81"/>
      <c r="H7" s="81">
        <v>512.28393133796305</v>
      </c>
      <c r="I7" s="81">
        <v>558.87905764798302</v>
      </c>
      <c r="J7" s="81">
        <v>584.88040409038797</v>
      </c>
      <c r="K7" s="81">
        <v>553.778176100118</v>
      </c>
      <c r="L7" s="81">
        <v>508.87059297869399</v>
      </c>
      <c r="M7" s="81">
        <v>475.75909846351402</v>
      </c>
      <c r="N7" s="81">
        <v>464.61319615487997</v>
      </c>
      <c r="O7" s="81">
        <v>454.96786064434502</v>
      </c>
      <c r="P7" s="81">
        <v>445.61992579466897</v>
      </c>
      <c r="Q7" s="81">
        <v>461.58473848165698</v>
      </c>
      <c r="R7" s="81">
        <v>491.43314032831699</v>
      </c>
      <c r="S7" s="81">
        <v>524.35199875967805</v>
      </c>
      <c r="T7" s="81">
        <v>542.14113653660297</v>
      </c>
      <c r="U7" s="81">
        <v>527.66312922252496</v>
      </c>
      <c r="V7" s="81">
        <v>503.45317638268898</v>
      </c>
      <c r="W7" s="81">
        <v>504.51170224193402</v>
      </c>
      <c r="X7" s="81">
        <v>505.861499881832</v>
      </c>
      <c r="Y7" s="81">
        <v>514.97173218186902</v>
      </c>
      <c r="Z7" s="81">
        <v>538.34863046419605</v>
      </c>
      <c r="AA7" s="81">
        <v>541.77117578520404</v>
      </c>
      <c r="AB7" s="81">
        <v>544.67359246309002</v>
      </c>
      <c r="AC7" s="81">
        <v>535.25109489101305</v>
      </c>
      <c r="AD7" s="81">
        <v>509.14502932442298</v>
      </c>
      <c r="AE7" s="81">
        <v>501.41280612232902</v>
      </c>
      <c r="AF7" s="81">
        <v>508.37136482482202</v>
      </c>
      <c r="AG7" s="81">
        <v>520.92297264339197</v>
      </c>
      <c r="AH7" s="81">
        <v>553.31783718689405</v>
      </c>
      <c r="AI7" s="81">
        <v>590.38443440210301</v>
      </c>
      <c r="AJ7" s="81">
        <v>593.88555180844196</v>
      </c>
      <c r="AK7" s="81">
        <v>581.56506848309698</v>
      </c>
      <c r="AL7" s="81">
        <v>575.38211199023101</v>
      </c>
      <c r="AM7" s="81">
        <v>579.05962299365603</v>
      </c>
      <c r="AN7" s="81">
        <v>594.03790032089705</v>
      </c>
      <c r="AO7" s="81">
        <v>625.01340776484801</v>
      </c>
      <c r="AP7" s="81">
        <v>660.48378492439497</v>
      </c>
      <c r="AQ7" s="81">
        <v>690.851416380111</v>
      </c>
      <c r="AR7" s="81">
        <v>699.81063564466501</v>
      </c>
      <c r="AS7" s="81">
        <v>679.55181475816198</v>
      </c>
      <c r="AT7" s="81">
        <v>659.61533982136598</v>
      </c>
      <c r="AU7" s="81">
        <v>673.62549780414304</v>
      </c>
      <c r="AV7" s="81">
        <v>700.31008763551404</v>
      </c>
      <c r="AW7" s="81">
        <v>700.01083808180499</v>
      </c>
      <c r="AX7" s="81">
        <v>699.69331226459701</v>
      </c>
      <c r="AY7" s="81">
        <v>719.15856729014297</v>
      </c>
      <c r="AZ7" s="81">
        <v>741.32247933624205</v>
      </c>
      <c r="BA7" s="81">
        <v>768.61627771337999</v>
      </c>
      <c r="BB7" s="81">
        <v>788.30397563451095</v>
      </c>
      <c r="BC7" s="81">
        <v>770.51345837614997</v>
      </c>
      <c r="BD7" s="81">
        <v>786.93786847988201</v>
      </c>
      <c r="BE7" s="81">
        <v>852.54745634035999</v>
      </c>
      <c r="BF7" s="81">
        <v>896.81391575044802</v>
      </c>
      <c r="BG7" s="81">
        <v>915.666191632547</v>
      </c>
      <c r="BH7" s="81">
        <v>931.78276583335696</v>
      </c>
      <c r="BI7" s="81">
        <v>916.23901846660601</v>
      </c>
      <c r="BJ7" s="81">
        <v>899.89416680746695</v>
      </c>
      <c r="BK7" s="81">
        <v>917.02511340322496</v>
      </c>
      <c r="BL7" s="81">
        <v>917.48636934913702</v>
      </c>
      <c r="BM7" s="81">
        <v>898.44076154834204</v>
      </c>
      <c r="BN7" s="81">
        <v>906.648629349614</v>
      </c>
      <c r="BO7" s="81">
        <v>937.42887503484303</v>
      </c>
      <c r="BP7" s="81">
        <v>978.06890789276804</v>
      </c>
      <c r="BQ7" s="81">
        <v>1033.01234488965</v>
      </c>
      <c r="BR7" s="81">
        <v>1072.20356393355</v>
      </c>
      <c r="BS7" s="81">
        <v>1103.1574504712501</v>
      </c>
      <c r="BT7" s="81">
        <v>1127.9282523381901</v>
      </c>
      <c r="BU7" s="81">
        <v>1152.38694769724</v>
      </c>
      <c r="BV7" s="81">
        <v>1171.7384455118199</v>
      </c>
    </row>
    <row r="8" spans="1:74" ht="17.100000000000001" customHeight="1" x14ac:dyDescent="0.2">
      <c r="A8" s="72" t="s">
        <v>2</v>
      </c>
      <c r="B8" s="81"/>
      <c r="C8" s="81"/>
      <c r="D8" s="81"/>
      <c r="E8" s="81"/>
      <c r="F8" s="81"/>
      <c r="G8" s="81"/>
      <c r="H8" s="81">
        <v>3054.9047900880701</v>
      </c>
      <c r="I8" s="81">
        <v>3074.5606729772499</v>
      </c>
      <c r="J8" s="81">
        <v>3091.6321759645002</v>
      </c>
      <c r="K8" s="81">
        <v>3074.9081399117899</v>
      </c>
      <c r="L8" s="81">
        <v>3064.1969492933499</v>
      </c>
      <c r="M8" s="81">
        <v>3129.2486381477001</v>
      </c>
      <c r="N8" s="81">
        <v>3226.3267671900699</v>
      </c>
      <c r="O8" s="81">
        <v>3300.4555252798</v>
      </c>
      <c r="P8" s="81">
        <v>3268.7713393169602</v>
      </c>
      <c r="Q8" s="81">
        <v>3142.2214884251798</v>
      </c>
      <c r="R8" s="81">
        <v>3034.9285104437799</v>
      </c>
      <c r="S8" s="81">
        <v>2963.0856945963501</v>
      </c>
      <c r="T8" s="81">
        <v>2909.9029745539501</v>
      </c>
      <c r="U8" s="81">
        <v>2843.3503012584802</v>
      </c>
      <c r="V8" s="81">
        <v>2780.5117994910302</v>
      </c>
      <c r="W8" s="81">
        <v>2766.7884193597301</v>
      </c>
      <c r="X8" s="81">
        <v>2797.47479122699</v>
      </c>
      <c r="Y8" s="81">
        <v>2861.43146118304</v>
      </c>
      <c r="Z8" s="81">
        <v>2961.8737103502999</v>
      </c>
      <c r="AA8" s="81">
        <v>3114.6396346522001</v>
      </c>
      <c r="AB8" s="81">
        <v>3246.8890401642998</v>
      </c>
      <c r="AC8" s="81">
        <v>3279.2150015054799</v>
      </c>
      <c r="AD8" s="81">
        <v>3246.4404300620299</v>
      </c>
      <c r="AE8" s="81">
        <v>3215.4388715989699</v>
      </c>
      <c r="AF8" s="81">
        <v>3245.58708041504</v>
      </c>
      <c r="AG8" s="81">
        <v>3316.6382176823599</v>
      </c>
      <c r="AH8" s="81">
        <v>3323.56711708084</v>
      </c>
      <c r="AI8" s="81">
        <v>3275.9303106275302</v>
      </c>
      <c r="AJ8" s="81">
        <v>3262.43145781668</v>
      </c>
      <c r="AK8" s="81">
        <v>3335.2529067680998</v>
      </c>
      <c r="AL8" s="81">
        <v>3445.8383571272602</v>
      </c>
      <c r="AM8" s="81">
        <v>3529.9523962425901</v>
      </c>
      <c r="AN8" s="81">
        <v>3574.7964801143398</v>
      </c>
      <c r="AO8" s="81">
        <v>3597.6422069145301</v>
      </c>
      <c r="AP8" s="81">
        <v>3615.8187162375898</v>
      </c>
      <c r="AQ8" s="81">
        <v>3589.5817034356501</v>
      </c>
      <c r="AR8" s="81">
        <v>3575.9055892817701</v>
      </c>
      <c r="AS8" s="81">
        <v>3611.40600651454</v>
      </c>
      <c r="AT8" s="81">
        <v>3679.8617920557899</v>
      </c>
      <c r="AU8" s="81">
        <v>3724.8714390770901</v>
      </c>
      <c r="AV8" s="81">
        <v>3749.2611213895502</v>
      </c>
      <c r="AW8" s="81">
        <v>3825.4107898532102</v>
      </c>
      <c r="AX8" s="81">
        <v>3966.3666117592602</v>
      </c>
      <c r="AY8" s="81">
        <v>4097.1206448822104</v>
      </c>
      <c r="AZ8" s="81">
        <v>4121.7278960488802</v>
      </c>
      <c r="BA8" s="81">
        <v>4044.8466698309498</v>
      </c>
      <c r="BB8" s="81">
        <v>3985.2914708897501</v>
      </c>
      <c r="BC8" s="81">
        <v>3967.9099675082498</v>
      </c>
      <c r="BD8" s="81">
        <v>3986.0767416354101</v>
      </c>
      <c r="BE8" s="81">
        <v>4102.3395687801803</v>
      </c>
      <c r="BF8" s="81">
        <v>4260.0772465350001</v>
      </c>
      <c r="BG8" s="81">
        <v>4436.70469911088</v>
      </c>
      <c r="BH8" s="81">
        <v>4506.2938200639401</v>
      </c>
      <c r="BI8" s="81">
        <v>4408.7140915602104</v>
      </c>
      <c r="BJ8" s="81">
        <v>4324.8251162319202</v>
      </c>
      <c r="BK8" s="81">
        <v>4341.13818422441</v>
      </c>
      <c r="BL8" s="81">
        <v>4430.1864871796097</v>
      </c>
      <c r="BM8" s="81">
        <v>4548.9450454571697</v>
      </c>
      <c r="BN8" s="81">
        <v>4629.12224072145</v>
      </c>
      <c r="BO8" s="81">
        <v>4704.0232671788099</v>
      </c>
      <c r="BP8" s="81">
        <v>4773.6733254766395</v>
      </c>
      <c r="BQ8" s="81">
        <v>4800.9904425907598</v>
      </c>
      <c r="BR8" s="81">
        <v>4787.2124501088001</v>
      </c>
      <c r="BS8" s="81">
        <v>4807.8131936168802</v>
      </c>
      <c r="BT8" s="81">
        <v>4872.1219751163298</v>
      </c>
      <c r="BU8" s="81">
        <v>5022.0573656223796</v>
      </c>
      <c r="BV8" s="81">
        <v>5143.5567530631497</v>
      </c>
    </row>
    <row r="9" spans="1:74" ht="17.100000000000001" customHeight="1" x14ac:dyDescent="0.2">
      <c r="A9" s="72" t="s">
        <v>3</v>
      </c>
      <c r="B9" s="81"/>
      <c r="C9" s="81"/>
      <c r="D9" s="81"/>
      <c r="E9" s="81"/>
      <c r="F9" s="81"/>
      <c r="G9" s="81"/>
      <c r="H9" s="81">
        <v>655.16305911088205</v>
      </c>
      <c r="I9" s="81">
        <v>661.51660896006501</v>
      </c>
      <c r="J9" s="81">
        <v>667.30748676642202</v>
      </c>
      <c r="K9" s="81">
        <v>670.65803104206805</v>
      </c>
      <c r="L9" s="81">
        <v>673.35944942414199</v>
      </c>
      <c r="M9" s="81">
        <v>676.13083624987803</v>
      </c>
      <c r="N9" s="81">
        <v>679.16828056941097</v>
      </c>
      <c r="O9" s="81">
        <v>683.89129428109902</v>
      </c>
      <c r="P9" s="81">
        <v>689.20762355792601</v>
      </c>
      <c r="Q9" s="81">
        <v>692.95034640438405</v>
      </c>
      <c r="R9" s="81">
        <v>696.04851333513204</v>
      </c>
      <c r="S9" s="81">
        <v>696.71616282603804</v>
      </c>
      <c r="T9" s="81">
        <v>693.521732439419</v>
      </c>
      <c r="U9" s="81">
        <v>689.80024942361604</v>
      </c>
      <c r="V9" s="81">
        <v>731.42773490803302</v>
      </c>
      <c r="W9" s="81">
        <v>730.63501462496504</v>
      </c>
      <c r="X9" s="81">
        <v>729.95705276449303</v>
      </c>
      <c r="Y9" s="81">
        <v>729.23353965825095</v>
      </c>
      <c r="Z9" s="81">
        <v>728.66494607413699</v>
      </c>
      <c r="AA9" s="81">
        <v>732.87929613134202</v>
      </c>
      <c r="AB9" s="81">
        <v>741.68911484426098</v>
      </c>
      <c r="AC9" s="81">
        <v>750.25012221400402</v>
      </c>
      <c r="AD9" s="81">
        <v>756.19494478662205</v>
      </c>
      <c r="AE9" s="81">
        <v>759.14766282380697</v>
      </c>
      <c r="AF9" s="81">
        <v>760.46117441069998</v>
      </c>
      <c r="AG9" s="81">
        <v>764.71266657566298</v>
      </c>
      <c r="AH9" s="81">
        <v>774.83827908796195</v>
      </c>
      <c r="AI9" s="81">
        <v>788.04641022338603</v>
      </c>
      <c r="AJ9" s="81">
        <v>803.55290859138995</v>
      </c>
      <c r="AK9" s="81">
        <v>820.12361466119296</v>
      </c>
      <c r="AL9" s="81">
        <v>835.87362594700801</v>
      </c>
      <c r="AM9" s="81">
        <v>851.06834581636701</v>
      </c>
      <c r="AN9" s="81">
        <v>866.06441893528802</v>
      </c>
      <c r="AO9" s="81">
        <v>880.37146870154197</v>
      </c>
      <c r="AP9" s="81">
        <v>893.42610197577096</v>
      </c>
      <c r="AQ9" s="81">
        <v>907.940589434142</v>
      </c>
      <c r="AR9" s="81">
        <v>924.62737279404996</v>
      </c>
      <c r="AS9" s="81">
        <v>942.06975946827595</v>
      </c>
      <c r="AT9" s="81">
        <v>959.40165434541495</v>
      </c>
      <c r="AU9" s="81">
        <v>978.33906715854596</v>
      </c>
      <c r="AV9" s="81">
        <v>997.90850829550004</v>
      </c>
      <c r="AW9" s="81">
        <v>1017.30789801002</v>
      </c>
      <c r="AX9" s="81">
        <v>1036.52087961852</v>
      </c>
      <c r="AY9" s="81">
        <v>1054.3328143720801</v>
      </c>
      <c r="AZ9" s="81">
        <v>1072.99547125044</v>
      </c>
      <c r="BA9" s="81">
        <v>1094.29340169118</v>
      </c>
      <c r="BB9" s="81">
        <v>1117.3907501456799</v>
      </c>
      <c r="BC9" s="81">
        <v>1140.73923591434</v>
      </c>
      <c r="BD9" s="81">
        <v>1162.81877441132</v>
      </c>
      <c r="BE9" s="81">
        <v>1184.65300368205</v>
      </c>
      <c r="BF9" s="81">
        <v>1209.14022279388</v>
      </c>
      <c r="BG9" s="81">
        <v>1236.8423298871701</v>
      </c>
      <c r="BH9" s="81">
        <v>1264.5019598168799</v>
      </c>
      <c r="BI9" s="81">
        <v>1289.9771892746401</v>
      </c>
      <c r="BJ9" s="81">
        <v>1313.7806036678501</v>
      </c>
      <c r="BK9" s="81">
        <v>1337.7925619139201</v>
      </c>
      <c r="BL9" s="81">
        <v>1363.9011771287801</v>
      </c>
      <c r="BM9" s="81">
        <v>1392.059299237</v>
      </c>
      <c r="BN9" s="81">
        <v>1421.06041400039</v>
      </c>
      <c r="BO9" s="81">
        <v>1450.1649968726099</v>
      </c>
      <c r="BP9" s="81">
        <v>1480.4359709944299</v>
      </c>
      <c r="BQ9" s="81">
        <v>1512.70878496196</v>
      </c>
      <c r="BR9" s="81">
        <v>1546.8386612998399</v>
      </c>
      <c r="BS9" s="81">
        <v>1581.33999294777</v>
      </c>
      <c r="BT9" s="81">
        <v>1616.3898963663601</v>
      </c>
      <c r="BU9" s="81">
        <v>1652.24148468875</v>
      </c>
      <c r="BV9" s="81">
        <v>1688.34479199157</v>
      </c>
    </row>
    <row r="10" spans="1:74" ht="17.100000000000001" customHeight="1" x14ac:dyDescent="0.2">
      <c r="A10" s="72" t="s">
        <v>4</v>
      </c>
      <c r="B10" s="81"/>
      <c r="C10" s="81"/>
      <c r="D10" s="81"/>
      <c r="E10" s="81"/>
      <c r="F10" s="81"/>
      <c r="G10" s="81"/>
      <c r="H10" s="81">
        <v>3.4506956970985199</v>
      </c>
      <c r="I10" s="81">
        <v>3.5886855114036802</v>
      </c>
      <c r="J10" s="81">
        <v>3.7151302433760498</v>
      </c>
      <c r="K10" s="81">
        <v>3.8084751461266699</v>
      </c>
      <c r="L10" s="81">
        <v>3.8390612928107699</v>
      </c>
      <c r="M10" s="81">
        <v>3.8197042825513901</v>
      </c>
      <c r="N10" s="81">
        <v>3.7409972895927099</v>
      </c>
      <c r="O10" s="81">
        <v>3.55528584919483</v>
      </c>
      <c r="P10" s="81">
        <v>3.3290376812593498</v>
      </c>
      <c r="Q10" s="81">
        <v>3.2094703154481201</v>
      </c>
      <c r="R10" s="81">
        <v>3.2085203949855399</v>
      </c>
      <c r="S10" s="81">
        <v>3.30118537724044</v>
      </c>
      <c r="T10" s="81">
        <v>3.44375295793178</v>
      </c>
      <c r="U10" s="81">
        <v>3.5494031591580701</v>
      </c>
      <c r="V10" s="81">
        <v>3.5776413236254099</v>
      </c>
      <c r="W10" s="81">
        <v>3.5286064936150701</v>
      </c>
      <c r="X10" s="81">
        <v>3.4477972889850399</v>
      </c>
      <c r="Y10" s="81">
        <v>3.4379239217749999</v>
      </c>
      <c r="Z10" s="81">
        <v>3.5482715561926499</v>
      </c>
      <c r="AA10" s="81">
        <v>3.7654221638615502</v>
      </c>
      <c r="AB10" s="81">
        <v>4.0162223050944403</v>
      </c>
      <c r="AC10" s="81">
        <v>4.1855008455737801</v>
      </c>
      <c r="AD10" s="81">
        <v>4.2530732855278304</v>
      </c>
      <c r="AE10" s="81">
        <v>4.1998268062698596</v>
      </c>
      <c r="AF10" s="81">
        <v>4.04490934152492</v>
      </c>
      <c r="AG10" s="81">
        <v>3.91804441317925</v>
      </c>
      <c r="AH10" s="81">
        <v>3.9023920320641201</v>
      </c>
      <c r="AI10" s="81">
        <v>3.9732701509469202</v>
      </c>
      <c r="AJ10" s="81">
        <v>4.0712520845353399</v>
      </c>
      <c r="AK10" s="81">
        <v>4.1118135611421698</v>
      </c>
      <c r="AL10" s="81">
        <v>4.1351423883997303</v>
      </c>
      <c r="AM10" s="81">
        <v>4.1439193599406003</v>
      </c>
      <c r="AN10" s="81">
        <v>4.0947348116383502</v>
      </c>
      <c r="AO10" s="81">
        <v>4.06751789753302</v>
      </c>
      <c r="AP10" s="81">
        <v>4.1530225686543298</v>
      </c>
      <c r="AQ10" s="81">
        <v>4.2270525264036403</v>
      </c>
      <c r="AR10" s="81">
        <v>4.2838408068152596</v>
      </c>
      <c r="AS10" s="81">
        <v>4.4193542828783396</v>
      </c>
      <c r="AT10" s="81">
        <v>4.66132080486455</v>
      </c>
      <c r="AU10" s="81">
        <v>4.9044470153917796</v>
      </c>
      <c r="AV10" s="81">
        <v>4.9407597645479902</v>
      </c>
      <c r="AW10" s="81">
        <v>4.6176716698020197</v>
      </c>
      <c r="AX10" s="81">
        <v>4.25482992038076</v>
      </c>
      <c r="AY10" s="81">
        <v>4.2694149953536602</v>
      </c>
      <c r="AZ10" s="81">
        <v>4.5823727272571402</v>
      </c>
      <c r="BA10" s="81">
        <v>4.9258053379809299</v>
      </c>
      <c r="BB10" s="81">
        <v>5.0915191624624301</v>
      </c>
      <c r="BC10" s="81">
        <v>5.0522731615125203</v>
      </c>
      <c r="BD10" s="81">
        <v>4.9627194075076</v>
      </c>
      <c r="BE10" s="81">
        <v>5.0109739371733104</v>
      </c>
      <c r="BF10" s="81">
        <v>5.1075298025345202</v>
      </c>
      <c r="BG10" s="81">
        <v>5.14562966354843</v>
      </c>
      <c r="BH10" s="81">
        <v>5.1515665533250798</v>
      </c>
      <c r="BI10" s="81">
        <v>5.1774232606643302</v>
      </c>
      <c r="BJ10" s="81">
        <v>5.1890070844546301</v>
      </c>
      <c r="BK10" s="81">
        <v>5.2408322383678003</v>
      </c>
      <c r="BL10" s="81">
        <v>5.4168408741270202</v>
      </c>
      <c r="BM10" s="81">
        <v>5.5508808531223597</v>
      </c>
      <c r="BN10" s="81">
        <v>5.5984656114720099</v>
      </c>
      <c r="BO10" s="81">
        <v>5.6552930823836904</v>
      </c>
      <c r="BP10" s="81">
        <v>5.6219294337174803</v>
      </c>
      <c r="BQ10" s="81">
        <v>5.5025279141622896</v>
      </c>
      <c r="BR10" s="81">
        <v>5.3821277895335404</v>
      </c>
      <c r="BS10" s="81">
        <v>5.1795702760112601</v>
      </c>
      <c r="BT10" s="81">
        <v>5.0901973664254996</v>
      </c>
      <c r="BU10" s="81">
        <v>5.4566371781019001</v>
      </c>
      <c r="BV10" s="81">
        <v>5.9963833067785197</v>
      </c>
    </row>
    <row r="11" spans="1:74" ht="17.100000000000001" customHeight="1" x14ac:dyDescent="0.2">
      <c r="A11" s="72" t="s">
        <v>5</v>
      </c>
      <c r="B11" s="81"/>
      <c r="C11" s="81"/>
      <c r="D11" s="81"/>
      <c r="E11" s="81"/>
      <c r="F11" s="81"/>
      <c r="G11" s="81"/>
      <c r="H11" s="81">
        <v>668.39346604293303</v>
      </c>
      <c r="I11" s="81">
        <v>641.84602128779898</v>
      </c>
      <c r="J11" s="81">
        <v>716.383000236253</v>
      </c>
      <c r="K11" s="81">
        <v>795.47713619383603</v>
      </c>
      <c r="L11" s="81">
        <v>797.05649781140505</v>
      </c>
      <c r="M11" s="81">
        <v>785.37546119335605</v>
      </c>
      <c r="N11" s="81">
        <v>777.32762843327896</v>
      </c>
      <c r="O11" s="81">
        <v>773.65614464475004</v>
      </c>
      <c r="P11" s="81">
        <v>808.65786353597002</v>
      </c>
      <c r="Q11" s="81">
        <v>811.87447735492401</v>
      </c>
      <c r="R11" s="81">
        <v>770.77495344425995</v>
      </c>
      <c r="S11" s="81">
        <v>761.27590427299299</v>
      </c>
      <c r="T11" s="81">
        <v>838.91049730918405</v>
      </c>
      <c r="U11" s="81">
        <v>926.68524614596799</v>
      </c>
      <c r="V11" s="81">
        <v>923.51770127231396</v>
      </c>
      <c r="W11" s="81">
        <v>863.91490267568599</v>
      </c>
      <c r="X11" s="81">
        <v>892.71434914889301</v>
      </c>
      <c r="Y11" s="81">
        <v>924.83976282928199</v>
      </c>
      <c r="Z11" s="81">
        <v>894.74904445156199</v>
      </c>
      <c r="AA11" s="81">
        <v>908.44377562057502</v>
      </c>
      <c r="AB11" s="81">
        <v>922.48332507739099</v>
      </c>
      <c r="AC11" s="81">
        <v>896.32164424896496</v>
      </c>
      <c r="AD11" s="81">
        <v>910.00358327049605</v>
      </c>
      <c r="AE11" s="81">
        <v>930.19497451559096</v>
      </c>
      <c r="AF11" s="81">
        <v>921.33380510041502</v>
      </c>
      <c r="AG11" s="81">
        <v>957.35413218013503</v>
      </c>
      <c r="AH11" s="81">
        <v>999.30309055691498</v>
      </c>
      <c r="AI11" s="81">
        <v>993.53502547660401</v>
      </c>
      <c r="AJ11" s="81">
        <v>979.00184106861502</v>
      </c>
      <c r="AK11" s="81">
        <v>987.02253178645196</v>
      </c>
      <c r="AL11" s="81">
        <v>1003.79183787861</v>
      </c>
      <c r="AM11" s="81">
        <v>1020.16790612425</v>
      </c>
      <c r="AN11" s="81">
        <v>1015.50573966911</v>
      </c>
      <c r="AO11" s="81">
        <v>1013.80036793669</v>
      </c>
      <c r="AP11" s="81">
        <v>1036.07269753232</v>
      </c>
      <c r="AQ11" s="81">
        <v>1061.9364199567699</v>
      </c>
      <c r="AR11" s="81">
        <v>1067.4415788922799</v>
      </c>
      <c r="AS11" s="81">
        <v>1060.6082578012599</v>
      </c>
      <c r="AT11" s="81">
        <v>1066.27400493141</v>
      </c>
      <c r="AU11" s="81">
        <v>1088.2002830139199</v>
      </c>
      <c r="AV11" s="81">
        <v>1114.5907528872799</v>
      </c>
      <c r="AW11" s="81">
        <v>1118.1646253793101</v>
      </c>
      <c r="AX11" s="81">
        <v>1102.0123671981</v>
      </c>
      <c r="AY11" s="81">
        <v>1087.21060702249</v>
      </c>
      <c r="AZ11" s="81">
        <v>1110.4069064851001</v>
      </c>
      <c r="BA11" s="81">
        <v>1146.5038981364701</v>
      </c>
      <c r="BB11" s="81">
        <v>1156.3604757697001</v>
      </c>
      <c r="BC11" s="81">
        <v>1142.79052160831</v>
      </c>
      <c r="BD11" s="81">
        <v>1133.8327697271</v>
      </c>
      <c r="BE11" s="81">
        <v>1158.3466961332599</v>
      </c>
      <c r="BF11" s="81">
        <v>1198.98833921307</v>
      </c>
      <c r="BG11" s="81">
        <v>1205.61287385116</v>
      </c>
      <c r="BH11" s="81">
        <v>1182.42379724427</v>
      </c>
      <c r="BI11" s="81">
        <v>1200.4907283068501</v>
      </c>
      <c r="BJ11" s="81">
        <v>1232.3984878470701</v>
      </c>
      <c r="BK11" s="81">
        <v>1241.4318610246501</v>
      </c>
      <c r="BL11" s="81">
        <v>1228.9069137383699</v>
      </c>
      <c r="BM11" s="81">
        <v>1228.53935917627</v>
      </c>
      <c r="BN11" s="81">
        <v>1244.6689179600401</v>
      </c>
      <c r="BO11" s="81">
        <v>1270.17274770261</v>
      </c>
      <c r="BP11" s="81">
        <v>1279.7037571484</v>
      </c>
      <c r="BQ11" s="81">
        <v>1275.8331471392301</v>
      </c>
      <c r="BR11" s="81">
        <v>1284.45057284673</v>
      </c>
      <c r="BS11" s="81">
        <v>1333.57910928</v>
      </c>
      <c r="BT11" s="81">
        <v>1393.9766777423199</v>
      </c>
      <c r="BU11" s="81">
        <v>1353.6924272021199</v>
      </c>
      <c r="BV11" s="81">
        <v>1250.33408595539</v>
      </c>
    </row>
    <row r="12" spans="1:74" s="115" customFormat="1" ht="17.100000000000001" customHeight="1" x14ac:dyDescent="0.2">
      <c r="A12" s="72" t="s">
        <v>6</v>
      </c>
      <c r="B12" s="114"/>
      <c r="C12" s="114"/>
      <c r="D12" s="81"/>
      <c r="E12" s="81"/>
      <c r="F12" s="81"/>
      <c r="G12" s="81"/>
      <c r="H12" s="81">
        <v>562.25682846119105</v>
      </c>
      <c r="I12" s="81">
        <v>560.68735724712701</v>
      </c>
      <c r="J12" s="81">
        <v>559.07401401164202</v>
      </c>
      <c r="K12" s="81">
        <v>559.39794883935599</v>
      </c>
      <c r="L12" s="81">
        <v>557.45910057343997</v>
      </c>
      <c r="M12" s="81">
        <v>556.82671626786396</v>
      </c>
      <c r="N12" s="81">
        <v>560.91240100833704</v>
      </c>
      <c r="O12" s="81">
        <v>559.35264285873404</v>
      </c>
      <c r="P12" s="81">
        <v>554.59867984033099</v>
      </c>
      <c r="Q12" s="81">
        <v>558.57088384782799</v>
      </c>
      <c r="R12" s="81">
        <v>568.35301799064803</v>
      </c>
      <c r="S12" s="81">
        <v>575.82928100292804</v>
      </c>
      <c r="T12" s="81">
        <v>583.32243872492404</v>
      </c>
      <c r="U12" s="81">
        <v>588.39564687504696</v>
      </c>
      <c r="V12" s="81">
        <v>579.59457591820001</v>
      </c>
      <c r="W12" s="81">
        <v>569.65283389490799</v>
      </c>
      <c r="X12" s="81">
        <v>564.24433379595905</v>
      </c>
      <c r="Y12" s="81">
        <v>559.85481675139397</v>
      </c>
      <c r="Z12" s="81">
        <v>552.13050223670098</v>
      </c>
      <c r="AA12" s="81">
        <v>547.60030309028798</v>
      </c>
      <c r="AB12" s="81">
        <v>553.32247178763703</v>
      </c>
      <c r="AC12" s="81">
        <v>561.00707762764205</v>
      </c>
      <c r="AD12" s="81">
        <v>566.50727469893502</v>
      </c>
      <c r="AE12" s="81">
        <v>579.50650189451198</v>
      </c>
      <c r="AF12" s="81">
        <v>588.23471864570001</v>
      </c>
      <c r="AG12" s="81">
        <v>590.566040158394</v>
      </c>
      <c r="AH12" s="81">
        <v>593.47165330380994</v>
      </c>
      <c r="AI12" s="81">
        <v>587.63624094393003</v>
      </c>
      <c r="AJ12" s="81">
        <v>576.13080410642499</v>
      </c>
      <c r="AK12" s="81">
        <v>566.89614235285501</v>
      </c>
      <c r="AL12" s="81">
        <v>542.60509195727798</v>
      </c>
      <c r="AM12" s="81">
        <v>493.012509024542</v>
      </c>
      <c r="AN12" s="81">
        <v>437.49407607560403</v>
      </c>
      <c r="AO12" s="81">
        <v>389.76066377223299</v>
      </c>
      <c r="AP12" s="81">
        <v>383.33604101971099</v>
      </c>
      <c r="AQ12" s="81">
        <v>425.37377001073202</v>
      </c>
      <c r="AR12" s="81">
        <v>489.48195856113699</v>
      </c>
      <c r="AS12" s="81">
        <v>554.05820844836899</v>
      </c>
      <c r="AT12" s="81">
        <v>605.555048674359</v>
      </c>
      <c r="AU12" s="81">
        <v>625.64115260637595</v>
      </c>
      <c r="AV12" s="81">
        <v>613.54134429640806</v>
      </c>
      <c r="AW12" s="81">
        <v>583.98844307552702</v>
      </c>
      <c r="AX12" s="81">
        <v>546.80110906103403</v>
      </c>
      <c r="AY12" s="81">
        <v>533.14292616524097</v>
      </c>
      <c r="AZ12" s="81">
        <v>539.55895426679297</v>
      </c>
      <c r="BA12" s="81">
        <v>527.98598662828704</v>
      </c>
      <c r="BB12" s="81">
        <v>493.69053756860598</v>
      </c>
      <c r="BC12" s="81">
        <v>480.50779092151498</v>
      </c>
      <c r="BD12" s="81">
        <v>492.60914706886399</v>
      </c>
      <c r="BE12" s="81">
        <v>494.49335314512001</v>
      </c>
      <c r="BF12" s="81">
        <v>490.98872776261402</v>
      </c>
      <c r="BG12" s="81">
        <v>521.14242207415498</v>
      </c>
      <c r="BH12" s="81">
        <v>570.99844083072105</v>
      </c>
      <c r="BI12" s="81">
        <v>584.78303438693194</v>
      </c>
      <c r="BJ12" s="81">
        <v>550.39072552796995</v>
      </c>
      <c r="BK12" s="81">
        <v>492.27868900616602</v>
      </c>
      <c r="BL12" s="81">
        <v>463.94886683955502</v>
      </c>
      <c r="BM12" s="81">
        <v>495.82891533090998</v>
      </c>
      <c r="BN12" s="81">
        <v>551.00448783263005</v>
      </c>
      <c r="BO12" s="81">
        <v>569.70513417907796</v>
      </c>
      <c r="BP12" s="81">
        <v>568.78835630968103</v>
      </c>
      <c r="BQ12" s="81">
        <v>586.87153946826299</v>
      </c>
      <c r="BR12" s="81">
        <v>611.46797406890096</v>
      </c>
      <c r="BS12" s="81">
        <v>607.07146425804103</v>
      </c>
      <c r="BT12" s="81">
        <v>599.59971050463105</v>
      </c>
      <c r="BU12" s="81">
        <v>642.82523965090502</v>
      </c>
      <c r="BV12" s="81">
        <v>709.41402900463697</v>
      </c>
    </row>
    <row r="13" spans="1:74" s="163" customFormat="1" ht="17.100000000000001" customHeight="1" x14ac:dyDescent="0.2">
      <c r="A13" s="160" t="s">
        <v>93</v>
      </c>
      <c r="B13" s="161"/>
      <c r="C13" s="161"/>
      <c r="D13" s="161"/>
      <c r="E13" s="161"/>
      <c r="F13" s="161"/>
      <c r="G13" s="161"/>
      <c r="H13" s="161">
        <v>4762.3993366594304</v>
      </c>
      <c r="I13" s="161">
        <v>4887.7175643585688</v>
      </c>
      <c r="J13" s="161">
        <v>4991.0453405539884</v>
      </c>
      <c r="K13" s="161">
        <v>5106.859260661392</v>
      </c>
      <c r="L13" s="161">
        <v>5235.9301041969729</v>
      </c>
      <c r="M13" s="161">
        <v>5426.4245012784504</v>
      </c>
      <c r="N13" s="161">
        <v>5512.3883268496156</v>
      </c>
      <c r="O13" s="161">
        <v>5492.2460917481667</v>
      </c>
      <c r="P13" s="161">
        <v>5449.0901475401824</v>
      </c>
      <c r="Q13" s="161">
        <v>5507.1917199238478</v>
      </c>
      <c r="R13" s="161">
        <v>5660.1332685756151</v>
      </c>
      <c r="S13" s="161">
        <v>5728.8985964176081</v>
      </c>
      <c r="T13" s="161">
        <v>5721.9390313723889</v>
      </c>
      <c r="U13" s="161">
        <v>5682.2285590605679</v>
      </c>
      <c r="V13" s="161">
        <v>5604.6388447318541</v>
      </c>
      <c r="W13" s="161">
        <v>5559.1196390641071</v>
      </c>
      <c r="X13" s="161">
        <v>5569.6320709801976</v>
      </c>
      <c r="Y13" s="161">
        <v>5692.5130792949212</v>
      </c>
      <c r="Z13" s="161">
        <v>5967.2325083051319</v>
      </c>
      <c r="AA13" s="161">
        <v>6174.2871547485247</v>
      </c>
      <c r="AB13" s="161">
        <v>6236.1076404108335</v>
      </c>
      <c r="AC13" s="161">
        <v>6289.1734095478487</v>
      </c>
      <c r="AD13" s="161">
        <v>6478.9444304384406</v>
      </c>
      <c r="AE13" s="161">
        <v>6711.3413074910159</v>
      </c>
      <c r="AF13" s="161">
        <v>6848.7887171396815</v>
      </c>
      <c r="AG13" s="161">
        <v>6738.7809800765417</v>
      </c>
      <c r="AH13" s="161">
        <v>6531.7342754175588</v>
      </c>
      <c r="AI13" s="161">
        <v>6537.7426547998612</v>
      </c>
      <c r="AJ13" s="161">
        <v>6789.8415623087258</v>
      </c>
      <c r="AK13" s="161">
        <v>7076.0826253265786</v>
      </c>
      <c r="AL13" s="161">
        <v>7201.3268205828454</v>
      </c>
      <c r="AM13" s="161">
        <v>7181.2306014886235</v>
      </c>
      <c r="AN13" s="161">
        <v>7144.0098292272241</v>
      </c>
      <c r="AO13" s="161">
        <v>7255.6217753226319</v>
      </c>
      <c r="AP13" s="161">
        <v>7492.5928277202302</v>
      </c>
      <c r="AQ13" s="161">
        <v>7706.2397889010081</v>
      </c>
      <c r="AR13" s="161">
        <v>7813.5987326506838</v>
      </c>
      <c r="AS13" s="161">
        <v>7981.0772532438787</v>
      </c>
      <c r="AT13" s="161">
        <v>8181.5539625552574</v>
      </c>
      <c r="AU13" s="161">
        <v>8353.3749008840896</v>
      </c>
      <c r="AV13" s="161">
        <v>8582.9899384729542</v>
      </c>
      <c r="AW13" s="161">
        <v>8706.927558093068</v>
      </c>
      <c r="AX13" s="161">
        <v>8615.8885882578306</v>
      </c>
      <c r="AY13" s="161">
        <v>8575.2458360246383</v>
      </c>
      <c r="AZ13" s="161">
        <v>8647.4597814953268</v>
      </c>
      <c r="BA13" s="161">
        <v>8692.9232776848767</v>
      </c>
      <c r="BB13" s="161">
        <v>8728.6795230284642</v>
      </c>
      <c r="BC13" s="161">
        <v>8730.452289319941</v>
      </c>
      <c r="BD13" s="161">
        <v>8904.2464551913308</v>
      </c>
      <c r="BE13" s="161">
        <v>9201.8962498621186</v>
      </c>
      <c r="BF13" s="161">
        <v>9359.0754699286936</v>
      </c>
      <c r="BG13" s="161">
        <v>9313.5985799450591</v>
      </c>
      <c r="BH13" s="161">
        <v>9253.2017875850324</v>
      </c>
      <c r="BI13" s="161">
        <v>9209.0996134498273</v>
      </c>
      <c r="BJ13" s="161">
        <v>9459.2939937748197</v>
      </c>
      <c r="BK13" s="161">
        <v>9815.7914424506071</v>
      </c>
      <c r="BL13" s="161">
        <v>9862.9133814511406</v>
      </c>
      <c r="BM13" s="161">
        <v>9801.110308872132</v>
      </c>
      <c r="BN13" s="161">
        <v>9971.7822718592452</v>
      </c>
      <c r="BO13" s="161">
        <v>10274.475254982066</v>
      </c>
      <c r="BP13" s="161">
        <v>10441.687661755985</v>
      </c>
      <c r="BQ13" s="161">
        <v>10556.827017777492</v>
      </c>
      <c r="BR13" s="161">
        <v>10626.762458731599</v>
      </c>
      <c r="BS13" s="161">
        <v>10832.182532881205</v>
      </c>
      <c r="BT13" s="161">
        <v>11262.805981345595</v>
      </c>
      <c r="BU13" s="161">
        <v>11552.607488386588</v>
      </c>
      <c r="BV13" s="161">
        <v>11582.379886314662</v>
      </c>
    </row>
    <row r="14" spans="1:74" ht="17.100000000000001" customHeight="1" x14ac:dyDescent="0.2">
      <c r="A14" s="72" t="s">
        <v>8</v>
      </c>
      <c r="B14" s="81"/>
      <c r="C14" s="81"/>
      <c r="D14" s="81"/>
      <c r="E14" s="81"/>
      <c r="F14" s="81"/>
      <c r="G14" s="81"/>
      <c r="H14" s="81">
        <v>94.815622840501206</v>
      </c>
      <c r="I14" s="81">
        <v>115.91256264318299</v>
      </c>
      <c r="J14" s="81">
        <v>137.65182939861899</v>
      </c>
      <c r="K14" s="81">
        <v>162.555548775152</v>
      </c>
      <c r="L14" s="81">
        <v>199.07722843880501</v>
      </c>
      <c r="M14" s="81">
        <v>211.30012379607999</v>
      </c>
      <c r="N14" s="81">
        <v>171.504780013388</v>
      </c>
      <c r="O14" s="81">
        <v>116.89774345118001</v>
      </c>
      <c r="P14" s="81">
        <v>89.844284293667798</v>
      </c>
      <c r="Q14" s="81">
        <v>110.007744649282</v>
      </c>
      <c r="R14" s="81">
        <v>177.652256535432</v>
      </c>
      <c r="S14" s="81">
        <v>241.20123386657701</v>
      </c>
      <c r="T14" s="81">
        <v>232.37139126575201</v>
      </c>
      <c r="U14" s="81">
        <v>184.97124743823301</v>
      </c>
      <c r="V14" s="81">
        <v>157.36177593595701</v>
      </c>
      <c r="W14" s="81">
        <v>156.65879680171199</v>
      </c>
      <c r="X14" s="81">
        <v>161.72899718703599</v>
      </c>
      <c r="Y14" s="81">
        <v>176.98852747449001</v>
      </c>
      <c r="Z14" s="81">
        <v>197.01709964531801</v>
      </c>
      <c r="AA14" s="81">
        <v>197.32555045257499</v>
      </c>
      <c r="AB14" s="81">
        <v>191.14891063322901</v>
      </c>
      <c r="AC14" s="81">
        <v>211.824380754206</v>
      </c>
      <c r="AD14" s="81">
        <v>241.08495925688001</v>
      </c>
      <c r="AE14" s="81">
        <v>259.84412315443097</v>
      </c>
      <c r="AF14" s="81">
        <v>280.87988436465599</v>
      </c>
      <c r="AG14" s="81">
        <v>275.320807035435</v>
      </c>
      <c r="AH14" s="81">
        <v>237.298003698374</v>
      </c>
      <c r="AI14" s="81">
        <v>229.301142582186</v>
      </c>
      <c r="AJ14" s="81">
        <v>281.36282476135301</v>
      </c>
      <c r="AK14" s="81">
        <v>330.7537048122</v>
      </c>
      <c r="AL14" s="81">
        <v>357.75360544161703</v>
      </c>
      <c r="AM14" s="81">
        <v>354.85082429988603</v>
      </c>
      <c r="AN14" s="81">
        <v>315.40911528676401</v>
      </c>
      <c r="AO14" s="81">
        <v>278.00910315467303</v>
      </c>
      <c r="AP14" s="81">
        <v>318.108221197756</v>
      </c>
      <c r="AQ14" s="81">
        <v>377.92379039434599</v>
      </c>
      <c r="AR14" s="81">
        <v>363.86860949017199</v>
      </c>
      <c r="AS14" s="81">
        <v>357.148184904657</v>
      </c>
      <c r="AT14" s="81">
        <v>386.57046011504298</v>
      </c>
      <c r="AU14" s="81">
        <v>402.01298873943699</v>
      </c>
      <c r="AV14" s="81">
        <v>435.34832198022502</v>
      </c>
      <c r="AW14" s="81">
        <v>509.304865842825</v>
      </c>
      <c r="AX14" s="81">
        <v>498.87175378148601</v>
      </c>
      <c r="AY14" s="81">
        <v>502.33797094409402</v>
      </c>
      <c r="AZ14" s="81">
        <v>544.52188057542401</v>
      </c>
      <c r="BA14" s="81">
        <v>518.77676019148601</v>
      </c>
      <c r="BB14" s="81">
        <v>418.82089390445702</v>
      </c>
      <c r="BC14" s="81">
        <v>353.93128865028501</v>
      </c>
      <c r="BD14" s="81">
        <v>436.68390541052503</v>
      </c>
      <c r="BE14" s="81">
        <v>595.26649928783797</v>
      </c>
      <c r="BF14" s="81">
        <v>692.28140781378795</v>
      </c>
      <c r="BG14" s="81">
        <v>627.35238989099696</v>
      </c>
      <c r="BH14" s="81">
        <v>466.51473107200599</v>
      </c>
      <c r="BI14" s="81">
        <v>350.16491509935702</v>
      </c>
      <c r="BJ14" s="81">
        <v>606.133246872727</v>
      </c>
      <c r="BK14" s="81">
        <v>921.51437872078805</v>
      </c>
      <c r="BL14" s="81">
        <v>900.57401077332804</v>
      </c>
      <c r="BM14" s="81">
        <v>677.628168620216</v>
      </c>
      <c r="BN14" s="81">
        <v>543.64363189451001</v>
      </c>
      <c r="BO14" s="81">
        <v>557.04864997861398</v>
      </c>
      <c r="BP14" s="81">
        <v>674.37601737933903</v>
      </c>
      <c r="BQ14" s="81">
        <v>727.10821809224001</v>
      </c>
      <c r="BR14" s="81">
        <v>554.79455016598399</v>
      </c>
      <c r="BS14" s="81">
        <v>465.78713388145798</v>
      </c>
      <c r="BT14" s="81">
        <v>654.39607037214296</v>
      </c>
      <c r="BU14" s="81">
        <v>808.19765989770599</v>
      </c>
      <c r="BV14" s="81">
        <v>776.50105910902596</v>
      </c>
    </row>
    <row r="15" spans="1:74" ht="17.100000000000001" customHeight="1" x14ac:dyDescent="0.2">
      <c r="A15" s="42" t="s">
        <v>9</v>
      </c>
      <c r="B15" s="81"/>
      <c r="C15" s="81"/>
      <c r="D15" s="81"/>
      <c r="E15" s="81"/>
      <c r="F15" s="81"/>
      <c r="G15" s="81"/>
      <c r="H15" s="81">
        <v>3138.97805643942</v>
      </c>
      <c r="I15" s="81">
        <v>3210.9953700678998</v>
      </c>
      <c r="J15" s="81">
        <v>3343.1872886128699</v>
      </c>
      <c r="K15" s="81">
        <v>3443.3704237126999</v>
      </c>
      <c r="L15" s="81">
        <v>3498.0922418384098</v>
      </c>
      <c r="M15" s="81">
        <v>3545.32211814012</v>
      </c>
      <c r="N15" s="81">
        <v>3532.7604508232498</v>
      </c>
      <c r="O15" s="81">
        <v>3546.0575291723899</v>
      </c>
      <c r="P15" s="81">
        <v>3601.8751872071298</v>
      </c>
      <c r="Q15" s="81">
        <v>3663.63777199269</v>
      </c>
      <c r="R15" s="81">
        <v>3661.5020031950999</v>
      </c>
      <c r="S15" s="81">
        <v>3604.3152064502301</v>
      </c>
      <c r="T15" s="81">
        <v>3549.98023236572</v>
      </c>
      <c r="U15" s="81">
        <v>3536.8019105640801</v>
      </c>
      <c r="V15" s="81">
        <v>3543.1540348946301</v>
      </c>
      <c r="W15" s="81">
        <v>3521.2235423137899</v>
      </c>
      <c r="X15" s="81">
        <v>3466.09974119864</v>
      </c>
      <c r="Y15" s="81">
        <v>3493.0104159789798</v>
      </c>
      <c r="Z15" s="81">
        <v>3684.8630098434701</v>
      </c>
      <c r="AA15" s="81">
        <v>3859.8008213428502</v>
      </c>
      <c r="AB15" s="81">
        <v>3930.19704277763</v>
      </c>
      <c r="AC15" s="81">
        <v>3971.2154196552401</v>
      </c>
      <c r="AD15" s="81">
        <v>4081.0683027433302</v>
      </c>
      <c r="AE15" s="81">
        <v>4229.18383860206</v>
      </c>
      <c r="AF15" s="81">
        <v>4307.2598527753698</v>
      </c>
      <c r="AG15" s="81">
        <v>4179.6832606510497</v>
      </c>
      <c r="AH15" s="81">
        <v>3977.8127345572698</v>
      </c>
      <c r="AI15" s="81">
        <v>3937.75335506905</v>
      </c>
      <c r="AJ15" s="81">
        <v>4043.74861622548</v>
      </c>
      <c r="AK15" s="81">
        <v>4209.3468939916502</v>
      </c>
      <c r="AL15" s="81">
        <v>4310.1350645592102</v>
      </c>
      <c r="AM15" s="81">
        <v>4297.9324027168304</v>
      </c>
      <c r="AN15" s="81">
        <v>4266.5101133312201</v>
      </c>
      <c r="AO15" s="81">
        <v>4346.7702784132198</v>
      </c>
      <c r="AP15" s="81">
        <v>4459.7576093357202</v>
      </c>
      <c r="AQ15" s="81">
        <v>4539.1636565495201</v>
      </c>
      <c r="AR15" s="81">
        <v>4602.7993485616798</v>
      </c>
      <c r="AS15" s="81">
        <v>4709.6318100283397</v>
      </c>
      <c r="AT15" s="81">
        <v>4803.1728778901597</v>
      </c>
      <c r="AU15" s="81">
        <v>4915.0064270298099</v>
      </c>
      <c r="AV15" s="81">
        <v>5080.3481566925402</v>
      </c>
      <c r="AW15" s="81">
        <v>5089.54919248638</v>
      </c>
      <c r="AX15" s="81">
        <v>4980.4550531661598</v>
      </c>
      <c r="AY15" s="81">
        <v>4933.8950610044303</v>
      </c>
      <c r="AZ15" s="81">
        <v>4911.76202071435</v>
      </c>
      <c r="BA15" s="81">
        <v>4873.84980792022</v>
      </c>
      <c r="BB15" s="81">
        <v>4917.4175847522301</v>
      </c>
      <c r="BC15" s="81">
        <v>4931.6995241225904</v>
      </c>
      <c r="BD15" s="81">
        <v>4994.6339365311496</v>
      </c>
      <c r="BE15" s="81">
        <v>5171.6305740748603</v>
      </c>
      <c r="BF15" s="81">
        <v>5311.2125880537396</v>
      </c>
      <c r="BG15" s="81">
        <v>5298.2959507424102</v>
      </c>
      <c r="BH15" s="81">
        <v>5286.7649912981597</v>
      </c>
      <c r="BI15" s="81">
        <v>5294.9489968235703</v>
      </c>
      <c r="BJ15" s="81">
        <v>5250.8843187039001</v>
      </c>
      <c r="BK15" s="81">
        <v>5240.2743816984103</v>
      </c>
      <c r="BL15" s="81">
        <v>5274.6832945342503</v>
      </c>
      <c r="BM15" s="81">
        <v>5350.0237613368799</v>
      </c>
      <c r="BN15" s="81">
        <v>5519.7810256694702</v>
      </c>
      <c r="BO15" s="81">
        <v>5741.7580598463201</v>
      </c>
      <c r="BP15" s="81">
        <v>5775.0764424313202</v>
      </c>
      <c r="BQ15" s="81">
        <v>5739.2119756361799</v>
      </c>
      <c r="BR15" s="81">
        <v>5802.41797715352</v>
      </c>
      <c r="BS15" s="81">
        <v>5946.2378942648402</v>
      </c>
      <c r="BT15" s="81">
        <v>6090.1296876905999</v>
      </c>
      <c r="BU15" s="81">
        <v>6156.4661889049603</v>
      </c>
      <c r="BV15" s="81">
        <v>6150.7808375705599</v>
      </c>
    </row>
    <row r="16" spans="1:74" ht="17.100000000000001" customHeight="1" x14ac:dyDescent="0.2">
      <c r="A16" s="42" t="s">
        <v>10</v>
      </c>
      <c r="B16" s="81"/>
      <c r="C16" s="81"/>
      <c r="D16" s="81"/>
      <c r="E16" s="81"/>
      <c r="F16" s="81"/>
      <c r="G16" s="81"/>
      <c r="H16" s="81">
        <v>207.37061699988101</v>
      </c>
      <c r="I16" s="81">
        <v>212.256133410031</v>
      </c>
      <c r="J16" s="81">
        <v>218.36756552435401</v>
      </c>
      <c r="K16" s="81">
        <v>225.79989098244101</v>
      </c>
      <c r="L16" s="81">
        <v>233.13382192191</v>
      </c>
      <c r="M16" s="81">
        <v>238.48089286317</v>
      </c>
      <c r="N16" s="81">
        <v>240.625277971944</v>
      </c>
      <c r="O16" s="81">
        <v>239.00267298633599</v>
      </c>
      <c r="P16" s="81">
        <v>235.44775056381499</v>
      </c>
      <c r="Q16" s="81">
        <v>232.52650098732201</v>
      </c>
      <c r="R16" s="81">
        <v>275.95578263064402</v>
      </c>
      <c r="S16" s="81">
        <v>277.39465385377702</v>
      </c>
      <c r="T16" s="81">
        <v>281.62171619471599</v>
      </c>
      <c r="U16" s="81">
        <v>287.81701835599603</v>
      </c>
      <c r="V16" s="81">
        <v>273.96073386478997</v>
      </c>
      <c r="W16" s="81">
        <v>278.69875192677</v>
      </c>
      <c r="X16" s="81">
        <v>281.31257114185303</v>
      </c>
      <c r="Y16" s="81">
        <v>283.43302831741801</v>
      </c>
      <c r="Z16" s="81">
        <v>288.39208856896897</v>
      </c>
      <c r="AA16" s="81">
        <v>295.76066839168197</v>
      </c>
      <c r="AB16" s="81">
        <v>300.86528554689397</v>
      </c>
      <c r="AC16" s="81">
        <v>302.26061156520802</v>
      </c>
      <c r="AD16" s="81">
        <v>302.07010296260302</v>
      </c>
      <c r="AE16" s="81">
        <v>304.02281727777302</v>
      </c>
      <c r="AF16" s="81">
        <v>307.94878614208898</v>
      </c>
      <c r="AG16" s="81">
        <v>311.29309929047503</v>
      </c>
      <c r="AH16" s="81">
        <v>314.96116692853099</v>
      </c>
      <c r="AI16" s="81">
        <v>321.07406212720701</v>
      </c>
      <c r="AJ16" s="81">
        <v>329.43027176343702</v>
      </c>
      <c r="AK16" s="81">
        <v>340.19539973833099</v>
      </c>
      <c r="AL16" s="81">
        <v>351.74256960989902</v>
      </c>
      <c r="AM16" s="81">
        <v>359.08009016787099</v>
      </c>
      <c r="AN16" s="81">
        <v>363.63062137526998</v>
      </c>
      <c r="AO16" s="81">
        <v>365.99967510169103</v>
      </c>
      <c r="AP16" s="81">
        <v>363.84675576611198</v>
      </c>
      <c r="AQ16" s="81">
        <v>361.29371752931502</v>
      </c>
      <c r="AR16" s="81">
        <v>362.07394378168601</v>
      </c>
      <c r="AS16" s="81">
        <v>365.277573228248</v>
      </c>
      <c r="AT16" s="81">
        <v>373.00395612150498</v>
      </c>
      <c r="AU16" s="81">
        <v>389.36615060709897</v>
      </c>
      <c r="AV16" s="81">
        <v>407.54303859326598</v>
      </c>
      <c r="AW16" s="81">
        <v>422.75897136523599</v>
      </c>
      <c r="AX16" s="81">
        <v>433.86524593459302</v>
      </c>
      <c r="AY16" s="81">
        <v>440.84361451614598</v>
      </c>
      <c r="AZ16" s="81">
        <v>447.89498350997098</v>
      </c>
      <c r="BA16" s="81">
        <v>458.20185907662801</v>
      </c>
      <c r="BB16" s="81">
        <v>468.016828646276</v>
      </c>
      <c r="BC16" s="81">
        <v>471.52847579898298</v>
      </c>
      <c r="BD16" s="81">
        <v>471.67112134942698</v>
      </c>
      <c r="BE16" s="81">
        <v>473.118811548152</v>
      </c>
      <c r="BF16" s="81">
        <v>477.38085249289099</v>
      </c>
      <c r="BG16" s="81">
        <v>483.92861933392999</v>
      </c>
      <c r="BH16" s="81">
        <v>496.51591167558701</v>
      </c>
      <c r="BI16" s="81">
        <v>509.99237664602998</v>
      </c>
      <c r="BJ16" s="81">
        <v>521.68384201144704</v>
      </c>
      <c r="BK16" s="81">
        <v>535.80729706535601</v>
      </c>
      <c r="BL16" s="81">
        <v>548.84219642879998</v>
      </c>
      <c r="BM16" s="81">
        <v>557.15914272074997</v>
      </c>
      <c r="BN16" s="81">
        <v>563.657457987724</v>
      </c>
      <c r="BO16" s="81">
        <v>573.52855078309096</v>
      </c>
      <c r="BP16" s="81">
        <v>589.62637927806395</v>
      </c>
      <c r="BQ16" s="81">
        <v>613.93779321747604</v>
      </c>
      <c r="BR16" s="81">
        <v>642.47177241385202</v>
      </c>
      <c r="BS16" s="81">
        <v>665.63609565830598</v>
      </c>
      <c r="BT16" s="81">
        <v>676.35031182129899</v>
      </c>
      <c r="BU16" s="81">
        <v>681.91204819515701</v>
      </c>
      <c r="BV16" s="81">
        <v>690.05106124905706</v>
      </c>
    </row>
    <row r="17" spans="1:74" ht="17.100000000000001" customHeight="1" x14ac:dyDescent="0.2">
      <c r="A17" s="42" t="s">
        <v>11</v>
      </c>
      <c r="B17" s="81"/>
      <c r="C17" s="81"/>
      <c r="D17" s="81"/>
      <c r="E17" s="81"/>
      <c r="F17" s="81"/>
      <c r="G17" s="81"/>
      <c r="H17" s="81">
        <v>415.08813907541202</v>
      </c>
      <c r="I17" s="81">
        <v>421.57839597843099</v>
      </c>
      <c r="J17" s="81">
        <v>428.24070504755599</v>
      </c>
      <c r="K17" s="81">
        <v>434.56209192464098</v>
      </c>
      <c r="L17" s="81">
        <v>440.70036139798998</v>
      </c>
      <c r="M17" s="81">
        <v>447.18896633509598</v>
      </c>
      <c r="N17" s="81">
        <v>454.83857117270401</v>
      </c>
      <c r="O17" s="81">
        <v>462.35051485343098</v>
      </c>
      <c r="P17" s="81">
        <v>468.971563531269</v>
      </c>
      <c r="Q17" s="81">
        <v>474.99626216555401</v>
      </c>
      <c r="R17" s="81">
        <v>482.06039064373903</v>
      </c>
      <c r="S17" s="81">
        <v>490.20851281984397</v>
      </c>
      <c r="T17" s="81">
        <v>498.45386931111</v>
      </c>
      <c r="U17" s="81">
        <v>505.60348008886899</v>
      </c>
      <c r="V17" s="81">
        <v>511.76610740044703</v>
      </c>
      <c r="W17" s="81">
        <v>519.34133543109499</v>
      </c>
      <c r="X17" s="81">
        <v>528.46714789873897</v>
      </c>
      <c r="Y17" s="81">
        <v>537.35805412853301</v>
      </c>
      <c r="Z17" s="81">
        <v>545.46857962251499</v>
      </c>
      <c r="AA17" s="81">
        <v>553.18642827311805</v>
      </c>
      <c r="AB17" s="81">
        <v>560.526916055372</v>
      </c>
      <c r="AC17" s="81">
        <v>569.38727793763496</v>
      </c>
      <c r="AD17" s="81">
        <v>579.22188893500697</v>
      </c>
      <c r="AE17" s="81">
        <v>588.653163425402</v>
      </c>
      <c r="AF17" s="81">
        <v>597.31885045717502</v>
      </c>
      <c r="AG17" s="81">
        <v>606.12772702161203</v>
      </c>
      <c r="AH17" s="81">
        <v>614.44363603130398</v>
      </c>
      <c r="AI17" s="81">
        <v>622.84567268727801</v>
      </c>
      <c r="AJ17" s="81">
        <v>631.92161425337497</v>
      </c>
      <c r="AK17" s="81">
        <v>640.941682928197</v>
      </c>
      <c r="AL17" s="81">
        <v>648.95391200639904</v>
      </c>
      <c r="AM17" s="81">
        <v>655.52305297706596</v>
      </c>
      <c r="AN17" s="81">
        <v>661.208438293271</v>
      </c>
      <c r="AO17" s="81">
        <v>666.70629467087895</v>
      </c>
      <c r="AP17" s="81">
        <v>673.36872967811098</v>
      </c>
      <c r="AQ17" s="81">
        <v>681.03559814739697</v>
      </c>
      <c r="AR17" s="81">
        <v>689.89277030089602</v>
      </c>
      <c r="AS17" s="81">
        <v>698.41224630434397</v>
      </c>
      <c r="AT17" s="81">
        <v>706.37730003469903</v>
      </c>
      <c r="AU17" s="81">
        <v>713.55062605166404</v>
      </c>
      <c r="AV17" s="81">
        <v>719.71126299776404</v>
      </c>
      <c r="AW17" s="81">
        <v>726.34551363758703</v>
      </c>
      <c r="AX17" s="81">
        <v>734.23128036172102</v>
      </c>
      <c r="AY17" s="81">
        <v>742.68472806760803</v>
      </c>
      <c r="AZ17" s="81">
        <v>751.70434241980297</v>
      </c>
      <c r="BA17" s="81">
        <v>760.867931725674</v>
      </c>
      <c r="BB17" s="81">
        <v>769.70084176162197</v>
      </c>
      <c r="BC17" s="81">
        <v>781.11761371033197</v>
      </c>
      <c r="BD17" s="81">
        <v>795.56728097688904</v>
      </c>
      <c r="BE17" s="81">
        <v>809.51744854650894</v>
      </c>
      <c r="BF17" s="81">
        <v>820.73004792931397</v>
      </c>
      <c r="BG17" s="81">
        <v>828.42504823073205</v>
      </c>
      <c r="BH17" s="81">
        <v>834.009832324581</v>
      </c>
      <c r="BI17" s="81">
        <v>841.54226433574001</v>
      </c>
      <c r="BJ17" s="81">
        <v>852.33955923291501</v>
      </c>
      <c r="BK17" s="81">
        <v>864.64909049015296</v>
      </c>
      <c r="BL17" s="81">
        <v>876.62220155375098</v>
      </c>
      <c r="BM17" s="81">
        <v>887.28297625364803</v>
      </c>
      <c r="BN17" s="81">
        <v>897.03018177882097</v>
      </c>
      <c r="BO17" s="81">
        <v>905.43910858211098</v>
      </c>
      <c r="BP17" s="81">
        <v>910.861695556521</v>
      </c>
      <c r="BQ17" s="81">
        <v>914.44358547400702</v>
      </c>
      <c r="BR17" s="81">
        <v>918.42684356046198</v>
      </c>
      <c r="BS17" s="81">
        <v>924.36258846166004</v>
      </c>
      <c r="BT17" s="81">
        <v>933.43613271214394</v>
      </c>
      <c r="BU17" s="81">
        <v>945.06012597452298</v>
      </c>
      <c r="BV17" s="81">
        <v>957.17926881999006</v>
      </c>
    </row>
    <row r="18" spans="1:74" ht="17.100000000000001" customHeight="1" x14ac:dyDescent="0.2">
      <c r="A18" s="72" t="s">
        <v>12</v>
      </c>
      <c r="B18" s="81"/>
      <c r="C18" s="81"/>
      <c r="D18" s="81"/>
      <c r="E18" s="81"/>
      <c r="F18" s="81"/>
      <c r="G18" s="81"/>
      <c r="H18" s="81">
        <v>906.14690130421604</v>
      </c>
      <c r="I18" s="81">
        <v>926.97510225902397</v>
      </c>
      <c r="J18" s="81">
        <v>863.59795197058895</v>
      </c>
      <c r="K18" s="81">
        <v>840.57130526645801</v>
      </c>
      <c r="L18" s="81">
        <v>864.92645059985796</v>
      </c>
      <c r="M18" s="81">
        <v>984.132400143984</v>
      </c>
      <c r="N18" s="81">
        <v>1112.65924686833</v>
      </c>
      <c r="O18" s="81">
        <v>1127.9376312848301</v>
      </c>
      <c r="P18" s="81">
        <v>1052.9513619443001</v>
      </c>
      <c r="Q18" s="81">
        <v>1026.0234401289999</v>
      </c>
      <c r="R18" s="81">
        <v>1062.9628355707</v>
      </c>
      <c r="S18" s="81">
        <v>1115.77898942718</v>
      </c>
      <c r="T18" s="81">
        <v>1159.51182223509</v>
      </c>
      <c r="U18" s="81">
        <v>1167.0349026133899</v>
      </c>
      <c r="V18" s="81">
        <v>1118.39619263603</v>
      </c>
      <c r="W18" s="81">
        <v>1083.19721259074</v>
      </c>
      <c r="X18" s="81">
        <v>1132.0236135539301</v>
      </c>
      <c r="Y18" s="81">
        <v>1201.7230533955001</v>
      </c>
      <c r="Z18" s="81">
        <v>1251.4917306248601</v>
      </c>
      <c r="AA18" s="81">
        <v>1268.2136862883001</v>
      </c>
      <c r="AB18" s="81">
        <v>1253.3694853977099</v>
      </c>
      <c r="AC18" s="81">
        <v>1234.4857196355599</v>
      </c>
      <c r="AD18" s="81">
        <v>1275.4991765406201</v>
      </c>
      <c r="AE18" s="81">
        <v>1329.6373650313501</v>
      </c>
      <c r="AF18" s="81">
        <v>1355.3813434003901</v>
      </c>
      <c r="AG18" s="81">
        <v>1366.3560860779701</v>
      </c>
      <c r="AH18" s="81">
        <v>1387.21873420208</v>
      </c>
      <c r="AI18" s="81">
        <v>1426.76842233414</v>
      </c>
      <c r="AJ18" s="81">
        <v>1503.3782353050799</v>
      </c>
      <c r="AK18" s="81">
        <v>1554.8449438562</v>
      </c>
      <c r="AL18" s="81">
        <v>1532.74166896572</v>
      </c>
      <c r="AM18" s="81">
        <v>1513.84423132697</v>
      </c>
      <c r="AN18" s="81">
        <v>1537.2515409406999</v>
      </c>
      <c r="AO18" s="81">
        <v>1598.1364239821701</v>
      </c>
      <c r="AP18" s="81">
        <v>1677.51151174253</v>
      </c>
      <c r="AQ18" s="81">
        <v>1746.82302628043</v>
      </c>
      <c r="AR18" s="81">
        <v>1794.9640605162499</v>
      </c>
      <c r="AS18" s="81">
        <v>1850.6074387782901</v>
      </c>
      <c r="AT18" s="81">
        <v>1912.4293683938499</v>
      </c>
      <c r="AU18" s="81">
        <v>1933.4387084560799</v>
      </c>
      <c r="AV18" s="81">
        <v>1940.03915820916</v>
      </c>
      <c r="AW18" s="81">
        <v>1958.9690147610399</v>
      </c>
      <c r="AX18" s="81">
        <v>1968.4652550138701</v>
      </c>
      <c r="AY18" s="81">
        <v>1955.48446149236</v>
      </c>
      <c r="AZ18" s="81">
        <v>1991.5765542757799</v>
      </c>
      <c r="BA18" s="81">
        <v>2081.2269187708698</v>
      </c>
      <c r="BB18" s="81">
        <v>2154.72337396388</v>
      </c>
      <c r="BC18" s="81">
        <v>2192.1753870377502</v>
      </c>
      <c r="BD18" s="81">
        <v>2205.6902109233401</v>
      </c>
      <c r="BE18" s="81">
        <v>2152.3629164047602</v>
      </c>
      <c r="BF18" s="81">
        <v>2057.4705736389601</v>
      </c>
      <c r="BG18" s="81">
        <v>2075.5965717469899</v>
      </c>
      <c r="BH18" s="81">
        <v>2169.3963212147</v>
      </c>
      <c r="BI18" s="81">
        <v>2212.4510605451301</v>
      </c>
      <c r="BJ18" s="81">
        <v>2228.2530269538302</v>
      </c>
      <c r="BK18" s="81">
        <v>2253.5462944759001</v>
      </c>
      <c r="BL18" s="81">
        <v>2262.1916781610098</v>
      </c>
      <c r="BM18" s="81">
        <v>2329.0162599406399</v>
      </c>
      <c r="BN18" s="81">
        <v>2447.6699745287201</v>
      </c>
      <c r="BO18" s="81">
        <v>2496.70088579193</v>
      </c>
      <c r="BP18" s="81">
        <v>2491.7471271107402</v>
      </c>
      <c r="BQ18" s="81">
        <v>2562.1254453575898</v>
      </c>
      <c r="BR18" s="81">
        <v>2708.6513154377799</v>
      </c>
      <c r="BS18" s="81">
        <v>2830.1588206149399</v>
      </c>
      <c r="BT18" s="81">
        <v>2908.49377874941</v>
      </c>
      <c r="BU18" s="81">
        <v>2960.9714654142399</v>
      </c>
      <c r="BV18" s="81">
        <v>3007.8676595660299</v>
      </c>
    </row>
    <row r="19" spans="1:74" s="163" customFormat="1" ht="17.100000000000001" customHeight="1" x14ac:dyDescent="0.2">
      <c r="A19" s="160" t="s">
        <v>94</v>
      </c>
      <c r="B19" s="161"/>
      <c r="C19" s="161"/>
      <c r="D19" s="161"/>
      <c r="E19" s="161"/>
      <c r="F19" s="161"/>
      <c r="G19" s="161"/>
      <c r="H19" s="161">
        <v>7943.1183286421383</v>
      </c>
      <c r="I19" s="161">
        <v>8173.7880100294242</v>
      </c>
      <c r="J19" s="161">
        <v>9169.2212188323356</v>
      </c>
      <c r="K19" s="161">
        <v>9262.4895875860166</v>
      </c>
      <c r="L19" s="161">
        <v>9400.5815216733681</v>
      </c>
      <c r="M19" s="161">
        <v>9383.5833856445715</v>
      </c>
      <c r="N19" s="161">
        <v>9205.3744508066193</v>
      </c>
      <c r="O19" s="161">
        <v>9210.7466750851127</v>
      </c>
      <c r="P19" s="161">
        <v>9362.368107563816</v>
      </c>
      <c r="Q19" s="161">
        <v>9556.2989614633807</v>
      </c>
      <c r="R19" s="161">
        <v>9799.990063139785</v>
      </c>
      <c r="S19" s="161">
        <v>10113.27611599818</v>
      </c>
      <c r="T19" s="161">
        <v>10238.375487018347</v>
      </c>
      <c r="U19" s="161">
        <v>10123.441895564039</v>
      </c>
      <c r="V19" s="161">
        <v>10004.329181089208</v>
      </c>
      <c r="W19" s="161">
        <v>9970.7011354828046</v>
      </c>
      <c r="X19" s="161">
        <v>9945.6409665044139</v>
      </c>
      <c r="Y19" s="161">
        <v>10193.990148788525</v>
      </c>
      <c r="Z19" s="161">
        <v>10682.664943264797</v>
      </c>
      <c r="AA19" s="161">
        <v>10885.5943201843</v>
      </c>
      <c r="AB19" s="161">
        <v>10931.077372736449</v>
      </c>
      <c r="AC19" s="161">
        <v>11147.52413538466</v>
      </c>
      <c r="AD19" s="161">
        <v>11426.377845700978</v>
      </c>
      <c r="AE19" s="161">
        <v>11664.575637002494</v>
      </c>
      <c r="AF19" s="161">
        <v>11922.962804847833</v>
      </c>
      <c r="AG19" s="161">
        <v>11949.407066221907</v>
      </c>
      <c r="AH19" s="161">
        <v>11742.204581641176</v>
      </c>
      <c r="AI19" s="161">
        <v>11612.695148556164</v>
      </c>
      <c r="AJ19" s="161">
        <v>11587.203320512104</v>
      </c>
      <c r="AK19" s="161">
        <v>11608.683320155511</v>
      </c>
      <c r="AL19" s="161">
        <v>11826.031318523277</v>
      </c>
      <c r="AM19" s="161">
        <v>12179.610401470218</v>
      </c>
      <c r="AN19" s="161">
        <v>12519.955279708574</v>
      </c>
      <c r="AO19" s="161">
        <v>12753.331538765964</v>
      </c>
      <c r="AP19" s="161">
        <v>12901.270966443803</v>
      </c>
      <c r="AQ19" s="161">
        <v>13093.978452499976</v>
      </c>
      <c r="AR19" s="161">
        <v>13286.608393677347</v>
      </c>
      <c r="AS19" s="161">
        <v>13433.234981925303</v>
      </c>
      <c r="AT19" s="161">
        <v>13579.646866859997</v>
      </c>
      <c r="AU19" s="161">
        <v>13883.356179178338</v>
      </c>
      <c r="AV19" s="161">
        <v>14229.183246198845</v>
      </c>
      <c r="AW19" s="161">
        <v>14314.425890221233</v>
      </c>
      <c r="AX19" s="161">
        <v>13978.25994987113</v>
      </c>
      <c r="AY19" s="161">
        <v>13707.136230790878</v>
      </c>
      <c r="AZ19" s="161">
        <v>13763.143775187857</v>
      </c>
      <c r="BA19" s="161">
        <v>14080.10334371309</v>
      </c>
      <c r="BB19" s="161">
        <v>14429.393952448643</v>
      </c>
      <c r="BC19" s="161">
        <v>14524.739958000506</v>
      </c>
      <c r="BD19" s="161">
        <v>14485.151738713372</v>
      </c>
      <c r="BE19" s="161">
        <v>14722.854643360277</v>
      </c>
      <c r="BF19" s="161">
        <v>14959.207722153342</v>
      </c>
      <c r="BG19" s="161">
        <v>15037.685232592326</v>
      </c>
      <c r="BH19" s="161">
        <v>15273.056251106984</v>
      </c>
      <c r="BI19" s="161">
        <v>15510.480481271725</v>
      </c>
      <c r="BJ19" s="161">
        <v>15681.853843180726</v>
      </c>
      <c r="BK19" s="161">
        <v>15932.939106170879</v>
      </c>
      <c r="BL19" s="161">
        <v>16164.567971750332</v>
      </c>
      <c r="BM19" s="161">
        <v>16347.416059297166</v>
      </c>
      <c r="BN19" s="161">
        <v>16777.867343721849</v>
      </c>
      <c r="BO19" s="161">
        <v>17166.186372400967</v>
      </c>
      <c r="BP19" s="161">
        <v>17303.36803443536</v>
      </c>
      <c r="BQ19" s="161">
        <v>17455.047683334029</v>
      </c>
      <c r="BR19" s="161">
        <v>17780.576183753925</v>
      </c>
      <c r="BS19" s="161">
        <v>18063.30188103882</v>
      </c>
      <c r="BT19" s="161">
        <v>18275.621967956453</v>
      </c>
      <c r="BU19" s="161">
        <v>18726.511956090471</v>
      </c>
      <c r="BV19" s="161">
        <v>18869.729934400919</v>
      </c>
    </row>
    <row r="20" spans="1:74" ht="17.100000000000001" customHeight="1" x14ac:dyDescent="0.2">
      <c r="A20" s="82" t="s">
        <v>52</v>
      </c>
      <c r="B20" s="81"/>
      <c r="C20" s="81"/>
      <c r="D20" s="81"/>
      <c r="E20" s="81"/>
      <c r="F20" s="81"/>
      <c r="G20" s="81"/>
      <c r="H20" s="81">
        <v>2195.21318149431</v>
      </c>
      <c r="I20" s="81">
        <v>2076.3372976984401</v>
      </c>
      <c r="J20" s="81">
        <v>2064.4523074711201</v>
      </c>
      <c r="K20" s="81">
        <v>2056.5530176279299</v>
      </c>
      <c r="L20" s="81">
        <v>2107.2935470052198</v>
      </c>
      <c r="M20" s="81">
        <v>2178.0080388921101</v>
      </c>
      <c r="N20" s="81">
        <v>2149.5260077051898</v>
      </c>
      <c r="O20" s="81">
        <v>2110.3608011799301</v>
      </c>
      <c r="P20" s="81">
        <v>2173.2276266946301</v>
      </c>
      <c r="Q20" s="81">
        <v>2245.6464431315799</v>
      </c>
      <c r="R20" s="81">
        <v>2296.3350828338098</v>
      </c>
      <c r="S20" s="81">
        <v>2423.6054740885102</v>
      </c>
      <c r="T20" s="81">
        <v>2456.7622299816799</v>
      </c>
      <c r="U20" s="81">
        <v>2367.6003408635502</v>
      </c>
      <c r="V20" s="81">
        <v>2311.3481668269101</v>
      </c>
      <c r="W20" s="81">
        <v>2325.7213205279099</v>
      </c>
      <c r="X20" s="81">
        <v>2284.0180485348201</v>
      </c>
      <c r="Y20" s="81">
        <v>2270.9353056748701</v>
      </c>
      <c r="Z20" s="81">
        <v>2365.3877229214499</v>
      </c>
      <c r="AA20" s="81">
        <v>2398.1536655730401</v>
      </c>
      <c r="AB20" s="81">
        <v>2375.2017505693002</v>
      </c>
      <c r="AC20" s="81">
        <v>2388.6174013114201</v>
      </c>
      <c r="AD20" s="81">
        <v>2427.1105022387801</v>
      </c>
      <c r="AE20" s="81">
        <v>2488.5356603690302</v>
      </c>
      <c r="AF20" s="81">
        <v>2598.1304560130998</v>
      </c>
      <c r="AG20" s="81">
        <v>2590.9187282552002</v>
      </c>
      <c r="AH20" s="81">
        <v>2471.5140628686299</v>
      </c>
      <c r="AI20" s="81">
        <v>2402.32318455114</v>
      </c>
      <c r="AJ20" s="81">
        <v>2393.1079116636001</v>
      </c>
      <c r="AK20" s="81">
        <v>2415.0231060319202</v>
      </c>
      <c r="AL20" s="81">
        <v>2484.9609056960799</v>
      </c>
      <c r="AM20" s="81">
        <v>2534.69626958462</v>
      </c>
      <c r="AN20" s="81">
        <v>2575.95209347216</v>
      </c>
      <c r="AO20" s="81">
        <v>2634.87668459623</v>
      </c>
      <c r="AP20" s="81">
        <v>2676.82162726051</v>
      </c>
      <c r="AQ20" s="81">
        <v>2704.2480781153999</v>
      </c>
      <c r="AR20" s="81">
        <v>2733.8324205875301</v>
      </c>
      <c r="AS20" s="81">
        <v>2769.07946706541</v>
      </c>
      <c r="AT20" s="81">
        <v>2782.74282907628</v>
      </c>
      <c r="AU20" s="81">
        <v>2814.81230937176</v>
      </c>
      <c r="AV20" s="81">
        <v>2865.79155425814</v>
      </c>
      <c r="AW20" s="81">
        <v>2865.2319107255498</v>
      </c>
      <c r="AX20" s="81">
        <v>2746.87666948381</v>
      </c>
      <c r="AY20" s="81">
        <v>2657.70272233693</v>
      </c>
      <c r="AZ20" s="81">
        <v>2651.5715075726098</v>
      </c>
      <c r="BA20" s="81">
        <v>2668.6459285118799</v>
      </c>
      <c r="BB20" s="81">
        <v>2690.6676893837298</v>
      </c>
      <c r="BC20" s="81">
        <v>2679.3201511602401</v>
      </c>
      <c r="BD20" s="81">
        <v>2686.5569256707199</v>
      </c>
      <c r="BE20" s="81">
        <v>2789.7617591907901</v>
      </c>
      <c r="BF20" s="81">
        <v>2904.2325319288998</v>
      </c>
      <c r="BG20" s="81">
        <v>2873.4142795442599</v>
      </c>
      <c r="BH20" s="81">
        <v>2829.44993622842</v>
      </c>
      <c r="BI20" s="81">
        <v>2852.0846463154598</v>
      </c>
      <c r="BJ20" s="81">
        <v>2947.2785552342498</v>
      </c>
      <c r="BK20" s="81">
        <v>3061.10076891054</v>
      </c>
      <c r="BL20" s="81">
        <v>3141.04518798146</v>
      </c>
      <c r="BM20" s="81">
        <v>3150.1954437629001</v>
      </c>
      <c r="BN20" s="81">
        <v>3192.0201860543102</v>
      </c>
      <c r="BO20" s="81">
        <v>3313.72830846022</v>
      </c>
      <c r="BP20" s="81">
        <v>3407.86714986982</v>
      </c>
      <c r="BQ20" s="81">
        <v>3453.53242892465</v>
      </c>
      <c r="BR20" s="81">
        <v>3496.7212724117899</v>
      </c>
      <c r="BS20" s="81">
        <v>3546.9274008602902</v>
      </c>
      <c r="BT20" s="81">
        <v>3550.5943190647099</v>
      </c>
      <c r="BU20" s="81">
        <v>3604.5270215492701</v>
      </c>
      <c r="BV20" s="81">
        <v>3690.0372172621901</v>
      </c>
    </row>
    <row r="21" spans="1:74" ht="17.100000000000001" customHeight="1" x14ac:dyDescent="0.2">
      <c r="A21" s="82" t="s">
        <v>53</v>
      </c>
      <c r="B21" s="81"/>
      <c r="C21" s="81"/>
      <c r="D21" s="81"/>
      <c r="E21" s="81"/>
      <c r="F21" s="81"/>
      <c r="G21" s="81"/>
      <c r="H21" s="81">
        <v>579.07615252048004</v>
      </c>
      <c r="I21" s="81">
        <v>583.20007516637395</v>
      </c>
      <c r="J21" s="81">
        <v>585.61927290389394</v>
      </c>
      <c r="K21" s="81">
        <v>588.38011722375495</v>
      </c>
      <c r="L21" s="81">
        <v>599.27009118852698</v>
      </c>
      <c r="M21" s="81">
        <v>626.506492585611</v>
      </c>
      <c r="N21" s="81">
        <v>662.57014742235799</v>
      </c>
      <c r="O21" s="81">
        <v>681.60515369914503</v>
      </c>
      <c r="P21" s="81">
        <v>683.94574919638603</v>
      </c>
      <c r="Q21" s="81">
        <v>683.29630877001796</v>
      </c>
      <c r="R21" s="81">
        <v>681.88276114289204</v>
      </c>
      <c r="S21" s="81">
        <v>696.38153697262601</v>
      </c>
      <c r="T21" s="81">
        <v>717.43294916695595</v>
      </c>
      <c r="U21" s="81">
        <v>721.91778436158404</v>
      </c>
      <c r="V21" s="81">
        <v>718.41314240553902</v>
      </c>
      <c r="W21" s="81">
        <v>729.54470782407202</v>
      </c>
      <c r="X21" s="81">
        <v>745.57730530282095</v>
      </c>
      <c r="Y21" s="81">
        <v>762.13961260215899</v>
      </c>
      <c r="Z21" s="81">
        <v>778.21835276358797</v>
      </c>
      <c r="AA21" s="81">
        <v>785.09876756907704</v>
      </c>
      <c r="AB21" s="81">
        <v>790.82873392106603</v>
      </c>
      <c r="AC21" s="81">
        <v>805.05101431908599</v>
      </c>
      <c r="AD21" s="81">
        <v>826.49145092101196</v>
      </c>
      <c r="AE21" s="81">
        <v>850.02161850340997</v>
      </c>
      <c r="AF21" s="81">
        <v>875.60143703072504</v>
      </c>
      <c r="AG21" s="81">
        <v>890.82850370004905</v>
      </c>
      <c r="AH21" s="81">
        <v>886.09186491529101</v>
      </c>
      <c r="AI21" s="81">
        <v>875.66536259471002</v>
      </c>
      <c r="AJ21" s="81">
        <v>878.17987998874196</v>
      </c>
      <c r="AK21" s="81">
        <v>889.48962222764897</v>
      </c>
      <c r="AL21" s="81">
        <v>910.01387954889299</v>
      </c>
      <c r="AM21" s="81">
        <v>942.74449611534897</v>
      </c>
      <c r="AN21" s="81">
        <v>976.50567135030997</v>
      </c>
      <c r="AO21" s="81">
        <v>998.39566430295599</v>
      </c>
      <c r="AP21" s="81">
        <v>1018.2950159391399</v>
      </c>
      <c r="AQ21" s="81">
        <v>1027.9876269047099</v>
      </c>
      <c r="AR21" s="81">
        <v>1017.89156348094</v>
      </c>
      <c r="AS21" s="81">
        <v>1003.90560241118</v>
      </c>
      <c r="AT21" s="81">
        <v>1008.72708097937</v>
      </c>
      <c r="AU21" s="81">
        <v>1037.84867211959</v>
      </c>
      <c r="AV21" s="81">
        <v>1053.3002374227401</v>
      </c>
      <c r="AW21" s="81">
        <v>1025.0874977283299</v>
      </c>
      <c r="AX21" s="81">
        <v>968.48158849627396</v>
      </c>
      <c r="AY21" s="81">
        <v>959.224709455381</v>
      </c>
      <c r="AZ21" s="81">
        <v>982.65347668112304</v>
      </c>
      <c r="BA21" s="81">
        <v>990.17564649546296</v>
      </c>
      <c r="BB21" s="81">
        <v>989.01949060724701</v>
      </c>
      <c r="BC21" s="81">
        <v>980.58718149814194</v>
      </c>
      <c r="BD21" s="81">
        <v>954.202886989479</v>
      </c>
      <c r="BE21" s="81">
        <v>960.54970950473205</v>
      </c>
      <c r="BF21" s="81">
        <v>975.25654987462894</v>
      </c>
      <c r="BG21" s="81">
        <v>930.30191298673003</v>
      </c>
      <c r="BH21" s="81">
        <v>900.34665593377804</v>
      </c>
      <c r="BI21" s="81">
        <v>909.98773501249195</v>
      </c>
      <c r="BJ21" s="81">
        <v>906.828005794418</v>
      </c>
      <c r="BK21" s="81">
        <v>906.39714141616503</v>
      </c>
      <c r="BL21" s="81">
        <v>944.24408038156298</v>
      </c>
      <c r="BM21" s="81">
        <v>983.20916968801998</v>
      </c>
      <c r="BN21" s="81">
        <v>1012.8571726529</v>
      </c>
      <c r="BO21" s="81">
        <v>1050.32361483368</v>
      </c>
      <c r="BP21" s="81">
        <v>1074.75188121011</v>
      </c>
      <c r="BQ21" s="81">
        <v>1095.34681312778</v>
      </c>
      <c r="BR21" s="81">
        <v>1135.4025966602201</v>
      </c>
      <c r="BS21" s="81">
        <v>1167.7008073880099</v>
      </c>
      <c r="BT21" s="81">
        <v>1180.19777082106</v>
      </c>
      <c r="BU21" s="81">
        <v>1198.6719227727499</v>
      </c>
      <c r="BV21" s="81">
        <v>1220.0424327916701</v>
      </c>
    </row>
    <row r="22" spans="1:74" ht="17.100000000000001" customHeight="1" x14ac:dyDescent="0.2">
      <c r="A22" s="82" t="s">
        <v>55</v>
      </c>
      <c r="B22" s="81"/>
      <c r="C22" s="81"/>
      <c r="D22" s="81"/>
      <c r="E22" s="81"/>
      <c r="F22" s="81"/>
      <c r="G22" s="81"/>
      <c r="H22" s="81">
        <v>448.37492919804299</v>
      </c>
      <c r="I22" s="81">
        <v>482.44220992629801</v>
      </c>
      <c r="J22" s="81">
        <v>489.909370457016</v>
      </c>
      <c r="K22" s="81">
        <v>478.98134205879398</v>
      </c>
      <c r="L22" s="81">
        <v>472.28394569656598</v>
      </c>
      <c r="M22" s="81">
        <v>493.092313414937</v>
      </c>
      <c r="N22" s="81">
        <v>533.49856082586996</v>
      </c>
      <c r="O22" s="81">
        <v>553.41933427608797</v>
      </c>
      <c r="P22" s="81">
        <v>559.85246860918403</v>
      </c>
      <c r="Q22" s="81">
        <v>557.54420047222902</v>
      </c>
      <c r="R22" s="81">
        <v>551.66475989377204</v>
      </c>
      <c r="S22" s="81">
        <v>566.83835409579103</v>
      </c>
      <c r="T22" s="81">
        <v>581.29838930805204</v>
      </c>
      <c r="U22" s="81">
        <v>576.34442051377903</v>
      </c>
      <c r="V22" s="81">
        <v>578.15859529618001</v>
      </c>
      <c r="W22" s="81">
        <v>594.57192753282504</v>
      </c>
      <c r="X22" s="81">
        <v>608.38097184402204</v>
      </c>
      <c r="Y22" s="81">
        <v>638.99196242652397</v>
      </c>
      <c r="Z22" s="81">
        <v>664.35460146654805</v>
      </c>
      <c r="AA22" s="81">
        <v>659.24322990227199</v>
      </c>
      <c r="AB22" s="81">
        <v>638.54650247863503</v>
      </c>
      <c r="AC22" s="81">
        <v>630.45947303364301</v>
      </c>
      <c r="AD22" s="81">
        <v>631.197311885104</v>
      </c>
      <c r="AE22" s="81">
        <v>633.92162319351701</v>
      </c>
      <c r="AF22" s="81">
        <v>639.44254855668805</v>
      </c>
      <c r="AG22" s="81">
        <v>657.45464772171397</v>
      </c>
      <c r="AH22" s="81">
        <v>681.87695273301097</v>
      </c>
      <c r="AI22" s="81">
        <v>709.494529673991</v>
      </c>
      <c r="AJ22" s="81">
        <v>751.435689639614</v>
      </c>
      <c r="AK22" s="81">
        <v>788.38784199534405</v>
      </c>
      <c r="AL22" s="81">
        <v>819.17695026969602</v>
      </c>
      <c r="AM22" s="81">
        <v>857.47157565810596</v>
      </c>
      <c r="AN22" s="81">
        <v>886.04642578640596</v>
      </c>
      <c r="AO22" s="81">
        <v>890.38740799293703</v>
      </c>
      <c r="AP22" s="81">
        <v>886.46040678462896</v>
      </c>
      <c r="AQ22" s="81">
        <v>889.43927781536195</v>
      </c>
      <c r="AR22" s="81">
        <v>888.29103030087595</v>
      </c>
      <c r="AS22" s="81">
        <v>886.58920611801602</v>
      </c>
      <c r="AT22" s="81">
        <v>881.59332973207302</v>
      </c>
      <c r="AU22" s="81">
        <v>908.61931628888601</v>
      </c>
      <c r="AV22" s="81">
        <v>949.88687677616599</v>
      </c>
      <c r="AW22" s="81">
        <v>947.04766345976896</v>
      </c>
      <c r="AX22" s="81">
        <v>888.53552442357295</v>
      </c>
      <c r="AY22" s="81">
        <v>815.18072617839402</v>
      </c>
      <c r="AZ22" s="81">
        <v>761.07741630262797</v>
      </c>
      <c r="BA22" s="81">
        <v>772.35025295726098</v>
      </c>
      <c r="BB22" s="81">
        <v>814.62746025324805</v>
      </c>
      <c r="BC22" s="81">
        <v>808.31202883154299</v>
      </c>
      <c r="BD22" s="81">
        <v>788.32725567467298</v>
      </c>
      <c r="BE22" s="81">
        <v>784.88353057694701</v>
      </c>
      <c r="BF22" s="81">
        <v>762.07360227087702</v>
      </c>
      <c r="BG22" s="81">
        <v>742.00202275778099</v>
      </c>
      <c r="BH22" s="81">
        <v>796.45343943496505</v>
      </c>
      <c r="BI22" s="81">
        <v>865.23546868956998</v>
      </c>
      <c r="BJ22" s="81">
        <v>916.21956371614897</v>
      </c>
      <c r="BK22" s="81">
        <v>952.36052845031998</v>
      </c>
      <c r="BL22" s="81">
        <v>943.85510144669604</v>
      </c>
      <c r="BM22" s="81">
        <v>926.96613488580897</v>
      </c>
      <c r="BN22" s="81">
        <v>1018.76013315745</v>
      </c>
      <c r="BO22" s="81">
        <v>1103.96139126598</v>
      </c>
      <c r="BP22" s="81">
        <v>1090.7774049396501</v>
      </c>
      <c r="BQ22" s="81">
        <v>1087.7532021925499</v>
      </c>
      <c r="BR22" s="81">
        <v>1094.07889759209</v>
      </c>
      <c r="BS22" s="81">
        <v>1120.11727740019</v>
      </c>
      <c r="BT22" s="81">
        <v>1204.92647024999</v>
      </c>
      <c r="BU22" s="81">
        <v>1246.9930154994199</v>
      </c>
      <c r="BV22" s="81">
        <v>1210.2720499417001</v>
      </c>
    </row>
    <row r="23" spans="1:74" ht="17.100000000000001" customHeight="1" x14ac:dyDescent="0.2">
      <c r="A23" s="82" t="s">
        <v>54</v>
      </c>
      <c r="B23" s="81"/>
      <c r="C23" s="81"/>
      <c r="D23" s="81"/>
      <c r="E23" s="81"/>
      <c r="F23" s="81"/>
      <c r="G23" s="81"/>
      <c r="H23" s="81">
        <v>136.728101485949</v>
      </c>
      <c r="I23" s="81">
        <v>203.087028926861</v>
      </c>
      <c r="J23" s="81">
        <v>229.570048827948</v>
      </c>
      <c r="K23" s="81">
        <v>234.177789361728</v>
      </c>
      <c r="L23" s="81">
        <v>235.98586174331601</v>
      </c>
      <c r="M23" s="81">
        <v>234.334060115483</v>
      </c>
      <c r="N23" s="81">
        <v>247.777978734512</v>
      </c>
      <c r="O23" s="81">
        <v>265.34879241308698</v>
      </c>
      <c r="P23" s="81">
        <v>273.819048840302</v>
      </c>
      <c r="Q23" s="81">
        <v>288.866046501374</v>
      </c>
      <c r="R23" s="81">
        <v>308.91786582378501</v>
      </c>
      <c r="S23" s="81">
        <v>315.020776575691</v>
      </c>
      <c r="T23" s="81">
        <v>318.56162472212702</v>
      </c>
      <c r="U23" s="81">
        <v>338.32356877634101</v>
      </c>
      <c r="V23" s="81">
        <v>359.56761324117201</v>
      </c>
      <c r="W23" s="81">
        <v>381.40906554037002</v>
      </c>
      <c r="X23" s="81">
        <v>398.64091901478702</v>
      </c>
      <c r="Y23" s="81">
        <v>400.080667724102</v>
      </c>
      <c r="Z23" s="81">
        <v>395.210569491706</v>
      </c>
      <c r="AA23" s="81">
        <v>392.50220784517302</v>
      </c>
      <c r="AB23" s="81">
        <v>387.42465559669603</v>
      </c>
      <c r="AC23" s="81">
        <v>386.68353066667601</v>
      </c>
      <c r="AD23" s="81">
        <v>395.300328975078</v>
      </c>
      <c r="AE23" s="81">
        <v>407.36322388984598</v>
      </c>
      <c r="AF23" s="81">
        <v>426.76254291718698</v>
      </c>
      <c r="AG23" s="81">
        <v>439.54051936544403</v>
      </c>
      <c r="AH23" s="81">
        <v>449.97861063050902</v>
      </c>
      <c r="AI23" s="81">
        <v>472.26617424605399</v>
      </c>
      <c r="AJ23" s="81">
        <v>500.026267611977</v>
      </c>
      <c r="AK23" s="81">
        <v>526.69112374296105</v>
      </c>
      <c r="AL23" s="81">
        <v>549.59599122263501</v>
      </c>
      <c r="AM23" s="81">
        <v>559.983041072015</v>
      </c>
      <c r="AN23" s="81">
        <v>566.34187954806498</v>
      </c>
      <c r="AO23" s="81">
        <v>585.17356529989297</v>
      </c>
      <c r="AP23" s="81">
        <v>605.52269142373405</v>
      </c>
      <c r="AQ23" s="81">
        <v>592.37994257921798</v>
      </c>
      <c r="AR23" s="81">
        <v>552.396067351179</v>
      </c>
      <c r="AS23" s="81">
        <v>528.18012040102099</v>
      </c>
      <c r="AT23" s="81">
        <v>538.60891157115998</v>
      </c>
      <c r="AU23" s="81">
        <v>584.96057605101896</v>
      </c>
      <c r="AV23" s="81">
        <v>651.48506054379902</v>
      </c>
      <c r="AW23" s="81">
        <v>681.40463406823096</v>
      </c>
      <c r="AX23" s="81">
        <v>652.13888637134801</v>
      </c>
      <c r="AY23" s="81">
        <v>629.07525905736304</v>
      </c>
      <c r="AZ23" s="81">
        <v>654.50935246168501</v>
      </c>
      <c r="BA23" s="81">
        <v>709.15834458253903</v>
      </c>
      <c r="BB23" s="81">
        <v>760.96428961438198</v>
      </c>
      <c r="BC23" s="81">
        <v>786.94553985826303</v>
      </c>
      <c r="BD23" s="81">
        <v>783.53760103792604</v>
      </c>
      <c r="BE23" s="81">
        <v>783.608087763968</v>
      </c>
      <c r="BF23" s="81">
        <v>803.51929999376102</v>
      </c>
      <c r="BG23" s="81">
        <v>804.69902519183597</v>
      </c>
      <c r="BH23" s="81">
        <v>794.14374143919804</v>
      </c>
      <c r="BI23" s="81">
        <v>825.87084858268202</v>
      </c>
      <c r="BJ23" s="81">
        <v>900.05310612183405</v>
      </c>
      <c r="BK23" s="81">
        <v>963.19670679836895</v>
      </c>
      <c r="BL23" s="81">
        <v>987.28113161828401</v>
      </c>
      <c r="BM23" s="81">
        <v>970.14443893046405</v>
      </c>
      <c r="BN23" s="81">
        <v>950.30741778458503</v>
      </c>
      <c r="BO23" s="81">
        <v>966.41478952819602</v>
      </c>
      <c r="BP23" s="81">
        <v>979.92899801116903</v>
      </c>
      <c r="BQ23" s="81">
        <v>962.69370837122995</v>
      </c>
      <c r="BR23" s="81">
        <v>926.33838142188597</v>
      </c>
      <c r="BS23" s="81">
        <v>910.60938161600598</v>
      </c>
      <c r="BT23" s="81">
        <v>937.74219945923801</v>
      </c>
      <c r="BU23" s="81">
        <v>986.250111932658</v>
      </c>
      <c r="BV23" s="81">
        <v>1022.46486586388</v>
      </c>
    </row>
    <row r="24" spans="1:74" ht="17.100000000000001" customHeight="1" x14ac:dyDescent="0.2">
      <c r="A24" s="82" t="s">
        <v>72</v>
      </c>
      <c r="B24" s="81"/>
      <c r="C24" s="81"/>
      <c r="D24" s="81"/>
      <c r="E24" s="81"/>
      <c r="F24" s="81"/>
      <c r="G24" s="81"/>
      <c r="H24" s="81">
        <v>380.64030708872298</v>
      </c>
      <c r="I24" s="81">
        <v>415.57026476740401</v>
      </c>
      <c r="J24" s="81">
        <v>453.63714866284403</v>
      </c>
      <c r="K24" s="81">
        <v>476.95448136885699</v>
      </c>
      <c r="L24" s="81">
        <v>489.81452612869703</v>
      </c>
      <c r="M24" s="81">
        <v>465.95143985085599</v>
      </c>
      <c r="N24" s="81">
        <v>451.87297525591498</v>
      </c>
      <c r="O24" s="81">
        <v>476.74947219294802</v>
      </c>
      <c r="P24" s="81">
        <v>486.84742522284898</v>
      </c>
      <c r="Q24" s="81">
        <v>481.54488798779801</v>
      </c>
      <c r="R24" s="81">
        <v>484.91074926189202</v>
      </c>
      <c r="S24" s="81">
        <v>492.58888632660199</v>
      </c>
      <c r="T24" s="81">
        <v>505.56618323002101</v>
      </c>
      <c r="U24" s="81">
        <v>520.69834817671801</v>
      </c>
      <c r="V24" s="81">
        <v>525.61198288818605</v>
      </c>
      <c r="W24" s="81">
        <v>534.05236105728295</v>
      </c>
      <c r="X24" s="81">
        <v>553.44997092485301</v>
      </c>
      <c r="Y24" s="81">
        <v>593.89588124134605</v>
      </c>
      <c r="Z24" s="81">
        <v>644.02538785572403</v>
      </c>
      <c r="AA24" s="81">
        <v>673.41173839599196</v>
      </c>
      <c r="AB24" s="81">
        <v>682.07323361266401</v>
      </c>
      <c r="AC24" s="81">
        <v>681.96096677725495</v>
      </c>
      <c r="AD24" s="81">
        <v>677.23762075422405</v>
      </c>
      <c r="AE24" s="81">
        <v>700.15817620575501</v>
      </c>
      <c r="AF24" s="81">
        <v>742.383021033521</v>
      </c>
      <c r="AG24" s="81">
        <v>761.79874918837004</v>
      </c>
      <c r="AH24" s="81">
        <v>748.50250925572698</v>
      </c>
      <c r="AI24" s="81">
        <v>725.92184946598502</v>
      </c>
      <c r="AJ24" s="81">
        <v>697.12986486491297</v>
      </c>
      <c r="AK24" s="81">
        <v>699.77733649119</v>
      </c>
      <c r="AL24" s="81">
        <v>729.96725792233201</v>
      </c>
      <c r="AM24" s="81">
        <v>742.86458589731706</v>
      </c>
      <c r="AN24" s="81">
        <v>736.80968134891805</v>
      </c>
      <c r="AO24" s="81">
        <v>721.88656412602302</v>
      </c>
      <c r="AP24" s="81">
        <v>720.94174365525998</v>
      </c>
      <c r="AQ24" s="81">
        <v>739.004134133256</v>
      </c>
      <c r="AR24" s="81">
        <v>770.58283150939405</v>
      </c>
      <c r="AS24" s="81">
        <v>795.43989799468</v>
      </c>
      <c r="AT24" s="81">
        <v>830.43926940066399</v>
      </c>
      <c r="AU24" s="81">
        <v>871.79038290291703</v>
      </c>
      <c r="AV24" s="81">
        <v>919.58859994066904</v>
      </c>
      <c r="AW24" s="81">
        <v>938.508392552739</v>
      </c>
      <c r="AX24" s="81">
        <v>896.95247622420698</v>
      </c>
      <c r="AY24" s="81">
        <v>883.67896687855603</v>
      </c>
      <c r="AZ24" s="81">
        <v>910.29144422418506</v>
      </c>
      <c r="BA24" s="81">
        <v>957.81869714743004</v>
      </c>
      <c r="BB24" s="81">
        <v>982.80809173703994</v>
      </c>
      <c r="BC24" s="81">
        <v>986.00940471090905</v>
      </c>
      <c r="BD24" s="81">
        <v>941.23105625202402</v>
      </c>
      <c r="BE24" s="81">
        <v>981.02614099744301</v>
      </c>
      <c r="BF24" s="81">
        <v>1053.7101066682701</v>
      </c>
      <c r="BG24" s="81">
        <v>1044.46473349908</v>
      </c>
      <c r="BH24" s="81">
        <v>1013.23102671753</v>
      </c>
      <c r="BI24" s="81">
        <v>1023.75874655409</v>
      </c>
      <c r="BJ24" s="81">
        <v>1032.8095168160901</v>
      </c>
      <c r="BK24" s="81">
        <v>1016.22854081666</v>
      </c>
      <c r="BL24" s="81">
        <v>1026.7032067387299</v>
      </c>
      <c r="BM24" s="81">
        <v>1012.04689662442</v>
      </c>
      <c r="BN24" s="81">
        <v>1032.39249772996</v>
      </c>
      <c r="BO24" s="81">
        <v>1077.62013479901</v>
      </c>
      <c r="BP24" s="81">
        <v>1100.0019823012401</v>
      </c>
      <c r="BQ24" s="81">
        <v>1068.65577759691</v>
      </c>
      <c r="BR24" s="81">
        <v>1066.6493660763999</v>
      </c>
      <c r="BS24" s="81">
        <v>1120.90901254746</v>
      </c>
      <c r="BT24" s="81">
        <v>1160.8724451083301</v>
      </c>
      <c r="BU24" s="81">
        <v>1153.3019506148</v>
      </c>
      <c r="BV24" s="81">
        <v>1128.3172186392401</v>
      </c>
    </row>
    <row r="25" spans="1:74" ht="17.100000000000001" customHeight="1" x14ac:dyDescent="0.2">
      <c r="A25" s="82" t="s">
        <v>14</v>
      </c>
      <c r="B25" s="81"/>
      <c r="C25" s="81"/>
      <c r="D25" s="81"/>
      <c r="E25" s="81"/>
      <c r="F25" s="81"/>
      <c r="G25" s="81"/>
      <c r="H25" s="81">
        <v>1127.6722006479199</v>
      </c>
      <c r="I25" s="81">
        <v>1166.93642609583</v>
      </c>
      <c r="J25" s="81">
        <v>1210.5307737435401</v>
      </c>
      <c r="K25" s="81">
        <v>1241.81242288972</v>
      </c>
      <c r="L25" s="81">
        <v>1254.9093373199701</v>
      </c>
      <c r="M25" s="81">
        <v>1240.40228235937</v>
      </c>
      <c r="N25" s="81">
        <v>1208.0710206497999</v>
      </c>
      <c r="O25" s="81">
        <v>1191.20026739126</v>
      </c>
      <c r="P25" s="81">
        <v>1202.2417332724499</v>
      </c>
      <c r="Q25" s="81">
        <v>1235.3331809264</v>
      </c>
      <c r="R25" s="81">
        <v>1285.09989694468</v>
      </c>
      <c r="S25" s="81">
        <v>1329.2508568845501</v>
      </c>
      <c r="T25" s="81">
        <v>1330.7545400639101</v>
      </c>
      <c r="U25" s="81">
        <v>1324.0041515406499</v>
      </c>
      <c r="V25" s="81">
        <v>1336.49146125998</v>
      </c>
      <c r="W25" s="81">
        <v>1353.9299178925801</v>
      </c>
      <c r="X25" s="81">
        <v>1380.5510783505499</v>
      </c>
      <c r="Y25" s="81">
        <v>1418.6046170406</v>
      </c>
      <c r="Z25" s="81">
        <v>1434.1483092460401</v>
      </c>
      <c r="AA25" s="81">
        <v>1439.8246850652199</v>
      </c>
      <c r="AB25" s="81">
        <v>1461.6379998872201</v>
      </c>
      <c r="AC25" s="81">
        <v>1489.6648634439</v>
      </c>
      <c r="AD25" s="81">
        <v>1522.7685401608401</v>
      </c>
      <c r="AE25" s="81">
        <v>1571.19076320518</v>
      </c>
      <c r="AF25" s="81">
        <v>1601.65827730302</v>
      </c>
      <c r="AG25" s="81">
        <v>1601.2093445489199</v>
      </c>
      <c r="AH25" s="81">
        <v>1601.72537088746</v>
      </c>
      <c r="AI25" s="81">
        <v>1600.3447869548399</v>
      </c>
      <c r="AJ25" s="81">
        <v>1589.9095002833801</v>
      </c>
      <c r="AK25" s="81">
        <v>1598.5466860057199</v>
      </c>
      <c r="AL25" s="81">
        <v>1639.60620399916</v>
      </c>
      <c r="AM25" s="81">
        <v>1687.6173614043701</v>
      </c>
      <c r="AN25" s="81">
        <v>1747.0791259018499</v>
      </c>
      <c r="AO25" s="81">
        <v>1801.9713879195899</v>
      </c>
      <c r="AP25" s="81">
        <v>1840.8965306985899</v>
      </c>
      <c r="AQ25" s="81">
        <v>1894.37367109465</v>
      </c>
      <c r="AR25" s="81">
        <v>1967.1226312651499</v>
      </c>
      <c r="AS25" s="81">
        <v>2013.7679399511501</v>
      </c>
      <c r="AT25" s="81">
        <v>2015.65881625307</v>
      </c>
      <c r="AU25" s="81">
        <v>2011.5239175480399</v>
      </c>
      <c r="AV25" s="81">
        <v>2026.17082876821</v>
      </c>
      <c r="AW25" s="81">
        <v>2082.3559018368301</v>
      </c>
      <c r="AX25" s="81">
        <v>2140.4961827428301</v>
      </c>
      <c r="AY25" s="81">
        <v>2164.2631574055699</v>
      </c>
      <c r="AZ25" s="81">
        <v>2155.93389993251</v>
      </c>
      <c r="BA25" s="81">
        <v>2158.1488622495199</v>
      </c>
      <c r="BB25" s="81">
        <v>2189.2799464849199</v>
      </c>
      <c r="BC25" s="81">
        <v>2243.1719084655401</v>
      </c>
      <c r="BD25" s="81">
        <v>2307.8310887768898</v>
      </c>
      <c r="BE25" s="81">
        <v>2362.40592551384</v>
      </c>
      <c r="BF25" s="81">
        <v>2407.0058024422501</v>
      </c>
      <c r="BG25" s="81">
        <v>2454.1834257916798</v>
      </c>
      <c r="BH25" s="81">
        <v>2504.1343455421102</v>
      </c>
      <c r="BI25" s="81">
        <v>2532.4335383215198</v>
      </c>
      <c r="BJ25" s="81">
        <v>2568.7045384285202</v>
      </c>
      <c r="BK25" s="81">
        <v>2629.7491250343701</v>
      </c>
      <c r="BL25" s="81">
        <v>2698.1779309056301</v>
      </c>
      <c r="BM25" s="81">
        <v>2745.0376265752302</v>
      </c>
      <c r="BN25" s="81">
        <v>2773.3225825259001</v>
      </c>
      <c r="BO25" s="81">
        <v>2779.0880356176499</v>
      </c>
      <c r="BP25" s="81">
        <v>2791.2933246307998</v>
      </c>
      <c r="BQ25" s="81">
        <v>2841.0657411913899</v>
      </c>
      <c r="BR25" s="81">
        <v>2909.7339844584999</v>
      </c>
      <c r="BS25" s="81">
        <v>2964.84421714882</v>
      </c>
      <c r="BT25" s="81">
        <v>3007.3678754308298</v>
      </c>
      <c r="BU25" s="81">
        <v>3068.12120646412</v>
      </c>
      <c r="BV25" s="81">
        <v>3138.5022902730898</v>
      </c>
    </row>
    <row r="26" spans="1:74" ht="17.100000000000001" customHeight="1" x14ac:dyDescent="0.2">
      <c r="A26" s="82" t="s">
        <v>56</v>
      </c>
      <c r="B26" s="81"/>
      <c r="C26" s="81"/>
      <c r="D26" s="81"/>
      <c r="E26" s="81"/>
      <c r="F26" s="81"/>
      <c r="G26" s="81"/>
      <c r="H26" s="81">
        <v>200.32029624897899</v>
      </c>
      <c r="I26" s="81">
        <v>309.26046602689701</v>
      </c>
      <c r="J26" s="81">
        <v>1113.66063904662</v>
      </c>
      <c r="K26" s="81">
        <v>1080.0217474589001</v>
      </c>
      <c r="L26" s="81">
        <v>1034.5890901318701</v>
      </c>
      <c r="M26" s="81">
        <v>858.59548696286902</v>
      </c>
      <c r="N26" s="81">
        <v>671.54243920441399</v>
      </c>
      <c r="O26" s="81">
        <v>615.86004675551703</v>
      </c>
      <c r="P26" s="81">
        <v>611.19265751459898</v>
      </c>
      <c r="Q26" s="81">
        <v>675.56252636428803</v>
      </c>
      <c r="R26" s="81">
        <v>803.11091502181796</v>
      </c>
      <c r="S26" s="81">
        <v>840.27799268099398</v>
      </c>
      <c r="T26" s="81">
        <v>809.17793126964204</v>
      </c>
      <c r="U26" s="81">
        <v>751.35203055363104</v>
      </c>
      <c r="V26" s="81">
        <v>691.56680377900204</v>
      </c>
      <c r="W26" s="81">
        <v>650.68931162650904</v>
      </c>
      <c r="X26" s="81">
        <v>657.77779221117396</v>
      </c>
      <c r="Y26" s="81">
        <v>734.81819709513604</v>
      </c>
      <c r="Z26" s="81">
        <v>836.51941798868404</v>
      </c>
      <c r="AA26" s="81">
        <v>824.48205851101704</v>
      </c>
      <c r="AB26" s="81">
        <v>746.97741229658197</v>
      </c>
      <c r="AC26" s="81">
        <v>717.32959135738497</v>
      </c>
      <c r="AD26" s="81">
        <v>715.11495448901906</v>
      </c>
      <c r="AE26" s="81">
        <v>702.86648936474796</v>
      </c>
      <c r="AF26" s="81">
        <v>725.305996961201</v>
      </c>
      <c r="AG26" s="81">
        <v>751.76967376007701</v>
      </c>
      <c r="AH26" s="81">
        <v>717.65895330400201</v>
      </c>
      <c r="AI26" s="81">
        <v>674.17252092516105</v>
      </c>
      <c r="AJ26" s="81">
        <v>644.88139636602</v>
      </c>
      <c r="AK26" s="81">
        <v>587.53663830225003</v>
      </c>
      <c r="AL26" s="81">
        <v>545.01774747469096</v>
      </c>
      <c r="AM26" s="81">
        <v>562.85714966400201</v>
      </c>
      <c r="AN26" s="81">
        <v>600.98471481268302</v>
      </c>
      <c r="AO26" s="81">
        <v>617.83116658175504</v>
      </c>
      <c r="AP26" s="81">
        <v>631.99038514265305</v>
      </c>
      <c r="AQ26" s="81">
        <v>647.63578805167299</v>
      </c>
      <c r="AR26" s="81">
        <v>620.12093317480696</v>
      </c>
      <c r="AS26" s="81">
        <v>605.96504174314498</v>
      </c>
      <c r="AT26" s="81">
        <v>671.16672604873202</v>
      </c>
      <c r="AU26" s="81">
        <v>779.34385497243704</v>
      </c>
      <c r="AV26" s="81">
        <v>821.89964242143003</v>
      </c>
      <c r="AW26" s="81">
        <v>754.55847919269002</v>
      </c>
      <c r="AX26" s="81">
        <v>634.11512386975699</v>
      </c>
      <c r="AY26" s="81">
        <v>566.36159284145299</v>
      </c>
      <c r="AZ26" s="81">
        <v>598.60634780812597</v>
      </c>
      <c r="BA26" s="81">
        <v>688.31462206071103</v>
      </c>
      <c r="BB26" s="81">
        <v>745.35461467604603</v>
      </c>
      <c r="BC26" s="81">
        <v>765.08903803730504</v>
      </c>
      <c r="BD26" s="81">
        <v>774.88714591338703</v>
      </c>
      <c r="BE26" s="81">
        <v>732.519820733747</v>
      </c>
      <c r="BF26" s="81">
        <v>663.69836201340001</v>
      </c>
      <c r="BG26" s="81">
        <v>700.02120749756</v>
      </c>
      <c r="BH26" s="81">
        <v>817.34931812063905</v>
      </c>
      <c r="BI26" s="81">
        <v>871.74239707450795</v>
      </c>
      <c r="BJ26" s="81">
        <v>834.530007808091</v>
      </c>
      <c r="BK26" s="81">
        <v>773.114387002635</v>
      </c>
      <c r="BL26" s="81">
        <v>740.14402983138496</v>
      </c>
      <c r="BM26" s="81">
        <v>792.93420110024397</v>
      </c>
      <c r="BN26" s="81">
        <v>879.22492290190803</v>
      </c>
      <c r="BO26" s="81">
        <v>902.34847769311102</v>
      </c>
      <c r="BP26" s="81">
        <v>908.77900693877905</v>
      </c>
      <c r="BQ26" s="81">
        <v>969.53627378608405</v>
      </c>
      <c r="BR26" s="81">
        <v>1051.1024633592599</v>
      </c>
      <c r="BS26" s="81">
        <v>1025.03629165456</v>
      </c>
      <c r="BT26" s="81">
        <v>931.27289963942599</v>
      </c>
      <c r="BU26" s="81">
        <v>907.09059038762803</v>
      </c>
      <c r="BV26" s="81">
        <v>949.98730180959603</v>
      </c>
    </row>
    <row r="27" spans="1:74" ht="17.100000000000001" customHeight="1" x14ac:dyDescent="0.2">
      <c r="A27" s="82" t="s">
        <v>57</v>
      </c>
      <c r="B27" s="81"/>
      <c r="C27" s="81"/>
      <c r="D27" s="81"/>
      <c r="E27" s="81"/>
      <c r="F27" s="81"/>
      <c r="G27" s="81"/>
      <c r="H27" s="81">
        <v>338.62394581162499</v>
      </c>
      <c r="I27" s="81">
        <v>349.74436494737199</v>
      </c>
      <c r="J27" s="81">
        <v>379.04365098474</v>
      </c>
      <c r="K27" s="81">
        <v>413.59037999414801</v>
      </c>
      <c r="L27" s="81">
        <v>448.04060076239</v>
      </c>
      <c r="M27" s="81">
        <v>481.65659030233599</v>
      </c>
      <c r="N27" s="81">
        <v>504.57704652890197</v>
      </c>
      <c r="O27" s="81">
        <v>511.07360761813999</v>
      </c>
      <c r="P27" s="81">
        <v>505.28511174078398</v>
      </c>
      <c r="Q27" s="81">
        <v>482.88442491588899</v>
      </c>
      <c r="R27" s="81">
        <v>454.483353650087</v>
      </c>
      <c r="S27" s="81">
        <v>438.58784155703103</v>
      </c>
      <c r="T27" s="81">
        <v>430.80445880012502</v>
      </c>
      <c r="U27" s="81">
        <v>420.41148867330901</v>
      </c>
      <c r="V27" s="81">
        <v>409.12943416346002</v>
      </c>
      <c r="W27" s="81">
        <v>404.38984482989002</v>
      </c>
      <c r="X27" s="81">
        <v>408.63501277151801</v>
      </c>
      <c r="Y27" s="81">
        <v>427.551971835708</v>
      </c>
      <c r="Z27" s="81">
        <v>460.15351276687801</v>
      </c>
      <c r="AA27" s="81">
        <v>498.94596373601001</v>
      </c>
      <c r="AB27" s="81">
        <v>538.54040432455304</v>
      </c>
      <c r="AC27" s="81">
        <v>573.54475562822097</v>
      </c>
      <c r="AD27" s="81">
        <v>584.90753135467298</v>
      </c>
      <c r="AE27" s="81">
        <v>562.85617486261003</v>
      </c>
      <c r="AF27" s="81">
        <v>528.13108002025604</v>
      </c>
      <c r="AG27" s="81">
        <v>493.66231801474498</v>
      </c>
      <c r="AH27" s="81">
        <v>467.91073894276798</v>
      </c>
      <c r="AI27" s="81">
        <v>459.27832750300303</v>
      </c>
      <c r="AJ27" s="81">
        <v>463.79848388019201</v>
      </c>
      <c r="AK27" s="81">
        <v>472.36195126031799</v>
      </c>
      <c r="AL27" s="81">
        <v>480.30926592618903</v>
      </c>
      <c r="AM27" s="81">
        <v>483.641764473281</v>
      </c>
      <c r="AN27" s="81">
        <v>481.81617026466802</v>
      </c>
      <c r="AO27" s="81">
        <v>486.20240602971302</v>
      </c>
      <c r="AP27" s="81">
        <v>503.81658300849</v>
      </c>
      <c r="AQ27" s="81">
        <v>528.81634877935801</v>
      </c>
      <c r="AR27" s="81">
        <v>550.44846741938102</v>
      </c>
      <c r="AS27" s="81">
        <v>571.70044792518695</v>
      </c>
      <c r="AT27" s="81">
        <v>598.37066869458999</v>
      </c>
      <c r="AU27" s="81">
        <v>623.83637411094503</v>
      </c>
      <c r="AV27" s="81">
        <v>636.88996955120695</v>
      </c>
      <c r="AW27" s="81">
        <v>629.52575109254303</v>
      </c>
      <c r="AX27" s="81">
        <v>615.62125193475003</v>
      </c>
      <c r="AY27" s="81">
        <v>614.96482139355896</v>
      </c>
      <c r="AZ27" s="81">
        <v>631.59504490758695</v>
      </c>
      <c r="BA27" s="81">
        <v>647.36462021038994</v>
      </c>
      <c r="BB27" s="81">
        <v>650.25879894918</v>
      </c>
      <c r="BC27" s="81">
        <v>644.11414151416102</v>
      </c>
      <c r="BD27" s="81">
        <v>650.91537969183798</v>
      </c>
      <c r="BE27" s="81">
        <v>663.057678234376</v>
      </c>
      <c r="BF27" s="81">
        <v>665.89369105605397</v>
      </c>
      <c r="BG27" s="81">
        <v>695.30059087158395</v>
      </c>
      <c r="BH27" s="81">
        <v>747.72472716411403</v>
      </c>
      <c r="BI27" s="81">
        <v>783.56282924780498</v>
      </c>
      <c r="BJ27" s="81">
        <v>793.08446452684802</v>
      </c>
      <c r="BK27" s="81">
        <v>791.420109965611</v>
      </c>
      <c r="BL27" s="81">
        <v>782.15379607117598</v>
      </c>
      <c r="BM27" s="81">
        <v>802.57626534718099</v>
      </c>
      <c r="BN27" s="81">
        <v>841.67502130088803</v>
      </c>
      <c r="BO27" s="81">
        <v>844.36090827354201</v>
      </c>
      <c r="BP27" s="81">
        <v>814.08293731770198</v>
      </c>
      <c r="BQ27" s="81">
        <v>803.42635971664197</v>
      </c>
      <c r="BR27" s="81">
        <v>823.16599787651603</v>
      </c>
      <c r="BS27" s="81">
        <v>846.86563725712301</v>
      </c>
      <c r="BT27" s="81">
        <v>863.66011434192603</v>
      </c>
      <c r="BU27" s="81">
        <v>1091.46110695995</v>
      </c>
      <c r="BV27" s="81">
        <v>1035.6711686847</v>
      </c>
    </row>
    <row r="28" spans="1:74" ht="17.100000000000001" customHeight="1" x14ac:dyDescent="0.2">
      <c r="A28" s="82" t="s">
        <v>15</v>
      </c>
      <c r="B28" s="81"/>
      <c r="C28" s="81"/>
      <c r="D28" s="81"/>
      <c r="E28" s="81"/>
      <c r="F28" s="81"/>
      <c r="G28" s="81"/>
      <c r="H28" s="81">
        <v>330.17823921017202</v>
      </c>
      <c r="I28" s="81">
        <v>351.13653256731197</v>
      </c>
      <c r="J28" s="81">
        <v>384.11568498816001</v>
      </c>
      <c r="K28" s="81">
        <v>419.50416539769702</v>
      </c>
      <c r="L28" s="81">
        <v>444.47408707198502</v>
      </c>
      <c r="M28" s="81">
        <v>441.71986248654503</v>
      </c>
      <c r="N28" s="81">
        <v>420.86124861221202</v>
      </c>
      <c r="O28" s="81">
        <v>411.38361159270198</v>
      </c>
      <c r="P28" s="81">
        <v>416.03753698777899</v>
      </c>
      <c r="Q28" s="81">
        <v>418.612776701109</v>
      </c>
      <c r="R28" s="81">
        <v>419.53448845235698</v>
      </c>
      <c r="S28" s="81">
        <v>425.70343606489001</v>
      </c>
      <c r="T28" s="81">
        <v>426.06570962119702</v>
      </c>
      <c r="U28" s="81">
        <v>417.80092323334901</v>
      </c>
      <c r="V28" s="81">
        <v>414.13464314100003</v>
      </c>
      <c r="W28" s="81">
        <v>405.02023564428498</v>
      </c>
      <c r="X28" s="81">
        <v>388.32968827178001</v>
      </c>
      <c r="Y28" s="81">
        <v>397.37649787052402</v>
      </c>
      <c r="Z28" s="81">
        <v>431.12479952033101</v>
      </c>
      <c r="AA28" s="81">
        <v>462.59625877988901</v>
      </c>
      <c r="AB28" s="81">
        <v>496.79284769142902</v>
      </c>
      <c r="AC28" s="81">
        <v>528.512973756424</v>
      </c>
      <c r="AD28" s="81">
        <v>533.48194230694799</v>
      </c>
      <c r="AE28" s="81">
        <v>525.58903746738702</v>
      </c>
      <c r="AF28" s="81">
        <v>533.07645396533906</v>
      </c>
      <c r="AG28" s="81">
        <v>544.71479536170102</v>
      </c>
      <c r="AH28" s="81">
        <v>566.138510230051</v>
      </c>
      <c r="AI28" s="81">
        <v>598.15941361354498</v>
      </c>
      <c r="AJ28" s="81">
        <v>625.47426968856803</v>
      </c>
      <c r="AK28" s="81">
        <v>644.17698289502698</v>
      </c>
      <c r="AL28" s="81">
        <v>683.96622438264399</v>
      </c>
      <c r="AM28" s="81">
        <v>728.20483903542504</v>
      </c>
      <c r="AN28" s="81">
        <v>748.97963456642799</v>
      </c>
      <c r="AO28" s="81">
        <v>744.575402995123</v>
      </c>
      <c r="AP28" s="81">
        <v>728.67347657820505</v>
      </c>
      <c r="AQ28" s="81">
        <v>722.39988078427996</v>
      </c>
      <c r="AR28" s="81">
        <v>728.25532288867703</v>
      </c>
      <c r="AS28" s="81">
        <v>741.32522328711298</v>
      </c>
      <c r="AT28" s="81">
        <v>766.93141835492304</v>
      </c>
      <c r="AU28" s="81">
        <v>811.11448007278</v>
      </c>
      <c r="AV28" s="81">
        <v>855.04108761792804</v>
      </c>
      <c r="AW28" s="81">
        <v>884.535314631245</v>
      </c>
      <c r="AX28" s="81">
        <v>897.27738373883005</v>
      </c>
      <c r="AY28" s="81">
        <v>920.05780668790601</v>
      </c>
      <c r="AZ28" s="81">
        <v>952.66528828696005</v>
      </c>
      <c r="BA28" s="81">
        <v>1004.5547114362701</v>
      </c>
      <c r="BB28" s="81">
        <v>1034.3511751072399</v>
      </c>
      <c r="BC28" s="81">
        <v>1034.2361910076099</v>
      </c>
      <c r="BD28" s="81">
        <v>1016.98093648933</v>
      </c>
      <c r="BE28" s="81">
        <v>1034.72262570873</v>
      </c>
      <c r="BF28" s="81">
        <v>1031.3343204042801</v>
      </c>
      <c r="BG28" s="81">
        <v>1063.12185766627</v>
      </c>
      <c r="BH28" s="81">
        <v>1094.80337433875</v>
      </c>
      <c r="BI28" s="81">
        <v>1059.78766776253</v>
      </c>
      <c r="BJ28" s="81">
        <v>998.10219714262098</v>
      </c>
      <c r="BK28" s="81">
        <v>974.78827700716397</v>
      </c>
      <c r="BL28" s="81">
        <v>1005.42993781877</v>
      </c>
      <c r="BM28" s="81">
        <v>1069.20897665758</v>
      </c>
      <c r="BN28" s="81">
        <v>1144.7471342393201</v>
      </c>
      <c r="BO28" s="81">
        <v>1144.55627031825</v>
      </c>
      <c r="BP28" s="81">
        <v>1134.52703493324</v>
      </c>
      <c r="BQ28" s="81">
        <v>1144.38708847508</v>
      </c>
      <c r="BR28" s="81">
        <v>1209.1115301141001</v>
      </c>
      <c r="BS28" s="81">
        <v>1254.68492119558</v>
      </c>
      <c r="BT28" s="81">
        <v>1262.07623780005</v>
      </c>
      <c r="BU28" s="81">
        <v>1252.8569573038101</v>
      </c>
      <c r="BV28" s="81">
        <v>1257.3014122883901</v>
      </c>
    </row>
    <row r="29" spans="1:74" ht="17.100000000000001" customHeight="1" x14ac:dyDescent="0.2">
      <c r="A29" s="82" t="s">
        <v>16</v>
      </c>
      <c r="B29" s="81"/>
      <c r="C29" s="81"/>
      <c r="D29" s="81"/>
      <c r="E29" s="81"/>
      <c r="F29" s="81"/>
      <c r="G29" s="81"/>
      <c r="H29" s="81">
        <v>874.17707208267404</v>
      </c>
      <c r="I29" s="81">
        <v>894.222701104826</v>
      </c>
      <c r="J29" s="81">
        <v>904.91180927292999</v>
      </c>
      <c r="K29" s="81">
        <v>905.58629919274199</v>
      </c>
      <c r="L29" s="81">
        <v>925.45640389878304</v>
      </c>
      <c r="M29" s="81">
        <v>946.28103992067702</v>
      </c>
      <c r="N29" s="81">
        <v>952.91286834028801</v>
      </c>
      <c r="O29" s="81">
        <v>975.36130501081698</v>
      </c>
      <c r="P29" s="81">
        <v>1002.9954209950999</v>
      </c>
      <c r="Q29" s="81">
        <v>1015.6371703723401</v>
      </c>
      <c r="R29" s="81">
        <v>1036.34289822864</v>
      </c>
      <c r="S29" s="81">
        <v>1093.7482855097101</v>
      </c>
      <c r="T29" s="81">
        <v>1147.14432019929</v>
      </c>
      <c r="U29" s="81">
        <v>1158.3079809518699</v>
      </c>
      <c r="V29" s="81">
        <v>1123.3185766497099</v>
      </c>
      <c r="W29" s="81">
        <v>1052.1000878421501</v>
      </c>
      <c r="X29" s="81">
        <v>994.031593089853</v>
      </c>
      <c r="Y29" s="81">
        <v>1011.06081589699</v>
      </c>
      <c r="Z29" s="81">
        <v>1083.93982416216</v>
      </c>
      <c r="AA29" s="81">
        <v>1119.7071174166599</v>
      </c>
      <c r="AB29" s="81">
        <v>1142.1353373122799</v>
      </c>
      <c r="AC29" s="81">
        <v>1215.9433376822799</v>
      </c>
      <c r="AD29" s="81">
        <v>1319.4599704111699</v>
      </c>
      <c r="AE29" s="81">
        <v>1386.68716509263</v>
      </c>
      <c r="AF29" s="81">
        <v>1398.29047083349</v>
      </c>
      <c r="AG29" s="81">
        <v>1362.1176627816601</v>
      </c>
      <c r="AH29" s="81">
        <v>1306.58205482678</v>
      </c>
      <c r="AI29" s="81">
        <v>1271.5561068346301</v>
      </c>
      <c r="AJ29" s="81">
        <v>1240.22350680053</v>
      </c>
      <c r="AK29" s="81">
        <v>1190.0515598137199</v>
      </c>
      <c r="AL29" s="81">
        <v>1155.2725670744601</v>
      </c>
      <c r="AM29" s="81">
        <v>1190.4066827424001</v>
      </c>
      <c r="AN29" s="81">
        <v>1250.7386884565799</v>
      </c>
      <c r="AO29" s="81">
        <v>1280.6455606028101</v>
      </c>
      <c r="AP29" s="81">
        <v>1279.81545664386</v>
      </c>
      <c r="AQ29" s="81">
        <v>1314.5319440139299</v>
      </c>
      <c r="AR29" s="81">
        <v>1396.06142944766</v>
      </c>
      <c r="AS29" s="81">
        <v>1441.5248655293001</v>
      </c>
      <c r="AT29" s="81">
        <v>1396.0372541432801</v>
      </c>
      <c r="AU29" s="81">
        <v>1316.8188893414101</v>
      </c>
      <c r="AV29" s="81">
        <v>1312.2394629897501</v>
      </c>
      <c r="AW29" s="81">
        <v>1372.05855468655</v>
      </c>
      <c r="AX29" s="81">
        <v>1408.5295805308499</v>
      </c>
      <c r="AY29" s="81">
        <v>1358.0184856625201</v>
      </c>
      <c r="AZ29" s="81">
        <v>1299.7934813841</v>
      </c>
      <c r="BA29" s="81">
        <v>1308.5660387711</v>
      </c>
      <c r="BB29" s="81">
        <v>1389.1382793949799</v>
      </c>
      <c r="BC29" s="81">
        <v>1381.0062237986399</v>
      </c>
      <c r="BD29" s="81">
        <v>1298.68912755461</v>
      </c>
      <c r="BE29" s="81">
        <v>1293.3534660677301</v>
      </c>
      <c r="BF29" s="81">
        <v>1334.65807770428</v>
      </c>
      <c r="BG29" s="81">
        <v>1353.7312467021</v>
      </c>
      <c r="BH29" s="81">
        <v>1349.5276705471699</v>
      </c>
      <c r="BI29" s="81">
        <v>1330.87137073953</v>
      </c>
      <c r="BJ29" s="81">
        <v>1343.5341769039101</v>
      </c>
      <c r="BK29" s="81">
        <v>1448.1710650468699</v>
      </c>
      <c r="BL29" s="81">
        <v>1486.1601872808401</v>
      </c>
      <c r="BM29" s="81">
        <v>1439.2911898935499</v>
      </c>
      <c r="BN29" s="81">
        <v>1389.8757501401001</v>
      </c>
      <c r="BO29" s="81">
        <v>1406.30461284326</v>
      </c>
      <c r="BP29" s="81">
        <v>1448.27921682642</v>
      </c>
      <c r="BQ29" s="81">
        <v>1485.3365651439699</v>
      </c>
      <c r="BR29" s="81">
        <v>1524.3484328538</v>
      </c>
      <c r="BS29" s="81">
        <v>1544.71270846986</v>
      </c>
      <c r="BT29" s="81">
        <v>1567.5169595489699</v>
      </c>
      <c r="BU29" s="81">
        <v>1588.05469887445</v>
      </c>
      <c r="BV29" s="81">
        <v>1605.9355749700501</v>
      </c>
    </row>
    <row r="30" spans="1:74" ht="17.100000000000001" customHeight="1" x14ac:dyDescent="0.2">
      <c r="A30" s="82" t="s">
        <v>58</v>
      </c>
      <c r="B30" s="81"/>
      <c r="C30" s="81"/>
      <c r="D30" s="81"/>
      <c r="E30" s="81"/>
      <c r="F30" s="81"/>
      <c r="G30" s="81"/>
      <c r="H30" s="81">
        <v>626.92978715489403</v>
      </c>
      <c r="I30" s="81">
        <v>631.340270891773</v>
      </c>
      <c r="J30" s="81">
        <v>635.26481513133899</v>
      </c>
      <c r="K30" s="81">
        <v>639.89214593246402</v>
      </c>
      <c r="L30" s="81">
        <v>652.15815416631006</v>
      </c>
      <c r="M30" s="81">
        <v>670.045066103203</v>
      </c>
      <c r="N30" s="81">
        <v>674.47843972557405</v>
      </c>
      <c r="O30" s="81">
        <v>677.37349561923997</v>
      </c>
      <c r="P30" s="81">
        <v>688.24388207149605</v>
      </c>
      <c r="Q30" s="81">
        <v>694.50447338994502</v>
      </c>
      <c r="R30" s="81">
        <v>687.719691116783</v>
      </c>
      <c r="S30" s="81">
        <v>694.32721370633999</v>
      </c>
      <c r="T30" s="81">
        <v>713.17576742765402</v>
      </c>
      <c r="U30" s="81">
        <v>719.77521993958396</v>
      </c>
      <c r="V30" s="81">
        <v>718.98344954035304</v>
      </c>
      <c r="W30" s="81">
        <v>707.05912108940402</v>
      </c>
      <c r="X30" s="81">
        <v>679.95533459163698</v>
      </c>
      <c r="Y30" s="81">
        <v>677.52348945872097</v>
      </c>
      <c r="Z30" s="81">
        <v>710.11449929442495</v>
      </c>
      <c r="AA30" s="81">
        <v>732.65546758170899</v>
      </c>
      <c r="AB30" s="81">
        <v>753.24888019198499</v>
      </c>
      <c r="AC30" s="81">
        <v>795.17501154427202</v>
      </c>
      <c r="AD30" s="81">
        <v>839.85938946341298</v>
      </c>
      <c r="AE30" s="81">
        <v>858.83390547204601</v>
      </c>
      <c r="AF30" s="81">
        <v>854.67640802467895</v>
      </c>
      <c r="AG30" s="81">
        <v>838.32806470774199</v>
      </c>
      <c r="AH30" s="81">
        <v>821.958460461615</v>
      </c>
      <c r="AI30" s="81">
        <v>808.143861417881</v>
      </c>
      <c r="AJ30" s="81">
        <v>799.08603613435002</v>
      </c>
      <c r="AK30" s="81">
        <v>800.84290136917605</v>
      </c>
      <c r="AL30" s="81">
        <v>832.96261235684199</v>
      </c>
      <c r="AM30" s="81">
        <v>889.45939878072295</v>
      </c>
      <c r="AN30" s="81">
        <v>942.115360889302</v>
      </c>
      <c r="AO30" s="81">
        <v>974.91296412532495</v>
      </c>
      <c r="AP30" s="81">
        <v>980.36235044124101</v>
      </c>
      <c r="AQ30" s="81">
        <v>990.48337604715095</v>
      </c>
      <c r="AR30" s="81">
        <v>1003.01322434428</v>
      </c>
      <c r="AS30" s="81">
        <v>1005.44592966968</v>
      </c>
      <c r="AT30" s="81">
        <v>1012.02740761775</v>
      </c>
      <c r="AU30" s="81">
        <v>1040.4309210689</v>
      </c>
      <c r="AV30" s="81">
        <v>1051.6798901857301</v>
      </c>
      <c r="AW30" s="81">
        <v>1045.7512786811201</v>
      </c>
      <c r="AX30" s="81">
        <v>1043.5753850011599</v>
      </c>
      <c r="AY30" s="81">
        <v>1059.8225496897401</v>
      </c>
      <c r="AZ30" s="81">
        <v>1082.9410739126299</v>
      </c>
      <c r="BA30" s="81">
        <v>1079.4779133479101</v>
      </c>
      <c r="BB30" s="81">
        <v>1068.7399897165999</v>
      </c>
      <c r="BC30" s="81">
        <v>1083.62853664829</v>
      </c>
      <c r="BD30" s="81">
        <v>1137.6182735044499</v>
      </c>
      <c r="BE30" s="81">
        <v>1191.5456062317201</v>
      </c>
      <c r="BF30" s="81">
        <v>1209.86105032303</v>
      </c>
      <c r="BG30" s="81">
        <v>1222.2682008895399</v>
      </c>
      <c r="BH30" s="81">
        <v>1261.5070218173801</v>
      </c>
      <c r="BI30" s="81">
        <v>1279.5380707892</v>
      </c>
      <c r="BJ30" s="81">
        <v>1251.9683972871801</v>
      </c>
      <c r="BK30" s="81">
        <v>1217.8972990466</v>
      </c>
      <c r="BL30" s="81">
        <v>1206.16164851076</v>
      </c>
      <c r="BM30" s="81">
        <v>1247.62262014058</v>
      </c>
      <c r="BN30" s="81">
        <v>1326.84616583659</v>
      </c>
      <c r="BO30" s="81">
        <v>1355.81396262765</v>
      </c>
      <c r="BP30" s="81">
        <v>1329.8681385347099</v>
      </c>
      <c r="BQ30" s="81">
        <v>1314.60674330644</v>
      </c>
      <c r="BR30" s="81">
        <v>1310.20759457963</v>
      </c>
      <c r="BS30" s="81">
        <v>1318.4423698706501</v>
      </c>
      <c r="BT30" s="81">
        <v>1360.32493896249</v>
      </c>
      <c r="BU30" s="81">
        <v>1382.92416088849</v>
      </c>
      <c r="BV30" s="81">
        <v>1374.57852092488</v>
      </c>
    </row>
    <row r="31" spans="1:74" ht="17.100000000000001" customHeight="1" x14ac:dyDescent="0.2">
      <c r="A31" s="82" t="s">
        <v>71</v>
      </c>
      <c r="B31" s="81"/>
      <c r="C31" s="81"/>
      <c r="D31" s="81"/>
      <c r="E31" s="81"/>
      <c r="F31" s="81"/>
      <c r="G31" s="81"/>
      <c r="H31" s="81">
        <v>12.7116122055624</v>
      </c>
      <c r="I31" s="81">
        <v>16.978690184659001</v>
      </c>
      <c r="J31" s="81">
        <v>21.731734116876201</v>
      </c>
      <c r="K31" s="81">
        <v>26.471082084295499</v>
      </c>
      <c r="L31" s="81">
        <v>31.584307960841599</v>
      </c>
      <c r="M31" s="81">
        <v>36.358375466538902</v>
      </c>
      <c r="N31" s="81">
        <v>9.6136086967457803</v>
      </c>
      <c r="O31" s="81">
        <v>12.3174603383369</v>
      </c>
      <c r="P31" s="81">
        <v>17.164419628800001</v>
      </c>
      <c r="Q31" s="81">
        <v>23.866191027533699</v>
      </c>
      <c r="R31" s="81">
        <v>28.0370091412431</v>
      </c>
      <c r="S31" s="81">
        <v>27.7613076902628</v>
      </c>
      <c r="T31" s="81">
        <v>26.168752876264101</v>
      </c>
      <c r="U31" s="81">
        <v>23.461470336679199</v>
      </c>
      <c r="V31" s="81">
        <v>20.929287163272001</v>
      </c>
      <c r="W31" s="81">
        <v>20.818085319838101</v>
      </c>
      <c r="X31" s="81">
        <v>22.1917774363558</v>
      </c>
      <c r="Y31" s="81">
        <v>24.4741611378088</v>
      </c>
      <c r="Z31" s="81">
        <v>27.189889377610399</v>
      </c>
      <c r="AA31" s="81">
        <v>27.905220674168799</v>
      </c>
      <c r="AB31" s="81">
        <v>26.736965275690999</v>
      </c>
      <c r="AC31" s="81">
        <v>25.1657907025557</v>
      </c>
      <c r="AD31" s="81">
        <v>26.2119164055635</v>
      </c>
      <c r="AE31" s="81">
        <v>27.597631771058801</v>
      </c>
      <c r="AF31" s="81">
        <v>27.387578965606</v>
      </c>
      <c r="AG31" s="81">
        <v>26.763849963663102</v>
      </c>
      <c r="AH31" s="81">
        <v>25.445912358269702</v>
      </c>
      <c r="AI31" s="81">
        <v>22.961918130988099</v>
      </c>
      <c r="AJ31" s="81">
        <v>22.654546878307201</v>
      </c>
      <c r="AK31" s="81">
        <v>25.696800628916499</v>
      </c>
      <c r="AL31" s="81">
        <v>32.767226326864602</v>
      </c>
      <c r="AM31" s="81">
        <v>41.629686125286199</v>
      </c>
      <c r="AN31" s="81">
        <v>49.130520583456303</v>
      </c>
      <c r="AO31" s="81">
        <v>54.743577852711397</v>
      </c>
      <c r="AP31" s="81">
        <v>59.037256235950203</v>
      </c>
      <c r="AQ31" s="81">
        <v>63.334061831373504</v>
      </c>
      <c r="AR31" s="81">
        <v>65.861236267793899</v>
      </c>
      <c r="AS31" s="81">
        <v>66.679245650529495</v>
      </c>
      <c r="AT31" s="81">
        <v>66.466781739999803</v>
      </c>
      <c r="AU31" s="81">
        <v>66.107723974830904</v>
      </c>
      <c r="AV31" s="81">
        <v>65.655459452052796</v>
      </c>
      <c r="AW31" s="81">
        <v>66.519439521207701</v>
      </c>
      <c r="AX31" s="81">
        <v>60.977017332692299</v>
      </c>
      <c r="AY31" s="81">
        <v>50.799774968500202</v>
      </c>
      <c r="AZ31" s="81">
        <v>47.551849752501703</v>
      </c>
      <c r="BA31" s="81">
        <v>50.198470876795398</v>
      </c>
      <c r="BB31" s="81">
        <v>53.932856468323898</v>
      </c>
      <c r="BC31" s="81">
        <v>58.201940491005701</v>
      </c>
      <c r="BD31" s="81">
        <v>59.411296879817598</v>
      </c>
      <c r="BE31" s="81">
        <v>52.1681546016721</v>
      </c>
      <c r="BF31" s="81">
        <v>46.193711065870801</v>
      </c>
      <c r="BG31" s="81">
        <v>43.3703969982</v>
      </c>
      <c r="BH31" s="81">
        <v>46.211188737001102</v>
      </c>
      <c r="BI31" s="81">
        <v>51.599213590464899</v>
      </c>
      <c r="BJ31" s="81">
        <v>59.901441011566298</v>
      </c>
      <c r="BK31" s="81">
        <v>64.467360211444699</v>
      </c>
      <c r="BL31" s="81">
        <v>60.902977601378197</v>
      </c>
      <c r="BM31" s="81">
        <v>56.007738342122501</v>
      </c>
      <c r="BN31" s="81">
        <v>56.9676728112915</v>
      </c>
      <c r="BO31" s="81">
        <v>60.085285771710403</v>
      </c>
      <c r="BP31" s="81">
        <v>60.217763991992598</v>
      </c>
      <c r="BQ31" s="81">
        <v>61.737303172444797</v>
      </c>
      <c r="BR31" s="81">
        <v>58.1669091079021</v>
      </c>
      <c r="BS31" s="81">
        <v>56.357715050262797</v>
      </c>
      <c r="BT31" s="81">
        <v>58.0847269839416</v>
      </c>
      <c r="BU31" s="81">
        <v>61.065516556359398</v>
      </c>
      <c r="BV31" s="81">
        <v>60.783527428739099</v>
      </c>
    </row>
    <row r="32" spans="1:74" ht="17.100000000000001" customHeight="1" x14ac:dyDescent="0.2">
      <c r="A32" s="82" t="s">
        <v>17</v>
      </c>
      <c r="B32" s="81"/>
      <c r="C32" s="81"/>
      <c r="D32" s="81"/>
      <c r="E32" s="81"/>
      <c r="F32" s="81"/>
      <c r="G32" s="81"/>
      <c r="H32" s="81">
        <v>508.138325120773</v>
      </c>
      <c r="I32" s="81">
        <v>507.30786285417503</v>
      </c>
      <c r="J32" s="81">
        <v>508.91588393624102</v>
      </c>
      <c r="K32" s="81">
        <v>511.37422265021598</v>
      </c>
      <c r="L32" s="81">
        <v>514.42751662729495</v>
      </c>
      <c r="M32" s="81">
        <v>519.354454121289</v>
      </c>
      <c r="N32" s="81">
        <v>525.87373149783696</v>
      </c>
      <c r="O32" s="81">
        <v>535.63883015892895</v>
      </c>
      <c r="P32" s="81">
        <v>547.64916832921699</v>
      </c>
      <c r="Q32" s="81">
        <v>558.31718918180002</v>
      </c>
      <c r="R32" s="81">
        <v>566.41203855949402</v>
      </c>
      <c r="S32" s="81">
        <v>572.74105450523905</v>
      </c>
      <c r="T32" s="81">
        <v>578.04854956321799</v>
      </c>
      <c r="U32" s="81">
        <v>584.96279998101897</v>
      </c>
      <c r="V32" s="81">
        <v>597.00529156479695</v>
      </c>
      <c r="W32" s="81">
        <v>610.39205225009198</v>
      </c>
      <c r="X32" s="81">
        <v>621.63454538479402</v>
      </c>
      <c r="Y32" s="81">
        <v>632.51255720624204</v>
      </c>
      <c r="Z32" s="81">
        <v>646.64269890462697</v>
      </c>
      <c r="AA32" s="81">
        <v>663.81369625632306</v>
      </c>
      <c r="AB32" s="81">
        <v>682.11463875543495</v>
      </c>
      <c r="AC32" s="81">
        <v>699.14612638688902</v>
      </c>
      <c r="AD32" s="81">
        <v>715.66474535992597</v>
      </c>
      <c r="AE32" s="81">
        <v>735.32343602804201</v>
      </c>
      <c r="AF32" s="81">
        <v>757.36508819215396</v>
      </c>
      <c r="AG32" s="81">
        <v>774.35484637873799</v>
      </c>
      <c r="AH32" s="81">
        <v>779.52352129356802</v>
      </c>
      <c r="AI32" s="81">
        <v>773.59419811902205</v>
      </c>
      <c r="AJ32" s="81">
        <v>760.86921193307899</v>
      </c>
      <c r="AK32" s="81">
        <v>748.04819218997795</v>
      </c>
      <c r="AL32" s="81">
        <v>738.76736373797303</v>
      </c>
      <c r="AM32" s="81">
        <v>732.82347058716505</v>
      </c>
      <c r="AN32" s="81">
        <v>730.69559766022098</v>
      </c>
      <c r="AO32" s="81">
        <v>733.41391240914197</v>
      </c>
      <c r="AP32" s="81">
        <v>738.75411829711504</v>
      </c>
      <c r="AQ32" s="81">
        <v>747.87798365134199</v>
      </c>
      <c r="AR32" s="81">
        <v>759.66132865581903</v>
      </c>
      <c r="AS32" s="81">
        <v>768.94884043658101</v>
      </c>
      <c r="AT32" s="81">
        <v>774.58309507055799</v>
      </c>
      <c r="AU32" s="81">
        <v>778.23929322396896</v>
      </c>
      <c r="AV32" s="81">
        <v>780.01445154143403</v>
      </c>
      <c r="AW32" s="81">
        <v>780.66630017897603</v>
      </c>
      <c r="AX32" s="81">
        <v>781.88182670979302</v>
      </c>
      <c r="AY32" s="81">
        <v>783.55956187916604</v>
      </c>
      <c r="AZ32" s="81">
        <v>787.88416640622302</v>
      </c>
      <c r="BA32" s="81">
        <v>797.58543954045399</v>
      </c>
      <c r="BB32" s="81">
        <v>810.80875813208399</v>
      </c>
      <c r="BC32" s="81">
        <v>822.96294694059202</v>
      </c>
      <c r="BD32" s="81">
        <v>832.08405838039505</v>
      </c>
      <c r="BE32" s="81">
        <v>838.64573979424904</v>
      </c>
      <c r="BF32" s="81">
        <v>845.44480323482696</v>
      </c>
      <c r="BG32" s="81">
        <v>852.76431023958605</v>
      </c>
      <c r="BH32" s="81">
        <v>858.40093016057097</v>
      </c>
      <c r="BI32" s="81">
        <v>862.47306954744499</v>
      </c>
      <c r="BJ32" s="81">
        <v>865.50664952648197</v>
      </c>
      <c r="BK32" s="81">
        <v>868.89912883463103</v>
      </c>
      <c r="BL32" s="81">
        <v>875.34795289682802</v>
      </c>
      <c r="BM32" s="81">
        <v>883.39988816229004</v>
      </c>
      <c r="BN32" s="81">
        <v>888.27339491632301</v>
      </c>
      <c r="BO32" s="81">
        <v>889.16145173057896</v>
      </c>
      <c r="BP32" s="81">
        <v>888.74402092748596</v>
      </c>
      <c r="BQ32" s="81">
        <v>890.86297355861802</v>
      </c>
      <c r="BR32" s="81">
        <v>897.55233561677505</v>
      </c>
      <c r="BS32" s="81">
        <v>906.19140703096002</v>
      </c>
      <c r="BT32" s="81">
        <v>909.17205526622695</v>
      </c>
      <c r="BU32" s="81">
        <v>901.46424638379301</v>
      </c>
      <c r="BV32" s="81">
        <v>890.18552685454495</v>
      </c>
    </row>
    <row r="33" spans="1:74" ht="17.100000000000001" customHeight="1" x14ac:dyDescent="0.2">
      <c r="A33" s="82" t="s">
        <v>59</v>
      </c>
      <c r="B33" s="81"/>
      <c r="C33" s="81"/>
      <c r="D33" s="81"/>
      <c r="E33" s="81"/>
      <c r="F33" s="81"/>
      <c r="G33" s="81"/>
      <c r="H33" s="81">
        <v>184.33417837203299</v>
      </c>
      <c r="I33" s="81">
        <v>186.22381887120301</v>
      </c>
      <c r="J33" s="81">
        <v>187.85807928906701</v>
      </c>
      <c r="K33" s="81">
        <v>189.190374344769</v>
      </c>
      <c r="L33" s="81">
        <v>190.29405197159701</v>
      </c>
      <c r="M33" s="81">
        <v>191.277883062744</v>
      </c>
      <c r="N33" s="81">
        <v>192.19837760700301</v>
      </c>
      <c r="O33" s="81">
        <v>193.05449683897399</v>
      </c>
      <c r="P33" s="81">
        <v>193.865858460239</v>
      </c>
      <c r="Q33" s="81">
        <v>194.683141721076</v>
      </c>
      <c r="R33" s="81">
        <v>195.538553068531</v>
      </c>
      <c r="S33" s="81">
        <v>196.44309933994199</v>
      </c>
      <c r="T33" s="81">
        <v>197.41408078821101</v>
      </c>
      <c r="U33" s="81">
        <v>198.481367661977</v>
      </c>
      <c r="V33" s="81">
        <v>199.67073316964499</v>
      </c>
      <c r="W33" s="81">
        <v>201.003096505597</v>
      </c>
      <c r="X33" s="81">
        <v>202.46692877545101</v>
      </c>
      <c r="Y33" s="81">
        <v>204.02441157779299</v>
      </c>
      <c r="Z33" s="81">
        <v>205.635357505027</v>
      </c>
      <c r="AA33" s="81">
        <v>207.25424287774899</v>
      </c>
      <c r="AB33" s="81">
        <v>208.818010822914</v>
      </c>
      <c r="AC33" s="81">
        <v>210.26929877465199</v>
      </c>
      <c r="AD33" s="81">
        <v>211.571640975229</v>
      </c>
      <c r="AE33" s="81">
        <v>213.630731577234</v>
      </c>
      <c r="AF33" s="81">
        <v>214.75144503086699</v>
      </c>
      <c r="AG33" s="81">
        <v>215.94536247388299</v>
      </c>
      <c r="AH33" s="81">
        <v>217.29705893349501</v>
      </c>
      <c r="AI33" s="81">
        <v>218.81291452521401</v>
      </c>
      <c r="AJ33" s="81">
        <v>220.42675477883199</v>
      </c>
      <c r="AK33" s="81">
        <v>222.05257720133801</v>
      </c>
      <c r="AL33" s="81">
        <v>223.64712258481799</v>
      </c>
      <c r="AM33" s="81">
        <v>225.21008033015701</v>
      </c>
      <c r="AN33" s="81">
        <v>226.75971506753001</v>
      </c>
      <c r="AO33" s="81">
        <v>228.315273931755</v>
      </c>
      <c r="AP33" s="81">
        <v>229.883324334425</v>
      </c>
      <c r="AQ33" s="81">
        <v>231.466338698274</v>
      </c>
      <c r="AR33" s="81">
        <v>233.06990698385999</v>
      </c>
      <c r="AS33" s="81">
        <v>234.68315374231099</v>
      </c>
      <c r="AT33" s="81">
        <v>236.293278177546</v>
      </c>
      <c r="AU33" s="81">
        <v>237.909468130855</v>
      </c>
      <c r="AV33" s="81">
        <v>239.54012472959101</v>
      </c>
      <c r="AW33" s="81">
        <v>241.17477186545099</v>
      </c>
      <c r="AX33" s="81">
        <v>242.80105301125499</v>
      </c>
      <c r="AY33" s="81">
        <v>244.42609635583901</v>
      </c>
      <c r="AZ33" s="81">
        <v>246.06942555498799</v>
      </c>
      <c r="BA33" s="81">
        <v>247.74379552536701</v>
      </c>
      <c r="BB33" s="81">
        <v>249.44251192362401</v>
      </c>
      <c r="BC33" s="81">
        <v>251.154725038262</v>
      </c>
      <c r="BD33" s="81">
        <v>252.878705897835</v>
      </c>
      <c r="BE33" s="81">
        <v>254.60639844033199</v>
      </c>
      <c r="BF33" s="81">
        <v>256.32581317291402</v>
      </c>
      <c r="BG33" s="81">
        <v>258.04202195611799</v>
      </c>
      <c r="BH33" s="81">
        <v>259.772874925358</v>
      </c>
      <c r="BI33" s="81">
        <v>261.53487904442699</v>
      </c>
      <c r="BJ33" s="81">
        <v>263.33322286276501</v>
      </c>
      <c r="BK33" s="81">
        <v>265.14866762949902</v>
      </c>
      <c r="BL33" s="81">
        <v>266.96080266683202</v>
      </c>
      <c r="BM33" s="81">
        <v>268.77546918677598</v>
      </c>
      <c r="BN33" s="81">
        <v>270.59729167032299</v>
      </c>
      <c r="BO33" s="81">
        <v>272.41912863812797</v>
      </c>
      <c r="BP33" s="81">
        <v>274.249174002242</v>
      </c>
      <c r="BQ33" s="81">
        <v>276.10670477024303</v>
      </c>
      <c r="BR33" s="81">
        <v>277.99642162505103</v>
      </c>
      <c r="BS33" s="81">
        <v>279.90273354904798</v>
      </c>
      <c r="BT33" s="81">
        <v>281.81295527926602</v>
      </c>
      <c r="BU33" s="81">
        <v>283.72944990297401</v>
      </c>
      <c r="BV33" s="81">
        <v>285.650826668251</v>
      </c>
    </row>
    <row r="34" spans="1:74" ht="17.100000000000001" customHeight="1" x14ac:dyDescent="0.2">
      <c r="A34" s="83"/>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row>
    <row r="35" spans="1:74" s="91" customFormat="1" ht="17.100000000000001" customHeight="1" x14ac:dyDescent="0.2">
      <c r="A35" s="160" t="s">
        <v>95</v>
      </c>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row>
    <row r="36" spans="1:74" s="11" customFormat="1" ht="17.100000000000001" customHeight="1" thickBot="1" x14ac:dyDescent="0.25">
      <c r="A36" s="51" t="s">
        <v>19</v>
      </c>
      <c r="B36" s="84"/>
      <c r="C36" s="84"/>
      <c r="D36" s="84"/>
      <c r="E36" s="84"/>
      <c r="F36" s="84"/>
      <c r="G36" s="84"/>
      <c r="H36" s="84">
        <v>1159.55075875018</v>
      </c>
      <c r="I36" s="84">
        <v>1084.4033772304899</v>
      </c>
      <c r="J36" s="84">
        <v>1055.13169629258</v>
      </c>
      <c r="K36" s="84">
        <v>1094.74961189738</v>
      </c>
      <c r="L36" s="84">
        <v>1176.7309065130801</v>
      </c>
      <c r="M36" s="84">
        <v>1241.95185115505</v>
      </c>
      <c r="N36" s="84">
        <v>1249.21393085109</v>
      </c>
      <c r="O36" s="84">
        <v>1250.8631404134201</v>
      </c>
      <c r="P36" s="84">
        <v>1318.4706433092001</v>
      </c>
      <c r="Q36" s="84">
        <v>1415.7101545252599</v>
      </c>
      <c r="R36" s="84">
        <v>1461.0856495928499</v>
      </c>
      <c r="S36" s="84">
        <v>1460.1589694322599</v>
      </c>
      <c r="T36" s="84">
        <v>1418.2467399244799</v>
      </c>
      <c r="U36" s="84">
        <v>1388.8833241336499</v>
      </c>
      <c r="V36" s="84">
        <v>1416.4887005167</v>
      </c>
      <c r="W36" s="84">
        <v>1468.1884815974099</v>
      </c>
      <c r="X36" s="84">
        <v>1491.6005147272899</v>
      </c>
      <c r="Y36" s="84">
        <v>1532.6478221062</v>
      </c>
      <c r="Z36" s="84">
        <v>1573.9586816482699</v>
      </c>
      <c r="AA36" s="84">
        <v>1580.85912696018</v>
      </c>
      <c r="AB36" s="84">
        <v>1596.0574083726401</v>
      </c>
      <c r="AC36" s="84">
        <v>1651.15875966811</v>
      </c>
      <c r="AD36" s="84">
        <v>1723.53372636567</v>
      </c>
      <c r="AE36" s="84">
        <v>1749.11021818624</v>
      </c>
      <c r="AF36" s="84">
        <v>1738.50624569505</v>
      </c>
      <c r="AG36" s="84">
        <v>1703.31192814257</v>
      </c>
      <c r="AH36" s="84">
        <v>1705.95261167227</v>
      </c>
      <c r="AI36" s="84">
        <v>1774.9239489157101</v>
      </c>
      <c r="AJ36" s="84">
        <v>1862.88420097472</v>
      </c>
      <c r="AK36" s="84">
        <v>1911.2443492231901</v>
      </c>
      <c r="AL36" s="84">
        <v>1951.01684760331</v>
      </c>
      <c r="AM36" s="84">
        <v>1991.4506819714099</v>
      </c>
      <c r="AN36" s="84">
        <v>2002.0220323389201</v>
      </c>
      <c r="AO36" s="84">
        <v>1986.03702817965</v>
      </c>
      <c r="AP36" s="84">
        <v>1977.73824526825</v>
      </c>
      <c r="AQ36" s="84">
        <v>1991.0944478111101</v>
      </c>
      <c r="AR36" s="84">
        <v>2007.5534609695701</v>
      </c>
      <c r="AS36" s="84">
        <v>2062.1636687545601</v>
      </c>
      <c r="AT36" s="84">
        <v>2121.5786271870102</v>
      </c>
      <c r="AU36" s="84">
        <v>2152.10808304186</v>
      </c>
      <c r="AV36" s="84">
        <v>2205.3572498044</v>
      </c>
      <c r="AW36" s="84">
        <v>2219.1086205415299</v>
      </c>
      <c r="AX36" s="84">
        <v>2177.97048583791</v>
      </c>
      <c r="AY36" s="84">
        <v>2147.9972538739698</v>
      </c>
      <c r="AZ36" s="84">
        <v>2149.8566453447902</v>
      </c>
      <c r="BA36" s="84">
        <v>2137.5270181810702</v>
      </c>
      <c r="BB36" s="84">
        <v>2147.9298350111599</v>
      </c>
      <c r="BC36" s="84">
        <v>2174.9723929414399</v>
      </c>
      <c r="BD36" s="84">
        <v>2248.6644812296499</v>
      </c>
      <c r="BE36" s="84">
        <v>2373.1084072076901</v>
      </c>
      <c r="BF36" s="84">
        <v>2463.4477876208998</v>
      </c>
      <c r="BG36" s="84">
        <v>2447.8678100584998</v>
      </c>
      <c r="BH36" s="84">
        <v>2425.5987985117599</v>
      </c>
      <c r="BI36" s="84">
        <v>2494.0869092589801</v>
      </c>
      <c r="BJ36" s="84">
        <v>2607.7459055519298</v>
      </c>
      <c r="BK36" s="84">
        <v>2699.5630504415799</v>
      </c>
      <c r="BL36" s="84">
        <v>2718.7423016421399</v>
      </c>
      <c r="BM36" s="84">
        <v>2719.05685015974</v>
      </c>
      <c r="BN36" s="84">
        <v>2753.5235305451201</v>
      </c>
      <c r="BO36" s="84">
        <v>2851.4611083793002</v>
      </c>
      <c r="BP36" s="84">
        <v>2942.5690036076899</v>
      </c>
      <c r="BQ36" s="84">
        <v>2960.4515264439101</v>
      </c>
      <c r="BR36" s="84">
        <v>2955.015065949</v>
      </c>
      <c r="BS36" s="84">
        <v>3020.9878249089202</v>
      </c>
      <c r="BT36" s="84">
        <v>3094.0603775735999</v>
      </c>
      <c r="BU36" s="84">
        <v>3191.5626386583499</v>
      </c>
      <c r="BV36" s="84">
        <v>3327.9667890483902</v>
      </c>
    </row>
    <row r="37" spans="1:74" x14ac:dyDescent="0.2">
      <c r="A37" s="13" t="s">
        <v>50</v>
      </c>
      <c r="B37" s="85"/>
    </row>
    <row r="38" spans="1:74" x14ac:dyDescent="0.2">
      <c r="Z38" s="1">
        <v>8.5</v>
      </c>
    </row>
  </sheetData>
  <mergeCells count="17">
    <mergeCell ref="AR3:AU3"/>
    <mergeCell ref="BL3:BO3"/>
    <mergeCell ref="BT3:BV3"/>
    <mergeCell ref="BP3:BS3"/>
    <mergeCell ref="BH3:BK3"/>
    <mergeCell ref="B3:C3"/>
    <mergeCell ref="D3:G3"/>
    <mergeCell ref="H3:K3"/>
    <mergeCell ref="L3:O3"/>
    <mergeCell ref="P3:S3"/>
    <mergeCell ref="AN3:AQ3"/>
    <mergeCell ref="BD3:BG3"/>
    <mergeCell ref="AF3:AI3"/>
    <mergeCell ref="T3:W3"/>
    <mergeCell ref="AJ3:AM3"/>
    <mergeCell ref="AZ3:BC3"/>
    <mergeCell ref="AV3:AY3"/>
  </mergeCells>
  <phoneticPr fontId="31" type="noConversion"/>
  <pageMargins left="0.51181102362204722" right="0" top="0.51181102362204722" bottom="0" header="0" footer="0"/>
  <pageSetup paperSize="9" scale="4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BV38"/>
  <sheetViews>
    <sheetView showGridLines="0" view="pageBreakPreview" zoomScaleSheetLayoutView="100" workbookViewId="0">
      <pane xSplit="11" ySplit="4" topLeftCell="AJ5" activePane="bottomRight" state="frozen"/>
      <selection activeCell="AP1" sqref="AP1"/>
      <selection pane="topRight" activeCell="AP1" sqref="AP1"/>
      <selection pane="bottomLeft" activeCell="AP1" sqref="AP1"/>
      <selection pane="bottomRight" activeCell="AP1" sqref="AP1"/>
    </sheetView>
  </sheetViews>
  <sheetFormatPr defaultColWidth="9.140625" defaultRowHeight="11.25" x14ac:dyDescent="0.2"/>
  <cols>
    <col min="1" max="1" width="26.140625" style="1" customWidth="1"/>
    <col min="2" max="8" width="5.28515625" style="1" hidden="1" customWidth="1"/>
    <col min="9" max="15" width="5.7109375" style="1" hidden="1" customWidth="1"/>
    <col min="16" max="19" width="6.28515625" style="1" hidden="1" customWidth="1"/>
    <col min="20" max="35" width="6.7109375" style="1" hidden="1" customWidth="1"/>
    <col min="36" max="40" width="6.7109375" style="1" customWidth="1"/>
    <col min="41" max="41" width="7.28515625" style="1" customWidth="1"/>
    <col min="42" max="44" width="7.140625" style="1" customWidth="1"/>
    <col min="45" max="46" width="6.28515625" style="1" customWidth="1"/>
    <col min="47" max="47" width="6.5703125" style="1" customWidth="1"/>
    <col min="48" max="49" width="5.42578125" style="1" customWidth="1"/>
    <col min="50" max="50" width="6.7109375" style="1" customWidth="1"/>
    <col min="51" max="51" width="6.42578125" style="1" customWidth="1"/>
    <col min="52" max="57" width="6.5703125" style="1" customWidth="1"/>
    <col min="58" max="58" width="6.7109375" style="1" customWidth="1"/>
    <col min="59" max="59" width="6" style="1" customWidth="1"/>
    <col min="60" max="60" width="6.42578125" style="1" customWidth="1"/>
    <col min="61" max="61" width="6.7109375" style="1" customWidth="1"/>
    <col min="62" max="62" width="6.42578125" style="1" customWidth="1"/>
    <col min="63" max="63" width="5.42578125" style="1" customWidth="1"/>
    <col min="64" max="64" width="6.5703125" style="1" bestFit="1" customWidth="1"/>
    <col min="65" max="65" width="7.28515625" style="1" customWidth="1"/>
    <col min="66" max="66" width="7.42578125" style="1" customWidth="1"/>
    <col min="67" max="67" width="6.7109375" style="1" customWidth="1"/>
    <col min="68" max="68" width="7.42578125" style="1" customWidth="1"/>
    <col min="69" max="69" width="6.85546875" style="1" customWidth="1"/>
    <col min="70" max="16384" width="9.140625" style="1"/>
  </cols>
  <sheetData>
    <row r="1" spans="1:74" ht="16.5" customHeight="1" x14ac:dyDescent="0.2">
      <c r="A1" s="31" t="s">
        <v>185</v>
      </c>
      <c r="AK1" s="31"/>
    </row>
    <row r="2" spans="1:74" ht="2.2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row>
    <row r="3" spans="1:74" s="87" customFormat="1" ht="12" customHeight="1" x14ac:dyDescent="0.2">
      <c r="A3" s="86"/>
      <c r="B3" s="260" t="s">
        <v>67</v>
      </c>
      <c r="C3" s="260"/>
      <c r="D3" s="260" t="s">
        <v>66</v>
      </c>
      <c r="E3" s="260"/>
      <c r="F3" s="260"/>
      <c r="G3" s="260"/>
      <c r="H3" s="260" t="s">
        <v>60</v>
      </c>
      <c r="I3" s="260"/>
      <c r="J3" s="260"/>
      <c r="K3" s="260"/>
      <c r="L3" s="260" t="s">
        <v>61</v>
      </c>
      <c r="M3" s="260"/>
      <c r="N3" s="260"/>
      <c r="O3" s="260"/>
      <c r="P3" s="260" t="s">
        <v>62</v>
      </c>
      <c r="Q3" s="260"/>
      <c r="R3" s="260"/>
      <c r="S3" s="260"/>
      <c r="T3" s="260" t="s">
        <v>63</v>
      </c>
      <c r="U3" s="260"/>
      <c r="V3" s="260"/>
      <c r="W3" s="260"/>
      <c r="X3" s="86" t="s">
        <v>64</v>
      </c>
      <c r="Y3" s="86" t="s">
        <v>64</v>
      </c>
      <c r="Z3" s="86"/>
      <c r="AA3" s="86" t="s">
        <v>64</v>
      </c>
      <c r="AB3" s="86" t="s">
        <v>65</v>
      </c>
      <c r="AD3" s="86" t="s">
        <v>65</v>
      </c>
      <c r="AE3" s="86" t="s">
        <v>65</v>
      </c>
      <c r="AF3" s="260" t="s">
        <v>77</v>
      </c>
      <c r="AG3" s="260"/>
      <c r="AH3" s="260"/>
      <c r="AI3" s="260"/>
      <c r="AJ3" s="260" t="s">
        <v>80</v>
      </c>
      <c r="AK3" s="260"/>
      <c r="AL3" s="260"/>
      <c r="AM3" s="260"/>
      <c r="AN3" s="260" t="s">
        <v>92</v>
      </c>
      <c r="AO3" s="260"/>
      <c r="AP3" s="260"/>
      <c r="AQ3" s="260"/>
      <c r="AR3" s="260" t="s">
        <v>134</v>
      </c>
      <c r="AS3" s="260"/>
      <c r="AT3" s="260"/>
      <c r="AU3" s="260"/>
      <c r="AV3" s="260" t="s">
        <v>136</v>
      </c>
      <c r="AW3" s="260"/>
      <c r="AX3" s="260"/>
      <c r="AY3" s="260"/>
      <c r="AZ3" s="261" t="s">
        <v>137</v>
      </c>
      <c r="BA3" s="261"/>
      <c r="BB3" s="261"/>
      <c r="BC3" s="261"/>
      <c r="BD3" s="261" t="s">
        <v>138</v>
      </c>
      <c r="BE3" s="261"/>
      <c r="BF3" s="261"/>
      <c r="BG3" s="261"/>
      <c r="BH3" s="261" t="s">
        <v>139</v>
      </c>
      <c r="BI3" s="261"/>
      <c r="BJ3" s="261"/>
      <c r="BK3" s="261"/>
      <c r="BL3" s="261" t="s">
        <v>140</v>
      </c>
      <c r="BM3" s="261"/>
      <c r="BN3" s="261"/>
      <c r="BO3" s="261"/>
      <c r="BP3" s="261" t="s">
        <v>174</v>
      </c>
      <c r="BQ3" s="261"/>
      <c r="BR3" s="261"/>
      <c r="BS3" s="261"/>
      <c r="BT3" s="261" t="s">
        <v>175</v>
      </c>
      <c r="BU3" s="261"/>
      <c r="BV3" s="261"/>
    </row>
    <row r="4" spans="1:74" s="91" customFormat="1" ht="12" customHeight="1" x14ac:dyDescent="0.2">
      <c r="A4" s="88"/>
      <c r="B4" s="89" t="s">
        <v>48</v>
      </c>
      <c r="C4" s="89" t="s">
        <v>49</v>
      </c>
      <c r="D4" s="89" t="s">
        <v>46</v>
      </c>
      <c r="E4" s="89" t="s">
        <v>47</v>
      </c>
      <c r="F4" s="89" t="s">
        <v>48</v>
      </c>
      <c r="G4" s="89" t="s">
        <v>49</v>
      </c>
      <c r="H4" s="89" t="s">
        <v>46</v>
      </c>
      <c r="I4" s="89" t="s">
        <v>47</v>
      </c>
      <c r="J4" s="89" t="s">
        <v>48</v>
      </c>
      <c r="K4" s="89" t="s">
        <v>49</v>
      </c>
      <c r="L4" s="89" t="s">
        <v>46</v>
      </c>
      <c r="M4" s="89" t="s">
        <v>47</v>
      </c>
      <c r="N4" s="89" t="s">
        <v>48</v>
      </c>
      <c r="O4" s="89" t="s">
        <v>49</v>
      </c>
      <c r="P4" s="89" t="s">
        <v>46</v>
      </c>
      <c r="Q4" s="89" t="s">
        <v>47</v>
      </c>
      <c r="R4" s="89" t="s">
        <v>48</v>
      </c>
      <c r="S4" s="89" t="s">
        <v>49</v>
      </c>
      <c r="T4" s="89" t="s">
        <v>46</v>
      </c>
      <c r="U4" s="89" t="s">
        <v>47</v>
      </c>
      <c r="V4" s="89" t="s">
        <v>48</v>
      </c>
      <c r="W4" s="89" t="s">
        <v>49</v>
      </c>
      <c r="X4" s="89" t="s">
        <v>46</v>
      </c>
      <c r="Y4" s="89" t="s">
        <v>47</v>
      </c>
      <c r="Z4" s="89" t="s">
        <v>48</v>
      </c>
      <c r="AA4" s="89" t="s">
        <v>49</v>
      </c>
      <c r="AB4" s="89" t="s">
        <v>46</v>
      </c>
      <c r="AC4" s="89" t="s">
        <v>47</v>
      </c>
      <c r="AD4" s="89" t="s">
        <v>48</v>
      </c>
      <c r="AE4" s="89" t="s">
        <v>49</v>
      </c>
      <c r="AF4" s="89" t="s">
        <v>46</v>
      </c>
      <c r="AG4" s="89" t="s">
        <v>47</v>
      </c>
      <c r="AH4" s="89" t="s">
        <v>48</v>
      </c>
      <c r="AI4" s="89" t="s">
        <v>49</v>
      </c>
      <c r="AJ4" s="89" t="s">
        <v>46</v>
      </c>
      <c r="AK4" s="89" t="s">
        <v>47</v>
      </c>
      <c r="AL4" s="89" t="s">
        <v>48</v>
      </c>
      <c r="AM4" s="89" t="s">
        <v>49</v>
      </c>
      <c r="AN4" s="90" t="s">
        <v>46</v>
      </c>
      <c r="AO4" s="89" t="s">
        <v>47</v>
      </c>
      <c r="AP4" s="90" t="s">
        <v>48</v>
      </c>
      <c r="AQ4" s="90" t="s">
        <v>49</v>
      </c>
      <c r="AR4" s="90" t="s">
        <v>46</v>
      </c>
      <c r="AS4" s="90" t="s">
        <v>47</v>
      </c>
      <c r="AT4" s="90" t="s">
        <v>48</v>
      </c>
      <c r="AU4" s="90" t="s">
        <v>49</v>
      </c>
      <c r="AV4" s="90" t="s">
        <v>46</v>
      </c>
      <c r="AW4" s="90" t="s">
        <v>47</v>
      </c>
      <c r="AX4" s="90" t="s">
        <v>48</v>
      </c>
      <c r="AY4" s="90" t="s">
        <v>49</v>
      </c>
      <c r="AZ4" s="90" t="s">
        <v>46</v>
      </c>
      <c r="BA4" s="90" t="s">
        <v>47</v>
      </c>
      <c r="BB4" s="90" t="s">
        <v>48</v>
      </c>
      <c r="BC4" s="90" t="s">
        <v>49</v>
      </c>
      <c r="BD4" s="90" t="s">
        <v>46</v>
      </c>
      <c r="BE4" s="90" t="s">
        <v>47</v>
      </c>
      <c r="BF4" s="90" t="s">
        <v>48</v>
      </c>
      <c r="BG4" s="90" t="s">
        <v>49</v>
      </c>
      <c r="BH4" s="90" t="s">
        <v>46</v>
      </c>
      <c r="BI4" s="90" t="s">
        <v>47</v>
      </c>
      <c r="BJ4" s="90" t="s">
        <v>48</v>
      </c>
      <c r="BK4" s="90" t="s">
        <v>49</v>
      </c>
      <c r="BL4" s="90" t="s">
        <v>46</v>
      </c>
      <c r="BM4" s="90" t="s">
        <v>47</v>
      </c>
      <c r="BN4" s="90" t="s">
        <v>48</v>
      </c>
      <c r="BO4" s="90" t="s">
        <v>49</v>
      </c>
      <c r="BP4" s="90" t="s">
        <v>46</v>
      </c>
      <c r="BQ4" s="90" t="s">
        <v>47</v>
      </c>
      <c r="BR4" s="90" t="s">
        <v>48</v>
      </c>
      <c r="BS4" s="90" t="s">
        <v>49</v>
      </c>
      <c r="BT4" s="90" t="s">
        <v>46</v>
      </c>
      <c r="BU4" s="90" t="s">
        <v>47</v>
      </c>
      <c r="BV4" s="90" t="s">
        <v>48</v>
      </c>
    </row>
    <row r="5" spans="1:74" s="8" customFormat="1" ht="17.100000000000001" customHeight="1" x14ac:dyDescent="0.2">
      <c r="A5" s="39" t="s">
        <v>97</v>
      </c>
      <c r="B5" s="79"/>
      <c r="C5" s="112" t="e">
        <v>#DIV/0!</v>
      </c>
      <c r="D5" s="112" t="e">
        <v>#DIV/0!</v>
      </c>
      <c r="E5" s="112" t="e">
        <v>#DIV/0!</v>
      </c>
      <c r="F5" s="112" t="e">
        <v>#DIV/0!</v>
      </c>
      <c r="G5" s="112" t="e">
        <v>#DIV/0!</v>
      </c>
      <c r="H5" s="112" t="e">
        <v>#DIV/0!</v>
      </c>
      <c r="I5" s="112">
        <v>1.6844748256570341</v>
      </c>
      <c r="J5" s="112">
        <v>6.0640498728829595</v>
      </c>
      <c r="K5" s="112">
        <v>1.3616018033448363</v>
      </c>
      <c r="L5" s="112">
        <v>1.4008902855357164</v>
      </c>
      <c r="M5" s="112">
        <v>1.2190480629099332</v>
      </c>
      <c r="N5" s="112">
        <v>-2.5007255626263714E-4</v>
      </c>
      <c r="O5" s="112">
        <v>0.23372170046651597</v>
      </c>
      <c r="P5" s="112">
        <v>0.78408093791875189</v>
      </c>
      <c r="Q5" s="112">
        <v>1.1392583609387108</v>
      </c>
      <c r="R5" s="112">
        <v>1.51850692846347</v>
      </c>
      <c r="S5" s="112">
        <v>1.5162276264264252</v>
      </c>
      <c r="T5" s="112">
        <v>0.53844330571493071</v>
      </c>
      <c r="U5" s="112">
        <v>-0.76604592177110797</v>
      </c>
      <c r="V5" s="112">
        <v>-0.99437262463609732</v>
      </c>
      <c r="W5" s="112">
        <v>-0.49006953022960875</v>
      </c>
      <c r="X5" s="112">
        <v>0.28315962712297527</v>
      </c>
      <c r="Y5" s="112">
        <v>2.2770393528523503</v>
      </c>
      <c r="Z5" s="112">
        <v>3.868483184856597</v>
      </c>
      <c r="AA5" s="112">
        <v>2.4543562238465988</v>
      </c>
      <c r="AB5" s="112">
        <v>1.1697747979425577</v>
      </c>
      <c r="AC5" s="112">
        <v>1.3632799775658011</v>
      </c>
      <c r="AD5" s="112">
        <v>2.0200359946672908</v>
      </c>
      <c r="AE5" s="112">
        <v>1.9262314393387436</v>
      </c>
      <c r="AF5" s="112">
        <v>1.6211533002021827</v>
      </c>
      <c r="AG5" s="112">
        <v>2.7587412177054738E-2</v>
      </c>
      <c r="AH5" s="112">
        <v>-1.1953772606175028</v>
      </c>
      <c r="AI5" s="112">
        <v>-0.24181671561016582</v>
      </c>
      <c r="AJ5" s="112">
        <v>1.1241618395501085</v>
      </c>
      <c r="AK5" s="112">
        <v>1.632637007112514</v>
      </c>
      <c r="AL5" s="112">
        <v>1.8408356185219965</v>
      </c>
      <c r="AM5" s="112">
        <v>1.6201534061083711</v>
      </c>
      <c r="AN5" s="112">
        <v>1.1796179957354269</v>
      </c>
      <c r="AO5" s="112">
        <v>1.2346960896668868</v>
      </c>
      <c r="AP5" s="112">
        <v>1.611071816557863</v>
      </c>
      <c r="AQ5" s="112">
        <v>1.7480860284523558</v>
      </c>
      <c r="AR5" s="112">
        <v>1.3507682177444469</v>
      </c>
      <c r="AS5" s="112">
        <v>1.5376241295214532</v>
      </c>
      <c r="AT5" s="112">
        <v>1.7460730095596455</v>
      </c>
      <c r="AU5" s="112">
        <v>2.029520436603538</v>
      </c>
      <c r="AV5" s="112">
        <v>2.2667145692051305</v>
      </c>
      <c r="AW5" s="112">
        <v>0.90651150287808235</v>
      </c>
      <c r="AX5" s="112">
        <v>-1.1147879994536036</v>
      </c>
      <c r="AY5" s="112">
        <v>-0.62921843039308589</v>
      </c>
      <c r="AZ5" s="112">
        <v>0.70614142186777862</v>
      </c>
      <c r="BA5" s="112">
        <v>1.0782582547134156</v>
      </c>
      <c r="BB5" s="112">
        <v>1.0905574262127793</v>
      </c>
      <c r="BC5" s="112">
        <v>0.26039664028418841</v>
      </c>
      <c r="BD5" s="112">
        <v>0.81251267628670298</v>
      </c>
      <c r="BE5" s="112">
        <v>2.6801433443866873</v>
      </c>
      <c r="BF5" s="112">
        <v>2.1926708306412745</v>
      </c>
      <c r="BG5" s="112">
        <v>0.79620017147543631</v>
      </c>
      <c r="BH5" s="112">
        <v>0.83354556784380751</v>
      </c>
      <c r="BI5" s="112">
        <v>0.58181811265736183</v>
      </c>
      <c r="BJ5" s="112">
        <v>1.2811217025510135</v>
      </c>
      <c r="BK5" s="112">
        <v>1.9620837011718795</v>
      </c>
      <c r="BL5" s="112">
        <v>1.0136950035763093</v>
      </c>
      <c r="BM5" s="112">
        <v>0.75593884831093305</v>
      </c>
      <c r="BN5" s="112">
        <v>2.2019124879555152</v>
      </c>
      <c r="BO5" s="112">
        <v>2.5299646059384617</v>
      </c>
      <c r="BP5" s="112">
        <v>1.3883609225957994</v>
      </c>
      <c r="BQ5" s="112">
        <v>1.0391937711716759</v>
      </c>
      <c r="BR5" s="112">
        <v>1.2010379009261163</v>
      </c>
      <c r="BS5" s="112">
        <v>1.6835640330851165</v>
      </c>
      <c r="BT5" s="112">
        <v>2.159328673214933</v>
      </c>
      <c r="BU5" s="112">
        <v>2.4894840711313204</v>
      </c>
      <c r="BV5" s="112">
        <v>1.0395513897126341</v>
      </c>
    </row>
    <row r="6" spans="1:74" s="163" customFormat="1" ht="17.100000000000001" customHeight="1" x14ac:dyDescent="0.2">
      <c r="A6" s="160" t="s">
        <v>96</v>
      </c>
      <c r="B6" s="161"/>
      <c r="C6" s="181" t="e">
        <v>#DIV/0!</v>
      </c>
      <c r="D6" s="181" t="e">
        <v>#DIV/0!</v>
      </c>
      <c r="E6" s="181" t="e">
        <v>#DIV/0!</v>
      </c>
      <c r="F6" s="181" t="e">
        <v>#DIV/0!</v>
      </c>
      <c r="G6" s="181" t="e">
        <v>#DIV/0!</v>
      </c>
      <c r="H6" s="181" t="e">
        <v>#DIV/0!</v>
      </c>
      <c r="I6" s="181">
        <v>0.8178506214295389</v>
      </c>
      <c r="J6" s="181">
        <v>2.2161801511585422</v>
      </c>
      <c r="K6" s="181">
        <v>0.62307921839597213</v>
      </c>
      <c r="L6" s="181">
        <v>-0.94107446503368664</v>
      </c>
      <c r="M6" s="181">
        <v>0.39928055405220597</v>
      </c>
      <c r="N6" s="181">
        <v>1.5092659384042584</v>
      </c>
      <c r="O6" s="181">
        <v>1.1167452028484126</v>
      </c>
      <c r="P6" s="181">
        <v>-9.8587315866005554E-2</v>
      </c>
      <c r="Q6" s="181">
        <v>-1.7291139550416057</v>
      </c>
      <c r="R6" s="181">
        <v>-1.8634406103638979</v>
      </c>
      <c r="S6" s="181">
        <v>-0.72216098210005075</v>
      </c>
      <c r="T6" s="181">
        <v>0.84499586881192634</v>
      </c>
      <c r="U6" s="181">
        <v>0.14721031286837327</v>
      </c>
      <c r="V6" s="181">
        <v>-1.0280835695235968</v>
      </c>
      <c r="W6" s="181">
        <v>-1.5039823845526712</v>
      </c>
      <c r="X6" s="181">
        <v>1.0051117560996747</v>
      </c>
      <c r="Y6" s="181">
        <v>1.8215304006844235</v>
      </c>
      <c r="Z6" s="181">
        <v>1.5293063583833755</v>
      </c>
      <c r="AA6" s="181">
        <v>2.9895242501499109</v>
      </c>
      <c r="AB6" s="181">
        <v>2.8034085620568527</v>
      </c>
      <c r="AC6" s="181">
        <v>0.21880115231402986</v>
      </c>
      <c r="AD6" s="181">
        <v>-0.55899133351420272</v>
      </c>
      <c r="AE6" s="181">
        <v>-4.4116347223766006E-2</v>
      </c>
      <c r="AF6" s="181">
        <v>0.63661171102125103</v>
      </c>
      <c r="AG6" s="181">
        <v>2.0915449502661554</v>
      </c>
      <c r="AH6" s="181">
        <v>1.5321185975638585</v>
      </c>
      <c r="AI6" s="181">
        <v>-0.14235127229940137</v>
      </c>
      <c r="AJ6" s="181">
        <v>-0.32745985591747795</v>
      </c>
      <c r="AK6" s="181">
        <v>1.2204110192080231</v>
      </c>
      <c r="AL6" s="181">
        <v>1.7895883935146628</v>
      </c>
      <c r="AM6" s="181">
        <v>1.0889919363395784</v>
      </c>
      <c r="AN6" s="181">
        <v>0.22522369748674276</v>
      </c>
      <c r="AO6" s="181">
        <v>0.28746614567478623</v>
      </c>
      <c r="AP6" s="181">
        <v>1.2692228852096088</v>
      </c>
      <c r="AQ6" s="181">
        <v>1.3137687360916139</v>
      </c>
      <c r="AR6" s="181">
        <v>1.222172343713579</v>
      </c>
      <c r="AS6" s="181">
        <v>1.3393735492711167</v>
      </c>
      <c r="AT6" s="181">
        <v>1.7987991754020216</v>
      </c>
      <c r="AU6" s="181">
        <v>1.7233887307456897</v>
      </c>
      <c r="AV6" s="181">
        <v>1.1975154250970732</v>
      </c>
      <c r="AW6" s="181">
        <v>0.96020036184882862</v>
      </c>
      <c r="AX6" s="181">
        <v>1.4642229099436355</v>
      </c>
      <c r="AY6" s="181">
        <v>1.8976688912367923</v>
      </c>
      <c r="AZ6" s="181">
        <v>1.27226305390995</v>
      </c>
      <c r="BA6" s="181">
        <v>-4.5082647554972599E-2</v>
      </c>
      <c r="BB6" s="181">
        <v>-0.54095662988441484</v>
      </c>
      <c r="BC6" s="181">
        <v>-0.51172572144650985</v>
      </c>
      <c r="BD6" s="181">
        <v>0.79553337131936797</v>
      </c>
      <c r="BE6" s="181">
        <v>3.0414403598455042</v>
      </c>
      <c r="BF6" s="181">
        <v>3.3822201308108646</v>
      </c>
      <c r="BG6" s="181">
        <v>3.2253370990700247</v>
      </c>
      <c r="BH6" s="181">
        <v>1.6829261281875008</v>
      </c>
      <c r="BI6" s="181">
        <v>-0.65914030119471612</v>
      </c>
      <c r="BJ6" s="181">
        <v>-0.93872453293853964</v>
      </c>
      <c r="BK6" s="181">
        <v>0.10123289265304702</v>
      </c>
      <c r="BL6" s="181">
        <v>0.89910314685828219</v>
      </c>
      <c r="BM6" s="181">
        <v>1.8967956615037584</v>
      </c>
      <c r="BN6" s="181">
        <v>2.2024841996561184</v>
      </c>
      <c r="BO6" s="181">
        <v>2.0443600103385196</v>
      </c>
      <c r="BP6" s="181">
        <v>1.6687862233986772</v>
      </c>
      <c r="BQ6" s="181">
        <v>1.4156108587332517</v>
      </c>
      <c r="BR6" s="181">
        <v>1.0052889800220344</v>
      </c>
      <c r="BS6" s="181">
        <v>1.4030046117526673</v>
      </c>
      <c r="BT6" s="181">
        <v>1.8750083590972633</v>
      </c>
      <c r="BU6" s="181">
        <v>2.2210194754854307</v>
      </c>
      <c r="BV6" s="181">
        <v>1.4317759016271747</v>
      </c>
    </row>
    <row r="7" spans="1:74" ht="17.100000000000001" customHeight="1" x14ac:dyDescent="0.2">
      <c r="A7" s="72" t="s">
        <v>1</v>
      </c>
      <c r="B7" s="81"/>
      <c r="C7" s="45" t="e">
        <v>#DIV/0!</v>
      </c>
      <c r="D7" s="45" t="e">
        <v>#DIV/0!</v>
      </c>
      <c r="E7" s="45" t="e">
        <v>#DIV/0!</v>
      </c>
      <c r="F7" s="45" t="e">
        <v>#DIV/0!</v>
      </c>
      <c r="G7" s="45" t="e">
        <v>#DIV/0!</v>
      </c>
      <c r="H7" s="45" t="e">
        <v>#DIV/0!</v>
      </c>
      <c r="I7" s="45">
        <v>9.0955666300765348</v>
      </c>
      <c r="J7" s="45">
        <v>4.6524102284008384</v>
      </c>
      <c r="K7" s="45">
        <v>-5.3177073078111476</v>
      </c>
      <c r="L7" s="45">
        <v>-8.1093089362382358</v>
      </c>
      <c r="M7" s="45">
        <v>-6.506859498671469</v>
      </c>
      <c r="N7" s="45">
        <v>-2.3427617768383757</v>
      </c>
      <c r="O7" s="45">
        <v>-2.0759925870292406</v>
      </c>
      <c r="P7" s="45">
        <v>-2.0546363069332219</v>
      </c>
      <c r="Q7" s="45">
        <v>3.5826074560104448</v>
      </c>
      <c r="R7" s="45">
        <v>6.4665053582238841</v>
      </c>
      <c r="S7" s="45">
        <v>6.6985426358036504</v>
      </c>
      <c r="T7" s="45">
        <v>3.3925946347117986</v>
      </c>
      <c r="U7" s="45">
        <v>-2.6705236585751191</v>
      </c>
      <c r="V7" s="45">
        <v>-4.5881456366882567</v>
      </c>
      <c r="W7" s="45">
        <v>0.2102530898405508</v>
      </c>
      <c r="X7" s="45">
        <v>0.2675453579966014</v>
      </c>
      <c r="Y7" s="45">
        <v>1.800934109863106</v>
      </c>
      <c r="Z7" s="45">
        <v>4.5394527158378439</v>
      </c>
      <c r="AA7" s="45">
        <v>0.63574886743129611</v>
      </c>
      <c r="AB7" s="45">
        <v>0.5357274081035035</v>
      </c>
      <c r="AC7" s="45">
        <v>-1.7299347173170498</v>
      </c>
      <c r="AD7" s="45">
        <v>-4.8773493068530289</v>
      </c>
      <c r="AE7" s="45">
        <v>-1.5186681115896827</v>
      </c>
      <c r="AF7" s="45">
        <v>1.3877903829993876</v>
      </c>
      <c r="AG7" s="45">
        <v>2.4689840315642142</v>
      </c>
      <c r="AH7" s="45">
        <v>6.2187437000745582</v>
      </c>
      <c r="AI7" s="45">
        <v>6.6989702344782742</v>
      </c>
      <c r="AJ7" s="45">
        <v>0.59302332553612391</v>
      </c>
      <c r="AK7" s="45">
        <v>-2.074555154242741</v>
      </c>
      <c r="AL7" s="45">
        <v>-1.0631581619908959</v>
      </c>
      <c r="AM7" s="45">
        <v>0.639142393687675</v>
      </c>
      <c r="AN7" s="45">
        <v>2.5866554552371301</v>
      </c>
      <c r="AO7" s="45">
        <v>5.2143991868562667</v>
      </c>
      <c r="AP7" s="45">
        <v>5.6751386000493786</v>
      </c>
      <c r="AQ7" s="45">
        <v>4.5977860696750028</v>
      </c>
      <c r="AR7" s="45">
        <v>1.2968373592541882</v>
      </c>
      <c r="AS7" s="45">
        <v>-2.8949003994260036</v>
      </c>
      <c r="AT7" s="45">
        <v>-2.9337681842393382</v>
      </c>
      <c r="AU7" s="45">
        <v>2.123989109557578</v>
      </c>
      <c r="AV7" s="45">
        <v>3.9613390405138116</v>
      </c>
      <c r="AW7" s="45">
        <v>-4.273100716275513E-2</v>
      </c>
      <c r="AX7" s="45">
        <v>-4.5360128720017823E-2</v>
      </c>
      <c r="AY7" s="45">
        <v>2.7819695692882229</v>
      </c>
      <c r="AZ7" s="45">
        <v>3.081922826785588</v>
      </c>
      <c r="BA7" s="45">
        <v>3.6817713124760454</v>
      </c>
      <c r="BB7" s="45">
        <v>2.561446913367682</v>
      </c>
      <c r="BC7" s="45">
        <v>-2.25680927766998</v>
      </c>
      <c r="BD7" s="45">
        <v>2.1316188478195164</v>
      </c>
      <c r="BE7" s="45">
        <v>8.3373275691021487</v>
      </c>
      <c r="BF7" s="45">
        <v>5.1922575196113874</v>
      </c>
      <c r="BG7" s="45">
        <v>2.1021390893922076</v>
      </c>
      <c r="BH7" s="45">
        <v>1.7600927442866121</v>
      </c>
      <c r="BI7" s="45">
        <v>-1.6681728764160075</v>
      </c>
      <c r="BJ7" s="45">
        <v>-1.7839069641995109</v>
      </c>
      <c r="BK7" s="45">
        <v>1.9036623669351105</v>
      </c>
      <c r="BL7" s="45">
        <v>5.0299161840872131E-2</v>
      </c>
      <c r="BM7" s="45">
        <v>-2.0758464035063429</v>
      </c>
      <c r="BN7" s="45">
        <v>0.9135680561873416</v>
      </c>
      <c r="BO7" s="45">
        <v>3.3949475782375949</v>
      </c>
      <c r="BP7" s="45">
        <v>4.3352657401783734</v>
      </c>
      <c r="BQ7" s="45">
        <v>5.6175425426063796</v>
      </c>
      <c r="BR7" s="45">
        <v>3.7938771242938651</v>
      </c>
      <c r="BS7" s="45">
        <v>2.8869412095722691</v>
      </c>
      <c r="BT7" s="45">
        <v>2.2454457300141728</v>
      </c>
      <c r="BU7" s="45">
        <v>2.1684619840266484</v>
      </c>
      <c r="BV7" s="45">
        <v>1.6792534706548956</v>
      </c>
    </row>
    <row r="8" spans="1:74" ht="17.100000000000001" customHeight="1" x14ac:dyDescent="0.2">
      <c r="A8" s="72" t="s">
        <v>2</v>
      </c>
      <c r="B8" s="81"/>
      <c r="C8" s="45" t="e">
        <v>#DIV/0!</v>
      </c>
      <c r="D8" s="45" t="e">
        <v>#DIV/0!</v>
      </c>
      <c r="E8" s="45" t="e">
        <v>#DIV/0!</v>
      </c>
      <c r="F8" s="45" t="e">
        <v>#DIV/0!</v>
      </c>
      <c r="G8" s="45" t="e">
        <v>#DIV/0!</v>
      </c>
      <c r="H8" s="45" t="e">
        <v>#DIV/0!</v>
      </c>
      <c r="I8" s="45">
        <v>0.64342047427976556</v>
      </c>
      <c r="J8" s="45">
        <v>0.55525015776380915</v>
      </c>
      <c r="K8" s="45">
        <v>-0.5409452063130038</v>
      </c>
      <c r="L8" s="45">
        <v>-0.34834180830999317</v>
      </c>
      <c r="M8" s="45">
        <v>2.1229604340331942</v>
      </c>
      <c r="N8" s="45">
        <v>3.1022823772748565</v>
      </c>
      <c r="O8" s="45">
        <v>2.2976208995188596</v>
      </c>
      <c r="P8" s="45">
        <v>-0.95999433169619008</v>
      </c>
      <c r="Q8" s="45">
        <v>-3.8714806805123292</v>
      </c>
      <c r="R8" s="45">
        <v>-3.4145580881751569</v>
      </c>
      <c r="S8" s="45">
        <v>-2.3671996094868364</v>
      </c>
      <c r="T8" s="45">
        <v>-1.7948424555991438</v>
      </c>
      <c r="U8" s="45">
        <v>-2.2871097035691235</v>
      </c>
      <c r="V8" s="45">
        <v>-2.2100161819539887</v>
      </c>
      <c r="W8" s="45">
        <v>-0.49355590340641742</v>
      </c>
      <c r="X8" s="45">
        <v>1.1090971630697055</v>
      </c>
      <c r="Y8" s="45">
        <v>2.2862286429397471</v>
      </c>
      <c r="Z8" s="45">
        <v>3.5102098557947992</v>
      </c>
      <c r="AA8" s="45">
        <v>5.1577460500107808</v>
      </c>
      <c r="AB8" s="45">
        <v>4.2460580042951834</v>
      </c>
      <c r="AC8" s="45">
        <v>0.9955979690499106</v>
      </c>
      <c r="AD8" s="45">
        <v>-0.99946393964419622</v>
      </c>
      <c r="AE8" s="45">
        <v>-0.95494000678361113</v>
      </c>
      <c r="AF8" s="45">
        <v>0.93760789801853317</v>
      </c>
      <c r="AG8" s="45">
        <v>2.1891613291187495</v>
      </c>
      <c r="AH8" s="45">
        <v>0.20891333162416093</v>
      </c>
      <c r="AI8" s="45">
        <v>-1.4333035794129034</v>
      </c>
      <c r="AJ8" s="45">
        <v>-0.41206165976908071</v>
      </c>
      <c r="AK8" s="45">
        <v>2.2321219585147656</v>
      </c>
      <c r="AL8" s="45">
        <v>3.3156541183054999</v>
      </c>
      <c r="AM8" s="45">
        <v>2.4410326427921625</v>
      </c>
      <c r="AN8" s="45">
        <v>1.2703877797185958</v>
      </c>
      <c r="AO8" s="45">
        <v>0.63907769091962052</v>
      </c>
      <c r="AP8" s="45">
        <v>0.50523393594075205</v>
      </c>
      <c r="AQ8" s="45">
        <v>-0.72561748419844863</v>
      </c>
      <c r="AR8" s="45">
        <v>-0.38099464739277389</v>
      </c>
      <c r="AS8" s="45">
        <v>0.99276718432323996</v>
      </c>
      <c r="AT8" s="45">
        <v>1.8955438800778435</v>
      </c>
      <c r="AU8" s="45">
        <v>1.223134170920992</v>
      </c>
      <c r="AV8" s="45">
        <v>0.65477917053973211</v>
      </c>
      <c r="AW8" s="45">
        <v>2.0310580137837153</v>
      </c>
      <c r="AX8" s="45">
        <v>3.6847238022104989</v>
      </c>
      <c r="AY8" s="45">
        <v>3.2965695287797692</v>
      </c>
      <c r="AZ8" s="45">
        <v>0.60059864718426947</v>
      </c>
      <c r="BA8" s="45">
        <v>-1.8652669015737144</v>
      </c>
      <c r="BB8" s="45">
        <v>-1.4723722257607541</v>
      </c>
      <c r="BC8" s="45">
        <v>-0.43614133391401966</v>
      </c>
      <c r="BD8" s="45">
        <v>0.45784239753223765</v>
      </c>
      <c r="BE8" s="45">
        <v>2.9167232514713204</v>
      </c>
      <c r="BF8" s="45">
        <v>3.845066336176628</v>
      </c>
      <c r="BG8" s="45">
        <v>4.1461091514136905</v>
      </c>
      <c r="BH8" s="45">
        <v>1.5684866510724982</v>
      </c>
      <c r="BI8" s="45">
        <v>-2.1654098112569353</v>
      </c>
      <c r="BJ8" s="45">
        <v>-1.9027991742282091</v>
      </c>
      <c r="BK8" s="45">
        <v>0.37719601496171151</v>
      </c>
      <c r="BL8" s="45">
        <v>2.0512662618941579</v>
      </c>
      <c r="BM8" s="45">
        <v>2.6806672500408801</v>
      </c>
      <c r="BN8" s="45">
        <v>1.7625448200204064</v>
      </c>
      <c r="BO8" s="45">
        <v>1.6180395021429872</v>
      </c>
      <c r="BP8" s="45">
        <v>1.4806486775649219</v>
      </c>
      <c r="BQ8" s="45">
        <v>0.57224521351997293</v>
      </c>
      <c r="BR8" s="45">
        <v>-0.28698229348118609</v>
      </c>
      <c r="BS8" s="45">
        <v>0.43032858313216682</v>
      </c>
      <c r="BT8" s="45">
        <v>1.3375890224859299</v>
      </c>
      <c r="BU8" s="45">
        <v>3.0774145489752325</v>
      </c>
      <c r="BV8" s="45">
        <v>2.4193150056881718</v>
      </c>
    </row>
    <row r="9" spans="1:74" ht="17.100000000000001" customHeight="1" x14ac:dyDescent="0.2">
      <c r="A9" s="72" t="s">
        <v>3</v>
      </c>
      <c r="B9" s="81"/>
      <c r="C9" s="45" t="e">
        <v>#DIV/0!</v>
      </c>
      <c r="D9" s="45" t="e">
        <v>#DIV/0!</v>
      </c>
      <c r="E9" s="45" t="e">
        <v>#DIV/0!</v>
      </c>
      <c r="F9" s="45" t="e">
        <v>#DIV/0!</v>
      </c>
      <c r="G9" s="45" t="e">
        <v>#DIV/0!</v>
      </c>
      <c r="H9" s="45" t="e">
        <v>#DIV/0!</v>
      </c>
      <c r="I9" s="45">
        <v>0.96976619191646574</v>
      </c>
      <c r="J9" s="45">
        <v>0.87539416666506664</v>
      </c>
      <c r="K9" s="45">
        <v>0.50209900864168766</v>
      </c>
      <c r="L9" s="45">
        <v>0.40280116796282961</v>
      </c>
      <c r="M9" s="45">
        <v>0.41157613932738535</v>
      </c>
      <c r="N9" s="45">
        <v>0.44923913489582912</v>
      </c>
      <c r="O9" s="45">
        <v>0.69541140933853107</v>
      </c>
      <c r="P9" s="45">
        <v>0.7773646661806799</v>
      </c>
      <c r="Q9" s="45">
        <v>0.54304722097193725</v>
      </c>
      <c r="R9" s="45">
        <v>0.44709796983635197</v>
      </c>
      <c r="S9" s="45">
        <v>9.5919965076429747E-2</v>
      </c>
      <c r="T9" s="45">
        <v>-0.45849810253600909</v>
      </c>
      <c r="U9" s="45">
        <v>-0.53660654623076676</v>
      </c>
      <c r="V9" s="45">
        <v>6.0347159223558045</v>
      </c>
      <c r="W9" s="45">
        <v>-0.10837985015261786</v>
      </c>
      <c r="X9" s="45">
        <v>-9.2790770617534601E-2</v>
      </c>
      <c r="Y9" s="45">
        <v>-9.9117215663846459E-2</v>
      </c>
      <c r="Z9" s="45">
        <v>-7.797139780219009E-2</v>
      </c>
      <c r="AA9" s="45">
        <v>0.57836596640348237</v>
      </c>
      <c r="AB9" s="45">
        <v>1.2020831751454075</v>
      </c>
      <c r="AC9" s="45">
        <v>1.1542581923344786</v>
      </c>
      <c r="AD9" s="45">
        <v>0.79237875431126259</v>
      </c>
      <c r="AE9" s="45">
        <v>0.39047048086497949</v>
      </c>
      <c r="AF9" s="45">
        <v>0.17302451831402443</v>
      </c>
      <c r="AG9" s="45">
        <v>0.55906761686519424</v>
      </c>
      <c r="AH9" s="45">
        <v>1.3241068122541888</v>
      </c>
      <c r="AI9" s="45">
        <v>1.7046306941586487</v>
      </c>
      <c r="AJ9" s="45">
        <v>1.9677138512195436</v>
      </c>
      <c r="AK9" s="45">
        <v>2.0621798381454504</v>
      </c>
      <c r="AL9" s="45">
        <v>1.9204435775601603</v>
      </c>
      <c r="AM9" s="45">
        <v>1.8178250153716879</v>
      </c>
      <c r="AN9" s="45">
        <v>1.7620292415571281</v>
      </c>
      <c r="AO9" s="45">
        <v>1.6519613845633607</v>
      </c>
      <c r="AP9" s="45">
        <v>1.4828551058660766</v>
      </c>
      <c r="AQ9" s="45">
        <v>1.6245873526946397</v>
      </c>
      <c r="AR9" s="45">
        <v>1.8378717235571163</v>
      </c>
      <c r="AS9" s="45">
        <v>1.8864233514435558</v>
      </c>
      <c r="AT9" s="45">
        <v>1.8397676714430933</v>
      </c>
      <c r="AU9" s="45">
        <v>1.9738774398978531</v>
      </c>
      <c r="AV9" s="45">
        <v>2.000271868299297</v>
      </c>
      <c r="AW9" s="45">
        <v>1.9440048414514077</v>
      </c>
      <c r="AX9" s="45">
        <v>1.8886102866283672</v>
      </c>
      <c r="AY9" s="45">
        <v>1.7184347275392531</v>
      </c>
      <c r="AZ9" s="45">
        <v>1.7700916279907997</v>
      </c>
      <c r="BA9" s="45">
        <v>1.9849040384038119</v>
      </c>
      <c r="BB9" s="45">
        <v>2.110708921282356</v>
      </c>
      <c r="BC9" s="45">
        <v>2.0895542374604448</v>
      </c>
      <c r="BD9" s="45">
        <v>1.9355465124579974</v>
      </c>
      <c r="BE9" s="45">
        <v>1.8776983783894918</v>
      </c>
      <c r="BF9" s="45">
        <v>2.067037270468286</v>
      </c>
      <c r="BG9" s="45">
        <v>2.2910582719083417</v>
      </c>
      <c r="BH9" s="45">
        <v>2.2363100988169737</v>
      </c>
      <c r="BI9" s="45">
        <v>2.0146453123290886</v>
      </c>
      <c r="BJ9" s="45">
        <v>1.8452585511682384</v>
      </c>
      <c r="BK9" s="45">
        <v>1.8276992504709488</v>
      </c>
      <c r="BL9" s="45">
        <v>1.9516191043481124</v>
      </c>
      <c r="BM9" s="45">
        <v>2.0645280303589919</v>
      </c>
      <c r="BN9" s="45">
        <v>2.0833246672240069</v>
      </c>
      <c r="BO9" s="45">
        <v>2.048089059795033</v>
      </c>
      <c r="BP9" s="45">
        <v>2.087415858685171</v>
      </c>
      <c r="BQ9" s="45">
        <v>2.1799533785883396</v>
      </c>
      <c r="BR9" s="45">
        <v>2.256209303282275</v>
      </c>
      <c r="BS9" s="45">
        <v>2.2304415134632105</v>
      </c>
      <c r="BT9" s="45">
        <v>2.2164685377528137</v>
      </c>
      <c r="BU9" s="45">
        <v>2.218003738020391</v>
      </c>
      <c r="BV9" s="45">
        <v>2.1851108108220219</v>
      </c>
    </row>
    <row r="10" spans="1:74" ht="17.100000000000001" customHeight="1" x14ac:dyDescent="0.2">
      <c r="A10" s="72" t="s">
        <v>4</v>
      </c>
      <c r="B10" s="81"/>
      <c r="C10" s="45" t="e">
        <v>#DIV/0!</v>
      </c>
      <c r="D10" s="45" t="e">
        <v>#DIV/0!</v>
      </c>
      <c r="E10" s="45" t="e">
        <v>#DIV/0!</v>
      </c>
      <c r="F10" s="45" t="e">
        <v>#DIV/0!</v>
      </c>
      <c r="G10" s="45" t="e">
        <v>#DIV/0!</v>
      </c>
      <c r="H10" s="45" t="e">
        <v>#DIV/0!</v>
      </c>
      <c r="I10" s="45">
        <v>3.9988983792800914</v>
      </c>
      <c r="J10" s="45">
        <v>3.5234274937318677</v>
      </c>
      <c r="K10" s="45">
        <v>2.5125607081218915</v>
      </c>
      <c r="L10" s="45">
        <v>0.80310742516482847</v>
      </c>
      <c r="M10" s="45">
        <v>-0.50421206599720048</v>
      </c>
      <c r="N10" s="45">
        <v>-2.0605519992272114</v>
      </c>
      <c r="O10" s="45">
        <v>-4.9642228000143396</v>
      </c>
      <c r="P10" s="45">
        <v>-6.3637124420450997</v>
      </c>
      <c r="Q10" s="45">
        <v>-3.5916495173463514</v>
      </c>
      <c r="R10" s="45">
        <v>-2.9597421668237089E-2</v>
      </c>
      <c r="S10" s="45">
        <v>2.8880907972323344</v>
      </c>
      <c r="T10" s="45">
        <v>4.3186784260663469</v>
      </c>
      <c r="U10" s="45">
        <v>3.0678797961669391</v>
      </c>
      <c r="V10" s="45">
        <v>0.7955750079976287</v>
      </c>
      <c r="W10" s="45">
        <v>-1.3705910004597754</v>
      </c>
      <c r="X10" s="45">
        <v>-2.2901166445239096</v>
      </c>
      <c r="Y10" s="45">
        <v>-0.2863673929318078</v>
      </c>
      <c r="Z10" s="45">
        <v>3.2097171702588856</v>
      </c>
      <c r="AA10" s="45">
        <v>6.1198982160741489</v>
      </c>
      <c r="AB10" s="45">
        <v>6.6606114883991374</v>
      </c>
      <c r="AC10" s="45">
        <v>4.2148697860826978</v>
      </c>
      <c r="AD10" s="45">
        <v>1.6144409581354768</v>
      </c>
      <c r="AE10" s="45">
        <v>-1.2519530156970382</v>
      </c>
      <c r="AF10" s="45">
        <v>-3.688663173292428</v>
      </c>
      <c r="AG10" s="45">
        <v>-3.1364096852129264</v>
      </c>
      <c r="AH10" s="45">
        <v>-0.39949473422198345</v>
      </c>
      <c r="AI10" s="45">
        <v>1.8162736675461533</v>
      </c>
      <c r="AJ10" s="45">
        <v>2.4660274752540623</v>
      </c>
      <c r="AK10" s="45">
        <v>0.99628998068930219</v>
      </c>
      <c r="AL10" s="45">
        <v>0.56736101748446899</v>
      </c>
      <c r="AM10" s="45">
        <v>0.21225318783439917</v>
      </c>
      <c r="AN10" s="45">
        <v>-1.1869089147274137</v>
      </c>
      <c r="AO10" s="45">
        <v>-0.66468075119229253</v>
      </c>
      <c r="AP10" s="45">
        <v>2.1021338633363973</v>
      </c>
      <c r="AQ10" s="45">
        <v>1.7825561148659519</v>
      </c>
      <c r="AR10" s="45">
        <v>1.3434486573540294</v>
      </c>
      <c r="AS10" s="45">
        <v>3.1633639571173822</v>
      </c>
      <c r="AT10" s="45">
        <v>5.4751555656817885</v>
      </c>
      <c r="AU10" s="45">
        <v>5.2158223109961321</v>
      </c>
      <c r="AV10" s="45">
        <v>0.74040455615584921</v>
      </c>
      <c r="AW10" s="45">
        <v>-6.5392391078040735</v>
      </c>
      <c r="AX10" s="45">
        <v>-7.8576775346354655</v>
      </c>
      <c r="AY10" s="45">
        <v>0.34278867183472617</v>
      </c>
      <c r="AZ10" s="45">
        <v>7.3302251536584651</v>
      </c>
      <c r="BA10" s="45">
        <v>7.494645921772447</v>
      </c>
      <c r="BB10" s="45">
        <v>3.3641975902650278</v>
      </c>
      <c r="BC10" s="45">
        <v>-0.77081121955218102</v>
      </c>
      <c r="BD10" s="45">
        <v>-1.7725437865697358</v>
      </c>
      <c r="BE10" s="45">
        <v>0.97234047914760424</v>
      </c>
      <c r="BF10" s="45">
        <v>1.9268881972209329</v>
      </c>
      <c r="BG10" s="45">
        <v>0.74595474695033914</v>
      </c>
      <c r="BH10" s="45">
        <v>0.11537732337612017</v>
      </c>
      <c r="BI10" s="45">
        <v>0.50191931078831242</v>
      </c>
      <c r="BJ10" s="45">
        <v>0.22373723775508392</v>
      </c>
      <c r="BK10" s="45">
        <v>0.99874895273182052</v>
      </c>
      <c r="BL10" s="45">
        <v>3.3584100340146694</v>
      </c>
      <c r="BM10" s="45">
        <v>2.4745046441287943</v>
      </c>
      <c r="BN10" s="45">
        <v>0.85724697770956926</v>
      </c>
      <c r="BO10" s="45">
        <v>1.0150543891032093</v>
      </c>
      <c r="BP10" s="45">
        <v>-0.58995436982989258</v>
      </c>
      <c r="BQ10" s="45">
        <v>-2.1238530465907512</v>
      </c>
      <c r="BR10" s="45">
        <v>-2.1880874846425757</v>
      </c>
      <c r="BS10" s="45">
        <v>-3.7635210727658297</v>
      </c>
      <c r="BT10" s="45">
        <v>-1.7254888885219644</v>
      </c>
      <c r="BU10" s="45">
        <v>7.1989313045778047</v>
      </c>
      <c r="BV10" s="45">
        <v>9.891552453637221</v>
      </c>
    </row>
    <row r="11" spans="1:74" ht="17.100000000000001" customHeight="1" x14ac:dyDescent="0.2">
      <c r="A11" s="72" t="s">
        <v>5</v>
      </c>
      <c r="B11" s="81"/>
      <c r="C11" s="45" t="e">
        <v>#DIV/0!</v>
      </c>
      <c r="D11" s="45" t="e">
        <v>#DIV/0!</v>
      </c>
      <c r="E11" s="45" t="e">
        <v>#DIV/0!</v>
      </c>
      <c r="F11" s="45" t="e">
        <v>#DIV/0!</v>
      </c>
      <c r="G11" s="45" t="e">
        <v>#DIV/0!</v>
      </c>
      <c r="H11" s="45" t="e">
        <v>#DIV/0!</v>
      </c>
      <c r="I11" s="45">
        <v>-3.971828885806139</v>
      </c>
      <c r="J11" s="45">
        <v>11.612906596959682</v>
      </c>
      <c r="K11" s="45">
        <v>11.040761147528478</v>
      </c>
      <c r="L11" s="45">
        <v>0.19854267906753709</v>
      </c>
      <c r="M11" s="45">
        <v>-1.4655217854848912</v>
      </c>
      <c r="N11" s="45">
        <v>-1.0247115115932792</v>
      </c>
      <c r="O11" s="45">
        <v>-0.47232127795699963</v>
      </c>
      <c r="P11" s="45">
        <v>4.5241958114728309</v>
      </c>
      <c r="Q11" s="45">
        <v>0.39777190873886425</v>
      </c>
      <c r="R11" s="45">
        <v>-5.062300276338993</v>
      </c>
      <c r="S11" s="45">
        <v>-1.2324024189966032</v>
      </c>
      <c r="T11" s="45">
        <v>10.197957481700538</v>
      </c>
      <c r="U11" s="45">
        <v>10.462945584579341</v>
      </c>
      <c r="V11" s="45">
        <v>-0.3418145359309066</v>
      </c>
      <c r="W11" s="45">
        <v>-6.4538880537443166</v>
      </c>
      <c r="X11" s="45">
        <v>3.3335976013390223</v>
      </c>
      <c r="Y11" s="45">
        <v>3.5986218560301042</v>
      </c>
      <c r="Z11" s="45">
        <v>-3.2536142569893456</v>
      </c>
      <c r="AA11" s="45">
        <v>1.53056672750147</v>
      </c>
      <c r="AB11" s="45">
        <v>1.5454505643153649</v>
      </c>
      <c r="AC11" s="45">
        <v>-2.8360058244121911</v>
      </c>
      <c r="AD11" s="45">
        <v>1.5264541595439551</v>
      </c>
      <c r="AE11" s="45">
        <v>2.2188254657776518</v>
      </c>
      <c r="AF11" s="45">
        <v>-0.95261420002731301</v>
      </c>
      <c r="AG11" s="45">
        <v>3.9095848736163674</v>
      </c>
      <c r="AH11" s="45">
        <v>4.3817597863448521</v>
      </c>
      <c r="AI11" s="45">
        <v>-0.57720877027372941</v>
      </c>
      <c r="AJ11" s="45">
        <v>-1.4627752454944742</v>
      </c>
      <c r="AK11" s="45">
        <v>0.81927228135567631</v>
      </c>
      <c r="AL11" s="45">
        <v>1.6989790559093443</v>
      </c>
      <c r="AM11" s="45">
        <v>1.6314207416000537</v>
      </c>
      <c r="AN11" s="45">
        <v>-0.45699991414669405</v>
      </c>
      <c r="AO11" s="45">
        <v>-0.16793324407754495</v>
      </c>
      <c r="AP11" s="45">
        <v>2.1969147279911949</v>
      </c>
      <c r="AQ11" s="45">
        <v>2.4963231331209812</v>
      </c>
      <c r="AR11" s="45">
        <v>0.51840758373595808</v>
      </c>
      <c r="AS11" s="45">
        <v>-0.64015878959026162</v>
      </c>
      <c r="AT11" s="45">
        <v>0.53419790846205295</v>
      </c>
      <c r="AU11" s="45">
        <v>2.0563455529351016</v>
      </c>
      <c r="AV11" s="45">
        <v>2.4251482273343949</v>
      </c>
      <c r="AW11" s="45">
        <v>0.32064436949368336</v>
      </c>
      <c r="AX11" s="45">
        <v>-1.4445331049290577</v>
      </c>
      <c r="AY11" s="45">
        <v>-1.3431573561414778</v>
      </c>
      <c r="AZ11" s="45">
        <v>2.1335608126687777</v>
      </c>
      <c r="BA11" s="45">
        <v>3.2507895475571091</v>
      </c>
      <c r="BB11" s="45">
        <v>0.85970729356008579</v>
      </c>
      <c r="BC11" s="45">
        <v>-1.1735055327239285</v>
      </c>
      <c r="BD11" s="45">
        <v>-0.78384898297925165</v>
      </c>
      <c r="BE11" s="45">
        <v>2.1620407401049313</v>
      </c>
      <c r="BF11" s="45">
        <v>3.5085905813413421</v>
      </c>
      <c r="BG11" s="45">
        <v>0.55251034738483806</v>
      </c>
      <c r="BH11" s="45">
        <v>-1.9234264256664524</v>
      </c>
      <c r="BI11" s="45">
        <v>1.5279573283865311</v>
      </c>
      <c r="BJ11" s="45">
        <v>2.6578930422246572</v>
      </c>
      <c r="BK11" s="45">
        <v>0.73299125783257146</v>
      </c>
      <c r="BL11" s="45">
        <v>-1.0089113772174585</v>
      </c>
      <c r="BM11" s="45">
        <v>-2.9909064550859288E-2</v>
      </c>
      <c r="BN11" s="45">
        <v>1.3129053345580122</v>
      </c>
      <c r="BO11" s="45">
        <v>2.0490452822080174</v>
      </c>
      <c r="BP11" s="45">
        <v>0.75037111786793176</v>
      </c>
      <c r="BQ11" s="45">
        <v>-0.30246140855246795</v>
      </c>
      <c r="BR11" s="45">
        <v>0.6754351638239342</v>
      </c>
      <c r="BS11" s="45">
        <v>3.8248678051025609</v>
      </c>
      <c r="BT11" s="45">
        <v>4.5289827983979514</v>
      </c>
      <c r="BU11" s="45">
        <v>-2.8898798081359756</v>
      </c>
      <c r="BV11" s="45">
        <v>-7.6352899055774586</v>
      </c>
    </row>
    <row r="12" spans="1:74" ht="17.100000000000001" customHeight="1" x14ac:dyDescent="0.2">
      <c r="A12" s="72" t="s">
        <v>6</v>
      </c>
      <c r="B12" s="81"/>
      <c r="C12" s="45" t="e">
        <v>#DIV/0!</v>
      </c>
      <c r="D12" s="45" t="e">
        <v>#DIV/0!</v>
      </c>
      <c r="E12" s="45" t="e">
        <v>#DIV/0!</v>
      </c>
      <c r="F12" s="45" t="e">
        <v>#DIV/0!</v>
      </c>
      <c r="G12" s="45" t="e">
        <v>#DIV/0!</v>
      </c>
      <c r="H12" s="45" t="e">
        <v>#DIV/0!</v>
      </c>
      <c r="I12" s="45">
        <v>-0.27913777736758849</v>
      </c>
      <c r="J12" s="45">
        <v>-0.287743822761799</v>
      </c>
      <c r="K12" s="45">
        <v>5.7941313599885191E-2</v>
      </c>
      <c r="L12" s="45">
        <v>-0.34659552648320657</v>
      </c>
      <c r="M12" s="45">
        <v>-0.11344048467869516</v>
      </c>
      <c r="N12" s="45">
        <v>0.73374438063198433</v>
      </c>
      <c r="O12" s="45">
        <v>-0.27807517658712255</v>
      </c>
      <c r="P12" s="45">
        <v>-0.84990445278072535</v>
      </c>
      <c r="Q12" s="45">
        <v>0.71623033950254378</v>
      </c>
      <c r="R12" s="45">
        <v>1.7512789201316492</v>
      </c>
      <c r="S12" s="45">
        <v>1.3154259369839494</v>
      </c>
      <c r="T12" s="45">
        <v>1.3012811208462871</v>
      </c>
      <c r="U12" s="45">
        <v>0.86970906883203636</v>
      </c>
      <c r="V12" s="45">
        <v>-1.4957743150530112</v>
      </c>
      <c r="W12" s="45">
        <v>-1.7152924537884418</v>
      </c>
      <c r="X12" s="45">
        <v>-0.94943793432382684</v>
      </c>
      <c r="Y12" s="45">
        <v>-0.77794614525139583</v>
      </c>
      <c r="Z12" s="45">
        <v>-1.3796995727417327</v>
      </c>
      <c r="AA12" s="45">
        <v>-0.82049427228906291</v>
      </c>
      <c r="AB12" s="45">
        <v>1.0449535299847268</v>
      </c>
      <c r="AC12" s="45">
        <v>1.388811449348526</v>
      </c>
      <c r="AD12" s="45">
        <v>0.98041491643063861</v>
      </c>
      <c r="AE12" s="45">
        <v>2.2946267022758482</v>
      </c>
      <c r="AF12" s="45">
        <v>1.5061464750876663</v>
      </c>
      <c r="AG12" s="45">
        <v>0.39632504488369413</v>
      </c>
      <c r="AH12" s="45">
        <v>0.49200477979340906</v>
      </c>
      <c r="AI12" s="45">
        <v>-0.98326724240233032</v>
      </c>
      <c r="AJ12" s="45">
        <v>-1.9579181874527785</v>
      </c>
      <c r="AK12" s="45">
        <v>-1.602875889945321</v>
      </c>
      <c r="AL12" s="45">
        <v>-4.2849207431116199</v>
      </c>
      <c r="AM12" s="45">
        <v>-9.1397194143251212</v>
      </c>
      <c r="AN12" s="45">
        <v>-11.26105969578437</v>
      </c>
      <c r="AO12" s="45">
        <v>-10.910641975212066</v>
      </c>
      <c r="AP12" s="45">
        <v>-1.6483507315341539</v>
      </c>
      <c r="AQ12" s="45">
        <v>10.966286623923116</v>
      </c>
      <c r="AR12" s="45">
        <v>15.071025312347675</v>
      </c>
      <c r="AS12" s="45">
        <v>13.192774270385366</v>
      </c>
      <c r="AT12" s="45">
        <v>9.2944819588913106</v>
      </c>
      <c r="AU12" s="45">
        <v>3.3169740680039084</v>
      </c>
      <c r="AV12" s="45">
        <v>-1.9339853619860126</v>
      </c>
      <c r="AW12" s="45">
        <v>-4.8167742069234905</v>
      </c>
      <c r="AX12" s="45">
        <v>-6.3678201949766251</v>
      </c>
      <c r="AY12" s="45">
        <v>-2.4978337954081442</v>
      </c>
      <c r="AZ12" s="45">
        <v>1.2034349114787624</v>
      </c>
      <c r="BA12" s="45">
        <v>-2.1448940003659933</v>
      </c>
      <c r="BB12" s="45">
        <v>-6.4955225949634432</v>
      </c>
      <c r="BC12" s="45">
        <v>-2.6702449498050229</v>
      </c>
      <c r="BD12" s="45">
        <v>2.5184515997422441</v>
      </c>
      <c r="BE12" s="45">
        <v>0.38249514599302259</v>
      </c>
      <c r="BF12" s="45">
        <v>-0.70873053403358588</v>
      </c>
      <c r="BG12" s="45">
        <v>6.1414229302062084</v>
      </c>
      <c r="BH12" s="45">
        <v>9.5666782523937233</v>
      </c>
      <c r="BI12" s="45">
        <v>2.4141210501654298</v>
      </c>
      <c r="BJ12" s="45">
        <v>-5.8812083861184199</v>
      </c>
      <c r="BK12" s="45">
        <v>-10.558324082597714</v>
      </c>
      <c r="BL12" s="45">
        <v>-5.754834161885924</v>
      </c>
      <c r="BM12" s="45">
        <v>6.8714573458328765</v>
      </c>
      <c r="BN12" s="45">
        <v>11.127945707824761</v>
      </c>
      <c r="BO12" s="45">
        <v>3.3939190622578552</v>
      </c>
      <c r="BP12" s="45">
        <v>-0.16092146873802893</v>
      </c>
      <c r="BQ12" s="45">
        <v>3.1792463678240956</v>
      </c>
      <c r="BR12" s="45">
        <v>4.191110480996163</v>
      </c>
      <c r="BS12" s="45">
        <v>-0.71900900738990359</v>
      </c>
      <c r="BT12" s="45">
        <v>-1.2307865207503932</v>
      </c>
      <c r="BU12" s="45">
        <v>7.2090643789495479</v>
      </c>
      <c r="BV12" s="45">
        <v>10.358770198552559</v>
      </c>
    </row>
    <row r="13" spans="1:74" s="163" customFormat="1" ht="17.100000000000001" customHeight="1" x14ac:dyDescent="0.2">
      <c r="A13" s="160" t="s">
        <v>93</v>
      </c>
      <c r="B13" s="161"/>
      <c r="C13" s="181" t="e">
        <v>#DIV/0!</v>
      </c>
      <c r="D13" s="181" t="e">
        <v>#DIV/0!</v>
      </c>
      <c r="E13" s="181" t="e">
        <v>#DIV/0!</v>
      </c>
      <c r="F13" s="181" t="e">
        <v>#DIV/0!</v>
      </c>
      <c r="G13" s="181" t="e">
        <v>#DIV/0!</v>
      </c>
      <c r="H13" s="181" t="e">
        <v>#DIV/0!</v>
      </c>
      <c r="I13" s="181">
        <v>2.6314094816551448</v>
      </c>
      <c r="J13" s="181">
        <v>2.1140291932760125</v>
      </c>
      <c r="K13" s="181">
        <v>2.3204341416491525</v>
      </c>
      <c r="L13" s="181">
        <v>2.5274016170726554</v>
      </c>
      <c r="M13" s="181">
        <v>3.6382150504412403</v>
      </c>
      <c r="N13" s="181">
        <v>1.5841706735422623</v>
      </c>
      <c r="O13" s="181">
        <v>-0.36539942230376932</v>
      </c>
      <c r="P13" s="181">
        <v>-0.7857612985118001</v>
      </c>
      <c r="Q13" s="181">
        <v>1.0662619044739641</v>
      </c>
      <c r="R13" s="181">
        <v>2.7771241029880489</v>
      </c>
      <c r="S13" s="181">
        <v>1.214906515077474</v>
      </c>
      <c r="T13" s="181">
        <v>-0.12148172860959594</v>
      </c>
      <c r="U13" s="181">
        <v>-0.69400376505404093</v>
      </c>
      <c r="V13" s="181">
        <v>-1.3654803484628109</v>
      </c>
      <c r="W13" s="181">
        <v>-0.81217018489128101</v>
      </c>
      <c r="X13" s="181">
        <v>0.18910245863785757</v>
      </c>
      <c r="Y13" s="181">
        <v>2.206267967950315</v>
      </c>
      <c r="Z13" s="181">
        <v>4.8259780027459787</v>
      </c>
      <c r="AA13" s="181">
        <v>3.469860545155834</v>
      </c>
      <c r="AB13" s="181">
        <v>1.0012570538570298</v>
      </c>
      <c r="AC13" s="181">
        <v>0.85094376487573342</v>
      </c>
      <c r="AD13" s="181">
        <v>3.0174238891631289</v>
      </c>
      <c r="AE13" s="181">
        <v>3.5869558621426378</v>
      </c>
      <c r="AF13" s="181">
        <v>2.0479871809715666</v>
      </c>
      <c r="AG13" s="181">
        <v>-1.6062363960481885</v>
      </c>
      <c r="AH13" s="181">
        <v>-3.0724652614638193</v>
      </c>
      <c r="AI13" s="181">
        <v>9.1987504833368483E-2</v>
      </c>
      <c r="AJ13" s="181">
        <v>3.856054311403323</v>
      </c>
      <c r="AK13" s="181">
        <v>4.2157252181967531</v>
      </c>
      <c r="AL13" s="181">
        <v>1.7699651330807642</v>
      </c>
      <c r="AM13" s="181">
        <v>-0.27906272822922906</v>
      </c>
      <c r="AN13" s="181">
        <v>-0.51830632278656585</v>
      </c>
      <c r="AO13" s="181">
        <v>1.5623151250266476</v>
      </c>
      <c r="AP13" s="181">
        <v>3.2660337009788654</v>
      </c>
      <c r="AQ13" s="181">
        <v>2.8514422989909693</v>
      </c>
      <c r="AR13" s="181">
        <v>1.393143046292189</v>
      </c>
      <c r="AS13" s="181">
        <v>2.1434236172552801</v>
      </c>
      <c r="AT13" s="181">
        <v>2.5119003732221312</v>
      </c>
      <c r="AU13" s="181">
        <v>2.1001015102413367</v>
      </c>
      <c r="AV13" s="181">
        <v>2.7487696926491667</v>
      </c>
      <c r="AW13" s="181">
        <v>1.4439912024662549</v>
      </c>
      <c r="AX13" s="181">
        <v>-1.045592365709036</v>
      </c>
      <c r="AY13" s="181">
        <v>-0.47171863722311747</v>
      </c>
      <c r="AZ13" s="181">
        <v>0.84212099398150997</v>
      </c>
      <c r="BA13" s="181">
        <v>0.52574394490780829</v>
      </c>
      <c r="BB13" s="181">
        <v>0.41132590500798649</v>
      </c>
      <c r="BC13" s="181">
        <v>2.0309673265006545E-2</v>
      </c>
      <c r="BD13" s="181">
        <v>1.9906662348294857</v>
      </c>
      <c r="BE13" s="181">
        <v>3.3427847731826166</v>
      </c>
      <c r="BF13" s="181">
        <v>1.7081177161601957</v>
      </c>
      <c r="BG13" s="181">
        <v>-0.48591220500096011</v>
      </c>
      <c r="BH13" s="181">
        <v>-0.64847965951719821</v>
      </c>
      <c r="BI13" s="181">
        <v>-0.47661528568820888</v>
      </c>
      <c r="BJ13" s="181">
        <v>2.7168169617753479</v>
      </c>
      <c r="BK13" s="181">
        <v>3.7687532379308442</v>
      </c>
      <c r="BL13" s="181">
        <v>0.48006255304837708</v>
      </c>
      <c r="BM13" s="181">
        <v>-0.62662085926090683</v>
      </c>
      <c r="BN13" s="181">
        <v>1.7413533529218483</v>
      </c>
      <c r="BO13" s="181">
        <v>3.0354953093694403</v>
      </c>
      <c r="BP13" s="181">
        <v>1.6274544696853299</v>
      </c>
      <c r="BQ13" s="181">
        <v>1.1026891413657092</v>
      </c>
      <c r="BR13" s="181">
        <v>0.66246648577585887</v>
      </c>
      <c r="BS13" s="181">
        <v>1.9330447532571071</v>
      </c>
      <c r="BT13" s="181">
        <v>3.975407976714096</v>
      </c>
      <c r="BU13" s="181">
        <v>2.573084429590522</v>
      </c>
      <c r="BV13" s="181">
        <v>0.25771149896682832</v>
      </c>
    </row>
    <row r="14" spans="1:74" ht="17.100000000000001" customHeight="1" x14ac:dyDescent="0.2">
      <c r="A14" s="72" t="s">
        <v>8</v>
      </c>
      <c r="B14" s="81"/>
      <c r="C14" s="45" t="e">
        <v>#DIV/0!</v>
      </c>
      <c r="D14" s="45" t="e">
        <v>#DIV/0!</v>
      </c>
      <c r="E14" s="45" t="e">
        <v>#DIV/0!</v>
      </c>
      <c r="F14" s="45" t="e">
        <v>#DIV/0!</v>
      </c>
      <c r="G14" s="45" t="e">
        <v>#DIV/0!</v>
      </c>
      <c r="H14" s="45" t="e">
        <v>#DIV/0!</v>
      </c>
      <c r="I14" s="45">
        <v>22.250489076226444</v>
      </c>
      <c r="J14" s="45">
        <v>18.754884077886015</v>
      </c>
      <c r="K14" s="45">
        <v>18.091818674211435</v>
      </c>
      <c r="L14" s="45">
        <v>22.467199636580879</v>
      </c>
      <c r="M14" s="45">
        <v>6.139775730820074</v>
      </c>
      <c r="N14" s="45">
        <v>-18.83356387481221</v>
      </c>
      <c r="O14" s="45">
        <v>-31.839950208936017</v>
      </c>
      <c r="P14" s="45">
        <v>-23.142841220720868</v>
      </c>
      <c r="Q14" s="45">
        <v>22.442674583179144</v>
      </c>
      <c r="R14" s="45">
        <v>61.490681498660749</v>
      </c>
      <c r="S14" s="45">
        <v>35.771556506218907</v>
      </c>
      <c r="T14" s="45">
        <v>-3.6607783713533237</v>
      </c>
      <c r="U14" s="45">
        <v>-20.398442153022934</v>
      </c>
      <c r="V14" s="45">
        <v>-14.926358493362901</v>
      </c>
      <c r="W14" s="45">
        <v>-0.44672801260906558</v>
      </c>
      <c r="X14" s="45">
        <v>3.236460696006449</v>
      </c>
      <c r="Y14" s="45">
        <v>9.4352469580991194</v>
      </c>
      <c r="Z14" s="45">
        <v>11.316310981633993</v>
      </c>
      <c r="AA14" s="45">
        <v>0.1565604243551677</v>
      </c>
      <c r="AB14" s="45">
        <v>-3.1301774175617747</v>
      </c>
      <c r="AC14" s="45">
        <v>10.81642058669563</v>
      </c>
      <c r="AD14" s="45">
        <v>13.813602758327903</v>
      </c>
      <c r="AE14" s="45">
        <v>7.7811423638264987</v>
      </c>
      <c r="AF14" s="45">
        <v>8.0955308724542476</v>
      </c>
      <c r="AG14" s="45">
        <v>-1.9791653438606005</v>
      </c>
      <c r="AH14" s="45">
        <v>-13.8103631710506</v>
      </c>
      <c r="AI14" s="45">
        <v>-3.3699656092988861</v>
      </c>
      <c r="AJ14" s="45">
        <v>22.704501858514337</v>
      </c>
      <c r="AK14" s="45">
        <v>17.554159862000063</v>
      </c>
      <c r="AL14" s="45">
        <v>8.1631438247222086</v>
      </c>
      <c r="AM14" s="45">
        <v>-0.81139116352098029</v>
      </c>
      <c r="AN14" s="45">
        <v>-11.115011241960548</v>
      </c>
      <c r="AO14" s="45">
        <v>-11.857619301232813</v>
      </c>
      <c r="AP14" s="45">
        <v>14.423670875544481</v>
      </c>
      <c r="AQ14" s="45">
        <v>18.803528236827582</v>
      </c>
      <c r="AR14" s="45">
        <v>-3.7190516345922742</v>
      </c>
      <c r="AS14" s="45">
        <v>-1.8469371663939915</v>
      </c>
      <c r="AT14" s="45">
        <v>8.2381141649202192</v>
      </c>
      <c r="AU14" s="45">
        <v>3.9947513371296761</v>
      </c>
      <c r="AV14" s="45">
        <v>8.2921035326035675</v>
      </c>
      <c r="AW14" s="45">
        <v>16.987901440897101</v>
      </c>
      <c r="AX14" s="45">
        <v>-2.0485003700236981</v>
      </c>
      <c r="AY14" s="45">
        <v>0.69481126889503475</v>
      </c>
      <c r="AZ14" s="45">
        <v>8.3975156311695045</v>
      </c>
      <c r="BA14" s="45">
        <v>-4.7280231157528219</v>
      </c>
      <c r="BB14" s="45">
        <v>-19.267606792974735</v>
      </c>
      <c r="BC14" s="45">
        <v>-15.493402119755483</v>
      </c>
      <c r="BD14" s="45">
        <v>23.380983658103993</v>
      </c>
      <c r="BE14" s="45">
        <v>36.315190899520331</v>
      </c>
      <c r="BF14" s="45">
        <v>16.297726924329893</v>
      </c>
      <c r="BG14" s="45">
        <v>-9.3789920095984751</v>
      </c>
      <c r="BH14" s="45">
        <v>-25.637530263802244</v>
      </c>
      <c r="BI14" s="45">
        <v>-24.940223367714086</v>
      </c>
      <c r="BJ14" s="45">
        <v>73.099365680522467</v>
      </c>
      <c r="BK14" s="45">
        <v>52.031650379719771</v>
      </c>
      <c r="BL14" s="45">
        <v>-2.2723864576620789</v>
      </c>
      <c r="BM14" s="45">
        <v>-24.755971134639687</v>
      </c>
      <c r="BN14" s="45">
        <v>-19.772574832378176</v>
      </c>
      <c r="BO14" s="45">
        <v>2.4657730354330942</v>
      </c>
      <c r="BP14" s="45">
        <v>21.062319674453821</v>
      </c>
      <c r="BQ14" s="45">
        <v>7.8194062887676719</v>
      </c>
      <c r="BR14" s="45">
        <v>-23.698489941203849</v>
      </c>
      <c r="BS14" s="45">
        <v>-16.043311214556212</v>
      </c>
      <c r="BT14" s="45">
        <v>40.492517455126965</v>
      </c>
      <c r="BU14" s="45">
        <v>23.502829018838533</v>
      </c>
      <c r="BV14" s="45">
        <v>-3.9218872265346483</v>
      </c>
    </row>
    <row r="15" spans="1:74" ht="17.100000000000001" customHeight="1" x14ac:dyDescent="0.2">
      <c r="A15" s="42" t="s">
        <v>9</v>
      </c>
      <c r="B15" s="81"/>
      <c r="C15" s="45" t="e">
        <v>#DIV/0!</v>
      </c>
      <c r="D15" s="45" t="e">
        <v>#DIV/0!</v>
      </c>
      <c r="E15" s="45" t="e">
        <v>#DIV/0!</v>
      </c>
      <c r="F15" s="45" t="e">
        <v>#DIV/0!</v>
      </c>
      <c r="G15" s="45" t="e">
        <v>#DIV/0!</v>
      </c>
      <c r="H15" s="45" t="e">
        <v>#DIV/0!</v>
      </c>
      <c r="I15" s="45">
        <v>2.2942917195849954</v>
      </c>
      <c r="J15" s="45">
        <v>4.1168517331800158</v>
      </c>
      <c r="K15" s="45">
        <v>2.9966354395118966</v>
      </c>
      <c r="L15" s="45">
        <v>1.5891934759289628</v>
      </c>
      <c r="M15" s="45">
        <v>1.3501609745113052</v>
      </c>
      <c r="N15" s="45">
        <v>-0.35431667132858058</v>
      </c>
      <c r="O15" s="45">
        <v>0.37639343324400443</v>
      </c>
      <c r="P15" s="45">
        <v>1.5740764941218233</v>
      </c>
      <c r="Q15" s="45">
        <v>1.7147341752685952</v>
      </c>
      <c r="R15" s="45">
        <v>-5.8296396382784277E-2</v>
      </c>
      <c r="S15" s="45">
        <v>-1.5618398322592042</v>
      </c>
      <c r="T15" s="45">
        <v>-1.5074978455622556</v>
      </c>
      <c r="U15" s="45">
        <v>-0.37122239953595315</v>
      </c>
      <c r="V15" s="45">
        <v>0.17960079447980615</v>
      </c>
      <c r="W15" s="45">
        <v>-0.61895397052621481</v>
      </c>
      <c r="X15" s="45">
        <v>-1.5654729230547004</v>
      </c>
      <c r="Y15" s="45">
        <v>0.77639643373428324</v>
      </c>
      <c r="Z15" s="45">
        <v>5.4924712788387176</v>
      </c>
      <c r="AA15" s="45">
        <v>4.7474712365714655</v>
      </c>
      <c r="AB15" s="45">
        <v>1.8238304175055564</v>
      </c>
      <c r="AC15" s="45">
        <v>1.0436722747269922</v>
      </c>
      <c r="AD15" s="45">
        <v>2.7662282570817265</v>
      </c>
      <c r="AE15" s="45">
        <v>3.6293324411935224</v>
      </c>
      <c r="AF15" s="45">
        <v>1.8461248589070056</v>
      </c>
      <c r="AG15" s="45">
        <v>-2.9618968087592012</v>
      </c>
      <c r="AH15" s="45">
        <v>-4.829804401550164</v>
      </c>
      <c r="AI15" s="45">
        <v>-1.0070705224558107</v>
      </c>
      <c r="AJ15" s="45">
        <v>2.6917699408466778</v>
      </c>
      <c r="AK15" s="45">
        <v>4.0951674666845017</v>
      </c>
      <c r="AL15" s="45">
        <v>2.3943897499021372</v>
      </c>
      <c r="AM15" s="45">
        <v>-0.28311553256690214</v>
      </c>
      <c r="AN15" s="45">
        <v>-0.73110245674752328</v>
      </c>
      <c r="AO15" s="45">
        <v>1.8811666432294816</v>
      </c>
      <c r="AP15" s="45">
        <v>2.599339824412028</v>
      </c>
      <c r="AQ15" s="45">
        <v>1.7805014121748952</v>
      </c>
      <c r="AR15" s="45">
        <v>1.4019254829100491</v>
      </c>
      <c r="AS15" s="45">
        <v>2.3210323408958455</v>
      </c>
      <c r="AT15" s="45">
        <v>1.986165195815115</v>
      </c>
      <c r="AU15" s="45">
        <v>2.3283265454474789</v>
      </c>
      <c r="AV15" s="45">
        <v>3.3640185850712712</v>
      </c>
      <c r="AW15" s="45">
        <v>0.18111033948959854</v>
      </c>
      <c r="AX15" s="45">
        <v>-2.1434931699112814</v>
      </c>
      <c r="AY15" s="45">
        <v>-0.93485417827695594</v>
      </c>
      <c r="AZ15" s="45">
        <v>-0.44859163027222149</v>
      </c>
      <c r="BA15" s="45">
        <v>-0.771865832144214</v>
      </c>
      <c r="BB15" s="45">
        <v>0.89390889233416093</v>
      </c>
      <c r="BC15" s="45">
        <v>0.29043576479339528</v>
      </c>
      <c r="BD15" s="45">
        <v>1.2761201711646519</v>
      </c>
      <c r="BE15" s="45">
        <v>3.5437359332611607</v>
      </c>
      <c r="BF15" s="45">
        <v>2.6989942916378684</v>
      </c>
      <c r="BG15" s="45">
        <v>-0.24319563747801087</v>
      </c>
      <c r="BH15" s="45">
        <v>-0.21763524634056397</v>
      </c>
      <c r="BI15" s="45">
        <v>0.15480176514146571</v>
      </c>
      <c r="BJ15" s="45">
        <v>-0.8322021259525747</v>
      </c>
      <c r="BK15" s="45">
        <v>-0.20206000287793513</v>
      </c>
      <c r="BL15" s="45">
        <v>0.65662425914210232</v>
      </c>
      <c r="BM15" s="45">
        <v>1.4283410509347449</v>
      </c>
      <c r="BN15" s="45">
        <v>3.1730188856240016</v>
      </c>
      <c r="BO15" s="45">
        <v>4.0214826121644398</v>
      </c>
      <c r="BP15" s="45">
        <v>0.58028189689851573</v>
      </c>
      <c r="BQ15" s="45">
        <v>-0.62102150772641584</v>
      </c>
      <c r="BR15" s="45">
        <v>1.1013010459564709</v>
      </c>
      <c r="BS15" s="45">
        <v>2.4786204247539079</v>
      </c>
      <c r="BT15" s="45">
        <v>2.4198795269281703</v>
      </c>
      <c r="BU15" s="45">
        <v>1.0892461181646107</v>
      </c>
      <c r="BV15" s="45">
        <v>-9.2347641649459522E-2</v>
      </c>
    </row>
    <row r="16" spans="1:74" ht="17.100000000000001" customHeight="1" x14ac:dyDescent="0.2">
      <c r="A16" s="42" t="s">
        <v>10</v>
      </c>
      <c r="B16" s="81"/>
      <c r="C16" s="45" t="e">
        <v>#DIV/0!</v>
      </c>
      <c r="D16" s="45" t="e">
        <v>#DIV/0!</v>
      </c>
      <c r="E16" s="45" t="e">
        <v>#DIV/0!</v>
      </c>
      <c r="F16" s="45" t="e">
        <v>#DIV/0!</v>
      </c>
      <c r="G16" s="45" t="e">
        <v>#DIV/0!</v>
      </c>
      <c r="H16" s="45" t="e">
        <v>#DIV/0!</v>
      </c>
      <c r="I16" s="45">
        <v>2.3559347417830168</v>
      </c>
      <c r="J16" s="45">
        <v>2.8792723282663024</v>
      </c>
      <c r="K16" s="45">
        <v>3.4035848869039542</v>
      </c>
      <c r="L16" s="45">
        <v>3.2479780692362237</v>
      </c>
      <c r="M16" s="45">
        <v>2.2935629404518654</v>
      </c>
      <c r="N16" s="45">
        <v>0.89918529028838456</v>
      </c>
      <c r="O16" s="45">
        <v>-0.67432856567845034</v>
      </c>
      <c r="P16" s="45">
        <v>-1.4873986044182219</v>
      </c>
      <c r="Q16" s="45">
        <v>-1.2407209537987129</v>
      </c>
      <c r="R16" s="45">
        <v>18.677132051150558</v>
      </c>
      <c r="S16" s="45">
        <v>0.52141368788016784</v>
      </c>
      <c r="T16" s="45">
        <v>1.5238441989466667</v>
      </c>
      <c r="U16" s="45">
        <v>2.199866631377434</v>
      </c>
      <c r="V16" s="45">
        <v>-4.814268652476783</v>
      </c>
      <c r="W16" s="45">
        <v>1.7294515148723599</v>
      </c>
      <c r="X16" s="45">
        <v>0.93786541813070112</v>
      </c>
      <c r="Y16" s="45">
        <v>0.75377263339424516</v>
      </c>
      <c r="Z16" s="45">
        <v>1.7496409225805865</v>
      </c>
      <c r="AA16" s="45">
        <v>2.5550561595765853</v>
      </c>
      <c r="AB16" s="45">
        <v>1.7259283267685444</v>
      </c>
      <c r="AC16" s="45">
        <v>0.46377102488832644</v>
      </c>
      <c r="AD16" s="45">
        <v>-6.3027928653514032E-2</v>
      </c>
      <c r="AE16" s="45">
        <v>0.64644408566700839</v>
      </c>
      <c r="AF16" s="45">
        <v>1.2913402025114928</v>
      </c>
      <c r="AG16" s="45">
        <v>1.0859965354248713</v>
      </c>
      <c r="AH16" s="45">
        <v>1.1783324610845858</v>
      </c>
      <c r="AI16" s="45">
        <v>1.9408409164495932</v>
      </c>
      <c r="AJ16" s="45">
        <v>2.6025800965882251</v>
      </c>
      <c r="AK16" s="45">
        <v>3.2678016860042458</v>
      </c>
      <c r="AL16" s="45">
        <v>3.3942757252008127</v>
      </c>
      <c r="AM16" s="45">
        <v>2.0860484888450381</v>
      </c>
      <c r="AN16" s="45">
        <v>1.2672747200413115</v>
      </c>
      <c r="AO16" s="45">
        <v>0.6515000627453027</v>
      </c>
      <c r="AP16" s="45">
        <v>-0.58822984883275531</v>
      </c>
      <c r="AQ16" s="45">
        <v>-0.70167953852475762</v>
      </c>
      <c r="AR16" s="45">
        <v>0.21595345131006916</v>
      </c>
      <c r="AS16" s="45">
        <v>0.88479977683608713</v>
      </c>
      <c r="AT16" s="45">
        <v>2.1152086685675142</v>
      </c>
      <c r="AU16" s="45">
        <v>4.3866007899026283</v>
      </c>
      <c r="AV16" s="45">
        <v>4.668327731577504</v>
      </c>
      <c r="AW16" s="45">
        <v>3.7335769062554647</v>
      </c>
      <c r="AX16" s="45">
        <v>2.6270937630231694</v>
      </c>
      <c r="AY16" s="45">
        <v>1.6084184310547478</v>
      </c>
      <c r="AZ16" s="45">
        <v>1.5995170989522745</v>
      </c>
      <c r="BA16" s="45">
        <v>2.3011812916247099</v>
      </c>
      <c r="BB16" s="45">
        <v>2.1420623629566204</v>
      </c>
      <c r="BC16" s="45">
        <v>0.75032497503653151</v>
      </c>
      <c r="BD16" s="45">
        <v>3.0251736165509691E-2</v>
      </c>
      <c r="BE16" s="45">
        <v>0.30692788538404514</v>
      </c>
      <c r="BF16" s="45">
        <v>0.90083945949910316</v>
      </c>
      <c r="BG16" s="45">
        <v>1.3716023185359028</v>
      </c>
      <c r="BH16" s="45">
        <v>2.6010638426348764</v>
      </c>
      <c r="BI16" s="45">
        <v>2.7142060613856378</v>
      </c>
      <c r="BJ16" s="45">
        <v>2.292478456698932</v>
      </c>
      <c r="BK16" s="45">
        <v>2.7072824413064911</v>
      </c>
      <c r="BL16" s="45">
        <v>2.4327588360286923</v>
      </c>
      <c r="BM16" s="45">
        <v>1.5153620377708954</v>
      </c>
      <c r="BN16" s="45">
        <v>1.1663301862446573</v>
      </c>
      <c r="BO16" s="45">
        <v>1.7512573736905956</v>
      </c>
      <c r="BP16" s="45">
        <v>2.8068050793623289</v>
      </c>
      <c r="BQ16" s="45">
        <v>4.1231896661711342</v>
      </c>
      <c r="BR16" s="45">
        <v>4.6476987589959773</v>
      </c>
      <c r="BS16" s="45">
        <v>3.6055005432258147</v>
      </c>
      <c r="BT16" s="45">
        <v>1.6096206670398239</v>
      </c>
      <c r="BU16" s="45">
        <v>0.8223159325351892</v>
      </c>
      <c r="BV16" s="45">
        <v>1.1935575966786072</v>
      </c>
    </row>
    <row r="17" spans="1:74" ht="17.100000000000001" customHeight="1" x14ac:dyDescent="0.2">
      <c r="A17" s="42" t="s">
        <v>11</v>
      </c>
      <c r="B17" s="81"/>
      <c r="C17" s="45" t="e">
        <v>#DIV/0!</v>
      </c>
      <c r="D17" s="45" t="e">
        <v>#DIV/0!</v>
      </c>
      <c r="E17" s="45" t="e">
        <v>#DIV/0!</v>
      </c>
      <c r="F17" s="45" t="e">
        <v>#DIV/0!</v>
      </c>
      <c r="G17" s="45" t="e">
        <v>#DIV/0!</v>
      </c>
      <c r="H17" s="45" t="e">
        <v>#DIV/0!</v>
      </c>
      <c r="I17" s="45">
        <v>1.5635852466118871</v>
      </c>
      <c r="J17" s="45">
        <v>1.5803250670999525</v>
      </c>
      <c r="K17" s="45">
        <v>1.4761293829793631</v>
      </c>
      <c r="L17" s="45">
        <v>1.4125183920583373</v>
      </c>
      <c r="M17" s="45">
        <v>1.4723393728389267</v>
      </c>
      <c r="N17" s="45">
        <v>1.7105978486678275</v>
      </c>
      <c r="O17" s="45">
        <v>1.6515625887573826</v>
      </c>
      <c r="P17" s="45">
        <v>1.4320409440739867</v>
      </c>
      <c r="Q17" s="45">
        <v>1.284661822333133</v>
      </c>
      <c r="R17" s="45">
        <v>1.4871966457123298</v>
      </c>
      <c r="S17" s="45">
        <v>1.69027000231734</v>
      </c>
      <c r="T17" s="45">
        <v>1.6820100580946518</v>
      </c>
      <c r="U17" s="45">
        <v>1.434357564049038</v>
      </c>
      <c r="V17" s="45">
        <v>1.2188656831426226</v>
      </c>
      <c r="W17" s="45">
        <v>1.4802129177969414</v>
      </c>
      <c r="X17" s="45">
        <v>1.7571897026199101</v>
      </c>
      <c r="Y17" s="45">
        <v>1.6823952567620371</v>
      </c>
      <c r="Z17" s="45">
        <v>1.5093335684965847</v>
      </c>
      <c r="AA17" s="45">
        <v>1.4149025148147087</v>
      </c>
      <c r="AB17" s="45">
        <v>1.3269464699574796</v>
      </c>
      <c r="AC17" s="45">
        <v>1.5807201453618802</v>
      </c>
      <c r="AD17" s="45">
        <v>1.7272270348213103</v>
      </c>
      <c r="AE17" s="45">
        <v>1.6282662431380102</v>
      </c>
      <c r="AF17" s="45">
        <v>1.4721210332663492</v>
      </c>
      <c r="AG17" s="45">
        <v>1.4747360739904458</v>
      </c>
      <c r="AH17" s="45">
        <v>1.3719730411533293</v>
      </c>
      <c r="AI17" s="45">
        <v>1.3674218696840601</v>
      </c>
      <c r="AJ17" s="45">
        <v>1.4571734161592076</v>
      </c>
      <c r="AK17" s="45">
        <v>1.4274030942080351</v>
      </c>
      <c r="AL17" s="45">
        <v>1.2500714638494781</v>
      </c>
      <c r="AM17" s="45">
        <v>1.0122661793280141</v>
      </c>
      <c r="AN17" s="45">
        <v>0.8673051680463173</v>
      </c>
      <c r="AO17" s="45">
        <v>0.83148611832588593</v>
      </c>
      <c r="AP17" s="45">
        <v>0.99930585034013752</v>
      </c>
      <c r="AQ17" s="45">
        <v>1.1385839780458706</v>
      </c>
      <c r="AR17" s="45">
        <v>1.3005446672087251</v>
      </c>
      <c r="AS17" s="45">
        <v>1.234898577025545</v>
      </c>
      <c r="AT17" s="45">
        <v>1.1404516132845988</v>
      </c>
      <c r="AU17" s="45">
        <v>1.0155091360683155</v>
      </c>
      <c r="AV17" s="45">
        <v>0.86337769475293147</v>
      </c>
      <c r="AW17" s="45">
        <v>0.92179336088056285</v>
      </c>
      <c r="AX17" s="45">
        <v>1.0856770746254796</v>
      </c>
      <c r="AY17" s="45">
        <v>1.1513330924449949</v>
      </c>
      <c r="AZ17" s="45">
        <v>1.2144607275907049</v>
      </c>
      <c r="BA17" s="45">
        <v>1.2190416881685984</v>
      </c>
      <c r="BB17" s="45">
        <v>1.1608992398870921</v>
      </c>
      <c r="BC17" s="45">
        <v>1.4832739331011036</v>
      </c>
      <c r="BD17" s="45">
        <v>1.8498708789731033</v>
      </c>
      <c r="BE17" s="45">
        <v>1.753486839289109</v>
      </c>
      <c r="BF17" s="45">
        <v>1.3850966897547723</v>
      </c>
      <c r="BG17" s="45">
        <v>0.93757994127696698</v>
      </c>
      <c r="BH17" s="45">
        <v>0.67414476490978981</v>
      </c>
      <c r="BI17" s="45">
        <v>0.90315865823360486</v>
      </c>
      <c r="BJ17" s="45">
        <v>1.2830365573733404</v>
      </c>
      <c r="BK17" s="45">
        <v>1.4442050851559918</v>
      </c>
      <c r="BL17" s="45">
        <v>1.3847364434062648</v>
      </c>
      <c r="BM17" s="45">
        <v>1.2161196329503854</v>
      </c>
      <c r="BN17" s="45">
        <v>1.0985453103505183</v>
      </c>
      <c r="BO17" s="45">
        <v>0.93741849205284389</v>
      </c>
      <c r="BP17" s="45">
        <v>0.59889029786901471</v>
      </c>
      <c r="BQ17" s="45">
        <v>0.39324190872880305</v>
      </c>
      <c r="BR17" s="45">
        <v>0.43559363855016908</v>
      </c>
      <c r="BS17" s="45">
        <v>0.64629479667503986</v>
      </c>
      <c r="BT17" s="45">
        <v>0.98160011706924788</v>
      </c>
      <c r="BU17" s="45">
        <v>1.2452906904947936</v>
      </c>
      <c r="BV17" s="45">
        <v>1.2823673872569774</v>
      </c>
    </row>
    <row r="18" spans="1:74" ht="17.100000000000001" customHeight="1" x14ac:dyDescent="0.2">
      <c r="A18" s="72" t="s">
        <v>12</v>
      </c>
      <c r="B18" s="81"/>
      <c r="C18" s="45" t="e">
        <v>#DIV/0!</v>
      </c>
      <c r="D18" s="45" t="e">
        <v>#DIV/0!</v>
      </c>
      <c r="E18" s="45" t="e">
        <v>#DIV/0!</v>
      </c>
      <c r="F18" s="45" t="e">
        <v>#DIV/0!</v>
      </c>
      <c r="G18" s="45" t="e">
        <v>#DIV/0!</v>
      </c>
      <c r="H18" s="45" t="e">
        <v>#DIV/0!</v>
      </c>
      <c r="I18" s="45">
        <v>2.2985457352256988</v>
      </c>
      <c r="J18" s="45">
        <v>-6.8369851718763419</v>
      </c>
      <c r="K18" s="45">
        <v>-2.6663618934699818</v>
      </c>
      <c r="L18" s="45">
        <v>2.8974514334247248</v>
      </c>
      <c r="M18" s="45">
        <v>13.782206505703742</v>
      </c>
      <c r="N18" s="45">
        <v>13.059914164551611</v>
      </c>
      <c r="O18" s="45">
        <v>1.3731413691570271</v>
      </c>
      <c r="P18" s="45">
        <v>-6.6480864952713219</v>
      </c>
      <c r="Q18" s="45">
        <v>-2.5573756574640893</v>
      </c>
      <c r="R18" s="45">
        <v>3.6002486879886275</v>
      </c>
      <c r="S18" s="45">
        <v>4.9687676830322269</v>
      </c>
      <c r="T18" s="45">
        <v>3.9194888255031257</v>
      </c>
      <c r="U18" s="45">
        <v>0.64881446088220773</v>
      </c>
      <c r="V18" s="45">
        <v>-4.1677168239305562</v>
      </c>
      <c r="W18" s="45">
        <v>-3.1472728785249982</v>
      </c>
      <c r="X18" s="45">
        <v>4.5076187785241251</v>
      </c>
      <c r="Y18" s="45">
        <v>6.1570658957150304</v>
      </c>
      <c r="Z18" s="45">
        <v>4.1414431626935366</v>
      </c>
      <c r="AA18" s="45">
        <v>1.3361618981765799</v>
      </c>
      <c r="AB18" s="45">
        <v>-1.1704810515044128</v>
      </c>
      <c r="AC18" s="45">
        <v>-1.50663997984265</v>
      </c>
      <c r="AD18" s="45">
        <v>3.3223111659135274</v>
      </c>
      <c r="AE18" s="45">
        <v>4.2444706736355808</v>
      </c>
      <c r="AF18" s="45">
        <v>1.9361653820876956</v>
      </c>
      <c r="AG18" s="45">
        <v>0.80971622717238567</v>
      </c>
      <c r="AH18" s="45">
        <v>1.5268822188214903</v>
      </c>
      <c r="AI18" s="45">
        <v>2.8510059125469445</v>
      </c>
      <c r="AJ18" s="45">
        <v>5.3694637315850446</v>
      </c>
      <c r="AK18" s="45">
        <v>3.4234038608837558</v>
      </c>
      <c r="AL18" s="45">
        <v>-1.4215742204918058</v>
      </c>
      <c r="AM18" s="45">
        <v>-1.2329173285607786</v>
      </c>
      <c r="AN18" s="45">
        <v>1.5462165214456869</v>
      </c>
      <c r="AO18" s="45">
        <v>3.9606324287183581</v>
      </c>
      <c r="AP18" s="45">
        <v>4.9667279069064874</v>
      </c>
      <c r="AQ18" s="45">
        <v>4.1318055973220691</v>
      </c>
      <c r="AR18" s="45">
        <v>2.7559193754348676</v>
      </c>
      <c r="AS18" s="45">
        <v>3.0999717201043442</v>
      </c>
      <c r="AT18" s="45">
        <v>3.340629045367538</v>
      </c>
      <c r="AU18" s="45">
        <v>1.0985681567876382</v>
      </c>
      <c r="AV18" s="45">
        <v>0.34138396651584024</v>
      </c>
      <c r="AW18" s="45">
        <v>0.97574610655559724</v>
      </c>
      <c r="AX18" s="45">
        <v>0.48475704216222049</v>
      </c>
      <c r="AY18" s="45">
        <v>-0.65943726913374467</v>
      </c>
      <c r="AZ18" s="45">
        <v>1.8456854807159084</v>
      </c>
      <c r="BA18" s="45">
        <v>4.5014771991875868</v>
      </c>
      <c r="BB18" s="45">
        <v>3.5314003739878475</v>
      </c>
      <c r="BC18" s="45">
        <v>1.7381355549586086</v>
      </c>
      <c r="BD18" s="45">
        <v>0.61650285672865124</v>
      </c>
      <c r="BE18" s="45">
        <v>-2.4177146117113302</v>
      </c>
      <c r="BF18" s="45">
        <v>-4.4087519833460709</v>
      </c>
      <c r="BG18" s="45">
        <v>0.88098456134761971</v>
      </c>
      <c r="BH18" s="45">
        <v>4.5191705721868924</v>
      </c>
      <c r="BI18" s="45">
        <v>1.9846414834115089</v>
      </c>
      <c r="BJ18" s="45">
        <v>0.71422896942210379</v>
      </c>
      <c r="BK18" s="45">
        <v>1.1351164888418142</v>
      </c>
      <c r="BL18" s="45">
        <v>0.38363461652870523</v>
      </c>
      <c r="BM18" s="45">
        <v>2.9539752278619158</v>
      </c>
      <c r="BN18" s="45">
        <v>5.0945850670490511</v>
      </c>
      <c r="BO18" s="45">
        <v>2.0031667575058032</v>
      </c>
      <c r="BP18" s="45">
        <v>-0.19841218102578662</v>
      </c>
      <c r="BQ18" s="45">
        <v>2.8244566826672868</v>
      </c>
      <c r="BR18" s="45">
        <v>5.7189186558248339</v>
      </c>
      <c r="BS18" s="45">
        <v>4.4859042758525591</v>
      </c>
      <c r="BT18" s="45">
        <v>2.767864388523944</v>
      </c>
      <c r="BU18" s="45">
        <v>1.8042908342542185</v>
      </c>
      <c r="BV18" s="45">
        <v>1.5838110802337324</v>
      </c>
    </row>
    <row r="19" spans="1:74" s="163" customFormat="1" ht="17.100000000000001" customHeight="1" x14ac:dyDescent="0.2">
      <c r="A19" s="160" t="s">
        <v>94</v>
      </c>
      <c r="B19" s="161"/>
      <c r="C19" s="181" t="e">
        <v>#DIV/0!</v>
      </c>
      <c r="D19" s="181" t="e">
        <v>#DIV/0!</v>
      </c>
      <c r="E19" s="181" t="e">
        <v>#DIV/0!</v>
      </c>
      <c r="F19" s="181" t="e">
        <v>#DIV/0!</v>
      </c>
      <c r="G19" s="181" t="e">
        <v>#DIV/0!</v>
      </c>
      <c r="H19" s="181" t="e">
        <v>#DIV/0!</v>
      </c>
      <c r="I19" s="181">
        <v>2.9040192005640009</v>
      </c>
      <c r="J19" s="181">
        <v>12.178358523385867</v>
      </c>
      <c r="K19" s="181">
        <v>1.0171896448754048</v>
      </c>
      <c r="L19" s="181">
        <v>1.4908727592247706</v>
      </c>
      <c r="M19" s="181">
        <v>-0.18082004809603092</v>
      </c>
      <c r="N19" s="181">
        <v>-1.8991565110465625</v>
      </c>
      <c r="O19" s="181">
        <v>5.8359649650352452E-2</v>
      </c>
      <c r="P19" s="181">
        <v>1.6461361692731824</v>
      </c>
      <c r="Q19" s="181">
        <v>2.0713867653087581</v>
      </c>
      <c r="R19" s="181">
        <v>2.5500573251120651</v>
      </c>
      <c r="S19" s="181">
        <v>3.1967996991827841</v>
      </c>
      <c r="T19" s="181">
        <v>1.2369816623742036</v>
      </c>
      <c r="U19" s="181">
        <v>-1.1225764438903107</v>
      </c>
      <c r="V19" s="181">
        <v>-1.1766029350850027</v>
      </c>
      <c r="W19" s="181">
        <v>-0.33613493716269094</v>
      </c>
      <c r="X19" s="181">
        <v>-0.25133808182464801</v>
      </c>
      <c r="Y19" s="181">
        <v>2.4970656302647498</v>
      </c>
      <c r="Z19" s="181">
        <v>4.793753842643711</v>
      </c>
      <c r="AA19" s="181">
        <v>1.8996137948466219</v>
      </c>
      <c r="AB19" s="181">
        <v>0.41782792206221941</v>
      </c>
      <c r="AC19" s="181">
        <v>1.9801045703697673</v>
      </c>
      <c r="AD19" s="181">
        <v>2.501485593838515</v>
      </c>
      <c r="AE19" s="181">
        <v>2.0846307947985032</v>
      </c>
      <c r="AF19" s="181">
        <v>2.2151441757185086</v>
      </c>
      <c r="AG19" s="181">
        <v>0.22179270209012891</v>
      </c>
      <c r="AH19" s="181">
        <v>-1.7339980421827272</v>
      </c>
      <c r="AI19" s="181">
        <v>-1.1029396752931575</v>
      </c>
      <c r="AJ19" s="181">
        <v>-0.21951689696452226</v>
      </c>
      <c r="AK19" s="181">
        <v>0.18537691148805546</v>
      </c>
      <c r="AL19" s="181">
        <v>1.8722881172096084</v>
      </c>
      <c r="AM19" s="181">
        <v>2.9898371940984436</v>
      </c>
      <c r="AN19" s="181">
        <v>2.7943823079700003</v>
      </c>
      <c r="AO19" s="181">
        <v>1.8640342864133741</v>
      </c>
      <c r="AP19" s="181">
        <v>1.1600061303836728</v>
      </c>
      <c r="AQ19" s="181">
        <v>1.4937093140466873</v>
      </c>
      <c r="AR19" s="181">
        <v>1.4711337877648001</v>
      </c>
      <c r="AS19" s="181">
        <v>1.103566718484239</v>
      </c>
      <c r="AT19" s="181">
        <v>1.0899227559980407</v>
      </c>
      <c r="AU19" s="181">
        <v>2.2365037566589363</v>
      </c>
      <c r="AV19" s="181">
        <v>2.4909471640521819</v>
      </c>
      <c r="AW19" s="181">
        <v>0.59906912819580604</v>
      </c>
      <c r="AX19" s="181">
        <v>-2.3484416554893195</v>
      </c>
      <c r="AY19" s="181">
        <v>-1.9396099375212361</v>
      </c>
      <c r="AZ19" s="181">
        <v>0.40860135519165119</v>
      </c>
      <c r="BA19" s="181">
        <v>2.30295907463125</v>
      </c>
      <c r="BB19" s="181">
        <v>2.4807389563054283</v>
      </c>
      <c r="BC19" s="181">
        <v>0.6607762312545562</v>
      </c>
      <c r="BD19" s="181">
        <v>-0.27255716385702344</v>
      </c>
      <c r="BE19" s="181">
        <v>1.6410108015065816</v>
      </c>
      <c r="BF19" s="181">
        <v>1.6053481781785894</v>
      </c>
      <c r="BG19" s="181">
        <v>0.52461007224844369</v>
      </c>
      <c r="BH19" s="181">
        <v>1.5652077754927385</v>
      </c>
      <c r="BI19" s="181">
        <v>1.5545299268280521</v>
      </c>
      <c r="BJ19" s="181">
        <v>1.104887512130448</v>
      </c>
      <c r="BK19" s="181">
        <v>1.6011197751300221</v>
      </c>
      <c r="BL19" s="181">
        <v>1.453773619769505</v>
      </c>
      <c r="BM19" s="181">
        <v>1.1311659418697939</v>
      </c>
      <c r="BN19" s="181">
        <v>2.6331457085529753</v>
      </c>
      <c r="BO19" s="181">
        <v>2.314471921393646</v>
      </c>
      <c r="BP19" s="181">
        <v>0.79913883642173111</v>
      </c>
      <c r="BQ19" s="181">
        <v>0.87659031812079569</v>
      </c>
      <c r="BR19" s="181">
        <v>1.8649533723744005</v>
      </c>
      <c r="BS19" s="181">
        <v>1.5900817519244548</v>
      </c>
      <c r="BT19" s="181">
        <v>1.1754223470101355</v>
      </c>
      <c r="BU19" s="181">
        <v>2.4671663099870678</v>
      </c>
      <c r="BV19" s="181">
        <v>0.76478726335296177</v>
      </c>
    </row>
    <row r="20" spans="1:74" ht="17.100000000000001" customHeight="1" x14ac:dyDescent="0.2">
      <c r="A20" s="82" t="s">
        <v>52</v>
      </c>
      <c r="B20" s="81"/>
      <c r="C20" s="45" t="e">
        <v>#DIV/0!</v>
      </c>
      <c r="D20" s="45" t="e">
        <v>#DIV/0!</v>
      </c>
      <c r="E20" s="45" t="e">
        <v>#DIV/0!</v>
      </c>
      <c r="F20" s="45" t="e">
        <v>#DIV/0!</v>
      </c>
      <c r="G20" s="45" t="e">
        <v>#DIV/0!</v>
      </c>
      <c r="H20" s="45" t="e">
        <v>#DIV/0!</v>
      </c>
      <c r="I20" s="45">
        <v>-5.4152318689590579</v>
      </c>
      <c r="J20" s="45">
        <v>-0.57240171144130603</v>
      </c>
      <c r="K20" s="45">
        <v>-0.38263368035208467</v>
      </c>
      <c r="L20" s="45">
        <v>2.4672609430616665</v>
      </c>
      <c r="M20" s="45">
        <v>3.3557020087394251</v>
      </c>
      <c r="N20" s="45">
        <v>-1.3077101038345251</v>
      </c>
      <c r="O20" s="45">
        <v>-1.8220392023575505</v>
      </c>
      <c r="P20" s="45">
        <v>2.9789610136593758</v>
      </c>
      <c r="Q20" s="45">
        <v>3.3323162078100044</v>
      </c>
      <c r="R20" s="45">
        <v>2.2571959115498252</v>
      </c>
      <c r="S20" s="45">
        <v>5.5423266493686674</v>
      </c>
      <c r="T20" s="45">
        <v>1.3680756314366604</v>
      </c>
      <c r="U20" s="45">
        <v>-3.6292437269680122</v>
      </c>
      <c r="V20" s="45">
        <v>-2.375915101284487</v>
      </c>
      <c r="W20" s="45">
        <v>0.62185151970124419</v>
      </c>
      <c r="X20" s="45">
        <v>-1.7931328067983587</v>
      </c>
      <c r="Y20" s="45">
        <v>-0.5727950735040177</v>
      </c>
      <c r="Z20" s="45">
        <v>4.1591857333210358</v>
      </c>
      <c r="AA20" s="45">
        <v>1.3852250239601904</v>
      </c>
      <c r="AB20" s="45">
        <v>-0.95706606850214371</v>
      </c>
      <c r="AC20" s="45">
        <v>0.56482152469381486</v>
      </c>
      <c r="AD20" s="45">
        <v>1.6115222515848071</v>
      </c>
      <c r="AE20" s="45">
        <v>2.5307936360372318</v>
      </c>
      <c r="AF20" s="45">
        <v>4.4039873484399861</v>
      </c>
      <c r="AG20" s="45">
        <v>-0.27757373542228736</v>
      </c>
      <c r="AH20" s="45">
        <v>-4.6085839777375348</v>
      </c>
      <c r="AI20" s="45">
        <v>-2.7995340733437568</v>
      </c>
      <c r="AJ20" s="45">
        <v>-0.38359838288209991</v>
      </c>
      <c r="AK20" s="45">
        <v>0.9157628981755872</v>
      </c>
      <c r="AL20" s="45">
        <v>2.8959474337731272</v>
      </c>
      <c r="AM20" s="45">
        <v>2.001454581218387</v>
      </c>
      <c r="AN20" s="45">
        <v>1.6276436898019719</v>
      </c>
      <c r="AO20" s="45">
        <v>2.2874878486053296</v>
      </c>
      <c r="AP20" s="45">
        <v>1.5919129312386593</v>
      </c>
      <c r="AQ20" s="45">
        <v>1.0245901548157521</v>
      </c>
      <c r="AR20" s="45">
        <v>1.0939951371897738</v>
      </c>
      <c r="AS20" s="45">
        <v>1.2892906753335209</v>
      </c>
      <c r="AT20" s="45">
        <v>0.49342614299725529</v>
      </c>
      <c r="AU20" s="45">
        <v>1.1524413956041091</v>
      </c>
      <c r="AV20" s="45">
        <v>1.8111063645930292</v>
      </c>
      <c r="AW20" s="45">
        <v>-1.9528410283664588E-2</v>
      </c>
      <c r="AX20" s="45">
        <v>-4.1307386253341409</v>
      </c>
      <c r="AY20" s="45">
        <v>-3.2463760800603203</v>
      </c>
      <c r="AZ20" s="45">
        <v>-0.23069603356273838</v>
      </c>
      <c r="BA20" s="45">
        <v>0.643935903312709</v>
      </c>
      <c r="BB20" s="45">
        <v>0.82520354748334412</v>
      </c>
      <c r="BC20" s="45">
        <v>-0.4217368896301199</v>
      </c>
      <c r="BD20" s="45">
        <v>0.27009741659076436</v>
      </c>
      <c r="BE20" s="45">
        <v>3.8415278877556025</v>
      </c>
      <c r="BF20" s="45">
        <v>4.1032454603332713</v>
      </c>
      <c r="BG20" s="45">
        <v>-1.0611496168377199</v>
      </c>
      <c r="BH20" s="45">
        <v>-1.5300384503835973</v>
      </c>
      <c r="BI20" s="45">
        <v>0.79996856622992496</v>
      </c>
      <c r="BJ20" s="45">
        <v>3.3376957812864649</v>
      </c>
      <c r="BK20" s="45">
        <v>3.8619428582393978</v>
      </c>
      <c r="BL20" s="45">
        <v>2.6116232396809602</v>
      </c>
      <c r="BM20" s="45">
        <v>0.29131245282467688</v>
      </c>
      <c r="BN20" s="45">
        <v>1.3276872193507705</v>
      </c>
      <c r="BO20" s="45">
        <v>3.8128869904282991</v>
      </c>
      <c r="BP20" s="45">
        <v>2.8408738631123143</v>
      </c>
      <c r="BQ20" s="45">
        <v>1.3399958697502212</v>
      </c>
      <c r="BR20" s="45">
        <v>1.2505700865993452</v>
      </c>
      <c r="BS20" s="45">
        <v>1.4358058460253398</v>
      </c>
      <c r="BT20" s="45">
        <v>0.10338295064991065</v>
      </c>
      <c r="BU20" s="45">
        <v>1.5189767581999414</v>
      </c>
      <c r="BV20" s="45">
        <v>2.3723000327562138</v>
      </c>
    </row>
    <row r="21" spans="1:74" ht="17.100000000000001" customHeight="1" x14ac:dyDescent="0.2">
      <c r="A21" s="82" t="s">
        <v>53</v>
      </c>
      <c r="B21" s="81"/>
      <c r="C21" s="45" t="e">
        <v>#DIV/0!</v>
      </c>
      <c r="D21" s="45" t="e">
        <v>#DIV/0!</v>
      </c>
      <c r="E21" s="45" t="e">
        <v>#DIV/0!</v>
      </c>
      <c r="F21" s="45" t="e">
        <v>#DIV/0!</v>
      </c>
      <c r="G21" s="45" t="e">
        <v>#DIV/0!</v>
      </c>
      <c r="H21" s="45" t="e">
        <v>#DIV/0!</v>
      </c>
      <c r="I21" s="45">
        <v>0.71215549594714211</v>
      </c>
      <c r="J21" s="45">
        <v>0.41481437340862293</v>
      </c>
      <c r="K21" s="45">
        <v>0.47144013996855971</v>
      </c>
      <c r="L21" s="45">
        <v>1.8508398985601193</v>
      </c>
      <c r="M21" s="45">
        <v>4.5449292059722701</v>
      </c>
      <c r="N21" s="45">
        <v>5.7563098329454165</v>
      </c>
      <c r="O21" s="45">
        <v>2.8729043031655133</v>
      </c>
      <c r="P21" s="45">
        <v>0.34339463023986827</v>
      </c>
      <c r="Q21" s="45">
        <v>-9.4954962017257394E-2</v>
      </c>
      <c r="R21" s="45">
        <v>-0.2068718371493028</v>
      </c>
      <c r="S21" s="45">
        <v>2.1262857276862057</v>
      </c>
      <c r="T21" s="45">
        <v>3.0229710405371479</v>
      </c>
      <c r="U21" s="45">
        <v>0.62512255672613204</v>
      </c>
      <c r="V21" s="45">
        <v>-0.4854627537877132</v>
      </c>
      <c r="W21" s="45">
        <v>1.549465726818422</v>
      </c>
      <c r="X21" s="45">
        <v>2.1976168570350563</v>
      </c>
      <c r="Y21" s="45">
        <v>2.2214071138620728</v>
      </c>
      <c r="Z21" s="45">
        <v>2.1096843538327192</v>
      </c>
      <c r="AA21" s="45">
        <v>0.88412394555532625</v>
      </c>
      <c r="AB21" s="45">
        <v>0.72984019192017247</v>
      </c>
      <c r="AC21" s="45">
        <v>1.7984020797402467</v>
      </c>
      <c r="AD21" s="45">
        <v>2.6632394991838337</v>
      </c>
      <c r="AE21" s="45">
        <v>2.8469946732270213</v>
      </c>
      <c r="AF21" s="45">
        <v>3.0093138774931694</v>
      </c>
      <c r="AG21" s="45">
        <v>1.7390408495628895</v>
      </c>
      <c r="AH21" s="45">
        <v>-0.53171163305669733</v>
      </c>
      <c r="AI21" s="45">
        <v>-1.1766841264904015</v>
      </c>
      <c r="AJ21" s="45">
        <v>0.28715505962015886</v>
      </c>
      <c r="AK21" s="45">
        <v>1.2878616894584249</v>
      </c>
      <c r="AL21" s="45">
        <v>2.30741953681739</v>
      </c>
      <c r="AM21" s="45">
        <v>3.5967161932388247</v>
      </c>
      <c r="AN21" s="45">
        <v>3.5811585614210939</v>
      </c>
      <c r="AO21" s="45">
        <v>2.2416657265673212</v>
      </c>
      <c r="AP21" s="45">
        <v>1.9931328177468455</v>
      </c>
      <c r="AQ21" s="45">
        <v>0.95184703979238616</v>
      </c>
      <c r="AR21" s="45">
        <v>-0.98211915781217796</v>
      </c>
      <c r="AS21" s="45">
        <v>-1.3740128685153286</v>
      </c>
      <c r="AT21" s="45">
        <v>0.48027210492798122</v>
      </c>
      <c r="AU21" s="45">
        <v>2.8869643424211278</v>
      </c>
      <c r="AV21" s="45">
        <v>1.4888071564030048</v>
      </c>
      <c r="AW21" s="45">
        <v>-2.6785088137302959</v>
      </c>
      <c r="AX21" s="45">
        <v>-5.5220563471409907</v>
      </c>
      <c r="AY21" s="45">
        <v>-0.95581363144607856</v>
      </c>
      <c r="AZ21" s="45">
        <v>2.4424691101883944</v>
      </c>
      <c r="BA21" s="45">
        <v>0.76549566992281104</v>
      </c>
      <c r="BB21" s="45">
        <v>-0.11676270693062873</v>
      </c>
      <c r="BC21" s="45">
        <v>-0.85259281431629974</v>
      </c>
      <c r="BD21" s="45">
        <v>-2.6906627994415566</v>
      </c>
      <c r="BE21" s="45">
        <v>0.66514392293208768</v>
      </c>
      <c r="BF21" s="45">
        <v>1.5310858172535191</v>
      </c>
      <c r="BG21" s="45">
        <v>-4.6095190946093041</v>
      </c>
      <c r="BH21" s="45">
        <v>-3.219950065111743</v>
      </c>
      <c r="BI21" s="45">
        <v>1.0708185580713847</v>
      </c>
      <c r="BJ21" s="45">
        <v>-0.34722767093454676</v>
      </c>
      <c r="BK21" s="45">
        <v>-4.7513351539640869E-2</v>
      </c>
      <c r="BL21" s="45">
        <v>4.1755360024928523</v>
      </c>
      <c r="BM21" s="45">
        <v>4.1265907953281999</v>
      </c>
      <c r="BN21" s="45">
        <v>3.0154319018696141</v>
      </c>
      <c r="BO21" s="45">
        <v>3.6990844506384901</v>
      </c>
      <c r="BP21" s="45">
        <v>2.3257847420957267</v>
      </c>
      <c r="BQ21" s="45">
        <v>1.9162499063952509</v>
      </c>
      <c r="BR21" s="45">
        <v>3.6569041925689438</v>
      </c>
      <c r="BS21" s="45">
        <v>2.844648305613795</v>
      </c>
      <c r="BT21" s="45">
        <v>1.0702196447910373</v>
      </c>
      <c r="BU21" s="45">
        <v>1.5653437422473271</v>
      </c>
      <c r="BV21" s="45">
        <v>1.782848969173001</v>
      </c>
    </row>
    <row r="22" spans="1:74" ht="17.100000000000001" customHeight="1" x14ac:dyDescent="0.2">
      <c r="A22" s="82" t="s">
        <v>55</v>
      </c>
      <c r="B22" s="81"/>
      <c r="C22" s="45" t="e">
        <v>#DIV/0!</v>
      </c>
      <c r="D22" s="45" t="e">
        <v>#DIV/0!</v>
      </c>
      <c r="E22" s="45" t="e">
        <v>#DIV/0!</v>
      </c>
      <c r="F22" s="45" t="e">
        <v>#DIV/0!</v>
      </c>
      <c r="G22" s="45" t="e">
        <v>#DIV/0!</v>
      </c>
      <c r="H22" s="45" t="e">
        <v>#DIV/0!</v>
      </c>
      <c r="I22" s="45">
        <v>7.5979450477276389</v>
      </c>
      <c r="J22" s="45">
        <v>1.5477834188386552</v>
      </c>
      <c r="K22" s="45">
        <v>-2.2306224492149918</v>
      </c>
      <c r="L22" s="45">
        <v>-1.3982582982127734</v>
      </c>
      <c r="M22" s="45">
        <v>4.4059019807842548</v>
      </c>
      <c r="N22" s="45">
        <v>8.1944589910756029</v>
      </c>
      <c r="O22" s="45">
        <v>3.7339882265811752</v>
      </c>
      <c r="P22" s="45">
        <v>1.1624339690825991</v>
      </c>
      <c r="Q22" s="45">
        <v>-0.41229935855946476</v>
      </c>
      <c r="R22" s="45">
        <v>-1.0545245692587635</v>
      </c>
      <c r="S22" s="45">
        <v>2.7505099664043797</v>
      </c>
      <c r="T22" s="45">
        <v>2.5509980240005836</v>
      </c>
      <c r="U22" s="45">
        <v>-0.85222475847042123</v>
      </c>
      <c r="V22" s="45">
        <v>0.31477268068003106</v>
      </c>
      <c r="W22" s="45">
        <v>2.8388979027868189</v>
      </c>
      <c r="X22" s="45">
        <v>2.322518718382427</v>
      </c>
      <c r="Y22" s="45">
        <v>5.0315496373463331</v>
      </c>
      <c r="Z22" s="45">
        <v>3.9691640163534103</v>
      </c>
      <c r="AA22" s="45">
        <v>-0.7693739989145576</v>
      </c>
      <c r="AB22" s="45">
        <v>-3.1394675720378795</v>
      </c>
      <c r="AC22" s="45">
        <v>-1.2664746284884121</v>
      </c>
      <c r="AD22" s="45">
        <v>0.11703192402052753</v>
      </c>
      <c r="AE22" s="45">
        <v>0.43161009356593727</v>
      </c>
      <c r="AF22" s="45">
        <v>0.8709160819216466</v>
      </c>
      <c r="AG22" s="45">
        <v>2.8168440160389219</v>
      </c>
      <c r="AH22" s="45">
        <v>3.7146752397184901</v>
      </c>
      <c r="AI22" s="45">
        <v>4.0502288323849056</v>
      </c>
      <c r="AJ22" s="45">
        <v>5.9114141422478284</v>
      </c>
      <c r="AK22" s="45">
        <v>4.917540232012696</v>
      </c>
      <c r="AL22" s="45">
        <v>3.9053250994367517</v>
      </c>
      <c r="AM22" s="45">
        <v>4.6747684216215113</v>
      </c>
      <c r="AN22" s="45">
        <v>3.3324545022228813</v>
      </c>
      <c r="AO22" s="45">
        <v>0.48992717313636192</v>
      </c>
      <c r="AP22" s="45">
        <v>-0.44104410878407219</v>
      </c>
      <c r="AQ22" s="45">
        <v>0.33604106939619793</v>
      </c>
      <c r="AR22" s="45">
        <v>-0.1290979095623368</v>
      </c>
      <c r="AS22" s="45">
        <v>-0.19158407828158142</v>
      </c>
      <c r="AT22" s="45">
        <v>-0.56349393286860838</v>
      </c>
      <c r="AU22" s="45">
        <v>3.0655842830646707</v>
      </c>
      <c r="AV22" s="45">
        <v>4.5417877154352082</v>
      </c>
      <c r="AW22" s="45">
        <v>-0.29890015177734819</v>
      </c>
      <c r="AX22" s="45">
        <v>-6.1783732006094105</v>
      </c>
      <c r="AY22" s="45">
        <v>-8.2556967311765099</v>
      </c>
      <c r="AZ22" s="45">
        <v>-6.636971181765416</v>
      </c>
      <c r="BA22" s="45">
        <v>1.4811681982888514</v>
      </c>
      <c r="BB22" s="45">
        <v>5.4738387323771009</v>
      </c>
      <c r="BC22" s="45">
        <v>-0.77525393260641229</v>
      </c>
      <c r="BD22" s="45">
        <v>-2.4724082339537934</v>
      </c>
      <c r="BE22" s="45">
        <v>-0.43683953243234264</v>
      </c>
      <c r="BF22" s="45">
        <v>-2.9061545334379768</v>
      </c>
      <c r="BG22" s="45">
        <v>-2.633811150692722</v>
      </c>
      <c r="BH22" s="45">
        <v>7.3384458542048003</v>
      </c>
      <c r="BI22" s="45">
        <v>8.6360389508018933</v>
      </c>
      <c r="BJ22" s="45">
        <v>5.8925109836049927</v>
      </c>
      <c r="BK22" s="45">
        <v>3.9445746593299802</v>
      </c>
      <c r="BL22" s="45">
        <v>-0.89308898778742707</v>
      </c>
      <c r="BM22" s="45">
        <v>-1.7893600972226031</v>
      </c>
      <c r="BN22" s="45">
        <v>9.9026269479573834</v>
      </c>
      <c r="BO22" s="45">
        <v>8.3632304931746013</v>
      </c>
      <c r="BP22" s="45">
        <v>-1.1942434246917877</v>
      </c>
      <c r="BQ22" s="45">
        <v>-0.27725205283909427</v>
      </c>
      <c r="BR22" s="45">
        <v>0.58153774098661515</v>
      </c>
      <c r="BS22" s="45">
        <v>2.3799362061919682</v>
      </c>
      <c r="BT22" s="45">
        <v>7.5714565395012423</v>
      </c>
      <c r="BU22" s="45">
        <v>3.4912126414404554</v>
      </c>
      <c r="BV22" s="45">
        <v>-2.9447611254673434</v>
      </c>
    </row>
    <row r="23" spans="1:74" ht="17.100000000000001" customHeight="1" x14ac:dyDescent="0.2">
      <c r="A23" s="82" t="s">
        <v>54</v>
      </c>
      <c r="B23" s="81"/>
      <c r="C23" s="45" t="e">
        <v>#DIV/0!</v>
      </c>
      <c r="D23" s="45" t="e">
        <v>#DIV/0!</v>
      </c>
      <c r="E23" s="45" t="e">
        <v>#DIV/0!</v>
      </c>
      <c r="F23" s="45" t="e">
        <v>#DIV/0!</v>
      </c>
      <c r="G23" s="45" t="e">
        <v>#DIV/0!</v>
      </c>
      <c r="H23" s="45" t="e">
        <v>#DIV/0!</v>
      </c>
      <c r="I23" s="45">
        <v>48.533495835698012</v>
      </c>
      <c r="J23" s="45">
        <v>13.040232082288483</v>
      </c>
      <c r="K23" s="45">
        <v>2.0071174603588204</v>
      </c>
      <c r="L23" s="45">
        <v>0.77209388068615326</v>
      </c>
      <c r="M23" s="45">
        <v>-0.69995787698065026</v>
      </c>
      <c r="N23" s="45">
        <v>5.7370740780933183</v>
      </c>
      <c r="O23" s="45">
        <v>7.0913540292463439</v>
      </c>
      <c r="P23" s="45">
        <v>3.1921217165476135</v>
      </c>
      <c r="Q23" s="45">
        <v>5.4952340696529767</v>
      </c>
      <c r="R23" s="45">
        <v>6.9415632488727397</v>
      </c>
      <c r="S23" s="45">
        <v>1.9755771443103365</v>
      </c>
      <c r="T23" s="45">
        <v>1.1240046402416493</v>
      </c>
      <c r="U23" s="45">
        <v>6.2034917330208383</v>
      </c>
      <c r="V23" s="45">
        <v>6.279209143385156</v>
      </c>
      <c r="W23" s="45">
        <v>6.0743658480020946</v>
      </c>
      <c r="X23" s="45">
        <v>4.5179454374015382</v>
      </c>
      <c r="Y23" s="45">
        <v>0.36116430618142736</v>
      </c>
      <c r="Z23" s="45">
        <v>-1.2172790702685066</v>
      </c>
      <c r="AA23" s="45">
        <v>-0.68529585380682212</v>
      </c>
      <c r="AB23" s="45">
        <v>-1.293636608148685</v>
      </c>
      <c r="AC23" s="45">
        <v>-0.19129524136211051</v>
      </c>
      <c r="AD23" s="45">
        <v>2.2283851328102511</v>
      </c>
      <c r="AE23" s="45">
        <v>3.0515772516669148</v>
      </c>
      <c r="AF23" s="45">
        <v>4.7621674932017743</v>
      </c>
      <c r="AG23" s="45">
        <v>2.9941654112639826</v>
      </c>
      <c r="AH23" s="45">
        <v>2.3747733838359819</v>
      </c>
      <c r="AI23" s="45">
        <v>4.9530273415253401</v>
      </c>
      <c r="AJ23" s="45">
        <v>5.8780609071230616</v>
      </c>
      <c r="AK23" s="45">
        <v>5.3326910720770559</v>
      </c>
      <c r="AL23" s="45">
        <v>4.3488235223899663</v>
      </c>
      <c r="AM23" s="45">
        <v>1.88994279712138</v>
      </c>
      <c r="AN23" s="45">
        <v>1.1355412592275682</v>
      </c>
      <c r="AO23" s="45">
        <v>3.3251444810783681</v>
      </c>
      <c r="AP23" s="45">
        <v>3.4774513632399806</v>
      </c>
      <c r="AQ23" s="45">
        <v>-2.1704799887208526</v>
      </c>
      <c r="AR23" s="45">
        <v>-6.7497010540143343</v>
      </c>
      <c r="AS23" s="45">
        <v>-4.3838014753213361</v>
      </c>
      <c r="AT23" s="45">
        <v>1.9744762756729539</v>
      </c>
      <c r="AU23" s="45">
        <v>8.6058109110463743</v>
      </c>
      <c r="AV23" s="45">
        <v>11.372473157400954</v>
      </c>
      <c r="AW23" s="45">
        <v>4.5925187447058091</v>
      </c>
      <c r="AX23" s="45">
        <v>-4.2949146855893687</v>
      </c>
      <c r="AY23" s="45">
        <v>-3.5366127976689699</v>
      </c>
      <c r="AZ23" s="45">
        <v>4.043092307021201</v>
      </c>
      <c r="BA23" s="45">
        <v>8.3496121049016168</v>
      </c>
      <c r="BB23" s="45">
        <v>7.305271865952534</v>
      </c>
      <c r="BC23" s="45">
        <v>3.4142535462533985</v>
      </c>
      <c r="BD23" s="45">
        <v>-0.4330590425546843</v>
      </c>
      <c r="BE23" s="45">
        <v>8.9959596002220366E-3</v>
      </c>
      <c r="BF23" s="45">
        <v>2.5409656358460708</v>
      </c>
      <c r="BG23" s="45">
        <v>0.1468197712343855</v>
      </c>
      <c r="BH23" s="45">
        <v>-1.3117057958559886</v>
      </c>
      <c r="BI23" s="45">
        <v>3.9951340655264955</v>
      </c>
      <c r="BJ23" s="45">
        <v>8.9823073022204269</v>
      </c>
      <c r="BK23" s="45">
        <v>7.0155416660478309</v>
      </c>
      <c r="BL23" s="45">
        <v>2.500467936603612</v>
      </c>
      <c r="BM23" s="45">
        <v>-1.7357459936189312</v>
      </c>
      <c r="BN23" s="45">
        <v>-2.0447492507144949</v>
      </c>
      <c r="BO23" s="45">
        <v>1.6949643286128913</v>
      </c>
      <c r="BP23" s="45">
        <v>1.3983859342188598</v>
      </c>
      <c r="BQ23" s="45">
        <v>-1.758830453524618</v>
      </c>
      <c r="BR23" s="45">
        <v>-3.7764168014407296</v>
      </c>
      <c r="BS23" s="45">
        <v>-1.6979756125117818</v>
      </c>
      <c r="BT23" s="45">
        <v>2.9796330227875423</v>
      </c>
      <c r="BU23" s="45">
        <v>5.1728409472659775</v>
      </c>
      <c r="BV23" s="45">
        <v>3.6719644939005924</v>
      </c>
    </row>
    <row r="24" spans="1:74" ht="17.100000000000001" customHeight="1" x14ac:dyDescent="0.2">
      <c r="A24" s="82" t="s">
        <v>72</v>
      </c>
      <c r="B24" s="81"/>
      <c r="C24" s="45" t="e">
        <v>#DIV/0!</v>
      </c>
      <c r="D24" s="45" t="e">
        <v>#DIV/0!</v>
      </c>
      <c r="E24" s="45" t="e">
        <v>#DIV/0!</v>
      </c>
      <c r="F24" s="45" t="e">
        <v>#DIV/0!</v>
      </c>
      <c r="G24" s="45" t="e">
        <v>#DIV/0!</v>
      </c>
      <c r="H24" s="45" t="e">
        <v>#DIV/0!</v>
      </c>
      <c r="I24" s="45">
        <v>9.1766313309901815</v>
      </c>
      <c r="J24" s="45">
        <v>9.1601558443422668</v>
      </c>
      <c r="K24" s="45">
        <v>5.1400844870716389</v>
      </c>
      <c r="L24" s="45">
        <v>2.6962834530732893</v>
      </c>
      <c r="M24" s="45">
        <v>-4.8718616955780281</v>
      </c>
      <c r="N24" s="45">
        <v>-3.0214445950520807</v>
      </c>
      <c r="O24" s="45">
        <v>5.5051968803720541</v>
      </c>
      <c r="P24" s="45">
        <v>2.1180837355629256</v>
      </c>
      <c r="Q24" s="45">
        <v>-1.0891579086864445</v>
      </c>
      <c r="R24" s="45">
        <v>0.69897144753394702</v>
      </c>
      <c r="S24" s="45">
        <v>1.583412427214137</v>
      </c>
      <c r="T24" s="45">
        <v>2.6345086670945816</v>
      </c>
      <c r="U24" s="45">
        <v>2.9931125634271805</v>
      </c>
      <c r="V24" s="45">
        <v>0.94366243501129432</v>
      </c>
      <c r="W24" s="45">
        <v>1.6058192057794907</v>
      </c>
      <c r="X24" s="45">
        <v>3.6321550623178434</v>
      </c>
      <c r="Y24" s="45">
        <v>7.3079614131888349</v>
      </c>
      <c r="Z24" s="45">
        <v>8.4407904142387089</v>
      </c>
      <c r="AA24" s="45">
        <v>4.5629180300033712</v>
      </c>
      <c r="AB24" s="45">
        <v>1.2862109052780957</v>
      </c>
      <c r="AC24" s="45">
        <v>-1.645964536893807E-2</v>
      </c>
      <c r="AD24" s="45">
        <v>-0.69261237125520791</v>
      </c>
      <c r="AE24" s="45">
        <v>3.3844185185703202</v>
      </c>
      <c r="AF24" s="45">
        <v>6.030757943381837</v>
      </c>
      <c r="AG24" s="45">
        <v>2.6153249205267626</v>
      </c>
      <c r="AH24" s="45">
        <v>-1.7453743454959758</v>
      </c>
      <c r="AI24" s="45">
        <v>-3.0167781016786521</v>
      </c>
      <c r="AJ24" s="45">
        <v>-3.9662650493648144</v>
      </c>
      <c r="AK24" s="45">
        <v>0.3797673517817346</v>
      </c>
      <c r="AL24" s="45">
        <v>4.3142182315477173</v>
      </c>
      <c r="AM24" s="45">
        <v>1.7668365032829092</v>
      </c>
      <c r="AN24" s="45">
        <v>-0.81507513796544862</v>
      </c>
      <c r="AO24" s="45">
        <v>-2.0253693186515265</v>
      </c>
      <c r="AP24" s="45">
        <v>-0.13088212438292501</v>
      </c>
      <c r="AQ24" s="45">
        <v>2.5053883530751886</v>
      </c>
      <c r="AR24" s="45">
        <v>4.2731421811564418</v>
      </c>
      <c r="AS24" s="45">
        <v>3.2257488058222927</v>
      </c>
      <c r="AT24" s="45">
        <v>4.4000019981670579</v>
      </c>
      <c r="AU24" s="45">
        <v>4.9794265548276151</v>
      </c>
      <c r="AV24" s="45">
        <v>5.482764891095937</v>
      </c>
      <c r="AW24" s="45">
        <v>2.0574192213007603</v>
      </c>
      <c r="AX24" s="45">
        <v>-4.4278683769145788</v>
      </c>
      <c r="AY24" s="45">
        <v>-1.479845331552776</v>
      </c>
      <c r="AZ24" s="45">
        <v>3.0115549133904462</v>
      </c>
      <c r="BA24" s="45">
        <v>5.2211028923545566</v>
      </c>
      <c r="BB24" s="45">
        <v>2.6089900587692894</v>
      </c>
      <c r="BC24" s="45">
        <v>0.32573123896557643</v>
      </c>
      <c r="BD24" s="45">
        <v>-4.5413713342839497</v>
      </c>
      <c r="BE24" s="45">
        <v>4.2279825427650852</v>
      </c>
      <c r="BF24" s="45">
        <v>7.4089733834132865</v>
      </c>
      <c r="BG24" s="45">
        <v>-0.87741145412594257</v>
      </c>
      <c r="BH24" s="45">
        <v>-2.9904031969479217</v>
      </c>
      <c r="BI24" s="45">
        <v>1.0390246211336107</v>
      </c>
      <c r="BJ24" s="45">
        <v>0.88407257007223627</v>
      </c>
      <c r="BK24" s="45">
        <v>-1.6054244010594854</v>
      </c>
      <c r="BL24" s="45">
        <v>1.0307391990439729</v>
      </c>
      <c r="BM24" s="45">
        <v>-1.4275118669264675</v>
      </c>
      <c r="BN24" s="45">
        <v>2.0103417315344485</v>
      </c>
      <c r="BO24" s="45">
        <v>4.3808568125492053</v>
      </c>
      <c r="BP24" s="45">
        <v>2.0769700546106273</v>
      </c>
      <c r="BQ24" s="45">
        <v>-2.8496498377896473</v>
      </c>
      <c r="BR24" s="45">
        <v>-0.18775096364723742</v>
      </c>
      <c r="BS24" s="45">
        <v>5.0869243630313754</v>
      </c>
      <c r="BT24" s="45">
        <v>3.5652699829798351</v>
      </c>
      <c r="BU24" s="45">
        <v>-0.65213835727004899</v>
      </c>
      <c r="BV24" s="45">
        <v>-2.1663651884262558</v>
      </c>
    </row>
    <row r="25" spans="1:74" ht="17.100000000000001" customHeight="1" x14ac:dyDescent="0.2">
      <c r="A25" s="82" t="s">
        <v>14</v>
      </c>
      <c r="B25" s="81"/>
      <c r="C25" s="45" t="e">
        <v>#DIV/0!</v>
      </c>
      <c r="D25" s="45" t="e">
        <v>#DIV/0!</v>
      </c>
      <c r="E25" s="45" t="e">
        <v>#DIV/0!</v>
      </c>
      <c r="F25" s="45" t="e">
        <v>#DIV/0!</v>
      </c>
      <c r="G25" s="45" t="e">
        <v>#DIV/0!</v>
      </c>
      <c r="H25" s="45" t="e">
        <v>#DIV/0!</v>
      </c>
      <c r="I25" s="45">
        <v>3.4818828933931512</v>
      </c>
      <c r="J25" s="45">
        <v>3.7357945705372986</v>
      </c>
      <c r="K25" s="45">
        <v>2.5841267173607019</v>
      </c>
      <c r="L25" s="45">
        <v>1.0546612506720843</v>
      </c>
      <c r="M25" s="45">
        <v>-1.1560241468584365</v>
      </c>
      <c r="N25" s="45">
        <v>-2.60651420667114</v>
      </c>
      <c r="O25" s="45">
        <v>-1.3965034315172487</v>
      </c>
      <c r="P25" s="45">
        <v>0.92691935885564902</v>
      </c>
      <c r="Q25" s="45">
        <v>2.7524787019226782</v>
      </c>
      <c r="R25" s="45">
        <v>4.0286067586202901</v>
      </c>
      <c r="S25" s="45">
        <v>3.4356052821137739</v>
      </c>
      <c r="T25" s="45">
        <v>0.11312260372615679</v>
      </c>
      <c r="U25" s="45">
        <v>-0.50726022869220788</v>
      </c>
      <c r="V25" s="45">
        <v>0.94314732357896336</v>
      </c>
      <c r="W25" s="45">
        <v>1.304793718334718</v>
      </c>
      <c r="X25" s="45">
        <v>1.9662140636796277</v>
      </c>
      <c r="Y25" s="45">
        <v>2.7564020836893244</v>
      </c>
      <c r="Z25" s="45">
        <v>1.0957029195256762</v>
      </c>
      <c r="AA25" s="45">
        <v>0.3958011722068111</v>
      </c>
      <c r="AB25" s="45">
        <v>1.5149979749800035</v>
      </c>
      <c r="AC25" s="45">
        <v>1.9174969150256516</v>
      </c>
      <c r="AD25" s="45">
        <v>2.2222231005978754</v>
      </c>
      <c r="AE25" s="45">
        <v>3.1798807085432257</v>
      </c>
      <c r="AF25" s="45">
        <v>1.9391352604242185</v>
      </c>
      <c r="AG25" s="45">
        <v>-2.8029246966210231E-2</v>
      </c>
      <c r="AH25" s="45">
        <v>3.2227287474739796E-2</v>
      </c>
      <c r="AI25" s="45">
        <v>-8.6193548389335017E-2</v>
      </c>
      <c r="AJ25" s="45">
        <v>-0.65206490229622327</v>
      </c>
      <c r="AK25" s="45">
        <v>0.54325014856508869</v>
      </c>
      <c r="AL25" s="45">
        <v>2.5685529458032486</v>
      </c>
      <c r="AM25" s="45">
        <v>2.9282127188898333</v>
      </c>
      <c r="AN25" s="45">
        <v>3.5234150736632719</v>
      </c>
      <c r="AO25" s="45">
        <v>3.1419448154303975</v>
      </c>
      <c r="AP25" s="45">
        <v>2.1601421110209573</v>
      </c>
      <c r="AQ25" s="45">
        <v>2.9049509032300858</v>
      </c>
      <c r="AR25" s="45">
        <v>3.8402645307281214</v>
      </c>
      <c r="AS25" s="45">
        <v>2.3712455921469644</v>
      </c>
      <c r="AT25" s="45">
        <v>9.3897428020706108E-2</v>
      </c>
      <c r="AU25" s="45">
        <v>-0.20513881970940506</v>
      </c>
      <c r="AV25" s="45">
        <v>0.72814999078032461</v>
      </c>
      <c r="AW25" s="45">
        <v>2.772968215260363</v>
      </c>
      <c r="AX25" s="45">
        <v>2.792043418452872</v>
      </c>
      <c r="AY25" s="45">
        <v>1.1103488459523803</v>
      </c>
      <c r="AZ25" s="45">
        <v>-0.3848541913472614</v>
      </c>
      <c r="BA25" s="45">
        <v>0.10273795115329776</v>
      </c>
      <c r="BB25" s="45">
        <v>1.4424901256788747</v>
      </c>
      <c r="BC25" s="45">
        <v>2.461629544780175</v>
      </c>
      <c r="BD25" s="45">
        <v>2.8824888572887009</v>
      </c>
      <c r="BE25" s="45">
        <v>2.3647673784424894</v>
      </c>
      <c r="BF25" s="45">
        <v>1.887900654444441</v>
      </c>
      <c r="BG25" s="45">
        <v>1.960012863349192</v>
      </c>
      <c r="BH25" s="45">
        <v>2.0353376697716419</v>
      </c>
      <c r="BI25" s="45">
        <v>1.1300988235630527</v>
      </c>
      <c r="BJ25" s="45">
        <v>1.4322587170852552</v>
      </c>
      <c r="BK25" s="45">
        <v>2.3764736540386799</v>
      </c>
      <c r="BL25" s="45">
        <v>2.6021039505190746</v>
      </c>
      <c r="BM25" s="45">
        <v>1.7367162903845879</v>
      </c>
      <c r="BN25" s="45">
        <v>1.0304032147624431</v>
      </c>
      <c r="BO25" s="45">
        <v>0.20788973947987177</v>
      </c>
      <c r="BP25" s="45">
        <v>0.43918324488907423</v>
      </c>
      <c r="BQ25" s="45">
        <v>1.7831309995760991</v>
      </c>
      <c r="BR25" s="45">
        <v>2.4169888880612111</v>
      </c>
      <c r="BS25" s="45">
        <v>1.8939955674530884</v>
      </c>
      <c r="BT25" s="45">
        <v>1.4342628201525986</v>
      </c>
      <c r="BU25" s="45">
        <v>2.0201496308324574</v>
      </c>
      <c r="BV25" s="45">
        <v>2.2939473075798356</v>
      </c>
    </row>
    <row r="26" spans="1:74" ht="17.100000000000001" customHeight="1" x14ac:dyDescent="0.2">
      <c r="A26" s="82" t="s">
        <v>56</v>
      </c>
      <c r="B26" s="81"/>
      <c r="C26" s="45" t="e">
        <v>#DIV/0!</v>
      </c>
      <c r="D26" s="45" t="e">
        <v>#DIV/0!</v>
      </c>
      <c r="E26" s="45" t="e">
        <v>#DIV/0!</v>
      </c>
      <c r="F26" s="45" t="e">
        <v>#DIV/0!</v>
      </c>
      <c r="G26" s="45" t="e">
        <v>#DIV/0!</v>
      </c>
      <c r="H26" s="45" t="e">
        <v>#DIV/0!</v>
      </c>
      <c r="I26" s="45">
        <v>54.382991547953672</v>
      </c>
      <c r="J26" s="45">
        <v>260.10443020860049</v>
      </c>
      <c r="K26" s="45">
        <v>-3.0205693196194261</v>
      </c>
      <c r="L26" s="45">
        <v>-4.206642823065831</v>
      </c>
      <c r="M26" s="45">
        <v>-17.010966464624978</v>
      </c>
      <c r="N26" s="45">
        <v>-21.785934191212952</v>
      </c>
      <c r="O26" s="45">
        <v>-8.2917160849677156</v>
      </c>
      <c r="P26" s="45">
        <v>-0.75786524316796555</v>
      </c>
      <c r="Q26" s="45">
        <v>10.531845901331295</v>
      </c>
      <c r="R26" s="45">
        <v>18.880323238762831</v>
      </c>
      <c r="S26" s="45">
        <v>4.62788849758895</v>
      </c>
      <c r="T26" s="45">
        <v>-3.7011633866696814</v>
      </c>
      <c r="U26" s="45">
        <v>-7.1462528180024858</v>
      </c>
      <c r="V26" s="45">
        <v>-7.9570193921717935</v>
      </c>
      <c r="W26" s="45">
        <v>-5.9108522747364116</v>
      </c>
      <c r="X26" s="45">
        <v>1.0893802092654781</v>
      </c>
      <c r="Y26" s="45">
        <v>11.712223458469829</v>
      </c>
      <c r="Z26" s="45">
        <v>13.840324218370004</v>
      </c>
      <c r="AA26" s="45">
        <v>-1.4389814771555987</v>
      </c>
      <c r="AB26" s="45">
        <v>-9.4004042191537138</v>
      </c>
      <c r="AC26" s="45">
        <v>-3.9690384811027712</v>
      </c>
      <c r="AD26" s="45">
        <v>-0.30873351595257503</v>
      </c>
      <c r="AE26" s="45">
        <v>-1.7127966695960284</v>
      </c>
      <c r="AF26" s="45">
        <v>3.1925704150064016</v>
      </c>
      <c r="AG26" s="45">
        <v>3.6486223621134073</v>
      </c>
      <c r="AH26" s="45">
        <v>-4.5373897945983455</v>
      </c>
      <c r="AI26" s="45">
        <v>-6.0594844081071519</v>
      </c>
      <c r="AJ26" s="45">
        <v>-4.3447520701296316</v>
      </c>
      <c r="AK26" s="45">
        <v>-8.8922952944392897</v>
      </c>
      <c r="AL26" s="45">
        <v>-7.2368067037354429</v>
      </c>
      <c r="AM26" s="45">
        <v>3.2731782170340118</v>
      </c>
      <c r="AN26" s="45">
        <v>6.7739328125157927</v>
      </c>
      <c r="AO26" s="45">
        <v>2.8031414699661417</v>
      </c>
      <c r="AP26" s="45">
        <v>2.2917617832774573</v>
      </c>
      <c r="AQ26" s="45">
        <v>2.475576096856047</v>
      </c>
      <c r="AR26" s="45">
        <v>-4.2485074766545612</v>
      </c>
      <c r="AS26" s="45">
        <v>-2.2827630344921079</v>
      </c>
      <c r="AT26" s="45">
        <v>10.759974555301909</v>
      </c>
      <c r="AU26" s="45">
        <v>16.117772935580611</v>
      </c>
      <c r="AV26" s="45">
        <v>5.4604635909393462</v>
      </c>
      <c r="AW26" s="45">
        <v>-8.1933559467605619</v>
      </c>
      <c r="AX26" s="45">
        <v>-15.962096861173258</v>
      </c>
      <c r="AY26" s="45">
        <v>-10.684736647634363</v>
      </c>
      <c r="AZ26" s="45">
        <v>5.6933159617869045</v>
      </c>
      <c r="BA26" s="45">
        <v>14.986188265637912</v>
      </c>
      <c r="BB26" s="45">
        <v>8.286907002580568</v>
      </c>
      <c r="BC26" s="45">
        <v>2.6476556222619241</v>
      </c>
      <c r="BD26" s="45">
        <v>1.2806493609184733</v>
      </c>
      <c r="BE26" s="45">
        <v>-5.4675478104234347</v>
      </c>
      <c r="BF26" s="45">
        <v>-9.3951667616871131</v>
      </c>
      <c r="BG26" s="45">
        <v>5.4727942033743648</v>
      </c>
      <c r="BH26" s="45">
        <v>16.760650872636319</v>
      </c>
      <c r="BI26" s="45">
        <v>6.654814257255004</v>
      </c>
      <c r="BJ26" s="45">
        <v>-4.268736887330304</v>
      </c>
      <c r="BK26" s="45">
        <v>-7.359306463618398</v>
      </c>
      <c r="BL26" s="45">
        <v>-4.2646156539753672</v>
      </c>
      <c r="BM26" s="45">
        <v>7.1324187105697989</v>
      </c>
      <c r="BN26" s="45">
        <v>10.882456789217887</v>
      </c>
      <c r="BO26" s="45">
        <v>2.6299930983397335</v>
      </c>
      <c r="BP26" s="45">
        <v>0.7126436631342159</v>
      </c>
      <c r="BQ26" s="45">
        <v>6.6855931291773363</v>
      </c>
      <c r="BR26" s="45">
        <v>8.4129074670570283</v>
      </c>
      <c r="BS26" s="45">
        <v>-2.4798887466588093</v>
      </c>
      <c r="BT26" s="45">
        <v>-9.1473241268156595</v>
      </c>
      <c r="BU26" s="45">
        <v>-2.5966941871884086</v>
      </c>
      <c r="BV26" s="45">
        <v>4.7290438106779353</v>
      </c>
    </row>
    <row r="27" spans="1:74" ht="17.100000000000001" customHeight="1" x14ac:dyDescent="0.2">
      <c r="A27" s="82" t="s">
        <v>57</v>
      </c>
      <c r="B27" s="81"/>
      <c r="C27" s="45" t="e">
        <v>#DIV/0!</v>
      </c>
      <c r="D27" s="45" t="e">
        <v>#DIV/0!</v>
      </c>
      <c r="E27" s="45" t="e">
        <v>#DIV/0!</v>
      </c>
      <c r="F27" s="45" t="e">
        <v>#DIV/0!</v>
      </c>
      <c r="G27" s="45" t="e">
        <v>#DIV/0!</v>
      </c>
      <c r="H27" s="45" t="e">
        <v>#DIV/0!</v>
      </c>
      <c r="I27" s="45">
        <v>3.2840025855505273</v>
      </c>
      <c r="J27" s="45">
        <v>8.3773432752166865</v>
      </c>
      <c r="K27" s="45">
        <v>9.1141822108501191</v>
      </c>
      <c r="L27" s="45">
        <v>8.329550790985385</v>
      </c>
      <c r="M27" s="45">
        <v>7.5028891316422541</v>
      </c>
      <c r="N27" s="45">
        <v>4.7586717773712595</v>
      </c>
      <c r="O27" s="45">
        <v>1.2875260842579506</v>
      </c>
      <c r="P27" s="45">
        <v>-1.1326149092952265</v>
      </c>
      <c r="Q27" s="45">
        <v>-4.4332766401371293</v>
      </c>
      <c r="R27" s="45">
        <v>-5.8815463494704794</v>
      </c>
      <c r="S27" s="45">
        <v>-3.4974904945130558</v>
      </c>
      <c r="T27" s="45">
        <v>-1.7746462668172036</v>
      </c>
      <c r="U27" s="45">
        <v>-2.4124564902978207</v>
      </c>
      <c r="V27" s="45">
        <v>-2.6835742632656756</v>
      </c>
      <c r="W27" s="45">
        <v>-1.1584571868462512</v>
      </c>
      <c r="X27" s="45">
        <v>1.0497711542221788</v>
      </c>
      <c r="Y27" s="45">
        <v>4.6293045071904126</v>
      </c>
      <c r="Z27" s="45">
        <v>7.6251644428615872</v>
      </c>
      <c r="AA27" s="45">
        <v>8.4303281172135591</v>
      </c>
      <c r="AB27" s="45">
        <v>7.9356169738437288</v>
      </c>
      <c r="AC27" s="45">
        <v>6.4998560966973429</v>
      </c>
      <c r="AD27" s="45">
        <v>1.9811489190596943</v>
      </c>
      <c r="AE27" s="45">
        <v>-3.7700585665209285</v>
      </c>
      <c r="AF27" s="45">
        <v>-6.1694437039498062</v>
      </c>
      <c r="AG27" s="45">
        <v>-6.5265543554431709</v>
      </c>
      <c r="AH27" s="45">
        <v>-5.2164360398291194</v>
      </c>
      <c r="AI27" s="45">
        <v>-1.8448842313962821</v>
      </c>
      <c r="AJ27" s="45">
        <v>0.98418673525573208</v>
      </c>
      <c r="AK27" s="45">
        <v>1.8463767514897977</v>
      </c>
      <c r="AL27" s="45">
        <v>1.6824629174019279</v>
      </c>
      <c r="AM27" s="45">
        <v>0.69382349738056348</v>
      </c>
      <c r="AN27" s="45">
        <v>-0.37746827150074713</v>
      </c>
      <c r="AO27" s="45">
        <v>0.91035461982016397</v>
      </c>
      <c r="AP27" s="45">
        <v>3.6228074481598815</v>
      </c>
      <c r="AQ27" s="45">
        <v>4.9620767981840563</v>
      </c>
      <c r="AR27" s="45">
        <v>4.0906675237925905</v>
      </c>
      <c r="AS27" s="45">
        <v>3.8608483379815262</v>
      </c>
      <c r="AT27" s="45">
        <v>4.6650690700338782</v>
      </c>
      <c r="AU27" s="45">
        <v>4.2558411948752761</v>
      </c>
      <c r="AV27" s="45">
        <v>2.0924710359932375</v>
      </c>
      <c r="AW27" s="45">
        <v>-1.1562779774743848</v>
      </c>
      <c r="AX27" s="45">
        <v>-2.2087260344253901</v>
      </c>
      <c r="AY27" s="45">
        <v>-0.10662896044086878</v>
      </c>
      <c r="AZ27" s="45">
        <v>2.7042560705086593</v>
      </c>
      <c r="BA27" s="45">
        <v>2.4967857854411024</v>
      </c>
      <c r="BB27" s="45">
        <v>0.44707088531490413</v>
      </c>
      <c r="BC27" s="45">
        <v>-0.94495567687030713</v>
      </c>
      <c r="BD27" s="45">
        <v>1.0559057377142578</v>
      </c>
      <c r="BE27" s="45">
        <v>1.8654189041110936</v>
      </c>
      <c r="BF27" s="45">
        <v>0.42771736377895664</v>
      </c>
      <c r="BG27" s="45">
        <v>4.4161553428885947</v>
      </c>
      <c r="BH27" s="45">
        <v>7.5397802016555993</v>
      </c>
      <c r="BI27" s="45">
        <v>4.7929539818234446</v>
      </c>
      <c r="BJ27" s="45">
        <v>1.2151718947903012</v>
      </c>
      <c r="BK27" s="45">
        <v>-0.20985842437727387</v>
      </c>
      <c r="BL27" s="45">
        <v>-1.1708464035413035</v>
      </c>
      <c r="BM27" s="45">
        <v>2.6110554444137124</v>
      </c>
      <c r="BN27" s="45">
        <v>4.8716561455743435</v>
      </c>
      <c r="BO27" s="45">
        <v>0.31911211627768665</v>
      </c>
      <c r="BP27" s="45">
        <v>-3.5859039255795477</v>
      </c>
      <c r="BQ27" s="45">
        <v>-1.3090284923759854</v>
      </c>
      <c r="BR27" s="45">
        <v>2.4569318545679675</v>
      </c>
      <c r="BS27" s="45">
        <v>2.8790838593605539</v>
      </c>
      <c r="BT27" s="45">
        <v>1.9831336100963881</v>
      </c>
      <c r="BU27" s="45">
        <v>26.376231672062247</v>
      </c>
      <c r="BV27" s="45">
        <v>-5.1114911854845619</v>
      </c>
    </row>
    <row r="28" spans="1:74" ht="17.100000000000001" customHeight="1" x14ac:dyDescent="0.2">
      <c r="A28" s="82" t="s">
        <v>15</v>
      </c>
      <c r="B28" s="81"/>
      <c r="C28" s="45" t="e">
        <v>#DIV/0!</v>
      </c>
      <c r="D28" s="45" t="e">
        <v>#DIV/0!</v>
      </c>
      <c r="E28" s="45" t="e">
        <v>#DIV/0!</v>
      </c>
      <c r="F28" s="45" t="e">
        <v>#DIV/0!</v>
      </c>
      <c r="G28" s="45" t="e">
        <v>#DIV/0!</v>
      </c>
      <c r="H28" s="45" t="e">
        <v>#DIV/0!</v>
      </c>
      <c r="I28" s="45">
        <v>6.3475695452476888</v>
      </c>
      <c r="J28" s="45">
        <v>9.3921165592549158</v>
      </c>
      <c r="K28" s="45">
        <v>9.2129745783819939</v>
      </c>
      <c r="L28" s="45">
        <v>5.9522464218242366</v>
      </c>
      <c r="M28" s="45">
        <v>-0.61965920298834298</v>
      </c>
      <c r="N28" s="45">
        <v>-4.7221362781639353</v>
      </c>
      <c r="O28" s="45">
        <v>-2.2519623868347383</v>
      </c>
      <c r="P28" s="45">
        <v>1.1312860463884356</v>
      </c>
      <c r="Q28" s="45">
        <v>0.61899215440399669</v>
      </c>
      <c r="R28" s="45">
        <v>0.22018242216865769</v>
      </c>
      <c r="S28" s="45">
        <v>1.4704268140838694</v>
      </c>
      <c r="T28" s="45">
        <v>8.5099984077130486E-2</v>
      </c>
      <c r="U28" s="45">
        <v>-1.9397914925366799</v>
      </c>
      <c r="V28" s="45">
        <v>-0.87751842767023192</v>
      </c>
      <c r="W28" s="45">
        <v>-2.2008319390010245</v>
      </c>
      <c r="X28" s="45">
        <v>-4.1209169082513935</v>
      </c>
      <c r="Y28" s="45">
        <v>2.3296724077435105</v>
      </c>
      <c r="Z28" s="45">
        <v>8.4927774618425147</v>
      </c>
      <c r="AA28" s="45">
        <v>7.2998489751860962</v>
      </c>
      <c r="AB28" s="45">
        <v>7.3923185202004138</v>
      </c>
      <c r="AC28" s="45">
        <v>6.3849804224027862</v>
      </c>
      <c r="AD28" s="45">
        <v>0.94017910576666974</v>
      </c>
      <c r="AE28" s="45">
        <v>-1.479507404773539</v>
      </c>
      <c r="AF28" s="45">
        <v>1.424576230514818</v>
      </c>
      <c r="AG28" s="45">
        <v>2.1832405670498156</v>
      </c>
      <c r="AH28" s="45">
        <v>3.9330150476496906</v>
      </c>
      <c r="AI28" s="45">
        <v>5.6560192964937528</v>
      </c>
      <c r="AJ28" s="45">
        <v>4.5664843607511107</v>
      </c>
      <c r="AK28" s="45">
        <v>2.9901650815742142</v>
      </c>
      <c r="AL28" s="45">
        <v>6.1767561623823131</v>
      </c>
      <c r="AM28" s="45">
        <v>6.4679531058293716</v>
      </c>
      <c r="AN28" s="45">
        <v>2.8528779839641194</v>
      </c>
      <c r="AO28" s="45">
        <v>-0.58803088469214781</v>
      </c>
      <c r="AP28" s="45">
        <v>-2.135703966710556</v>
      </c>
      <c r="AQ28" s="45">
        <v>-0.86096118434081381</v>
      </c>
      <c r="AR28" s="45">
        <v>0.81055413492594486</v>
      </c>
      <c r="AS28" s="45">
        <v>1.7946865594601125</v>
      </c>
      <c r="AT28" s="45">
        <v>3.4541108630122608</v>
      </c>
      <c r="AU28" s="45">
        <v>5.7610186074564806</v>
      </c>
      <c r="AV28" s="45">
        <v>5.4155866556847343</v>
      </c>
      <c r="AW28" s="45">
        <v>3.4494514287594535</v>
      </c>
      <c r="AX28" s="45">
        <v>1.4405382008854106</v>
      </c>
      <c r="AY28" s="45">
        <v>2.5388384196370906</v>
      </c>
      <c r="AZ28" s="45">
        <v>3.5440687924204406</v>
      </c>
      <c r="BA28" s="45">
        <v>5.446763284785483</v>
      </c>
      <c r="BB28" s="45">
        <v>2.9661364713892135</v>
      </c>
      <c r="BC28" s="45">
        <v>-1.1116543626299435E-2</v>
      </c>
      <c r="BD28" s="45">
        <v>-1.6684055990603963</v>
      </c>
      <c r="BE28" s="45">
        <v>1.7445449155266468</v>
      </c>
      <c r="BF28" s="45">
        <v>-0.32746025072458718</v>
      </c>
      <c r="BG28" s="45">
        <v>3.0821758408591693</v>
      </c>
      <c r="BH28" s="45">
        <v>2.980045649896268</v>
      </c>
      <c r="BI28" s="45">
        <v>-3.1983557410360741</v>
      </c>
      <c r="BJ28" s="45">
        <v>-5.8205499550812885</v>
      </c>
      <c r="BK28" s="45">
        <v>-2.3358249488078853</v>
      </c>
      <c r="BL28" s="45">
        <v>3.1434170408453532</v>
      </c>
      <c r="BM28" s="45">
        <v>6.3434592943567569</v>
      </c>
      <c r="BN28" s="45">
        <v>7.064863766658358</v>
      </c>
      <c r="BO28" s="45">
        <v>-1.6673020212187861E-2</v>
      </c>
      <c r="BP28" s="45">
        <v>-0.8762553353730107</v>
      </c>
      <c r="BQ28" s="45">
        <v>0.86908934192302389</v>
      </c>
      <c r="BR28" s="45">
        <v>5.6558171872829188</v>
      </c>
      <c r="BS28" s="45">
        <v>3.7691635507916654</v>
      </c>
      <c r="BT28" s="45">
        <v>0.58909742833497258</v>
      </c>
      <c r="BU28" s="45">
        <v>-0.73048522903103041</v>
      </c>
      <c r="BV28" s="45">
        <v>0.35474560433017555</v>
      </c>
    </row>
    <row r="29" spans="1:74" ht="17.100000000000001" customHeight="1" x14ac:dyDescent="0.2">
      <c r="A29" s="82" t="s">
        <v>16</v>
      </c>
      <c r="B29" s="81"/>
      <c r="C29" s="45" t="e">
        <v>#DIV/0!</v>
      </c>
      <c r="D29" s="45" t="e">
        <v>#DIV/0!</v>
      </c>
      <c r="E29" s="45" t="e">
        <v>#DIV/0!</v>
      </c>
      <c r="F29" s="45" t="e">
        <v>#DIV/0!</v>
      </c>
      <c r="G29" s="45" t="e">
        <v>#DIV/0!</v>
      </c>
      <c r="H29" s="45" t="e">
        <v>#DIV/0!</v>
      </c>
      <c r="I29" s="45">
        <v>2.2930856530467558</v>
      </c>
      <c r="J29" s="45">
        <v>1.195351913443643</v>
      </c>
      <c r="K29" s="45">
        <v>7.4536536367442174E-2</v>
      </c>
      <c r="L29" s="45">
        <v>2.1941701993231977</v>
      </c>
      <c r="M29" s="45">
        <v>2.2502017311851308</v>
      </c>
      <c r="N29" s="45">
        <v>0.70083074053421957</v>
      </c>
      <c r="O29" s="45">
        <v>2.3557701250931817</v>
      </c>
      <c r="P29" s="45">
        <v>2.8332184024848717</v>
      </c>
      <c r="Q29" s="45">
        <v>1.2603995105678445</v>
      </c>
      <c r="R29" s="45">
        <v>2.0386933897573956</v>
      </c>
      <c r="S29" s="45">
        <v>5.5392271591950593</v>
      </c>
      <c r="T29" s="45">
        <v>4.8819308242111781</v>
      </c>
      <c r="U29" s="45">
        <v>0.97316968370992907</v>
      </c>
      <c r="V29" s="45">
        <v>-3.020734111959289</v>
      </c>
      <c r="W29" s="45">
        <v>-6.3400081052668593</v>
      </c>
      <c r="X29" s="45">
        <v>-5.5192937842439616</v>
      </c>
      <c r="Y29" s="45">
        <v>1.7131470393414006</v>
      </c>
      <c r="Z29" s="45">
        <v>7.2081725569112631</v>
      </c>
      <c r="AA29" s="45">
        <v>3.2997489765768551</v>
      </c>
      <c r="AB29" s="45">
        <v>2.0030434340156278</v>
      </c>
      <c r="AC29" s="45">
        <v>6.4622814791535976</v>
      </c>
      <c r="AD29" s="45">
        <v>8.5132776767545835</v>
      </c>
      <c r="AE29" s="45">
        <v>5.0950537484294234</v>
      </c>
      <c r="AF29" s="45">
        <v>0.83676448682532545</v>
      </c>
      <c r="AG29" s="45">
        <v>-2.5869308849875816</v>
      </c>
      <c r="AH29" s="45">
        <v>-4.0771520311591587</v>
      </c>
      <c r="AI29" s="45">
        <v>-2.6807308322318479</v>
      </c>
      <c r="AJ29" s="45">
        <v>-2.4641146281856541</v>
      </c>
      <c r="AK29" s="45">
        <v>-4.0453955848846368</v>
      </c>
      <c r="AL29" s="45">
        <v>-2.9224778079954605</v>
      </c>
      <c r="AM29" s="45">
        <v>3.0411970879661299</v>
      </c>
      <c r="AN29" s="45">
        <v>5.0681843935208581</v>
      </c>
      <c r="AO29" s="45">
        <v>2.3911367276193696</v>
      </c>
      <c r="AP29" s="45">
        <v>-6.4819180613828742E-2</v>
      </c>
      <c r="AQ29" s="45">
        <v>2.7126166659300344</v>
      </c>
      <c r="AR29" s="45">
        <v>6.2021684452018278</v>
      </c>
      <c r="AS29" s="45">
        <v>3.2565498281567296</v>
      </c>
      <c r="AT29" s="45">
        <v>-3.1555204127067138</v>
      </c>
      <c r="AU29" s="45">
        <v>-5.6745165336210661</v>
      </c>
      <c r="AV29" s="45">
        <v>-0.34776432725310835</v>
      </c>
      <c r="AW29" s="45">
        <v>4.5585499738371338</v>
      </c>
      <c r="AX29" s="45">
        <v>2.6581245909458762</v>
      </c>
      <c r="AY29" s="45">
        <v>-3.5860869069780588</v>
      </c>
      <c r="AZ29" s="45">
        <v>-4.2874971801296624</v>
      </c>
      <c r="BA29" s="45">
        <v>0.67491932469598837</v>
      </c>
      <c r="BB29" s="45">
        <v>6.1572926575067521</v>
      </c>
      <c r="BC29" s="45">
        <v>-0.58540288731240286</v>
      </c>
      <c r="BD29" s="45">
        <v>-5.960660772230697</v>
      </c>
      <c r="BE29" s="45">
        <v>-0.41084978488475921</v>
      </c>
      <c r="BF29" s="45">
        <v>3.1936058254926403</v>
      </c>
      <c r="BG29" s="45">
        <v>1.4290678126810841</v>
      </c>
      <c r="BH29" s="45">
        <v>-0.310517775605057</v>
      </c>
      <c r="BI29" s="45">
        <v>-1.3824318103885735</v>
      </c>
      <c r="BJ29" s="45">
        <v>0.95146732004187662</v>
      </c>
      <c r="BK29" s="45">
        <v>7.788182090320106</v>
      </c>
      <c r="BL29" s="45">
        <v>2.6232482578113503</v>
      </c>
      <c r="BM29" s="45">
        <v>-3.1536975481118334</v>
      </c>
      <c r="BN29" s="45">
        <v>-3.4333177400401205</v>
      </c>
      <c r="BO29" s="45">
        <v>1.1820382290649967</v>
      </c>
      <c r="BP29" s="45">
        <v>2.9847448127398257</v>
      </c>
      <c r="BQ29" s="45">
        <v>2.5587157425867701</v>
      </c>
      <c r="BR29" s="45">
        <v>2.6264665278773913</v>
      </c>
      <c r="BS29" s="45">
        <v>1.3359331224512161</v>
      </c>
      <c r="BT29" s="45">
        <v>1.4762778187860537</v>
      </c>
      <c r="BU29" s="45">
        <v>1.3102084287106797</v>
      </c>
      <c r="BV29" s="45">
        <v>1.1259609702533258</v>
      </c>
    </row>
    <row r="30" spans="1:74" ht="17.100000000000001" customHeight="1" x14ac:dyDescent="0.2">
      <c r="A30" s="82" t="s">
        <v>58</v>
      </c>
      <c r="B30" s="81"/>
      <c r="C30" s="45" t="e">
        <v>#DIV/0!</v>
      </c>
      <c r="D30" s="45" t="e">
        <v>#DIV/0!</v>
      </c>
      <c r="E30" s="45" t="e">
        <v>#DIV/0!</v>
      </c>
      <c r="F30" s="45" t="e">
        <v>#DIV/0!</v>
      </c>
      <c r="G30" s="45" t="e">
        <v>#DIV/0!</v>
      </c>
      <c r="H30" s="45" t="e">
        <v>#DIV/0!</v>
      </c>
      <c r="I30" s="45">
        <v>0.70350521338193861</v>
      </c>
      <c r="J30" s="45">
        <v>0.6216210846208936</v>
      </c>
      <c r="K30" s="45">
        <v>0.72840974203307596</v>
      </c>
      <c r="L30" s="45">
        <v>1.9168868241024928</v>
      </c>
      <c r="M30" s="45">
        <v>2.7427261044920659</v>
      </c>
      <c r="N30" s="45">
        <v>0.66165305091407944</v>
      </c>
      <c r="O30" s="45">
        <v>0.42922882677225438</v>
      </c>
      <c r="P30" s="45">
        <v>1.6047847343537702</v>
      </c>
      <c r="Q30" s="45">
        <v>0.90964721685657945</v>
      </c>
      <c r="R30" s="45">
        <v>-0.97692420036473715</v>
      </c>
      <c r="S30" s="45">
        <v>0.96078717461574037</v>
      </c>
      <c r="T30" s="45">
        <v>2.7146500020789777</v>
      </c>
      <c r="U30" s="45">
        <v>0.92536129427580605</v>
      </c>
      <c r="V30" s="45">
        <v>-0.11000245316827861</v>
      </c>
      <c r="W30" s="45">
        <v>-1.6584983226765826</v>
      </c>
      <c r="X30" s="45">
        <v>-3.8333126169147969</v>
      </c>
      <c r="Y30" s="45">
        <v>-0.3576477761405461</v>
      </c>
      <c r="Z30" s="45">
        <v>4.8103143791724756</v>
      </c>
      <c r="AA30" s="45">
        <v>3.174272361665742</v>
      </c>
      <c r="AB30" s="45">
        <v>2.8107908179883179</v>
      </c>
      <c r="AC30" s="45">
        <v>5.5660396523392164</v>
      </c>
      <c r="AD30" s="45">
        <v>5.619439402699733</v>
      </c>
      <c r="AE30" s="45">
        <v>2.2592491370199363</v>
      </c>
      <c r="AF30" s="45">
        <v>-0.48408631993656082</v>
      </c>
      <c r="AG30" s="45">
        <v>-1.9128108794673637</v>
      </c>
      <c r="AH30" s="45">
        <v>-1.9526489611001785</v>
      </c>
      <c r="AI30" s="45">
        <v>-1.6806930895237326</v>
      </c>
      <c r="AJ30" s="45">
        <v>-1.1208184230514506</v>
      </c>
      <c r="AK30" s="45">
        <v>0.21985933371142519</v>
      </c>
      <c r="AL30" s="45">
        <v>4.0107380527131919</v>
      </c>
      <c r="AM30" s="45">
        <v>6.7826317274943593</v>
      </c>
      <c r="AN30" s="45">
        <v>5.9199961438105131</v>
      </c>
      <c r="AO30" s="45">
        <v>3.4812725275027878</v>
      </c>
      <c r="AP30" s="45">
        <v>0.55896131413177841</v>
      </c>
      <c r="AQ30" s="45">
        <v>1.0323759986656578</v>
      </c>
      <c r="AR30" s="45">
        <v>1.2650235834480661</v>
      </c>
      <c r="AS30" s="45">
        <v>0.24253970599343866</v>
      </c>
      <c r="AT30" s="45">
        <v>0.65458298192446751</v>
      </c>
      <c r="AU30" s="45">
        <v>2.806595279668378</v>
      </c>
      <c r="AV30" s="45">
        <v>1.0811836604465164</v>
      </c>
      <c r="AW30" s="45">
        <v>-0.56372776164456129</v>
      </c>
      <c r="AX30" s="45">
        <v>-0.20806990384026891</v>
      </c>
      <c r="AY30" s="45">
        <v>1.5568750396083741</v>
      </c>
      <c r="AZ30" s="45">
        <v>2.1813580235349628</v>
      </c>
      <c r="BA30" s="45">
        <v>-0.31979215195961919</v>
      </c>
      <c r="BB30" s="45">
        <v>-0.99473305553862135</v>
      </c>
      <c r="BC30" s="45">
        <v>1.3930934628578973</v>
      </c>
      <c r="BD30" s="45">
        <v>4.982310360998099</v>
      </c>
      <c r="BE30" s="45">
        <v>4.7403715273618197</v>
      </c>
      <c r="BF30" s="45">
        <v>1.5371164977254104</v>
      </c>
      <c r="BG30" s="45">
        <v>1.025502107303744</v>
      </c>
      <c r="BH30" s="45">
        <v>3.2103282159580804</v>
      </c>
      <c r="BI30" s="45">
        <v>1.4293260885574588</v>
      </c>
      <c r="BJ30" s="45">
        <v>-2.1546583201713876</v>
      </c>
      <c r="BK30" s="45">
        <v>-2.7214024183363494</v>
      </c>
      <c r="BL30" s="45">
        <v>-0.9635993564504175</v>
      </c>
      <c r="BM30" s="45">
        <v>3.4374307690027806</v>
      </c>
      <c r="BN30" s="45">
        <v>6.3499606705658573</v>
      </c>
      <c r="BO30" s="45">
        <v>2.1832068808666616</v>
      </c>
      <c r="BP30" s="45">
        <v>-1.9136714039037828</v>
      </c>
      <c r="BQ30" s="45">
        <v>-1.1475871017622485</v>
      </c>
      <c r="BR30" s="45">
        <v>-0.3346360992904529</v>
      </c>
      <c r="BS30" s="45">
        <v>0.62850920152559553</v>
      </c>
      <c r="BT30" s="45">
        <v>3.1766704445298499</v>
      </c>
      <c r="BU30" s="45">
        <v>1.6613105647564019</v>
      </c>
      <c r="BV30" s="45">
        <v>-0.60347777554541349</v>
      </c>
    </row>
    <row r="31" spans="1:74" ht="17.100000000000001" customHeight="1" x14ac:dyDescent="0.2">
      <c r="A31" s="82" t="s">
        <v>71</v>
      </c>
      <c r="B31" s="81"/>
      <c r="C31" s="45" t="e">
        <v>#DIV/0!</v>
      </c>
      <c r="D31" s="45" t="e">
        <v>#DIV/0!</v>
      </c>
      <c r="E31" s="45" t="e">
        <v>#DIV/0!</v>
      </c>
      <c r="F31" s="45" t="e">
        <v>#DIV/0!</v>
      </c>
      <c r="G31" s="45" t="e">
        <v>#DIV/0!</v>
      </c>
      <c r="H31" s="45" t="e">
        <v>#DIV/0!</v>
      </c>
      <c r="I31" s="45">
        <v>33.568346092475942</v>
      </c>
      <c r="J31" s="45">
        <v>27.994173169563965</v>
      </c>
      <c r="K31" s="45">
        <v>21.808420542651795</v>
      </c>
      <c r="L31" s="45">
        <v>19.316270714825158</v>
      </c>
      <c r="M31" s="45">
        <v>15.115314578417284</v>
      </c>
      <c r="N31" s="45">
        <v>-73.558750704928187</v>
      </c>
      <c r="O31" s="45">
        <v>28.125251681050599</v>
      </c>
      <c r="P31" s="45">
        <v>39.350313760519363</v>
      </c>
      <c r="Q31" s="45">
        <v>39.044555794294752</v>
      </c>
      <c r="R31" s="45">
        <v>17.475843166166129</v>
      </c>
      <c r="S31" s="45">
        <v>-0.98334829364783438</v>
      </c>
      <c r="T31" s="45">
        <v>-5.7365986925654973</v>
      </c>
      <c r="U31" s="45">
        <v>-10.345477877321752</v>
      </c>
      <c r="V31" s="45">
        <v>-10.792943225934282</v>
      </c>
      <c r="W31" s="45">
        <v>-0.53132169560482501</v>
      </c>
      <c r="X31" s="45">
        <v>6.598551669920738</v>
      </c>
      <c r="Y31" s="45">
        <v>10.2848170138633</v>
      </c>
      <c r="Z31" s="45">
        <v>11.096307752939572</v>
      </c>
      <c r="AA31" s="45">
        <v>2.6308724049000531</v>
      </c>
      <c r="AB31" s="45">
        <v>-4.1865119510028688</v>
      </c>
      <c r="AC31" s="45">
        <v>-5.8764132613202573</v>
      </c>
      <c r="AD31" s="45">
        <v>4.1569355613434444</v>
      </c>
      <c r="AE31" s="45">
        <v>5.2865854753038288</v>
      </c>
      <c r="AF31" s="45">
        <v>-0.76112619805689397</v>
      </c>
      <c r="AG31" s="45">
        <v>-2.2774156223381192</v>
      </c>
      <c r="AH31" s="45">
        <v>-4.9243199583869472</v>
      </c>
      <c r="AI31" s="45">
        <v>-9.7618595564891386</v>
      </c>
      <c r="AJ31" s="45">
        <v>-1.3386131373149035</v>
      </c>
      <c r="AK31" s="45">
        <v>13.42888810335201</v>
      </c>
      <c r="AL31" s="45">
        <v>27.514809333858416</v>
      </c>
      <c r="AM31" s="45">
        <v>27.046719517897078</v>
      </c>
      <c r="AN31" s="45">
        <v>18.017994263987582</v>
      </c>
      <c r="AO31" s="45">
        <v>11.42478687910582</v>
      </c>
      <c r="AP31" s="45">
        <v>7.8432549563914655</v>
      </c>
      <c r="AQ31" s="45">
        <v>7.2781254912161808</v>
      </c>
      <c r="AR31" s="45">
        <v>3.9902295279102384</v>
      </c>
      <c r="AS31" s="45">
        <v>1.2420194777540194</v>
      </c>
      <c r="AT31" s="45">
        <v>-0.31863574408629303</v>
      </c>
      <c r="AU31" s="45">
        <v>-0.54020633430611475</v>
      </c>
      <c r="AV31" s="45">
        <v>-0.68413264832759557</v>
      </c>
      <c r="AW31" s="45">
        <v>1.3159302765763936</v>
      </c>
      <c r="AX31" s="45">
        <v>-8.3320338060701378</v>
      </c>
      <c r="AY31" s="45">
        <v>-16.690292194294742</v>
      </c>
      <c r="AZ31" s="45">
        <v>-6.3935818967947533</v>
      </c>
      <c r="BA31" s="45">
        <v>5.5657585100660656</v>
      </c>
      <c r="BB31" s="45">
        <v>7.4392417264939947</v>
      </c>
      <c r="BC31" s="45">
        <v>7.915553342124837</v>
      </c>
      <c r="BD31" s="45">
        <v>2.0778626599207373</v>
      </c>
      <c r="BE31" s="45">
        <v>-12.191523596594035</v>
      </c>
      <c r="BF31" s="45">
        <v>-11.452280766722399</v>
      </c>
      <c r="BG31" s="45">
        <v>-6.1119013877123702</v>
      </c>
      <c r="BH31" s="45">
        <v>6.5500708672761254</v>
      </c>
      <c r="BI31" s="45">
        <v>11.659567738298904</v>
      </c>
      <c r="BJ31" s="45">
        <v>16.089833242411245</v>
      </c>
      <c r="BK31" s="45">
        <v>7.6223862444257051</v>
      </c>
      <c r="BL31" s="45">
        <v>-5.5289724883658682</v>
      </c>
      <c r="BM31" s="45">
        <v>-8.0377667103503363</v>
      </c>
      <c r="BN31" s="45">
        <v>1.7139318558182959</v>
      </c>
      <c r="BO31" s="45">
        <v>5.4726001722874784</v>
      </c>
      <c r="BP31" s="45">
        <v>0.22048363185878106</v>
      </c>
      <c r="BQ31" s="45">
        <v>2.5234068482753003</v>
      </c>
      <c r="BR31" s="45">
        <v>-5.7832038023589494</v>
      </c>
      <c r="BS31" s="45">
        <v>-3.1103493126704906</v>
      </c>
      <c r="BT31" s="45">
        <v>3.0643753603895485</v>
      </c>
      <c r="BU31" s="45">
        <v>5.1317957872848208</v>
      </c>
      <c r="BV31" s="45">
        <v>-0.4617812859407211</v>
      </c>
    </row>
    <row r="32" spans="1:74" ht="17.100000000000001" customHeight="1" x14ac:dyDescent="0.2">
      <c r="A32" s="82" t="s">
        <v>17</v>
      </c>
      <c r="B32" s="81"/>
      <c r="C32" s="45" t="e">
        <v>#DIV/0!</v>
      </c>
      <c r="D32" s="45" t="e">
        <v>#DIV/0!</v>
      </c>
      <c r="E32" s="45" t="e">
        <v>#DIV/0!</v>
      </c>
      <c r="F32" s="45" t="e">
        <v>#DIV/0!</v>
      </c>
      <c r="G32" s="45" t="e">
        <v>#DIV/0!</v>
      </c>
      <c r="H32" s="45" t="e">
        <v>#DIV/0!</v>
      </c>
      <c r="I32" s="45">
        <v>-0.16343232256700313</v>
      </c>
      <c r="J32" s="45">
        <v>0.3169714486621622</v>
      </c>
      <c r="K32" s="45">
        <v>0.48305403536648139</v>
      </c>
      <c r="L32" s="45">
        <v>0.5970762392470963</v>
      </c>
      <c r="M32" s="45">
        <v>0.95775154608683799</v>
      </c>
      <c r="N32" s="45">
        <v>1.2552655175699146</v>
      </c>
      <c r="O32" s="45">
        <v>1.8569283986249463</v>
      </c>
      <c r="P32" s="45">
        <v>2.2422456129113089</v>
      </c>
      <c r="Q32" s="45">
        <v>1.9479662290238231</v>
      </c>
      <c r="R32" s="45">
        <v>1.4498656918582098</v>
      </c>
      <c r="S32" s="45">
        <v>1.1173872578416733</v>
      </c>
      <c r="T32" s="45">
        <v>0.92668318714532738</v>
      </c>
      <c r="U32" s="45">
        <v>1.1961366260715423</v>
      </c>
      <c r="V32" s="45">
        <v>2.0586764806529212</v>
      </c>
      <c r="W32" s="45">
        <v>2.2423185982501481</v>
      </c>
      <c r="X32" s="45">
        <v>1.8418478899354662</v>
      </c>
      <c r="Y32" s="45">
        <v>1.7499046509254823</v>
      </c>
      <c r="Z32" s="45">
        <v>2.2339701461100869</v>
      </c>
      <c r="AA32" s="45">
        <v>2.6554072876385559</v>
      </c>
      <c r="AB32" s="45">
        <v>2.7569395754144299</v>
      </c>
      <c r="AC32" s="45">
        <v>2.4968658732393179</v>
      </c>
      <c r="AD32" s="45">
        <v>2.3626847592510325</v>
      </c>
      <c r="AE32" s="45">
        <v>2.746913383057481</v>
      </c>
      <c r="AF32" s="45">
        <v>2.9975451732061176</v>
      </c>
      <c r="AG32" s="45">
        <v>2.2432718977235755</v>
      </c>
      <c r="AH32" s="45">
        <v>0.66748144458594894</v>
      </c>
      <c r="AI32" s="45">
        <v>-0.76063428653271314</v>
      </c>
      <c r="AJ32" s="45">
        <v>-1.6449174795886035</v>
      </c>
      <c r="AK32" s="45">
        <v>-1.6850490914894212</v>
      </c>
      <c r="AL32" s="45">
        <v>-1.2406725327193779</v>
      </c>
      <c r="AM32" s="45">
        <v>-0.80456899459302456</v>
      </c>
      <c r="AN32" s="45">
        <v>-0.29036637230507312</v>
      </c>
      <c r="AO32" s="45">
        <v>0.37201739789118893</v>
      </c>
      <c r="AP32" s="45">
        <v>0.72812988649633148</v>
      </c>
      <c r="AQ32" s="45">
        <v>1.2350341105722862</v>
      </c>
      <c r="AR32" s="45">
        <v>1.575570515787561</v>
      </c>
      <c r="AS32" s="45">
        <v>1.2225858327151728</v>
      </c>
      <c r="AT32" s="45">
        <v>0.73272165034776737</v>
      </c>
      <c r="AU32" s="45">
        <v>0.47202142374123124</v>
      </c>
      <c r="AV32" s="45">
        <v>0.22809929194287371</v>
      </c>
      <c r="AW32" s="45">
        <v>8.3568789815857691E-2</v>
      </c>
      <c r="AX32" s="45">
        <v>0.1557037277692519</v>
      </c>
      <c r="AY32" s="45">
        <v>0.21457656541692405</v>
      </c>
      <c r="AZ32" s="45">
        <v>0.55191777848839774</v>
      </c>
      <c r="BA32" s="45">
        <v>1.2313070306364304</v>
      </c>
      <c r="BB32" s="45">
        <v>1.6579187552933305</v>
      </c>
      <c r="BC32" s="45">
        <v>1.4990204146916764</v>
      </c>
      <c r="BD32" s="45">
        <v>1.1083258941014584</v>
      </c>
      <c r="BE32" s="45">
        <v>0.78858395948913085</v>
      </c>
      <c r="BF32" s="45">
        <v>0.81071936789973709</v>
      </c>
      <c r="BG32" s="45">
        <v>0.86575811652673806</v>
      </c>
      <c r="BH32" s="45">
        <v>0.66098215571444019</v>
      </c>
      <c r="BI32" s="45">
        <v>0.47438664658858709</v>
      </c>
      <c r="BJ32" s="45">
        <v>0.35173040018845469</v>
      </c>
      <c r="BK32" s="45">
        <v>0.39196455740750924</v>
      </c>
      <c r="BL32" s="45">
        <v>0.74218328091157915</v>
      </c>
      <c r="BM32" s="45">
        <v>0.91985538308685388</v>
      </c>
      <c r="BN32" s="45">
        <v>0.55167617964850812</v>
      </c>
      <c r="BO32" s="45">
        <v>9.9975617792713578E-2</v>
      </c>
      <c r="BP32" s="45">
        <v>-4.6946569971129115E-2</v>
      </c>
      <c r="BQ32" s="45">
        <v>0.23842102801667764</v>
      </c>
      <c r="BR32" s="45">
        <v>0.75088563075371706</v>
      </c>
      <c r="BS32" s="45">
        <v>0.96251450432118801</v>
      </c>
      <c r="BT32" s="45">
        <v>0.32892038173619742</v>
      </c>
      <c r="BU32" s="45">
        <v>-0.84778330325792073</v>
      </c>
      <c r="BV32" s="45">
        <v>-1.2511555033371979</v>
      </c>
    </row>
    <row r="33" spans="1:74" ht="17.100000000000001" customHeight="1" x14ac:dyDescent="0.2">
      <c r="A33" s="82" t="s">
        <v>59</v>
      </c>
      <c r="B33" s="81"/>
      <c r="C33" s="45" t="e">
        <v>#DIV/0!</v>
      </c>
      <c r="D33" s="45" t="e">
        <v>#DIV/0!</v>
      </c>
      <c r="E33" s="45" t="e">
        <v>#DIV/0!</v>
      </c>
      <c r="F33" s="45" t="e">
        <v>#DIV/0!</v>
      </c>
      <c r="G33" s="45" t="e">
        <v>#DIV/0!</v>
      </c>
      <c r="H33" s="45" t="e">
        <v>#DIV/0!</v>
      </c>
      <c r="I33" s="45">
        <v>1.0251167286818852</v>
      </c>
      <c r="J33" s="45">
        <v>0.87757861898123402</v>
      </c>
      <c r="K33" s="45">
        <v>0.70920295828849067</v>
      </c>
      <c r="L33" s="45">
        <v>0.58336880544289649</v>
      </c>
      <c r="M33" s="45">
        <v>0.51700569773658334</v>
      </c>
      <c r="N33" s="45">
        <v>0.48123417591205975</v>
      </c>
      <c r="O33" s="45">
        <v>0.44543520222710686</v>
      </c>
      <c r="P33" s="45">
        <v>0.42027595034046517</v>
      </c>
      <c r="Q33" s="45">
        <v>0.42157152751298721</v>
      </c>
      <c r="R33" s="45">
        <v>0.43938645118053454</v>
      </c>
      <c r="S33" s="45">
        <v>0.4625922904799129</v>
      </c>
      <c r="T33" s="45">
        <v>0.49428127103041675</v>
      </c>
      <c r="U33" s="45">
        <v>0.54063361109029096</v>
      </c>
      <c r="V33" s="45">
        <v>0.59923282556855195</v>
      </c>
      <c r="W33" s="45">
        <v>0.66728023421440685</v>
      </c>
      <c r="X33" s="45">
        <v>0.72826354185704378</v>
      </c>
      <c r="Y33" s="45">
        <v>0.76925294010328216</v>
      </c>
      <c r="Z33" s="45">
        <v>0.78958489073732707</v>
      </c>
      <c r="AA33" s="45">
        <v>0.78726022234887338</v>
      </c>
      <c r="AB33" s="45">
        <v>0.75451673435096289</v>
      </c>
      <c r="AC33" s="45">
        <v>0.6950013296356472</v>
      </c>
      <c r="AD33" s="45">
        <v>0.61936868965961622</v>
      </c>
      <c r="AE33" s="45">
        <v>0.97323563428146631</v>
      </c>
      <c r="AF33" s="45">
        <v>0.52460310619111272</v>
      </c>
      <c r="AG33" s="45">
        <v>0.55595315917171817</v>
      </c>
      <c r="AH33" s="45">
        <v>0.62594373138042947</v>
      </c>
      <c r="AI33" s="45">
        <v>0.69759600022150092</v>
      </c>
      <c r="AJ33" s="45">
        <v>0.73754342019516361</v>
      </c>
      <c r="AK33" s="45">
        <v>0.73757943954548821</v>
      </c>
      <c r="AL33" s="45">
        <v>0.71809361709600505</v>
      </c>
      <c r="AM33" s="45">
        <v>0.69884992360957909</v>
      </c>
      <c r="AN33" s="45">
        <v>0.68808409246212676</v>
      </c>
      <c r="AO33" s="45">
        <v>0.68599436357632548</v>
      </c>
      <c r="AP33" s="45">
        <v>0.68679172254533238</v>
      </c>
      <c r="AQ33" s="45">
        <v>0.68861643985367316</v>
      </c>
      <c r="AR33" s="45">
        <v>0.69278681928619523</v>
      </c>
      <c r="AS33" s="45">
        <v>0.69217291040610807</v>
      </c>
      <c r="AT33" s="45">
        <v>0.68608436931223427</v>
      </c>
      <c r="AU33" s="45">
        <v>0.68397627125669214</v>
      </c>
      <c r="AV33" s="45">
        <v>0.6854105519832121</v>
      </c>
      <c r="AW33" s="45">
        <v>0.68241057221845036</v>
      </c>
      <c r="AX33" s="45">
        <v>0.67431644413922243</v>
      </c>
      <c r="AY33" s="45">
        <v>0.66929007285181363</v>
      </c>
      <c r="AZ33" s="45">
        <v>0.67232150071103725</v>
      </c>
      <c r="BA33" s="45">
        <v>0.68044616538711633</v>
      </c>
      <c r="BB33" s="45">
        <v>0.68567464813991119</v>
      </c>
      <c r="BC33" s="45">
        <v>0.68641592061990941</v>
      </c>
      <c r="BD33" s="45">
        <v>0.6864218299338587</v>
      </c>
      <c r="BE33" s="45">
        <v>0.68320997466468913</v>
      </c>
      <c r="BF33" s="45">
        <v>0.67532267182397465</v>
      </c>
      <c r="BG33" s="45">
        <v>0.66954192477144403</v>
      </c>
      <c r="BH33" s="45">
        <v>0.67076399267029796</v>
      </c>
      <c r="BI33" s="45">
        <v>0.67828641445928373</v>
      </c>
      <c r="BJ33" s="45">
        <v>0.6876114669327027</v>
      </c>
      <c r="BK33" s="45">
        <v>0.68940969430208998</v>
      </c>
      <c r="BL33" s="45">
        <v>0.68344112513707422</v>
      </c>
      <c r="BM33" s="45">
        <v>0.67975017373942404</v>
      </c>
      <c r="BN33" s="45">
        <v>0.67782319906619648</v>
      </c>
      <c r="BO33" s="45">
        <v>0.67326504140499122</v>
      </c>
      <c r="BP33" s="45">
        <v>0.67177564705633852</v>
      </c>
      <c r="BQ33" s="45">
        <v>0.67731499092349434</v>
      </c>
      <c r="BR33" s="45">
        <v>0.68441541699630903</v>
      </c>
      <c r="BS33" s="45">
        <v>0.6857325403159642</v>
      </c>
      <c r="BT33" s="45">
        <v>0.68245911927948821</v>
      </c>
      <c r="BU33" s="45">
        <v>0.68005909160875344</v>
      </c>
      <c r="BV33" s="45">
        <v>0.67718623002794853</v>
      </c>
    </row>
    <row r="34" spans="1:74" ht="17.100000000000001" customHeight="1" x14ac:dyDescent="0.2">
      <c r="A34" s="83"/>
      <c r="B34" s="81"/>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row>
    <row r="35" spans="1:74" s="91" customFormat="1" ht="17.100000000000001" customHeight="1" x14ac:dyDescent="0.2">
      <c r="A35" s="160" t="s">
        <v>95</v>
      </c>
      <c r="B35" s="172"/>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row>
    <row r="36" spans="1:74" s="11" customFormat="1" ht="17.100000000000001" customHeight="1" thickBot="1" x14ac:dyDescent="0.25">
      <c r="A36" s="51" t="s">
        <v>19</v>
      </c>
      <c r="B36" s="84"/>
      <c r="C36" s="113" t="e">
        <v>#DIV/0!</v>
      </c>
      <c r="D36" s="113" t="e">
        <v>#DIV/0!</v>
      </c>
      <c r="E36" s="113" t="e">
        <v>#DIV/0!</v>
      </c>
      <c r="F36" s="113" t="e">
        <v>#DIV/0!</v>
      </c>
      <c r="G36" s="113" t="e">
        <v>#DIV/0!</v>
      </c>
      <c r="H36" s="113" t="e">
        <v>#DIV/0!</v>
      </c>
      <c r="I36" s="113">
        <v>-6.4807323830038737</v>
      </c>
      <c r="J36" s="113">
        <v>-2.6993350954575779</v>
      </c>
      <c r="K36" s="113">
        <v>3.7547839519943782</v>
      </c>
      <c r="L36" s="113">
        <v>7.4885885982286959</v>
      </c>
      <c r="M36" s="113">
        <v>5.5425538906965777</v>
      </c>
      <c r="N36" s="113">
        <v>0.58473117853048429</v>
      </c>
      <c r="O36" s="113">
        <v>0.1320197863312611</v>
      </c>
      <c r="P36" s="113">
        <v>5.4048681035908652</v>
      </c>
      <c r="Q36" s="113">
        <v>7.3751745410121972</v>
      </c>
      <c r="R36" s="113">
        <v>3.2051401851254102</v>
      </c>
      <c r="S36" s="113">
        <v>-6.3424082006979798E-2</v>
      </c>
      <c r="T36" s="113">
        <v>-2.8703881142528198</v>
      </c>
      <c r="U36" s="113">
        <v>-2.070402488102574</v>
      </c>
      <c r="V36" s="113">
        <v>1.9875950631252248</v>
      </c>
      <c r="W36" s="113">
        <v>3.6498548178923729</v>
      </c>
      <c r="X36" s="113">
        <v>1.594620406257885</v>
      </c>
      <c r="Y36" s="113">
        <v>2.7518968365611407</v>
      </c>
      <c r="Z36" s="113">
        <v>2.6953915274090523</v>
      </c>
      <c r="AA36" s="113">
        <v>0.43841337084427057</v>
      </c>
      <c r="AB36" s="113">
        <v>0.96139378602853043</v>
      </c>
      <c r="AC36" s="113">
        <v>3.4523414387488627</v>
      </c>
      <c r="AD36" s="113">
        <v>4.3832833320102793</v>
      </c>
      <c r="AE36" s="113">
        <v>1.4839565614130468</v>
      </c>
      <c r="AF36" s="113">
        <v>-0.60624953081492849</v>
      </c>
      <c r="AG36" s="113">
        <v>-2.0243998340316205</v>
      </c>
      <c r="AH36" s="113">
        <v>0.15503229244566707</v>
      </c>
      <c r="AI36" s="113">
        <v>4.0429808408236179</v>
      </c>
      <c r="AJ36" s="113">
        <v>4.9557194894318979</v>
      </c>
      <c r="AK36" s="113">
        <v>2.5959825212520826</v>
      </c>
      <c r="AL36" s="113">
        <v>2.0809740207360372</v>
      </c>
      <c r="AM36" s="113">
        <v>2.072449267558607</v>
      </c>
      <c r="AN36" s="113">
        <v>0.53083666410684849</v>
      </c>
      <c r="AO36" s="113">
        <v>-0.7984429692112438</v>
      </c>
      <c r="AP36" s="113">
        <v>-0.41785640416817094</v>
      </c>
      <c r="AQ36" s="113">
        <v>0.67532711039060001</v>
      </c>
      <c r="AR36" s="113">
        <v>0.82663146273920241</v>
      </c>
      <c r="AS36" s="113">
        <v>2.7202367880462486</v>
      </c>
      <c r="AT36" s="113">
        <v>2.8811950929352514</v>
      </c>
      <c r="AU36" s="113">
        <v>1.4389971440902372</v>
      </c>
      <c r="AV36" s="113">
        <v>2.4742793906185057</v>
      </c>
      <c r="AW36" s="113">
        <v>0.62354390602019638</v>
      </c>
      <c r="AX36" s="113">
        <v>-1.853813478205546</v>
      </c>
      <c r="AY36" s="113">
        <v>-1.3762000981573874</v>
      </c>
      <c r="AZ36" s="113">
        <v>8.6563959402963242E-2</v>
      </c>
      <c r="BA36" s="113">
        <v>-0.57350927050964229</v>
      </c>
      <c r="BB36" s="113">
        <v>0.4866753375095012</v>
      </c>
      <c r="BC36" s="113">
        <v>1.2590056476467604</v>
      </c>
      <c r="BD36" s="113">
        <v>3.3881849961575172</v>
      </c>
      <c r="BE36" s="113">
        <v>5.534126011986884</v>
      </c>
      <c r="BF36" s="113">
        <v>3.8067953465095616</v>
      </c>
      <c r="BG36" s="113">
        <v>-0.63244602303694775</v>
      </c>
      <c r="BH36" s="113">
        <v>-0.90973096893690597</v>
      </c>
      <c r="BI36" s="113">
        <v>2.8235547770406821</v>
      </c>
      <c r="BJ36" s="113">
        <v>4.5571385612508175</v>
      </c>
      <c r="BK36" s="113">
        <v>3.5209390874383129</v>
      </c>
      <c r="BL36" s="113">
        <v>0.71045761266523844</v>
      </c>
      <c r="BM36" s="113">
        <v>1.1569633407693125E-2</v>
      </c>
      <c r="BN36" s="113">
        <v>1.2675969016004762</v>
      </c>
      <c r="BO36" s="113">
        <v>3.556809184586518</v>
      </c>
      <c r="BP36" s="113">
        <v>3.1951302074806565</v>
      </c>
      <c r="BQ36" s="113">
        <v>0.60771804550023845</v>
      </c>
      <c r="BR36" s="113">
        <v>-0.18363619354512251</v>
      </c>
      <c r="BS36" s="113">
        <v>2.2325692927976037</v>
      </c>
      <c r="BT36" s="113">
        <v>2.4188297636347666</v>
      </c>
      <c r="BU36" s="113">
        <v>3.1512720886595069</v>
      </c>
      <c r="BV36" s="113">
        <v>4.2738985830270693</v>
      </c>
    </row>
    <row r="37" spans="1:74" x14ac:dyDescent="0.2">
      <c r="A37" s="13" t="s">
        <v>50</v>
      </c>
      <c r="B37" s="85"/>
    </row>
    <row r="38" spans="1:74" x14ac:dyDescent="0.2">
      <c r="Z38" s="1">
        <v>8.5</v>
      </c>
    </row>
  </sheetData>
  <mergeCells count="17">
    <mergeCell ref="AR3:AU3"/>
    <mergeCell ref="BH3:BK3"/>
    <mergeCell ref="BT3:BV3"/>
    <mergeCell ref="BP3:BS3"/>
    <mergeCell ref="BL3:BO3"/>
    <mergeCell ref="B3:C3"/>
    <mergeCell ref="D3:G3"/>
    <mergeCell ref="H3:K3"/>
    <mergeCell ref="L3:O3"/>
    <mergeCell ref="P3:S3"/>
    <mergeCell ref="AJ3:AM3"/>
    <mergeCell ref="AF3:AI3"/>
    <mergeCell ref="T3:W3"/>
    <mergeCell ref="AN3:AQ3"/>
    <mergeCell ref="BD3:BG3"/>
    <mergeCell ref="AZ3:BC3"/>
    <mergeCell ref="AV3:AY3"/>
  </mergeCells>
  <phoneticPr fontId="31" type="noConversion"/>
  <conditionalFormatting sqref="X5">
    <cfRule type="cellIs" dxfId="1" priority="9" operator="lessThan">
      <formula>0</formula>
    </cfRule>
  </conditionalFormatting>
  <conditionalFormatting sqref="X5:BV36">
    <cfRule type="cellIs" dxfId="0" priority="1" operator="lessThan">
      <formula>0</formula>
    </cfRule>
  </conditionalFormatting>
  <pageMargins left="0.51181102362204722" right="0" top="0.51181102362204722" bottom="0" header="0" footer="0"/>
  <pageSetup paperSize="9" scale="4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Q57"/>
  <sheetViews>
    <sheetView view="pageBreakPreview" zoomScaleSheetLayoutView="100" workbookViewId="0">
      <pane xSplit="11" ySplit="4" topLeftCell="L5" activePane="bottomRight" state="frozen"/>
      <selection activeCell="AD23" sqref="AD23"/>
      <selection pane="topRight" activeCell="AD23" sqref="AD23"/>
      <selection pane="bottomLeft" activeCell="AD23" sqref="AD23"/>
      <selection pane="bottomRight" activeCell="AO6" sqref="AO6"/>
    </sheetView>
  </sheetViews>
  <sheetFormatPr defaultColWidth="9.140625" defaultRowHeight="11.25" x14ac:dyDescent="0.2"/>
  <cols>
    <col min="1" max="1" width="26.28515625" style="1" customWidth="1"/>
    <col min="2" max="9" width="5.7109375" style="5" hidden="1" customWidth="1"/>
    <col min="10" max="15" width="6" style="5" hidden="1" customWidth="1"/>
    <col min="16" max="19" width="6.28515625" style="5" hidden="1" customWidth="1"/>
    <col min="20" max="23" width="6.7109375" style="5" hidden="1" customWidth="1"/>
    <col min="24" max="28" width="6.7109375" style="5" customWidth="1"/>
    <col min="29" max="40" width="6.7109375" style="1" customWidth="1"/>
    <col min="41" max="41" width="7.5703125" style="1" customWidth="1"/>
    <col min="42" max="43" width="6.28515625" style="1" customWidth="1"/>
    <col min="44" max="16384" width="9.140625" style="1"/>
  </cols>
  <sheetData>
    <row r="1" spans="1:43" ht="16.5" customHeight="1" x14ac:dyDescent="0.2">
      <c r="X1" s="32" t="s">
        <v>113</v>
      </c>
      <c r="AC1" s="5"/>
    </row>
    <row r="2" spans="1:43" ht="1.5" customHeight="1" thickBot="1" x14ac:dyDescent="0.25">
      <c r="B2" s="5" t="s">
        <v>20</v>
      </c>
      <c r="C2" s="5" t="s">
        <v>21</v>
      </c>
      <c r="D2" s="5" t="s">
        <v>22</v>
      </c>
      <c r="E2" s="5" t="s">
        <v>23</v>
      </c>
      <c r="F2" s="5" t="s">
        <v>24</v>
      </c>
      <c r="G2" s="5" t="s">
        <v>25</v>
      </c>
      <c r="H2" s="5" t="s">
        <v>26</v>
      </c>
      <c r="I2" s="5" t="s">
        <v>27</v>
      </c>
      <c r="J2" s="5" t="s">
        <v>28</v>
      </c>
      <c r="K2" s="5" t="s">
        <v>29</v>
      </c>
      <c r="L2" s="5" t="s">
        <v>30</v>
      </c>
      <c r="M2" s="5" t="s">
        <v>31</v>
      </c>
      <c r="N2" s="5" t="s">
        <v>32</v>
      </c>
      <c r="O2" s="5" t="s">
        <v>33</v>
      </c>
      <c r="P2" s="5" t="s">
        <v>34</v>
      </c>
      <c r="Q2" s="5" t="s">
        <v>35</v>
      </c>
      <c r="R2" s="5" t="s">
        <v>36</v>
      </c>
      <c r="S2" s="5" t="s">
        <v>37</v>
      </c>
      <c r="T2" s="5" t="s">
        <v>38</v>
      </c>
      <c r="U2" s="5" t="s">
        <v>39</v>
      </c>
      <c r="V2" s="5" t="s">
        <v>40</v>
      </c>
      <c r="W2" s="5" t="s">
        <v>41</v>
      </c>
      <c r="X2" s="5" t="s">
        <v>42</v>
      </c>
      <c r="Y2" s="5" t="s">
        <v>43</v>
      </c>
      <c r="Z2" s="5" t="s">
        <v>44</v>
      </c>
      <c r="AA2" s="5" t="s">
        <v>45</v>
      </c>
      <c r="AB2" s="5" t="s">
        <v>51</v>
      </c>
      <c r="AC2" s="5" t="s">
        <v>73</v>
      </c>
      <c r="AD2" s="1" t="s">
        <v>74</v>
      </c>
      <c r="AE2" s="1" t="s">
        <v>75</v>
      </c>
      <c r="AF2" s="1" t="s">
        <v>78</v>
      </c>
    </row>
    <row r="3" spans="1:43" s="7" customFormat="1" ht="15" customHeight="1" x14ac:dyDescent="0.2">
      <c r="B3" s="268" t="s">
        <v>67</v>
      </c>
      <c r="C3" s="268"/>
      <c r="D3" s="268" t="s">
        <v>66</v>
      </c>
      <c r="E3" s="268"/>
      <c r="F3" s="268"/>
      <c r="G3" s="268"/>
      <c r="H3" s="268" t="s">
        <v>60</v>
      </c>
      <c r="I3" s="268"/>
      <c r="J3" s="268"/>
      <c r="K3" s="268"/>
      <c r="L3" s="268" t="s">
        <v>61</v>
      </c>
      <c r="M3" s="268"/>
      <c r="N3" s="268"/>
      <c r="O3" s="268"/>
      <c r="P3" s="268" t="s">
        <v>62</v>
      </c>
      <c r="Q3" s="268"/>
      <c r="R3" s="268"/>
      <c r="S3" s="268"/>
      <c r="T3" s="268" t="s">
        <v>63</v>
      </c>
      <c r="U3" s="268"/>
      <c r="V3" s="268"/>
      <c r="W3" s="268"/>
      <c r="X3" s="268" t="s">
        <v>64</v>
      </c>
      <c r="Y3" s="268"/>
      <c r="Z3" s="268"/>
      <c r="AA3" s="268"/>
      <c r="AB3" s="268" t="s">
        <v>65</v>
      </c>
      <c r="AC3" s="268"/>
      <c r="AD3" s="268"/>
      <c r="AE3" s="268"/>
      <c r="AF3" s="267" t="s">
        <v>77</v>
      </c>
      <c r="AG3" s="267"/>
      <c r="AH3" s="267"/>
      <c r="AI3" s="267"/>
      <c r="AJ3" s="265" t="s">
        <v>80</v>
      </c>
      <c r="AK3" s="265"/>
      <c r="AL3" s="265"/>
      <c r="AM3" s="265"/>
      <c r="AN3" s="267" t="s">
        <v>92</v>
      </c>
      <c r="AO3" s="267"/>
      <c r="AP3" s="267"/>
      <c r="AQ3" s="267"/>
    </row>
    <row r="4" spans="1:43" x14ac:dyDescent="0.2">
      <c r="A4" s="21" t="s">
        <v>68</v>
      </c>
      <c r="B4" s="22" t="s">
        <v>48</v>
      </c>
      <c r="C4" s="22" t="s">
        <v>49</v>
      </c>
      <c r="D4" s="22" t="s">
        <v>46</v>
      </c>
      <c r="E4" s="22" t="s">
        <v>47</v>
      </c>
      <c r="F4" s="22" t="s">
        <v>48</v>
      </c>
      <c r="G4" s="22" t="s">
        <v>49</v>
      </c>
      <c r="H4" s="22" t="s">
        <v>46</v>
      </c>
      <c r="I4" s="22" t="s">
        <v>47</v>
      </c>
      <c r="J4" s="22" t="s">
        <v>48</v>
      </c>
      <c r="K4" s="22" t="s">
        <v>49</v>
      </c>
      <c r="L4" s="22" t="s">
        <v>46</v>
      </c>
      <c r="M4" s="22" t="s">
        <v>47</v>
      </c>
      <c r="N4" s="22" t="s">
        <v>48</v>
      </c>
      <c r="O4" s="22" t="s">
        <v>49</v>
      </c>
      <c r="P4" s="22" t="s">
        <v>46</v>
      </c>
      <c r="Q4" s="22" t="s">
        <v>47</v>
      </c>
      <c r="R4" s="22" t="s">
        <v>48</v>
      </c>
      <c r="S4" s="22" t="s">
        <v>49</v>
      </c>
      <c r="T4" s="22" t="s">
        <v>46</v>
      </c>
      <c r="U4" s="22" t="s">
        <v>47</v>
      </c>
      <c r="V4" s="22" t="s">
        <v>48</v>
      </c>
      <c r="W4" s="22" t="s">
        <v>49</v>
      </c>
      <c r="X4" s="22" t="s">
        <v>46</v>
      </c>
      <c r="Y4" s="22" t="s">
        <v>47</v>
      </c>
      <c r="Z4" s="22" t="s">
        <v>48</v>
      </c>
      <c r="AA4" s="22" t="s">
        <v>49</v>
      </c>
      <c r="AB4" s="22" t="s">
        <v>46</v>
      </c>
      <c r="AC4" s="22" t="s">
        <v>47</v>
      </c>
      <c r="AD4" s="22" t="s">
        <v>48</v>
      </c>
      <c r="AE4" s="22" t="s">
        <v>49</v>
      </c>
      <c r="AF4" s="12" t="s">
        <v>46</v>
      </c>
      <c r="AG4" s="12" t="s">
        <v>47</v>
      </c>
      <c r="AH4" s="12" t="s">
        <v>48</v>
      </c>
      <c r="AI4" s="22" t="s">
        <v>49</v>
      </c>
      <c r="AJ4" s="38" t="s">
        <v>46</v>
      </c>
      <c r="AK4" s="38" t="s">
        <v>47</v>
      </c>
      <c r="AL4" s="38" t="s">
        <v>48</v>
      </c>
      <c r="AM4" s="38" t="s">
        <v>49</v>
      </c>
      <c r="AN4" s="56" t="s">
        <v>46</v>
      </c>
      <c r="AO4" s="38" t="s">
        <v>47</v>
      </c>
      <c r="AP4" s="56" t="s">
        <v>48</v>
      </c>
      <c r="AQ4" s="56" t="s">
        <v>49</v>
      </c>
    </row>
    <row r="5" spans="1:43" s="8" customFormat="1" ht="18" customHeight="1" x14ac:dyDescent="0.2">
      <c r="A5" s="2" t="s">
        <v>97</v>
      </c>
      <c r="B5" s="10" t="e">
        <f>#REF!/Trend_VA!B5*100</f>
        <v>#REF!</v>
      </c>
      <c r="C5" s="10" t="e">
        <f>#REF!/Trend_VA!C5*100</f>
        <v>#REF!</v>
      </c>
      <c r="D5" s="10" t="e">
        <f>#REF!/Trend_VA!D5*100</f>
        <v>#REF!</v>
      </c>
      <c r="E5" s="10" t="e">
        <f>#REF!/Trend_VA!E5*100</f>
        <v>#REF!</v>
      </c>
      <c r="F5" s="10" t="e">
        <f>#REF!/Trend_VA!F5*100</f>
        <v>#REF!</v>
      </c>
      <c r="G5" s="10" t="e">
        <f>#REF!/Trend_VA!G5*100</f>
        <v>#REF!</v>
      </c>
      <c r="H5" s="10" t="e">
        <f>#REF!/Trend_VA!H5*100</f>
        <v>#REF!</v>
      </c>
      <c r="I5" s="10" t="e">
        <f>#REF!/Trend_VA!I5*100</f>
        <v>#REF!</v>
      </c>
      <c r="J5" s="25" t="e">
        <f>#REF!/Trend_VA!J5*100</f>
        <v>#REF!</v>
      </c>
      <c r="K5" s="25" t="e">
        <f>#REF!/Trend_VA!K5*100</f>
        <v>#REF!</v>
      </c>
      <c r="L5" s="25" t="e">
        <f>#REF!/Trend_VA!L5*100</f>
        <v>#REF!</v>
      </c>
      <c r="M5" s="25" t="e">
        <f>#REF!/Trend_VA!M5*100</f>
        <v>#REF!</v>
      </c>
      <c r="N5" s="25" t="e">
        <f>#REF!/Trend_VA!N5*100</f>
        <v>#REF!</v>
      </c>
      <c r="O5" s="25" t="e">
        <f>#REF!/Trend_VA!O5*100</f>
        <v>#REF!</v>
      </c>
      <c r="P5" s="25" t="e">
        <f>#REF!/Trend_VA!P5*100</f>
        <v>#REF!</v>
      </c>
      <c r="Q5" s="25" t="e">
        <f>#REF!/Trend_VA!Q5*100</f>
        <v>#REF!</v>
      </c>
      <c r="R5" s="25" t="e">
        <f>#REF!/Trend_VA!R5*100</f>
        <v>#REF!</v>
      </c>
      <c r="S5" s="25" t="e">
        <f>#REF!/Trend_VA!S5*100</f>
        <v>#REF!</v>
      </c>
      <c r="T5" s="25" t="e">
        <f>#REF!/Trend_VA!T5*100</f>
        <v>#REF!</v>
      </c>
      <c r="U5" s="25" t="e">
        <f>#REF!/Trend_VA!U5*100</f>
        <v>#REF!</v>
      </c>
      <c r="V5" s="25" t="e">
        <f>#REF!/Trend_VA!V5*100</f>
        <v>#REF!</v>
      </c>
      <c r="W5" s="25" t="e">
        <f>#REF!/Trend_VA!W5*100</f>
        <v>#REF!</v>
      </c>
      <c r="X5" s="25" t="e">
        <f>#REF!/Trend_VA!X5*100</f>
        <v>#REF!</v>
      </c>
      <c r="Y5" s="25" t="e">
        <f>#REF!/Trend_VA!Y5*100</f>
        <v>#REF!</v>
      </c>
      <c r="Z5" s="25" t="e">
        <f>#REF!/Trend_VA!Z5*100</f>
        <v>#REF!</v>
      </c>
      <c r="AA5" s="25" t="e">
        <f>#REF!/Trend_VA!AA5*100</f>
        <v>#REF!</v>
      </c>
      <c r="AB5" s="25" t="e">
        <f>#REF!/Trend_VA!AB5*100</f>
        <v>#REF!</v>
      </c>
      <c r="AC5" s="25" t="e">
        <f>#REF!/Trend_VA!AC5*100</f>
        <v>#REF!</v>
      </c>
      <c r="AD5" s="25" t="e">
        <f>#REF!/Trend_VA!AD5*100</f>
        <v>#REF!</v>
      </c>
      <c r="AE5" s="25" t="e">
        <f>#REF!/Trend_VA!AE5*100</f>
        <v>#REF!</v>
      </c>
      <c r="AF5" s="25" t="e">
        <f>#REF!/Trend_VA!AF5*100</f>
        <v>#REF!</v>
      </c>
      <c r="AG5" s="25" t="e">
        <f>#REF!/Trend_VA!AG5*100</f>
        <v>#REF!</v>
      </c>
      <c r="AH5" s="25" t="e">
        <f>#REF!/Trend_VA!AH5*100</f>
        <v>#REF!</v>
      </c>
      <c r="AI5" s="25" t="e">
        <f>#REF!/Trend_VA!AI5*100</f>
        <v>#REF!</v>
      </c>
      <c r="AJ5" s="25" t="e">
        <f>#REF!/Trend_VA!AJ5*100</f>
        <v>#REF!</v>
      </c>
      <c r="AK5" s="25" t="e">
        <f>#REF!/Trend_VA!AK5*100</f>
        <v>#REF!</v>
      </c>
      <c r="AL5" s="25" t="e">
        <f>#REF!/Trend_VA!AL5*100</f>
        <v>#REF!</v>
      </c>
      <c r="AM5" s="25" t="e">
        <f>#REF!/Trend_VA!AM5*100</f>
        <v>#REF!</v>
      </c>
      <c r="AN5" s="25" t="e">
        <f>#REF!/Trend_VA!AN5*100</f>
        <v>#REF!</v>
      </c>
      <c r="AO5" s="25" t="e">
        <f>#REF!/Trend_VA!AO5*100</f>
        <v>#REF!</v>
      </c>
      <c r="AP5" s="25" t="e">
        <f>#REF!/Trend_VA!AP5*100</f>
        <v>#REF!</v>
      </c>
      <c r="AQ5" s="25" t="e">
        <f>#REF!/Trend_VA!AQ5*100</f>
        <v>#REF!</v>
      </c>
    </row>
    <row r="6" spans="1:43" s="8" customFormat="1" ht="24.75" customHeight="1" x14ac:dyDescent="0.2">
      <c r="A6" s="2" t="s">
        <v>96</v>
      </c>
      <c r="B6" s="10" t="e">
        <f>#REF!/Trend_VA!B6*100</f>
        <v>#REF!</v>
      </c>
      <c r="C6" s="10" t="e">
        <f>#REF!/Trend_VA!C6*100</f>
        <v>#REF!</v>
      </c>
      <c r="D6" s="10" t="e">
        <f>#REF!/Trend_VA!D6*100</f>
        <v>#REF!</v>
      </c>
      <c r="E6" s="10" t="e">
        <f>#REF!/Trend_VA!E6*100</f>
        <v>#REF!</v>
      </c>
      <c r="F6" s="10" t="e">
        <f>#REF!/Trend_VA!F6*100</f>
        <v>#REF!</v>
      </c>
      <c r="G6" s="10" t="e">
        <f>#REF!/Trend_VA!G6*100</f>
        <v>#REF!</v>
      </c>
      <c r="H6" s="10" t="e">
        <f>#REF!/Trend_VA!H6*100</f>
        <v>#REF!</v>
      </c>
      <c r="I6" s="10" t="e">
        <f>#REF!/Trend_VA!I6*100</f>
        <v>#REF!</v>
      </c>
      <c r="J6" s="25" t="e">
        <f>#REF!/Trend_VA!J6*100</f>
        <v>#REF!</v>
      </c>
      <c r="K6" s="25" t="e">
        <f>#REF!/Trend_VA!K6*100</f>
        <v>#REF!</v>
      </c>
      <c r="L6" s="25" t="e">
        <f>#REF!/Trend_VA!L6*100</f>
        <v>#REF!</v>
      </c>
      <c r="M6" s="25" t="e">
        <f>#REF!/Trend_VA!M6*100</f>
        <v>#REF!</v>
      </c>
      <c r="N6" s="25" t="e">
        <f>#REF!/Trend_VA!N6*100</f>
        <v>#REF!</v>
      </c>
      <c r="O6" s="25" t="e">
        <f>#REF!/Trend_VA!O6*100</f>
        <v>#REF!</v>
      </c>
      <c r="P6" s="25" t="e">
        <f>#REF!/Trend_VA!P6*100</f>
        <v>#REF!</v>
      </c>
      <c r="Q6" s="25" t="e">
        <f>#REF!/Trend_VA!Q6*100</f>
        <v>#REF!</v>
      </c>
      <c r="R6" s="25" t="e">
        <f>#REF!/Trend_VA!R6*100</f>
        <v>#REF!</v>
      </c>
      <c r="S6" s="25" t="e">
        <f>#REF!/Trend_VA!S6*100</f>
        <v>#REF!</v>
      </c>
      <c r="T6" s="25" t="e">
        <f>#REF!/Trend_VA!T6*100</f>
        <v>#REF!</v>
      </c>
      <c r="U6" s="25" t="e">
        <f>#REF!/Trend_VA!U6*100</f>
        <v>#REF!</v>
      </c>
      <c r="V6" s="25" t="e">
        <f>#REF!/Trend_VA!V6*100</f>
        <v>#REF!</v>
      </c>
      <c r="W6" s="25" t="e">
        <f>#REF!/Trend_VA!W6*100</f>
        <v>#REF!</v>
      </c>
      <c r="X6" s="25" t="e">
        <f>#REF!/Trend_VA!X6*100</f>
        <v>#REF!</v>
      </c>
      <c r="Y6" s="25" t="e">
        <f>#REF!/Trend_VA!Y6*100</f>
        <v>#REF!</v>
      </c>
      <c r="Z6" s="25" t="e">
        <f>#REF!/Trend_VA!Z6*100</f>
        <v>#REF!</v>
      </c>
      <c r="AA6" s="25" t="e">
        <f>#REF!/Trend_VA!AA6*100</f>
        <v>#REF!</v>
      </c>
      <c r="AB6" s="25" t="e">
        <f>#REF!/Trend_VA!AB6*100</f>
        <v>#REF!</v>
      </c>
      <c r="AC6" s="25" t="e">
        <f>#REF!/Trend_VA!AC6*100</f>
        <v>#REF!</v>
      </c>
      <c r="AD6" s="25" t="e">
        <f>#REF!/Trend_VA!AD6*100</f>
        <v>#REF!</v>
      </c>
      <c r="AE6" s="25" t="e">
        <f>#REF!/Trend_VA!AE6*100</f>
        <v>#REF!</v>
      </c>
      <c r="AF6" s="49" t="e">
        <f>#REF!/Trend_VA!AF6*100</f>
        <v>#REF!</v>
      </c>
      <c r="AG6" s="49" t="e">
        <f>#REF!/Trend_VA!AG6*100</f>
        <v>#REF!</v>
      </c>
      <c r="AH6" s="49" t="e">
        <f>#REF!/Trend_VA!AH6*100</f>
        <v>#REF!</v>
      </c>
      <c r="AI6" s="49" t="e">
        <f>#REF!/Trend_VA!AI6*100</f>
        <v>#REF!</v>
      </c>
      <c r="AJ6" s="49" t="e">
        <f>#REF!/Trend_VA!AJ6*100</f>
        <v>#REF!</v>
      </c>
      <c r="AK6" s="49" t="e">
        <f>#REF!/Trend_VA!AK6*100</f>
        <v>#REF!</v>
      </c>
      <c r="AL6" s="49" t="e">
        <f>#REF!/Trend_VA!AL6*100</f>
        <v>#REF!</v>
      </c>
      <c r="AM6" s="49" t="e">
        <f>#REF!/Trend_VA!AM6*100</f>
        <v>#REF!</v>
      </c>
      <c r="AN6" s="49" t="e">
        <f>#REF!/Trend_VA!AN6*100</f>
        <v>#REF!</v>
      </c>
      <c r="AO6" s="49" t="e">
        <f>#REF!/Trend_VA!AO6*100</f>
        <v>#REF!</v>
      </c>
      <c r="AP6" s="49" t="e">
        <f>#REF!/Trend_VA!AP6*100</f>
        <v>#REF!</v>
      </c>
      <c r="AQ6" s="49" t="e">
        <f>#REF!/Trend_VA!AQ6*100</f>
        <v>#REF!</v>
      </c>
    </row>
    <row r="7" spans="1:43" ht="18" customHeight="1" x14ac:dyDescent="0.2">
      <c r="A7" s="16" t="s">
        <v>1</v>
      </c>
      <c r="B7" s="9" t="e">
        <f>#REF!/Trend_VA!B7*100</f>
        <v>#REF!</v>
      </c>
      <c r="C7" s="9" t="e">
        <f>#REF!/Trend_VA!C7*100</f>
        <v>#REF!</v>
      </c>
      <c r="D7" s="9" t="e">
        <f>#REF!/Trend_VA!D7*100</f>
        <v>#REF!</v>
      </c>
      <c r="E7" s="9" t="e">
        <f>#REF!/Trend_VA!E7*100</f>
        <v>#REF!</v>
      </c>
      <c r="F7" s="9" t="e">
        <f>#REF!/Trend_VA!F7*100</f>
        <v>#REF!</v>
      </c>
      <c r="G7" s="9" t="e">
        <f>#REF!/Trend_VA!G7*100</f>
        <v>#REF!</v>
      </c>
      <c r="H7" s="9" t="e">
        <f>#REF!/Trend_VA!H7*100</f>
        <v>#REF!</v>
      </c>
      <c r="I7" s="9" t="e">
        <f>#REF!/Trend_VA!I7*100</f>
        <v>#REF!</v>
      </c>
      <c r="J7" s="26" t="e">
        <f>#REF!/Trend_VA!J7*100</f>
        <v>#REF!</v>
      </c>
      <c r="K7" s="26" t="e">
        <f>#REF!/Trend_VA!K7*100</f>
        <v>#REF!</v>
      </c>
      <c r="L7" s="26" t="e">
        <f>#REF!/Trend_VA!L7*100</f>
        <v>#REF!</v>
      </c>
      <c r="M7" s="26" t="e">
        <f>#REF!/Trend_VA!M7*100</f>
        <v>#REF!</v>
      </c>
      <c r="N7" s="26" t="e">
        <f>#REF!/Trend_VA!N7*100</f>
        <v>#REF!</v>
      </c>
      <c r="O7" s="26" t="e">
        <f>#REF!/Trend_VA!O7*100</f>
        <v>#REF!</v>
      </c>
      <c r="P7" s="26" t="e">
        <f>#REF!/Trend_VA!P7*100</f>
        <v>#REF!</v>
      </c>
      <c r="Q7" s="26" t="e">
        <f>#REF!/Trend_VA!Q7*100</f>
        <v>#REF!</v>
      </c>
      <c r="R7" s="26" t="e">
        <f>#REF!/Trend_VA!R7*100</f>
        <v>#REF!</v>
      </c>
      <c r="S7" s="26" t="e">
        <f>#REF!/Trend_VA!S7*100</f>
        <v>#REF!</v>
      </c>
      <c r="T7" s="26" t="e">
        <f>#REF!/Trend_VA!T7*100</f>
        <v>#REF!</v>
      </c>
      <c r="U7" s="26" t="e">
        <f>#REF!/Trend_VA!U7*100</f>
        <v>#REF!</v>
      </c>
      <c r="V7" s="26" t="e">
        <f>#REF!/Trend_VA!V7*100</f>
        <v>#REF!</v>
      </c>
      <c r="W7" s="26" t="e">
        <f>#REF!/Trend_VA!W7*100</f>
        <v>#REF!</v>
      </c>
      <c r="X7" s="26" t="e">
        <f>#REF!/Trend_VA!X7*100</f>
        <v>#REF!</v>
      </c>
      <c r="Y7" s="26" t="e">
        <f>#REF!/Trend_VA!Y7*100</f>
        <v>#REF!</v>
      </c>
      <c r="Z7" s="26" t="e">
        <f>#REF!/Trend_VA!Z7*100</f>
        <v>#REF!</v>
      </c>
      <c r="AA7" s="26" t="e">
        <f>#REF!/Trend_VA!AA7*100</f>
        <v>#REF!</v>
      </c>
      <c r="AB7" s="26" t="e">
        <f>#REF!/Trend_VA!AB7*100</f>
        <v>#REF!</v>
      </c>
      <c r="AC7" s="26" t="e">
        <f>#REF!/Trend_VA!AC7*100</f>
        <v>#REF!</v>
      </c>
      <c r="AD7" s="26" t="e">
        <f>#REF!/Trend_VA!AD7*100</f>
        <v>#REF!</v>
      </c>
      <c r="AE7" s="26" t="e">
        <f>#REF!/Trend_VA!AE7*100</f>
        <v>#REF!</v>
      </c>
      <c r="AF7" s="33" t="e">
        <f>#REF!/Trend_VA!AF7*100</f>
        <v>#REF!</v>
      </c>
      <c r="AG7" s="33" t="e">
        <f>#REF!/Trend_VA!AG7*100</f>
        <v>#REF!</v>
      </c>
      <c r="AH7" s="33" t="e">
        <f>#REF!/Trend_VA!AH7*100</f>
        <v>#REF!</v>
      </c>
      <c r="AI7" s="33" t="e">
        <f>#REF!/Trend_VA!AI7*100</f>
        <v>#REF!</v>
      </c>
      <c r="AJ7" s="33" t="e">
        <f>#REF!/Trend_VA!AJ7*100</f>
        <v>#REF!</v>
      </c>
      <c r="AK7" s="33" t="e">
        <f>#REF!/Trend_VA!AK7*100</f>
        <v>#REF!</v>
      </c>
      <c r="AL7" s="33" t="e">
        <f>#REF!/Trend_VA!AL7*100</f>
        <v>#REF!</v>
      </c>
      <c r="AM7" s="33" t="e">
        <f>#REF!/Trend_VA!AM7*100</f>
        <v>#REF!</v>
      </c>
      <c r="AN7" s="33" t="e">
        <f>#REF!/Trend_VA!AN7*100</f>
        <v>#REF!</v>
      </c>
      <c r="AO7" s="33" t="e">
        <f>#REF!/Trend_VA!AO7*100</f>
        <v>#REF!</v>
      </c>
      <c r="AP7" s="33" t="e">
        <f>#REF!/Trend_VA!AP7*100</f>
        <v>#REF!</v>
      </c>
      <c r="AQ7" s="33" t="e">
        <f>#REF!/Trend_VA!AQ7*100</f>
        <v>#REF!</v>
      </c>
    </row>
    <row r="8" spans="1:43" ht="18" customHeight="1" x14ac:dyDescent="0.2">
      <c r="A8" s="16" t="s">
        <v>2</v>
      </c>
      <c r="B8" s="9" t="e">
        <f>#REF!/Trend_VA!B8*100</f>
        <v>#REF!</v>
      </c>
      <c r="C8" s="9" t="e">
        <f>#REF!/Trend_VA!C8*100</f>
        <v>#REF!</v>
      </c>
      <c r="D8" s="9" t="e">
        <f>#REF!/Trend_VA!D8*100</f>
        <v>#REF!</v>
      </c>
      <c r="E8" s="9" t="e">
        <f>#REF!/Trend_VA!E8*100</f>
        <v>#REF!</v>
      </c>
      <c r="F8" s="9" t="e">
        <f>#REF!/Trend_VA!F8*100</f>
        <v>#REF!</v>
      </c>
      <c r="G8" s="9" t="e">
        <f>#REF!/Trend_VA!G8*100</f>
        <v>#REF!</v>
      </c>
      <c r="H8" s="9" t="e">
        <f>#REF!/Trend_VA!H8*100</f>
        <v>#REF!</v>
      </c>
      <c r="I8" s="9" t="e">
        <f>#REF!/Trend_VA!I8*100</f>
        <v>#REF!</v>
      </c>
      <c r="J8" s="26" t="e">
        <f>#REF!/Trend_VA!J8*100</f>
        <v>#REF!</v>
      </c>
      <c r="K8" s="26" t="e">
        <f>#REF!/Trend_VA!K8*100</f>
        <v>#REF!</v>
      </c>
      <c r="L8" s="26" t="e">
        <f>#REF!/Trend_VA!L8*100</f>
        <v>#REF!</v>
      </c>
      <c r="M8" s="26" t="e">
        <f>#REF!/Trend_VA!M8*100</f>
        <v>#REF!</v>
      </c>
      <c r="N8" s="26" t="e">
        <f>#REF!/Trend_VA!N8*100</f>
        <v>#REF!</v>
      </c>
      <c r="O8" s="26" t="e">
        <f>#REF!/Trend_VA!O8*100</f>
        <v>#REF!</v>
      </c>
      <c r="P8" s="26" t="e">
        <f>#REF!/Trend_VA!P8*100</f>
        <v>#REF!</v>
      </c>
      <c r="Q8" s="26" t="e">
        <f>#REF!/Trend_VA!Q8*100</f>
        <v>#REF!</v>
      </c>
      <c r="R8" s="26" t="e">
        <f>#REF!/Trend_VA!R8*100</f>
        <v>#REF!</v>
      </c>
      <c r="S8" s="26" t="e">
        <f>#REF!/Trend_VA!S8*100</f>
        <v>#REF!</v>
      </c>
      <c r="T8" s="26" t="e">
        <f>#REF!/Trend_VA!T8*100</f>
        <v>#REF!</v>
      </c>
      <c r="U8" s="26" t="e">
        <f>#REF!/Trend_VA!U8*100</f>
        <v>#REF!</v>
      </c>
      <c r="V8" s="26" t="e">
        <f>#REF!/Trend_VA!V8*100</f>
        <v>#REF!</v>
      </c>
      <c r="W8" s="26" t="e">
        <f>#REF!/Trend_VA!W8*100</f>
        <v>#REF!</v>
      </c>
      <c r="X8" s="26" t="e">
        <f>#REF!/Trend_VA!X8*100</f>
        <v>#REF!</v>
      </c>
      <c r="Y8" s="26" t="e">
        <f>#REF!/Trend_VA!Y8*100</f>
        <v>#REF!</v>
      </c>
      <c r="Z8" s="26" t="e">
        <f>#REF!/Trend_VA!Z8*100</f>
        <v>#REF!</v>
      </c>
      <c r="AA8" s="26" t="e">
        <f>#REF!/Trend_VA!AA8*100</f>
        <v>#REF!</v>
      </c>
      <c r="AB8" s="26" t="e">
        <f>#REF!/Trend_VA!AB8*100</f>
        <v>#REF!</v>
      </c>
      <c r="AC8" s="26" t="e">
        <f>#REF!/Trend_VA!AC8*100</f>
        <v>#REF!</v>
      </c>
      <c r="AD8" s="26" t="e">
        <f>#REF!/Trend_VA!AD8*100</f>
        <v>#REF!</v>
      </c>
      <c r="AE8" s="26" t="e">
        <f>#REF!/Trend_VA!AE8*100</f>
        <v>#REF!</v>
      </c>
      <c r="AF8" s="33" t="e">
        <f>#REF!/Trend_VA!AF8*100</f>
        <v>#REF!</v>
      </c>
      <c r="AG8" s="33" t="e">
        <f>#REF!/Trend_VA!AG8*100</f>
        <v>#REF!</v>
      </c>
      <c r="AH8" s="33" t="e">
        <f>#REF!/Trend_VA!AH8*100</f>
        <v>#REF!</v>
      </c>
      <c r="AI8" s="33" t="e">
        <f>#REF!/Trend_VA!AI8*100</f>
        <v>#REF!</v>
      </c>
      <c r="AJ8" s="33" t="e">
        <f>#REF!/Trend_VA!AJ8*100</f>
        <v>#REF!</v>
      </c>
      <c r="AK8" s="33" t="e">
        <f>#REF!/Trend_VA!AK8*100</f>
        <v>#REF!</v>
      </c>
      <c r="AL8" s="33" t="e">
        <f>#REF!/Trend_VA!AL8*100</f>
        <v>#REF!</v>
      </c>
      <c r="AM8" s="33" t="e">
        <f>#REF!/Trend_VA!AM8*100</f>
        <v>#REF!</v>
      </c>
      <c r="AN8" s="33" t="e">
        <f>#REF!/Trend_VA!AN8*100</f>
        <v>#REF!</v>
      </c>
      <c r="AO8" s="33" t="e">
        <f>#REF!/Trend_VA!AO8*100</f>
        <v>#REF!</v>
      </c>
      <c r="AP8" s="33" t="e">
        <f>#REF!/Trend_VA!AP8*100</f>
        <v>#REF!</v>
      </c>
      <c r="AQ8" s="33" t="e">
        <f>#REF!/Trend_VA!AQ8*100</f>
        <v>#REF!</v>
      </c>
    </row>
    <row r="9" spans="1:43" ht="18" customHeight="1" x14ac:dyDescent="0.2">
      <c r="A9" s="16" t="s">
        <v>3</v>
      </c>
      <c r="B9" s="9" t="e">
        <f>#REF!/Trend_VA!B9*100</f>
        <v>#REF!</v>
      </c>
      <c r="C9" s="9" t="e">
        <f>#REF!/Trend_VA!C9*100</f>
        <v>#REF!</v>
      </c>
      <c r="D9" s="9" t="e">
        <f>#REF!/Trend_VA!D9*100</f>
        <v>#REF!</v>
      </c>
      <c r="E9" s="9" t="e">
        <f>#REF!/Trend_VA!E9*100</f>
        <v>#REF!</v>
      </c>
      <c r="F9" s="9" t="e">
        <f>#REF!/Trend_VA!F9*100</f>
        <v>#REF!</v>
      </c>
      <c r="G9" s="9" t="e">
        <f>#REF!/Trend_VA!G9*100</f>
        <v>#REF!</v>
      </c>
      <c r="H9" s="9" t="e">
        <f>#REF!/Trend_VA!H9*100</f>
        <v>#REF!</v>
      </c>
      <c r="I9" s="9" t="e">
        <f>#REF!/Trend_VA!I9*100</f>
        <v>#REF!</v>
      </c>
      <c r="J9" s="26" t="e">
        <f>#REF!/Trend_VA!J9*100</f>
        <v>#REF!</v>
      </c>
      <c r="K9" s="26" t="e">
        <f>#REF!/Trend_VA!K9*100</f>
        <v>#REF!</v>
      </c>
      <c r="L9" s="26" t="e">
        <f>#REF!/Trend_VA!L9*100</f>
        <v>#REF!</v>
      </c>
      <c r="M9" s="26" t="e">
        <f>#REF!/Trend_VA!M9*100</f>
        <v>#REF!</v>
      </c>
      <c r="N9" s="26" t="e">
        <f>#REF!/Trend_VA!N9*100</f>
        <v>#REF!</v>
      </c>
      <c r="O9" s="26" t="e">
        <f>#REF!/Trend_VA!O9*100</f>
        <v>#REF!</v>
      </c>
      <c r="P9" s="26" t="e">
        <f>#REF!/Trend_VA!P9*100</f>
        <v>#REF!</v>
      </c>
      <c r="Q9" s="26" t="e">
        <f>#REF!/Trend_VA!Q9*100</f>
        <v>#REF!</v>
      </c>
      <c r="R9" s="26" t="e">
        <f>#REF!/Trend_VA!R9*100</f>
        <v>#REF!</v>
      </c>
      <c r="S9" s="26" t="e">
        <f>#REF!/Trend_VA!S9*100</f>
        <v>#REF!</v>
      </c>
      <c r="T9" s="26" t="e">
        <f>#REF!/Trend_VA!T9*100</f>
        <v>#REF!</v>
      </c>
      <c r="U9" s="26" t="e">
        <f>#REF!/Trend_VA!U9*100</f>
        <v>#REF!</v>
      </c>
      <c r="V9" s="26" t="e">
        <f>#REF!/Trend_VA!V9*100</f>
        <v>#REF!</v>
      </c>
      <c r="W9" s="26" t="e">
        <f>#REF!/Trend_VA!W9*100</f>
        <v>#REF!</v>
      </c>
      <c r="X9" s="26" t="e">
        <f>#REF!/Trend_VA!X9*100</f>
        <v>#REF!</v>
      </c>
      <c r="Y9" s="26" t="e">
        <f>#REF!/Trend_VA!Y9*100</f>
        <v>#REF!</v>
      </c>
      <c r="Z9" s="26" t="e">
        <f>#REF!/Trend_VA!Z9*100</f>
        <v>#REF!</v>
      </c>
      <c r="AA9" s="26" t="e">
        <f>#REF!/Trend_VA!AA9*100</f>
        <v>#REF!</v>
      </c>
      <c r="AB9" s="26" t="e">
        <f>#REF!/Trend_VA!AB9*100</f>
        <v>#REF!</v>
      </c>
      <c r="AC9" s="26" t="e">
        <f>#REF!/Trend_VA!AC9*100</f>
        <v>#REF!</v>
      </c>
      <c r="AD9" s="26" t="e">
        <f>#REF!/Trend_VA!AD9*100</f>
        <v>#REF!</v>
      </c>
      <c r="AE9" s="26" t="e">
        <f>#REF!/Trend_VA!AE9*100</f>
        <v>#REF!</v>
      </c>
      <c r="AF9" s="33" t="e">
        <f>#REF!/Trend_VA!AF9*100</f>
        <v>#REF!</v>
      </c>
      <c r="AG9" s="33" t="e">
        <f>#REF!/Trend_VA!AG9*100</f>
        <v>#REF!</v>
      </c>
      <c r="AH9" s="33" t="e">
        <f>#REF!/Trend_VA!AH9*100</f>
        <v>#REF!</v>
      </c>
      <c r="AI9" s="33" t="e">
        <f>#REF!/Trend_VA!AI9*100</f>
        <v>#REF!</v>
      </c>
      <c r="AJ9" s="33" t="e">
        <f>#REF!/Trend_VA!AJ9*100</f>
        <v>#REF!</v>
      </c>
      <c r="AK9" s="33" t="e">
        <f>#REF!/Trend_VA!AK9*100</f>
        <v>#REF!</v>
      </c>
      <c r="AL9" s="33" t="e">
        <f>#REF!/Trend_VA!AL9*100</f>
        <v>#REF!</v>
      </c>
      <c r="AM9" s="33" t="e">
        <f>#REF!/Trend_VA!AM9*100</f>
        <v>#REF!</v>
      </c>
      <c r="AN9" s="33" t="e">
        <f>#REF!/Trend_VA!AN9*100</f>
        <v>#REF!</v>
      </c>
      <c r="AO9" s="33" t="e">
        <f>#REF!/Trend_VA!AO9*100</f>
        <v>#REF!</v>
      </c>
      <c r="AP9" s="33" t="e">
        <f>#REF!/Trend_VA!AP9*100</f>
        <v>#REF!</v>
      </c>
      <c r="AQ9" s="33" t="e">
        <f>#REF!/Trend_VA!AQ9*100</f>
        <v>#REF!</v>
      </c>
    </row>
    <row r="10" spans="1:43" ht="18" customHeight="1" x14ac:dyDescent="0.2">
      <c r="A10" s="16" t="s">
        <v>4</v>
      </c>
      <c r="B10" s="9" t="e">
        <f>#REF!/Trend_VA!B10*100</f>
        <v>#REF!</v>
      </c>
      <c r="C10" s="9" t="e">
        <f>#REF!/Trend_VA!C10*100</f>
        <v>#REF!</v>
      </c>
      <c r="D10" s="9" t="e">
        <f>#REF!/Trend_VA!D10*100</f>
        <v>#REF!</v>
      </c>
      <c r="E10" s="9" t="e">
        <f>#REF!/Trend_VA!E10*100</f>
        <v>#REF!</v>
      </c>
      <c r="F10" s="9" t="e">
        <f>#REF!/Trend_VA!F10*100</f>
        <v>#REF!</v>
      </c>
      <c r="G10" s="9" t="e">
        <f>#REF!/Trend_VA!G10*100</f>
        <v>#REF!</v>
      </c>
      <c r="H10" s="9" t="e">
        <f>#REF!/Trend_VA!H10*100</f>
        <v>#REF!</v>
      </c>
      <c r="I10" s="9" t="e">
        <f>#REF!/Trend_VA!I10*100</f>
        <v>#REF!</v>
      </c>
      <c r="J10" s="26" t="e">
        <f>#REF!/Trend_VA!J10*100</f>
        <v>#REF!</v>
      </c>
      <c r="K10" s="26" t="e">
        <f>#REF!/Trend_VA!K10*100</f>
        <v>#REF!</v>
      </c>
      <c r="L10" s="26" t="e">
        <f>#REF!/Trend_VA!L10*100</f>
        <v>#REF!</v>
      </c>
      <c r="M10" s="26" t="e">
        <f>#REF!/Trend_VA!M10*100</f>
        <v>#REF!</v>
      </c>
      <c r="N10" s="26" t="e">
        <f>#REF!/Trend_VA!N10*100</f>
        <v>#REF!</v>
      </c>
      <c r="O10" s="26" t="e">
        <f>#REF!/Trend_VA!O10*100</f>
        <v>#REF!</v>
      </c>
      <c r="P10" s="26" t="e">
        <f>#REF!/Trend_VA!P10*100</f>
        <v>#REF!</v>
      </c>
      <c r="Q10" s="26" t="e">
        <f>#REF!/Trend_VA!Q10*100</f>
        <v>#REF!</v>
      </c>
      <c r="R10" s="26" t="e">
        <f>#REF!/Trend_VA!R10*100</f>
        <v>#REF!</v>
      </c>
      <c r="S10" s="26" t="e">
        <f>#REF!/Trend_VA!S10*100</f>
        <v>#REF!</v>
      </c>
      <c r="T10" s="26" t="e">
        <f>#REF!/Trend_VA!T10*100</f>
        <v>#REF!</v>
      </c>
      <c r="U10" s="26" t="e">
        <f>#REF!/Trend_VA!U10*100</f>
        <v>#REF!</v>
      </c>
      <c r="V10" s="26" t="e">
        <f>#REF!/Trend_VA!V10*100</f>
        <v>#REF!</v>
      </c>
      <c r="W10" s="26" t="e">
        <f>#REF!/Trend_VA!W10*100</f>
        <v>#REF!</v>
      </c>
      <c r="X10" s="26" t="e">
        <f>#REF!/Trend_VA!X10*100</f>
        <v>#REF!</v>
      </c>
      <c r="Y10" s="26" t="e">
        <f>#REF!/Trend_VA!Y10*100</f>
        <v>#REF!</v>
      </c>
      <c r="Z10" s="26" t="e">
        <f>#REF!/Trend_VA!Z10*100</f>
        <v>#REF!</v>
      </c>
      <c r="AA10" s="26" t="e">
        <f>#REF!/Trend_VA!AA10*100</f>
        <v>#REF!</v>
      </c>
      <c r="AB10" s="26" t="e">
        <f>#REF!/Trend_VA!AB10*100</f>
        <v>#REF!</v>
      </c>
      <c r="AC10" s="26" t="e">
        <f>#REF!/Trend_VA!AC10*100</f>
        <v>#REF!</v>
      </c>
      <c r="AD10" s="26" t="e">
        <f>#REF!/Trend_VA!AD10*100</f>
        <v>#REF!</v>
      </c>
      <c r="AE10" s="26" t="e">
        <f>#REF!/Trend_VA!AE10*100</f>
        <v>#REF!</v>
      </c>
      <c r="AF10" s="33" t="e">
        <f>#REF!/Trend_VA!AF10*100</f>
        <v>#REF!</v>
      </c>
      <c r="AG10" s="33" t="e">
        <f>#REF!/Trend_VA!AG10*100</f>
        <v>#REF!</v>
      </c>
      <c r="AH10" s="33" t="e">
        <f>#REF!/Trend_VA!AH10*100</f>
        <v>#REF!</v>
      </c>
      <c r="AI10" s="33" t="e">
        <f>#REF!/Trend_VA!AI10*100</f>
        <v>#REF!</v>
      </c>
      <c r="AJ10" s="33" t="e">
        <f>#REF!/Trend_VA!AJ10*100</f>
        <v>#REF!</v>
      </c>
      <c r="AK10" s="33" t="e">
        <f>#REF!/Trend_VA!AK10*100</f>
        <v>#REF!</v>
      </c>
      <c r="AL10" s="33" t="e">
        <f>#REF!/Trend_VA!AL10*100</f>
        <v>#REF!</v>
      </c>
      <c r="AM10" s="33" t="e">
        <f>#REF!/Trend_VA!AM10*100</f>
        <v>#REF!</v>
      </c>
      <c r="AN10" s="33" t="e">
        <f>#REF!/Trend_VA!AN10*100</f>
        <v>#REF!</v>
      </c>
      <c r="AO10" s="33" t="e">
        <f>#REF!/Trend_VA!AO10*100</f>
        <v>#REF!</v>
      </c>
      <c r="AP10" s="33" t="e">
        <f>#REF!/Trend_VA!AP10*100</f>
        <v>#REF!</v>
      </c>
      <c r="AQ10" s="33" t="e">
        <f>#REF!/Trend_VA!AQ10*100</f>
        <v>#REF!</v>
      </c>
    </row>
    <row r="11" spans="1:43" ht="18" customHeight="1" x14ac:dyDescent="0.2">
      <c r="A11" s="16" t="s">
        <v>5</v>
      </c>
      <c r="B11" s="9" t="e">
        <f>#REF!/Trend_VA!B11*100</f>
        <v>#REF!</v>
      </c>
      <c r="C11" s="9" t="e">
        <f>#REF!/Trend_VA!C11*100</f>
        <v>#REF!</v>
      </c>
      <c r="D11" s="9" t="e">
        <f>#REF!/Trend_VA!D11*100</f>
        <v>#REF!</v>
      </c>
      <c r="E11" s="9" t="e">
        <f>#REF!/Trend_VA!E11*100</f>
        <v>#REF!</v>
      </c>
      <c r="F11" s="9" t="e">
        <f>#REF!/Trend_VA!F11*100</f>
        <v>#REF!</v>
      </c>
      <c r="G11" s="9" t="e">
        <f>#REF!/Trend_VA!G11*100</f>
        <v>#REF!</v>
      </c>
      <c r="H11" s="9" t="e">
        <f>#REF!/Trend_VA!H11*100</f>
        <v>#REF!</v>
      </c>
      <c r="I11" s="9" t="e">
        <f>#REF!/Trend_VA!I11*100</f>
        <v>#REF!</v>
      </c>
      <c r="J11" s="26" t="e">
        <f>#REF!/Trend_VA!J11*100</f>
        <v>#REF!</v>
      </c>
      <c r="K11" s="26" t="e">
        <f>#REF!/Trend_VA!K11*100</f>
        <v>#REF!</v>
      </c>
      <c r="L11" s="26" t="e">
        <f>#REF!/Trend_VA!L11*100</f>
        <v>#REF!</v>
      </c>
      <c r="M11" s="26" t="e">
        <f>#REF!/Trend_VA!M11*100</f>
        <v>#REF!</v>
      </c>
      <c r="N11" s="26" t="e">
        <f>#REF!/Trend_VA!N11*100</f>
        <v>#REF!</v>
      </c>
      <c r="O11" s="26" t="e">
        <f>#REF!/Trend_VA!O11*100</f>
        <v>#REF!</v>
      </c>
      <c r="P11" s="26" t="e">
        <f>#REF!/Trend_VA!P11*100</f>
        <v>#REF!</v>
      </c>
      <c r="Q11" s="26" t="e">
        <f>#REF!/Trend_VA!Q11*100</f>
        <v>#REF!</v>
      </c>
      <c r="R11" s="26" t="e">
        <f>#REF!/Trend_VA!R11*100</f>
        <v>#REF!</v>
      </c>
      <c r="S11" s="26" t="e">
        <f>#REF!/Trend_VA!S11*100</f>
        <v>#REF!</v>
      </c>
      <c r="T11" s="26" t="e">
        <f>#REF!/Trend_VA!T11*100</f>
        <v>#REF!</v>
      </c>
      <c r="U11" s="26" t="e">
        <f>#REF!/Trend_VA!U11*100</f>
        <v>#REF!</v>
      </c>
      <c r="V11" s="26" t="e">
        <f>#REF!/Trend_VA!V11*100</f>
        <v>#REF!</v>
      </c>
      <c r="W11" s="26" t="e">
        <f>#REF!/Trend_VA!W11*100</f>
        <v>#REF!</v>
      </c>
      <c r="X11" s="26" t="e">
        <f>#REF!/Trend_VA!X11*100</f>
        <v>#REF!</v>
      </c>
      <c r="Y11" s="26" t="e">
        <f>#REF!/Trend_VA!Y11*100</f>
        <v>#REF!</v>
      </c>
      <c r="Z11" s="26" t="e">
        <f>#REF!/Trend_VA!Z11*100</f>
        <v>#REF!</v>
      </c>
      <c r="AA11" s="26" t="e">
        <f>#REF!/Trend_VA!AA11*100</f>
        <v>#REF!</v>
      </c>
      <c r="AB11" s="26" t="e">
        <f>#REF!/Trend_VA!AB11*100</f>
        <v>#REF!</v>
      </c>
      <c r="AC11" s="26" t="e">
        <f>#REF!/Trend_VA!AC11*100</f>
        <v>#REF!</v>
      </c>
      <c r="AD11" s="26" t="e">
        <f>#REF!/Trend_VA!AD11*100</f>
        <v>#REF!</v>
      </c>
      <c r="AE11" s="26" t="e">
        <f>#REF!/Trend_VA!AE11*100</f>
        <v>#REF!</v>
      </c>
      <c r="AF11" s="33" t="e">
        <f>#REF!/Trend_VA!AF11*100</f>
        <v>#REF!</v>
      </c>
      <c r="AG11" s="33" t="e">
        <f>#REF!/Trend_VA!AG11*100</f>
        <v>#REF!</v>
      </c>
      <c r="AH11" s="33" t="e">
        <f>#REF!/Trend_VA!AH11*100</f>
        <v>#REF!</v>
      </c>
      <c r="AI11" s="33" t="e">
        <f>#REF!/Trend_VA!AI11*100</f>
        <v>#REF!</v>
      </c>
      <c r="AJ11" s="33" t="e">
        <f>#REF!/Trend_VA!AJ11*100</f>
        <v>#REF!</v>
      </c>
      <c r="AK11" s="33" t="e">
        <f>#REF!/Trend_VA!AK11*100</f>
        <v>#REF!</v>
      </c>
      <c r="AL11" s="33" t="e">
        <f>#REF!/Trend_VA!AL11*100</f>
        <v>#REF!</v>
      </c>
      <c r="AM11" s="33" t="e">
        <f>#REF!/Trend_VA!AM11*100</f>
        <v>#REF!</v>
      </c>
      <c r="AN11" s="33" t="e">
        <f>#REF!/Trend_VA!AN11*100</f>
        <v>#REF!</v>
      </c>
      <c r="AO11" s="33" t="e">
        <f>#REF!/Trend_VA!AO11*100</f>
        <v>#REF!</v>
      </c>
      <c r="AP11" s="33" t="e">
        <f>#REF!/Trend_VA!AP11*100</f>
        <v>#REF!</v>
      </c>
      <c r="AQ11" s="33" t="e">
        <f>#REF!/Trend_VA!AQ11*100</f>
        <v>#REF!</v>
      </c>
    </row>
    <row r="12" spans="1:43" ht="18" customHeight="1" x14ac:dyDescent="0.2">
      <c r="A12" s="16" t="s">
        <v>6</v>
      </c>
      <c r="B12" s="9" t="e">
        <f>#REF!/Trend_VA!B12*100</f>
        <v>#REF!</v>
      </c>
      <c r="C12" s="9" t="e">
        <f>#REF!/Trend_VA!C12*100</f>
        <v>#REF!</v>
      </c>
      <c r="D12" s="9" t="e">
        <f>#REF!/Trend_VA!D12*100</f>
        <v>#REF!</v>
      </c>
      <c r="E12" s="9" t="e">
        <f>#REF!/Trend_VA!E12*100</f>
        <v>#REF!</v>
      </c>
      <c r="F12" s="9" t="e">
        <f>#REF!/Trend_VA!F12*100</f>
        <v>#REF!</v>
      </c>
      <c r="G12" s="9" t="e">
        <f>#REF!/Trend_VA!G12*100</f>
        <v>#REF!</v>
      </c>
      <c r="H12" s="9" t="e">
        <f>#REF!/Trend_VA!H12*100</f>
        <v>#REF!</v>
      </c>
      <c r="I12" s="9" t="e">
        <f>#REF!/Trend_VA!I12*100</f>
        <v>#REF!</v>
      </c>
      <c r="J12" s="26" t="e">
        <f>#REF!/Trend_VA!J12*100</f>
        <v>#REF!</v>
      </c>
      <c r="K12" s="26" t="e">
        <f>#REF!/Trend_VA!K12*100</f>
        <v>#REF!</v>
      </c>
      <c r="L12" s="26" t="e">
        <f>#REF!/Trend_VA!L12*100</f>
        <v>#REF!</v>
      </c>
      <c r="M12" s="26" t="e">
        <f>#REF!/Trend_VA!M12*100</f>
        <v>#REF!</v>
      </c>
      <c r="N12" s="26" t="e">
        <f>#REF!/Trend_VA!N12*100</f>
        <v>#REF!</v>
      </c>
      <c r="O12" s="26" t="e">
        <f>#REF!/Trend_VA!O12*100</f>
        <v>#REF!</v>
      </c>
      <c r="P12" s="26" t="e">
        <f>#REF!/Trend_VA!P12*100</f>
        <v>#REF!</v>
      </c>
      <c r="Q12" s="26" t="e">
        <f>#REF!/Trend_VA!Q12*100</f>
        <v>#REF!</v>
      </c>
      <c r="R12" s="26" t="e">
        <f>#REF!/Trend_VA!R12*100</f>
        <v>#REF!</v>
      </c>
      <c r="S12" s="26" t="e">
        <f>#REF!/Trend_VA!S12*100</f>
        <v>#REF!</v>
      </c>
      <c r="T12" s="26" t="e">
        <f>#REF!/Trend_VA!T12*100</f>
        <v>#REF!</v>
      </c>
      <c r="U12" s="26" t="e">
        <f>#REF!/Trend_VA!U12*100</f>
        <v>#REF!</v>
      </c>
      <c r="V12" s="26" t="e">
        <f>#REF!/Trend_VA!V12*100</f>
        <v>#REF!</v>
      </c>
      <c r="W12" s="26" t="e">
        <f>#REF!/Trend_VA!W12*100</f>
        <v>#REF!</v>
      </c>
      <c r="X12" s="26" t="e">
        <f>#REF!/Trend_VA!X12*100</f>
        <v>#REF!</v>
      </c>
      <c r="Y12" s="26" t="e">
        <f>#REF!/Trend_VA!Y12*100</f>
        <v>#REF!</v>
      </c>
      <c r="Z12" s="26" t="e">
        <f>#REF!/Trend_VA!Z12*100</f>
        <v>#REF!</v>
      </c>
      <c r="AA12" s="26" t="e">
        <f>#REF!/Trend_VA!AA12*100</f>
        <v>#REF!</v>
      </c>
      <c r="AB12" s="26" t="e">
        <f>#REF!/Trend_VA!AB12*100</f>
        <v>#REF!</v>
      </c>
      <c r="AC12" s="26" t="e">
        <f>#REF!/Trend_VA!AC12*100</f>
        <v>#REF!</v>
      </c>
      <c r="AD12" s="26" t="e">
        <f>#REF!/Trend_VA!AD12*100</f>
        <v>#REF!</v>
      </c>
      <c r="AE12" s="26" t="e">
        <f>#REF!/Trend_VA!AE12*100</f>
        <v>#REF!</v>
      </c>
      <c r="AF12" s="33" t="e">
        <f>#REF!/Trend_VA!AF12*100</f>
        <v>#REF!</v>
      </c>
      <c r="AG12" s="33" t="e">
        <f>#REF!/Trend_VA!AG12*100</f>
        <v>#REF!</v>
      </c>
      <c r="AH12" s="33" t="e">
        <f>#REF!/Trend_VA!AH12*100</f>
        <v>#REF!</v>
      </c>
      <c r="AI12" s="33" t="e">
        <f>#REF!/Trend_VA!AI12*100</f>
        <v>#REF!</v>
      </c>
      <c r="AJ12" s="33" t="e">
        <f>#REF!/Trend_VA!AJ12*100</f>
        <v>#REF!</v>
      </c>
      <c r="AK12" s="33" t="e">
        <f>#REF!/Trend_VA!AK12*100</f>
        <v>#REF!</v>
      </c>
      <c r="AL12" s="33" t="e">
        <f>#REF!/Trend_VA!AL12*100</f>
        <v>#REF!</v>
      </c>
      <c r="AM12" s="33" t="e">
        <f>#REF!/Trend_VA!AM12*100</f>
        <v>#REF!</v>
      </c>
      <c r="AN12" s="33" t="e">
        <f>#REF!/Trend_VA!AN12*100</f>
        <v>#REF!</v>
      </c>
      <c r="AO12" s="33" t="e">
        <f>#REF!/Trend_VA!AO12*100</f>
        <v>#REF!</v>
      </c>
      <c r="AP12" s="33" t="e">
        <f>#REF!/Trend_VA!AP12*100</f>
        <v>#REF!</v>
      </c>
      <c r="AQ12" s="33" t="e">
        <f>#REF!/Trend_VA!AQ12*100</f>
        <v>#REF!</v>
      </c>
    </row>
    <row r="13" spans="1:43" s="8" customFormat="1" ht="24.75" customHeight="1" x14ac:dyDescent="0.2">
      <c r="A13" s="2" t="s">
        <v>93</v>
      </c>
      <c r="B13" s="10" t="e">
        <f>#REF!/Trend_VA!B13*100</f>
        <v>#REF!</v>
      </c>
      <c r="C13" s="10" t="e">
        <f>#REF!/Trend_VA!C13*100</f>
        <v>#REF!</v>
      </c>
      <c r="D13" s="10" t="e">
        <f>#REF!/Trend_VA!D13*100</f>
        <v>#REF!</v>
      </c>
      <c r="E13" s="10" t="e">
        <f>#REF!/Trend_VA!E13*100</f>
        <v>#REF!</v>
      </c>
      <c r="F13" s="10" t="e">
        <f>#REF!/Trend_VA!F13*100</f>
        <v>#REF!</v>
      </c>
      <c r="G13" s="10" t="e">
        <f>#REF!/Trend_VA!G13*100</f>
        <v>#REF!</v>
      </c>
      <c r="H13" s="10" t="e">
        <f>#REF!/Trend_VA!H13*100</f>
        <v>#REF!</v>
      </c>
      <c r="I13" s="10" t="e">
        <f>#REF!/Trend_VA!I13*100</f>
        <v>#REF!</v>
      </c>
      <c r="J13" s="25" t="e">
        <f>#REF!/Trend_VA!J13*100</f>
        <v>#REF!</v>
      </c>
      <c r="K13" s="25" t="e">
        <f>#REF!/Trend_VA!K13*100</f>
        <v>#REF!</v>
      </c>
      <c r="L13" s="25" t="e">
        <f>#REF!/Trend_VA!L13*100</f>
        <v>#REF!</v>
      </c>
      <c r="M13" s="25" t="e">
        <f>#REF!/Trend_VA!M13*100</f>
        <v>#REF!</v>
      </c>
      <c r="N13" s="25" t="e">
        <f>#REF!/Trend_VA!N13*100</f>
        <v>#REF!</v>
      </c>
      <c r="O13" s="25" t="e">
        <f>#REF!/Trend_VA!O13*100</f>
        <v>#REF!</v>
      </c>
      <c r="P13" s="25" t="e">
        <f>#REF!/Trend_VA!P13*100</f>
        <v>#REF!</v>
      </c>
      <c r="Q13" s="25" t="e">
        <f>#REF!/Trend_VA!Q13*100</f>
        <v>#REF!</v>
      </c>
      <c r="R13" s="25" t="e">
        <f>#REF!/Trend_VA!R13*100</f>
        <v>#REF!</v>
      </c>
      <c r="S13" s="25" t="e">
        <f>#REF!/Trend_VA!S13*100</f>
        <v>#REF!</v>
      </c>
      <c r="T13" s="25" t="e">
        <f>#REF!/Trend_VA!T13*100</f>
        <v>#REF!</v>
      </c>
      <c r="U13" s="25" t="e">
        <f>#REF!/Trend_VA!U13*100</f>
        <v>#REF!</v>
      </c>
      <c r="V13" s="25" t="e">
        <f>#REF!/Trend_VA!V13*100</f>
        <v>#REF!</v>
      </c>
      <c r="W13" s="25" t="e">
        <f>#REF!/Trend_VA!W13*100</f>
        <v>#REF!</v>
      </c>
      <c r="X13" s="25" t="e">
        <f>#REF!/Trend_VA!X13*100</f>
        <v>#REF!</v>
      </c>
      <c r="Y13" s="25" t="e">
        <f>#REF!/Trend_VA!Y13*100</f>
        <v>#REF!</v>
      </c>
      <c r="Z13" s="25" t="e">
        <f>#REF!/Trend_VA!Z13*100</f>
        <v>#REF!</v>
      </c>
      <c r="AA13" s="25" t="e">
        <f>#REF!/Trend_VA!AA13*100</f>
        <v>#REF!</v>
      </c>
      <c r="AB13" s="25" t="e">
        <f>#REF!/Trend_VA!AB13*100</f>
        <v>#REF!</v>
      </c>
      <c r="AC13" s="25" t="e">
        <f>#REF!/Trend_VA!AC13*100</f>
        <v>#REF!</v>
      </c>
      <c r="AD13" s="25" t="e">
        <f>#REF!/Trend_VA!AD13*100</f>
        <v>#REF!</v>
      </c>
      <c r="AE13" s="25" t="e">
        <f>#REF!/Trend_VA!AE13*100</f>
        <v>#REF!</v>
      </c>
      <c r="AF13" s="49" t="e">
        <f>#REF!/Trend_VA!AF13*100</f>
        <v>#REF!</v>
      </c>
      <c r="AG13" s="49" t="e">
        <f>#REF!/Trend_VA!AG13*100</f>
        <v>#REF!</v>
      </c>
      <c r="AH13" s="49" t="e">
        <f>#REF!/Trend_VA!AH13*100</f>
        <v>#REF!</v>
      </c>
      <c r="AI13" s="49" t="e">
        <f>#REF!/Trend_VA!AI13*100</f>
        <v>#REF!</v>
      </c>
      <c r="AJ13" s="49" t="e">
        <f>#REF!/Trend_VA!AJ13*100</f>
        <v>#REF!</v>
      </c>
      <c r="AK13" s="49" t="e">
        <f>#REF!/Trend_VA!AK13*100</f>
        <v>#REF!</v>
      </c>
      <c r="AL13" s="49" t="e">
        <f>#REF!/Trend_VA!AL13*100</f>
        <v>#REF!</v>
      </c>
      <c r="AM13" s="49" t="e">
        <f>#REF!/Trend_VA!AM13*100</f>
        <v>#REF!</v>
      </c>
      <c r="AN13" s="49" t="e">
        <f>#REF!/Trend_VA!AN13*100</f>
        <v>#REF!</v>
      </c>
      <c r="AO13" s="49" t="e">
        <f>#REF!/Trend_VA!AO13*100</f>
        <v>#REF!</v>
      </c>
      <c r="AP13" s="49" t="e">
        <f>#REF!/Trend_VA!AP13*100</f>
        <v>#REF!</v>
      </c>
      <c r="AQ13" s="49" t="e">
        <f>#REF!/Trend_VA!AQ13*100</f>
        <v>#REF!</v>
      </c>
    </row>
    <row r="14" spans="1:43" ht="18" customHeight="1" x14ac:dyDescent="0.2">
      <c r="A14" s="16" t="s">
        <v>8</v>
      </c>
      <c r="B14" s="9" t="e">
        <f>#REF!/Trend_VA!B14*100</f>
        <v>#REF!</v>
      </c>
      <c r="C14" s="9" t="e">
        <f>#REF!/Trend_VA!C14*100</f>
        <v>#REF!</v>
      </c>
      <c r="D14" s="9" t="e">
        <f>#REF!/Trend_VA!D14*100</f>
        <v>#REF!</v>
      </c>
      <c r="E14" s="9" t="e">
        <f>#REF!/Trend_VA!E14*100</f>
        <v>#REF!</v>
      </c>
      <c r="F14" s="9" t="e">
        <f>#REF!/Trend_VA!F14*100</f>
        <v>#REF!</v>
      </c>
      <c r="G14" s="9" t="e">
        <f>#REF!/Trend_VA!G14*100</f>
        <v>#REF!</v>
      </c>
      <c r="H14" s="9" t="e">
        <f>#REF!/Trend_VA!H14*100</f>
        <v>#REF!</v>
      </c>
      <c r="I14" s="9" t="e">
        <f>#REF!/Trend_VA!I14*100</f>
        <v>#REF!</v>
      </c>
      <c r="J14" s="26" t="e">
        <f>#REF!/Trend_VA!J14*100</f>
        <v>#REF!</v>
      </c>
      <c r="K14" s="26" t="e">
        <f>#REF!/Trend_VA!K14*100</f>
        <v>#REF!</v>
      </c>
      <c r="L14" s="26" t="e">
        <f>#REF!/Trend_VA!L14*100</f>
        <v>#REF!</v>
      </c>
      <c r="M14" s="26" t="e">
        <f>#REF!/Trend_VA!M14*100</f>
        <v>#REF!</v>
      </c>
      <c r="N14" s="26" t="e">
        <f>#REF!/Trend_VA!N14*100</f>
        <v>#REF!</v>
      </c>
      <c r="O14" s="26" t="e">
        <f>#REF!/Trend_VA!O14*100</f>
        <v>#REF!</v>
      </c>
      <c r="P14" s="26" t="e">
        <f>#REF!/Trend_VA!P14*100</f>
        <v>#REF!</v>
      </c>
      <c r="Q14" s="26" t="e">
        <f>#REF!/Trend_VA!Q14*100</f>
        <v>#REF!</v>
      </c>
      <c r="R14" s="26" t="e">
        <f>#REF!/Trend_VA!R14*100</f>
        <v>#REF!</v>
      </c>
      <c r="S14" s="26" t="e">
        <f>#REF!/Trend_VA!S14*100</f>
        <v>#REF!</v>
      </c>
      <c r="T14" s="26" t="e">
        <f>#REF!/Trend_VA!T14*100</f>
        <v>#REF!</v>
      </c>
      <c r="U14" s="26" t="e">
        <f>#REF!/Trend_VA!U14*100</f>
        <v>#REF!</v>
      </c>
      <c r="V14" s="26" t="e">
        <f>#REF!/Trend_VA!V14*100</f>
        <v>#REF!</v>
      </c>
      <c r="W14" s="26" t="e">
        <f>#REF!/Trend_VA!W14*100</f>
        <v>#REF!</v>
      </c>
      <c r="X14" s="26" t="e">
        <f>#REF!/Trend_VA!X14*100</f>
        <v>#REF!</v>
      </c>
      <c r="Y14" s="26" t="e">
        <f>#REF!/Trend_VA!Y14*100</f>
        <v>#REF!</v>
      </c>
      <c r="Z14" s="26" t="e">
        <f>#REF!/Trend_VA!Z14*100</f>
        <v>#REF!</v>
      </c>
      <c r="AA14" s="26" t="e">
        <f>#REF!/Trend_VA!AA14*100</f>
        <v>#REF!</v>
      </c>
      <c r="AB14" s="26" t="e">
        <f>#REF!/Trend_VA!AB14*100</f>
        <v>#REF!</v>
      </c>
      <c r="AC14" s="26" t="e">
        <f>#REF!/Trend_VA!AC14*100</f>
        <v>#REF!</v>
      </c>
      <c r="AD14" s="26" t="e">
        <f>#REF!/Trend_VA!AD14*100</f>
        <v>#REF!</v>
      </c>
      <c r="AE14" s="26" t="e">
        <f>#REF!/Trend_VA!AE14*100</f>
        <v>#REF!</v>
      </c>
      <c r="AF14" s="33" t="e">
        <f>#REF!/Trend_VA!AF14*100</f>
        <v>#REF!</v>
      </c>
      <c r="AG14" s="33" t="e">
        <f>#REF!/Trend_VA!AG14*100</f>
        <v>#REF!</v>
      </c>
      <c r="AH14" s="33" t="e">
        <f>#REF!/Trend_VA!AH14*100</f>
        <v>#REF!</v>
      </c>
      <c r="AI14" s="33" t="e">
        <f>#REF!/Trend_VA!AI14*100</f>
        <v>#REF!</v>
      </c>
      <c r="AJ14" s="33" t="e">
        <f>#REF!/Trend_VA!AJ14*100</f>
        <v>#REF!</v>
      </c>
      <c r="AK14" s="33" t="e">
        <f>#REF!/Trend_VA!AK14*100</f>
        <v>#REF!</v>
      </c>
      <c r="AL14" s="33" t="e">
        <f>#REF!/Trend_VA!AL14*100</f>
        <v>#REF!</v>
      </c>
      <c r="AM14" s="33" t="e">
        <f>#REF!/Trend_VA!AM14*100</f>
        <v>#REF!</v>
      </c>
      <c r="AN14" s="33" t="e">
        <f>#REF!/Trend_VA!AN14*100</f>
        <v>#REF!</v>
      </c>
      <c r="AO14" s="33" t="e">
        <f>#REF!/Trend_VA!AO14*100</f>
        <v>#REF!</v>
      </c>
      <c r="AP14" s="33" t="e">
        <f>#REF!/Trend_VA!AP14*100</f>
        <v>#REF!</v>
      </c>
      <c r="AQ14" s="33" t="e">
        <f>#REF!/Trend_VA!AQ14*100</f>
        <v>#REF!</v>
      </c>
    </row>
    <row r="15" spans="1:43" ht="18" customHeight="1" x14ac:dyDescent="0.2">
      <c r="A15" s="4" t="s">
        <v>9</v>
      </c>
      <c r="B15" s="9" t="e">
        <f>#REF!/Trend_VA!B15*100</f>
        <v>#REF!</v>
      </c>
      <c r="C15" s="9" t="e">
        <f>#REF!/Trend_VA!C15*100</f>
        <v>#REF!</v>
      </c>
      <c r="D15" s="9" t="e">
        <f>#REF!/Trend_VA!D15*100</f>
        <v>#REF!</v>
      </c>
      <c r="E15" s="9" t="e">
        <f>#REF!/Trend_VA!E15*100</f>
        <v>#REF!</v>
      </c>
      <c r="F15" s="9" t="e">
        <f>#REF!/Trend_VA!F15*100</f>
        <v>#REF!</v>
      </c>
      <c r="G15" s="9" t="e">
        <f>#REF!/Trend_VA!G15*100</f>
        <v>#REF!</v>
      </c>
      <c r="H15" s="9" t="e">
        <f>#REF!/Trend_VA!H15*100</f>
        <v>#REF!</v>
      </c>
      <c r="I15" s="9" t="e">
        <f>#REF!/Trend_VA!I15*100</f>
        <v>#REF!</v>
      </c>
      <c r="J15" s="26" t="e">
        <f>#REF!/Trend_VA!J15*100</f>
        <v>#REF!</v>
      </c>
      <c r="K15" s="26" t="e">
        <f>#REF!/Trend_VA!K15*100</f>
        <v>#REF!</v>
      </c>
      <c r="L15" s="26" t="e">
        <f>#REF!/Trend_VA!L15*100</f>
        <v>#REF!</v>
      </c>
      <c r="M15" s="26" t="e">
        <f>#REF!/Trend_VA!M15*100</f>
        <v>#REF!</v>
      </c>
      <c r="N15" s="26" t="e">
        <f>#REF!/Trend_VA!N15*100</f>
        <v>#REF!</v>
      </c>
      <c r="O15" s="26" t="e">
        <f>#REF!/Trend_VA!O15*100</f>
        <v>#REF!</v>
      </c>
      <c r="P15" s="26" t="e">
        <f>#REF!/Trend_VA!P15*100</f>
        <v>#REF!</v>
      </c>
      <c r="Q15" s="26" t="e">
        <f>#REF!/Trend_VA!Q15*100</f>
        <v>#REF!</v>
      </c>
      <c r="R15" s="26" t="e">
        <f>#REF!/Trend_VA!R15*100</f>
        <v>#REF!</v>
      </c>
      <c r="S15" s="26" t="e">
        <f>#REF!/Trend_VA!S15*100</f>
        <v>#REF!</v>
      </c>
      <c r="T15" s="26" t="e">
        <f>#REF!/Trend_VA!T15*100</f>
        <v>#REF!</v>
      </c>
      <c r="U15" s="26" t="e">
        <f>#REF!/Trend_VA!U15*100</f>
        <v>#REF!</v>
      </c>
      <c r="V15" s="26" t="e">
        <f>#REF!/Trend_VA!V15*100</f>
        <v>#REF!</v>
      </c>
      <c r="W15" s="26" t="e">
        <f>#REF!/Trend_VA!W15*100</f>
        <v>#REF!</v>
      </c>
      <c r="X15" s="26" t="e">
        <f>#REF!/Trend_VA!X15*100</f>
        <v>#REF!</v>
      </c>
      <c r="Y15" s="26" t="e">
        <f>#REF!/Trend_VA!Y15*100</f>
        <v>#REF!</v>
      </c>
      <c r="Z15" s="26" t="e">
        <f>#REF!/Trend_VA!Z15*100</f>
        <v>#REF!</v>
      </c>
      <c r="AA15" s="26" t="e">
        <f>#REF!/Trend_VA!AA15*100</f>
        <v>#REF!</v>
      </c>
      <c r="AB15" s="26" t="e">
        <f>#REF!/Trend_VA!AB15*100</f>
        <v>#REF!</v>
      </c>
      <c r="AC15" s="26" t="e">
        <f>#REF!/Trend_VA!AC15*100</f>
        <v>#REF!</v>
      </c>
      <c r="AD15" s="26" t="e">
        <f>#REF!/Trend_VA!AD15*100</f>
        <v>#REF!</v>
      </c>
      <c r="AE15" s="26" t="e">
        <f>#REF!/Trend_VA!AE15*100</f>
        <v>#REF!</v>
      </c>
      <c r="AF15" s="33" t="e">
        <f>#REF!/Trend_VA!AF15*100</f>
        <v>#REF!</v>
      </c>
      <c r="AG15" s="33" t="e">
        <f>#REF!/Trend_VA!AG15*100</f>
        <v>#REF!</v>
      </c>
      <c r="AH15" s="33" t="e">
        <f>#REF!/Trend_VA!AH15*100</f>
        <v>#REF!</v>
      </c>
      <c r="AI15" s="33" t="e">
        <f>#REF!/Trend_VA!AI15*100</f>
        <v>#REF!</v>
      </c>
      <c r="AJ15" s="33" t="e">
        <f>#REF!/Trend_VA!AJ15*100</f>
        <v>#REF!</v>
      </c>
      <c r="AK15" s="33" t="e">
        <f>#REF!/Trend_VA!AK15*100</f>
        <v>#REF!</v>
      </c>
      <c r="AL15" s="33" t="e">
        <f>#REF!/Trend_VA!AL15*100</f>
        <v>#REF!</v>
      </c>
      <c r="AM15" s="33" t="e">
        <f>#REF!/Trend_VA!AM15*100</f>
        <v>#REF!</v>
      </c>
      <c r="AN15" s="33" t="e">
        <f>#REF!/Trend_VA!AN15*100</f>
        <v>#REF!</v>
      </c>
      <c r="AO15" s="33" t="e">
        <f>#REF!/Trend_VA!AO15*100</f>
        <v>#REF!</v>
      </c>
      <c r="AP15" s="33" t="e">
        <f>#REF!/Trend_VA!AP15*100</f>
        <v>#REF!</v>
      </c>
      <c r="AQ15" s="33" t="e">
        <f>#REF!/Trend_VA!AQ15*100</f>
        <v>#REF!</v>
      </c>
    </row>
    <row r="16" spans="1:43" ht="18" customHeight="1" x14ac:dyDescent="0.2">
      <c r="A16" s="4" t="s">
        <v>10</v>
      </c>
      <c r="B16" s="9" t="e">
        <f>#REF!/Trend_VA!B16*100</f>
        <v>#REF!</v>
      </c>
      <c r="C16" s="9" t="e">
        <f>#REF!/Trend_VA!C16*100</f>
        <v>#REF!</v>
      </c>
      <c r="D16" s="9" t="e">
        <f>#REF!/Trend_VA!D16*100</f>
        <v>#REF!</v>
      </c>
      <c r="E16" s="9" t="e">
        <f>#REF!/Trend_VA!E16*100</f>
        <v>#REF!</v>
      </c>
      <c r="F16" s="9" t="e">
        <f>#REF!/Trend_VA!F16*100</f>
        <v>#REF!</v>
      </c>
      <c r="G16" s="9" t="e">
        <f>#REF!/Trend_VA!G16*100</f>
        <v>#REF!</v>
      </c>
      <c r="H16" s="9" t="e">
        <f>#REF!/Trend_VA!H16*100</f>
        <v>#REF!</v>
      </c>
      <c r="I16" s="9" t="e">
        <f>#REF!/Trend_VA!I16*100</f>
        <v>#REF!</v>
      </c>
      <c r="J16" s="26" t="e">
        <f>#REF!/Trend_VA!J16*100</f>
        <v>#REF!</v>
      </c>
      <c r="K16" s="26" t="e">
        <f>#REF!/Trend_VA!K16*100</f>
        <v>#REF!</v>
      </c>
      <c r="L16" s="26" t="e">
        <f>#REF!/Trend_VA!L16*100</f>
        <v>#REF!</v>
      </c>
      <c r="M16" s="26" t="e">
        <f>#REF!/Trend_VA!M16*100</f>
        <v>#REF!</v>
      </c>
      <c r="N16" s="26" t="e">
        <f>#REF!/Trend_VA!N16*100</f>
        <v>#REF!</v>
      </c>
      <c r="O16" s="26" t="e">
        <f>#REF!/Trend_VA!O16*100</f>
        <v>#REF!</v>
      </c>
      <c r="P16" s="26" t="e">
        <f>#REF!/Trend_VA!P16*100</f>
        <v>#REF!</v>
      </c>
      <c r="Q16" s="26" t="e">
        <f>#REF!/Trend_VA!Q16*100</f>
        <v>#REF!</v>
      </c>
      <c r="R16" s="26" t="e">
        <f>#REF!/Trend_VA!R16*100</f>
        <v>#REF!</v>
      </c>
      <c r="S16" s="26" t="e">
        <f>#REF!/Trend_VA!S16*100</f>
        <v>#REF!</v>
      </c>
      <c r="T16" s="26" t="e">
        <f>#REF!/Trend_VA!T16*100</f>
        <v>#REF!</v>
      </c>
      <c r="U16" s="26" t="e">
        <f>#REF!/Trend_VA!U16*100</f>
        <v>#REF!</v>
      </c>
      <c r="V16" s="26" t="e">
        <f>#REF!/Trend_VA!V16*100</f>
        <v>#REF!</v>
      </c>
      <c r="W16" s="26" t="e">
        <f>#REF!/Trend_VA!W16*100</f>
        <v>#REF!</v>
      </c>
      <c r="X16" s="26" t="e">
        <f>#REF!/Trend_VA!X16*100</f>
        <v>#REF!</v>
      </c>
      <c r="Y16" s="26" t="e">
        <f>#REF!/Trend_VA!Y16*100</f>
        <v>#REF!</v>
      </c>
      <c r="Z16" s="26" t="e">
        <f>#REF!/Trend_VA!Z16*100</f>
        <v>#REF!</v>
      </c>
      <c r="AA16" s="26" t="e">
        <f>#REF!/Trend_VA!AA16*100</f>
        <v>#REF!</v>
      </c>
      <c r="AB16" s="26" t="e">
        <f>#REF!/Trend_VA!AB16*100</f>
        <v>#REF!</v>
      </c>
      <c r="AC16" s="26" t="e">
        <f>#REF!/Trend_VA!AC16*100</f>
        <v>#REF!</v>
      </c>
      <c r="AD16" s="26" t="e">
        <f>#REF!/Trend_VA!AD16*100</f>
        <v>#REF!</v>
      </c>
      <c r="AE16" s="26" t="e">
        <f>#REF!/Trend_VA!AE16*100</f>
        <v>#REF!</v>
      </c>
      <c r="AF16" s="33" t="e">
        <f>#REF!/Trend_VA!AF16*100</f>
        <v>#REF!</v>
      </c>
      <c r="AG16" s="33" t="e">
        <f>#REF!/Trend_VA!AG16*100</f>
        <v>#REF!</v>
      </c>
      <c r="AH16" s="33" t="e">
        <f>#REF!/Trend_VA!AH16*100</f>
        <v>#REF!</v>
      </c>
      <c r="AI16" s="33" t="e">
        <f>#REF!/Trend_VA!AI16*100</f>
        <v>#REF!</v>
      </c>
      <c r="AJ16" s="33" t="e">
        <f>#REF!/Trend_VA!AJ16*100</f>
        <v>#REF!</v>
      </c>
      <c r="AK16" s="33" t="e">
        <f>#REF!/Trend_VA!AK16*100</f>
        <v>#REF!</v>
      </c>
      <c r="AL16" s="33" t="e">
        <f>#REF!/Trend_VA!AL16*100</f>
        <v>#REF!</v>
      </c>
      <c r="AM16" s="33" t="e">
        <f>#REF!/Trend_VA!AM16*100</f>
        <v>#REF!</v>
      </c>
      <c r="AN16" s="33" t="e">
        <f>#REF!/Trend_VA!AN16*100</f>
        <v>#REF!</v>
      </c>
      <c r="AO16" s="33" t="e">
        <f>#REF!/Trend_VA!AO16*100</f>
        <v>#REF!</v>
      </c>
      <c r="AP16" s="33" t="e">
        <f>#REF!/Trend_VA!AP16*100</f>
        <v>#REF!</v>
      </c>
      <c r="AQ16" s="33" t="e">
        <f>#REF!/Trend_VA!AQ16*100</f>
        <v>#REF!</v>
      </c>
    </row>
    <row r="17" spans="1:43" ht="18" customHeight="1" x14ac:dyDescent="0.2">
      <c r="A17" s="4" t="s">
        <v>11</v>
      </c>
      <c r="B17" s="9" t="e">
        <f>#REF!/Trend_VA!B17*100</f>
        <v>#REF!</v>
      </c>
      <c r="C17" s="9" t="e">
        <f>#REF!/Trend_VA!C17*100</f>
        <v>#REF!</v>
      </c>
      <c r="D17" s="9" t="e">
        <f>#REF!/Trend_VA!D17*100</f>
        <v>#REF!</v>
      </c>
      <c r="E17" s="9" t="e">
        <f>#REF!/Trend_VA!E17*100</f>
        <v>#REF!</v>
      </c>
      <c r="F17" s="9" t="e">
        <f>#REF!/Trend_VA!F17*100</f>
        <v>#REF!</v>
      </c>
      <c r="G17" s="9" t="e">
        <f>#REF!/Trend_VA!G17*100</f>
        <v>#REF!</v>
      </c>
      <c r="H17" s="9" t="e">
        <f>#REF!/Trend_VA!H17*100</f>
        <v>#REF!</v>
      </c>
      <c r="I17" s="9" t="e">
        <f>#REF!/Trend_VA!I17*100</f>
        <v>#REF!</v>
      </c>
      <c r="J17" s="26" t="e">
        <f>#REF!/Trend_VA!J17*100</f>
        <v>#REF!</v>
      </c>
      <c r="K17" s="26" t="e">
        <f>#REF!/Trend_VA!K17*100</f>
        <v>#REF!</v>
      </c>
      <c r="L17" s="26" t="e">
        <f>#REF!/Trend_VA!L17*100</f>
        <v>#REF!</v>
      </c>
      <c r="M17" s="26" t="e">
        <f>#REF!/Trend_VA!M17*100</f>
        <v>#REF!</v>
      </c>
      <c r="N17" s="26" t="e">
        <f>#REF!/Trend_VA!N17*100</f>
        <v>#REF!</v>
      </c>
      <c r="O17" s="26" t="e">
        <f>#REF!/Trend_VA!O17*100</f>
        <v>#REF!</v>
      </c>
      <c r="P17" s="26" t="e">
        <f>#REF!/Trend_VA!P17*100</f>
        <v>#REF!</v>
      </c>
      <c r="Q17" s="26" t="e">
        <f>#REF!/Trend_VA!Q17*100</f>
        <v>#REF!</v>
      </c>
      <c r="R17" s="26" t="e">
        <f>#REF!/Trend_VA!R17*100</f>
        <v>#REF!</v>
      </c>
      <c r="S17" s="26" t="e">
        <f>#REF!/Trend_VA!S17*100</f>
        <v>#REF!</v>
      </c>
      <c r="T17" s="26" t="e">
        <f>#REF!/Trend_VA!T17*100</f>
        <v>#REF!</v>
      </c>
      <c r="U17" s="26" t="e">
        <f>#REF!/Trend_VA!U17*100</f>
        <v>#REF!</v>
      </c>
      <c r="V17" s="26" t="e">
        <f>#REF!/Trend_VA!V17*100</f>
        <v>#REF!</v>
      </c>
      <c r="W17" s="26" t="e">
        <f>#REF!/Trend_VA!W17*100</f>
        <v>#REF!</v>
      </c>
      <c r="X17" s="26" t="e">
        <f>#REF!/Trend_VA!X17*100</f>
        <v>#REF!</v>
      </c>
      <c r="Y17" s="26" t="e">
        <f>#REF!/Trend_VA!Y17*100</f>
        <v>#REF!</v>
      </c>
      <c r="Z17" s="26" t="e">
        <f>#REF!/Trend_VA!Z17*100</f>
        <v>#REF!</v>
      </c>
      <c r="AA17" s="26" t="e">
        <f>#REF!/Trend_VA!AA17*100</f>
        <v>#REF!</v>
      </c>
      <c r="AB17" s="26" t="e">
        <f>#REF!/Trend_VA!AB17*100</f>
        <v>#REF!</v>
      </c>
      <c r="AC17" s="26" t="e">
        <f>#REF!/Trend_VA!AC17*100</f>
        <v>#REF!</v>
      </c>
      <c r="AD17" s="26" t="e">
        <f>#REF!/Trend_VA!AD17*100</f>
        <v>#REF!</v>
      </c>
      <c r="AE17" s="26" t="e">
        <f>#REF!/Trend_VA!AE17*100</f>
        <v>#REF!</v>
      </c>
      <c r="AF17" s="33" t="e">
        <f>#REF!/Trend_VA!AF17*100</f>
        <v>#REF!</v>
      </c>
      <c r="AG17" s="33" t="e">
        <f>#REF!/Trend_VA!AG17*100</f>
        <v>#REF!</v>
      </c>
      <c r="AH17" s="33" t="e">
        <f>#REF!/Trend_VA!AH17*100</f>
        <v>#REF!</v>
      </c>
      <c r="AI17" s="33" t="e">
        <f>#REF!/Trend_VA!AI17*100</f>
        <v>#REF!</v>
      </c>
      <c r="AJ17" s="33" t="e">
        <f>#REF!/Trend_VA!AJ17*100</f>
        <v>#REF!</v>
      </c>
      <c r="AK17" s="33" t="e">
        <f>#REF!/Trend_VA!AK17*100</f>
        <v>#REF!</v>
      </c>
      <c r="AL17" s="33" t="e">
        <f>#REF!/Trend_VA!AL17*100</f>
        <v>#REF!</v>
      </c>
      <c r="AM17" s="33" t="e">
        <f>#REF!/Trend_VA!AM17*100</f>
        <v>#REF!</v>
      </c>
      <c r="AN17" s="33" t="e">
        <f>#REF!/Trend_VA!AN17*100</f>
        <v>#REF!</v>
      </c>
      <c r="AO17" s="33" t="e">
        <f>#REF!/Trend_VA!AO17*100</f>
        <v>#REF!</v>
      </c>
      <c r="AP17" s="33" t="e">
        <f>#REF!/Trend_VA!AP17*100</f>
        <v>#REF!</v>
      </c>
      <c r="AQ17" s="33" t="e">
        <f>#REF!/Trend_VA!AQ17*100</f>
        <v>#REF!</v>
      </c>
    </row>
    <row r="18" spans="1:43" ht="18" customHeight="1" x14ac:dyDescent="0.2">
      <c r="A18" s="16" t="s">
        <v>12</v>
      </c>
      <c r="B18" s="9" t="e">
        <f>#REF!/Trend_VA!B18*100</f>
        <v>#REF!</v>
      </c>
      <c r="C18" s="9" t="e">
        <f>#REF!/Trend_VA!C18*100</f>
        <v>#REF!</v>
      </c>
      <c r="D18" s="9" t="e">
        <f>#REF!/Trend_VA!D18*100</f>
        <v>#REF!</v>
      </c>
      <c r="E18" s="9" t="e">
        <f>#REF!/Trend_VA!E18*100</f>
        <v>#REF!</v>
      </c>
      <c r="F18" s="9" t="e">
        <f>#REF!/Trend_VA!F18*100</f>
        <v>#REF!</v>
      </c>
      <c r="G18" s="9" t="e">
        <f>#REF!/Trend_VA!G18*100</f>
        <v>#REF!</v>
      </c>
      <c r="H18" s="9" t="e">
        <f>#REF!/Trend_VA!H18*100</f>
        <v>#REF!</v>
      </c>
      <c r="I18" s="9" t="e">
        <f>#REF!/Trend_VA!I18*100</f>
        <v>#REF!</v>
      </c>
      <c r="J18" s="26" t="e">
        <f>#REF!/Trend_VA!J18*100</f>
        <v>#REF!</v>
      </c>
      <c r="K18" s="26" t="e">
        <f>#REF!/Trend_VA!K18*100</f>
        <v>#REF!</v>
      </c>
      <c r="L18" s="26" t="e">
        <f>#REF!/Trend_VA!L18*100</f>
        <v>#REF!</v>
      </c>
      <c r="M18" s="26" t="e">
        <f>#REF!/Trend_VA!M18*100</f>
        <v>#REF!</v>
      </c>
      <c r="N18" s="26" t="e">
        <f>#REF!/Trend_VA!N18*100</f>
        <v>#REF!</v>
      </c>
      <c r="O18" s="26" t="e">
        <f>#REF!/Trend_VA!O18*100</f>
        <v>#REF!</v>
      </c>
      <c r="P18" s="26" t="e">
        <f>#REF!/Trend_VA!P18*100</f>
        <v>#REF!</v>
      </c>
      <c r="Q18" s="26" t="e">
        <f>#REF!/Trend_VA!Q18*100</f>
        <v>#REF!</v>
      </c>
      <c r="R18" s="26" t="e">
        <f>#REF!/Trend_VA!R18*100</f>
        <v>#REF!</v>
      </c>
      <c r="S18" s="26" t="e">
        <f>#REF!/Trend_VA!S18*100</f>
        <v>#REF!</v>
      </c>
      <c r="T18" s="26" t="e">
        <f>#REF!/Trend_VA!T18*100</f>
        <v>#REF!</v>
      </c>
      <c r="U18" s="26" t="e">
        <f>#REF!/Trend_VA!U18*100</f>
        <v>#REF!</v>
      </c>
      <c r="V18" s="26" t="e">
        <f>#REF!/Trend_VA!V18*100</f>
        <v>#REF!</v>
      </c>
      <c r="W18" s="26" t="e">
        <f>#REF!/Trend_VA!W18*100</f>
        <v>#REF!</v>
      </c>
      <c r="X18" s="26" t="e">
        <f>#REF!/Trend_VA!X18*100</f>
        <v>#REF!</v>
      </c>
      <c r="Y18" s="26" t="e">
        <f>#REF!/Trend_VA!Y18*100</f>
        <v>#REF!</v>
      </c>
      <c r="Z18" s="26" t="e">
        <f>#REF!/Trend_VA!Z18*100</f>
        <v>#REF!</v>
      </c>
      <c r="AA18" s="26" t="e">
        <f>#REF!/Trend_VA!AA18*100</f>
        <v>#REF!</v>
      </c>
      <c r="AB18" s="26" t="e">
        <f>#REF!/Trend_VA!AB18*100</f>
        <v>#REF!</v>
      </c>
      <c r="AC18" s="26" t="e">
        <f>#REF!/Trend_VA!AC18*100</f>
        <v>#REF!</v>
      </c>
      <c r="AD18" s="26" t="e">
        <f>#REF!/Trend_VA!AD18*100</f>
        <v>#REF!</v>
      </c>
      <c r="AE18" s="26" t="e">
        <f>#REF!/Trend_VA!AE18*100</f>
        <v>#REF!</v>
      </c>
      <c r="AF18" s="33" t="e">
        <f>#REF!/Trend_VA!AF18*100</f>
        <v>#REF!</v>
      </c>
      <c r="AG18" s="33" t="e">
        <f>#REF!/Trend_VA!AG18*100</f>
        <v>#REF!</v>
      </c>
      <c r="AH18" s="33" t="e">
        <f>#REF!/Trend_VA!AH18*100</f>
        <v>#REF!</v>
      </c>
      <c r="AI18" s="33" t="e">
        <f>#REF!/Trend_VA!AI18*100</f>
        <v>#REF!</v>
      </c>
      <c r="AJ18" s="33" t="e">
        <f>#REF!/Trend_VA!AJ18*100</f>
        <v>#REF!</v>
      </c>
      <c r="AK18" s="33" t="e">
        <f>#REF!/Trend_VA!AK18*100</f>
        <v>#REF!</v>
      </c>
      <c r="AL18" s="33" t="e">
        <f>#REF!/Trend_VA!AL18*100</f>
        <v>#REF!</v>
      </c>
      <c r="AM18" s="33" t="e">
        <f>#REF!/Trend_VA!AM18*100</f>
        <v>#REF!</v>
      </c>
      <c r="AN18" s="33" t="e">
        <f>#REF!/Trend_VA!AN18*100</f>
        <v>#REF!</v>
      </c>
      <c r="AO18" s="33" t="e">
        <f>#REF!/Trend_VA!AO18*100</f>
        <v>#REF!</v>
      </c>
      <c r="AP18" s="33" t="e">
        <f>#REF!/Trend_VA!AP18*100</f>
        <v>#REF!</v>
      </c>
      <c r="AQ18" s="33" t="e">
        <f>#REF!/Trend_VA!AQ18*100</f>
        <v>#REF!</v>
      </c>
    </row>
    <row r="19" spans="1:43" s="8" customFormat="1" ht="24.75" customHeight="1" x14ac:dyDescent="0.2">
      <c r="A19" s="2" t="s">
        <v>94</v>
      </c>
      <c r="B19" s="10" t="e">
        <f>#REF!/Trend_VA!B19*100</f>
        <v>#REF!</v>
      </c>
      <c r="C19" s="10" t="e">
        <f>#REF!/Trend_VA!C19*100</f>
        <v>#REF!</v>
      </c>
      <c r="D19" s="10" t="e">
        <f>#REF!/Trend_VA!D19*100</f>
        <v>#REF!</v>
      </c>
      <c r="E19" s="10" t="e">
        <f>#REF!/Trend_VA!E19*100</f>
        <v>#REF!</v>
      </c>
      <c r="F19" s="10" t="e">
        <f>#REF!/Trend_VA!F19*100</f>
        <v>#REF!</v>
      </c>
      <c r="G19" s="10" t="e">
        <f>#REF!/Trend_VA!G19*100</f>
        <v>#REF!</v>
      </c>
      <c r="H19" s="10" t="e">
        <f>#REF!/Trend_VA!H19*100</f>
        <v>#REF!</v>
      </c>
      <c r="I19" s="10" t="e">
        <f>#REF!/Trend_VA!I19*100</f>
        <v>#REF!</v>
      </c>
      <c r="J19" s="25" t="e">
        <f>#REF!/Trend_VA!J19*100</f>
        <v>#REF!</v>
      </c>
      <c r="K19" s="25" t="e">
        <f>#REF!/Trend_VA!K19*100</f>
        <v>#REF!</v>
      </c>
      <c r="L19" s="25" t="e">
        <f>#REF!/Trend_VA!L19*100</f>
        <v>#REF!</v>
      </c>
      <c r="M19" s="25" t="e">
        <f>#REF!/Trend_VA!M19*100</f>
        <v>#REF!</v>
      </c>
      <c r="N19" s="25" t="e">
        <f>#REF!/Trend_VA!N19*100</f>
        <v>#REF!</v>
      </c>
      <c r="O19" s="25" t="e">
        <f>#REF!/Trend_VA!O19*100</f>
        <v>#REF!</v>
      </c>
      <c r="P19" s="25" t="e">
        <f>#REF!/Trend_VA!P19*100</f>
        <v>#REF!</v>
      </c>
      <c r="Q19" s="25" t="e">
        <f>#REF!/Trend_VA!Q19*100</f>
        <v>#REF!</v>
      </c>
      <c r="R19" s="25" t="e">
        <f>#REF!/Trend_VA!R19*100</f>
        <v>#REF!</v>
      </c>
      <c r="S19" s="25" t="e">
        <f>#REF!/Trend_VA!S19*100</f>
        <v>#REF!</v>
      </c>
      <c r="T19" s="25" t="e">
        <f>#REF!/Trend_VA!T19*100</f>
        <v>#REF!</v>
      </c>
      <c r="U19" s="25" t="e">
        <f>#REF!/Trend_VA!U19*100</f>
        <v>#REF!</v>
      </c>
      <c r="V19" s="25" t="e">
        <f>#REF!/Trend_VA!V19*100</f>
        <v>#REF!</v>
      </c>
      <c r="W19" s="25" t="e">
        <f>#REF!/Trend_VA!W19*100</f>
        <v>#REF!</v>
      </c>
      <c r="X19" s="25" t="e">
        <f>#REF!/Trend_VA!X19*100</f>
        <v>#REF!</v>
      </c>
      <c r="Y19" s="25" t="e">
        <f>#REF!/Trend_VA!Y19*100</f>
        <v>#REF!</v>
      </c>
      <c r="Z19" s="25" t="e">
        <f>#REF!/Trend_VA!Z19*100</f>
        <v>#REF!</v>
      </c>
      <c r="AA19" s="25" t="e">
        <f>#REF!/Trend_VA!AA19*100</f>
        <v>#REF!</v>
      </c>
      <c r="AB19" s="25" t="e">
        <f>#REF!/Trend_VA!AB19*100</f>
        <v>#REF!</v>
      </c>
      <c r="AC19" s="25" t="e">
        <f>#REF!/Trend_VA!AC19*100</f>
        <v>#REF!</v>
      </c>
      <c r="AD19" s="25" t="e">
        <f>#REF!/Trend_VA!AD19*100</f>
        <v>#REF!</v>
      </c>
      <c r="AE19" s="25" t="e">
        <f>#REF!/Trend_VA!AE19*100</f>
        <v>#REF!</v>
      </c>
      <c r="AF19" s="49" t="e">
        <f>#REF!/Trend_VA!AF19*100</f>
        <v>#REF!</v>
      </c>
      <c r="AG19" s="49" t="e">
        <f>#REF!/Trend_VA!AG19*100</f>
        <v>#REF!</v>
      </c>
      <c r="AH19" s="49" t="e">
        <f>#REF!/Trend_VA!AH19*100</f>
        <v>#REF!</v>
      </c>
      <c r="AI19" s="49" t="e">
        <f>#REF!/Trend_VA!AI19*100</f>
        <v>#REF!</v>
      </c>
      <c r="AJ19" s="49" t="e">
        <f>#REF!/Trend_VA!AJ19*100</f>
        <v>#REF!</v>
      </c>
      <c r="AK19" s="49" t="e">
        <f>#REF!/Trend_VA!AK19*100</f>
        <v>#REF!</v>
      </c>
      <c r="AL19" s="49" t="e">
        <f>#REF!/Trend_VA!AL19*100</f>
        <v>#REF!</v>
      </c>
      <c r="AM19" s="49" t="e">
        <f>#REF!/Trend_VA!AM19*100</f>
        <v>#REF!</v>
      </c>
      <c r="AN19" s="49" t="e">
        <f>#REF!/Trend_VA!AN19*100</f>
        <v>#REF!</v>
      </c>
      <c r="AO19" s="49" t="e">
        <f>#REF!/Trend_VA!AO19*100</f>
        <v>#REF!</v>
      </c>
      <c r="AP19" s="49" t="e">
        <f>#REF!/Trend_VA!AP19*100</f>
        <v>#REF!</v>
      </c>
      <c r="AQ19" s="49" t="e">
        <f>#REF!/Trend_VA!AQ19*100</f>
        <v>#REF!</v>
      </c>
    </row>
    <row r="20" spans="1:43" ht="18" customHeight="1" x14ac:dyDescent="0.2">
      <c r="A20" s="55" t="s">
        <v>52</v>
      </c>
      <c r="B20" s="9" t="e">
        <f>#REF!/Trend_VA!B20*100</f>
        <v>#REF!</v>
      </c>
      <c r="C20" s="9" t="e">
        <f>#REF!/Trend_VA!C20*100</f>
        <v>#REF!</v>
      </c>
      <c r="D20" s="9" t="e">
        <f>#REF!/Trend_VA!D20*100</f>
        <v>#REF!</v>
      </c>
      <c r="E20" s="9" t="e">
        <f>#REF!/Trend_VA!E20*100</f>
        <v>#REF!</v>
      </c>
      <c r="F20" s="9" t="e">
        <f>#REF!/Trend_VA!F20*100</f>
        <v>#REF!</v>
      </c>
      <c r="G20" s="9" t="e">
        <f>#REF!/Trend_VA!G20*100</f>
        <v>#REF!</v>
      </c>
      <c r="H20" s="9" t="e">
        <f>#REF!/Trend_VA!H20*100</f>
        <v>#REF!</v>
      </c>
      <c r="I20" s="9" t="e">
        <f>#REF!/Trend_VA!I20*100</f>
        <v>#REF!</v>
      </c>
      <c r="J20" s="26" t="e">
        <f>#REF!/Trend_VA!J20*100</f>
        <v>#REF!</v>
      </c>
      <c r="K20" s="26" t="e">
        <f>#REF!/Trend_VA!K20*100</f>
        <v>#REF!</v>
      </c>
      <c r="L20" s="26" t="e">
        <f>#REF!/Trend_VA!L20*100</f>
        <v>#REF!</v>
      </c>
      <c r="M20" s="26" t="e">
        <f>#REF!/Trend_VA!M20*100</f>
        <v>#REF!</v>
      </c>
      <c r="N20" s="26" t="e">
        <f>#REF!/Trend_VA!N20*100</f>
        <v>#REF!</v>
      </c>
      <c r="O20" s="26" t="e">
        <f>#REF!/Trend_VA!O20*100</f>
        <v>#REF!</v>
      </c>
      <c r="P20" s="26" t="e">
        <f>#REF!/Trend_VA!P20*100</f>
        <v>#REF!</v>
      </c>
      <c r="Q20" s="26" t="e">
        <f>#REF!/Trend_VA!Q20*100</f>
        <v>#REF!</v>
      </c>
      <c r="R20" s="26" t="e">
        <f>#REF!/Trend_VA!R20*100</f>
        <v>#REF!</v>
      </c>
      <c r="S20" s="26" t="e">
        <f>#REF!/Trend_VA!S20*100</f>
        <v>#REF!</v>
      </c>
      <c r="T20" s="26" t="e">
        <f>#REF!/Trend_VA!T20*100</f>
        <v>#REF!</v>
      </c>
      <c r="U20" s="26" t="e">
        <f>#REF!/Trend_VA!U20*100</f>
        <v>#REF!</v>
      </c>
      <c r="V20" s="26" t="e">
        <f>#REF!/Trend_VA!V20*100</f>
        <v>#REF!</v>
      </c>
      <c r="W20" s="26" t="e">
        <f>#REF!/Trend_VA!W20*100</f>
        <v>#REF!</v>
      </c>
      <c r="X20" s="26" t="e">
        <f>#REF!/Trend_VA!X20*100</f>
        <v>#REF!</v>
      </c>
      <c r="Y20" s="26" t="e">
        <f>#REF!/Trend_VA!Y20*100</f>
        <v>#REF!</v>
      </c>
      <c r="Z20" s="26" t="e">
        <f>#REF!/Trend_VA!Z20*100</f>
        <v>#REF!</v>
      </c>
      <c r="AA20" s="26" t="e">
        <f>#REF!/Trend_VA!AA20*100</f>
        <v>#REF!</v>
      </c>
      <c r="AB20" s="26" t="e">
        <f>#REF!/Trend_VA!AB20*100</f>
        <v>#REF!</v>
      </c>
      <c r="AC20" s="26" t="e">
        <f>#REF!/Trend_VA!AC20*100</f>
        <v>#REF!</v>
      </c>
      <c r="AD20" s="26" t="e">
        <f>#REF!/Trend_VA!AD20*100</f>
        <v>#REF!</v>
      </c>
      <c r="AE20" s="26" t="e">
        <f>#REF!/Trend_VA!AE20*100</f>
        <v>#REF!</v>
      </c>
      <c r="AF20" s="33" t="e">
        <f>#REF!/Trend_VA!AF20*100</f>
        <v>#REF!</v>
      </c>
      <c r="AG20" s="33" t="e">
        <f>#REF!/Trend_VA!AG20*100</f>
        <v>#REF!</v>
      </c>
      <c r="AH20" s="33" t="e">
        <f>#REF!/Trend_VA!AH20*100</f>
        <v>#REF!</v>
      </c>
      <c r="AI20" s="33" t="e">
        <f>#REF!/Trend_VA!AI20*100</f>
        <v>#REF!</v>
      </c>
      <c r="AJ20" s="33" t="e">
        <f>#REF!/Trend_VA!AJ20*100</f>
        <v>#REF!</v>
      </c>
      <c r="AK20" s="33" t="e">
        <f>#REF!/Trend_VA!AK20*100</f>
        <v>#REF!</v>
      </c>
      <c r="AL20" s="33" t="e">
        <f>#REF!/Trend_VA!AL20*100</f>
        <v>#REF!</v>
      </c>
      <c r="AM20" s="33" t="e">
        <f>#REF!/Trend_VA!AM20*100</f>
        <v>#REF!</v>
      </c>
      <c r="AN20" s="33" t="e">
        <f>#REF!/Trend_VA!AN20*100</f>
        <v>#REF!</v>
      </c>
      <c r="AO20" s="33" t="e">
        <f>#REF!/Trend_VA!AO20*100</f>
        <v>#REF!</v>
      </c>
      <c r="AP20" s="33" t="e">
        <f>#REF!/Trend_VA!AP20*100</f>
        <v>#REF!</v>
      </c>
      <c r="AQ20" s="33" t="e">
        <f>#REF!/Trend_VA!AQ20*100</f>
        <v>#REF!</v>
      </c>
    </row>
    <row r="21" spans="1:43" ht="18" customHeight="1" x14ac:dyDescent="0.2">
      <c r="A21" s="55" t="s">
        <v>53</v>
      </c>
      <c r="B21" s="9" t="e">
        <f>#REF!/Trend_VA!B21*100</f>
        <v>#REF!</v>
      </c>
      <c r="C21" s="9" t="e">
        <f>#REF!/Trend_VA!C21*100</f>
        <v>#REF!</v>
      </c>
      <c r="D21" s="9" t="e">
        <f>#REF!/Trend_VA!D21*100</f>
        <v>#REF!</v>
      </c>
      <c r="E21" s="9" t="e">
        <f>#REF!/Trend_VA!E21*100</f>
        <v>#REF!</v>
      </c>
      <c r="F21" s="9" t="e">
        <f>#REF!/Trend_VA!F21*100</f>
        <v>#REF!</v>
      </c>
      <c r="G21" s="9" t="e">
        <f>#REF!/Trend_VA!G21*100</f>
        <v>#REF!</v>
      </c>
      <c r="H21" s="9" t="e">
        <f>#REF!/Trend_VA!H21*100</f>
        <v>#REF!</v>
      </c>
      <c r="I21" s="9" t="e">
        <f>#REF!/Trend_VA!I21*100</f>
        <v>#REF!</v>
      </c>
      <c r="J21" s="26" t="e">
        <f>#REF!/Trend_VA!J21*100</f>
        <v>#REF!</v>
      </c>
      <c r="K21" s="26" t="e">
        <f>#REF!/Trend_VA!K21*100</f>
        <v>#REF!</v>
      </c>
      <c r="L21" s="26" t="e">
        <f>#REF!/Trend_VA!L21*100</f>
        <v>#REF!</v>
      </c>
      <c r="M21" s="26" t="e">
        <f>#REF!/Trend_VA!M21*100</f>
        <v>#REF!</v>
      </c>
      <c r="N21" s="26" t="e">
        <f>#REF!/Trend_VA!N21*100</f>
        <v>#REF!</v>
      </c>
      <c r="O21" s="26" t="e">
        <f>#REF!/Trend_VA!O21*100</f>
        <v>#REF!</v>
      </c>
      <c r="P21" s="26" t="e">
        <f>#REF!/Trend_VA!P21*100</f>
        <v>#REF!</v>
      </c>
      <c r="Q21" s="26" t="e">
        <f>#REF!/Trend_VA!Q21*100</f>
        <v>#REF!</v>
      </c>
      <c r="R21" s="26" t="e">
        <f>#REF!/Trend_VA!R21*100</f>
        <v>#REF!</v>
      </c>
      <c r="S21" s="26" t="e">
        <f>#REF!/Trend_VA!S21*100</f>
        <v>#REF!</v>
      </c>
      <c r="T21" s="26" t="e">
        <f>#REF!/Trend_VA!T21*100</f>
        <v>#REF!</v>
      </c>
      <c r="U21" s="26" t="e">
        <f>#REF!/Trend_VA!U21*100</f>
        <v>#REF!</v>
      </c>
      <c r="V21" s="26" t="e">
        <f>#REF!/Trend_VA!V21*100</f>
        <v>#REF!</v>
      </c>
      <c r="W21" s="26" t="e">
        <f>#REF!/Trend_VA!W21*100</f>
        <v>#REF!</v>
      </c>
      <c r="X21" s="26" t="e">
        <f>#REF!/Trend_VA!X21*100</f>
        <v>#REF!</v>
      </c>
      <c r="Y21" s="26" t="e">
        <f>#REF!/Trend_VA!Y21*100</f>
        <v>#REF!</v>
      </c>
      <c r="Z21" s="26" t="e">
        <f>#REF!/Trend_VA!Z21*100</f>
        <v>#REF!</v>
      </c>
      <c r="AA21" s="26" t="e">
        <f>#REF!/Trend_VA!AA21*100</f>
        <v>#REF!</v>
      </c>
      <c r="AB21" s="26" t="e">
        <f>#REF!/Trend_VA!AB21*100</f>
        <v>#REF!</v>
      </c>
      <c r="AC21" s="26" t="e">
        <f>#REF!/Trend_VA!AC21*100</f>
        <v>#REF!</v>
      </c>
      <c r="AD21" s="26" t="e">
        <f>#REF!/Trend_VA!AD21*100</f>
        <v>#REF!</v>
      </c>
      <c r="AE21" s="26" t="e">
        <f>#REF!/Trend_VA!AE21*100</f>
        <v>#REF!</v>
      </c>
      <c r="AF21" s="33" t="e">
        <f>#REF!/Trend_VA!AF21*100</f>
        <v>#REF!</v>
      </c>
      <c r="AG21" s="33" t="e">
        <f>#REF!/Trend_VA!AG21*100</f>
        <v>#REF!</v>
      </c>
      <c r="AH21" s="33" t="e">
        <f>#REF!/Trend_VA!AH21*100</f>
        <v>#REF!</v>
      </c>
      <c r="AI21" s="33" t="e">
        <f>#REF!/Trend_VA!AI21*100</f>
        <v>#REF!</v>
      </c>
      <c r="AJ21" s="33" t="e">
        <f>#REF!/Trend_VA!AJ21*100</f>
        <v>#REF!</v>
      </c>
      <c r="AK21" s="33" t="e">
        <f>#REF!/Trend_VA!AK21*100</f>
        <v>#REF!</v>
      </c>
      <c r="AL21" s="33" t="e">
        <f>#REF!/Trend_VA!AL21*100</f>
        <v>#REF!</v>
      </c>
      <c r="AM21" s="33" t="e">
        <f>#REF!/Trend_VA!AM21*100</f>
        <v>#REF!</v>
      </c>
      <c r="AN21" s="33" t="e">
        <f>#REF!/Trend_VA!AN21*100</f>
        <v>#REF!</v>
      </c>
      <c r="AO21" s="33" t="e">
        <f>#REF!/Trend_VA!AO21*100</f>
        <v>#REF!</v>
      </c>
      <c r="AP21" s="33" t="e">
        <f>#REF!/Trend_VA!AP21*100</f>
        <v>#REF!</v>
      </c>
      <c r="AQ21" s="33" t="e">
        <f>#REF!/Trend_VA!AQ21*100</f>
        <v>#REF!</v>
      </c>
    </row>
    <row r="22" spans="1:43" ht="18" customHeight="1" x14ac:dyDescent="0.2">
      <c r="A22" s="55" t="s">
        <v>55</v>
      </c>
      <c r="B22" s="9" t="e">
        <f>#REF!/Trend_VA!B22*100</f>
        <v>#REF!</v>
      </c>
      <c r="C22" s="9" t="e">
        <f>#REF!/Trend_VA!C22*100</f>
        <v>#REF!</v>
      </c>
      <c r="D22" s="9" t="e">
        <f>#REF!/Trend_VA!D22*100</f>
        <v>#REF!</v>
      </c>
      <c r="E22" s="9" t="e">
        <f>#REF!/Trend_VA!E22*100</f>
        <v>#REF!</v>
      </c>
      <c r="F22" s="9" t="e">
        <f>#REF!/Trend_VA!F22*100</f>
        <v>#REF!</v>
      </c>
      <c r="G22" s="9" t="e">
        <f>#REF!/Trend_VA!G22*100</f>
        <v>#REF!</v>
      </c>
      <c r="H22" s="9" t="e">
        <f>#REF!/Trend_VA!H22*100</f>
        <v>#REF!</v>
      </c>
      <c r="I22" s="9" t="e">
        <f>#REF!/Trend_VA!I22*100</f>
        <v>#REF!</v>
      </c>
      <c r="J22" s="26" t="e">
        <f>#REF!/Trend_VA!J22*100</f>
        <v>#REF!</v>
      </c>
      <c r="K22" s="26" t="e">
        <f>#REF!/Trend_VA!K22*100</f>
        <v>#REF!</v>
      </c>
      <c r="L22" s="26" t="e">
        <f>#REF!/Trend_VA!L22*100</f>
        <v>#REF!</v>
      </c>
      <c r="M22" s="26" t="e">
        <f>#REF!/Trend_VA!M22*100</f>
        <v>#REF!</v>
      </c>
      <c r="N22" s="26" t="e">
        <f>#REF!/Trend_VA!N22*100</f>
        <v>#REF!</v>
      </c>
      <c r="O22" s="26" t="e">
        <f>#REF!/Trend_VA!O22*100</f>
        <v>#REF!</v>
      </c>
      <c r="P22" s="26" t="e">
        <f>#REF!/Trend_VA!P22*100</f>
        <v>#REF!</v>
      </c>
      <c r="Q22" s="26" t="e">
        <f>#REF!/Trend_VA!Q22*100</f>
        <v>#REF!</v>
      </c>
      <c r="R22" s="26" t="e">
        <f>#REF!/Trend_VA!R22*100</f>
        <v>#REF!</v>
      </c>
      <c r="S22" s="26" t="e">
        <f>#REF!/Trend_VA!S22*100</f>
        <v>#REF!</v>
      </c>
      <c r="T22" s="26" t="e">
        <f>#REF!/Trend_VA!T22*100</f>
        <v>#REF!</v>
      </c>
      <c r="U22" s="26" t="e">
        <f>#REF!/Trend_VA!U22*100</f>
        <v>#REF!</v>
      </c>
      <c r="V22" s="26" t="e">
        <f>#REF!/Trend_VA!V22*100</f>
        <v>#REF!</v>
      </c>
      <c r="W22" s="26" t="e">
        <f>#REF!/Trend_VA!W22*100</f>
        <v>#REF!</v>
      </c>
      <c r="X22" s="26" t="e">
        <f>#REF!/Trend_VA!X22*100</f>
        <v>#REF!</v>
      </c>
      <c r="Y22" s="26" t="e">
        <f>#REF!/Trend_VA!Y22*100</f>
        <v>#REF!</v>
      </c>
      <c r="Z22" s="26" t="e">
        <f>#REF!/Trend_VA!Z22*100</f>
        <v>#REF!</v>
      </c>
      <c r="AA22" s="26" t="e">
        <f>#REF!/Trend_VA!AA22*100</f>
        <v>#REF!</v>
      </c>
      <c r="AB22" s="26" t="e">
        <f>#REF!/Trend_VA!AB22*100</f>
        <v>#REF!</v>
      </c>
      <c r="AC22" s="26" t="e">
        <f>#REF!/Trend_VA!AC22*100</f>
        <v>#REF!</v>
      </c>
      <c r="AD22" s="26" t="e">
        <f>#REF!/Trend_VA!AD22*100</f>
        <v>#REF!</v>
      </c>
      <c r="AE22" s="26" t="e">
        <f>#REF!/Trend_VA!AE22*100</f>
        <v>#REF!</v>
      </c>
      <c r="AF22" s="33" t="e">
        <f>#REF!/Trend_VA!AF22*100</f>
        <v>#REF!</v>
      </c>
      <c r="AG22" s="33" t="e">
        <f>#REF!/Trend_VA!AG22*100</f>
        <v>#REF!</v>
      </c>
      <c r="AH22" s="33" t="e">
        <f>#REF!/Trend_VA!AH22*100</f>
        <v>#REF!</v>
      </c>
      <c r="AI22" s="33" t="e">
        <f>#REF!/Trend_VA!AI22*100</f>
        <v>#REF!</v>
      </c>
      <c r="AJ22" s="33" t="e">
        <f>#REF!/Trend_VA!AJ22*100</f>
        <v>#REF!</v>
      </c>
      <c r="AK22" s="33" t="e">
        <f>#REF!/Trend_VA!AK22*100</f>
        <v>#REF!</v>
      </c>
      <c r="AL22" s="33" t="e">
        <f>#REF!/Trend_VA!AL22*100</f>
        <v>#REF!</v>
      </c>
      <c r="AM22" s="33" t="e">
        <f>#REF!/Trend_VA!AM22*100</f>
        <v>#REF!</v>
      </c>
      <c r="AN22" s="33" t="e">
        <f>#REF!/Trend_VA!AN22*100</f>
        <v>#REF!</v>
      </c>
      <c r="AO22" s="33" t="e">
        <f>#REF!/Trend_VA!AO22*100</f>
        <v>#REF!</v>
      </c>
      <c r="AP22" s="33" t="e">
        <f>#REF!/Trend_VA!AP22*100</f>
        <v>#REF!</v>
      </c>
      <c r="AQ22" s="33" t="e">
        <f>#REF!/Trend_VA!AQ22*100</f>
        <v>#REF!</v>
      </c>
    </row>
    <row r="23" spans="1:43" ht="18" customHeight="1" x14ac:dyDescent="0.2">
      <c r="A23" s="55" t="s">
        <v>54</v>
      </c>
      <c r="B23" s="9" t="e">
        <f>#REF!/Trend_VA!B23*100</f>
        <v>#REF!</v>
      </c>
      <c r="C23" s="9" t="e">
        <f>#REF!/Trend_VA!C23*100</f>
        <v>#REF!</v>
      </c>
      <c r="D23" s="9" t="e">
        <f>#REF!/Trend_VA!D23*100</f>
        <v>#REF!</v>
      </c>
      <c r="E23" s="9" t="e">
        <f>#REF!/Trend_VA!E23*100</f>
        <v>#REF!</v>
      </c>
      <c r="F23" s="9" t="e">
        <f>#REF!/Trend_VA!F23*100</f>
        <v>#REF!</v>
      </c>
      <c r="G23" s="9" t="e">
        <f>#REF!/Trend_VA!G23*100</f>
        <v>#REF!</v>
      </c>
      <c r="H23" s="9" t="e">
        <f>#REF!/Trend_VA!H23*100</f>
        <v>#REF!</v>
      </c>
      <c r="I23" s="9" t="e">
        <f>#REF!/Trend_VA!I23*100</f>
        <v>#REF!</v>
      </c>
      <c r="J23" s="26" t="e">
        <f>#REF!/Trend_VA!J23*100</f>
        <v>#REF!</v>
      </c>
      <c r="K23" s="26" t="e">
        <f>#REF!/Trend_VA!K23*100</f>
        <v>#REF!</v>
      </c>
      <c r="L23" s="26" t="e">
        <f>#REF!/Trend_VA!L23*100</f>
        <v>#REF!</v>
      </c>
      <c r="M23" s="26" t="e">
        <f>#REF!/Trend_VA!M23*100</f>
        <v>#REF!</v>
      </c>
      <c r="N23" s="26" t="e">
        <f>#REF!/Trend_VA!N23*100</f>
        <v>#REF!</v>
      </c>
      <c r="O23" s="26" t="e">
        <f>#REF!/Trend_VA!O23*100</f>
        <v>#REF!</v>
      </c>
      <c r="P23" s="26" t="e">
        <f>#REF!/Trend_VA!P23*100</f>
        <v>#REF!</v>
      </c>
      <c r="Q23" s="26" t="e">
        <f>#REF!/Trend_VA!Q23*100</f>
        <v>#REF!</v>
      </c>
      <c r="R23" s="26" t="e">
        <f>#REF!/Trend_VA!R23*100</f>
        <v>#REF!</v>
      </c>
      <c r="S23" s="26" t="e">
        <f>#REF!/Trend_VA!S23*100</f>
        <v>#REF!</v>
      </c>
      <c r="T23" s="26" t="e">
        <f>#REF!/Trend_VA!T23*100</f>
        <v>#REF!</v>
      </c>
      <c r="U23" s="26" t="e">
        <f>#REF!/Trend_VA!U23*100</f>
        <v>#REF!</v>
      </c>
      <c r="V23" s="26" t="e">
        <f>#REF!/Trend_VA!V23*100</f>
        <v>#REF!</v>
      </c>
      <c r="W23" s="26" t="e">
        <f>#REF!/Trend_VA!W23*100</f>
        <v>#REF!</v>
      </c>
      <c r="X23" s="26" t="e">
        <f>#REF!/Trend_VA!X23*100</f>
        <v>#REF!</v>
      </c>
      <c r="Y23" s="26" t="e">
        <f>#REF!/Trend_VA!Y23*100</f>
        <v>#REF!</v>
      </c>
      <c r="Z23" s="26" t="e">
        <f>#REF!/Trend_VA!Z23*100</f>
        <v>#REF!</v>
      </c>
      <c r="AA23" s="26" t="e">
        <f>#REF!/Trend_VA!AA23*100</f>
        <v>#REF!</v>
      </c>
      <c r="AB23" s="26" t="e">
        <f>#REF!/Trend_VA!AB23*100</f>
        <v>#REF!</v>
      </c>
      <c r="AC23" s="26" t="e">
        <f>#REF!/Trend_VA!AC23*100</f>
        <v>#REF!</v>
      </c>
      <c r="AD23" s="26" t="e">
        <f>#REF!/Trend_VA!AD23*100</f>
        <v>#REF!</v>
      </c>
      <c r="AE23" s="26" t="e">
        <f>#REF!/Trend_VA!AE23*100</f>
        <v>#REF!</v>
      </c>
      <c r="AF23" s="33" t="e">
        <f>#REF!/Trend_VA!AF23*100</f>
        <v>#REF!</v>
      </c>
      <c r="AG23" s="33" t="e">
        <f>#REF!/Trend_VA!AG23*100</f>
        <v>#REF!</v>
      </c>
      <c r="AH23" s="33" t="e">
        <f>#REF!/Trend_VA!AH23*100</f>
        <v>#REF!</v>
      </c>
      <c r="AI23" s="33" t="e">
        <f>#REF!/Trend_VA!AI23*100</f>
        <v>#REF!</v>
      </c>
      <c r="AJ23" s="33" t="e">
        <f>#REF!/Trend_VA!AJ23*100</f>
        <v>#REF!</v>
      </c>
      <c r="AK23" s="33" t="e">
        <f>#REF!/Trend_VA!AK23*100</f>
        <v>#REF!</v>
      </c>
      <c r="AL23" s="33" t="e">
        <f>#REF!/Trend_VA!AL23*100</f>
        <v>#REF!</v>
      </c>
      <c r="AM23" s="33" t="e">
        <f>#REF!/Trend_VA!AM23*100</f>
        <v>#REF!</v>
      </c>
      <c r="AN23" s="33" t="e">
        <f>#REF!/Trend_VA!AN23*100</f>
        <v>#REF!</v>
      </c>
      <c r="AO23" s="33" t="e">
        <f>#REF!/Trend_VA!AO23*100</f>
        <v>#REF!</v>
      </c>
      <c r="AP23" s="33" t="e">
        <f>#REF!/Trend_VA!AP23*100</f>
        <v>#REF!</v>
      </c>
      <c r="AQ23" s="33" t="e">
        <f>#REF!/Trend_VA!AQ23*100</f>
        <v>#REF!</v>
      </c>
    </row>
    <row r="24" spans="1:43" ht="18" customHeight="1" x14ac:dyDescent="0.2">
      <c r="A24" s="55" t="s">
        <v>72</v>
      </c>
      <c r="B24" s="9" t="e">
        <f>#REF!/Trend_VA!B24*100</f>
        <v>#REF!</v>
      </c>
      <c r="C24" s="9" t="e">
        <f>#REF!/Trend_VA!C24*100</f>
        <v>#REF!</v>
      </c>
      <c r="D24" s="9" t="e">
        <f>#REF!/Trend_VA!D24*100</f>
        <v>#REF!</v>
      </c>
      <c r="E24" s="9" t="e">
        <f>#REF!/Trend_VA!E24*100</f>
        <v>#REF!</v>
      </c>
      <c r="F24" s="9" t="e">
        <f>#REF!/Trend_VA!F24*100</f>
        <v>#REF!</v>
      </c>
      <c r="G24" s="9" t="e">
        <f>#REF!/Trend_VA!G24*100</f>
        <v>#REF!</v>
      </c>
      <c r="H24" s="9" t="e">
        <f>#REF!/Trend_VA!H24*100</f>
        <v>#REF!</v>
      </c>
      <c r="I24" s="9" t="e">
        <f>#REF!/Trend_VA!I24*100</f>
        <v>#REF!</v>
      </c>
      <c r="J24" s="26" t="e">
        <f>#REF!/Trend_VA!J24*100</f>
        <v>#REF!</v>
      </c>
      <c r="K24" s="26" t="e">
        <f>#REF!/Trend_VA!K24*100</f>
        <v>#REF!</v>
      </c>
      <c r="L24" s="26" t="e">
        <f>#REF!/Trend_VA!L24*100</f>
        <v>#REF!</v>
      </c>
      <c r="M24" s="26" t="e">
        <f>#REF!/Trend_VA!M24*100</f>
        <v>#REF!</v>
      </c>
      <c r="N24" s="26" t="e">
        <f>#REF!/Trend_VA!N24*100</f>
        <v>#REF!</v>
      </c>
      <c r="O24" s="26" t="e">
        <f>#REF!/Trend_VA!O24*100</f>
        <v>#REF!</v>
      </c>
      <c r="P24" s="26" t="e">
        <f>#REF!/Trend_VA!P24*100</f>
        <v>#REF!</v>
      </c>
      <c r="Q24" s="26" t="e">
        <f>#REF!/Trend_VA!Q24*100</f>
        <v>#REF!</v>
      </c>
      <c r="R24" s="26" t="e">
        <f>#REF!/Trend_VA!R24*100</f>
        <v>#REF!</v>
      </c>
      <c r="S24" s="26" t="e">
        <f>#REF!/Trend_VA!S24*100</f>
        <v>#REF!</v>
      </c>
      <c r="T24" s="26" t="e">
        <f>#REF!/Trend_VA!T24*100</f>
        <v>#REF!</v>
      </c>
      <c r="U24" s="26" t="e">
        <f>#REF!/Trend_VA!U24*100</f>
        <v>#REF!</v>
      </c>
      <c r="V24" s="26" t="e">
        <f>#REF!/Trend_VA!V24*100</f>
        <v>#REF!</v>
      </c>
      <c r="W24" s="26" t="e">
        <f>#REF!/Trend_VA!W24*100</f>
        <v>#REF!</v>
      </c>
      <c r="X24" s="26" t="e">
        <f>#REF!/Trend_VA!X24*100</f>
        <v>#REF!</v>
      </c>
      <c r="Y24" s="26" t="e">
        <f>#REF!/Trend_VA!Y24*100</f>
        <v>#REF!</v>
      </c>
      <c r="Z24" s="26" t="e">
        <f>#REF!/Trend_VA!Z24*100</f>
        <v>#REF!</v>
      </c>
      <c r="AA24" s="26" t="e">
        <f>#REF!/Trend_VA!AA24*100</f>
        <v>#REF!</v>
      </c>
      <c r="AB24" s="26" t="e">
        <f>#REF!/Trend_VA!AB24*100</f>
        <v>#REF!</v>
      </c>
      <c r="AC24" s="26" t="e">
        <f>#REF!/Trend_VA!AC24*100</f>
        <v>#REF!</v>
      </c>
      <c r="AD24" s="26" t="e">
        <f>#REF!/Trend_VA!AD24*100</f>
        <v>#REF!</v>
      </c>
      <c r="AE24" s="26" t="e">
        <f>#REF!/Trend_VA!AE24*100</f>
        <v>#REF!</v>
      </c>
      <c r="AF24" s="33" t="e">
        <f>#REF!/Trend_VA!AF24*100</f>
        <v>#REF!</v>
      </c>
      <c r="AG24" s="33" t="e">
        <f>#REF!/Trend_VA!AG24*100</f>
        <v>#REF!</v>
      </c>
      <c r="AH24" s="33" t="e">
        <f>#REF!/Trend_VA!AH24*100</f>
        <v>#REF!</v>
      </c>
      <c r="AI24" s="33" t="e">
        <f>#REF!/Trend_VA!AI24*100</f>
        <v>#REF!</v>
      </c>
      <c r="AJ24" s="33" t="e">
        <f>#REF!/Trend_VA!AJ24*100</f>
        <v>#REF!</v>
      </c>
      <c r="AK24" s="33" t="e">
        <f>#REF!/Trend_VA!AK24*100</f>
        <v>#REF!</v>
      </c>
      <c r="AL24" s="33" t="e">
        <f>#REF!/Trend_VA!AL24*100</f>
        <v>#REF!</v>
      </c>
      <c r="AM24" s="33" t="e">
        <f>#REF!/Trend_VA!AM24*100</f>
        <v>#REF!</v>
      </c>
      <c r="AN24" s="33" t="e">
        <f>#REF!/Trend_VA!AN24*100</f>
        <v>#REF!</v>
      </c>
      <c r="AO24" s="33" t="e">
        <f>#REF!/Trend_VA!AO24*100</f>
        <v>#REF!</v>
      </c>
      <c r="AP24" s="33" t="e">
        <f>#REF!/Trend_VA!AP24*100</f>
        <v>#REF!</v>
      </c>
      <c r="AQ24" s="33" t="e">
        <f>#REF!/Trend_VA!AQ24*100</f>
        <v>#REF!</v>
      </c>
    </row>
    <row r="25" spans="1:43" ht="18" customHeight="1" x14ac:dyDescent="0.2">
      <c r="A25" s="55" t="s">
        <v>14</v>
      </c>
      <c r="B25" s="9" t="e">
        <f>#REF!/Trend_VA!B25*100</f>
        <v>#REF!</v>
      </c>
      <c r="C25" s="9" t="e">
        <f>#REF!/Trend_VA!C25*100</f>
        <v>#REF!</v>
      </c>
      <c r="D25" s="9" t="e">
        <f>#REF!/Trend_VA!D25*100</f>
        <v>#REF!</v>
      </c>
      <c r="E25" s="9" t="e">
        <f>#REF!/Trend_VA!E25*100</f>
        <v>#REF!</v>
      </c>
      <c r="F25" s="9" t="e">
        <f>#REF!/Trend_VA!F25*100</f>
        <v>#REF!</v>
      </c>
      <c r="G25" s="9" t="e">
        <f>#REF!/Trend_VA!G25*100</f>
        <v>#REF!</v>
      </c>
      <c r="H25" s="9" t="e">
        <f>#REF!/Trend_VA!H25*100</f>
        <v>#REF!</v>
      </c>
      <c r="I25" s="9" t="e">
        <f>#REF!/Trend_VA!I25*100</f>
        <v>#REF!</v>
      </c>
      <c r="J25" s="26" t="e">
        <f>#REF!/Trend_VA!J25*100</f>
        <v>#REF!</v>
      </c>
      <c r="K25" s="26" t="e">
        <f>#REF!/Trend_VA!K25*100</f>
        <v>#REF!</v>
      </c>
      <c r="L25" s="26" t="e">
        <f>#REF!/Trend_VA!L25*100</f>
        <v>#REF!</v>
      </c>
      <c r="M25" s="26" t="e">
        <f>#REF!/Trend_VA!M25*100</f>
        <v>#REF!</v>
      </c>
      <c r="N25" s="26" t="e">
        <f>#REF!/Trend_VA!N25*100</f>
        <v>#REF!</v>
      </c>
      <c r="O25" s="26" t="e">
        <f>#REF!/Trend_VA!O25*100</f>
        <v>#REF!</v>
      </c>
      <c r="P25" s="26" t="e">
        <f>#REF!/Trend_VA!P25*100</f>
        <v>#REF!</v>
      </c>
      <c r="Q25" s="26" t="e">
        <f>#REF!/Trend_VA!Q25*100</f>
        <v>#REF!</v>
      </c>
      <c r="R25" s="26" t="e">
        <f>#REF!/Trend_VA!R25*100</f>
        <v>#REF!</v>
      </c>
      <c r="S25" s="26" t="e">
        <f>#REF!/Trend_VA!S25*100</f>
        <v>#REF!</v>
      </c>
      <c r="T25" s="26" t="e">
        <f>#REF!/Trend_VA!T25*100</f>
        <v>#REF!</v>
      </c>
      <c r="U25" s="26" t="e">
        <f>#REF!/Trend_VA!U25*100</f>
        <v>#REF!</v>
      </c>
      <c r="V25" s="26" t="e">
        <f>#REF!/Trend_VA!V25*100</f>
        <v>#REF!</v>
      </c>
      <c r="W25" s="26" t="e">
        <f>#REF!/Trend_VA!W25*100</f>
        <v>#REF!</v>
      </c>
      <c r="X25" s="26" t="e">
        <f>#REF!/Trend_VA!X25*100</f>
        <v>#REF!</v>
      </c>
      <c r="Y25" s="26" t="e">
        <f>#REF!/Trend_VA!Y25*100</f>
        <v>#REF!</v>
      </c>
      <c r="Z25" s="26" t="e">
        <f>#REF!/Trend_VA!Z25*100</f>
        <v>#REF!</v>
      </c>
      <c r="AA25" s="26" t="e">
        <f>#REF!/Trend_VA!AA25*100</f>
        <v>#REF!</v>
      </c>
      <c r="AB25" s="26" t="e">
        <f>#REF!/Trend_VA!AB25*100</f>
        <v>#REF!</v>
      </c>
      <c r="AC25" s="26" t="e">
        <f>#REF!/Trend_VA!AC25*100</f>
        <v>#REF!</v>
      </c>
      <c r="AD25" s="26" t="e">
        <f>#REF!/Trend_VA!AD25*100</f>
        <v>#REF!</v>
      </c>
      <c r="AE25" s="26" t="e">
        <f>#REF!/Trend_VA!AE25*100</f>
        <v>#REF!</v>
      </c>
      <c r="AF25" s="33" t="e">
        <f>#REF!/Trend_VA!AF25*100</f>
        <v>#REF!</v>
      </c>
      <c r="AG25" s="33" t="e">
        <f>#REF!/Trend_VA!AG25*100</f>
        <v>#REF!</v>
      </c>
      <c r="AH25" s="33" t="e">
        <f>#REF!/Trend_VA!AH25*100</f>
        <v>#REF!</v>
      </c>
      <c r="AI25" s="33" t="e">
        <f>#REF!/Trend_VA!AI25*100</f>
        <v>#REF!</v>
      </c>
      <c r="AJ25" s="33" t="e">
        <f>#REF!/Trend_VA!AJ25*100</f>
        <v>#REF!</v>
      </c>
      <c r="AK25" s="33" t="e">
        <f>#REF!/Trend_VA!AK25*100</f>
        <v>#REF!</v>
      </c>
      <c r="AL25" s="33" t="e">
        <f>#REF!/Trend_VA!AL25*100</f>
        <v>#REF!</v>
      </c>
      <c r="AM25" s="33" t="e">
        <f>#REF!/Trend_VA!AM25*100</f>
        <v>#REF!</v>
      </c>
      <c r="AN25" s="33" t="e">
        <f>#REF!/Trend_VA!AN25*100</f>
        <v>#REF!</v>
      </c>
      <c r="AO25" s="33" t="e">
        <f>#REF!/Trend_VA!AO25*100</f>
        <v>#REF!</v>
      </c>
      <c r="AP25" s="33" t="e">
        <f>#REF!/Trend_VA!AP25*100</f>
        <v>#REF!</v>
      </c>
      <c r="AQ25" s="33" t="e">
        <f>#REF!/Trend_VA!AQ25*100</f>
        <v>#REF!</v>
      </c>
    </row>
    <row r="26" spans="1:43" ht="18" customHeight="1" x14ac:dyDescent="0.2">
      <c r="A26" s="55" t="s">
        <v>56</v>
      </c>
      <c r="B26" s="9" t="e">
        <f>#REF!/Trend_VA!B26*100</f>
        <v>#REF!</v>
      </c>
      <c r="C26" s="9" t="e">
        <f>#REF!/Trend_VA!C26*100</f>
        <v>#REF!</v>
      </c>
      <c r="D26" s="9" t="e">
        <f>#REF!/Trend_VA!D26*100</f>
        <v>#REF!</v>
      </c>
      <c r="E26" s="9" t="e">
        <f>#REF!/Trend_VA!E26*100</f>
        <v>#REF!</v>
      </c>
      <c r="F26" s="9" t="e">
        <f>#REF!/Trend_VA!F26*100</f>
        <v>#REF!</v>
      </c>
      <c r="G26" s="9" t="e">
        <f>#REF!/Trend_VA!G26*100</f>
        <v>#REF!</v>
      </c>
      <c r="H26" s="9" t="e">
        <f>#REF!/Trend_VA!H26*100</f>
        <v>#REF!</v>
      </c>
      <c r="I26" s="9" t="e">
        <f>#REF!/Trend_VA!I26*100</f>
        <v>#REF!</v>
      </c>
      <c r="J26" s="26" t="e">
        <f>#REF!/Trend_VA!J26*100</f>
        <v>#REF!</v>
      </c>
      <c r="K26" s="26" t="e">
        <f>#REF!/Trend_VA!K26*100</f>
        <v>#REF!</v>
      </c>
      <c r="L26" s="26" t="e">
        <f>#REF!/Trend_VA!L26*100</f>
        <v>#REF!</v>
      </c>
      <c r="M26" s="26" t="e">
        <f>#REF!/Trend_VA!M26*100</f>
        <v>#REF!</v>
      </c>
      <c r="N26" s="26" t="e">
        <f>#REF!/Trend_VA!N26*100</f>
        <v>#REF!</v>
      </c>
      <c r="O26" s="26" t="e">
        <f>#REF!/Trend_VA!O26*100</f>
        <v>#REF!</v>
      </c>
      <c r="P26" s="26" t="e">
        <f>#REF!/Trend_VA!P26*100</f>
        <v>#REF!</v>
      </c>
      <c r="Q26" s="26" t="e">
        <f>#REF!/Trend_VA!Q26*100</f>
        <v>#REF!</v>
      </c>
      <c r="R26" s="26" t="e">
        <f>#REF!/Trend_VA!R26*100</f>
        <v>#REF!</v>
      </c>
      <c r="S26" s="26" t="e">
        <f>#REF!/Trend_VA!S26*100</f>
        <v>#REF!</v>
      </c>
      <c r="T26" s="26" t="e">
        <f>#REF!/Trend_VA!T26*100</f>
        <v>#REF!</v>
      </c>
      <c r="U26" s="26" t="e">
        <f>#REF!/Trend_VA!U26*100</f>
        <v>#REF!</v>
      </c>
      <c r="V26" s="26" t="e">
        <f>#REF!/Trend_VA!V26*100</f>
        <v>#REF!</v>
      </c>
      <c r="W26" s="26" t="e">
        <f>#REF!/Trend_VA!W26*100</f>
        <v>#REF!</v>
      </c>
      <c r="X26" s="26" t="e">
        <f>#REF!/Trend_VA!X26*100</f>
        <v>#REF!</v>
      </c>
      <c r="Y26" s="26" t="e">
        <f>#REF!/Trend_VA!Y26*100</f>
        <v>#REF!</v>
      </c>
      <c r="Z26" s="26" t="e">
        <f>#REF!/Trend_VA!Z26*100</f>
        <v>#REF!</v>
      </c>
      <c r="AA26" s="26" t="e">
        <f>#REF!/Trend_VA!AA26*100</f>
        <v>#REF!</v>
      </c>
      <c r="AB26" s="26" t="e">
        <f>#REF!/Trend_VA!AB26*100</f>
        <v>#REF!</v>
      </c>
      <c r="AC26" s="26" t="e">
        <f>#REF!/Trend_VA!AC26*100</f>
        <v>#REF!</v>
      </c>
      <c r="AD26" s="26" t="e">
        <f>#REF!/Trend_VA!AD26*100</f>
        <v>#REF!</v>
      </c>
      <c r="AE26" s="26" t="e">
        <f>#REF!/Trend_VA!AE26*100</f>
        <v>#REF!</v>
      </c>
      <c r="AF26" s="33" t="e">
        <f>#REF!/Trend_VA!AF26*100</f>
        <v>#REF!</v>
      </c>
      <c r="AG26" s="33" t="e">
        <f>#REF!/Trend_VA!AG26*100</f>
        <v>#REF!</v>
      </c>
      <c r="AH26" s="33" t="e">
        <f>#REF!/Trend_VA!AH26*100</f>
        <v>#REF!</v>
      </c>
      <c r="AI26" s="33" t="e">
        <f>#REF!/Trend_VA!AI26*100</f>
        <v>#REF!</v>
      </c>
      <c r="AJ26" s="33" t="e">
        <f>#REF!/Trend_VA!AJ26*100</f>
        <v>#REF!</v>
      </c>
      <c r="AK26" s="33" t="e">
        <f>#REF!/Trend_VA!AK26*100</f>
        <v>#REF!</v>
      </c>
      <c r="AL26" s="33" t="e">
        <f>#REF!/Trend_VA!AL26*100</f>
        <v>#REF!</v>
      </c>
      <c r="AM26" s="33" t="e">
        <f>#REF!/Trend_VA!AM26*100</f>
        <v>#REF!</v>
      </c>
      <c r="AN26" s="33" t="e">
        <f>#REF!/Trend_VA!AN26*100</f>
        <v>#REF!</v>
      </c>
      <c r="AO26" s="33" t="e">
        <f>#REF!/Trend_VA!AO26*100</f>
        <v>#REF!</v>
      </c>
      <c r="AP26" s="33" t="e">
        <f>#REF!/Trend_VA!AP26*100</f>
        <v>#REF!</v>
      </c>
      <c r="AQ26" s="33" t="e">
        <f>#REF!/Trend_VA!AQ26*100</f>
        <v>#REF!</v>
      </c>
    </row>
    <row r="27" spans="1:43" ht="18" customHeight="1" x14ac:dyDescent="0.2">
      <c r="A27" s="55" t="s">
        <v>57</v>
      </c>
      <c r="B27" s="9" t="e">
        <f>#REF!/Trend_VA!B27*100</f>
        <v>#REF!</v>
      </c>
      <c r="C27" s="9" t="e">
        <f>#REF!/Trend_VA!C27*100</f>
        <v>#REF!</v>
      </c>
      <c r="D27" s="9" t="e">
        <f>#REF!/Trend_VA!D27*100</f>
        <v>#REF!</v>
      </c>
      <c r="E27" s="9" t="e">
        <f>#REF!/Trend_VA!E27*100</f>
        <v>#REF!</v>
      </c>
      <c r="F27" s="9" t="e">
        <f>#REF!/Trend_VA!F27*100</f>
        <v>#REF!</v>
      </c>
      <c r="G27" s="9" t="e">
        <f>#REF!/Trend_VA!G27*100</f>
        <v>#REF!</v>
      </c>
      <c r="H27" s="9" t="e">
        <f>#REF!/Trend_VA!H27*100</f>
        <v>#REF!</v>
      </c>
      <c r="I27" s="9" t="e">
        <f>#REF!/Trend_VA!I27*100</f>
        <v>#REF!</v>
      </c>
      <c r="J27" s="26" t="e">
        <f>#REF!/Trend_VA!J27*100</f>
        <v>#REF!</v>
      </c>
      <c r="K27" s="26" t="e">
        <f>#REF!/Trend_VA!K27*100</f>
        <v>#REF!</v>
      </c>
      <c r="L27" s="26" t="e">
        <f>#REF!/Trend_VA!L27*100</f>
        <v>#REF!</v>
      </c>
      <c r="M27" s="26" t="e">
        <f>#REF!/Trend_VA!M27*100</f>
        <v>#REF!</v>
      </c>
      <c r="N27" s="26" t="e">
        <f>#REF!/Trend_VA!N27*100</f>
        <v>#REF!</v>
      </c>
      <c r="O27" s="26" t="e">
        <f>#REF!/Trend_VA!O27*100</f>
        <v>#REF!</v>
      </c>
      <c r="P27" s="26" t="e">
        <f>#REF!/Trend_VA!P27*100</f>
        <v>#REF!</v>
      </c>
      <c r="Q27" s="26" t="e">
        <f>#REF!/Trend_VA!Q27*100</f>
        <v>#REF!</v>
      </c>
      <c r="R27" s="26" t="e">
        <f>#REF!/Trend_VA!R27*100</f>
        <v>#REF!</v>
      </c>
      <c r="S27" s="26" t="e">
        <f>#REF!/Trend_VA!S27*100</f>
        <v>#REF!</v>
      </c>
      <c r="T27" s="26" t="e">
        <f>#REF!/Trend_VA!T27*100</f>
        <v>#REF!</v>
      </c>
      <c r="U27" s="26" t="e">
        <f>#REF!/Trend_VA!U27*100</f>
        <v>#REF!</v>
      </c>
      <c r="V27" s="26" t="e">
        <f>#REF!/Trend_VA!V27*100</f>
        <v>#REF!</v>
      </c>
      <c r="W27" s="26" t="e">
        <f>#REF!/Trend_VA!W27*100</f>
        <v>#REF!</v>
      </c>
      <c r="X27" s="26" t="e">
        <f>#REF!/Trend_VA!X27*100</f>
        <v>#REF!</v>
      </c>
      <c r="Y27" s="26" t="e">
        <f>#REF!/Trend_VA!Y27*100</f>
        <v>#REF!</v>
      </c>
      <c r="Z27" s="26" t="e">
        <f>#REF!/Trend_VA!Z27*100</f>
        <v>#REF!</v>
      </c>
      <c r="AA27" s="26" t="e">
        <f>#REF!/Trend_VA!AA27*100</f>
        <v>#REF!</v>
      </c>
      <c r="AB27" s="26" t="e">
        <f>#REF!/Trend_VA!AB27*100</f>
        <v>#REF!</v>
      </c>
      <c r="AC27" s="26" t="e">
        <f>#REF!/Trend_VA!AC27*100</f>
        <v>#REF!</v>
      </c>
      <c r="AD27" s="26" t="e">
        <f>#REF!/Trend_VA!AD27*100</f>
        <v>#REF!</v>
      </c>
      <c r="AE27" s="26" t="e">
        <f>#REF!/Trend_VA!AE27*100</f>
        <v>#REF!</v>
      </c>
      <c r="AF27" s="33" t="e">
        <f>#REF!/Trend_VA!AF27*100</f>
        <v>#REF!</v>
      </c>
      <c r="AG27" s="33" t="e">
        <f>#REF!/Trend_VA!AG27*100</f>
        <v>#REF!</v>
      </c>
      <c r="AH27" s="33" t="e">
        <f>#REF!/Trend_VA!AH27*100</f>
        <v>#REF!</v>
      </c>
      <c r="AI27" s="33" t="e">
        <f>#REF!/Trend_VA!AI27*100</f>
        <v>#REF!</v>
      </c>
      <c r="AJ27" s="33" t="e">
        <f>#REF!/Trend_VA!AJ27*100</f>
        <v>#REF!</v>
      </c>
      <c r="AK27" s="33" t="e">
        <f>#REF!/Trend_VA!AK27*100</f>
        <v>#REF!</v>
      </c>
      <c r="AL27" s="33" t="e">
        <f>#REF!/Trend_VA!AL27*100</f>
        <v>#REF!</v>
      </c>
      <c r="AM27" s="33" t="e">
        <f>#REF!/Trend_VA!AM27*100</f>
        <v>#REF!</v>
      </c>
      <c r="AN27" s="33" t="e">
        <f>#REF!/Trend_VA!AN27*100</f>
        <v>#REF!</v>
      </c>
      <c r="AO27" s="33" t="e">
        <f>#REF!/Trend_VA!AO27*100</f>
        <v>#REF!</v>
      </c>
      <c r="AP27" s="33" t="e">
        <f>#REF!/Trend_VA!AP27*100</f>
        <v>#REF!</v>
      </c>
      <c r="AQ27" s="33" t="e">
        <f>#REF!/Trend_VA!AQ27*100</f>
        <v>#REF!</v>
      </c>
    </row>
    <row r="28" spans="1:43" ht="18" customHeight="1" x14ac:dyDescent="0.2">
      <c r="A28" s="55" t="s">
        <v>15</v>
      </c>
      <c r="B28" s="9" t="e">
        <f>#REF!/Trend_VA!B28*100</f>
        <v>#REF!</v>
      </c>
      <c r="C28" s="9" t="e">
        <f>#REF!/Trend_VA!C28*100</f>
        <v>#REF!</v>
      </c>
      <c r="D28" s="9" t="e">
        <f>#REF!/Trend_VA!D28*100</f>
        <v>#REF!</v>
      </c>
      <c r="E28" s="9" t="e">
        <f>#REF!/Trend_VA!E28*100</f>
        <v>#REF!</v>
      </c>
      <c r="F28" s="9" t="e">
        <f>#REF!/Trend_VA!F28*100</f>
        <v>#REF!</v>
      </c>
      <c r="G28" s="9" t="e">
        <f>#REF!/Trend_VA!G28*100</f>
        <v>#REF!</v>
      </c>
      <c r="H28" s="9" t="e">
        <f>#REF!/Trend_VA!H28*100</f>
        <v>#REF!</v>
      </c>
      <c r="I28" s="9" t="e">
        <f>#REF!/Trend_VA!I28*100</f>
        <v>#REF!</v>
      </c>
      <c r="J28" s="26" t="e">
        <f>#REF!/Trend_VA!J28*100</f>
        <v>#REF!</v>
      </c>
      <c r="K28" s="26" t="e">
        <f>#REF!/Trend_VA!K28*100</f>
        <v>#REF!</v>
      </c>
      <c r="L28" s="26" t="e">
        <f>#REF!/Trend_VA!L28*100</f>
        <v>#REF!</v>
      </c>
      <c r="M28" s="26" t="e">
        <f>#REF!/Trend_VA!M28*100</f>
        <v>#REF!</v>
      </c>
      <c r="N28" s="26" t="e">
        <f>#REF!/Trend_VA!N28*100</f>
        <v>#REF!</v>
      </c>
      <c r="O28" s="26" t="e">
        <f>#REF!/Trend_VA!O28*100</f>
        <v>#REF!</v>
      </c>
      <c r="P28" s="26" t="e">
        <f>#REF!/Trend_VA!P28*100</f>
        <v>#REF!</v>
      </c>
      <c r="Q28" s="26" t="e">
        <f>#REF!/Trend_VA!Q28*100</f>
        <v>#REF!</v>
      </c>
      <c r="R28" s="26" t="e">
        <f>#REF!/Trend_VA!R28*100</f>
        <v>#REF!</v>
      </c>
      <c r="S28" s="26" t="e">
        <f>#REF!/Trend_VA!S28*100</f>
        <v>#REF!</v>
      </c>
      <c r="T28" s="26" t="e">
        <f>#REF!/Trend_VA!T28*100</f>
        <v>#REF!</v>
      </c>
      <c r="U28" s="26" t="e">
        <f>#REF!/Trend_VA!U28*100</f>
        <v>#REF!</v>
      </c>
      <c r="V28" s="26" t="e">
        <f>#REF!/Trend_VA!V28*100</f>
        <v>#REF!</v>
      </c>
      <c r="W28" s="26" t="e">
        <f>#REF!/Trend_VA!W28*100</f>
        <v>#REF!</v>
      </c>
      <c r="X28" s="26" t="e">
        <f>#REF!/Trend_VA!X28*100</f>
        <v>#REF!</v>
      </c>
      <c r="Y28" s="26" t="e">
        <f>#REF!/Trend_VA!Y28*100</f>
        <v>#REF!</v>
      </c>
      <c r="Z28" s="26" t="e">
        <f>#REF!/Trend_VA!Z28*100</f>
        <v>#REF!</v>
      </c>
      <c r="AA28" s="26" t="e">
        <f>#REF!/Trend_VA!AA28*100</f>
        <v>#REF!</v>
      </c>
      <c r="AB28" s="26" t="e">
        <f>#REF!/Trend_VA!AB28*100</f>
        <v>#REF!</v>
      </c>
      <c r="AC28" s="26" t="e">
        <f>#REF!/Trend_VA!AC28*100</f>
        <v>#REF!</v>
      </c>
      <c r="AD28" s="26" t="e">
        <f>#REF!/Trend_VA!AD28*100</f>
        <v>#REF!</v>
      </c>
      <c r="AE28" s="26" t="e">
        <f>#REF!/Trend_VA!AE28*100</f>
        <v>#REF!</v>
      </c>
      <c r="AF28" s="33" t="e">
        <f>#REF!/Trend_VA!AF28*100</f>
        <v>#REF!</v>
      </c>
      <c r="AG28" s="33" t="e">
        <f>#REF!/Trend_VA!AG28*100</f>
        <v>#REF!</v>
      </c>
      <c r="AH28" s="33" t="e">
        <f>#REF!/Trend_VA!AH28*100</f>
        <v>#REF!</v>
      </c>
      <c r="AI28" s="33" t="e">
        <f>#REF!/Trend_VA!AI28*100</f>
        <v>#REF!</v>
      </c>
      <c r="AJ28" s="33" t="e">
        <f>#REF!/Trend_VA!AJ28*100</f>
        <v>#REF!</v>
      </c>
      <c r="AK28" s="33" t="e">
        <f>#REF!/Trend_VA!AK28*100</f>
        <v>#REF!</v>
      </c>
      <c r="AL28" s="33" t="e">
        <f>#REF!/Trend_VA!AL28*100</f>
        <v>#REF!</v>
      </c>
      <c r="AM28" s="33" t="e">
        <f>#REF!/Trend_VA!AM28*100</f>
        <v>#REF!</v>
      </c>
      <c r="AN28" s="33" t="e">
        <f>#REF!/Trend_VA!AN28*100</f>
        <v>#REF!</v>
      </c>
      <c r="AO28" s="33" t="e">
        <f>#REF!/Trend_VA!AO28*100</f>
        <v>#REF!</v>
      </c>
      <c r="AP28" s="33" t="e">
        <f>#REF!/Trend_VA!AP28*100</f>
        <v>#REF!</v>
      </c>
      <c r="AQ28" s="33" t="e">
        <f>#REF!/Trend_VA!AQ28*100</f>
        <v>#REF!</v>
      </c>
    </row>
    <row r="29" spans="1:43" ht="18" customHeight="1" x14ac:dyDescent="0.2">
      <c r="A29" s="55" t="s">
        <v>16</v>
      </c>
      <c r="B29" s="9" t="e">
        <f>#REF!/Trend_VA!B29*100</f>
        <v>#REF!</v>
      </c>
      <c r="C29" s="9" t="e">
        <f>#REF!/Trend_VA!C29*100</f>
        <v>#REF!</v>
      </c>
      <c r="D29" s="9" t="e">
        <f>#REF!/Trend_VA!D29*100</f>
        <v>#REF!</v>
      </c>
      <c r="E29" s="9" t="e">
        <f>#REF!/Trend_VA!E29*100</f>
        <v>#REF!</v>
      </c>
      <c r="F29" s="9" t="e">
        <f>#REF!/Trend_VA!F29*100</f>
        <v>#REF!</v>
      </c>
      <c r="G29" s="9" t="e">
        <f>#REF!/Trend_VA!G29*100</f>
        <v>#REF!</v>
      </c>
      <c r="H29" s="9" t="e">
        <f>#REF!/Trend_VA!H29*100</f>
        <v>#REF!</v>
      </c>
      <c r="I29" s="9" t="e">
        <f>#REF!/Trend_VA!I29*100</f>
        <v>#REF!</v>
      </c>
      <c r="J29" s="26" t="e">
        <f>#REF!/Trend_VA!J29*100</f>
        <v>#REF!</v>
      </c>
      <c r="K29" s="26" t="e">
        <f>#REF!/Trend_VA!K29*100</f>
        <v>#REF!</v>
      </c>
      <c r="L29" s="26" t="e">
        <f>#REF!/Trend_VA!L29*100</f>
        <v>#REF!</v>
      </c>
      <c r="M29" s="26" t="e">
        <f>#REF!/Trend_VA!M29*100</f>
        <v>#REF!</v>
      </c>
      <c r="N29" s="26" t="e">
        <f>#REF!/Trend_VA!N29*100</f>
        <v>#REF!</v>
      </c>
      <c r="O29" s="26" t="e">
        <f>#REF!/Trend_VA!O29*100</f>
        <v>#REF!</v>
      </c>
      <c r="P29" s="26" t="e">
        <f>#REF!/Trend_VA!P29*100</f>
        <v>#REF!</v>
      </c>
      <c r="Q29" s="26" t="e">
        <f>#REF!/Trend_VA!Q29*100</f>
        <v>#REF!</v>
      </c>
      <c r="R29" s="26" t="e">
        <f>#REF!/Trend_VA!R29*100</f>
        <v>#REF!</v>
      </c>
      <c r="S29" s="26" t="e">
        <f>#REF!/Trend_VA!S29*100</f>
        <v>#REF!</v>
      </c>
      <c r="T29" s="26" t="e">
        <f>#REF!/Trend_VA!T29*100</f>
        <v>#REF!</v>
      </c>
      <c r="U29" s="26" t="e">
        <f>#REF!/Trend_VA!U29*100</f>
        <v>#REF!</v>
      </c>
      <c r="V29" s="26" t="e">
        <f>#REF!/Trend_VA!V29*100</f>
        <v>#REF!</v>
      </c>
      <c r="W29" s="26" t="e">
        <f>#REF!/Trend_VA!W29*100</f>
        <v>#REF!</v>
      </c>
      <c r="X29" s="26" t="e">
        <f>#REF!/Trend_VA!X29*100</f>
        <v>#REF!</v>
      </c>
      <c r="Y29" s="26" t="e">
        <f>#REF!/Trend_VA!Y29*100</f>
        <v>#REF!</v>
      </c>
      <c r="Z29" s="26" t="e">
        <f>#REF!/Trend_VA!Z29*100</f>
        <v>#REF!</v>
      </c>
      <c r="AA29" s="26" t="e">
        <f>#REF!/Trend_VA!AA29*100</f>
        <v>#REF!</v>
      </c>
      <c r="AB29" s="26" t="e">
        <f>#REF!/Trend_VA!AB29*100</f>
        <v>#REF!</v>
      </c>
      <c r="AC29" s="26" t="e">
        <f>#REF!/Trend_VA!AC29*100</f>
        <v>#REF!</v>
      </c>
      <c r="AD29" s="26" t="e">
        <f>#REF!/Trend_VA!AD29*100</f>
        <v>#REF!</v>
      </c>
      <c r="AE29" s="26" t="e">
        <f>#REF!/Trend_VA!AE29*100</f>
        <v>#REF!</v>
      </c>
      <c r="AF29" s="33" t="e">
        <f>#REF!/Trend_VA!AF29*100</f>
        <v>#REF!</v>
      </c>
      <c r="AG29" s="33" t="e">
        <f>#REF!/Trend_VA!AG29*100</f>
        <v>#REF!</v>
      </c>
      <c r="AH29" s="33" t="e">
        <f>#REF!/Trend_VA!AH29*100</f>
        <v>#REF!</v>
      </c>
      <c r="AI29" s="33" t="e">
        <f>#REF!/Trend_VA!AI29*100</f>
        <v>#REF!</v>
      </c>
      <c r="AJ29" s="33" t="e">
        <f>#REF!/Trend_VA!AJ29*100</f>
        <v>#REF!</v>
      </c>
      <c r="AK29" s="33" t="e">
        <f>#REF!/Trend_VA!AK29*100</f>
        <v>#REF!</v>
      </c>
      <c r="AL29" s="33" t="e">
        <f>#REF!/Trend_VA!AL29*100</f>
        <v>#REF!</v>
      </c>
      <c r="AM29" s="33" t="e">
        <f>#REF!/Trend_VA!AM29*100</f>
        <v>#REF!</v>
      </c>
      <c r="AN29" s="33" t="e">
        <f>#REF!/Trend_VA!AN29*100</f>
        <v>#REF!</v>
      </c>
      <c r="AO29" s="33" t="e">
        <f>#REF!/Trend_VA!AO29*100</f>
        <v>#REF!</v>
      </c>
      <c r="AP29" s="33" t="e">
        <f>#REF!/Trend_VA!AP29*100</f>
        <v>#REF!</v>
      </c>
      <c r="AQ29" s="33" t="e">
        <f>#REF!/Trend_VA!AQ29*100</f>
        <v>#REF!</v>
      </c>
    </row>
    <row r="30" spans="1:43" ht="18" customHeight="1" x14ac:dyDescent="0.2">
      <c r="A30" s="55" t="s">
        <v>58</v>
      </c>
      <c r="B30" s="9" t="e">
        <f>#REF!/Trend_VA!B30*100</f>
        <v>#REF!</v>
      </c>
      <c r="C30" s="9" t="e">
        <f>#REF!/Trend_VA!C30*100</f>
        <v>#REF!</v>
      </c>
      <c r="D30" s="9" t="e">
        <f>#REF!/Trend_VA!D30*100</f>
        <v>#REF!</v>
      </c>
      <c r="E30" s="9" t="e">
        <f>#REF!/Trend_VA!E30*100</f>
        <v>#REF!</v>
      </c>
      <c r="F30" s="9" t="e">
        <f>#REF!/Trend_VA!F30*100</f>
        <v>#REF!</v>
      </c>
      <c r="G30" s="9" t="e">
        <f>#REF!/Trend_VA!G30*100</f>
        <v>#REF!</v>
      </c>
      <c r="H30" s="9" t="e">
        <f>#REF!/Trend_VA!H30*100</f>
        <v>#REF!</v>
      </c>
      <c r="I30" s="9" t="e">
        <f>#REF!/Trend_VA!I30*100</f>
        <v>#REF!</v>
      </c>
      <c r="J30" s="26" t="e">
        <f>#REF!/Trend_VA!J30*100</f>
        <v>#REF!</v>
      </c>
      <c r="K30" s="26" t="e">
        <f>#REF!/Trend_VA!K30*100</f>
        <v>#REF!</v>
      </c>
      <c r="L30" s="26" t="e">
        <f>#REF!/Trend_VA!L30*100</f>
        <v>#REF!</v>
      </c>
      <c r="M30" s="26" t="e">
        <f>#REF!/Trend_VA!M30*100</f>
        <v>#REF!</v>
      </c>
      <c r="N30" s="26" t="e">
        <f>#REF!/Trend_VA!N30*100</f>
        <v>#REF!</v>
      </c>
      <c r="O30" s="26" t="e">
        <f>#REF!/Trend_VA!O30*100</f>
        <v>#REF!</v>
      </c>
      <c r="P30" s="26" t="e">
        <f>#REF!/Trend_VA!P30*100</f>
        <v>#REF!</v>
      </c>
      <c r="Q30" s="26" t="e">
        <f>#REF!/Trend_VA!Q30*100</f>
        <v>#REF!</v>
      </c>
      <c r="R30" s="26" t="e">
        <f>#REF!/Trend_VA!R30*100</f>
        <v>#REF!</v>
      </c>
      <c r="S30" s="26" t="e">
        <f>#REF!/Trend_VA!S30*100</f>
        <v>#REF!</v>
      </c>
      <c r="T30" s="26" t="e">
        <f>#REF!/Trend_VA!T30*100</f>
        <v>#REF!</v>
      </c>
      <c r="U30" s="26" t="e">
        <f>#REF!/Trend_VA!U30*100</f>
        <v>#REF!</v>
      </c>
      <c r="V30" s="26" t="e">
        <f>#REF!/Trend_VA!V30*100</f>
        <v>#REF!</v>
      </c>
      <c r="W30" s="26" t="e">
        <f>#REF!/Trend_VA!W30*100</f>
        <v>#REF!</v>
      </c>
      <c r="X30" s="26" t="e">
        <f>#REF!/Trend_VA!X30*100</f>
        <v>#REF!</v>
      </c>
      <c r="Y30" s="26" t="e">
        <f>#REF!/Trend_VA!Y30*100</f>
        <v>#REF!</v>
      </c>
      <c r="Z30" s="26" t="e">
        <f>#REF!/Trend_VA!Z30*100</f>
        <v>#REF!</v>
      </c>
      <c r="AA30" s="26" t="e">
        <f>#REF!/Trend_VA!AA30*100</f>
        <v>#REF!</v>
      </c>
      <c r="AB30" s="26" t="e">
        <f>#REF!/Trend_VA!AB30*100</f>
        <v>#REF!</v>
      </c>
      <c r="AC30" s="26" t="e">
        <f>#REF!/Trend_VA!AC30*100</f>
        <v>#REF!</v>
      </c>
      <c r="AD30" s="26" t="e">
        <f>#REF!/Trend_VA!AD30*100</f>
        <v>#REF!</v>
      </c>
      <c r="AE30" s="26" t="e">
        <f>#REF!/Trend_VA!AE30*100</f>
        <v>#REF!</v>
      </c>
      <c r="AF30" s="33" t="e">
        <f>#REF!/Trend_VA!AF30*100</f>
        <v>#REF!</v>
      </c>
      <c r="AG30" s="33" t="e">
        <f>#REF!/Trend_VA!AG30*100</f>
        <v>#REF!</v>
      </c>
      <c r="AH30" s="33" t="e">
        <f>#REF!/Trend_VA!AH30*100</f>
        <v>#REF!</v>
      </c>
      <c r="AI30" s="33" t="e">
        <f>#REF!/Trend_VA!AI30*100</f>
        <v>#REF!</v>
      </c>
      <c r="AJ30" s="33" t="e">
        <f>#REF!/Trend_VA!AJ30*100</f>
        <v>#REF!</v>
      </c>
      <c r="AK30" s="33" t="e">
        <f>#REF!/Trend_VA!AK30*100</f>
        <v>#REF!</v>
      </c>
      <c r="AL30" s="33" t="e">
        <f>#REF!/Trend_VA!AL30*100</f>
        <v>#REF!</v>
      </c>
      <c r="AM30" s="33" t="e">
        <f>#REF!/Trend_VA!AM30*100</f>
        <v>#REF!</v>
      </c>
      <c r="AN30" s="33" t="e">
        <f>#REF!/Trend_VA!AN30*100</f>
        <v>#REF!</v>
      </c>
      <c r="AO30" s="33" t="e">
        <f>#REF!/Trend_VA!AO30*100</f>
        <v>#REF!</v>
      </c>
      <c r="AP30" s="33" t="e">
        <f>#REF!/Trend_VA!AP30*100</f>
        <v>#REF!</v>
      </c>
      <c r="AQ30" s="33" t="e">
        <f>#REF!/Trend_VA!AQ30*100</f>
        <v>#REF!</v>
      </c>
    </row>
    <row r="31" spans="1:43" ht="18" customHeight="1" x14ac:dyDescent="0.2">
      <c r="A31" s="55" t="s">
        <v>71</v>
      </c>
      <c r="B31" s="9" t="e">
        <f>#REF!/Trend_VA!B31*100</f>
        <v>#REF!</v>
      </c>
      <c r="C31" s="9" t="e">
        <f>#REF!/Trend_VA!C31*100</f>
        <v>#REF!</v>
      </c>
      <c r="D31" s="9" t="e">
        <f>#REF!/Trend_VA!D31*100</f>
        <v>#REF!</v>
      </c>
      <c r="E31" s="9" t="e">
        <f>#REF!/Trend_VA!E31*100</f>
        <v>#REF!</v>
      </c>
      <c r="F31" s="9" t="e">
        <f>#REF!/Trend_VA!F31*100</f>
        <v>#REF!</v>
      </c>
      <c r="G31" s="9" t="e">
        <f>#REF!/Trend_VA!G31*100</f>
        <v>#REF!</v>
      </c>
      <c r="H31" s="9" t="e">
        <f>#REF!/Trend_VA!H31*100</f>
        <v>#REF!</v>
      </c>
      <c r="I31" s="9" t="e">
        <f>#REF!/Trend_VA!I31*100</f>
        <v>#REF!</v>
      </c>
      <c r="J31" s="26" t="e">
        <f>#REF!/Trend_VA!J31*100</f>
        <v>#REF!</v>
      </c>
      <c r="K31" s="26" t="e">
        <f>#REF!/Trend_VA!K31*100</f>
        <v>#REF!</v>
      </c>
      <c r="L31" s="26" t="e">
        <f>#REF!/Trend_VA!L31*100</f>
        <v>#REF!</v>
      </c>
      <c r="M31" s="26" t="e">
        <f>#REF!/Trend_VA!M31*100</f>
        <v>#REF!</v>
      </c>
      <c r="N31" s="26" t="e">
        <f>#REF!/Trend_VA!N31*100</f>
        <v>#REF!</v>
      </c>
      <c r="O31" s="26" t="e">
        <f>#REF!/Trend_VA!O31*100</f>
        <v>#REF!</v>
      </c>
      <c r="P31" s="26" t="e">
        <f>#REF!/Trend_VA!P31*100</f>
        <v>#REF!</v>
      </c>
      <c r="Q31" s="26" t="s">
        <v>79</v>
      </c>
      <c r="R31" s="26" t="e">
        <f>#REF!/Trend_VA!R31*100</f>
        <v>#REF!</v>
      </c>
      <c r="S31" s="26" t="e">
        <f>#REF!/Trend_VA!S31*100</f>
        <v>#REF!</v>
      </c>
      <c r="T31" s="26" t="e">
        <f>#REF!/Trend_VA!T31*100</f>
        <v>#REF!</v>
      </c>
      <c r="U31" s="26" t="e">
        <f>#REF!/Trend_VA!U31*100</f>
        <v>#REF!</v>
      </c>
      <c r="V31" s="26" t="e">
        <f>#REF!/Trend_VA!V31*100</f>
        <v>#REF!</v>
      </c>
      <c r="W31" s="26" t="e">
        <f>#REF!/Trend_VA!W31*100</f>
        <v>#REF!</v>
      </c>
      <c r="X31" s="26" t="e">
        <f>#REF!/Trend_VA!X31*100</f>
        <v>#REF!</v>
      </c>
      <c r="Y31" s="26" t="e">
        <f>#REF!/Trend_VA!Y31*100</f>
        <v>#REF!</v>
      </c>
      <c r="Z31" s="26" t="e">
        <f>#REF!/Trend_VA!Z31*100</f>
        <v>#REF!</v>
      </c>
      <c r="AA31" s="26" t="e">
        <f>#REF!/Trend_VA!AA31*100</f>
        <v>#REF!</v>
      </c>
      <c r="AB31" s="26" t="e">
        <f>#REF!/Trend_VA!AB31*100</f>
        <v>#REF!</v>
      </c>
      <c r="AC31" s="26" t="e">
        <f>#REF!/Trend_VA!AC31*100</f>
        <v>#REF!</v>
      </c>
      <c r="AD31" s="26" t="e">
        <f>#REF!/Trend_VA!AD31*100</f>
        <v>#REF!</v>
      </c>
      <c r="AE31" s="26" t="e">
        <f>#REF!/Trend_VA!AE31*100</f>
        <v>#REF!</v>
      </c>
      <c r="AF31" s="33" t="e">
        <f>#REF!/Trend_VA!AF31*100</f>
        <v>#REF!</v>
      </c>
      <c r="AG31" s="33" t="e">
        <f>#REF!/Trend_VA!AG31*100</f>
        <v>#REF!</v>
      </c>
      <c r="AH31" s="33" t="e">
        <f>#REF!/Trend_VA!AH31*100</f>
        <v>#REF!</v>
      </c>
      <c r="AI31" s="33" t="e">
        <f>#REF!/Trend_VA!AI31*100</f>
        <v>#REF!</v>
      </c>
      <c r="AJ31" s="33" t="e">
        <f>#REF!/Trend_VA!AJ31*100</f>
        <v>#REF!</v>
      </c>
      <c r="AK31" s="33" t="e">
        <f>#REF!/Trend_VA!AK31*100</f>
        <v>#REF!</v>
      </c>
      <c r="AL31" s="33" t="e">
        <f>#REF!/Trend_VA!AL31*100</f>
        <v>#REF!</v>
      </c>
      <c r="AM31" s="33" t="e">
        <f>#REF!/Trend_VA!AM31*100</f>
        <v>#REF!</v>
      </c>
      <c r="AN31" s="33" t="e">
        <f>#REF!/Trend_VA!AN31*100</f>
        <v>#REF!</v>
      </c>
      <c r="AO31" s="33" t="e">
        <f>#REF!/Trend_VA!AO31*100</f>
        <v>#REF!</v>
      </c>
      <c r="AP31" s="33" t="e">
        <f>#REF!/Trend_VA!AP31*100</f>
        <v>#REF!</v>
      </c>
      <c r="AQ31" s="33" t="e">
        <f>#REF!/Trend_VA!AQ31*100</f>
        <v>#REF!</v>
      </c>
    </row>
    <row r="32" spans="1:43" ht="18" customHeight="1" x14ac:dyDescent="0.2">
      <c r="A32" s="55" t="s">
        <v>17</v>
      </c>
      <c r="B32" s="9" t="e">
        <f>#REF!/Trend_VA!B32*100</f>
        <v>#REF!</v>
      </c>
      <c r="C32" s="9" t="e">
        <f>#REF!/Trend_VA!C32*100</f>
        <v>#REF!</v>
      </c>
      <c r="D32" s="9" t="e">
        <f>#REF!/Trend_VA!D32*100</f>
        <v>#REF!</v>
      </c>
      <c r="E32" s="9" t="e">
        <f>#REF!/Trend_VA!E32*100</f>
        <v>#REF!</v>
      </c>
      <c r="F32" s="9" t="e">
        <f>#REF!/Trend_VA!F32*100</f>
        <v>#REF!</v>
      </c>
      <c r="G32" s="9" t="e">
        <f>#REF!/Trend_VA!G32*100</f>
        <v>#REF!</v>
      </c>
      <c r="H32" s="9" t="e">
        <f>#REF!/Trend_VA!H32*100</f>
        <v>#REF!</v>
      </c>
      <c r="I32" s="9" t="e">
        <f>#REF!/Trend_VA!I32*100</f>
        <v>#REF!</v>
      </c>
      <c r="J32" s="26" t="e">
        <f>#REF!/Trend_VA!J32*100</f>
        <v>#REF!</v>
      </c>
      <c r="K32" s="26" t="e">
        <f>#REF!/Trend_VA!K32*100</f>
        <v>#REF!</v>
      </c>
      <c r="L32" s="26" t="e">
        <f>#REF!/Trend_VA!L32*100</f>
        <v>#REF!</v>
      </c>
      <c r="M32" s="26" t="e">
        <f>#REF!/Trend_VA!M32*100</f>
        <v>#REF!</v>
      </c>
      <c r="N32" s="26" t="e">
        <f>#REF!/Trend_VA!N32*100</f>
        <v>#REF!</v>
      </c>
      <c r="O32" s="26" t="e">
        <f>#REF!/Trend_VA!O32*100</f>
        <v>#REF!</v>
      </c>
      <c r="P32" s="26" t="e">
        <f>#REF!/Trend_VA!P32*100</f>
        <v>#REF!</v>
      </c>
      <c r="Q32" s="26" t="e">
        <f>#REF!/Trend_VA!Q32*100</f>
        <v>#REF!</v>
      </c>
      <c r="R32" s="26" t="e">
        <f>#REF!/Trend_VA!R32*100</f>
        <v>#REF!</v>
      </c>
      <c r="S32" s="26" t="e">
        <f>#REF!/Trend_VA!S32*100</f>
        <v>#REF!</v>
      </c>
      <c r="T32" s="26" t="e">
        <f>#REF!/Trend_VA!T32*100</f>
        <v>#REF!</v>
      </c>
      <c r="U32" s="26" t="e">
        <f>#REF!/Trend_VA!U32*100</f>
        <v>#REF!</v>
      </c>
      <c r="V32" s="26" t="e">
        <f>#REF!/Trend_VA!V32*100</f>
        <v>#REF!</v>
      </c>
      <c r="W32" s="26" t="e">
        <f>#REF!/Trend_VA!W32*100</f>
        <v>#REF!</v>
      </c>
      <c r="X32" s="26" t="e">
        <f>#REF!/Trend_VA!X32*100</f>
        <v>#REF!</v>
      </c>
      <c r="Y32" s="26" t="e">
        <f>#REF!/Trend_VA!Y32*100</f>
        <v>#REF!</v>
      </c>
      <c r="Z32" s="26" t="e">
        <f>#REF!/Trend_VA!Z32*100</f>
        <v>#REF!</v>
      </c>
      <c r="AA32" s="26" t="e">
        <f>#REF!/Trend_VA!AA32*100</f>
        <v>#REF!</v>
      </c>
      <c r="AB32" s="26" t="e">
        <f>#REF!/Trend_VA!AB32*100</f>
        <v>#REF!</v>
      </c>
      <c r="AC32" s="26" t="e">
        <f>#REF!/Trend_VA!AC32*100</f>
        <v>#REF!</v>
      </c>
      <c r="AD32" s="26" t="e">
        <f>#REF!/Trend_VA!AD32*100</f>
        <v>#REF!</v>
      </c>
      <c r="AE32" s="26" t="e">
        <f>#REF!/Trend_VA!AE32*100</f>
        <v>#REF!</v>
      </c>
      <c r="AF32" s="33" t="e">
        <f>#REF!/Trend_VA!AF32*100</f>
        <v>#REF!</v>
      </c>
      <c r="AG32" s="33" t="e">
        <f>#REF!/Trend_VA!AG32*100</f>
        <v>#REF!</v>
      </c>
      <c r="AH32" s="33" t="e">
        <f>#REF!/Trend_VA!AH32*100</f>
        <v>#REF!</v>
      </c>
      <c r="AI32" s="33" t="e">
        <f>#REF!/Trend_VA!AI32*100</f>
        <v>#REF!</v>
      </c>
      <c r="AJ32" s="33" t="e">
        <f>#REF!/Trend_VA!AJ32*100</f>
        <v>#REF!</v>
      </c>
      <c r="AK32" s="33" t="e">
        <f>#REF!/Trend_VA!AK32*100</f>
        <v>#REF!</v>
      </c>
      <c r="AL32" s="33" t="e">
        <f>#REF!/Trend_VA!AL32*100</f>
        <v>#REF!</v>
      </c>
      <c r="AM32" s="33" t="e">
        <f>#REF!/Trend_VA!AM32*100</f>
        <v>#REF!</v>
      </c>
      <c r="AN32" s="33" t="e">
        <f>#REF!/Trend_VA!AN32*100</f>
        <v>#REF!</v>
      </c>
      <c r="AO32" s="33" t="e">
        <f>#REF!/Trend_VA!AO32*100</f>
        <v>#REF!</v>
      </c>
      <c r="AP32" s="33" t="e">
        <f>#REF!/Trend_VA!AP32*100</f>
        <v>#REF!</v>
      </c>
      <c r="AQ32" s="33" t="e">
        <f>#REF!/Trend_VA!AQ32*100</f>
        <v>#REF!</v>
      </c>
    </row>
    <row r="33" spans="1:43" ht="18" customHeight="1" x14ac:dyDescent="0.2">
      <c r="A33" s="55" t="s">
        <v>59</v>
      </c>
      <c r="B33" s="9" t="e">
        <f>#REF!/Trend_VA!B33*100</f>
        <v>#REF!</v>
      </c>
      <c r="C33" s="9" t="e">
        <f>#REF!/Trend_VA!C33*100</f>
        <v>#REF!</v>
      </c>
      <c r="D33" s="9" t="e">
        <f>#REF!/Trend_VA!D33*100</f>
        <v>#REF!</v>
      </c>
      <c r="E33" s="9" t="e">
        <f>#REF!/Trend_VA!E33*100</f>
        <v>#REF!</v>
      </c>
      <c r="F33" s="9" t="e">
        <f>#REF!/Trend_VA!F33*100</f>
        <v>#REF!</v>
      </c>
      <c r="G33" s="9" t="e">
        <f>#REF!/Trend_VA!G33*100</f>
        <v>#REF!</v>
      </c>
      <c r="H33" s="9" t="e">
        <f>#REF!/Trend_VA!H33*100</f>
        <v>#REF!</v>
      </c>
      <c r="I33" s="9" t="e">
        <f>#REF!/Trend_VA!I33*100</f>
        <v>#REF!</v>
      </c>
      <c r="J33" s="26" t="e">
        <f>#REF!/Trend_VA!J33*100</f>
        <v>#REF!</v>
      </c>
      <c r="K33" s="26" t="e">
        <f>#REF!/Trend_VA!K33*100</f>
        <v>#REF!</v>
      </c>
      <c r="L33" s="26" t="e">
        <f>#REF!/Trend_VA!L33*100</f>
        <v>#REF!</v>
      </c>
      <c r="M33" s="26" t="e">
        <f>#REF!/Trend_VA!M33*100</f>
        <v>#REF!</v>
      </c>
      <c r="N33" s="26" t="e">
        <f>#REF!/Trend_VA!N33*100</f>
        <v>#REF!</v>
      </c>
      <c r="O33" s="26" t="e">
        <f>#REF!/Trend_VA!O33*100</f>
        <v>#REF!</v>
      </c>
      <c r="P33" s="26" t="e">
        <f>#REF!/Trend_VA!P33*100</f>
        <v>#REF!</v>
      </c>
      <c r="Q33" s="26" t="e">
        <f>#REF!/Trend_VA!Q33*100</f>
        <v>#REF!</v>
      </c>
      <c r="R33" s="26" t="e">
        <f>#REF!/Trend_VA!R33*100</f>
        <v>#REF!</v>
      </c>
      <c r="S33" s="26" t="e">
        <f>#REF!/Trend_VA!S33*100</f>
        <v>#REF!</v>
      </c>
      <c r="T33" s="26" t="e">
        <f>#REF!/Trend_VA!T33*100</f>
        <v>#REF!</v>
      </c>
      <c r="U33" s="26" t="e">
        <f>#REF!/Trend_VA!U33*100</f>
        <v>#REF!</v>
      </c>
      <c r="V33" s="26" t="e">
        <f>#REF!/Trend_VA!V33*100</f>
        <v>#REF!</v>
      </c>
      <c r="W33" s="26" t="e">
        <f>#REF!/Trend_VA!W33*100</f>
        <v>#REF!</v>
      </c>
      <c r="X33" s="26" t="e">
        <f>#REF!/Trend_VA!X33*100</f>
        <v>#REF!</v>
      </c>
      <c r="Y33" s="26" t="e">
        <f>#REF!/Trend_VA!Y33*100</f>
        <v>#REF!</v>
      </c>
      <c r="Z33" s="26" t="e">
        <f>#REF!/Trend_VA!Z33*100</f>
        <v>#REF!</v>
      </c>
      <c r="AA33" s="26" t="e">
        <f>#REF!/Trend_VA!AA33*100</f>
        <v>#REF!</v>
      </c>
      <c r="AB33" s="26" t="e">
        <f>#REF!/Trend_VA!AB33*100</f>
        <v>#REF!</v>
      </c>
      <c r="AC33" s="26" t="e">
        <f>#REF!/Trend_VA!AC33*100</f>
        <v>#REF!</v>
      </c>
      <c r="AD33" s="26" t="e">
        <f>#REF!/Trend_VA!AD33*100</f>
        <v>#REF!</v>
      </c>
      <c r="AE33" s="26" t="e">
        <f>#REF!/Trend_VA!AE33*100</f>
        <v>#REF!</v>
      </c>
      <c r="AF33" s="33" t="e">
        <f>#REF!/Trend_VA!AF33*100</f>
        <v>#REF!</v>
      </c>
      <c r="AG33" s="33" t="e">
        <f>#REF!/Trend_VA!AG33*100</f>
        <v>#REF!</v>
      </c>
      <c r="AH33" s="33" t="e">
        <f>#REF!/Trend_VA!AH33*100</f>
        <v>#REF!</v>
      </c>
      <c r="AI33" s="33" t="e">
        <f>#REF!/Trend_VA!AI33*100</f>
        <v>#REF!</v>
      </c>
      <c r="AJ33" s="33" t="e">
        <f>#REF!/Trend_VA!AJ33*100</f>
        <v>#REF!</v>
      </c>
      <c r="AK33" s="33" t="e">
        <f>#REF!/Trend_VA!AK33*100</f>
        <v>#REF!</v>
      </c>
      <c r="AL33" s="33" t="e">
        <f>#REF!/Trend_VA!AL33*100</f>
        <v>#REF!</v>
      </c>
      <c r="AM33" s="33" t="e">
        <f>#REF!/Trend_VA!AM33*100</f>
        <v>#REF!</v>
      </c>
      <c r="AN33" s="33" t="e">
        <f>#REF!/Trend_VA!AN33*100</f>
        <v>#REF!</v>
      </c>
      <c r="AO33" s="33" t="e">
        <f>#REF!/Trend_VA!AO33*100</f>
        <v>#REF!</v>
      </c>
      <c r="AP33" s="33" t="e">
        <f>#REF!/Trend_VA!AP33*100</f>
        <v>#REF!</v>
      </c>
      <c r="AQ33" s="33" t="e">
        <f>#REF!/Trend_VA!AQ33*100</f>
        <v>#REF!</v>
      </c>
    </row>
    <row r="34" spans="1:43" ht="18" customHeight="1" x14ac:dyDescent="0.2">
      <c r="A34" s="17"/>
      <c r="B34" s="14"/>
      <c r="C34" s="14"/>
      <c r="D34" s="14"/>
      <c r="E34" s="14"/>
      <c r="F34" s="14"/>
      <c r="G34" s="14"/>
      <c r="H34" s="14"/>
      <c r="I34" s="14"/>
      <c r="J34" s="26"/>
      <c r="K34" s="26"/>
      <c r="L34" s="26"/>
      <c r="M34" s="26"/>
      <c r="N34" s="26"/>
      <c r="O34" s="26"/>
      <c r="P34" s="26"/>
      <c r="Q34" s="26"/>
      <c r="R34" s="26"/>
      <c r="S34" s="26"/>
      <c r="T34" s="26"/>
      <c r="U34" s="26"/>
      <c r="V34" s="26"/>
      <c r="W34" s="26"/>
      <c r="X34" s="26"/>
      <c r="Y34" s="26"/>
      <c r="Z34" s="26"/>
      <c r="AA34" s="26"/>
      <c r="AB34" s="26"/>
      <c r="AC34" s="26"/>
      <c r="AD34" s="26"/>
      <c r="AE34" s="26"/>
      <c r="AF34" s="33"/>
      <c r="AG34" s="33"/>
      <c r="AH34" s="33"/>
      <c r="AI34" s="33"/>
      <c r="AJ34" s="33"/>
      <c r="AK34" s="33"/>
      <c r="AL34" s="33"/>
      <c r="AM34" s="33"/>
      <c r="AN34" s="33"/>
      <c r="AO34" s="33"/>
      <c r="AP34" s="33"/>
      <c r="AQ34" s="33"/>
    </row>
    <row r="35" spans="1:43" ht="18" customHeight="1" x14ac:dyDescent="0.2">
      <c r="A35" s="2" t="s">
        <v>95</v>
      </c>
      <c r="B35" s="14"/>
      <c r="C35" s="14"/>
      <c r="D35" s="14"/>
      <c r="E35" s="14"/>
      <c r="F35" s="14"/>
      <c r="G35" s="14"/>
      <c r="H35" s="14"/>
      <c r="I35" s="14"/>
      <c r="J35" s="26"/>
      <c r="K35" s="26"/>
      <c r="L35" s="26"/>
      <c r="M35" s="26"/>
      <c r="N35" s="26"/>
      <c r="O35" s="26"/>
      <c r="P35" s="26"/>
      <c r="Q35" s="26"/>
      <c r="R35" s="26"/>
      <c r="S35" s="26"/>
      <c r="T35" s="26"/>
      <c r="U35" s="26"/>
      <c r="V35" s="26"/>
      <c r="W35" s="26"/>
      <c r="X35" s="26"/>
      <c r="Y35" s="26"/>
      <c r="Z35" s="26"/>
      <c r="AA35" s="26"/>
      <c r="AB35" s="26"/>
      <c r="AC35" s="26"/>
      <c r="AD35" s="26"/>
      <c r="AE35" s="26"/>
      <c r="AF35" s="33"/>
      <c r="AG35" s="33"/>
      <c r="AH35" s="33"/>
      <c r="AI35" s="33"/>
      <c r="AJ35" s="33"/>
      <c r="AK35" s="33"/>
      <c r="AL35" s="33"/>
      <c r="AM35" s="33"/>
      <c r="AN35" s="33"/>
      <c r="AO35" s="33"/>
      <c r="AP35" s="33"/>
      <c r="AQ35" s="33"/>
    </row>
    <row r="36" spans="1:43" s="11" customFormat="1" ht="18" customHeight="1" thickBot="1" x14ac:dyDescent="0.25">
      <c r="A36" s="28" t="s">
        <v>76</v>
      </c>
      <c r="B36" s="27" t="e">
        <f>#REF!/Trend_VA!B36*100</f>
        <v>#REF!</v>
      </c>
      <c r="C36" s="27" t="e">
        <f>#REF!/Trend_VA!C36*100</f>
        <v>#REF!</v>
      </c>
      <c r="D36" s="27" t="e">
        <f>#REF!/Trend_VA!D36*100</f>
        <v>#REF!</v>
      </c>
      <c r="E36" s="27" t="e">
        <f>#REF!/Trend_VA!E36*100</f>
        <v>#REF!</v>
      </c>
      <c r="F36" s="27" t="e">
        <f>#REF!/Trend_VA!F36*100</f>
        <v>#REF!</v>
      </c>
      <c r="G36" s="27" t="e">
        <f>#REF!/Trend_VA!G36*100</f>
        <v>#REF!</v>
      </c>
      <c r="H36" s="27" t="e">
        <f>#REF!/Trend_VA!H36*100</f>
        <v>#REF!</v>
      </c>
      <c r="I36" s="27" t="e">
        <f>#REF!/Trend_VA!I36*100</f>
        <v>#REF!</v>
      </c>
      <c r="J36" s="27" t="e">
        <f>#REF!/Trend_VA!J36*100</f>
        <v>#REF!</v>
      </c>
      <c r="K36" s="27" t="e">
        <f>#REF!/Trend_VA!K36*100</f>
        <v>#REF!</v>
      </c>
      <c r="L36" s="27" t="e">
        <f>#REF!/Trend_VA!L36*100</f>
        <v>#REF!</v>
      </c>
      <c r="M36" s="27" t="e">
        <f>#REF!/Trend_VA!M36*100</f>
        <v>#REF!</v>
      </c>
      <c r="N36" s="27" t="e">
        <f>#REF!/Trend_VA!N36*100</f>
        <v>#REF!</v>
      </c>
      <c r="O36" s="27" t="e">
        <f>#REF!/Trend_VA!O36*100</f>
        <v>#REF!</v>
      </c>
      <c r="P36" s="27" t="e">
        <f>#REF!/Trend_VA!P36*100</f>
        <v>#REF!</v>
      </c>
      <c r="Q36" s="27" t="e">
        <f>#REF!/Trend_VA!Q36*100</f>
        <v>#REF!</v>
      </c>
      <c r="R36" s="27" t="e">
        <f>#REF!/Trend_VA!R36*100</f>
        <v>#REF!</v>
      </c>
      <c r="S36" s="27" t="e">
        <f>#REF!/Trend_VA!S36*100</f>
        <v>#REF!</v>
      </c>
      <c r="T36" s="27" t="e">
        <f>#REF!/Trend_VA!T36*100</f>
        <v>#REF!</v>
      </c>
      <c r="U36" s="27" t="e">
        <f>#REF!/Trend_VA!U36*100</f>
        <v>#REF!</v>
      </c>
      <c r="V36" s="27" t="e">
        <f>#REF!/Trend_VA!V36*100</f>
        <v>#REF!</v>
      </c>
      <c r="W36" s="27" t="e">
        <f>#REF!/Trend_VA!W36*100</f>
        <v>#REF!</v>
      </c>
      <c r="X36" s="27" t="e">
        <f>#REF!/Trend_VA!X36*100</f>
        <v>#REF!</v>
      </c>
      <c r="Y36" s="27" t="e">
        <f>#REF!/Trend_VA!Y36*100</f>
        <v>#REF!</v>
      </c>
      <c r="Z36" s="27" t="e">
        <f>#REF!/Trend_VA!Z36*100</f>
        <v>#REF!</v>
      </c>
      <c r="AA36" s="27" t="e">
        <f>#REF!/Trend_VA!AA36*100</f>
        <v>#REF!</v>
      </c>
      <c r="AB36" s="27" t="e">
        <f>#REF!/Trend_VA!AB36*100</f>
        <v>#REF!</v>
      </c>
      <c r="AC36" s="27" t="e">
        <f>#REF!/Trend_VA!AC36*100</f>
        <v>#REF!</v>
      </c>
      <c r="AD36" s="27" t="e">
        <f>#REF!/Trend_VA!AD36*100</f>
        <v>#REF!</v>
      </c>
      <c r="AE36" s="27" t="e">
        <f>#REF!/Trend_VA!AE36*100</f>
        <v>#REF!</v>
      </c>
      <c r="AF36" s="34" t="e">
        <f>#REF!/Trend_VA!AF36*100</f>
        <v>#REF!</v>
      </c>
      <c r="AG36" s="34" t="e">
        <f>#REF!/Trend_VA!AG36*100</f>
        <v>#REF!</v>
      </c>
      <c r="AH36" s="34" t="e">
        <f>#REF!/Trend_VA!AH36*100</f>
        <v>#REF!</v>
      </c>
      <c r="AI36" s="34" t="e">
        <f>#REF!/Trend_VA!AI36*100</f>
        <v>#REF!</v>
      </c>
      <c r="AJ36" s="34" t="e">
        <f>#REF!/Trend_VA!AJ36*100</f>
        <v>#REF!</v>
      </c>
      <c r="AK36" s="34" t="e">
        <f>#REF!/Trend_VA!AK36*100</f>
        <v>#REF!</v>
      </c>
      <c r="AL36" s="34" t="e">
        <f>#REF!/Trend_VA!AL36*100</f>
        <v>#REF!</v>
      </c>
      <c r="AM36" s="34" t="e">
        <f>#REF!/Trend_VA!AM36*100</f>
        <v>#REF!</v>
      </c>
      <c r="AN36" s="34" t="e">
        <f>#REF!/Trend_VA!AN36*100</f>
        <v>#REF!</v>
      </c>
      <c r="AO36" s="34" t="e">
        <f>#REF!/Trend_VA!AO36*100</f>
        <v>#REF!</v>
      </c>
      <c r="AP36" s="34" t="e">
        <f>#REF!/Trend_VA!AP36*100</f>
        <v>#REF!</v>
      </c>
      <c r="AQ36" s="34" t="e">
        <f>#REF!/Trend_VA!AQ36*100</f>
        <v>#REF!</v>
      </c>
    </row>
    <row r="37" spans="1:43" x14ac:dyDescent="0.2">
      <c r="A37" s="13" t="s">
        <v>50</v>
      </c>
      <c r="AC37" s="5"/>
    </row>
    <row r="38" spans="1:43" x14ac:dyDescent="0.2">
      <c r="Z38" s="5">
        <v>8.5</v>
      </c>
      <c r="AC38" s="5"/>
    </row>
    <row r="39" spans="1:43" x14ac:dyDescent="0.2">
      <c r="AC39" s="5"/>
    </row>
    <row r="40" spans="1:43" x14ac:dyDescent="0.2">
      <c r="AC40" s="5"/>
    </row>
    <row r="41" spans="1:43" x14ac:dyDescent="0.2">
      <c r="AC41" s="5"/>
    </row>
    <row r="42" spans="1:43" x14ac:dyDescent="0.2">
      <c r="AC42" s="5"/>
    </row>
    <row r="43" spans="1:43" x14ac:dyDescent="0.2">
      <c r="AC43" s="5"/>
    </row>
    <row r="44" spans="1:43" x14ac:dyDescent="0.2">
      <c r="AC44" s="5"/>
    </row>
    <row r="45" spans="1:43" x14ac:dyDescent="0.2">
      <c r="AC45" s="5"/>
    </row>
    <row r="46" spans="1:43" x14ac:dyDescent="0.2">
      <c r="AC46" s="5"/>
    </row>
    <row r="47" spans="1:43" x14ac:dyDescent="0.2">
      <c r="AC47" s="5"/>
    </row>
    <row r="48" spans="1:43" x14ac:dyDescent="0.2">
      <c r="AC48" s="5"/>
    </row>
    <row r="49" spans="29:29" x14ac:dyDescent="0.2">
      <c r="AC49" s="5"/>
    </row>
    <row r="50" spans="29:29" x14ac:dyDescent="0.2">
      <c r="AC50" s="5"/>
    </row>
    <row r="51" spans="29:29" x14ac:dyDescent="0.2">
      <c r="AC51" s="5"/>
    </row>
    <row r="52" spans="29:29" x14ac:dyDescent="0.2">
      <c r="AC52" s="5"/>
    </row>
    <row r="53" spans="29:29" x14ac:dyDescent="0.2">
      <c r="AC53" s="5"/>
    </row>
    <row r="54" spans="29:29" x14ac:dyDescent="0.2">
      <c r="AC54" s="5"/>
    </row>
    <row r="55" spans="29:29" x14ac:dyDescent="0.2">
      <c r="AC55" s="5"/>
    </row>
    <row r="56" spans="29:29" x14ac:dyDescent="0.2">
      <c r="AC56" s="5"/>
    </row>
    <row r="57" spans="29:29" x14ac:dyDescent="0.2">
      <c r="AC57" s="5"/>
    </row>
  </sheetData>
  <mergeCells count="11">
    <mergeCell ref="T3:W3"/>
    <mergeCell ref="B3:C3"/>
    <mergeCell ref="D3:G3"/>
    <mergeCell ref="H3:K3"/>
    <mergeCell ref="L3:O3"/>
    <mergeCell ref="P3:S3"/>
    <mergeCell ref="AJ3:AM3"/>
    <mergeCell ref="AF3:AI3"/>
    <mergeCell ref="AB3:AE3"/>
    <mergeCell ref="X3:AA3"/>
    <mergeCell ref="AN3:AQ3"/>
  </mergeCells>
  <pageMargins left="0.5" right="0" top="0.5" bottom="0" header="0" footer="0"/>
  <pageSetup paperSize="9" scale="7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
  <sheetViews>
    <sheetView workbookViewId="0">
      <selection activeCell="Y52" sqref="Y52"/>
    </sheetView>
  </sheetViews>
  <sheetFormatPr defaultRowHeight="15" x14ac:dyDescent="0.25"/>
  <sheetData/>
  <pageMargins left="0.5" right="0" top="0.5" bottom="0" header="0" footer="0"/>
  <pageSetup paperSize="9"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B63:G68"/>
  <sheetViews>
    <sheetView topLeftCell="A10" workbookViewId="0">
      <selection activeCell="P57" sqref="P57"/>
    </sheetView>
  </sheetViews>
  <sheetFormatPr defaultRowHeight="15" x14ac:dyDescent="0.25"/>
  <sheetData>
    <row r="63" spans="2:7" x14ac:dyDescent="0.25">
      <c r="G63" s="29"/>
    </row>
    <row r="64" spans="2:7" x14ac:dyDescent="0.25">
      <c r="B64" s="3"/>
      <c r="C64" s="29"/>
    </row>
    <row r="65" spans="2:3" x14ac:dyDescent="0.25">
      <c r="B65" s="3"/>
      <c r="C65" s="29"/>
    </row>
    <row r="66" spans="2:3" x14ac:dyDescent="0.25">
      <c r="B66" s="3"/>
      <c r="C66" s="29"/>
    </row>
    <row r="67" spans="2:3" x14ac:dyDescent="0.25">
      <c r="B67" s="4"/>
      <c r="C67" s="29"/>
    </row>
    <row r="68" spans="2:3" x14ac:dyDescent="0.25">
      <c r="B68" s="2"/>
      <c r="C68" s="30"/>
    </row>
  </sheetData>
  <pageMargins left="0.5" right="0" top="0.5" bottom="0" header="0" footer="0"/>
  <pageSetup paperSize="9"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autoPageBreaks="0"/>
  </sheetPr>
  <dimension ref="A1:BX166"/>
  <sheetViews>
    <sheetView view="pageBreakPreview" zoomScale="96" zoomScaleNormal="100" zoomScaleSheetLayoutView="96" workbookViewId="0">
      <pane xSplit="3" ySplit="2" topLeftCell="BB27" activePane="bottomRight" state="frozen"/>
      <selection activeCell="C1" sqref="C1:AK1048576"/>
      <selection pane="topRight" activeCell="C1" sqref="C1:AK1048576"/>
      <selection pane="bottomLeft" activeCell="C1" sqref="C1:AK1048576"/>
      <selection pane="bottomRight" activeCell="C1" sqref="C1:AK1048576"/>
    </sheetView>
  </sheetViews>
  <sheetFormatPr defaultColWidth="9.140625" defaultRowHeight="17.100000000000001" customHeight="1" x14ac:dyDescent="0.2"/>
  <cols>
    <col min="1" max="1" width="6.28515625" style="187" customWidth="1"/>
    <col min="2" max="2" width="41.28515625" style="187" customWidth="1"/>
    <col min="3" max="3" width="7.140625" style="187" hidden="1" customWidth="1"/>
    <col min="4" max="17" width="9.28515625" style="187" hidden="1" customWidth="1"/>
    <col min="18" max="25" width="9.7109375" style="187" hidden="1" customWidth="1"/>
    <col min="26" max="26" width="9.85546875" style="187" hidden="1" customWidth="1"/>
    <col min="27" max="28" width="9.7109375" style="187" hidden="1" customWidth="1"/>
    <col min="29" max="29" width="10.42578125" style="187" hidden="1" customWidth="1"/>
    <col min="30" max="37" width="9.7109375" style="187" hidden="1" customWidth="1"/>
    <col min="38" max="48" width="9.7109375" style="187" customWidth="1"/>
    <col min="49" max="49" width="10.42578125" style="187" customWidth="1"/>
    <col min="50" max="50" width="9.85546875" style="187" bestFit="1" customWidth="1"/>
    <col min="51" max="51" width="8.42578125" style="187" customWidth="1"/>
    <col min="52" max="52" width="10.28515625" style="187" bestFit="1" customWidth="1"/>
    <col min="53" max="53" width="9.85546875" style="187" bestFit="1" customWidth="1"/>
    <col min="54" max="54" width="10.28515625" style="187" bestFit="1" customWidth="1"/>
    <col min="55" max="55" width="9.85546875" style="187" bestFit="1" customWidth="1"/>
    <col min="56" max="56" width="10.5703125" style="187" bestFit="1" customWidth="1"/>
    <col min="57" max="57" width="10.28515625" style="187" bestFit="1" customWidth="1"/>
    <col min="58" max="60" width="9.85546875" style="187" bestFit="1" customWidth="1"/>
    <col min="61" max="61" width="9.28515625" style="187" bestFit="1" customWidth="1"/>
    <col min="62" max="62" width="11.7109375" style="187" bestFit="1" customWidth="1"/>
    <col min="63" max="63" width="10.7109375" style="187" bestFit="1" customWidth="1"/>
    <col min="64" max="64" width="9.85546875" style="187" bestFit="1" customWidth="1"/>
    <col min="65" max="65" width="11.28515625" style="187" bestFit="1" customWidth="1"/>
    <col min="66" max="66" width="10.7109375" style="187" customWidth="1"/>
    <col min="67" max="16384" width="9.140625" style="187"/>
  </cols>
  <sheetData>
    <row r="1" spans="1:76" ht="17.100000000000001" customHeight="1" x14ac:dyDescent="0.2">
      <c r="A1" s="187" t="s">
        <v>172</v>
      </c>
      <c r="B1" s="196"/>
      <c r="D1" s="214" t="s">
        <v>171</v>
      </c>
      <c r="E1" s="187" t="s">
        <v>171</v>
      </c>
      <c r="F1" s="187" t="s">
        <v>171</v>
      </c>
      <c r="G1" s="187" t="s">
        <v>171</v>
      </c>
      <c r="H1" s="187" t="s">
        <v>170</v>
      </c>
      <c r="I1" s="187" t="s">
        <v>170</v>
      </c>
      <c r="J1" s="187" t="s">
        <v>170</v>
      </c>
      <c r="K1" s="187" t="s">
        <v>170</v>
      </c>
      <c r="L1" s="187" t="s">
        <v>169</v>
      </c>
      <c r="M1" s="187" t="s">
        <v>169</v>
      </c>
      <c r="N1" s="187" t="s">
        <v>169</v>
      </c>
      <c r="O1" s="187" t="s">
        <v>169</v>
      </c>
      <c r="P1" s="187" t="s">
        <v>168</v>
      </c>
      <c r="Q1" s="187" t="s">
        <v>168</v>
      </c>
      <c r="R1" s="187" t="s">
        <v>168</v>
      </c>
      <c r="S1" s="187" t="s">
        <v>168</v>
      </c>
      <c r="T1" s="187" t="s">
        <v>167</v>
      </c>
      <c r="U1" s="187" t="s">
        <v>167</v>
      </c>
      <c r="V1" s="187" t="s">
        <v>167</v>
      </c>
      <c r="W1" s="187" t="s">
        <v>167</v>
      </c>
      <c r="X1" s="187" t="s">
        <v>166</v>
      </c>
      <c r="Y1" s="187" t="s">
        <v>166</v>
      </c>
      <c r="Z1" s="187" t="s">
        <v>166</v>
      </c>
      <c r="AA1" s="187" t="s">
        <v>166</v>
      </c>
      <c r="AB1" s="187" t="s">
        <v>165</v>
      </c>
      <c r="AC1" s="187" t="s">
        <v>165</v>
      </c>
      <c r="AD1" s="187" t="s">
        <v>165</v>
      </c>
      <c r="AE1" s="187" t="s">
        <v>165</v>
      </c>
      <c r="AF1" s="187" t="s">
        <v>164</v>
      </c>
      <c r="AG1" s="222">
        <v>2015</v>
      </c>
      <c r="AH1" s="222">
        <v>2015</v>
      </c>
      <c r="AI1" s="222">
        <v>2015</v>
      </c>
      <c r="AJ1" s="222">
        <v>2016</v>
      </c>
      <c r="AK1" s="222">
        <v>2016</v>
      </c>
      <c r="AL1" s="222">
        <v>2016</v>
      </c>
      <c r="AM1" s="222">
        <v>2016</v>
      </c>
      <c r="AN1" s="222">
        <v>2017</v>
      </c>
      <c r="AO1" s="222">
        <v>2017</v>
      </c>
      <c r="AP1" s="222">
        <v>2017</v>
      </c>
      <c r="AQ1" s="222">
        <v>2017</v>
      </c>
      <c r="AR1" s="222">
        <v>2018</v>
      </c>
      <c r="AS1" s="222">
        <v>2018</v>
      </c>
      <c r="AT1" s="222">
        <v>2018</v>
      </c>
      <c r="AU1" s="222">
        <v>2018</v>
      </c>
      <c r="AV1" s="222">
        <v>2019</v>
      </c>
      <c r="AW1" s="222">
        <v>2019</v>
      </c>
      <c r="AX1" s="222">
        <v>2019</v>
      </c>
      <c r="AY1" s="222">
        <v>2019</v>
      </c>
      <c r="AZ1" s="222">
        <v>2020</v>
      </c>
      <c r="BA1" s="222">
        <v>2020</v>
      </c>
      <c r="BB1" s="222">
        <v>2020</v>
      </c>
      <c r="BC1" s="222">
        <v>2020</v>
      </c>
      <c r="BD1" s="222">
        <v>2021</v>
      </c>
      <c r="BE1" s="222">
        <v>2021</v>
      </c>
      <c r="BF1" s="222">
        <v>2021</v>
      </c>
      <c r="BG1" s="222">
        <v>2021</v>
      </c>
      <c r="BH1" s="222">
        <v>2022</v>
      </c>
      <c r="BI1" s="222">
        <v>2022</v>
      </c>
      <c r="BJ1" s="222">
        <v>2022</v>
      </c>
      <c r="BK1" s="222">
        <v>2022</v>
      </c>
      <c r="BL1" s="222">
        <v>2023</v>
      </c>
      <c r="BM1" s="222">
        <v>2023</v>
      </c>
      <c r="BN1" s="222">
        <v>2023</v>
      </c>
      <c r="BO1" s="222">
        <v>2023</v>
      </c>
      <c r="BP1" s="222">
        <v>2024</v>
      </c>
      <c r="BQ1" s="222">
        <v>2024</v>
      </c>
      <c r="BR1" s="222">
        <v>2024</v>
      </c>
      <c r="BS1" s="222">
        <v>2024</v>
      </c>
      <c r="BT1" s="222">
        <v>2025</v>
      </c>
      <c r="BU1" s="222">
        <v>2025</v>
      </c>
      <c r="BV1" s="222">
        <v>2025</v>
      </c>
      <c r="BW1" s="222">
        <v>2026</v>
      </c>
      <c r="BX1" s="222">
        <v>2026</v>
      </c>
    </row>
    <row r="2" spans="1:76" s="198" customFormat="1" ht="17.100000000000001" customHeight="1" x14ac:dyDescent="0.2">
      <c r="A2" s="221"/>
      <c r="B2" s="220" t="s">
        <v>163</v>
      </c>
      <c r="C2" s="219"/>
      <c r="F2" s="198" t="s">
        <v>66</v>
      </c>
      <c r="G2" s="198" t="s">
        <v>66</v>
      </c>
      <c r="H2" s="198" t="s">
        <v>66</v>
      </c>
      <c r="I2" s="198" t="s">
        <v>66</v>
      </c>
      <c r="J2" s="198" t="s">
        <v>60</v>
      </c>
      <c r="K2" s="198" t="s">
        <v>60</v>
      </c>
      <c r="L2" s="198" t="s">
        <v>60</v>
      </c>
      <c r="M2" s="198" t="s">
        <v>60</v>
      </c>
      <c r="N2" s="198" t="s">
        <v>61</v>
      </c>
      <c r="O2" s="198" t="s">
        <v>61</v>
      </c>
      <c r="P2" s="198" t="s">
        <v>61</v>
      </c>
      <c r="Q2" s="198" t="s">
        <v>61</v>
      </c>
      <c r="R2" s="198" t="s">
        <v>62</v>
      </c>
      <c r="S2" s="198" t="s">
        <v>62</v>
      </c>
      <c r="T2" s="198" t="s">
        <v>62</v>
      </c>
      <c r="U2" s="198" t="s">
        <v>62</v>
      </c>
      <c r="V2" s="198" t="s">
        <v>63</v>
      </c>
      <c r="W2" s="198" t="s">
        <v>63</v>
      </c>
      <c r="X2" s="198" t="s">
        <v>63</v>
      </c>
      <c r="Y2" s="198" t="s">
        <v>63</v>
      </c>
      <c r="Z2" s="198" t="s">
        <v>64</v>
      </c>
      <c r="AA2" s="198" t="s">
        <v>64</v>
      </c>
      <c r="AB2" s="198" t="s">
        <v>64</v>
      </c>
      <c r="AC2" s="198" t="s">
        <v>64</v>
      </c>
      <c r="AD2" s="198" t="s">
        <v>65</v>
      </c>
      <c r="AE2" s="198" t="s">
        <v>65</v>
      </c>
      <c r="AF2" s="198" t="s">
        <v>65</v>
      </c>
      <c r="AG2" s="198" t="s">
        <v>65</v>
      </c>
      <c r="AH2" s="198" t="s">
        <v>77</v>
      </c>
      <c r="AI2" s="198" t="s">
        <v>77</v>
      </c>
      <c r="AJ2" s="198" t="s">
        <v>77</v>
      </c>
      <c r="AK2" s="198" t="s">
        <v>77</v>
      </c>
      <c r="AL2" s="270" t="s">
        <v>80</v>
      </c>
      <c r="AM2" s="270"/>
      <c r="AN2" s="270"/>
      <c r="AO2" s="270"/>
      <c r="AP2" s="270" t="s">
        <v>92</v>
      </c>
      <c r="AQ2" s="270"/>
      <c r="AR2" s="270"/>
      <c r="AS2" s="270"/>
      <c r="AT2" s="270" t="s">
        <v>134</v>
      </c>
      <c r="AU2" s="270"/>
      <c r="AV2" s="270"/>
      <c r="AW2" s="270"/>
      <c r="AX2" s="270" t="s">
        <v>136</v>
      </c>
      <c r="AY2" s="270"/>
      <c r="AZ2" s="270"/>
      <c r="BA2" s="270"/>
      <c r="BB2" s="270" t="s">
        <v>137</v>
      </c>
      <c r="BC2" s="270"/>
      <c r="BD2" s="270"/>
      <c r="BE2" s="270"/>
      <c r="BF2" s="270" t="s">
        <v>138</v>
      </c>
      <c r="BG2" s="270"/>
      <c r="BH2" s="270"/>
      <c r="BI2" s="270"/>
      <c r="BJ2" s="270" t="s">
        <v>139</v>
      </c>
      <c r="BK2" s="270"/>
      <c r="BL2" s="270"/>
      <c r="BM2" s="270"/>
      <c r="BN2" s="270" t="s">
        <v>140</v>
      </c>
      <c r="BO2" s="270"/>
      <c r="BP2" s="270"/>
      <c r="BQ2" s="270"/>
      <c r="BR2" s="270" t="s">
        <v>174</v>
      </c>
      <c r="BS2" s="270"/>
      <c r="BT2" s="270"/>
      <c r="BU2" s="270"/>
      <c r="BV2" s="198" t="s">
        <v>175</v>
      </c>
    </row>
    <row r="3" spans="1:76" s="192" customFormat="1" ht="17.100000000000001" customHeight="1" x14ac:dyDescent="0.2">
      <c r="A3" s="195"/>
      <c r="B3" s="194" t="s">
        <v>162</v>
      </c>
      <c r="D3" s="215"/>
      <c r="E3" s="215"/>
      <c r="F3" s="215"/>
      <c r="G3" s="215"/>
      <c r="H3" s="215"/>
      <c r="I3" s="215"/>
      <c r="J3" s="215"/>
      <c r="K3" s="215"/>
      <c r="L3" s="215"/>
      <c r="M3" s="215"/>
      <c r="N3" s="214"/>
      <c r="O3" s="214"/>
      <c r="P3" s="214"/>
      <c r="Q3" s="214"/>
      <c r="R3" s="214"/>
      <c r="S3" s="214"/>
      <c r="T3" s="214"/>
      <c r="U3" s="214"/>
      <c r="V3" s="214"/>
      <c r="W3" s="214"/>
      <c r="X3" s="214"/>
      <c r="Y3" s="214"/>
      <c r="Z3" s="214"/>
      <c r="AA3" s="214"/>
      <c r="AB3" s="214"/>
      <c r="AC3" s="214"/>
      <c r="AD3" s="214"/>
      <c r="AE3" s="214"/>
      <c r="AF3" s="214"/>
      <c r="AG3" s="214"/>
      <c r="AH3" s="218"/>
      <c r="AI3" s="217"/>
      <c r="AJ3" s="217"/>
      <c r="AK3" s="217"/>
      <c r="AL3" s="217"/>
      <c r="AM3" s="217"/>
      <c r="AN3" s="217"/>
      <c r="AO3" s="217"/>
      <c r="AP3" s="203" t="s">
        <v>46</v>
      </c>
      <c r="AQ3" s="203" t="s">
        <v>47</v>
      </c>
      <c r="AR3" s="203" t="s">
        <v>48</v>
      </c>
      <c r="AS3" s="203" t="s">
        <v>49</v>
      </c>
      <c r="AT3" s="203" t="s">
        <v>46</v>
      </c>
      <c r="AU3" s="203" t="s">
        <v>47</v>
      </c>
      <c r="AV3" s="203" t="s">
        <v>48</v>
      </c>
      <c r="AW3" s="203" t="s">
        <v>49</v>
      </c>
      <c r="AX3" s="203" t="s">
        <v>46</v>
      </c>
      <c r="AY3" s="203" t="s">
        <v>47</v>
      </c>
      <c r="AZ3" s="203" t="s">
        <v>48</v>
      </c>
      <c r="BA3" s="203" t="s">
        <v>49</v>
      </c>
      <c r="BB3" s="203" t="s">
        <v>46</v>
      </c>
      <c r="BC3" s="203" t="s">
        <v>47</v>
      </c>
      <c r="BD3" s="203" t="s">
        <v>48</v>
      </c>
      <c r="BE3" s="203" t="s">
        <v>49</v>
      </c>
      <c r="BF3" s="203" t="s">
        <v>46</v>
      </c>
      <c r="BG3" s="203" t="s">
        <v>47</v>
      </c>
      <c r="BH3" s="203" t="s">
        <v>48</v>
      </c>
      <c r="BI3" s="203" t="s">
        <v>49</v>
      </c>
      <c r="BJ3" s="203" t="s">
        <v>46</v>
      </c>
      <c r="BK3" s="203" t="s">
        <v>47</v>
      </c>
      <c r="BL3" s="203" t="s">
        <v>48</v>
      </c>
      <c r="BM3" s="203" t="s">
        <v>49</v>
      </c>
      <c r="BN3" s="203" t="s">
        <v>46</v>
      </c>
      <c r="BO3" s="203" t="s">
        <v>47</v>
      </c>
      <c r="BP3" s="203" t="s">
        <v>48</v>
      </c>
      <c r="BQ3" s="203" t="s">
        <v>49</v>
      </c>
      <c r="BR3" s="203" t="s">
        <v>46</v>
      </c>
      <c r="BS3" s="203" t="s">
        <v>47</v>
      </c>
      <c r="BT3" s="203" t="s">
        <v>48</v>
      </c>
      <c r="BU3" s="203" t="s">
        <v>49</v>
      </c>
      <c r="BV3" s="203" t="s">
        <v>46</v>
      </c>
      <c r="BW3" s="203" t="s">
        <v>47</v>
      </c>
      <c r="BX3" s="203" t="s">
        <v>48</v>
      </c>
    </row>
    <row r="4" spans="1:76" s="195" customFormat="1" ht="17.100000000000001" customHeight="1" x14ac:dyDescent="0.2">
      <c r="B4" s="194" t="s">
        <v>160</v>
      </c>
      <c r="D4" s="210"/>
      <c r="E4" s="210"/>
      <c r="F4" s="210"/>
      <c r="G4" s="210"/>
      <c r="H4" s="210"/>
      <c r="I4" s="210"/>
      <c r="J4" s="210"/>
      <c r="K4" s="210"/>
      <c r="L4" s="210"/>
      <c r="M4" s="210"/>
      <c r="N4" s="209">
        <v>17670.769776159486</v>
      </c>
      <c r="O4" s="209">
        <v>19035.235972600465</v>
      </c>
      <c r="P4" s="209">
        <v>17268.990533486212</v>
      </c>
      <c r="Q4" s="209">
        <v>16714.200555001182</v>
      </c>
      <c r="R4" s="209">
        <v>25224.711887609781</v>
      </c>
      <c r="S4" s="209">
        <v>14412.213480520899</v>
      </c>
      <c r="T4" s="209">
        <v>16244.626847757803</v>
      </c>
      <c r="U4" s="209">
        <v>17346.321763223863</v>
      </c>
      <c r="V4" s="209">
        <v>18425.418650418163</v>
      </c>
      <c r="W4" s="209">
        <v>21064.873758087604</v>
      </c>
      <c r="X4" s="209">
        <v>17593.409783982264</v>
      </c>
      <c r="Y4" s="209">
        <v>16234.390113876916</v>
      </c>
      <c r="Z4" s="209">
        <v>12928.251630777315</v>
      </c>
      <c r="AA4" s="209">
        <v>14976.700246108523</v>
      </c>
      <c r="AB4" s="209">
        <v>18572.468997176409</v>
      </c>
      <c r="AC4" s="209">
        <v>29009.963367964843</v>
      </c>
      <c r="AD4" s="209">
        <v>19954.804210813574</v>
      </c>
      <c r="AE4" s="209">
        <v>20677.792409998663</v>
      </c>
      <c r="AF4" s="209">
        <v>20629.402403243919</v>
      </c>
      <c r="AG4" s="209">
        <v>22799.115869729583</v>
      </c>
      <c r="AH4" s="209">
        <v>20861.096171856352</v>
      </c>
      <c r="AI4" s="209">
        <v>19673.628586724692</v>
      </c>
      <c r="AJ4" s="209">
        <v>25087.481191490275</v>
      </c>
      <c r="AK4" s="209">
        <v>19038.645929762024</v>
      </c>
      <c r="AL4" s="209">
        <v>21056.107659666635</v>
      </c>
      <c r="AM4" s="209">
        <v>21809.964217172848</v>
      </c>
      <c r="AN4" s="209">
        <v>20873.406818202853</v>
      </c>
      <c r="AO4" s="209">
        <v>21882.070998222905</v>
      </c>
      <c r="AP4" s="209">
        <v>23635.342638717837</v>
      </c>
      <c r="AQ4" s="209">
        <v>22889.457256345526</v>
      </c>
      <c r="AR4" s="209">
        <v>23080.407177582856</v>
      </c>
      <c r="AS4" s="209">
        <v>24400.68566500708</v>
      </c>
      <c r="AT4" s="209">
        <v>24578.43327601417</v>
      </c>
      <c r="AU4" s="209">
        <v>25052.236754660204</v>
      </c>
      <c r="AV4" s="209">
        <v>24429.743935466737</v>
      </c>
      <c r="AW4" s="209">
        <v>26518.577021378514</v>
      </c>
      <c r="AX4" s="209">
        <v>27496.760978406703</v>
      </c>
      <c r="AY4" s="209">
        <v>27762.146905680787</v>
      </c>
      <c r="AZ4" s="209">
        <v>24507.263587070323</v>
      </c>
      <c r="BA4" s="209">
        <v>24079.788967304845</v>
      </c>
      <c r="BB4" s="209">
        <v>27567.684877968059</v>
      </c>
      <c r="BC4" s="209">
        <v>28215.330569276066</v>
      </c>
      <c r="BD4" s="209">
        <v>26474.967313479643</v>
      </c>
      <c r="BE4" s="209">
        <v>27848.231985009475</v>
      </c>
      <c r="BF4" s="209">
        <v>27972.652227079911</v>
      </c>
      <c r="BG4" s="209">
        <v>28348.572766325378</v>
      </c>
      <c r="BH4" s="209">
        <v>28267.668227164177</v>
      </c>
      <c r="BI4" s="209">
        <v>30291.768339245165</v>
      </c>
      <c r="BJ4" s="209">
        <v>31361.550372385107</v>
      </c>
      <c r="BK4" s="209">
        <v>30181.181313021527</v>
      </c>
      <c r="BL4" s="209">
        <v>27673.231780061164</v>
      </c>
      <c r="BM4" s="209">
        <v>29957.687700334976</v>
      </c>
      <c r="BN4" s="209">
        <v>32920.64865900937</v>
      </c>
      <c r="BO4" s="209">
        <v>31184.090404887385</v>
      </c>
      <c r="BP4" s="209">
        <v>27447.646129586959</v>
      </c>
      <c r="BQ4" s="209">
        <v>30593.884546306756</v>
      </c>
      <c r="BR4" s="209">
        <v>35471.9751910372</v>
      </c>
      <c r="BS4" s="209">
        <v>32619.17916369567</v>
      </c>
      <c r="BT4" s="209">
        <v>33546.458147094148</v>
      </c>
      <c r="BU4" s="209">
        <v>33303.937907518382</v>
      </c>
      <c r="BV4" s="209">
        <v>40054.617809142801</v>
      </c>
      <c r="BW4" s="209">
        <v>38418.89995841129</v>
      </c>
      <c r="BX4" s="209">
        <v>34624.763636516036</v>
      </c>
    </row>
    <row r="5" spans="1:76" s="192" customFormat="1" ht="17.100000000000001" customHeight="1" x14ac:dyDescent="0.2">
      <c r="A5" s="195"/>
      <c r="B5" s="193" t="s">
        <v>159</v>
      </c>
      <c r="D5" s="215"/>
      <c r="E5" s="215"/>
      <c r="F5" s="215"/>
      <c r="G5" s="215"/>
      <c r="H5" s="215"/>
      <c r="I5" s="215"/>
      <c r="J5" s="215"/>
      <c r="K5" s="215"/>
      <c r="L5" s="215"/>
      <c r="M5" s="215"/>
      <c r="N5" s="214">
        <v>1848.5210924358169</v>
      </c>
      <c r="O5" s="214">
        <v>2337.7270646029565</v>
      </c>
      <c r="P5" s="214">
        <v>2488.9035163646549</v>
      </c>
      <c r="Q5" s="214">
        <v>2268.2861847981603</v>
      </c>
      <c r="R5" s="214">
        <v>1633.7447368593837</v>
      </c>
      <c r="S5" s="214">
        <v>1573.9831348815192</v>
      </c>
      <c r="T5" s="214">
        <v>1584.4309977876535</v>
      </c>
      <c r="U5" s="214">
        <v>1729.7950060724479</v>
      </c>
      <c r="V5" s="214">
        <v>1560.5120895500509</v>
      </c>
      <c r="W5" s="214">
        <v>1684.541092175165</v>
      </c>
      <c r="X5" s="214">
        <v>1580.0902021791301</v>
      </c>
      <c r="Y5" s="214">
        <v>1706.230610670133</v>
      </c>
      <c r="Z5" s="214">
        <v>1462.4913026357578</v>
      </c>
      <c r="AA5" s="214">
        <v>1617.6025924355499</v>
      </c>
      <c r="AB5" s="214">
        <v>1764.79215445007</v>
      </c>
      <c r="AC5" s="214">
        <v>2178.1530920402615</v>
      </c>
      <c r="AD5" s="214">
        <v>1788.710453331925</v>
      </c>
      <c r="AE5" s="214">
        <v>2033.0957667641819</v>
      </c>
      <c r="AF5" s="214">
        <v>2012.5842190602998</v>
      </c>
      <c r="AG5" s="214">
        <v>2276.151861777083</v>
      </c>
      <c r="AH5" s="214">
        <v>1871.8745701527791</v>
      </c>
      <c r="AI5" s="214">
        <v>2104.046547668479</v>
      </c>
      <c r="AJ5" s="214">
        <v>1756.2236354888503</v>
      </c>
      <c r="AK5" s="214">
        <v>1968.2345551859296</v>
      </c>
      <c r="AL5" s="214">
        <v>1993.8505741861045</v>
      </c>
      <c r="AM5" s="214">
        <v>2102.9781926589262</v>
      </c>
      <c r="AN5" s="214">
        <v>2058.944608531709</v>
      </c>
      <c r="AO5" s="214">
        <v>2535.9086076797525</v>
      </c>
      <c r="AP5" s="214">
        <v>2354.6136063927602</v>
      </c>
      <c r="AQ5" s="214">
        <v>2575.5964773467949</v>
      </c>
      <c r="AR5" s="214">
        <v>2456.0320627537008</v>
      </c>
      <c r="AS5" s="214">
        <v>2687.4358538554607</v>
      </c>
      <c r="AT5" s="214">
        <v>2424.470745990533</v>
      </c>
      <c r="AU5" s="214">
        <v>2664.4655925732927</v>
      </c>
      <c r="AV5" s="214">
        <v>2471.3662836437929</v>
      </c>
      <c r="AW5" s="214">
        <v>3312.0474211925157</v>
      </c>
      <c r="AX5" s="214">
        <v>2637.0772208715771</v>
      </c>
      <c r="AY5" s="214">
        <v>3251.1259147918736</v>
      </c>
      <c r="AZ5" s="214">
        <v>3009.6176969571557</v>
      </c>
      <c r="BA5" s="214">
        <v>3359.6022267348462</v>
      </c>
      <c r="BB5" s="214">
        <v>2846.0464262948171</v>
      </c>
      <c r="BC5" s="214">
        <v>3376.3583148684506</v>
      </c>
      <c r="BD5" s="214">
        <v>3362.9828430998909</v>
      </c>
      <c r="BE5" s="214">
        <v>3472.7614859392938</v>
      </c>
      <c r="BF5" s="214">
        <v>3032.8622559244236</v>
      </c>
      <c r="BG5" s="214">
        <v>3015.657572038624</v>
      </c>
      <c r="BH5" s="214">
        <v>3658.1946967281069</v>
      </c>
      <c r="BI5" s="214">
        <v>4024.1060543918406</v>
      </c>
      <c r="BJ5" s="214">
        <v>3634.3062206339118</v>
      </c>
      <c r="BK5" s="214">
        <v>3550.8515514329642</v>
      </c>
      <c r="BL5" s="214">
        <v>3429.2703058640359</v>
      </c>
      <c r="BM5" s="214">
        <v>3641.071842746338</v>
      </c>
      <c r="BN5" s="214">
        <v>3683.2098217682742</v>
      </c>
      <c r="BO5" s="214">
        <v>3467.0342939605544</v>
      </c>
      <c r="BP5" s="214">
        <v>4088.2917435201871</v>
      </c>
      <c r="BQ5" s="214">
        <v>5147.0987825266329</v>
      </c>
      <c r="BR5" s="214">
        <v>4964.211056536833</v>
      </c>
      <c r="BS5" s="214">
        <v>4789.4265139618874</v>
      </c>
      <c r="BT5" s="214">
        <v>5523.6046356146953</v>
      </c>
      <c r="BU5" s="214">
        <v>5842.8153407415512</v>
      </c>
      <c r="BV5" s="214">
        <v>5942.916824901552</v>
      </c>
      <c r="BW5" s="214">
        <v>5193.7443543099844</v>
      </c>
      <c r="BX5" s="214">
        <v>5979.89151559118</v>
      </c>
    </row>
    <row r="6" spans="1:76" s="192" customFormat="1" ht="17.100000000000001" customHeight="1" x14ac:dyDescent="0.2">
      <c r="B6" s="193" t="s">
        <v>158</v>
      </c>
      <c r="D6" s="215"/>
      <c r="E6" s="215"/>
      <c r="F6" s="215"/>
      <c r="G6" s="215"/>
      <c r="H6" s="215"/>
      <c r="I6" s="215"/>
      <c r="J6" s="215"/>
      <c r="K6" s="215"/>
      <c r="L6" s="215"/>
      <c r="M6" s="215"/>
      <c r="N6" s="214">
        <v>817.77520526837225</v>
      </c>
      <c r="O6" s="214">
        <v>824.65314515763146</v>
      </c>
      <c r="P6" s="214">
        <v>827.23179457294304</v>
      </c>
      <c r="Q6" s="214">
        <v>831.02463644616967</v>
      </c>
      <c r="R6" s="214">
        <v>838.24190707558989</v>
      </c>
      <c r="S6" s="214">
        <v>839.4817018182822</v>
      </c>
      <c r="T6" s="214">
        <v>842.60141753118955</v>
      </c>
      <c r="U6" s="214">
        <v>861.6387989910653</v>
      </c>
      <c r="V6" s="214">
        <v>868.20356704848268</v>
      </c>
      <c r="W6" s="214">
        <v>875.46628500310317</v>
      </c>
      <c r="X6" s="214">
        <v>881.16631481506408</v>
      </c>
      <c r="Y6" s="214">
        <v>890.46427077458225</v>
      </c>
      <c r="Z6" s="214">
        <v>885.26633331589335</v>
      </c>
      <c r="AA6" s="214">
        <v>910.46522435171664</v>
      </c>
      <c r="AB6" s="214">
        <v>932.77258944836012</v>
      </c>
      <c r="AC6" s="214">
        <v>921.18913073813872</v>
      </c>
      <c r="AD6" s="214">
        <v>943.17580337619574</v>
      </c>
      <c r="AE6" s="214">
        <v>953.19243358975075</v>
      </c>
      <c r="AF6" s="214">
        <v>955.84962488240751</v>
      </c>
      <c r="AG6" s="214">
        <v>960.34038064193703</v>
      </c>
      <c r="AH6" s="214">
        <v>971.82671282834235</v>
      </c>
      <c r="AI6" s="214">
        <v>992.87062078157476</v>
      </c>
      <c r="AJ6" s="214">
        <v>993.59149240269983</v>
      </c>
      <c r="AK6" s="214">
        <v>1000.8889239821906</v>
      </c>
      <c r="AL6" s="214">
        <v>1028.3714691864081</v>
      </c>
      <c r="AM6" s="214">
        <v>1050.8995684162362</v>
      </c>
      <c r="AN6" s="214">
        <v>1079.8473072914483</v>
      </c>
      <c r="AO6" s="214">
        <v>1103.0017404935807</v>
      </c>
      <c r="AP6" s="214">
        <v>1143.1426589350622</v>
      </c>
      <c r="AQ6" s="214">
        <v>1190.9271507729434</v>
      </c>
      <c r="AR6" s="214">
        <v>1244.307114952102</v>
      </c>
      <c r="AS6" s="214">
        <v>1298.9416753658759</v>
      </c>
      <c r="AT6" s="214">
        <v>1377.0939379744</v>
      </c>
      <c r="AU6" s="214">
        <v>1406.5254460331209</v>
      </c>
      <c r="AV6" s="214">
        <v>1388.0896882643044</v>
      </c>
      <c r="AW6" s="214">
        <v>1337.5424069378394</v>
      </c>
      <c r="AX6" s="214">
        <v>1258.8631708683629</v>
      </c>
      <c r="AY6" s="214">
        <v>1195.4983636203331</v>
      </c>
      <c r="AZ6" s="214">
        <v>1138.955551411784</v>
      </c>
      <c r="BA6" s="214">
        <v>1109.1310453878166</v>
      </c>
      <c r="BB6" s="214">
        <v>1105.8404876247355</v>
      </c>
      <c r="BC6" s="214">
        <v>1116.5328873077315</v>
      </c>
      <c r="BD6" s="214">
        <v>1151.8145279087678</v>
      </c>
      <c r="BE6" s="214">
        <v>1193.2396525396864</v>
      </c>
      <c r="BF6" s="214">
        <v>1238.0769248714191</v>
      </c>
      <c r="BG6" s="214">
        <v>1276.9130899444121</v>
      </c>
      <c r="BH6" s="214">
        <v>1301.2069274200899</v>
      </c>
      <c r="BI6" s="214">
        <v>1332.2610234195033</v>
      </c>
      <c r="BJ6" s="214">
        <v>1372.9372401841142</v>
      </c>
      <c r="BK6" s="214">
        <v>1362.6449938835417</v>
      </c>
      <c r="BL6" s="214">
        <v>1376.6523110764681</v>
      </c>
      <c r="BM6" s="214">
        <v>1383.4521059474255</v>
      </c>
      <c r="BN6" s="214">
        <v>1419.8263294082192</v>
      </c>
      <c r="BO6" s="214">
        <v>1450.6647249049799</v>
      </c>
      <c r="BP6" s="214">
        <v>1325.2085954557733</v>
      </c>
      <c r="BQ6" s="214">
        <v>1347.1035068859696</v>
      </c>
      <c r="BR6" s="214">
        <v>1340.077582044592</v>
      </c>
      <c r="BS6" s="214">
        <v>1345.2021858888206</v>
      </c>
      <c r="BT6" s="214">
        <v>1179.8710539364752</v>
      </c>
      <c r="BU6" s="214">
        <v>1283.1167510737698</v>
      </c>
      <c r="BV6" s="214">
        <v>1363.5950132715052</v>
      </c>
      <c r="BW6" s="214">
        <v>1298.639562317049</v>
      </c>
      <c r="BX6" s="214">
        <v>1141.3156136107621</v>
      </c>
    </row>
    <row r="7" spans="1:76" s="192" customFormat="1" ht="17.100000000000001" customHeight="1" x14ac:dyDescent="0.2">
      <c r="B7" s="193" t="s">
        <v>157</v>
      </c>
      <c r="D7" s="216"/>
      <c r="E7" s="216"/>
      <c r="F7" s="216"/>
      <c r="G7" s="216"/>
      <c r="H7" s="216"/>
      <c r="I7" s="216"/>
      <c r="J7" s="216"/>
      <c r="K7" s="216"/>
      <c r="L7" s="216"/>
      <c r="M7" s="216"/>
      <c r="N7" s="214">
        <v>15004.473478455298</v>
      </c>
      <c r="O7" s="214">
        <v>15872.855762839878</v>
      </c>
      <c r="P7" s="214">
        <v>13952.855222548615</v>
      </c>
      <c r="Q7" s="214">
        <v>13614.889733756851</v>
      </c>
      <c r="R7" s="214">
        <v>22752.725243674806</v>
      </c>
      <c r="S7" s="214">
        <v>11998.748643821098</v>
      </c>
      <c r="T7" s="214">
        <v>13817.59443243896</v>
      </c>
      <c r="U7" s="214">
        <v>14754.887958160351</v>
      </c>
      <c r="V7" s="214">
        <v>15996.70299381963</v>
      </c>
      <c r="W7" s="214">
        <v>18504.866380909338</v>
      </c>
      <c r="X7" s="214">
        <v>15132.153266988071</v>
      </c>
      <c r="Y7" s="214">
        <v>13637.695232432201</v>
      </c>
      <c r="Z7" s="214">
        <v>10580.493994825663</v>
      </c>
      <c r="AA7" s="214">
        <v>12448.632429321256</v>
      </c>
      <c r="AB7" s="214">
        <v>15874.90425327798</v>
      </c>
      <c r="AC7" s="214">
        <v>25910.621145186444</v>
      </c>
      <c r="AD7" s="214">
        <v>17222.917954105455</v>
      </c>
      <c r="AE7" s="214">
        <v>17691.504209644732</v>
      </c>
      <c r="AF7" s="214">
        <v>17660.968559301211</v>
      </c>
      <c r="AG7" s="214">
        <v>19562.623627310564</v>
      </c>
      <c r="AH7" s="214">
        <v>18017.394888875231</v>
      </c>
      <c r="AI7" s="214">
        <v>16576.711418274637</v>
      </c>
      <c r="AJ7" s="214">
        <v>22337.666063598725</v>
      </c>
      <c r="AK7" s="214">
        <v>16069.522450593906</v>
      </c>
      <c r="AL7" s="214">
        <v>18033.885616294123</v>
      </c>
      <c r="AM7" s="214">
        <v>18656.086456097684</v>
      </c>
      <c r="AN7" s="214">
        <v>17734.614902379697</v>
      </c>
      <c r="AO7" s="214">
        <v>18243.160650049573</v>
      </c>
      <c r="AP7" s="214">
        <v>20137.586373390015</v>
      </c>
      <c r="AQ7" s="214">
        <v>19122.933628225786</v>
      </c>
      <c r="AR7" s="214">
        <v>19380.067999877054</v>
      </c>
      <c r="AS7" s="214">
        <v>20414.308135785745</v>
      </c>
      <c r="AT7" s="214">
        <v>20776.868592049235</v>
      </c>
      <c r="AU7" s="214">
        <v>20981.245716053789</v>
      </c>
      <c r="AV7" s="214">
        <v>20570.28796355864</v>
      </c>
      <c r="AW7" s="214">
        <v>21868.987193248158</v>
      </c>
      <c r="AX7" s="214">
        <v>23600.820586666763</v>
      </c>
      <c r="AY7" s="214">
        <v>23315.52262726858</v>
      </c>
      <c r="AZ7" s="214">
        <v>20358.690338701384</v>
      </c>
      <c r="BA7" s="214">
        <v>19611.055695182182</v>
      </c>
      <c r="BB7" s="214">
        <v>23615.797964048506</v>
      </c>
      <c r="BC7" s="214">
        <v>23722.439367099883</v>
      </c>
      <c r="BD7" s="214">
        <v>21960.169942470984</v>
      </c>
      <c r="BE7" s="214">
        <v>23182.230846530496</v>
      </c>
      <c r="BF7" s="214">
        <v>23701.713046284069</v>
      </c>
      <c r="BG7" s="214">
        <v>24056.00210434234</v>
      </c>
      <c r="BH7" s="214">
        <v>23308.266603015978</v>
      </c>
      <c r="BI7" s="214">
        <v>24935.401261433821</v>
      </c>
      <c r="BJ7" s="214">
        <v>26354.306911567081</v>
      </c>
      <c r="BK7" s="214">
        <v>25267.684767705021</v>
      </c>
      <c r="BL7" s="214">
        <v>22867.309163120659</v>
      </c>
      <c r="BM7" s="214">
        <v>24933.163751641212</v>
      </c>
      <c r="BN7" s="214">
        <v>27817.612507832881</v>
      </c>
      <c r="BO7" s="214">
        <v>26266.391386021849</v>
      </c>
      <c r="BP7" s="214">
        <v>22034.145790611001</v>
      </c>
      <c r="BQ7" s="214">
        <v>24099.682256894153</v>
      </c>
      <c r="BR7" s="214">
        <v>29167.686552455776</v>
      </c>
      <c r="BS7" s="214">
        <v>26484.550463844964</v>
      </c>
      <c r="BT7" s="214">
        <v>26842.982457542981</v>
      </c>
      <c r="BU7" s="214">
        <v>26178.005815703062</v>
      </c>
      <c r="BV7" s="214">
        <v>32748.105970969747</v>
      </c>
      <c r="BW7" s="214">
        <v>31926.516041784253</v>
      </c>
      <c r="BX7" s="214">
        <v>27503.556507314093</v>
      </c>
    </row>
    <row r="8" spans="1:76" s="195" customFormat="1" ht="17.100000000000001" customHeight="1" x14ac:dyDescent="0.2">
      <c r="B8" s="194" t="s">
        <v>156</v>
      </c>
      <c r="D8" s="210"/>
      <c r="E8" s="210"/>
      <c r="F8" s="210"/>
      <c r="G8" s="210"/>
      <c r="H8" s="210"/>
      <c r="I8" s="210"/>
      <c r="J8" s="210"/>
      <c r="K8" s="210"/>
      <c r="L8" s="210"/>
      <c r="M8" s="210"/>
      <c r="N8" s="209">
        <v>5338.8606910504677</v>
      </c>
      <c r="O8" s="209">
        <v>5232.8799420742871</v>
      </c>
      <c r="P8" s="209">
        <v>5101.3597563458625</v>
      </c>
      <c r="Q8" s="209">
        <v>5281.8326779946856</v>
      </c>
      <c r="R8" s="209">
        <v>5065.4792803984619</v>
      </c>
      <c r="S8" s="209">
        <v>4944.6133994037218</v>
      </c>
      <c r="T8" s="209">
        <v>4983.8577415000609</v>
      </c>
      <c r="U8" s="209">
        <v>6589.7020328149756</v>
      </c>
      <c r="V8" s="209">
        <v>6795.6664890445954</v>
      </c>
      <c r="W8" s="209">
        <v>6107.0164595675233</v>
      </c>
      <c r="X8" s="209">
        <v>5721.3251942991228</v>
      </c>
      <c r="Y8" s="209">
        <v>5842.3460498012082</v>
      </c>
      <c r="Z8" s="209">
        <v>6234.3037207150355</v>
      </c>
      <c r="AA8" s="209">
        <v>6074.2123285597709</v>
      </c>
      <c r="AB8" s="209">
        <v>5587.1635954446274</v>
      </c>
      <c r="AC8" s="209">
        <v>5868.1846834678117</v>
      </c>
      <c r="AD8" s="209">
        <v>5603.5981305269261</v>
      </c>
      <c r="AE8" s="209">
        <v>5965.1249163800203</v>
      </c>
      <c r="AF8" s="209">
        <v>5686.8934283384679</v>
      </c>
      <c r="AG8" s="209">
        <v>6339.7858379054978</v>
      </c>
      <c r="AH8" s="209">
        <v>6506.7496668843323</v>
      </c>
      <c r="AI8" s="209">
        <v>6714.6871353956294</v>
      </c>
      <c r="AJ8" s="209">
        <v>6280.8229345193613</v>
      </c>
      <c r="AK8" s="209">
        <v>6093.2657003134118</v>
      </c>
      <c r="AL8" s="209">
        <v>6395.6536785020671</v>
      </c>
      <c r="AM8" s="209">
        <v>6857.9602971805052</v>
      </c>
      <c r="AN8" s="209">
        <v>6318.6139050376642</v>
      </c>
      <c r="AO8" s="209">
        <v>6528.9902297340941</v>
      </c>
      <c r="AP8" s="209">
        <v>7184.0048627864453</v>
      </c>
      <c r="AQ8" s="209">
        <v>7297.7366195756767</v>
      </c>
      <c r="AR8" s="209">
        <v>7060.1156075877689</v>
      </c>
      <c r="AS8" s="209">
        <v>7108.5563083439592</v>
      </c>
      <c r="AT8" s="209">
        <v>7675.5755374653718</v>
      </c>
      <c r="AU8" s="209">
        <v>7828.75026046122</v>
      </c>
      <c r="AV8" s="209">
        <v>7691.5251621591506</v>
      </c>
      <c r="AW8" s="209">
        <v>8232.0251106282867</v>
      </c>
      <c r="AX8" s="209">
        <v>7984.0965594525933</v>
      </c>
      <c r="AY8" s="209">
        <v>8101.5448110638681</v>
      </c>
      <c r="AZ8" s="209">
        <v>8238.9369348914661</v>
      </c>
      <c r="BA8" s="209">
        <v>7080.2528261281605</v>
      </c>
      <c r="BB8" s="209">
        <v>7125.6247999621637</v>
      </c>
      <c r="BC8" s="209">
        <v>8633.1749817161126</v>
      </c>
      <c r="BD8" s="209">
        <v>8524.5458529662355</v>
      </c>
      <c r="BE8" s="209">
        <v>8565.9507761893474</v>
      </c>
      <c r="BF8" s="209">
        <v>8756.0931705348612</v>
      </c>
      <c r="BG8" s="209">
        <v>9192.4805515968364</v>
      </c>
      <c r="BH8" s="209">
        <v>8534.4335872876509</v>
      </c>
      <c r="BI8" s="209">
        <v>8763.0548019745383</v>
      </c>
      <c r="BJ8" s="209">
        <v>9047.7164052304051</v>
      </c>
      <c r="BK8" s="209">
        <v>9154.8138061406225</v>
      </c>
      <c r="BL8" s="209">
        <v>8919.6257971878404</v>
      </c>
      <c r="BM8" s="209">
        <v>9429.5564101532291</v>
      </c>
      <c r="BN8" s="209">
        <v>9575.9233086072254</v>
      </c>
      <c r="BO8" s="209">
        <v>9262.3742503043941</v>
      </c>
      <c r="BP8" s="209">
        <v>9968.3771172425422</v>
      </c>
      <c r="BQ8" s="209">
        <v>10179.464940022313</v>
      </c>
      <c r="BR8" s="209">
        <v>9888.7090034212979</v>
      </c>
      <c r="BS8" s="209">
        <v>9942.4045261080937</v>
      </c>
      <c r="BT8" s="209">
        <v>10839.634903054291</v>
      </c>
      <c r="BU8" s="209">
        <v>11106.419765013954</v>
      </c>
      <c r="BV8" s="209">
        <v>11190.178558519074</v>
      </c>
      <c r="BW8" s="209">
        <v>11496.008229377876</v>
      </c>
      <c r="BX8" s="209">
        <v>11524.191596875202</v>
      </c>
    </row>
    <row r="9" spans="1:76" s="192" customFormat="1" ht="17.100000000000001" customHeight="1" x14ac:dyDescent="0.2">
      <c r="B9" s="193" t="s">
        <v>155</v>
      </c>
      <c r="D9" s="215"/>
      <c r="E9" s="215"/>
      <c r="F9" s="215"/>
      <c r="G9" s="215"/>
      <c r="H9" s="215"/>
      <c r="I9" s="215"/>
      <c r="J9" s="215"/>
      <c r="K9" s="215"/>
      <c r="L9" s="215"/>
      <c r="M9" s="215"/>
      <c r="N9" s="214">
        <v>59.448654240843382</v>
      </c>
      <c r="O9" s="214">
        <v>59.863827492117998</v>
      </c>
      <c r="P9" s="214">
        <v>60.466238752625017</v>
      </c>
      <c r="Q9" s="214">
        <v>61.258785381139511</v>
      </c>
      <c r="R9" s="214">
        <v>62.244395756178037</v>
      </c>
      <c r="S9" s="214">
        <v>62.920929321198741</v>
      </c>
      <c r="T9" s="214">
        <v>63.283495159061509</v>
      </c>
      <c r="U9" s="214">
        <v>63.327149657594539</v>
      </c>
      <c r="V9" s="214">
        <v>63.046896022664896</v>
      </c>
      <c r="W9" s="214">
        <v>63.721009753879073</v>
      </c>
      <c r="X9" s="214">
        <v>65.364412786618743</v>
      </c>
      <c r="Y9" s="214">
        <v>67.99218728314473</v>
      </c>
      <c r="Z9" s="214">
        <v>71.619577111070114</v>
      </c>
      <c r="AA9" s="214">
        <v>74.149541951838088</v>
      </c>
      <c r="AB9" s="214">
        <v>75.56468838533165</v>
      </c>
      <c r="AC9" s="214">
        <v>75.847435476179839</v>
      </c>
      <c r="AD9" s="214">
        <v>74.980013040480003</v>
      </c>
      <c r="AE9" s="214">
        <v>74.883004653629229</v>
      </c>
      <c r="AF9" s="214">
        <v>75.568507772916945</v>
      </c>
      <c r="AG9" s="214">
        <v>77.048749929812871</v>
      </c>
      <c r="AH9" s="214">
        <v>79.336089930937334</v>
      </c>
      <c r="AI9" s="214">
        <v>81.025108542219712</v>
      </c>
      <c r="AJ9" s="214">
        <v>82.106303973469679</v>
      </c>
      <c r="AK9" s="214">
        <v>82.570071943424168</v>
      </c>
      <c r="AL9" s="214">
        <v>82.406704732178753</v>
      </c>
      <c r="AM9" s="214">
        <v>82.390972249115862</v>
      </c>
      <c r="AN9" s="214">
        <v>82.525200588880182</v>
      </c>
      <c r="AO9" s="214">
        <v>82.811740895188933</v>
      </c>
      <c r="AP9" s="214">
        <v>83.252969592294534</v>
      </c>
      <c r="AQ9" s="214">
        <v>83.659713913912995</v>
      </c>
      <c r="AR9" s="214">
        <v>84.03141198424872</v>
      </c>
      <c r="AS9" s="214">
        <v>84.367495834929159</v>
      </c>
      <c r="AT9" s="214">
        <v>84.667391348581276</v>
      </c>
      <c r="AU9" s="214">
        <v>84.977295806094602</v>
      </c>
      <c r="AV9" s="214">
        <v>85.297352595207329</v>
      </c>
      <c r="AW9" s="214">
        <v>85.627706615441795</v>
      </c>
      <c r="AX9" s="214">
        <v>85.968504291975705</v>
      </c>
      <c r="AY9" s="214">
        <v>86.308471704964035</v>
      </c>
      <c r="AZ9" s="214">
        <v>86.647580132078431</v>
      </c>
      <c r="BA9" s="214">
        <v>86.985800506364697</v>
      </c>
      <c r="BB9" s="214">
        <v>87.323103412950772</v>
      </c>
      <c r="BC9" s="214">
        <v>87.662248013841335</v>
      </c>
      <c r="BD9" s="214">
        <v>88.003247710148003</v>
      </c>
      <c r="BE9" s="214">
        <v>88.346116012027835</v>
      </c>
      <c r="BF9" s="214">
        <v>88.690866539584064</v>
      </c>
      <c r="BG9" s="214">
        <v>89.03683204651459</v>
      </c>
      <c r="BH9" s="214">
        <v>89.384015748753598</v>
      </c>
      <c r="BI9" s="214">
        <v>89.732420860897278</v>
      </c>
      <c r="BJ9" s="214">
        <v>90.082050596082709</v>
      </c>
      <c r="BK9" s="214">
        <v>90.43307441299973</v>
      </c>
      <c r="BL9" s="214">
        <v>90.785498115818513</v>
      </c>
      <c r="BM9" s="214">
        <v>91.13932753471552</v>
      </c>
      <c r="BN9" s="214">
        <v>91.494568526003334</v>
      </c>
      <c r="BO9" s="214">
        <v>91.851186505561373</v>
      </c>
      <c r="BP9" s="214">
        <v>92.209186750875361</v>
      </c>
      <c r="BQ9" s="214">
        <v>92.568574559184114</v>
      </c>
      <c r="BR9" s="214">
        <v>92.929355247550205</v>
      </c>
      <c r="BS9" s="214">
        <v>93.291543499131734</v>
      </c>
      <c r="BT9" s="214">
        <v>93.655144816699107</v>
      </c>
      <c r="BU9" s="214">
        <v>94.020164724623271</v>
      </c>
      <c r="BV9" s="214">
        <v>94.386608768961082</v>
      </c>
      <c r="BW9" s="214">
        <v>94.754481030724577</v>
      </c>
      <c r="BX9" s="214">
        <v>95.123787076398102</v>
      </c>
    </row>
    <row r="10" spans="1:76" s="192" customFormat="1" ht="17.100000000000001" customHeight="1" x14ac:dyDescent="0.2">
      <c r="B10" s="193" t="s">
        <v>154</v>
      </c>
      <c r="D10" s="215"/>
      <c r="E10" s="215"/>
      <c r="F10" s="215"/>
      <c r="G10" s="215"/>
      <c r="H10" s="215"/>
      <c r="I10" s="215"/>
      <c r="J10" s="215"/>
      <c r="K10" s="215"/>
      <c r="L10" s="215"/>
      <c r="M10" s="215"/>
      <c r="N10" s="214">
        <v>926.77933665150624</v>
      </c>
      <c r="O10" s="214">
        <v>995.53355961753391</v>
      </c>
      <c r="P10" s="214">
        <v>1035.0116515761799</v>
      </c>
      <c r="Q10" s="214">
        <v>1071.9829046016807</v>
      </c>
      <c r="R10" s="214">
        <v>1044.181780568794</v>
      </c>
      <c r="S10" s="214">
        <v>1013.4687249111824</v>
      </c>
      <c r="T10" s="214">
        <v>986.01065700801496</v>
      </c>
      <c r="U10" s="214">
        <v>1116.3367331862344</v>
      </c>
      <c r="V10" s="214">
        <v>1146.7926072088396</v>
      </c>
      <c r="W10" s="214">
        <v>1164.8703369787031</v>
      </c>
      <c r="X10" s="214">
        <v>1142.049584947018</v>
      </c>
      <c r="Y10" s="214">
        <v>904.40604272549854</v>
      </c>
      <c r="Z10" s="214">
        <v>1271.0882798483667</v>
      </c>
      <c r="AA10" s="214">
        <v>1207.7486555988853</v>
      </c>
      <c r="AB10" s="214">
        <v>1123.8950310910604</v>
      </c>
      <c r="AC10" s="214">
        <v>1275.7658670461446</v>
      </c>
      <c r="AD10" s="214">
        <v>1197.2295669204402</v>
      </c>
      <c r="AE10" s="214">
        <v>1249.9020940830749</v>
      </c>
      <c r="AF10" s="214">
        <v>1173.3053025363433</v>
      </c>
      <c r="AG10" s="214">
        <v>1365.0806552143817</v>
      </c>
      <c r="AH10" s="214">
        <v>1316.5365630215319</v>
      </c>
      <c r="AI10" s="214">
        <v>1384.0274867701821</v>
      </c>
      <c r="AJ10" s="214">
        <v>1352.3258990307461</v>
      </c>
      <c r="AK10" s="214">
        <v>1284.8697128846929</v>
      </c>
      <c r="AL10" s="214">
        <v>1421.5074951746431</v>
      </c>
      <c r="AM10" s="214">
        <v>1560.3049472016703</v>
      </c>
      <c r="AN10" s="214">
        <v>1455.7504508044801</v>
      </c>
      <c r="AO10" s="214">
        <v>1542.0243402815381</v>
      </c>
      <c r="AP10" s="214">
        <v>1514.0816186172597</v>
      </c>
      <c r="AQ10" s="214">
        <v>1547.0148235849201</v>
      </c>
      <c r="AR10" s="214">
        <v>1638.2658825930882</v>
      </c>
      <c r="AS10" s="214">
        <v>1757.5619612889589</v>
      </c>
      <c r="AT10" s="214">
        <v>1735.3263971416586</v>
      </c>
      <c r="AU10" s="214">
        <v>1776.061501677299</v>
      </c>
      <c r="AV10" s="214">
        <v>1787.2149380031869</v>
      </c>
      <c r="AW10" s="214">
        <v>1930.7896832955664</v>
      </c>
      <c r="AX10" s="214">
        <v>1859.4191385106481</v>
      </c>
      <c r="AY10" s="214">
        <v>1956.2310487377295</v>
      </c>
      <c r="AZ10" s="214">
        <v>1940.393152701505</v>
      </c>
      <c r="BA10" s="214">
        <v>1821.8273529908633</v>
      </c>
      <c r="BB10" s="214">
        <v>1558.7432379790703</v>
      </c>
      <c r="BC10" s="214">
        <v>1942.0977814229313</v>
      </c>
      <c r="BD10" s="214">
        <v>2020.6702598104225</v>
      </c>
      <c r="BE10" s="214">
        <v>2177.5290649532481</v>
      </c>
      <c r="BF10" s="214">
        <v>2305.3666673922644</v>
      </c>
      <c r="BG10" s="214">
        <v>2189.2819751189295</v>
      </c>
      <c r="BH10" s="214">
        <v>2041.6952412534331</v>
      </c>
      <c r="BI10" s="214">
        <v>2154.6246256630207</v>
      </c>
      <c r="BJ10" s="214">
        <v>2225.3554422606053</v>
      </c>
      <c r="BK10" s="214">
        <v>2093.8052589576891</v>
      </c>
      <c r="BL10" s="214">
        <v>2165.8791967992711</v>
      </c>
      <c r="BM10" s="214">
        <v>2194.054714022921</v>
      </c>
      <c r="BN10" s="214">
        <v>2312.7801629280675</v>
      </c>
      <c r="BO10" s="214">
        <v>2065.9426155998167</v>
      </c>
      <c r="BP10" s="214">
        <v>2297.6470412854214</v>
      </c>
      <c r="BQ10" s="214">
        <v>2474.025998175623</v>
      </c>
      <c r="BR10" s="214">
        <v>2405.5273626737044</v>
      </c>
      <c r="BS10" s="214">
        <v>2475.7329233528822</v>
      </c>
      <c r="BT10" s="214">
        <v>2838.778045374444</v>
      </c>
      <c r="BU10" s="214">
        <v>2904.1867366583488</v>
      </c>
      <c r="BV10" s="214">
        <v>2836.7169469849628</v>
      </c>
      <c r="BW10" s="214">
        <v>2893.7273205421343</v>
      </c>
      <c r="BX10" s="214">
        <v>3073.8969994749291</v>
      </c>
    </row>
    <row r="11" spans="1:76" s="192" customFormat="1" ht="17.100000000000001" customHeight="1" x14ac:dyDescent="0.2">
      <c r="B11" s="193" t="s">
        <v>153</v>
      </c>
      <c r="D11" s="215"/>
      <c r="E11" s="215"/>
      <c r="F11" s="215"/>
      <c r="G11" s="215"/>
      <c r="H11" s="215"/>
      <c r="I11" s="215"/>
      <c r="J11" s="215"/>
      <c r="K11" s="215"/>
      <c r="L11" s="215"/>
      <c r="M11" s="215"/>
      <c r="N11" s="214">
        <v>1446.5753814769096</v>
      </c>
      <c r="O11" s="214">
        <v>1521.0624221623395</v>
      </c>
      <c r="P11" s="214">
        <v>1644.5515330886997</v>
      </c>
      <c r="Q11" s="214">
        <v>1652.3166026832243</v>
      </c>
      <c r="R11" s="214">
        <v>1610.4448453791922</v>
      </c>
      <c r="S11" s="214">
        <v>1645.4692785402997</v>
      </c>
      <c r="T11" s="214">
        <v>1596.1312054652187</v>
      </c>
      <c r="U11" s="214">
        <v>1760.3897911280012</v>
      </c>
      <c r="V11" s="214">
        <v>1808.93045222258</v>
      </c>
      <c r="W11" s="214">
        <v>1987.7799832588448</v>
      </c>
      <c r="X11" s="214">
        <v>1838.9384529934689</v>
      </c>
      <c r="Y11" s="214">
        <v>1331.4174842782193</v>
      </c>
      <c r="Z11" s="214">
        <v>1880.8492924230711</v>
      </c>
      <c r="AA11" s="214">
        <v>1971.1469366057077</v>
      </c>
      <c r="AB11" s="214">
        <v>1834.5529211734947</v>
      </c>
      <c r="AC11" s="214">
        <v>1986.5767907788663</v>
      </c>
      <c r="AD11" s="214">
        <v>1868.407481013812</v>
      </c>
      <c r="AE11" s="214">
        <v>1971.5290276196367</v>
      </c>
      <c r="AF11" s="214">
        <v>1837.620838889268</v>
      </c>
      <c r="AG11" s="214">
        <v>2069.0826515791464</v>
      </c>
      <c r="AH11" s="214">
        <v>2000.1196910455965</v>
      </c>
      <c r="AI11" s="214">
        <v>2172.1262475227045</v>
      </c>
      <c r="AJ11" s="214">
        <v>2133.6841594260259</v>
      </c>
      <c r="AK11" s="214">
        <v>2059.3846348959132</v>
      </c>
      <c r="AL11" s="214">
        <v>2300.0523487306559</v>
      </c>
      <c r="AM11" s="214">
        <v>2500.2614472249029</v>
      </c>
      <c r="AN11" s="214">
        <v>2276.4166179410486</v>
      </c>
      <c r="AO11" s="214">
        <v>2300.5621748853969</v>
      </c>
      <c r="AP11" s="214">
        <v>2320.5891688373777</v>
      </c>
      <c r="AQ11" s="214">
        <v>2525.1315681968663</v>
      </c>
      <c r="AR11" s="214">
        <v>2527.9708375652544</v>
      </c>
      <c r="AS11" s="214">
        <v>2723.5185296457425</v>
      </c>
      <c r="AT11" s="214">
        <v>2711.6483560549218</v>
      </c>
      <c r="AU11" s="214">
        <v>2982.821629073886</v>
      </c>
      <c r="AV11" s="214">
        <v>2942.8028021701489</v>
      </c>
      <c r="AW11" s="214">
        <v>3100.1008928120236</v>
      </c>
      <c r="AX11" s="214">
        <v>2905.580564878077</v>
      </c>
      <c r="AY11" s="214">
        <v>3071.0240549181017</v>
      </c>
      <c r="AZ11" s="214">
        <v>3166.2870288199169</v>
      </c>
      <c r="BA11" s="214">
        <v>2972.8704541546772</v>
      </c>
      <c r="BB11" s="214">
        <v>2527.8991987418362</v>
      </c>
      <c r="BC11" s="214">
        <v>3295.3762597443206</v>
      </c>
      <c r="BD11" s="214">
        <v>3413.5642780523831</v>
      </c>
      <c r="BE11" s="214">
        <v>3478.803688264848</v>
      </c>
      <c r="BF11" s="214">
        <v>3273.0874139231928</v>
      </c>
      <c r="BG11" s="214">
        <v>3213.7683735098431</v>
      </c>
      <c r="BH11" s="214">
        <v>3063.2480339209537</v>
      </c>
      <c r="BI11" s="214">
        <v>3251.4972016337028</v>
      </c>
      <c r="BJ11" s="214">
        <v>3344.7908826925695</v>
      </c>
      <c r="BK11" s="214">
        <v>3317.8392819841179</v>
      </c>
      <c r="BL11" s="214">
        <v>3450.7843419066444</v>
      </c>
      <c r="BM11" s="214">
        <v>3781.0931622039188</v>
      </c>
      <c r="BN11" s="214">
        <v>3551.4130825922571</v>
      </c>
      <c r="BO11" s="214">
        <v>3503.4834481910771</v>
      </c>
      <c r="BP11" s="214">
        <v>3909.6946211609575</v>
      </c>
      <c r="BQ11" s="214">
        <v>4132.7348990989231</v>
      </c>
      <c r="BR11" s="214">
        <v>3794.66538234377</v>
      </c>
      <c r="BS11" s="214">
        <v>3605.0321339004813</v>
      </c>
      <c r="BT11" s="214">
        <v>4338.6867269616569</v>
      </c>
      <c r="BU11" s="214">
        <v>4648.9834313907677</v>
      </c>
      <c r="BV11" s="214">
        <v>4144.9469521818646</v>
      </c>
      <c r="BW11" s="214">
        <v>4409.9235650250939</v>
      </c>
      <c r="BX11" s="214">
        <v>4635.886960460527</v>
      </c>
    </row>
    <row r="12" spans="1:76" s="192" customFormat="1" ht="17.100000000000001" customHeight="1" x14ac:dyDescent="0.2">
      <c r="B12" s="193" t="s">
        <v>152</v>
      </c>
      <c r="D12" s="215"/>
      <c r="E12" s="215"/>
      <c r="F12" s="215"/>
      <c r="G12" s="215"/>
      <c r="H12" s="215"/>
      <c r="I12" s="215"/>
      <c r="J12" s="215"/>
      <c r="K12" s="215"/>
      <c r="L12" s="215"/>
      <c r="M12" s="215"/>
      <c r="N12" s="214">
        <v>496.39239246324638</v>
      </c>
      <c r="O12" s="214">
        <v>543.22737398678578</v>
      </c>
      <c r="P12" s="214">
        <v>550.14173651570638</v>
      </c>
      <c r="Q12" s="214">
        <v>619.57318168242523</v>
      </c>
      <c r="R12" s="214">
        <v>540.83040466929651</v>
      </c>
      <c r="S12" s="214">
        <v>496.8002108262973</v>
      </c>
      <c r="T12" s="214">
        <v>416.0403852238552</v>
      </c>
      <c r="U12" s="214">
        <v>689.59511049718606</v>
      </c>
      <c r="V12" s="214">
        <v>610.09756946980224</v>
      </c>
      <c r="W12" s="214">
        <v>570.2960135875669</v>
      </c>
      <c r="X12" s="214">
        <v>530.0453017059242</v>
      </c>
      <c r="Y12" s="214">
        <v>689.01051356629966</v>
      </c>
      <c r="Z12" s="214">
        <v>588.79736799283967</v>
      </c>
      <c r="AA12" s="214">
        <v>590.66600843303343</v>
      </c>
      <c r="AB12" s="214">
        <v>540.83243370044556</v>
      </c>
      <c r="AC12" s="214">
        <v>634.79198948447765</v>
      </c>
      <c r="AD12" s="214">
        <v>472.6862270258618</v>
      </c>
      <c r="AE12" s="214">
        <v>444.61740316659825</v>
      </c>
      <c r="AF12" s="214">
        <v>523.06223367428413</v>
      </c>
      <c r="AG12" s="214">
        <v>566.76710030426489</v>
      </c>
      <c r="AH12" s="214">
        <v>578.76074380699117</v>
      </c>
      <c r="AI12" s="214">
        <v>528.51316445712303</v>
      </c>
      <c r="AJ12" s="214">
        <v>484.29905215875914</v>
      </c>
      <c r="AK12" s="214">
        <v>467.66469005660156</v>
      </c>
      <c r="AL12" s="214">
        <v>467.46981673489557</v>
      </c>
      <c r="AM12" s="214">
        <v>541.96878627775857</v>
      </c>
      <c r="AN12" s="214">
        <v>439.51208914427536</v>
      </c>
      <c r="AO12" s="214">
        <v>431.44024078537171</v>
      </c>
      <c r="AP12" s="214">
        <v>648.72579439751394</v>
      </c>
      <c r="AQ12" s="214">
        <v>660.22085020052702</v>
      </c>
      <c r="AR12" s="214">
        <v>587.38285348641421</v>
      </c>
      <c r="AS12" s="214">
        <v>613.15447861917971</v>
      </c>
      <c r="AT12" s="214">
        <v>590.12291416878702</v>
      </c>
      <c r="AU12" s="214">
        <v>563.68262335269253</v>
      </c>
      <c r="AV12" s="214">
        <v>502.0766829735357</v>
      </c>
      <c r="AW12" s="214">
        <v>554.78330137542218</v>
      </c>
      <c r="AX12" s="214">
        <v>541.36254476442559</v>
      </c>
      <c r="AY12" s="214">
        <v>469.22390547159392</v>
      </c>
      <c r="AZ12" s="214">
        <v>452.37275460851447</v>
      </c>
      <c r="BA12" s="214">
        <v>207.1826686867816</v>
      </c>
      <c r="BB12" s="214">
        <v>483.74847874908085</v>
      </c>
      <c r="BC12" s="214">
        <v>451.29432623583023</v>
      </c>
      <c r="BD12" s="214">
        <v>561.96974477905655</v>
      </c>
      <c r="BE12" s="214">
        <v>523.42195155239597</v>
      </c>
      <c r="BF12" s="214">
        <v>525.51274442888996</v>
      </c>
      <c r="BG12" s="214">
        <v>570.25763424826368</v>
      </c>
      <c r="BH12" s="214">
        <v>500.79524047243643</v>
      </c>
      <c r="BI12" s="214">
        <v>567.34224516764459</v>
      </c>
      <c r="BJ12" s="214">
        <v>550.24268609310718</v>
      </c>
      <c r="BK12" s="214">
        <v>476.32459510952424</v>
      </c>
      <c r="BL12" s="214">
        <v>557.30615339955148</v>
      </c>
      <c r="BM12" s="214">
        <v>575.37771448389924</v>
      </c>
      <c r="BN12" s="214">
        <v>508.51039561479706</v>
      </c>
      <c r="BO12" s="214">
        <v>457.77309997635155</v>
      </c>
      <c r="BP12" s="214">
        <v>505.29787806389476</v>
      </c>
      <c r="BQ12" s="214">
        <v>485.3276996860979</v>
      </c>
      <c r="BR12" s="214">
        <v>502.32595522848789</v>
      </c>
      <c r="BS12" s="214">
        <v>705.50321168948824</v>
      </c>
      <c r="BT12" s="214">
        <v>540.33547944030192</v>
      </c>
      <c r="BU12" s="214">
        <v>644.91681636754981</v>
      </c>
      <c r="BV12" s="214">
        <v>775.59679317606992</v>
      </c>
      <c r="BW12" s="214">
        <v>715.29757696942852</v>
      </c>
      <c r="BX12" s="214">
        <v>659.44576696108174</v>
      </c>
    </row>
    <row r="13" spans="1:76" s="192" customFormat="1" ht="17.100000000000001" customHeight="1" x14ac:dyDescent="0.2">
      <c r="B13" s="193" t="s">
        <v>151</v>
      </c>
      <c r="D13" s="215"/>
      <c r="E13" s="215"/>
      <c r="F13" s="215"/>
      <c r="G13" s="215"/>
      <c r="H13" s="215"/>
      <c r="I13" s="215"/>
      <c r="J13" s="215"/>
      <c r="K13" s="215"/>
      <c r="L13" s="215"/>
      <c r="M13" s="215"/>
      <c r="N13" s="214">
        <v>123.10547415535561</v>
      </c>
      <c r="O13" s="214">
        <v>187.8928196492206</v>
      </c>
      <c r="P13" s="214">
        <v>267.94803350625034</v>
      </c>
      <c r="Q13" s="214">
        <v>182.2380923327768</v>
      </c>
      <c r="R13" s="214">
        <v>238.24619300555619</v>
      </c>
      <c r="S13" s="214">
        <v>141.8638813457126</v>
      </c>
      <c r="T13" s="214">
        <v>195.99431079706105</v>
      </c>
      <c r="U13" s="214">
        <v>167.88558238947547</v>
      </c>
      <c r="V13" s="214">
        <v>186.25824527569716</v>
      </c>
      <c r="W13" s="214">
        <v>173.49735719893752</v>
      </c>
      <c r="X13" s="214">
        <v>156.5946975255716</v>
      </c>
      <c r="Y13" s="214">
        <v>159.99968862636931</v>
      </c>
      <c r="Z13" s="214">
        <v>253.77248357883764</v>
      </c>
      <c r="AA13" s="214">
        <v>135.92860356736145</v>
      </c>
      <c r="AB13" s="214">
        <v>142.76558603427131</v>
      </c>
      <c r="AC13" s="214">
        <v>173.35851799234081</v>
      </c>
      <c r="AD13" s="214">
        <v>118.29893116808965</v>
      </c>
      <c r="AE13" s="214">
        <v>109.95921104238074</v>
      </c>
      <c r="AF13" s="214">
        <v>130.09553315861473</v>
      </c>
      <c r="AG13" s="214">
        <v>114.77748719500934</v>
      </c>
      <c r="AH13" s="214">
        <v>184.9546324070804</v>
      </c>
      <c r="AI13" s="214">
        <v>117.29180573336399</v>
      </c>
      <c r="AJ13" s="214">
        <v>202.87580979673251</v>
      </c>
      <c r="AK13" s="214">
        <v>173.85154357257676</v>
      </c>
      <c r="AL13" s="214">
        <v>47.130738333705757</v>
      </c>
      <c r="AM13" s="214">
        <v>178.07992919762933</v>
      </c>
      <c r="AN13" s="214">
        <v>352.88163037936562</v>
      </c>
      <c r="AO13" s="214">
        <v>167.93997348706674</v>
      </c>
      <c r="AP13" s="214">
        <v>160.2673027419761</v>
      </c>
      <c r="AQ13" s="214">
        <v>180.9172824094245</v>
      </c>
      <c r="AR13" s="214">
        <v>135.48405995110278</v>
      </c>
      <c r="AS13" s="214">
        <v>101.27490114345817</v>
      </c>
      <c r="AT13" s="214">
        <v>129.49099885532056</v>
      </c>
      <c r="AU13" s="214">
        <v>141.42410833815131</v>
      </c>
      <c r="AV13" s="214">
        <v>175.99961718811588</v>
      </c>
      <c r="AW13" s="214">
        <v>150.72941963688845</v>
      </c>
      <c r="AX13" s="214">
        <v>128.10081548458416</v>
      </c>
      <c r="AY13" s="214">
        <v>120.94142825532299</v>
      </c>
      <c r="AZ13" s="214">
        <v>121.74162215831444</v>
      </c>
      <c r="BA13" s="214">
        <v>124.56159192127593</v>
      </c>
      <c r="BB13" s="214">
        <v>102.51936895203595</v>
      </c>
      <c r="BC13" s="214">
        <v>130.43032184974487</v>
      </c>
      <c r="BD13" s="214">
        <v>106.50985179672111</v>
      </c>
      <c r="BE13" s="214">
        <v>122.84203888484619</v>
      </c>
      <c r="BF13" s="214">
        <v>88.108904799499612</v>
      </c>
      <c r="BG13" s="214">
        <v>132.29197953467127</v>
      </c>
      <c r="BH13" s="214">
        <v>115.54869316828116</v>
      </c>
      <c r="BI13" s="214">
        <v>165.02796393666716</v>
      </c>
      <c r="BJ13" s="214">
        <v>127.47251905196171</v>
      </c>
      <c r="BK13" s="214">
        <v>127.89370843616639</v>
      </c>
      <c r="BL13" s="214">
        <v>150.1262521927259</v>
      </c>
      <c r="BM13" s="214">
        <v>116.7140619123836</v>
      </c>
      <c r="BN13" s="214">
        <v>101.05714962086346</v>
      </c>
      <c r="BO13" s="214">
        <v>80.534697124910494</v>
      </c>
      <c r="BP13" s="214">
        <v>146.26476281582822</v>
      </c>
      <c r="BQ13" s="214">
        <v>126.11100128563106</v>
      </c>
      <c r="BR13" s="214">
        <v>79.209061371602957</v>
      </c>
      <c r="BS13" s="214">
        <v>153.16075176836711</v>
      </c>
      <c r="BT13" s="214">
        <v>128.8321217987623</v>
      </c>
      <c r="BU13" s="214">
        <v>98.460206184316348</v>
      </c>
      <c r="BV13" s="214">
        <v>131.9387265208648</v>
      </c>
      <c r="BW13" s="214">
        <v>310.50756643282699</v>
      </c>
      <c r="BX13" s="214">
        <v>150.87266401440078</v>
      </c>
    </row>
    <row r="14" spans="1:76" s="192" customFormat="1" ht="17.100000000000001" customHeight="1" x14ac:dyDescent="0.2">
      <c r="B14" s="193" t="s">
        <v>150</v>
      </c>
      <c r="D14" s="215"/>
      <c r="E14" s="215"/>
      <c r="F14" s="215"/>
      <c r="G14" s="215"/>
      <c r="H14" s="215"/>
      <c r="I14" s="215"/>
      <c r="J14" s="215"/>
      <c r="K14" s="215"/>
      <c r="L14" s="215"/>
      <c r="M14" s="215"/>
      <c r="N14" s="214">
        <v>1617.5046361118787</v>
      </c>
      <c r="O14" s="214">
        <v>1373.5005205038622</v>
      </c>
      <c r="P14" s="214">
        <v>1168.9265085986892</v>
      </c>
      <c r="Q14" s="214">
        <v>1313.4841059275052</v>
      </c>
      <c r="R14" s="214">
        <v>1169.1903276884825</v>
      </c>
      <c r="S14" s="214">
        <v>1140.7907367085304</v>
      </c>
      <c r="T14" s="214">
        <v>1145.4670838263069</v>
      </c>
      <c r="U14" s="214">
        <v>2205.3404613582015</v>
      </c>
      <c r="V14" s="214">
        <v>2406.4664192705304</v>
      </c>
      <c r="W14" s="214">
        <v>1620.2442711714452</v>
      </c>
      <c r="X14" s="214">
        <v>1550.3552884281082</v>
      </c>
      <c r="Y14" s="214">
        <v>2074.5931670215928</v>
      </c>
      <c r="Z14" s="214">
        <v>1633.5249903540075</v>
      </c>
      <c r="AA14" s="214">
        <v>1547.1815570967287</v>
      </c>
      <c r="AB14" s="214">
        <v>1236.9095366438669</v>
      </c>
      <c r="AC14" s="214">
        <v>1090.4102330373946</v>
      </c>
      <c r="AD14" s="214">
        <v>1311.7930186504607</v>
      </c>
      <c r="AE14" s="214">
        <v>1544.3093161312779</v>
      </c>
      <c r="AF14" s="214">
        <v>1285.6485517529848</v>
      </c>
      <c r="AG14" s="214">
        <v>1528.5839154160576</v>
      </c>
      <c r="AH14" s="214">
        <v>1696.1394252167481</v>
      </c>
      <c r="AI14" s="214">
        <v>1711.5238698685689</v>
      </c>
      <c r="AJ14" s="214">
        <v>1395.539779444179</v>
      </c>
      <c r="AK14" s="214">
        <v>1472.1663580167547</v>
      </c>
      <c r="AL14" s="214">
        <v>1485.3313810514958</v>
      </c>
      <c r="AM14" s="214">
        <v>1460.2272936709962</v>
      </c>
      <c r="AN14" s="214">
        <v>1195.642064044019</v>
      </c>
      <c r="AO14" s="214">
        <v>1559.7692784787293</v>
      </c>
      <c r="AP14" s="214">
        <v>1890.6725917107763</v>
      </c>
      <c r="AQ14" s="214">
        <v>1724.4581554142369</v>
      </c>
      <c r="AR14" s="214">
        <v>1521.8294102778586</v>
      </c>
      <c r="AS14" s="214">
        <v>1262.202112919716</v>
      </c>
      <c r="AT14" s="214">
        <v>1854.3913138985142</v>
      </c>
      <c r="AU14" s="214">
        <v>1765.0242949006022</v>
      </c>
      <c r="AV14" s="214">
        <v>1601.1083173691268</v>
      </c>
      <c r="AW14" s="214">
        <v>1835.5279145379145</v>
      </c>
      <c r="AX14" s="214">
        <v>1857.3205798632748</v>
      </c>
      <c r="AY14" s="214">
        <v>1767.4203261296368</v>
      </c>
      <c r="AZ14" s="214">
        <v>1875.9887035576312</v>
      </c>
      <c r="BA14" s="214">
        <v>1346.2051323552769</v>
      </c>
      <c r="BB14" s="214">
        <v>1740.0588295452544</v>
      </c>
      <c r="BC14" s="214">
        <v>2064.5846951183894</v>
      </c>
      <c r="BD14" s="214">
        <v>1714.2292165725166</v>
      </c>
      <c r="BE14" s="214">
        <v>1603.8935239058633</v>
      </c>
      <c r="BF14" s="214">
        <v>1796.7972751281773</v>
      </c>
      <c r="BG14" s="214">
        <v>2208.0139344679728</v>
      </c>
      <c r="BH14" s="214">
        <v>2034.4344186247156</v>
      </c>
      <c r="BI14" s="214">
        <v>1823.3240125968284</v>
      </c>
      <c r="BJ14" s="214">
        <v>1920.0488632515235</v>
      </c>
      <c r="BK14" s="214">
        <v>2219.879400225539</v>
      </c>
      <c r="BL14" s="214">
        <v>1590.0003019914723</v>
      </c>
      <c r="BM14" s="214">
        <v>1683.7703408236819</v>
      </c>
      <c r="BN14" s="214">
        <v>2018.8743874350407</v>
      </c>
      <c r="BO14" s="214">
        <v>1999.318398602682</v>
      </c>
      <c r="BP14" s="214">
        <v>2047.6610066398885</v>
      </c>
      <c r="BQ14" s="214">
        <v>1944.1629044566084</v>
      </c>
      <c r="BR14" s="214">
        <v>1965.0744100022075</v>
      </c>
      <c r="BS14" s="214">
        <v>1850.6783314041857</v>
      </c>
      <c r="BT14" s="214">
        <v>1826.6895089457119</v>
      </c>
      <c r="BU14" s="214">
        <v>1790.5718489595454</v>
      </c>
      <c r="BV14" s="214">
        <v>2233.8391388833975</v>
      </c>
      <c r="BW14" s="214">
        <v>1982.2455681736001</v>
      </c>
      <c r="BX14" s="214">
        <v>1843.5889016595638</v>
      </c>
    </row>
    <row r="15" spans="1:76" s="192" customFormat="1" ht="17.100000000000001" customHeight="1" x14ac:dyDescent="0.2">
      <c r="B15" s="202" t="s">
        <v>149</v>
      </c>
      <c r="D15" s="215"/>
      <c r="E15" s="215"/>
      <c r="F15" s="215"/>
      <c r="G15" s="215"/>
      <c r="H15" s="215"/>
      <c r="I15" s="215"/>
      <c r="J15" s="215"/>
      <c r="K15" s="215"/>
      <c r="L15" s="215"/>
      <c r="M15" s="215"/>
      <c r="N15" s="214">
        <v>669.05481595072752</v>
      </c>
      <c r="O15" s="214">
        <v>551.79941866242598</v>
      </c>
      <c r="P15" s="214">
        <v>374.31405430771247</v>
      </c>
      <c r="Q15" s="214">
        <v>380.97900538593319</v>
      </c>
      <c r="R15" s="214">
        <v>400.34133333096315</v>
      </c>
      <c r="S15" s="214">
        <v>443.29963775050066</v>
      </c>
      <c r="T15" s="214">
        <v>580.93060402054175</v>
      </c>
      <c r="U15" s="214">
        <v>586.82720459828272</v>
      </c>
      <c r="V15" s="214">
        <v>574.07429957448153</v>
      </c>
      <c r="W15" s="214">
        <v>526.60748761814602</v>
      </c>
      <c r="X15" s="214">
        <v>437.97745591241244</v>
      </c>
      <c r="Y15" s="214">
        <v>614.92696630008334</v>
      </c>
      <c r="Z15" s="214">
        <v>534.65172940684306</v>
      </c>
      <c r="AA15" s="214">
        <v>547.39102530621585</v>
      </c>
      <c r="AB15" s="214">
        <v>632.64339841615697</v>
      </c>
      <c r="AC15" s="214">
        <v>631.43384965240773</v>
      </c>
      <c r="AD15" s="214">
        <v>560.20289270778187</v>
      </c>
      <c r="AE15" s="214">
        <v>569.9248596834218</v>
      </c>
      <c r="AF15" s="214">
        <v>661.59246055405606</v>
      </c>
      <c r="AG15" s="214">
        <v>618.44527826682531</v>
      </c>
      <c r="AH15" s="214">
        <v>650.90252145544684</v>
      </c>
      <c r="AI15" s="214">
        <v>720.17945250146715</v>
      </c>
      <c r="AJ15" s="214">
        <v>629.9919306894493</v>
      </c>
      <c r="AK15" s="214">
        <v>552.75868894344865</v>
      </c>
      <c r="AL15" s="214">
        <v>591.75519374449243</v>
      </c>
      <c r="AM15" s="214">
        <v>534.72692135843249</v>
      </c>
      <c r="AN15" s="214">
        <v>515.88585213559531</v>
      </c>
      <c r="AO15" s="214">
        <v>444.44248092080221</v>
      </c>
      <c r="AP15" s="214">
        <v>566.4154168892469</v>
      </c>
      <c r="AQ15" s="214">
        <v>576.33422585578876</v>
      </c>
      <c r="AR15" s="214">
        <v>565.15115172980154</v>
      </c>
      <c r="AS15" s="214">
        <v>566.47682889197472</v>
      </c>
      <c r="AT15" s="214">
        <v>569.92816599758748</v>
      </c>
      <c r="AU15" s="214">
        <v>514.75880731249401</v>
      </c>
      <c r="AV15" s="214">
        <v>597.02545185982979</v>
      </c>
      <c r="AW15" s="214">
        <v>574.46619235502976</v>
      </c>
      <c r="AX15" s="214">
        <v>606.34441165960891</v>
      </c>
      <c r="AY15" s="214">
        <v>630.39557584651993</v>
      </c>
      <c r="AZ15" s="214">
        <v>595.50609291350429</v>
      </c>
      <c r="BA15" s="214">
        <v>520.61982551292124</v>
      </c>
      <c r="BB15" s="214">
        <v>625.33258258193587</v>
      </c>
      <c r="BC15" s="214">
        <v>661.72934933105387</v>
      </c>
      <c r="BD15" s="214">
        <v>619.59925424498704</v>
      </c>
      <c r="BE15" s="214">
        <v>571.11439261611929</v>
      </c>
      <c r="BF15" s="214">
        <v>678.52929832325401</v>
      </c>
      <c r="BG15" s="214">
        <v>789.82982267064017</v>
      </c>
      <c r="BH15" s="214">
        <v>689.32794409907729</v>
      </c>
      <c r="BI15" s="214">
        <v>711.50633211577815</v>
      </c>
      <c r="BJ15" s="214">
        <v>789.7239612845558</v>
      </c>
      <c r="BK15" s="214">
        <v>828.6384870145863</v>
      </c>
      <c r="BL15" s="214">
        <v>914.74405278235815</v>
      </c>
      <c r="BM15" s="214">
        <v>987.40708917170832</v>
      </c>
      <c r="BN15" s="214">
        <v>991.79356189019722</v>
      </c>
      <c r="BO15" s="214">
        <v>1063.4708043039955</v>
      </c>
      <c r="BP15" s="214">
        <v>969.60262052567703</v>
      </c>
      <c r="BQ15" s="214">
        <v>924.53386276024685</v>
      </c>
      <c r="BR15" s="214">
        <v>1048.9774765539755</v>
      </c>
      <c r="BS15" s="214">
        <v>1059.0056304935565</v>
      </c>
      <c r="BT15" s="214">
        <v>1072.6578757167151</v>
      </c>
      <c r="BU15" s="214">
        <v>925.28056072880338</v>
      </c>
      <c r="BV15" s="214">
        <v>972.75339200295252</v>
      </c>
      <c r="BW15" s="214">
        <v>1089.5521512040684</v>
      </c>
      <c r="BX15" s="214">
        <v>1065.3765172283008</v>
      </c>
    </row>
    <row r="16" spans="1:76" s="195" customFormat="1" ht="17.100000000000001" customHeight="1" x14ac:dyDescent="0.2">
      <c r="B16" s="194" t="s">
        <v>148</v>
      </c>
      <c r="D16" s="210"/>
      <c r="E16" s="210"/>
      <c r="F16" s="210"/>
      <c r="G16" s="210"/>
      <c r="H16" s="210"/>
      <c r="I16" s="210"/>
      <c r="J16" s="210"/>
      <c r="K16" s="210"/>
      <c r="L16" s="210"/>
      <c r="M16" s="210"/>
      <c r="N16" s="209">
        <v>92.306629431579452</v>
      </c>
      <c r="O16" s="209">
        <v>95.123134018402041</v>
      </c>
      <c r="P16" s="209">
        <v>98.314250728816077</v>
      </c>
      <c r="Q16" s="209">
        <v>96.227371404680099</v>
      </c>
      <c r="R16" s="209">
        <v>98.888677505716345</v>
      </c>
      <c r="S16" s="209">
        <v>104.02942858254021</v>
      </c>
      <c r="T16" s="209">
        <v>100.3831872720878</v>
      </c>
      <c r="U16" s="209">
        <v>104.65820304954721</v>
      </c>
      <c r="V16" s="209">
        <v>108.44486485252526</v>
      </c>
      <c r="W16" s="209">
        <v>115.54115804852549</v>
      </c>
      <c r="X16" s="209">
        <v>122.78425168228858</v>
      </c>
      <c r="Y16" s="209">
        <v>127.46911989123701</v>
      </c>
      <c r="Z16" s="209">
        <v>132.42494426700858</v>
      </c>
      <c r="AA16" s="209">
        <v>137.67060575793576</v>
      </c>
      <c r="AB16" s="209">
        <v>137.00509871637303</v>
      </c>
      <c r="AC16" s="209">
        <v>138.39746934635704</v>
      </c>
      <c r="AD16" s="209">
        <v>140.52719881854935</v>
      </c>
      <c r="AE16" s="209">
        <v>141.48653406262829</v>
      </c>
      <c r="AF16" s="209">
        <v>140.6628168785154</v>
      </c>
      <c r="AG16" s="209">
        <v>140.57520519370871</v>
      </c>
      <c r="AH16" s="209">
        <v>140.42289969778696</v>
      </c>
      <c r="AI16" s="209">
        <v>140.3793514772976</v>
      </c>
      <c r="AJ16" s="209">
        <v>140.21957291836941</v>
      </c>
      <c r="AK16" s="209">
        <v>143.65867976974982</v>
      </c>
      <c r="AL16" s="209">
        <v>146.9806331797954</v>
      </c>
      <c r="AM16" s="209">
        <v>151.1803362041004</v>
      </c>
      <c r="AN16" s="209">
        <v>154.31744368532145</v>
      </c>
      <c r="AO16" s="209">
        <v>156.98039086216383</v>
      </c>
      <c r="AP16" s="209">
        <v>161.74050196803336</v>
      </c>
      <c r="AQ16" s="209">
        <v>163.63443485305123</v>
      </c>
      <c r="AR16" s="209">
        <v>168.09339315149296</v>
      </c>
      <c r="AS16" s="209">
        <v>170.78452144319289</v>
      </c>
      <c r="AT16" s="209">
        <v>176.79680932883289</v>
      </c>
      <c r="AU16" s="209">
        <v>180.08366221379177</v>
      </c>
      <c r="AV16" s="209">
        <v>182.87607870634062</v>
      </c>
      <c r="AW16" s="209">
        <v>187.61255892247726</v>
      </c>
      <c r="AX16" s="209">
        <v>193.38055534695295</v>
      </c>
      <c r="AY16" s="209">
        <v>197.56518806698926</v>
      </c>
      <c r="AZ16" s="209">
        <v>202.02751642864558</v>
      </c>
      <c r="BA16" s="209">
        <v>204.44118574166234</v>
      </c>
      <c r="BB16" s="209">
        <v>204.72211112455142</v>
      </c>
      <c r="BC16" s="209">
        <v>210.94899620736084</v>
      </c>
      <c r="BD16" s="209">
        <v>222.05014469251827</v>
      </c>
      <c r="BE16" s="209">
        <v>237.49407451292271</v>
      </c>
      <c r="BF16" s="209">
        <v>232.33417582966217</v>
      </c>
      <c r="BG16" s="209">
        <v>236.98188121679107</v>
      </c>
      <c r="BH16" s="209">
        <v>243.17074254876155</v>
      </c>
      <c r="BI16" s="209">
        <v>249.71317255458226</v>
      </c>
      <c r="BJ16" s="209">
        <v>265.41534400863247</v>
      </c>
      <c r="BK16" s="209">
        <v>262.94324904597909</v>
      </c>
      <c r="BL16" s="209">
        <v>269.71734545462806</v>
      </c>
      <c r="BM16" s="209">
        <v>262.60224158248286</v>
      </c>
      <c r="BN16" s="209">
        <v>269.86132937861726</v>
      </c>
      <c r="BO16" s="209">
        <v>278.39811377538996</v>
      </c>
      <c r="BP16" s="209">
        <v>285.90941068013859</v>
      </c>
      <c r="BQ16" s="209">
        <v>293.51916094150624</v>
      </c>
      <c r="BR16" s="209">
        <v>299.05352418562768</v>
      </c>
      <c r="BS16" s="209">
        <v>304.62690355801249</v>
      </c>
      <c r="BT16" s="209">
        <v>311.66923841245233</v>
      </c>
      <c r="BU16" s="209">
        <v>315.85603017079035</v>
      </c>
      <c r="BV16" s="209">
        <v>323.32698666495327</v>
      </c>
      <c r="BW16" s="209">
        <v>329.54074205985836</v>
      </c>
      <c r="BX16" s="209">
        <v>330.79046438355766</v>
      </c>
    </row>
    <row r="17" spans="1:76" s="195" customFormat="1" ht="17.100000000000001" customHeight="1" x14ac:dyDescent="0.2">
      <c r="B17" s="194" t="s">
        <v>147</v>
      </c>
      <c r="D17" s="210"/>
      <c r="E17" s="210"/>
      <c r="F17" s="210"/>
      <c r="G17" s="210"/>
      <c r="H17" s="210"/>
      <c r="I17" s="210"/>
      <c r="J17" s="210"/>
      <c r="K17" s="210"/>
      <c r="L17" s="210"/>
      <c r="M17" s="210"/>
      <c r="N17" s="209">
        <v>-2837.5639218613733</v>
      </c>
      <c r="O17" s="209">
        <v>-2610.119650431061</v>
      </c>
      <c r="P17" s="209">
        <v>-3031.8451397305216</v>
      </c>
      <c r="Q17" s="209">
        <v>-2503.7000718030681</v>
      </c>
      <c r="R17" s="209">
        <v>-2945.8160763930841</v>
      </c>
      <c r="S17" s="209">
        <v>-2727.8437739894225</v>
      </c>
      <c r="T17" s="209">
        <v>-2608.1615086795687</v>
      </c>
      <c r="U17" s="209">
        <v>-2561.1247219286156</v>
      </c>
      <c r="V17" s="209">
        <v>-2236.7438231085071</v>
      </c>
      <c r="W17" s="209">
        <v>-2210.5496891959142</v>
      </c>
      <c r="X17" s="209">
        <v>-2063.7689299201929</v>
      </c>
      <c r="Y17" s="209">
        <v>-3213.7074496525838</v>
      </c>
      <c r="Z17" s="209">
        <v>-2009.5015842458124</v>
      </c>
      <c r="AA17" s="209">
        <v>-1383.6992361340699</v>
      </c>
      <c r="AB17" s="209">
        <v>-1818.2781644152024</v>
      </c>
      <c r="AC17" s="209">
        <v>-2478.6731512084621</v>
      </c>
      <c r="AD17" s="209">
        <v>-2697.4447855156845</v>
      </c>
      <c r="AE17" s="209">
        <v>-2104.1338820436708</v>
      </c>
      <c r="AF17" s="209">
        <v>-2207.8740339060705</v>
      </c>
      <c r="AG17" s="209">
        <v>-2284.9129150074609</v>
      </c>
      <c r="AH17" s="209">
        <v>-2460.2786063867434</v>
      </c>
      <c r="AI17" s="209">
        <v>-2760.2630201326642</v>
      </c>
      <c r="AJ17" s="209">
        <v>-1246.9220290995418</v>
      </c>
      <c r="AK17" s="209">
        <v>-1301.8677348153078</v>
      </c>
      <c r="AL17" s="209">
        <v>-1239.6125922601768</v>
      </c>
      <c r="AM17" s="209">
        <v>-753.67152134675507</v>
      </c>
      <c r="AN17" s="209">
        <v>-576.35998533081511</v>
      </c>
      <c r="AO17" s="209">
        <v>-1244.5459823735209</v>
      </c>
      <c r="AP17" s="209">
        <v>153.40449738636289</v>
      </c>
      <c r="AQ17" s="209">
        <v>-330.94164107921824</v>
      </c>
      <c r="AR17" s="209">
        <v>-1731.6626448082284</v>
      </c>
      <c r="AS17" s="209">
        <v>-2044.102225405275</v>
      </c>
      <c r="AT17" s="209">
        <v>-1782.6994053460958</v>
      </c>
      <c r="AU17" s="209">
        <v>-2036.9482168975273</v>
      </c>
      <c r="AV17" s="209">
        <v>100.99436871384569</v>
      </c>
      <c r="AW17" s="209">
        <v>-1064.7286582122879</v>
      </c>
      <c r="AX17" s="209">
        <v>-1005.8285426294105</v>
      </c>
      <c r="AY17" s="209">
        <v>-906.63615283435229</v>
      </c>
      <c r="AZ17" s="209">
        <v>-1496.6150831696432</v>
      </c>
      <c r="BA17" s="209">
        <v>-1727.9650738037531</v>
      </c>
      <c r="BB17" s="209">
        <v>-2202.6035375040392</v>
      </c>
      <c r="BC17" s="209">
        <v>-3004.0296304365875</v>
      </c>
      <c r="BD17" s="209">
        <v>-1501.4854075540907</v>
      </c>
      <c r="BE17" s="209">
        <v>-3194.8603568135695</v>
      </c>
      <c r="BF17" s="209">
        <v>-2290.7532210469935</v>
      </c>
      <c r="BG17" s="209">
        <v>-3117.8170661879694</v>
      </c>
      <c r="BH17" s="209">
        <v>-2989.424634335448</v>
      </c>
      <c r="BI17" s="209">
        <v>-3142.7239307476084</v>
      </c>
      <c r="BJ17" s="209">
        <v>-3304.9101196184729</v>
      </c>
      <c r="BK17" s="209">
        <v>-2599.8491296788006</v>
      </c>
      <c r="BL17" s="209">
        <v>-2287.8233070137667</v>
      </c>
      <c r="BM17" s="209">
        <v>-2566.762731185413</v>
      </c>
      <c r="BN17" s="209">
        <v>-1678.184447141738</v>
      </c>
      <c r="BO17" s="209">
        <v>-1851.1290209980725</v>
      </c>
      <c r="BP17" s="209">
        <v>-885.16831107663711</v>
      </c>
      <c r="BQ17" s="209">
        <v>-1194.3941628786915</v>
      </c>
      <c r="BR17" s="209">
        <v>-2207.5298414269755</v>
      </c>
      <c r="BS17" s="209">
        <v>-2684.211609106269</v>
      </c>
      <c r="BT17" s="209">
        <v>1109.2866777858762</v>
      </c>
      <c r="BU17" s="209">
        <v>405.21037323599921</v>
      </c>
      <c r="BV17" s="209">
        <v>-971.83256459764743</v>
      </c>
      <c r="BW17" s="209">
        <v>-841.92425482369435</v>
      </c>
      <c r="BX17" s="209">
        <v>-1355.0842281707974</v>
      </c>
    </row>
    <row r="18" spans="1:76" s="195" customFormat="1" ht="17.100000000000001" customHeight="1" x14ac:dyDescent="0.2">
      <c r="B18" s="201" t="s">
        <v>146</v>
      </c>
      <c r="D18" s="210"/>
      <c r="E18" s="210"/>
      <c r="F18" s="210"/>
      <c r="G18" s="210"/>
      <c r="H18" s="210"/>
      <c r="I18" s="210"/>
      <c r="J18" s="210"/>
      <c r="K18" s="210"/>
      <c r="L18" s="210"/>
      <c r="M18" s="210"/>
      <c r="N18" s="209">
        <v>2410.2730850281232</v>
      </c>
      <c r="O18" s="209">
        <v>3106.4242285757018</v>
      </c>
      <c r="P18" s="209">
        <v>2768.5391838634851</v>
      </c>
      <c r="Q18" s="209">
        <v>2739.4529430028074</v>
      </c>
      <c r="R18" s="209">
        <v>3184.3540293701849</v>
      </c>
      <c r="S18" s="209">
        <v>2892.8074185215655</v>
      </c>
      <c r="T18" s="209">
        <v>3073.8335027599728</v>
      </c>
      <c r="U18" s="209">
        <v>3211.9249194193885</v>
      </c>
      <c r="V18" s="209">
        <v>3235.8667680743356</v>
      </c>
      <c r="W18" s="209">
        <v>3346.5981735882347</v>
      </c>
      <c r="X18" s="209">
        <v>3446.5172522441771</v>
      </c>
      <c r="Y18" s="209">
        <v>3316.8763316230297</v>
      </c>
      <c r="Z18" s="209">
        <v>3317.9534805542498</v>
      </c>
      <c r="AA18" s="209">
        <v>3727.093581031434</v>
      </c>
      <c r="AB18" s="209">
        <v>3212.9795364020433</v>
      </c>
      <c r="AC18" s="209">
        <v>2961.0557956024891</v>
      </c>
      <c r="AD18" s="209">
        <v>3055.1948534981771</v>
      </c>
      <c r="AE18" s="209">
        <v>3194.6784498387901</v>
      </c>
      <c r="AF18" s="209">
        <v>3299.7042398363947</v>
      </c>
      <c r="AG18" s="209">
        <v>3276.8985740614967</v>
      </c>
      <c r="AH18" s="209">
        <v>3278.0264760023092</v>
      </c>
      <c r="AI18" s="209">
        <v>3184.0627396181849</v>
      </c>
      <c r="AJ18" s="209">
        <v>3474.2586460497987</v>
      </c>
      <c r="AK18" s="209">
        <v>3672.7542620441263</v>
      </c>
      <c r="AL18" s="209">
        <v>4253.2280761229558</v>
      </c>
      <c r="AM18" s="209">
        <v>4655.8578604041968</v>
      </c>
      <c r="AN18" s="209">
        <v>4569.4027233607476</v>
      </c>
      <c r="AO18" s="209">
        <v>4601.8381916958288</v>
      </c>
      <c r="AP18" s="209">
        <v>5927.280101737234</v>
      </c>
      <c r="AQ18" s="209">
        <v>5852.4157582454245</v>
      </c>
      <c r="AR18" s="209">
        <v>4035.5594061826</v>
      </c>
      <c r="AS18" s="209">
        <v>3968.2264633886007</v>
      </c>
      <c r="AT18" s="209">
        <v>4417.3587494773592</v>
      </c>
      <c r="AU18" s="209">
        <v>4618.4851665759898</v>
      </c>
      <c r="AV18" s="209">
        <v>6712.5591954309621</v>
      </c>
      <c r="AW18" s="209">
        <v>4889.2288159944546</v>
      </c>
      <c r="AX18" s="209">
        <v>5509.1247703935596</v>
      </c>
      <c r="AY18" s="209">
        <v>5756.7176342793118</v>
      </c>
      <c r="AZ18" s="209">
        <v>5607.0672590014983</v>
      </c>
      <c r="BA18" s="209">
        <v>3523.257963375318</v>
      </c>
      <c r="BB18" s="209">
        <v>4967.2513956392741</v>
      </c>
      <c r="BC18" s="209">
        <v>4710.4442820291551</v>
      </c>
      <c r="BD18" s="209">
        <v>5256.9775820519608</v>
      </c>
      <c r="BE18" s="209">
        <v>5509.5659824913437</v>
      </c>
      <c r="BF18" s="209">
        <v>4203.6683552210388</v>
      </c>
      <c r="BG18" s="209">
        <v>4003.3440964789979</v>
      </c>
      <c r="BH18" s="209">
        <v>4214.6104056972345</v>
      </c>
      <c r="BI18" s="209">
        <v>4000.5353804231736</v>
      </c>
      <c r="BJ18" s="209">
        <v>3887.7341830987971</v>
      </c>
      <c r="BK18" s="209">
        <v>3666.085852267116</v>
      </c>
      <c r="BL18" s="209">
        <v>4277.3840206449549</v>
      </c>
      <c r="BM18" s="209">
        <v>4635.84107278379</v>
      </c>
      <c r="BN18" s="209">
        <v>6191.305180689953</v>
      </c>
      <c r="BO18" s="209">
        <v>5912.3832674085188</v>
      </c>
      <c r="BP18" s="209">
        <v>6297.312920893617</v>
      </c>
      <c r="BQ18" s="209">
        <v>5815.2002788697409</v>
      </c>
      <c r="BR18" s="209">
        <v>5365.5549342701233</v>
      </c>
      <c r="BS18" s="209">
        <v>7827.4509395140431</v>
      </c>
      <c r="BT18" s="209">
        <v>7944.486575347084</v>
      </c>
      <c r="BU18" s="209">
        <v>8794.628859830158</v>
      </c>
      <c r="BV18" s="209">
        <v>8010.8732439102459</v>
      </c>
      <c r="BW18" s="209">
        <v>8720.6659666066516</v>
      </c>
      <c r="BX18" s="209">
        <v>8342.9493833636534</v>
      </c>
    </row>
    <row r="19" spans="1:76" s="192" customFormat="1" ht="17.100000000000001" customHeight="1" x14ac:dyDescent="0.2">
      <c r="B19" s="193" t="s">
        <v>144</v>
      </c>
      <c r="D19" s="215"/>
      <c r="E19" s="215"/>
      <c r="F19" s="215"/>
      <c r="G19" s="215"/>
      <c r="H19" s="215"/>
      <c r="I19" s="215"/>
      <c r="J19" s="215"/>
      <c r="K19" s="215"/>
      <c r="L19" s="215"/>
      <c r="M19" s="215"/>
      <c r="N19" s="214">
        <v>1916.7482095732321</v>
      </c>
      <c r="O19" s="214">
        <v>2049.523744552313</v>
      </c>
      <c r="P19" s="214">
        <v>2030.368748680318</v>
      </c>
      <c r="Q19" s="214">
        <v>2003.2899020676475</v>
      </c>
      <c r="R19" s="214">
        <v>2252.9339145326908</v>
      </c>
      <c r="S19" s="214">
        <v>1959.6016484791171</v>
      </c>
      <c r="T19" s="214">
        <v>2151.3358627372745</v>
      </c>
      <c r="U19" s="214">
        <v>2304.6295640015255</v>
      </c>
      <c r="V19" s="214">
        <v>2282.7695583410518</v>
      </c>
      <c r="W19" s="214">
        <v>2312.0526969820089</v>
      </c>
      <c r="X19" s="214">
        <v>2541.2737283716824</v>
      </c>
      <c r="Y19" s="214">
        <v>2408.8361145546783</v>
      </c>
      <c r="Z19" s="214">
        <v>2198.7645839294714</v>
      </c>
      <c r="AA19" s="214">
        <v>2475.5991972758898</v>
      </c>
      <c r="AB19" s="214">
        <v>2430.1908993832544</v>
      </c>
      <c r="AC19" s="214">
        <v>2159.7580003610665</v>
      </c>
      <c r="AD19" s="214">
        <v>2089.2140670951258</v>
      </c>
      <c r="AE19" s="214">
        <v>2199.036271630725</v>
      </c>
      <c r="AF19" s="214">
        <v>2265.9912621704648</v>
      </c>
      <c r="AG19" s="214">
        <v>2315.2053832216866</v>
      </c>
      <c r="AH19" s="214">
        <v>2428.4694556780441</v>
      </c>
      <c r="AI19" s="214">
        <v>2313.6617799171427</v>
      </c>
      <c r="AJ19" s="214">
        <v>2646.6566698325605</v>
      </c>
      <c r="AK19" s="214">
        <v>2638.9116437491734</v>
      </c>
      <c r="AL19" s="214">
        <v>2543.5753191302661</v>
      </c>
      <c r="AM19" s="214">
        <v>3041.6259813300717</v>
      </c>
      <c r="AN19" s="214">
        <v>2901.7943720724884</v>
      </c>
      <c r="AO19" s="214">
        <v>3056.7594464425251</v>
      </c>
      <c r="AP19" s="214">
        <v>3957.1060910394972</v>
      </c>
      <c r="AQ19" s="214">
        <v>3841.3547839589605</v>
      </c>
      <c r="AR19" s="214">
        <v>2620.6180282062819</v>
      </c>
      <c r="AS19" s="214">
        <v>2498.9745305121351</v>
      </c>
      <c r="AT19" s="214">
        <v>2673.8584420854932</v>
      </c>
      <c r="AU19" s="214">
        <v>2915.7266266641882</v>
      </c>
      <c r="AV19" s="214">
        <v>4913.5287248487293</v>
      </c>
      <c r="AW19" s="214">
        <v>3247.1544039525752</v>
      </c>
      <c r="AX19" s="214">
        <v>3480.5950195894015</v>
      </c>
      <c r="AY19" s="214">
        <v>3720.1510870315024</v>
      </c>
      <c r="AZ19" s="214">
        <v>3866.3254333821951</v>
      </c>
      <c r="BA19" s="214">
        <v>3026.2210543486949</v>
      </c>
      <c r="BB19" s="214">
        <v>4112.0754068271344</v>
      </c>
      <c r="BC19" s="214">
        <v>3668.7717851409061</v>
      </c>
      <c r="BD19" s="214">
        <v>3942.4956663079952</v>
      </c>
      <c r="BE19" s="214">
        <v>4135.4884321513327</v>
      </c>
      <c r="BF19" s="214">
        <v>2951.1119355968744</v>
      </c>
      <c r="BG19" s="214">
        <v>2862.9499889061999</v>
      </c>
      <c r="BH19" s="214">
        <v>3016.400564026741</v>
      </c>
      <c r="BI19" s="214">
        <v>2859.5144463803426</v>
      </c>
      <c r="BJ19" s="214">
        <v>2948.821588604108</v>
      </c>
      <c r="BK19" s="214">
        <v>2634.442697481762</v>
      </c>
      <c r="BL19" s="214">
        <v>3171.5549757063359</v>
      </c>
      <c r="BM19" s="214">
        <v>3363.9228584454031</v>
      </c>
      <c r="BN19" s="214">
        <v>4651.4984844279052</v>
      </c>
      <c r="BO19" s="214">
        <v>4370.2788304853148</v>
      </c>
      <c r="BP19" s="214">
        <v>4424.4469168402611</v>
      </c>
      <c r="BQ19" s="214">
        <v>4250.4053937700373</v>
      </c>
      <c r="BR19" s="214">
        <v>3944.7807173812225</v>
      </c>
      <c r="BS19" s="214">
        <v>5916.6528260285431</v>
      </c>
      <c r="BT19" s="214">
        <v>6053.8348643158524</v>
      </c>
      <c r="BU19" s="214">
        <v>7065.6064584117757</v>
      </c>
      <c r="BV19" s="214">
        <v>6183.2170390140536</v>
      </c>
      <c r="BW19" s="214">
        <v>7245.6900416082453</v>
      </c>
      <c r="BX19" s="214">
        <v>6143.6517581482258</v>
      </c>
    </row>
    <row r="20" spans="1:76" s="192" customFormat="1" ht="17.100000000000001" customHeight="1" x14ac:dyDescent="0.2">
      <c r="B20" s="193" t="s">
        <v>143</v>
      </c>
      <c r="D20" s="215"/>
      <c r="E20" s="215"/>
      <c r="F20" s="215"/>
      <c r="G20" s="215"/>
      <c r="H20" s="215"/>
      <c r="I20" s="215"/>
      <c r="J20" s="215"/>
      <c r="K20" s="215"/>
      <c r="L20" s="215"/>
      <c r="M20" s="215"/>
      <c r="N20" s="214">
        <v>493.52487545489106</v>
      </c>
      <c r="O20" s="214">
        <v>1056.9004840233886</v>
      </c>
      <c r="P20" s="214">
        <v>738.17043518316677</v>
      </c>
      <c r="Q20" s="214">
        <v>736.16304093515998</v>
      </c>
      <c r="R20" s="214">
        <v>931.42011483749422</v>
      </c>
      <c r="S20" s="214">
        <v>933.20577004244819</v>
      </c>
      <c r="T20" s="214">
        <v>922.49764002269819</v>
      </c>
      <c r="U20" s="214">
        <v>907.29535541786288</v>
      </c>
      <c r="V20" s="214">
        <v>953.09720973328399</v>
      </c>
      <c r="W20" s="214">
        <v>1034.5454766062257</v>
      </c>
      <c r="X20" s="214">
        <v>905.24352387249496</v>
      </c>
      <c r="Y20" s="214">
        <v>908.04021706835169</v>
      </c>
      <c r="Z20" s="214">
        <v>1119.1888966247786</v>
      </c>
      <c r="AA20" s="214">
        <v>1251.4943837555445</v>
      </c>
      <c r="AB20" s="214">
        <v>782.78863701878879</v>
      </c>
      <c r="AC20" s="214">
        <v>801.29779524142248</v>
      </c>
      <c r="AD20" s="214">
        <v>965.98078640305141</v>
      </c>
      <c r="AE20" s="214">
        <v>995.64217820806505</v>
      </c>
      <c r="AF20" s="214">
        <v>1033.7129776659301</v>
      </c>
      <c r="AG20" s="214">
        <v>961.6931908398102</v>
      </c>
      <c r="AH20" s="214">
        <v>849.55702032426484</v>
      </c>
      <c r="AI20" s="214">
        <v>870.40095970104232</v>
      </c>
      <c r="AJ20" s="214">
        <v>827.60197621723819</v>
      </c>
      <c r="AK20" s="214">
        <v>1033.8426182949529</v>
      </c>
      <c r="AL20" s="214">
        <v>1709.65275699269</v>
      </c>
      <c r="AM20" s="214">
        <v>1614.2318790741253</v>
      </c>
      <c r="AN20" s="214">
        <v>1667.6083512882594</v>
      </c>
      <c r="AO20" s="214">
        <v>1545.0787452533034</v>
      </c>
      <c r="AP20" s="214">
        <v>1970.1740106977365</v>
      </c>
      <c r="AQ20" s="214">
        <v>2011.060974286464</v>
      </c>
      <c r="AR20" s="214">
        <v>1414.9413779763181</v>
      </c>
      <c r="AS20" s="214">
        <v>1469.2519328764654</v>
      </c>
      <c r="AT20" s="214">
        <v>1743.5003073918658</v>
      </c>
      <c r="AU20" s="214">
        <v>1702.7585399118018</v>
      </c>
      <c r="AV20" s="214">
        <v>1799.0304705822327</v>
      </c>
      <c r="AW20" s="214">
        <v>1642.0744120418792</v>
      </c>
      <c r="AX20" s="214">
        <v>2028.5297508041579</v>
      </c>
      <c r="AY20" s="214">
        <v>2036.5665472478099</v>
      </c>
      <c r="AZ20" s="214">
        <v>1740.7418256193037</v>
      </c>
      <c r="BA20" s="214">
        <v>497.03690902662305</v>
      </c>
      <c r="BB20" s="214">
        <v>855.17598881213928</v>
      </c>
      <c r="BC20" s="214">
        <v>1041.6724968882486</v>
      </c>
      <c r="BD20" s="214">
        <v>1314.4819157439656</v>
      </c>
      <c r="BE20" s="214">
        <v>1374.0775503400112</v>
      </c>
      <c r="BF20" s="214">
        <v>1252.5564196241644</v>
      </c>
      <c r="BG20" s="214">
        <v>1140.394107572798</v>
      </c>
      <c r="BH20" s="214">
        <v>1198.2098416704935</v>
      </c>
      <c r="BI20" s="214">
        <v>1141.0209340428307</v>
      </c>
      <c r="BJ20" s="214">
        <v>938.91259449468896</v>
      </c>
      <c r="BK20" s="214">
        <v>1031.6431547853542</v>
      </c>
      <c r="BL20" s="214">
        <v>1105.8290449386188</v>
      </c>
      <c r="BM20" s="214">
        <v>1271.9182143383866</v>
      </c>
      <c r="BN20" s="214">
        <v>1539.8066962620483</v>
      </c>
      <c r="BO20" s="214">
        <v>1542.1044369232036</v>
      </c>
      <c r="BP20" s="214">
        <v>1872.8660040533557</v>
      </c>
      <c r="BQ20" s="214">
        <v>1564.7948850997036</v>
      </c>
      <c r="BR20" s="214">
        <v>1420.7742168889004</v>
      </c>
      <c r="BS20" s="214">
        <v>1910.7981134854997</v>
      </c>
      <c r="BT20" s="214">
        <v>1890.651711031232</v>
      </c>
      <c r="BU20" s="214">
        <v>1729.0224014183821</v>
      </c>
      <c r="BV20" s="214">
        <v>1827.6562048961923</v>
      </c>
      <c r="BW20" s="214">
        <v>1474.9759249984063</v>
      </c>
      <c r="BX20" s="214">
        <v>2199.2976252154281</v>
      </c>
    </row>
    <row r="21" spans="1:76" s="195" customFormat="1" ht="17.100000000000001" customHeight="1" x14ac:dyDescent="0.2">
      <c r="B21" s="201" t="s">
        <v>145</v>
      </c>
      <c r="D21" s="210"/>
      <c r="E21" s="210"/>
      <c r="F21" s="210"/>
      <c r="G21" s="210"/>
      <c r="H21" s="210"/>
      <c r="I21" s="210"/>
      <c r="J21" s="210"/>
      <c r="K21" s="210"/>
      <c r="L21" s="210"/>
      <c r="M21" s="210"/>
      <c r="N21" s="209">
        <v>5247.8370068894965</v>
      </c>
      <c r="O21" s="209">
        <v>5716.5438790067628</v>
      </c>
      <c r="P21" s="209">
        <v>5800.3843235940067</v>
      </c>
      <c r="Q21" s="209">
        <v>5243.1530148058755</v>
      </c>
      <c r="R21" s="209">
        <v>6130.170105763269</v>
      </c>
      <c r="S21" s="209">
        <v>5620.651192510988</v>
      </c>
      <c r="T21" s="209">
        <v>5681.9950114395415</v>
      </c>
      <c r="U21" s="209">
        <v>5773.0496413480041</v>
      </c>
      <c r="V21" s="209">
        <v>5472.6105911828427</v>
      </c>
      <c r="W21" s="209">
        <v>5557.1478627841489</v>
      </c>
      <c r="X21" s="209">
        <v>5510.2861821643701</v>
      </c>
      <c r="Y21" s="209">
        <v>6530.5837812756135</v>
      </c>
      <c r="Z21" s="209">
        <v>5327.4550648000622</v>
      </c>
      <c r="AA21" s="209">
        <v>5110.7928171655039</v>
      </c>
      <c r="AB21" s="209">
        <v>5031.2577008172457</v>
      </c>
      <c r="AC21" s="209">
        <v>5439.7289468109511</v>
      </c>
      <c r="AD21" s="209">
        <v>5752.6396390138616</v>
      </c>
      <c r="AE21" s="209">
        <v>5298.812331882461</v>
      </c>
      <c r="AF21" s="209">
        <v>5507.5782737424652</v>
      </c>
      <c r="AG21" s="209">
        <v>5561.8114890689576</v>
      </c>
      <c r="AH21" s="209">
        <v>5738.3050823890526</v>
      </c>
      <c r="AI21" s="209">
        <v>5944.3257597508491</v>
      </c>
      <c r="AJ21" s="209">
        <v>4721.1806751493405</v>
      </c>
      <c r="AK21" s="209">
        <v>4974.6219968594341</v>
      </c>
      <c r="AL21" s="209">
        <v>5492.8406683831327</v>
      </c>
      <c r="AM21" s="209">
        <v>5409.5293817509519</v>
      </c>
      <c r="AN21" s="209">
        <v>5145.7627086915627</v>
      </c>
      <c r="AO21" s="209">
        <v>5846.3841740693497</v>
      </c>
      <c r="AP21" s="209">
        <v>5773.8756043508711</v>
      </c>
      <c r="AQ21" s="209">
        <v>6183.3573993246428</v>
      </c>
      <c r="AR21" s="209">
        <v>5767.2220509908284</v>
      </c>
      <c r="AS21" s="209">
        <v>6012.3286887938757</v>
      </c>
      <c r="AT21" s="209">
        <v>6200.058154823455</v>
      </c>
      <c r="AU21" s="209">
        <v>6655.4333834735171</v>
      </c>
      <c r="AV21" s="209">
        <v>6611.5648267171164</v>
      </c>
      <c r="AW21" s="209">
        <v>5953.9574742067425</v>
      </c>
      <c r="AX21" s="209">
        <v>6514.9533130229702</v>
      </c>
      <c r="AY21" s="209">
        <v>6663.3537871136641</v>
      </c>
      <c r="AZ21" s="209">
        <v>7103.6823421711415</v>
      </c>
      <c r="BA21" s="209">
        <v>5251.2230371790711</v>
      </c>
      <c r="BB21" s="209">
        <v>7169.8549331433132</v>
      </c>
      <c r="BC21" s="209">
        <v>7714.4739124657426</v>
      </c>
      <c r="BD21" s="209">
        <v>6758.4629896060515</v>
      </c>
      <c r="BE21" s="209">
        <v>8704.4263393049132</v>
      </c>
      <c r="BF21" s="209">
        <v>6494.4215762680324</v>
      </c>
      <c r="BG21" s="209">
        <v>7121.1611626669674</v>
      </c>
      <c r="BH21" s="209">
        <v>7204.0350400326824</v>
      </c>
      <c r="BI21" s="209">
        <v>7143.259311170782</v>
      </c>
      <c r="BJ21" s="209">
        <v>7192.64430271727</v>
      </c>
      <c r="BK21" s="209">
        <v>6265.9349819459167</v>
      </c>
      <c r="BL21" s="209">
        <v>6565.2073276587216</v>
      </c>
      <c r="BM21" s="209">
        <v>7202.603803969203</v>
      </c>
      <c r="BN21" s="209">
        <v>7869.489627831691</v>
      </c>
      <c r="BO21" s="209">
        <v>7763.5122884065913</v>
      </c>
      <c r="BP21" s="209">
        <v>7182.4812319702542</v>
      </c>
      <c r="BQ21" s="209">
        <v>7009.5944417484325</v>
      </c>
      <c r="BR21" s="209">
        <v>7573.0847756970988</v>
      </c>
      <c r="BS21" s="209">
        <v>10511.662548620312</v>
      </c>
      <c r="BT21" s="209">
        <v>6835.1998975612078</v>
      </c>
      <c r="BU21" s="209">
        <v>8389.4184865941588</v>
      </c>
      <c r="BV21" s="209">
        <v>8982.7058085078934</v>
      </c>
      <c r="BW21" s="209">
        <v>9562.590221430346</v>
      </c>
      <c r="BX21" s="209">
        <v>9698.0336115344508</v>
      </c>
    </row>
    <row r="22" spans="1:76" s="192" customFormat="1" ht="17.100000000000001" customHeight="1" x14ac:dyDescent="0.2">
      <c r="B22" s="193" t="s">
        <v>144</v>
      </c>
      <c r="D22" s="215"/>
      <c r="E22" s="215"/>
      <c r="F22" s="215"/>
      <c r="G22" s="215"/>
      <c r="H22" s="215"/>
      <c r="I22" s="215"/>
      <c r="J22" s="215"/>
      <c r="K22" s="215"/>
      <c r="L22" s="215"/>
      <c r="M22" s="215"/>
      <c r="N22" s="214">
        <v>4634.7342194405619</v>
      </c>
      <c r="O22" s="214">
        <v>5094.5792754904924</v>
      </c>
      <c r="P22" s="214">
        <v>5060.5486515552611</v>
      </c>
      <c r="Q22" s="214">
        <v>4535.6585473362748</v>
      </c>
      <c r="R22" s="214">
        <v>5388.7715656881101</v>
      </c>
      <c r="S22" s="214">
        <v>4891.7928756592755</v>
      </c>
      <c r="T22" s="214">
        <v>4983.3914198074563</v>
      </c>
      <c r="U22" s="214">
        <v>5051.1358928570744</v>
      </c>
      <c r="V22" s="214">
        <v>4737.9824316910681</v>
      </c>
      <c r="W22" s="214">
        <v>4835.0562965914905</v>
      </c>
      <c r="X22" s="214">
        <v>4740.4354296444762</v>
      </c>
      <c r="Y22" s="214">
        <v>5688.7259283226704</v>
      </c>
      <c r="Z22" s="214">
        <v>4525.1815949590464</v>
      </c>
      <c r="AA22" s="214">
        <v>4278.2981560190083</v>
      </c>
      <c r="AB22" s="214">
        <v>4296.8574396439717</v>
      </c>
      <c r="AC22" s="214">
        <v>4652.002029694213</v>
      </c>
      <c r="AD22" s="214">
        <v>4376.6511808648893</v>
      </c>
      <c r="AE22" s="214">
        <v>4471.4563064662216</v>
      </c>
      <c r="AF22" s="214">
        <v>4502.3371549780586</v>
      </c>
      <c r="AG22" s="214">
        <v>4420.639758909484</v>
      </c>
      <c r="AH22" s="214">
        <v>4941.0406115236538</v>
      </c>
      <c r="AI22" s="214">
        <v>5188.036680589209</v>
      </c>
      <c r="AJ22" s="214">
        <v>3913.1567257010934</v>
      </c>
      <c r="AK22" s="214">
        <v>3887.8581224766717</v>
      </c>
      <c r="AL22" s="214">
        <v>3710.1624088870558</v>
      </c>
      <c r="AM22" s="214">
        <v>3563.6658132842813</v>
      </c>
      <c r="AN22" s="214">
        <v>3418.0070046929163</v>
      </c>
      <c r="AO22" s="214">
        <v>3798.4606491948134</v>
      </c>
      <c r="AP22" s="214">
        <v>3741.3434282080279</v>
      </c>
      <c r="AQ22" s="214">
        <v>4019.0679009953756</v>
      </c>
      <c r="AR22" s="214">
        <v>3879.2182387853086</v>
      </c>
      <c r="AS22" s="214">
        <v>3916.7386805521924</v>
      </c>
      <c r="AT22" s="214">
        <v>3798.2042187195134</v>
      </c>
      <c r="AU22" s="214">
        <v>4202.8012348507036</v>
      </c>
      <c r="AV22" s="214">
        <v>4215.1160246902427</v>
      </c>
      <c r="AW22" s="214">
        <v>3677.7019547213158</v>
      </c>
      <c r="AX22" s="214">
        <v>4007.0799223624399</v>
      </c>
      <c r="AY22" s="214">
        <v>4239.0039536618588</v>
      </c>
      <c r="AZ22" s="214">
        <v>4215.9309491476615</v>
      </c>
      <c r="BA22" s="214">
        <v>3419.2578240859675</v>
      </c>
      <c r="BB22" s="214">
        <v>4928.1959009145739</v>
      </c>
      <c r="BC22" s="214">
        <v>5212.6557089984553</v>
      </c>
      <c r="BD22" s="214">
        <v>4714.9594966020086</v>
      </c>
      <c r="BE22" s="214">
        <v>6290.4126898612085</v>
      </c>
      <c r="BF22" s="214">
        <v>4295.9513094666599</v>
      </c>
      <c r="BG22" s="214">
        <v>4930.3324188641009</v>
      </c>
      <c r="BH22" s="214">
        <v>5012.7589408666299</v>
      </c>
      <c r="BI22" s="214">
        <v>4910.445292800965</v>
      </c>
      <c r="BJ22" s="214">
        <v>4826.3959349174993</v>
      </c>
      <c r="BK22" s="214">
        <v>4137.8760902683671</v>
      </c>
      <c r="BL22" s="214">
        <v>4362.3287752604429</v>
      </c>
      <c r="BM22" s="214">
        <v>4823.5392942969584</v>
      </c>
      <c r="BN22" s="214">
        <v>5117.319083407504</v>
      </c>
      <c r="BO22" s="214">
        <v>4850.241159866714</v>
      </c>
      <c r="BP22" s="214">
        <v>4445.143052180104</v>
      </c>
      <c r="BQ22" s="214">
        <v>4319.8806732263711</v>
      </c>
      <c r="BR22" s="214">
        <v>4841.8464428281732</v>
      </c>
      <c r="BS22" s="214">
        <v>6821.6552407874915</v>
      </c>
      <c r="BT22" s="214">
        <v>4439.2584197521073</v>
      </c>
      <c r="BU22" s="214">
        <v>5677.4974407397904</v>
      </c>
      <c r="BV22" s="214">
        <v>5774.6607415787003</v>
      </c>
      <c r="BW22" s="214">
        <v>6379.7639824882253</v>
      </c>
      <c r="BX22" s="214">
        <v>6445.0030451524326</v>
      </c>
    </row>
    <row r="23" spans="1:76" s="192" customFormat="1" ht="17.100000000000001" customHeight="1" x14ac:dyDescent="0.2">
      <c r="B23" s="193" t="s">
        <v>143</v>
      </c>
      <c r="D23" s="215"/>
      <c r="E23" s="215"/>
      <c r="F23" s="215"/>
      <c r="G23" s="215"/>
      <c r="H23" s="215"/>
      <c r="I23" s="215"/>
      <c r="J23" s="215"/>
      <c r="K23" s="215"/>
      <c r="L23" s="215"/>
      <c r="M23" s="215"/>
      <c r="N23" s="214">
        <v>613.10278744893492</v>
      </c>
      <c r="O23" s="214">
        <v>621.96460351627036</v>
      </c>
      <c r="P23" s="214">
        <v>739.83567203874554</v>
      </c>
      <c r="Q23" s="214">
        <v>707.49446746960098</v>
      </c>
      <c r="R23" s="214">
        <v>741.39854007515851</v>
      </c>
      <c r="S23" s="214">
        <v>728.85831685171217</v>
      </c>
      <c r="T23" s="214">
        <v>698.60359163208534</v>
      </c>
      <c r="U23" s="214">
        <v>721.91374849092995</v>
      </c>
      <c r="V23" s="214">
        <v>734.62815949177423</v>
      </c>
      <c r="W23" s="214">
        <v>722.09156619265832</v>
      </c>
      <c r="X23" s="214">
        <v>769.85075251989394</v>
      </c>
      <c r="Y23" s="214">
        <v>841.85785295294352</v>
      </c>
      <c r="Z23" s="214">
        <v>802.27346984101632</v>
      </c>
      <c r="AA23" s="214">
        <v>832.49466114649522</v>
      </c>
      <c r="AB23" s="214">
        <v>734.40026117327386</v>
      </c>
      <c r="AC23" s="214">
        <v>787.72691711673792</v>
      </c>
      <c r="AD23" s="214">
        <v>1375.9884581489723</v>
      </c>
      <c r="AE23" s="214">
        <v>827.35602541623973</v>
      </c>
      <c r="AF23" s="214">
        <v>1005.2411187644063</v>
      </c>
      <c r="AG23" s="214">
        <v>1141.1717301594738</v>
      </c>
      <c r="AH23" s="214">
        <v>797.26447086539895</v>
      </c>
      <c r="AI23" s="214">
        <v>756.28907916164053</v>
      </c>
      <c r="AJ23" s="214">
        <v>808.02394944824687</v>
      </c>
      <c r="AK23" s="214">
        <v>1086.7638743827624</v>
      </c>
      <c r="AL23" s="214">
        <v>1782.6782594960773</v>
      </c>
      <c r="AM23" s="214">
        <v>1845.8635684666704</v>
      </c>
      <c r="AN23" s="214">
        <v>1727.7557039986464</v>
      </c>
      <c r="AO23" s="214">
        <v>2047.9235248745365</v>
      </c>
      <c r="AP23" s="214">
        <v>2032.5321761428436</v>
      </c>
      <c r="AQ23" s="214">
        <v>2164.2894983292667</v>
      </c>
      <c r="AR23" s="214">
        <v>1888.0038122055198</v>
      </c>
      <c r="AS23" s="214">
        <v>2095.5900082416829</v>
      </c>
      <c r="AT23" s="214">
        <v>2401.8539361039411</v>
      </c>
      <c r="AU23" s="214">
        <v>2452.632148622813</v>
      </c>
      <c r="AV23" s="214">
        <v>2396.4488020268732</v>
      </c>
      <c r="AW23" s="214">
        <v>2276.2555194854267</v>
      </c>
      <c r="AX23" s="214">
        <v>2507.8733906605307</v>
      </c>
      <c r="AY23" s="214">
        <v>2424.3498334518054</v>
      </c>
      <c r="AZ23" s="214">
        <v>2887.75139302348</v>
      </c>
      <c r="BA23" s="214">
        <v>1831.9652130931033</v>
      </c>
      <c r="BB23" s="214">
        <v>2241.6590322287393</v>
      </c>
      <c r="BC23" s="214">
        <v>2501.8182034672868</v>
      </c>
      <c r="BD23" s="214">
        <v>2043.5034930040429</v>
      </c>
      <c r="BE23" s="214">
        <v>2414.0136494437043</v>
      </c>
      <c r="BF23" s="214">
        <v>2198.4702668013724</v>
      </c>
      <c r="BG23" s="214">
        <v>2190.8287438028665</v>
      </c>
      <c r="BH23" s="214">
        <v>2191.2760991660521</v>
      </c>
      <c r="BI23" s="214">
        <v>2232.8140183698169</v>
      </c>
      <c r="BJ23" s="214">
        <v>2366.2483677997702</v>
      </c>
      <c r="BK23" s="214">
        <v>2128.05889167755</v>
      </c>
      <c r="BL23" s="214">
        <v>2202.8785523982792</v>
      </c>
      <c r="BM23" s="214">
        <v>2379.0645096722451</v>
      </c>
      <c r="BN23" s="214">
        <v>2752.170544424187</v>
      </c>
      <c r="BO23" s="214">
        <v>2913.2711285398773</v>
      </c>
      <c r="BP23" s="214">
        <v>2737.3381797901498</v>
      </c>
      <c r="BQ23" s="214">
        <v>2689.7137685220614</v>
      </c>
      <c r="BR23" s="214">
        <v>2731.2383328689257</v>
      </c>
      <c r="BS23" s="214">
        <v>3690.0073078328201</v>
      </c>
      <c r="BT23" s="214">
        <v>2395.9414778091004</v>
      </c>
      <c r="BU23" s="214">
        <v>2711.9210458543689</v>
      </c>
      <c r="BV23" s="214">
        <v>3208.045066929194</v>
      </c>
      <c r="BW23" s="214">
        <v>3182.8262389421202</v>
      </c>
      <c r="BX23" s="214">
        <v>3253.0305663820191</v>
      </c>
    </row>
    <row r="24" spans="1:76" s="211" customFormat="1" ht="17.100000000000001" customHeight="1" x14ac:dyDescent="0.2">
      <c r="B24" s="201" t="s">
        <v>142</v>
      </c>
      <c r="D24" s="213"/>
      <c r="E24" s="213"/>
      <c r="F24" s="213"/>
      <c r="G24" s="213"/>
      <c r="H24" s="213"/>
      <c r="I24" s="213"/>
      <c r="J24" s="213"/>
      <c r="K24" s="213"/>
      <c r="L24" s="213"/>
      <c r="M24" s="213"/>
      <c r="N24" s="212">
        <v>2929.1524619567608</v>
      </c>
      <c r="O24" s="212">
        <v>-296.47647374372173</v>
      </c>
      <c r="P24" s="212">
        <v>1803.3453112696843</v>
      </c>
      <c r="Q24" s="212">
        <v>1613.7634586860295</v>
      </c>
      <c r="R24" s="212">
        <v>-2907.3573695561936</v>
      </c>
      <c r="S24" s="212">
        <v>4748.544753934435</v>
      </c>
      <c r="T24" s="212">
        <v>2726.5816231839526</v>
      </c>
      <c r="U24" s="212">
        <v>787.24148850158235</v>
      </c>
      <c r="V24" s="212">
        <v>2965.213478640293</v>
      </c>
      <c r="W24" s="212">
        <v>-2832.602954810478</v>
      </c>
      <c r="X24" s="212">
        <v>230.24206232682263</v>
      </c>
      <c r="Y24" s="212">
        <v>2789.1376764104352</v>
      </c>
      <c r="Z24" s="212">
        <v>8255.5990832198877</v>
      </c>
      <c r="AA24" s="212">
        <v>2654.9543731439408</v>
      </c>
      <c r="AB24" s="212">
        <v>522.2840154430487</v>
      </c>
      <c r="AC24" s="212">
        <v>-7861.8814257490922</v>
      </c>
      <c r="AD24" s="212">
        <v>3398.4737818080866</v>
      </c>
      <c r="AE24" s="212">
        <v>316.1740737188702</v>
      </c>
      <c r="AF24" s="212">
        <v>110.29664751235759</v>
      </c>
      <c r="AG24" s="212">
        <v>-1377.2488282934355</v>
      </c>
      <c r="AH24" s="212">
        <v>3604.1039406983473</v>
      </c>
      <c r="AI24" s="212">
        <v>2707.3664734427184</v>
      </c>
      <c r="AJ24" s="212">
        <v>-5679.8219614513946</v>
      </c>
      <c r="AK24" s="212">
        <v>1539.7047177540589</v>
      </c>
      <c r="AL24" s="212">
        <v>2218.1179762633401</v>
      </c>
      <c r="AM24" s="212">
        <v>-1455.253189901694</v>
      </c>
      <c r="AN24" s="212">
        <v>-529.79980538142627</v>
      </c>
      <c r="AO24" s="212">
        <v>-233.06058584677885</v>
      </c>
      <c r="AP24" s="212">
        <v>-362.25539963127449</v>
      </c>
      <c r="AQ24" s="212">
        <v>-1684.6064935213908</v>
      </c>
      <c r="AR24" s="212">
        <v>-923.62219785076741</v>
      </c>
      <c r="AS24" s="212">
        <v>-1037.8373727272483</v>
      </c>
      <c r="AT24" s="212">
        <v>1839.5359582558267</v>
      </c>
      <c r="AU24" s="212">
        <v>-1065.4915855592953</v>
      </c>
      <c r="AV24" s="212">
        <v>-2631.9041398761874</v>
      </c>
      <c r="AW24" s="212">
        <v>-3306.3912477464401</v>
      </c>
      <c r="AX24" s="212">
        <v>275.36965807595698</v>
      </c>
      <c r="AY24" s="212">
        <v>-2688.1626177669859</v>
      </c>
      <c r="AZ24" s="212">
        <v>-1321.5406146722453</v>
      </c>
      <c r="BA24" s="212">
        <v>-766.41544176430398</v>
      </c>
      <c r="BB24" s="212">
        <v>2107.4952409281614</v>
      </c>
      <c r="BC24" s="212">
        <v>-1578.4165677360361</v>
      </c>
      <c r="BD24" s="212">
        <v>-2745.0543790559641</v>
      </c>
      <c r="BE24" s="212">
        <v>-830.7539133213686</v>
      </c>
      <c r="BF24" s="212">
        <v>952.10993784971652</v>
      </c>
      <c r="BG24" s="212">
        <v>-635.7285856603994</v>
      </c>
      <c r="BH24" s="212">
        <v>-1339.1858975568503</v>
      </c>
      <c r="BI24" s="212">
        <v>-1639.5325199083964</v>
      </c>
      <c r="BJ24" s="212">
        <v>1376.9650248474354</v>
      </c>
      <c r="BK24" s="212">
        <v>-1507.0765302488071</v>
      </c>
      <c r="BL24" s="212">
        <v>-1128.5236406737822</v>
      </c>
      <c r="BM24" s="212">
        <v>-576.6318653661001</v>
      </c>
      <c r="BN24" s="212">
        <v>-20.176373722293647</v>
      </c>
      <c r="BO24" s="212">
        <v>-1329.4236090943814</v>
      </c>
      <c r="BP24" s="212">
        <v>-1087.9728709609699</v>
      </c>
      <c r="BQ24" s="212">
        <v>-1290.5906506247993</v>
      </c>
      <c r="BR24" s="212">
        <v>153.62769938234123</v>
      </c>
      <c r="BS24" s="212">
        <v>-624.00814217404695</v>
      </c>
      <c r="BT24" s="212">
        <v>-7079.0616255752539</v>
      </c>
      <c r="BU24" s="212">
        <v>-4417.3800260309436</v>
      </c>
      <c r="BV24" s="212">
        <v>-4877.4071668796241</v>
      </c>
      <c r="BW24" s="212">
        <v>-6498.6486648676364</v>
      </c>
      <c r="BX24" s="212">
        <v>-4154.434713086157</v>
      </c>
    </row>
    <row r="25" spans="1:76" s="195" customFormat="1" ht="17.100000000000001" customHeight="1" x14ac:dyDescent="0.2">
      <c r="B25" s="194" t="s">
        <v>141</v>
      </c>
      <c r="D25" s="210"/>
      <c r="E25" s="210"/>
      <c r="F25" s="210"/>
      <c r="G25" s="210"/>
      <c r="H25" s="210"/>
      <c r="I25" s="210"/>
      <c r="J25" s="210"/>
      <c r="K25" s="210"/>
      <c r="L25" s="210"/>
      <c r="M25" s="210"/>
      <c r="N25" s="209">
        <v>23193.525636736922</v>
      </c>
      <c r="O25" s="209">
        <v>21456.642924518372</v>
      </c>
      <c r="P25" s="209">
        <v>21240.164712100053</v>
      </c>
      <c r="Q25" s="209">
        <v>21202.323991283509</v>
      </c>
      <c r="R25" s="209">
        <v>24535.906399564683</v>
      </c>
      <c r="S25" s="209">
        <v>21481.557288452175</v>
      </c>
      <c r="T25" s="209">
        <v>21447.287891034335</v>
      </c>
      <c r="U25" s="209">
        <v>22266.798765661355</v>
      </c>
      <c r="V25" s="209">
        <v>26057.999659847072</v>
      </c>
      <c r="W25" s="209">
        <v>22244.278731697261</v>
      </c>
      <c r="X25" s="209">
        <v>21603.992362370307</v>
      </c>
      <c r="Y25" s="209">
        <v>21779.635510327214</v>
      </c>
      <c r="Z25" s="209">
        <v>25541.077794733435</v>
      </c>
      <c r="AA25" s="209">
        <v>22459.838317436101</v>
      </c>
      <c r="AB25" s="209">
        <v>23000.643542365258</v>
      </c>
      <c r="AC25" s="209">
        <v>24675.99094382146</v>
      </c>
      <c r="AD25" s="209">
        <v>26399.958536451453</v>
      </c>
      <c r="AE25" s="209">
        <v>24996.444052116509</v>
      </c>
      <c r="AF25" s="209">
        <v>24359.381262067185</v>
      </c>
      <c r="AG25" s="209">
        <v>25617.31516952789</v>
      </c>
      <c r="AH25" s="209">
        <v>28652.094072750078</v>
      </c>
      <c r="AI25" s="209">
        <v>26475.798526907674</v>
      </c>
      <c r="AJ25" s="209">
        <v>24581.779708377071</v>
      </c>
      <c r="AK25" s="209">
        <v>25513.407292783937</v>
      </c>
      <c r="AL25" s="209">
        <v>28577.247355351661</v>
      </c>
      <c r="AM25" s="209">
        <v>26610.180139309006</v>
      </c>
      <c r="AN25" s="209">
        <v>26240.178376213596</v>
      </c>
      <c r="AO25" s="209">
        <v>27090.435050598862</v>
      </c>
      <c r="AP25" s="209">
        <v>30772.237101227405</v>
      </c>
      <c r="AQ25" s="209">
        <v>28335.280176173645</v>
      </c>
      <c r="AR25" s="209">
        <v>27653.331335663122</v>
      </c>
      <c r="AS25" s="209">
        <v>28598.086896661713</v>
      </c>
      <c r="AT25" s="209">
        <v>32487.642175718105</v>
      </c>
      <c r="AU25" s="209">
        <v>29958.630874878399</v>
      </c>
      <c r="AV25" s="209">
        <v>29773.235405169889</v>
      </c>
      <c r="AW25" s="209">
        <v>30567.094784970548</v>
      </c>
      <c r="AX25" s="209">
        <v>34943.779208652792</v>
      </c>
      <c r="AY25" s="209">
        <v>32466.458134210301</v>
      </c>
      <c r="AZ25" s="209">
        <v>30130.072340548548</v>
      </c>
      <c r="BA25" s="209">
        <v>28870.10246360661</v>
      </c>
      <c r="BB25" s="209">
        <v>34802.923492478898</v>
      </c>
      <c r="BC25" s="209">
        <v>32477.008349026924</v>
      </c>
      <c r="BD25" s="209">
        <v>30975.023524528337</v>
      </c>
      <c r="BE25" s="209">
        <v>32626.062565576813</v>
      </c>
      <c r="BF25" s="209">
        <v>35622.436290247155</v>
      </c>
      <c r="BG25" s="209">
        <v>34024.489547290636</v>
      </c>
      <c r="BH25" s="209">
        <v>32716.662025108297</v>
      </c>
      <c r="BI25" s="209">
        <v>34522.279863118289</v>
      </c>
      <c r="BJ25" s="209">
        <v>38746.737026853109</v>
      </c>
      <c r="BK25" s="209">
        <v>35492.012708280527</v>
      </c>
      <c r="BL25" s="209">
        <v>33446.227975016081</v>
      </c>
      <c r="BM25" s="209">
        <v>36506.451755519171</v>
      </c>
      <c r="BN25" s="209">
        <v>41068.072476131187</v>
      </c>
      <c r="BO25" s="209">
        <v>37544.310138874716</v>
      </c>
      <c r="BP25" s="209">
        <v>35728.791475472033</v>
      </c>
      <c r="BQ25" s="209">
        <v>38581.883833767082</v>
      </c>
      <c r="BR25" s="209">
        <v>43605.835576599486</v>
      </c>
      <c r="BS25" s="209">
        <v>39557.990842081461</v>
      </c>
      <c r="BT25" s="209">
        <v>38727.98734077152</v>
      </c>
      <c r="BU25" s="209">
        <v>40714.044049908181</v>
      </c>
      <c r="BV25" s="209">
        <v>45718.883622849549</v>
      </c>
      <c r="BW25" s="209">
        <v>42903.876010157692</v>
      </c>
      <c r="BX25" s="209">
        <v>40970.226756517841</v>
      </c>
    </row>
    <row r="26" spans="1:76" s="192" customFormat="1" ht="17.100000000000001" customHeight="1" x14ac:dyDescent="0.2">
      <c r="A26" s="208"/>
      <c r="B26" s="205"/>
      <c r="C26" s="208"/>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70" t="s">
        <v>92</v>
      </c>
      <c r="AQ26" s="270"/>
      <c r="AR26" s="270"/>
      <c r="AS26" s="270"/>
      <c r="AT26" s="270" t="s">
        <v>134</v>
      </c>
      <c r="AU26" s="270"/>
      <c r="AV26" s="270"/>
      <c r="AW26" s="270"/>
      <c r="AX26" s="270" t="s">
        <v>136</v>
      </c>
      <c r="AY26" s="270"/>
      <c r="AZ26" s="270"/>
      <c r="BA26" s="270"/>
      <c r="BB26" s="270" t="s">
        <v>137</v>
      </c>
      <c r="BC26" s="270"/>
      <c r="BD26" s="270"/>
      <c r="BE26" s="270"/>
      <c r="BF26" s="270" t="s">
        <v>138</v>
      </c>
      <c r="BG26" s="270"/>
      <c r="BH26" s="270"/>
      <c r="BI26" s="270"/>
      <c r="BJ26" s="269" t="s">
        <v>139</v>
      </c>
      <c r="BK26" s="269"/>
      <c r="BL26" s="269"/>
      <c r="BM26" s="269"/>
      <c r="BN26" s="270" t="s">
        <v>140</v>
      </c>
      <c r="BO26" s="270"/>
      <c r="BP26" s="270"/>
      <c r="BQ26" s="270"/>
      <c r="BR26" s="269" t="s">
        <v>174</v>
      </c>
      <c r="BS26" s="269"/>
      <c r="BT26" s="269"/>
      <c r="BU26" s="269"/>
      <c r="BV26" s="198" t="s">
        <v>175</v>
      </c>
    </row>
    <row r="27" spans="1:76" s="188" customFormat="1" ht="17.100000000000001" customHeight="1" x14ac:dyDescent="0.2">
      <c r="B27" s="189" t="s">
        <v>161</v>
      </c>
      <c r="W27" s="206"/>
      <c r="X27" s="206"/>
      <c r="Y27" s="206"/>
      <c r="Z27" s="206"/>
      <c r="AA27" s="206"/>
      <c r="AB27" s="206"/>
      <c r="AC27" s="206"/>
      <c r="AD27" s="206"/>
      <c r="AE27" s="206"/>
      <c r="AF27" s="206"/>
      <c r="AG27" s="206"/>
      <c r="AH27" s="206"/>
      <c r="AI27" s="206"/>
      <c r="AJ27" s="206"/>
      <c r="AK27" s="206"/>
      <c r="AL27" s="206"/>
      <c r="AM27" s="206"/>
      <c r="AN27" s="206"/>
      <c r="AO27" s="206"/>
      <c r="AP27" s="203" t="s">
        <v>46</v>
      </c>
      <c r="AQ27" s="203" t="s">
        <v>47</v>
      </c>
      <c r="AR27" s="203" t="s">
        <v>48</v>
      </c>
      <c r="AS27" s="203" t="s">
        <v>49</v>
      </c>
      <c r="AT27" s="203" t="s">
        <v>46</v>
      </c>
      <c r="AU27" s="203" t="s">
        <v>47</v>
      </c>
      <c r="AV27" s="203" t="s">
        <v>48</v>
      </c>
      <c r="AW27" s="203" t="s">
        <v>49</v>
      </c>
      <c r="AX27" s="203" t="s">
        <v>46</v>
      </c>
      <c r="AY27" s="203" t="s">
        <v>47</v>
      </c>
      <c r="AZ27" s="203" t="s">
        <v>48</v>
      </c>
      <c r="BA27" s="203" t="s">
        <v>49</v>
      </c>
      <c r="BB27" s="203" t="s">
        <v>46</v>
      </c>
      <c r="BC27" s="203" t="s">
        <v>47</v>
      </c>
      <c r="BD27" s="203" t="s">
        <v>48</v>
      </c>
      <c r="BE27" s="203" t="s">
        <v>49</v>
      </c>
      <c r="BF27" s="203" t="s">
        <v>46</v>
      </c>
      <c r="BG27" s="203" t="s">
        <v>47</v>
      </c>
      <c r="BH27" s="203" t="s">
        <v>48</v>
      </c>
      <c r="BI27" s="203" t="s">
        <v>49</v>
      </c>
      <c r="BJ27" s="203" t="s">
        <v>46</v>
      </c>
      <c r="BK27" s="203" t="s">
        <v>47</v>
      </c>
      <c r="BL27" s="203" t="s">
        <v>48</v>
      </c>
      <c r="BM27" s="203" t="s">
        <v>49</v>
      </c>
      <c r="BN27" s="203" t="s">
        <v>46</v>
      </c>
      <c r="BO27" s="203" t="s">
        <v>47</v>
      </c>
      <c r="BP27" s="203" t="s">
        <v>48</v>
      </c>
      <c r="BQ27" s="203" t="s">
        <v>49</v>
      </c>
      <c r="BR27" s="203" t="s">
        <v>46</v>
      </c>
      <c r="BS27" s="203" t="s">
        <v>47</v>
      </c>
      <c r="BT27" s="203" t="s">
        <v>48</v>
      </c>
      <c r="BU27" s="203" t="s">
        <v>49</v>
      </c>
      <c r="BV27" s="203" t="s">
        <v>46</v>
      </c>
      <c r="BW27" s="203" t="s">
        <v>47</v>
      </c>
      <c r="BX27" s="203" t="s">
        <v>48</v>
      </c>
    </row>
    <row r="28" spans="1:76" s="188" customFormat="1" ht="17.100000000000001" customHeight="1" x14ac:dyDescent="0.2">
      <c r="B28" s="194" t="s">
        <v>160</v>
      </c>
      <c r="R28" s="187">
        <v>42.748234554228048</v>
      </c>
      <c r="S28" s="187">
        <v>-24.286657117011824</v>
      </c>
      <c r="T28" s="187">
        <v>-5.9318098747119574</v>
      </c>
      <c r="U28" s="187">
        <v>3.7819410275865106</v>
      </c>
      <c r="V28" s="187">
        <v>-26.954889584016961</v>
      </c>
      <c r="W28" s="187">
        <v>46.159878817769616</v>
      </c>
      <c r="X28" s="187">
        <v>8.3029481001013483</v>
      </c>
      <c r="Y28" s="187">
        <v>-6.4101869233416764</v>
      </c>
      <c r="Z28" s="187">
        <v>-29.83469262727494</v>
      </c>
      <c r="AA28" s="187">
        <v>-28.902017557269243</v>
      </c>
      <c r="AB28" s="187">
        <v>5.5649201900902723</v>
      </c>
      <c r="AC28" s="187">
        <v>78.694506935419511</v>
      </c>
      <c r="AD28" s="187">
        <v>54.350369877614966</v>
      </c>
      <c r="AE28" s="187">
        <v>38.066410292023335</v>
      </c>
      <c r="AF28" s="187">
        <v>11.075174799754549</v>
      </c>
      <c r="AG28" s="187">
        <v>-21.409360016958111</v>
      </c>
      <c r="AH28" s="187">
        <v>4.5417231433002803</v>
      </c>
      <c r="AI28" s="187">
        <v>-4.8562428878452852</v>
      </c>
      <c r="AJ28" s="187">
        <v>21.610314739632663</v>
      </c>
      <c r="AK28" s="187">
        <v>-16.493928806074187</v>
      </c>
      <c r="AL28" s="187">
        <v>0.93480939929404538</v>
      </c>
      <c r="AM28" s="187">
        <v>10.858879545432231</v>
      </c>
      <c r="AN28" s="187">
        <v>-16.7975188147499</v>
      </c>
      <c r="AO28" s="187">
        <v>14.935017327129962</v>
      </c>
      <c r="AP28" s="187">
        <v>12.249343614403019</v>
      </c>
      <c r="AQ28" s="187">
        <v>4.9495406247512364</v>
      </c>
      <c r="AR28" s="187">
        <v>10.573263763801922</v>
      </c>
      <c r="AS28" s="187">
        <v>11.509946508210845</v>
      </c>
      <c r="AT28" s="187">
        <v>3.9901712097518915</v>
      </c>
      <c r="AU28" s="187">
        <v>9.4488020143645102</v>
      </c>
      <c r="AV28" s="187">
        <v>5.8462432984910384</v>
      </c>
      <c r="AW28" s="187">
        <v>8.679638701336545</v>
      </c>
      <c r="AX28" s="187">
        <v>11.873530219033523</v>
      </c>
      <c r="AY28" s="187">
        <v>10.817038724162975</v>
      </c>
      <c r="AZ28" s="187">
        <v>0.31731667678696063</v>
      </c>
      <c r="BA28" s="187">
        <v>-9.1965268427019566</v>
      </c>
      <c r="BB28" s="187">
        <v>0.2579354696251368</v>
      </c>
      <c r="BC28" s="187">
        <v>1.6323797476287538</v>
      </c>
      <c r="BD28" s="187">
        <v>8.0290633812232457</v>
      </c>
      <c r="BE28" s="187">
        <v>15.649817458206815</v>
      </c>
      <c r="BF28" s="187">
        <v>1.4689929564433601</v>
      </c>
      <c r="BG28" s="187">
        <v>0.47223333684560664</v>
      </c>
      <c r="BH28" s="187">
        <v>6.7713054843764997</v>
      </c>
      <c r="BI28" s="187">
        <v>8.7744757209399449</v>
      </c>
      <c r="BJ28" s="187">
        <v>12.115040496676443</v>
      </c>
      <c r="BK28" s="187">
        <v>6.46455312513321</v>
      </c>
      <c r="BL28" s="187">
        <v>-2.1028846183067218</v>
      </c>
      <c r="BM28" s="187">
        <v>-1.1028759865344795</v>
      </c>
      <c r="BN28" s="187">
        <v>4.9713686603870766</v>
      </c>
      <c r="BO28" s="187">
        <v>3.3229616874974832</v>
      </c>
      <c r="BP28" s="187">
        <v>-0.81517638513308732</v>
      </c>
      <c r="BQ28" s="187">
        <v>2.1236513723476236</v>
      </c>
      <c r="BR28" s="187">
        <v>7.7499278901043356</v>
      </c>
      <c r="BS28" s="187">
        <v>4.6019901179588985</v>
      </c>
      <c r="BT28" s="187">
        <v>22.219799791622297</v>
      </c>
      <c r="BU28" s="187">
        <v>8.8581538480662747</v>
      </c>
      <c r="BV28" s="187">
        <v>12.919051147914406</v>
      </c>
      <c r="BW28" s="187">
        <v>17.780094237228884</v>
      </c>
      <c r="BX28" s="187">
        <v>3.2143646422932104</v>
      </c>
    </row>
    <row r="29" spans="1:76" s="188" customFormat="1" ht="17.100000000000001" customHeight="1" x14ac:dyDescent="0.2">
      <c r="B29" s="193" t="s">
        <v>159</v>
      </c>
      <c r="R29" s="187">
        <v>-11.618820929623253</v>
      </c>
      <c r="S29" s="187">
        <v>-32.670363503326804</v>
      </c>
      <c r="T29" s="187">
        <v>-36.340200117443409</v>
      </c>
      <c r="U29" s="187">
        <v>-23.740001695316458</v>
      </c>
      <c r="V29" s="187">
        <v>-4.4825024165103695</v>
      </c>
      <c r="W29" s="187">
        <v>7.0240877963389403</v>
      </c>
      <c r="X29" s="187">
        <v>-0.27396558225536438</v>
      </c>
      <c r="Y29" s="187">
        <v>-1.3622652001879954</v>
      </c>
      <c r="Z29" s="187">
        <v>-6.2813218539406357</v>
      </c>
      <c r="AA29" s="187">
        <v>-3.9736934913935928</v>
      </c>
      <c r="AB29" s="187">
        <v>11.689329635498936</v>
      </c>
      <c r="AC29" s="187">
        <v>27.658774752890981</v>
      </c>
      <c r="AD29" s="187">
        <v>22.305715603794884</v>
      </c>
      <c r="AE29" s="187">
        <v>25.685738652473546</v>
      </c>
      <c r="AF29" s="187">
        <v>14.04086390487409</v>
      </c>
      <c r="AG29" s="187">
        <v>4.4991681298685249</v>
      </c>
      <c r="AH29" s="187">
        <v>4.6493895457445422</v>
      </c>
      <c r="AI29" s="187">
        <v>3.4897904006371716</v>
      </c>
      <c r="AJ29" s="187">
        <v>-12.737881035912491</v>
      </c>
      <c r="AK29" s="187">
        <v>-13.527977274361213</v>
      </c>
      <c r="AL29" s="187">
        <v>6.5162487902899358</v>
      </c>
      <c r="AM29" s="187">
        <v>-5.0776206008207314E-2</v>
      </c>
      <c r="AN29" s="187">
        <v>17.237040142589557</v>
      </c>
      <c r="AO29" s="187">
        <v>28.841788749115693</v>
      </c>
      <c r="AP29" s="187">
        <v>18.093784804005185</v>
      </c>
      <c r="AQ29" s="187">
        <v>22.473760609486291</v>
      </c>
      <c r="AR29" s="187">
        <v>19.285970714149812</v>
      </c>
      <c r="AS29" s="187">
        <v>5.9752644758893414</v>
      </c>
      <c r="AT29" s="187">
        <v>2.9668196687605564</v>
      </c>
      <c r="AU29" s="187">
        <v>3.4504285127010537</v>
      </c>
      <c r="AV29" s="187">
        <v>0.62434937730004858</v>
      </c>
      <c r="AW29" s="187">
        <v>23.241915390872393</v>
      </c>
      <c r="AX29" s="187">
        <v>8.7691911825557014</v>
      </c>
      <c r="AY29" s="187">
        <v>22.017935748684025</v>
      </c>
      <c r="AZ29" s="187">
        <v>21.779507832394749</v>
      </c>
      <c r="BA29" s="187">
        <v>1.4358129427147093</v>
      </c>
      <c r="BB29" s="187">
        <v>7.9242732738093347</v>
      </c>
      <c r="BC29" s="187">
        <v>3.851970159223872</v>
      </c>
      <c r="BD29" s="187">
        <v>11.741197112842649</v>
      </c>
      <c r="BE29" s="187">
        <v>3.3682338433983494</v>
      </c>
      <c r="BF29" s="187">
        <v>6.5640471604258455</v>
      </c>
      <c r="BG29" s="187">
        <v>-10.683129845591644</v>
      </c>
      <c r="BH29" s="187">
        <v>8.7782741512917983</v>
      </c>
      <c r="BI29" s="187">
        <v>15.876257862362863</v>
      </c>
      <c r="BJ29" s="187">
        <v>19.830902756451319</v>
      </c>
      <c r="BK29" s="187">
        <v>17.747173430985463</v>
      </c>
      <c r="BL29" s="187">
        <v>-6.2578514770911813</v>
      </c>
      <c r="BM29" s="187">
        <v>-9.5184919698491974</v>
      </c>
      <c r="BN29" s="187">
        <v>1.3456103631749761</v>
      </c>
      <c r="BO29" s="187">
        <v>-2.3604832885391946</v>
      </c>
      <c r="BP29" s="187">
        <v>19.217541309859065</v>
      </c>
      <c r="BQ29" s="187">
        <v>41.36218687309254</v>
      </c>
      <c r="BR29" s="187">
        <v>34.779480310832845</v>
      </c>
      <c r="BS29" s="187">
        <v>38.141884616050412</v>
      </c>
      <c r="BT29" s="187">
        <v>35.107888138595619</v>
      </c>
      <c r="BU29" s="187">
        <v>13.516673909129873</v>
      </c>
      <c r="BV29" s="187">
        <v>19.715232837974671</v>
      </c>
      <c r="BW29" s="187">
        <v>8.4418842040785194</v>
      </c>
      <c r="BX29" s="187">
        <v>8.2606723340492358</v>
      </c>
    </row>
    <row r="30" spans="1:76" s="188" customFormat="1" ht="17.100000000000001" customHeight="1" x14ac:dyDescent="0.2">
      <c r="B30" s="193" t="s">
        <v>158</v>
      </c>
      <c r="R30" s="187">
        <v>2.5027295612980893</v>
      </c>
      <c r="S30" s="187">
        <v>1.7981568066191445</v>
      </c>
      <c r="T30" s="187">
        <v>1.857958441524965</v>
      </c>
      <c r="U30" s="187">
        <v>3.6839055308655277</v>
      </c>
      <c r="V30" s="187">
        <v>3.5743452719300794</v>
      </c>
      <c r="W30" s="187">
        <v>4.2865238285575424</v>
      </c>
      <c r="X30" s="187">
        <v>4.5768849282106672</v>
      </c>
      <c r="Y30" s="187">
        <v>3.3454240706511928</v>
      </c>
      <c r="Z30" s="187">
        <v>1.9652955729514865</v>
      </c>
      <c r="AA30" s="187">
        <v>3.9977483939874769</v>
      </c>
      <c r="AB30" s="187">
        <v>5.8565873167912619</v>
      </c>
      <c r="AC30" s="187">
        <v>3.4504315301533639</v>
      </c>
      <c r="AD30" s="187">
        <v>6.5414743429126121</v>
      </c>
      <c r="AE30" s="187">
        <v>4.6928985418918545</v>
      </c>
      <c r="AF30" s="187">
        <v>2.4740258981768681</v>
      </c>
      <c r="AG30" s="187">
        <v>4.2500772748400584</v>
      </c>
      <c r="AH30" s="187">
        <v>3.037706157175335</v>
      </c>
      <c r="AI30" s="187">
        <v>4.1626628363377494</v>
      </c>
      <c r="AJ30" s="187">
        <v>3.9485151783090755</v>
      </c>
      <c r="AK30" s="187">
        <v>4.2223095224996232</v>
      </c>
      <c r="AL30" s="187">
        <v>5.8183990635019223</v>
      </c>
      <c r="AM30" s="187">
        <v>5.8445628685217743</v>
      </c>
      <c r="AN30" s="187">
        <v>8.6812151219375799</v>
      </c>
      <c r="AO30" s="187">
        <v>10.202212659634458</v>
      </c>
      <c r="AP30" s="187">
        <v>11.160479767049036</v>
      </c>
      <c r="AQ30" s="187">
        <v>13.324544662982074</v>
      </c>
      <c r="AR30" s="187">
        <v>15.229913206262813</v>
      </c>
      <c r="AS30" s="187">
        <v>17.764245302515501</v>
      </c>
      <c r="AT30" s="187">
        <v>20.465624059317665</v>
      </c>
      <c r="AU30" s="187">
        <v>18.103399113896135</v>
      </c>
      <c r="AV30" s="187">
        <v>11.555231950734047</v>
      </c>
      <c r="AW30" s="187">
        <v>2.9717062978282582</v>
      </c>
      <c r="AX30" s="187">
        <v>-8.5855266547716802</v>
      </c>
      <c r="AY30" s="187">
        <v>-15.003431541743939</v>
      </c>
      <c r="AZ30" s="187">
        <v>-17.947985563097358</v>
      </c>
      <c r="BA30" s="187">
        <v>-17.076943532051914</v>
      </c>
      <c r="BB30" s="187">
        <v>-12.155624756110106</v>
      </c>
      <c r="BC30" s="187">
        <v>-6.6052349978522829</v>
      </c>
      <c r="BD30" s="187">
        <v>1.129014778587667</v>
      </c>
      <c r="BE30" s="187">
        <v>7.5832885123561455</v>
      </c>
      <c r="BF30" s="187">
        <v>11.958002869900142</v>
      </c>
      <c r="BG30" s="187">
        <v>14.364127063323817</v>
      </c>
      <c r="BH30" s="187">
        <v>12.970178435113034</v>
      </c>
      <c r="BI30" s="187">
        <v>11.650750172769108</v>
      </c>
      <c r="BJ30" s="187">
        <v>10.892725048300299</v>
      </c>
      <c r="BK30" s="187">
        <v>6.7139967954171098</v>
      </c>
      <c r="BL30" s="187">
        <v>5.7981080538791918</v>
      </c>
      <c r="BM30" s="187">
        <v>3.8424213895059678</v>
      </c>
      <c r="BN30" s="187">
        <v>3.4152390838940949</v>
      </c>
      <c r="BO30" s="187">
        <v>6.4594763431803148</v>
      </c>
      <c r="BP30" s="187">
        <v>-3.7368706104498162</v>
      </c>
      <c r="BQ30" s="187">
        <v>-2.6273839842517188</v>
      </c>
      <c r="BR30" s="187">
        <v>-5.6167959215734697</v>
      </c>
      <c r="BS30" s="187">
        <v>-7.2699457845483373</v>
      </c>
      <c r="BT30" s="187">
        <v>-10.967144494660698</v>
      </c>
      <c r="BU30" s="187">
        <v>-4.7499509492121117</v>
      </c>
      <c r="BV30" s="187">
        <v>1.7549305758127964</v>
      </c>
      <c r="BW30" s="187">
        <v>-3.4613847687889443</v>
      </c>
      <c r="BX30" s="187">
        <v>-3.2677672866944452</v>
      </c>
    </row>
    <row r="31" spans="1:76" s="188" customFormat="1" ht="17.100000000000001" customHeight="1" x14ac:dyDescent="0.2">
      <c r="B31" s="193" t="s">
        <v>157</v>
      </c>
      <c r="R31" s="187">
        <v>51.639611188923816</v>
      </c>
      <c r="S31" s="187">
        <v>-24.407121043010392</v>
      </c>
      <c r="T31" s="187">
        <v>-0.96941298359539685</v>
      </c>
      <c r="U31" s="187">
        <v>8.3731726565289719</v>
      </c>
      <c r="V31" s="187">
        <v>-29.693244116914443</v>
      </c>
      <c r="W31" s="187">
        <v>54.2233021977558</v>
      </c>
      <c r="X31" s="187">
        <v>9.5136591320337018</v>
      </c>
      <c r="Y31" s="187">
        <v>-7.5716788151568011</v>
      </c>
      <c r="Z31" s="187">
        <v>-33.858283179268469</v>
      </c>
      <c r="AA31" s="187">
        <v>-32.727790770951117</v>
      </c>
      <c r="AB31" s="187">
        <v>4.9084289141471782</v>
      </c>
      <c r="AC31" s="187">
        <v>89.99266887536568</v>
      </c>
      <c r="AD31" s="187">
        <v>62.77990387337524</v>
      </c>
      <c r="AE31" s="187">
        <v>42.11604616081781</v>
      </c>
      <c r="AF31" s="187">
        <v>11.250866635333745</v>
      </c>
      <c r="AG31" s="187">
        <v>-24.499596062579077</v>
      </c>
      <c r="AH31" s="187">
        <v>4.6129055302176258</v>
      </c>
      <c r="AI31" s="187">
        <v>-6.3012889020615521</v>
      </c>
      <c r="AJ31" s="187">
        <v>26.480413509566624</v>
      </c>
      <c r="AK31" s="187">
        <v>-17.855995408714431</v>
      </c>
      <c r="AL31" s="187">
        <v>9.1526702503896828E-2</v>
      </c>
      <c r="AM31" s="187">
        <v>12.543953896251603</v>
      </c>
      <c r="AN31" s="187">
        <v>-20.606679086854651</v>
      </c>
      <c r="AO31" s="187">
        <v>13.526464187959309</v>
      </c>
      <c r="AP31" s="187">
        <v>11.665266165352284</v>
      </c>
      <c r="AQ31" s="187">
        <v>2.5023853380327532</v>
      </c>
      <c r="AR31" s="187">
        <v>9.2782003249281875</v>
      </c>
      <c r="AS31" s="187">
        <v>11.901158617107676</v>
      </c>
      <c r="AT31" s="187">
        <v>3.1745721994964171</v>
      </c>
      <c r="AU31" s="187">
        <v>9.717714467643713</v>
      </c>
      <c r="AV31" s="187">
        <v>6.1414643317512452</v>
      </c>
      <c r="AW31" s="187">
        <v>7.1257818182552057</v>
      </c>
      <c r="AX31" s="187">
        <v>13.591807553223777</v>
      </c>
      <c r="AY31" s="187">
        <v>11.125540126669975</v>
      </c>
      <c r="AZ31" s="187">
        <v>-1.0286566003942732</v>
      </c>
      <c r="BA31" s="187">
        <v>-10.324810555301301</v>
      </c>
      <c r="BB31" s="187">
        <v>6.3461256894625784E-2</v>
      </c>
      <c r="BC31" s="187">
        <v>1.7452610706456761</v>
      </c>
      <c r="BD31" s="187">
        <v>7.8663193806981946</v>
      </c>
      <c r="BE31" s="187">
        <v>18.210009735608669</v>
      </c>
      <c r="BF31" s="187">
        <v>0.36380342669917187</v>
      </c>
      <c r="BG31" s="187">
        <v>1.4061063960608911</v>
      </c>
      <c r="BH31" s="187">
        <v>6.138826175191725</v>
      </c>
      <c r="BI31" s="187">
        <v>7.5625612845870993</v>
      </c>
      <c r="BJ31" s="187">
        <v>11.191570246855576</v>
      </c>
      <c r="BK31" s="187">
        <v>5.0369244985390083</v>
      </c>
      <c r="BL31" s="187">
        <v>-1.891849992132244</v>
      </c>
      <c r="BM31" s="187">
        <v>-8.9732255324492805E-3</v>
      </c>
      <c r="BN31" s="187">
        <v>5.5524343750567251</v>
      </c>
      <c r="BO31" s="187">
        <v>3.9525054531046377</v>
      </c>
      <c r="BP31" s="187">
        <v>-3.643469227474061</v>
      </c>
      <c r="BQ31" s="187">
        <v>-3.342862955737802</v>
      </c>
      <c r="BR31" s="187">
        <v>4.8533066748368103</v>
      </c>
      <c r="BS31" s="187">
        <v>0.83056356930404363</v>
      </c>
      <c r="BT31" s="187">
        <v>21.824475124336693</v>
      </c>
      <c r="BU31" s="187">
        <v>8.6238629067997952</v>
      </c>
      <c r="BV31" s="187">
        <v>12.275294484102716</v>
      </c>
      <c r="BW31" s="187">
        <v>20.547698498293631</v>
      </c>
      <c r="BX31" s="187">
        <v>2.460881725106101</v>
      </c>
    </row>
    <row r="32" spans="1:76" s="188" customFormat="1" ht="17.100000000000001" customHeight="1" x14ac:dyDescent="0.2">
      <c r="B32" s="194" t="s">
        <v>156</v>
      </c>
      <c r="R32" s="187">
        <v>-5.1205945701163325</v>
      </c>
      <c r="S32" s="187">
        <v>-5.5087551379269346</v>
      </c>
      <c r="T32" s="187">
        <v>-2.3033469595951206</v>
      </c>
      <c r="U32" s="187">
        <v>24.761658207560622</v>
      </c>
      <c r="V32" s="187">
        <v>34.156436397663704</v>
      </c>
      <c r="W32" s="187">
        <v>23.50847207395379</v>
      </c>
      <c r="X32" s="187">
        <v>14.797120845931211</v>
      </c>
      <c r="Y32" s="187">
        <v>-11.341271263740483</v>
      </c>
      <c r="Z32" s="187">
        <v>-8.2605991514525083</v>
      </c>
      <c r="AA32" s="187">
        <v>-0.5371547829441381</v>
      </c>
      <c r="AB32" s="187">
        <v>-2.3449392282084869</v>
      </c>
      <c r="AC32" s="187">
        <v>0.44226469035471005</v>
      </c>
      <c r="AD32" s="187">
        <v>-10.116696562158689</v>
      </c>
      <c r="AE32" s="187">
        <v>-1.795910420629232</v>
      </c>
      <c r="AF32" s="187">
        <v>1.7849814345002102</v>
      </c>
      <c r="AG32" s="187">
        <v>8.0365765543526368</v>
      </c>
      <c r="AH32" s="187">
        <v>16.11735023318812</v>
      </c>
      <c r="AI32" s="187">
        <v>12.565742201933405</v>
      </c>
      <c r="AJ32" s="187">
        <v>10.443830426314516</v>
      </c>
      <c r="AK32" s="187">
        <v>-3.8884615962600066</v>
      </c>
      <c r="AL32" s="187">
        <v>-1.7073960743822836</v>
      </c>
      <c r="AM32" s="187">
        <v>2.1337280337252018</v>
      </c>
      <c r="AN32" s="187">
        <v>0.60168820092991737</v>
      </c>
      <c r="AO32" s="187">
        <v>7.1509195700799832</v>
      </c>
      <c r="AP32" s="187">
        <v>12.326358241289558</v>
      </c>
      <c r="AQ32" s="187">
        <v>6.4126402507167501</v>
      </c>
      <c r="AR32" s="187">
        <v>11.735195625086781</v>
      </c>
      <c r="AS32" s="187">
        <v>8.8768103216087866</v>
      </c>
      <c r="AT32" s="187">
        <v>6.8425715748786642</v>
      </c>
      <c r="AU32" s="187">
        <v>7.2764155321957791</v>
      </c>
      <c r="AV32" s="187">
        <v>8.9433316629090598</v>
      </c>
      <c r="AW32" s="187">
        <v>15.80445808617441</v>
      </c>
      <c r="AX32" s="187">
        <v>4.0195164581638743</v>
      </c>
      <c r="AY32" s="187">
        <v>3.4845223251070534</v>
      </c>
      <c r="AZ32" s="187">
        <v>7.1170770580778697</v>
      </c>
      <c r="BA32" s="187">
        <v>-13.991360194140857</v>
      </c>
      <c r="BB32" s="187">
        <v>-10.752271757961907</v>
      </c>
      <c r="BC32" s="187">
        <v>6.5620839364638694</v>
      </c>
      <c r="BD32" s="187">
        <v>3.4665748789170836</v>
      </c>
      <c r="BE32" s="187">
        <v>20.983684997498052</v>
      </c>
      <c r="BF32" s="187">
        <v>22.881760075009218</v>
      </c>
      <c r="BG32" s="187">
        <v>6.4785617234129678</v>
      </c>
      <c r="BH32" s="187">
        <v>0.11599133246464888</v>
      </c>
      <c r="BI32" s="187">
        <v>2.3010174928050908</v>
      </c>
      <c r="BJ32" s="187">
        <v>3.3305177208128089</v>
      </c>
      <c r="BK32" s="187">
        <v>-0.40975605273019244</v>
      </c>
      <c r="BL32" s="187">
        <v>4.5133892713624002</v>
      </c>
      <c r="BM32" s="187">
        <v>7.6058135346650069</v>
      </c>
      <c r="BN32" s="187">
        <v>5.8380134800806616</v>
      </c>
      <c r="BO32" s="187">
        <v>1.1749058630949438</v>
      </c>
      <c r="BP32" s="187">
        <v>11.757795045453022</v>
      </c>
      <c r="BQ32" s="187">
        <v>7.9527445115193718</v>
      </c>
      <c r="BR32" s="187">
        <v>3.2663763559272363</v>
      </c>
      <c r="BS32" s="187">
        <v>7.3418570382356441</v>
      </c>
      <c r="BT32" s="187">
        <v>8.7402169436859865</v>
      </c>
      <c r="BU32" s="187">
        <v>9.1061252281262597</v>
      </c>
      <c r="BV32" s="187">
        <v>13.161167495650773</v>
      </c>
      <c r="BW32" s="187">
        <v>15.626035927125304</v>
      </c>
      <c r="BX32" s="187">
        <v>6.3153113545182382</v>
      </c>
    </row>
    <row r="33" spans="2:76" s="188" customFormat="1" ht="17.100000000000001" customHeight="1" x14ac:dyDescent="0.2">
      <c r="B33" s="193" t="s">
        <v>155</v>
      </c>
      <c r="R33" s="187">
        <v>4.7027835214037195</v>
      </c>
      <c r="S33" s="187">
        <v>5.1067597197711034</v>
      </c>
      <c r="T33" s="187">
        <v>4.6592221784494292</v>
      </c>
      <c r="U33" s="187">
        <v>3.3764369691401619</v>
      </c>
      <c r="V33" s="187">
        <v>1.2892731252953205</v>
      </c>
      <c r="W33" s="187">
        <v>1.2715648692918746</v>
      </c>
      <c r="X33" s="187">
        <v>3.2882469944602422</v>
      </c>
      <c r="Y33" s="187">
        <v>7.3665681319524445</v>
      </c>
      <c r="Z33" s="187">
        <v>13.597308716551893</v>
      </c>
      <c r="AA33" s="187">
        <v>16.365924266170584</v>
      </c>
      <c r="AB33" s="187">
        <v>15.605243226175025</v>
      </c>
      <c r="AC33" s="187">
        <v>11.553162954330244</v>
      </c>
      <c r="AD33" s="187">
        <v>4.6920633504976106</v>
      </c>
      <c r="AE33" s="187">
        <v>0.98916686804018106</v>
      </c>
      <c r="AF33" s="187">
        <v>5.0544608426239535E-3</v>
      </c>
      <c r="AG33" s="187">
        <v>1.5838563902537128</v>
      </c>
      <c r="AH33" s="187">
        <v>5.8096507506681494</v>
      </c>
      <c r="AI33" s="187">
        <v>8.2022668788475315</v>
      </c>
      <c r="AJ33" s="187">
        <v>8.6514824670069999</v>
      </c>
      <c r="AK33" s="187">
        <v>7.1660111535111426</v>
      </c>
      <c r="AL33" s="187">
        <v>3.8703883742120526</v>
      </c>
      <c r="AM33" s="187">
        <v>1.6857289443610535</v>
      </c>
      <c r="AN33" s="187">
        <v>0.51018812824148441</v>
      </c>
      <c r="AO33" s="187">
        <v>0.29268347002331385</v>
      </c>
      <c r="AP33" s="187">
        <v>1.0269369013918617</v>
      </c>
      <c r="AQ33" s="187">
        <v>1.5399037420762429</v>
      </c>
      <c r="AR33" s="187">
        <v>1.8251532678752236</v>
      </c>
      <c r="AS33" s="187">
        <v>1.8786646952746455</v>
      </c>
      <c r="AT33" s="187">
        <v>1.6989445099837575</v>
      </c>
      <c r="AU33" s="187">
        <v>1.5749299519926874</v>
      </c>
      <c r="AV33" s="187">
        <v>1.5065087936352972</v>
      </c>
      <c r="AW33" s="187">
        <v>1.4937159957649104</v>
      </c>
      <c r="AX33" s="187">
        <v>1.5367344176669739</v>
      </c>
      <c r="AY33" s="187">
        <v>1.5665077197878574</v>
      </c>
      <c r="AZ33" s="187">
        <v>1.5829653509632724</v>
      </c>
      <c r="BA33" s="187">
        <v>1.5860449200422622</v>
      </c>
      <c r="BB33" s="187">
        <v>1.5756923214278906</v>
      </c>
      <c r="BC33" s="187">
        <v>1.5685323608846113</v>
      </c>
      <c r="BD33" s="187">
        <v>1.5645763863262108</v>
      </c>
      <c r="BE33" s="187">
        <v>1.5638362787310456</v>
      </c>
      <c r="BF33" s="187">
        <v>1.5663244584484648</v>
      </c>
      <c r="BG33" s="187">
        <v>1.5680456112147745</v>
      </c>
      <c r="BH33" s="187">
        <v>1.5689966842512115</v>
      </c>
      <c r="BI33" s="187">
        <v>1.5691746411134799</v>
      </c>
      <c r="BJ33" s="187">
        <v>1.5685764620168019</v>
      </c>
      <c r="BK33" s="187">
        <v>1.5681626742466648</v>
      </c>
      <c r="BL33" s="187">
        <v>1.5679339928117431</v>
      </c>
      <c r="BM33" s="187">
        <v>1.5678911371389548</v>
      </c>
      <c r="BN33" s="187">
        <v>1.5680348311054582</v>
      </c>
      <c r="BO33" s="187">
        <v>1.5681343377592638</v>
      </c>
      <c r="BP33" s="187">
        <v>1.5681894846692357</v>
      </c>
      <c r="BQ33" s="187">
        <v>1.5682000988258116</v>
      </c>
      <c r="BR33" s="187">
        <v>1.5681660066401593</v>
      </c>
      <c r="BS33" s="187">
        <v>1.5681419569720578</v>
      </c>
      <c r="BT33" s="187">
        <v>1.5681279889500965</v>
      </c>
      <c r="BU33" s="187">
        <v>1.5681241418609826</v>
      </c>
      <c r="BV33" s="187">
        <v>1.5681304551494746</v>
      </c>
      <c r="BW33" s="187">
        <v>1.5681351993136028</v>
      </c>
      <c r="BX33" s="187">
        <v>1.5681383682374372</v>
      </c>
    </row>
    <row r="34" spans="2:76" s="188" customFormat="1" ht="17.100000000000001" customHeight="1" x14ac:dyDescent="0.2">
      <c r="B34" s="193" t="s">
        <v>154</v>
      </c>
      <c r="R34" s="187">
        <v>12.667788250595645</v>
      </c>
      <c r="S34" s="187">
        <v>1.8015631035621649</v>
      </c>
      <c r="T34" s="187">
        <v>-4.7343423133008429</v>
      </c>
      <c r="U34" s="187">
        <v>4.1375499920900616</v>
      </c>
      <c r="V34" s="187">
        <v>9.8269121861282329</v>
      </c>
      <c r="W34" s="187">
        <v>14.938952564203611</v>
      </c>
      <c r="X34" s="187">
        <v>15.825278036293543</v>
      </c>
      <c r="Y34" s="187">
        <v>-18.984477009535095</v>
      </c>
      <c r="Z34" s="187">
        <v>10.838548474954713</v>
      </c>
      <c r="AA34" s="187">
        <v>3.6809520561227993</v>
      </c>
      <c r="AB34" s="187">
        <v>-1.589646727711902</v>
      </c>
      <c r="AC34" s="187">
        <v>41.061183448257843</v>
      </c>
      <c r="AD34" s="187">
        <v>-5.8106674492142574</v>
      </c>
      <c r="AE34" s="187">
        <v>3.4902492574737654</v>
      </c>
      <c r="AF34" s="187">
        <v>4.3963421919675394</v>
      </c>
      <c r="AG34" s="187">
        <v>7.0008761384275697</v>
      </c>
      <c r="AH34" s="187">
        <v>9.9652564050834336</v>
      </c>
      <c r="AI34" s="187">
        <v>10.730871907651407</v>
      </c>
      <c r="AJ34" s="187">
        <v>15.257801708337325</v>
      </c>
      <c r="AK34" s="187">
        <v>-5.8759123150193604</v>
      </c>
      <c r="AL34" s="187">
        <v>7.9732637210011337</v>
      </c>
      <c r="AM34" s="187">
        <v>12.736557771902035</v>
      </c>
      <c r="AN34" s="187">
        <v>7.6479014302589077</v>
      </c>
      <c r="AO34" s="187">
        <v>20.014062501286677</v>
      </c>
      <c r="AP34" s="187">
        <v>6.5123908074254055</v>
      </c>
      <c r="AQ34" s="187">
        <v>-0.85176449902215623</v>
      </c>
      <c r="AR34" s="187">
        <v>12.537549391638247</v>
      </c>
      <c r="AS34" s="187">
        <v>13.97757579935921</v>
      </c>
      <c r="AT34" s="187">
        <v>14.612473713699226</v>
      </c>
      <c r="AU34" s="187">
        <v>14.805719673817075</v>
      </c>
      <c r="AV34" s="187">
        <v>9.0918731197855642</v>
      </c>
      <c r="AW34" s="187">
        <v>9.8561374120526679</v>
      </c>
      <c r="AX34" s="187">
        <v>7.1509741091583034</v>
      </c>
      <c r="AY34" s="187">
        <v>10.144330412560576</v>
      </c>
      <c r="AZ34" s="187">
        <v>8.5707774393079195</v>
      </c>
      <c r="BA34" s="187">
        <v>-5.6434075263298915</v>
      </c>
      <c r="BB34" s="187">
        <v>-16.170420875220859</v>
      </c>
      <c r="BC34" s="187">
        <v>-0.72247433777915537</v>
      </c>
      <c r="BD34" s="187">
        <v>4.1371567920218677</v>
      </c>
      <c r="BE34" s="187">
        <v>19.524446780230576</v>
      </c>
      <c r="BF34" s="187">
        <v>47.8990645297811</v>
      </c>
      <c r="BG34" s="187">
        <v>12.727690441770223</v>
      </c>
      <c r="BH34" s="187">
        <v>1.0404954168515834</v>
      </c>
      <c r="BI34" s="187">
        <v>-1.0518545841186833</v>
      </c>
      <c r="BJ34" s="187">
        <v>-3.4706507326300762</v>
      </c>
      <c r="BK34" s="187">
        <v>-4.3610972568325135</v>
      </c>
      <c r="BL34" s="187">
        <v>6.0823943278429438</v>
      </c>
      <c r="BM34" s="187">
        <v>1.8300212431558327</v>
      </c>
      <c r="BN34" s="187">
        <v>3.9285733419130775</v>
      </c>
      <c r="BO34" s="187">
        <v>-1.3307179948407799</v>
      </c>
      <c r="BP34" s="187">
        <v>6.0838039665774613</v>
      </c>
      <c r="BQ34" s="187">
        <v>12.760451339855571</v>
      </c>
      <c r="BR34" s="187">
        <v>4.0102038763691006</v>
      </c>
      <c r="BS34" s="187">
        <v>19.835512596466231</v>
      </c>
      <c r="BT34" s="187">
        <v>23.551528775554932</v>
      </c>
      <c r="BU34" s="187">
        <v>17.387074299135552</v>
      </c>
      <c r="BV34" s="187">
        <v>17.924950304119513</v>
      </c>
      <c r="BW34" s="187">
        <v>16.883662742714712</v>
      </c>
      <c r="BX34" s="187">
        <v>8.2824000447513804</v>
      </c>
    </row>
    <row r="35" spans="2:76" s="188" customFormat="1" ht="17.100000000000001" customHeight="1" x14ac:dyDescent="0.2">
      <c r="B35" s="193" t="s">
        <v>153</v>
      </c>
      <c r="R35" s="187">
        <v>11.328097104416157</v>
      </c>
      <c r="S35" s="187">
        <v>8.1789448325929612</v>
      </c>
      <c r="T35" s="187">
        <v>-2.9442876461609369</v>
      </c>
      <c r="U35" s="187">
        <v>6.5407070454460703</v>
      </c>
      <c r="V35" s="187">
        <v>12.324893175503494</v>
      </c>
      <c r="W35" s="187">
        <v>20.803226725825596</v>
      </c>
      <c r="X35" s="187">
        <v>15.212236105457254</v>
      </c>
      <c r="Y35" s="187">
        <v>-24.368029683636728</v>
      </c>
      <c r="Z35" s="187">
        <v>3.9757659069825868</v>
      </c>
      <c r="AA35" s="187">
        <v>-0.83676497365006153</v>
      </c>
      <c r="AB35" s="187">
        <v>-0.23848170735868424</v>
      </c>
      <c r="AC35" s="187">
        <v>49.207653815348415</v>
      </c>
      <c r="AD35" s="187">
        <v>-0.66149964589828913</v>
      </c>
      <c r="AE35" s="187">
        <v>1.9384197435168282E-2</v>
      </c>
      <c r="AF35" s="187">
        <v>0.16722972013316628</v>
      </c>
      <c r="AG35" s="187">
        <v>4.1531674578727085</v>
      </c>
      <c r="AH35" s="187">
        <v>7.0494370938996909</v>
      </c>
      <c r="AI35" s="187">
        <v>10.174702836876959</v>
      </c>
      <c r="AJ35" s="187">
        <v>16.111230035664505</v>
      </c>
      <c r="AK35" s="187">
        <v>-0.46871093698608313</v>
      </c>
      <c r="AL35" s="187">
        <v>14.995735456624825</v>
      </c>
      <c r="AM35" s="187">
        <v>15.106635725084328</v>
      </c>
      <c r="AN35" s="187">
        <v>6.6894839090626546</v>
      </c>
      <c r="AO35" s="187">
        <v>11.711145936643996</v>
      </c>
      <c r="AP35" s="187">
        <v>0.89288489968741835</v>
      </c>
      <c r="AQ35" s="187">
        <v>0.99470081417154521</v>
      </c>
      <c r="AR35" s="187">
        <v>11.050447340861936</v>
      </c>
      <c r="AS35" s="187">
        <v>18.38491301724612</v>
      </c>
      <c r="AT35" s="187">
        <v>16.851719919621356</v>
      </c>
      <c r="AU35" s="187">
        <v>18.125394598897859</v>
      </c>
      <c r="AV35" s="187">
        <v>16.409681569128722</v>
      </c>
      <c r="AW35" s="187">
        <v>13.82705346290647</v>
      </c>
      <c r="AX35" s="187">
        <v>7.1518199765879809</v>
      </c>
      <c r="AY35" s="187">
        <v>2.9570130840039788</v>
      </c>
      <c r="AZ35" s="187">
        <v>7.5942644367798406</v>
      </c>
      <c r="BA35" s="187">
        <v>-4.1040741271468395</v>
      </c>
      <c r="BB35" s="187">
        <v>-12.998481979868593</v>
      </c>
      <c r="BC35" s="187">
        <v>7.3054525400714221</v>
      </c>
      <c r="BD35" s="187">
        <v>7.8096915087520369</v>
      </c>
      <c r="BE35" s="187">
        <v>17.01834109196092</v>
      </c>
      <c r="BF35" s="187">
        <v>29.478557355144751</v>
      </c>
      <c r="BG35" s="187">
        <v>-2.4764360668426133</v>
      </c>
      <c r="BH35" s="187">
        <v>-10.262476859855795</v>
      </c>
      <c r="BI35" s="187">
        <v>-6.5340417856266209</v>
      </c>
      <c r="BJ35" s="187">
        <v>2.1906982521872731</v>
      </c>
      <c r="BK35" s="187">
        <v>3.2382828000953934</v>
      </c>
      <c r="BL35" s="187">
        <v>12.651156670772256</v>
      </c>
      <c r="BM35" s="187">
        <v>16.287756923306663</v>
      </c>
      <c r="BN35" s="187">
        <v>6.1774325255681051</v>
      </c>
      <c r="BO35" s="187">
        <v>5.5953333006516504</v>
      </c>
      <c r="BP35" s="187">
        <v>13.298723820009961</v>
      </c>
      <c r="BQ35" s="187">
        <v>9.3000019256346498</v>
      </c>
      <c r="BR35" s="187">
        <v>6.8494510239838879</v>
      </c>
      <c r="BS35" s="187">
        <v>2.8985062213391144</v>
      </c>
      <c r="BT35" s="187">
        <v>10.972522085965707</v>
      </c>
      <c r="BU35" s="187">
        <v>12.491692423929845</v>
      </c>
      <c r="BV35" s="187">
        <v>9.2308948100647381</v>
      </c>
      <c r="BW35" s="187">
        <v>22.326886452847127</v>
      </c>
      <c r="BX35" s="187">
        <v>6.8500044414821604</v>
      </c>
    </row>
    <row r="36" spans="2:76" s="188" customFormat="1" ht="17.100000000000001" customHeight="1" x14ac:dyDescent="0.2">
      <c r="B36" s="193" t="s">
        <v>152</v>
      </c>
      <c r="R36" s="187">
        <v>8.9521944495433381</v>
      </c>
      <c r="S36" s="187">
        <v>-8.5465433782830331</v>
      </c>
      <c r="T36" s="187">
        <v>-24.375782165006243</v>
      </c>
      <c r="U36" s="187">
        <v>11.301639723110535</v>
      </c>
      <c r="V36" s="187">
        <v>12.807557452850826</v>
      </c>
      <c r="W36" s="187">
        <v>14.793834857482956</v>
      </c>
      <c r="X36" s="187">
        <v>27.402367782331361</v>
      </c>
      <c r="Y36" s="187">
        <v>-8.4773937922055786E-2</v>
      </c>
      <c r="Z36" s="187">
        <v>-3.4912778779750298</v>
      </c>
      <c r="AA36" s="187">
        <v>3.5718283768678027</v>
      </c>
      <c r="AB36" s="187">
        <v>2.0351339705876992</v>
      </c>
      <c r="AC36" s="187">
        <v>-7.8690416204519771</v>
      </c>
      <c r="AD36" s="187">
        <v>-19.72005095110919</v>
      </c>
      <c r="AE36" s="187">
        <v>-24.726089394222083</v>
      </c>
      <c r="AF36" s="187">
        <v>-3.2857127122675411</v>
      </c>
      <c r="AG36" s="187">
        <v>-10.716091303460939</v>
      </c>
      <c r="AH36" s="187">
        <v>22.440788564657254</v>
      </c>
      <c r="AI36" s="187">
        <v>18.869203205500497</v>
      </c>
      <c r="AJ36" s="187">
        <v>-7.410816346504423</v>
      </c>
      <c r="AK36" s="187">
        <v>-17.485561563905339</v>
      </c>
      <c r="AL36" s="187">
        <v>-19.229176868500542</v>
      </c>
      <c r="AM36" s="187">
        <v>2.5459388196047872</v>
      </c>
      <c r="AN36" s="187">
        <v>-9.2477907637535601</v>
      </c>
      <c r="AO36" s="187">
        <v>-7.7458166163551052</v>
      </c>
      <c r="AP36" s="187">
        <v>38.773835480678628</v>
      </c>
      <c r="AQ36" s="187">
        <v>21.818980523753705</v>
      </c>
      <c r="AR36" s="187">
        <v>33.644299666487299</v>
      </c>
      <c r="AS36" s="187">
        <v>42.118054983240484</v>
      </c>
      <c r="AT36" s="187">
        <v>-9.0335363160875541</v>
      </c>
      <c r="AU36" s="187">
        <v>-14.622111194839304</v>
      </c>
      <c r="AV36" s="187">
        <v>-14.523095117016648</v>
      </c>
      <c r="AW36" s="187">
        <v>-9.5198158505192865</v>
      </c>
      <c r="AX36" s="187">
        <v>-8.2627480197142393</v>
      </c>
      <c r="AY36" s="187">
        <v>-16.757429441282667</v>
      </c>
      <c r="AZ36" s="187">
        <v>-9.8996687260302636</v>
      </c>
      <c r="BA36" s="187">
        <v>-62.655208227584893</v>
      </c>
      <c r="BB36" s="187">
        <v>-10.64241820431363</v>
      </c>
      <c r="BC36" s="187">
        <v>-3.8211137639595605</v>
      </c>
      <c r="BD36" s="187">
        <v>24.227142119862588</v>
      </c>
      <c r="BE36" s="187">
        <v>152.63790396662199</v>
      </c>
      <c r="BF36" s="187">
        <v>8.6334670835155549</v>
      </c>
      <c r="BG36" s="187">
        <v>26.360470561348805</v>
      </c>
      <c r="BH36" s="187">
        <v>-10.885729147335399</v>
      </c>
      <c r="BI36" s="187">
        <v>8.390991911016954</v>
      </c>
      <c r="BJ36" s="187">
        <v>4.7058690633835942</v>
      </c>
      <c r="BK36" s="187">
        <v>-16.472035356890167</v>
      </c>
      <c r="BL36" s="187">
        <v>11.284235224321272</v>
      </c>
      <c r="BM36" s="187">
        <v>1.416335445614525</v>
      </c>
      <c r="BN36" s="187">
        <v>-7.5843426061002699</v>
      </c>
      <c r="BO36" s="187">
        <v>-3.8947170319657776</v>
      </c>
      <c r="BP36" s="187">
        <v>-9.3320834551005269</v>
      </c>
      <c r="BQ36" s="187">
        <v>-15.650591347385456</v>
      </c>
      <c r="BR36" s="187">
        <v>-1.2161876019923024</v>
      </c>
      <c r="BS36" s="187">
        <v>54.11635409025439</v>
      </c>
      <c r="BT36" s="187">
        <v>6.9340487853734256</v>
      </c>
      <c r="BU36" s="187">
        <v>32.882754638705272</v>
      </c>
      <c r="BV36" s="187">
        <v>54.401098550299309</v>
      </c>
      <c r="BW36" s="187">
        <v>1.3882807502017425</v>
      </c>
      <c r="BX36" s="187">
        <v>22.043765781243607</v>
      </c>
    </row>
    <row r="37" spans="2:76" s="188" customFormat="1" ht="17.100000000000001" customHeight="1" x14ac:dyDescent="0.2">
      <c r="B37" s="193" t="s">
        <v>151</v>
      </c>
      <c r="R37" s="187">
        <v>93.530137177243859</v>
      </c>
      <c r="S37" s="187">
        <v>-24.497444015923541</v>
      </c>
      <c r="T37" s="187">
        <v>-26.853611040780734</v>
      </c>
      <c r="U37" s="187">
        <v>-7.8756914976331416</v>
      </c>
      <c r="V37" s="187">
        <v>-21.821103235276716</v>
      </c>
      <c r="W37" s="187">
        <v>22.298470585431328</v>
      </c>
      <c r="X37" s="187">
        <v>-20.102427009876365</v>
      </c>
      <c r="Y37" s="187">
        <v>-4.6971834334241898</v>
      </c>
      <c r="Z37" s="187">
        <v>36.247650783570265</v>
      </c>
      <c r="AA37" s="187">
        <v>-21.653790143038641</v>
      </c>
      <c r="AB37" s="187">
        <v>-8.8311492724982177</v>
      </c>
      <c r="AC37" s="187">
        <v>8.3492846021513181</v>
      </c>
      <c r="AD37" s="187">
        <v>-53.383861993320259</v>
      </c>
      <c r="AE37" s="187">
        <v>-19.105171276265764</v>
      </c>
      <c r="AF37" s="187">
        <v>-8.8747248042081335</v>
      </c>
      <c r="AG37" s="187">
        <v>-33.791838714218613</v>
      </c>
      <c r="AH37" s="187">
        <v>56.345142412386132</v>
      </c>
      <c r="AI37" s="187">
        <v>6.6684678995714952</v>
      </c>
      <c r="AJ37" s="187">
        <v>55.943716798779562</v>
      </c>
      <c r="AK37" s="187">
        <v>51.468330437657485</v>
      </c>
      <c r="AL37" s="187">
        <v>-74.517676188843865</v>
      </c>
      <c r="AM37" s="187">
        <v>51.82640260689071</v>
      </c>
      <c r="AN37" s="187">
        <v>73.939727330197002</v>
      </c>
      <c r="AO37" s="187">
        <v>-3.4003552479487498</v>
      </c>
      <c r="AP37" s="187">
        <v>240.0483599624838</v>
      </c>
      <c r="AQ37" s="187">
        <v>1.5933032007477532</v>
      </c>
      <c r="AR37" s="187">
        <v>-61.60637214086475</v>
      </c>
      <c r="AS37" s="187">
        <v>-39.69577400745662</v>
      </c>
      <c r="AT37" s="187">
        <v>-19.203108407086724</v>
      </c>
      <c r="AU37" s="187">
        <v>-21.829409299824786</v>
      </c>
      <c r="AV37" s="187">
        <v>29.904298152591146</v>
      </c>
      <c r="AW37" s="187">
        <v>48.83195928611854</v>
      </c>
      <c r="AX37" s="187">
        <v>-1.0735752932832354</v>
      </c>
      <c r="AY37" s="187">
        <v>-14.483160136921869</v>
      </c>
      <c r="AZ37" s="187">
        <v>-30.82847332094375</v>
      </c>
      <c r="BA37" s="187">
        <v>-17.36079643818146</v>
      </c>
      <c r="BB37" s="187">
        <v>-19.969776488758363</v>
      </c>
      <c r="BC37" s="187">
        <v>7.8458587196354346</v>
      </c>
      <c r="BD37" s="187">
        <v>-12.51155528532858</v>
      </c>
      <c r="BE37" s="187">
        <v>-1.3804841523834432</v>
      </c>
      <c r="BF37" s="187">
        <v>-14.056333256673014</v>
      </c>
      <c r="BG37" s="187">
        <v>1.4273197049003761</v>
      </c>
      <c r="BH37" s="187">
        <v>8.4863899621333552</v>
      </c>
      <c r="BI37" s="187">
        <v>34.341602789063643</v>
      </c>
      <c r="BJ37" s="187">
        <v>44.676090733437036</v>
      </c>
      <c r="BK37" s="187">
        <v>-3.3246695030004991</v>
      </c>
      <c r="BL37" s="187">
        <v>29.924664724755612</v>
      </c>
      <c r="BM37" s="187">
        <v>-29.276191059852742</v>
      </c>
      <c r="BN37" s="187">
        <v>-20.722403250170764</v>
      </c>
      <c r="BO37" s="187">
        <v>-37.029977385395362</v>
      </c>
      <c r="BP37" s="187">
        <v>-2.5721613112278718</v>
      </c>
      <c r="BQ37" s="187">
        <v>8.0512486835576667</v>
      </c>
      <c r="BR37" s="187">
        <v>-21.6195373916918</v>
      </c>
      <c r="BS37" s="187">
        <v>90.179832092511063</v>
      </c>
      <c r="BT37" s="187">
        <v>-11.918551455224058</v>
      </c>
      <c r="BU37" s="187">
        <v>-21.925759703301328</v>
      </c>
      <c r="BV37" s="187">
        <v>66.570243651650983</v>
      </c>
      <c r="BW37" s="187">
        <v>102.73311722994384</v>
      </c>
      <c r="BX37" s="187">
        <v>17.107955615344238</v>
      </c>
    </row>
    <row r="38" spans="2:76" s="188" customFormat="1" ht="17.100000000000001" customHeight="1" x14ac:dyDescent="0.2">
      <c r="B38" s="193" t="s">
        <v>150</v>
      </c>
      <c r="R38" s="187">
        <v>-27.716415669821139</v>
      </c>
      <c r="S38" s="187">
        <v>-16.942824580071026</v>
      </c>
      <c r="T38" s="187">
        <v>-2.006920417991509</v>
      </c>
      <c r="U38" s="187">
        <v>67.900049296821891</v>
      </c>
      <c r="V38" s="187">
        <v>105.82332596166553</v>
      </c>
      <c r="W38" s="187">
        <v>42.028175635985576</v>
      </c>
      <c r="X38" s="187">
        <v>35.346996026225106</v>
      </c>
      <c r="Y38" s="187">
        <v>-5.928667098235052</v>
      </c>
      <c r="Z38" s="187">
        <v>-32.119352371882414</v>
      </c>
      <c r="AA38" s="187">
        <v>-4.5093641356862673</v>
      </c>
      <c r="AB38" s="187">
        <v>-20.217672305426284</v>
      </c>
      <c r="AC38" s="187">
        <v>-47.439804084438819</v>
      </c>
      <c r="AD38" s="187">
        <v>-19.695564720673364</v>
      </c>
      <c r="AE38" s="187">
        <v>-0.18564343352440726</v>
      </c>
      <c r="AF38" s="187">
        <v>3.9403863957070406</v>
      </c>
      <c r="AG38" s="187">
        <v>40.184296616339289</v>
      </c>
      <c r="AH38" s="187">
        <v>29.299317887946465</v>
      </c>
      <c r="AI38" s="187">
        <v>10.827788966279627</v>
      </c>
      <c r="AJ38" s="187">
        <v>8.5475324917806859</v>
      </c>
      <c r="AK38" s="187">
        <v>-3.6908380907532234</v>
      </c>
      <c r="AL38" s="187">
        <v>-12.428697843534497</v>
      </c>
      <c r="AM38" s="187">
        <v>-14.682621763076565</v>
      </c>
      <c r="AN38" s="187">
        <v>-14.324042807276772</v>
      </c>
      <c r="AO38" s="187">
        <v>5.9506128492156307</v>
      </c>
      <c r="AP38" s="187">
        <v>27.289614683312703</v>
      </c>
      <c r="AQ38" s="187">
        <v>18.095187159457016</v>
      </c>
      <c r="AR38" s="187">
        <v>27.281354181415839</v>
      </c>
      <c r="AS38" s="187">
        <v>-19.07763985768689</v>
      </c>
      <c r="AT38" s="187">
        <v>-1.918961430515731</v>
      </c>
      <c r="AU38" s="187">
        <v>2.3523991787797627</v>
      </c>
      <c r="AV38" s="187">
        <v>5.2094476920900856</v>
      </c>
      <c r="AW38" s="187">
        <v>45.422662167153696</v>
      </c>
      <c r="AX38" s="187">
        <v>0.15796374491219289</v>
      </c>
      <c r="AY38" s="187">
        <v>0.13575060898352032</v>
      </c>
      <c r="AZ38" s="187">
        <v>17.168131800113073</v>
      </c>
      <c r="BA38" s="187">
        <v>-26.658422261359192</v>
      </c>
      <c r="BB38" s="187">
        <v>-6.3134900667849436</v>
      </c>
      <c r="BC38" s="187">
        <v>16.813452046208745</v>
      </c>
      <c r="BD38" s="187">
        <v>-8.6226258547481329</v>
      </c>
      <c r="BE38" s="187">
        <v>19.141836957621994</v>
      </c>
      <c r="BF38" s="187">
        <v>3.2607199607010307</v>
      </c>
      <c r="BG38" s="187">
        <v>6.9471230552427876</v>
      </c>
      <c r="BH38" s="187">
        <v>18.679252398487712</v>
      </c>
      <c r="BI38" s="187">
        <v>13.68111320485912</v>
      </c>
      <c r="BJ38" s="187">
        <v>6.8595155296277799</v>
      </c>
      <c r="BK38" s="187">
        <v>0.53738183316425214</v>
      </c>
      <c r="BL38" s="187">
        <v>-21.845585808250444</v>
      </c>
      <c r="BM38" s="187">
        <v>-7.6538054020574453</v>
      </c>
      <c r="BN38" s="187">
        <v>5.147031727940532</v>
      </c>
      <c r="BO38" s="187">
        <v>-9.93572000354831</v>
      </c>
      <c r="BP38" s="187">
        <v>28.78368664931681</v>
      </c>
      <c r="BQ38" s="187">
        <v>15.46485036109766</v>
      </c>
      <c r="BR38" s="187">
        <v>-2.664850164411936</v>
      </c>
      <c r="BS38" s="187">
        <v>-7.4345370553474899</v>
      </c>
      <c r="BT38" s="187">
        <v>-10.791410149318615</v>
      </c>
      <c r="BU38" s="187">
        <v>-7.90011244145159</v>
      </c>
      <c r="BV38" s="187">
        <v>13.677076425868684</v>
      </c>
      <c r="BW38" s="187">
        <v>7.109135852343873</v>
      </c>
      <c r="BX38" s="187">
        <v>0.92513766740827119</v>
      </c>
    </row>
    <row r="39" spans="2:76" s="188" customFormat="1" ht="17.100000000000001" customHeight="1" x14ac:dyDescent="0.2">
      <c r="B39" s="202" t="s">
        <v>149</v>
      </c>
      <c r="R39" s="187">
        <v>-40.163148999670859</v>
      </c>
      <c r="S39" s="187">
        <v>-19.66290235950795</v>
      </c>
      <c r="T39" s="187">
        <v>55.198715446301662</v>
      </c>
      <c r="U39" s="187">
        <v>54.031376086938046</v>
      </c>
      <c r="V39" s="187">
        <v>43.396210128493749</v>
      </c>
      <c r="W39" s="187">
        <v>18.792672669525821</v>
      </c>
      <c r="X39" s="187">
        <v>-24.607611841891273</v>
      </c>
      <c r="Y39" s="187">
        <v>4.7884217844052612</v>
      </c>
      <c r="Z39" s="187">
        <v>-6.8671546865727073</v>
      </c>
      <c r="AA39" s="187">
        <v>3.9466848035287327</v>
      </c>
      <c r="AB39" s="187">
        <v>44.446566798331787</v>
      </c>
      <c r="AC39" s="187">
        <v>2.6843648525683772</v>
      </c>
      <c r="AD39" s="187">
        <v>4.7790293934494521</v>
      </c>
      <c r="AE39" s="187">
        <v>4.1165882039443824</v>
      </c>
      <c r="AF39" s="187">
        <v>4.5758893889312757</v>
      </c>
      <c r="AG39" s="187">
        <v>-2.0569963730535434</v>
      </c>
      <c r="AH39" s="187">
        <v>16.190496323441252</v>
      </c>
      <c r="AI39" s="187">
        <v>26.363930308551176</v>
      </c>
      <c r="AJ39" s="187">
        <v>-4.7764343986239854</v>
      </c>
      <c r="AK39" s="187">
        <v>-10.621245182348449</v>
      </c>
      <c r="AL39" s="187">
        <v>-9.0869716680000536</v>
      </c>
      <c r="AM39" s="187">
        <v>-25.750877853968881</v>
      </c>
      <c r="AN39" s="187">
        <v>-18.112307951147688</v>
      </c>
      <c r="AO39" s="187">
        <v>-19.595568588832801</v>
      </c>
      <c r="AP39" s="187">
        <v>-4.2821384794109125</v>
      </c>
      <c r="AQ39" s="187">
        <v>7.7810379158872678</v>
      </c>
      <c r="AR39" s="187">
        <v>9.5496512242513099</v>
      </c>
      <c r="AS39" s="187">
        <v>27.457849600321737</v>
      </c>
      <c r="AT39" s="187">
        <v>0.62017187449321387</v>
      </c>
      <c r="AU39" s="187">
        <v>-10.683977418114022</v>
      </c>
      <c r="AV39" s="187">
        <v>5.6399602181590014</v>
      </c>
      <c r="AW39" s="187">
        <v>1.4103601516556541</v>
      </c>
      <c r="AX39" s="187">
        <v>6.3896202775448607</v>
      </c>
      <c r="AY39" s="187">
        <v>22.464262270276514</v>
      </c>
      <c r="AZ39" s="187">
        <v>-0.25448813640900347</v>
      </c>
      <c r="BA39" s="187">
        <v>-9.3732873333006506</v>
      </c>
      <c r="BB39" s="187">
        <v>3.1315817474683927</v>
      </c>
      <c r="BC39" s="187">
        <v>4.9704938748114991</v>
      </c>
      <c r="BD39" s="187">
        <v>4.0458295252039145</v>
      </c>
      <c r="BE39" s="187">
        <v>9.6989328159852839</v>
      </c>
      <c r="BF39" s="187">
        <v>8.5069476984030103</v>
      </c>
      <c r="BG39" s="187">
        <v>19.358439136647611</v>
      </c>
      <c r="BH39" s="187">
        <v>11.253836956123875</v>
      </c>
      <c r="BI39" s="187">
        <v>24.582104971398412</v>
      </c>
      <c r="BJ39" s="187">
        <v>16.387599361749029</v>
      </c>
      <c r="BK39" s="187">
        <v>4.9135476060808925</v>
      </c>
      <c r="BL39" s="187">
        <v>32.700851693730513</v>
      </c>
      <c r="BM39" s="187">
        <v>38.776992502019624</v>
      </c>
      <c r="BN39" s="187">
        <v>25.587371095712651</v>
      </c>
      <c r="BO39" s="187">
        <v>28.339537804412341</v>
      </c>
      <c r="BP39" s="187">
        <v>5.9971494295542715</v>
      </c>
      <c r="BQ39" s="187">
        <v>-6.3675081028841891</v>
      </c>
      <c r="BR39" s="187">
        <v>5.765707387210206</v>
      </c>
      <c r="BS39" s="187">
        <v>-0.41986802010622881</v>
      </c>
      <c r="BT39" s="187">
        <v>10.628607329378493</v>
      </c>
      <c r="BU39" s="187">
        <v>8.0764804690569569E-2</v>
      </c>
      <c r="BV39" s="187">
        <v>-7.2665129857152682</v>
      </c>
      <c r="BW39" s="187">
        <v>2.8844530974094562</v>
      </c>
      <c r="BX39" s="187">
        <v>-0.67881462050974894</v>
      </c>
    </row>
    <row r="40" spans="2:76" s="188" customFormat="1" ht="17.100000000000001" customHeight="1" x14ac:dyDescent="0.2">
      <c r="B40" s="194" t="s">
        <v>148</v>
      </c>
      <c r="R40" s="187">
        <v>7.1306341859397104</v>
      </c>
      <c r="S40" s="187">
        <v>9.3629111950991764</v>
      </c>
      <c r="T40" s="187">
        <v>2.1044116472784147</v>
      </c>
      <c r="U40" s="187">
        <v>8.7613654221225801</v>
      </c>
      <c r="V40" s="187">
        <v>9.6635808950488844</v>
      </c>
      <c r="W40" s="187">
        <v>11.065839371453933</v>
      </c>
      <c r="X40" s="187">
        <v>22.315554047395292</v>
      </c>
      <c r="Y40" s="187">
        <v>21.795632045097001</v>
      </c>
      <c r="Z40" s="187">
        <v>22.112692424020231</v>
      </c>
      <c r="AA40" s="187">
        <v>19.15286992373424</v>
      </c>
      <c r="AB40" s="187">
        <v>11.581979642537309</v>
      </c>
      <c r="AC40" s="187">
        <v>8.5733309090426211</v>
      </c>
      <c r="AD40" s="187">
        <v>6.118374900127721</v>
      </c>
      <c r="AE40" s="187">
        <v>2.7717814443280808</v>
      </c>
      <c r="AF40" s="187">
        <v>2.6697679111304939</v>
      </c>
      <c r="AG40" s="187">
        <v>1.5735373324649471</v>
      </c>
      <c r="AH40" s="187">
        <v>-7.4219881730552828E-2</v>
      </c>
      <c r="AI40" s="187">
        <v>-0.78253566154967702</v>
      </c>
      <c r="AJ40" s="187">
        <v>-0.31511096534402316</v>
      </c>
      <c r="AK40" s="187">
        <v>2.1934697315875606</v>
      </c>
      <c r="AL40" s="187">
        <v>4.6699886529346424</v>
      </c>
      <c r="AM40" s="187">
        <v>7.694140636167246</v>
      </c>
      <c r="AN40" s="187">
        <v>10.05413900037999</v>
      </c>
      <c r="AO40" s="187">
        <v>9.2731682581000285</v>
      </c>
      <c r="AP40" s="187">
        <v>10.042050077565534</v>
      </c>
      <c r="AQ40" s="187">
        <v>8.2379090837165769</v>
      </c>
      <c r="AR40" s="187">
        <v>8.9270202623774164</v>
      </c>
      <c r="AS40" s="187">
        <v>8.7935381643620367</v>
      </c>
      <c r="AT40" s="187">
        <v>9.3089283003309209</v>
      </c>
      <c r="AU40" s="187">
        <v>10.052424097356072</v>
      </c>
      <c r="AV40" s="187">
        <v>8.7943287226791114</v>
      </c>
      <c r="AW40" s="187">
        <v>9.8533739106338114</v>
      </c>
      <c r="AX40" s="187">
        <v>9.3801161237447204</v>
      </c>
      <c r="AY40" s="187">
        <v>9.7074468823517002</v>
      </c>
      <c r="AZ40" s="187">
        <v>10.472358034895324</v>
      </c>
      <c r="BA40" s="187">
        <v>8.9698828883511883</v>
      </c>
      <c r="BB40" s="187">
        <v>5.8648894441584609</v>
      </c>
      <c r="BC40" s="187">
        <v>6.7743757244487224</v>
      </c>
      <c r="BD40" s="187">
        <v>9.9108421554766402</v>
      </c>
      <c r="BE40" s="187">
        <v>16.167431553164114</v>
      </c>
      <c r="BF40" s="187">
        <v>13.487583023365657</v>
      </c>
      <c r="BG40" s="187">
        <v>12.340843273717294</v>
      </c>
      <c r="BH40" s="187">
        <v>9.5116343587570373</v>
      </c>
      <c r="BI40" s="187">
        <v>5.1450117510172477</v>
      </c>
      <c r="BJ40" s="187">
        <v>14.238614728478026</v>
      </c>
      <c r="BK40" s="187">
        <v>10.955001157003451</v>
      </c>
      <c r="BL40" s="187">
        <v>10.91685727798577</v>
      </c>
      <c r="BM40" s="187">
        <v>5.1615495073986661</v>
      </c>
      <c r="BN40" s="187">
        <v>1.6751048763179899</v>
      </c>
      <c r="BO40" s="187">
        <v>5.8776427177669843</v>
      </c>
      <c r="BP40" s="187">
        <v>6.0033459094807728</v>
      </c>
      <c r="BQ40" s="187">
        <v>11.773288442898711</v>
      </c>
      <c r="BR40" s="187">
        <v>10.817479804990349</v>
      </c>
      <c r="BS40" s="187">
        <v>9.4213245294412431</v>
      </c>
      <c r="BT40" s="187">
        <v>9.0097865862598603</v>
      </c>
      <c r="BU40" s="187">
        <v>7.6100208101015587</v>
      </c>
      <c r="BV40" s="187">
        <v>8.1167618891722739</v>
      </c>
      <c r="BW40" s="187">
        <v>8.1784761000603279</v>
      </c>
      <c r="BX40" s="187">
        <v>6.13510209364998</v>
      </c>
    </row>
    <row r="41" spans="2:76" s="188" customFormat="1" ht="17.100000000000001" customHeight="1" x14ac:dyDescent="0.2">
      <c r="B41" s="194" t="s">
        <v>147</v>
      </c>
      <c r="R41" s="187">
        <v>3.814967962402771</v>
      </c>
      <c r="S41" s="187">
        <v>4.5102960524786351</v>
      </c>
      <c r="T41" s="187">
        <v>-13.974448282296203</v>
      </c>
      <c r="U41" s="187">
        <v>2.2935914238398469</v>
      </c>
      <c r="V41" s="187">
        <v>-24.070486238664945</v>
      </c>
      <c r="W41" s="187">
        <v>-18.963479130513949</v>
      </c>
      <c r="X41" s="187">
        <v>-20.872655966577192</v>
      </c>
      <c r="Y41" s="187">
        <v>25.480318163988148</v>
      </c>
      <c r="Z41" s="187">
        <v>-10.15951118384606</v>
      </c>
      <c r="AA41" s="187">
        <v>-37.404744037335369</v>
      </c>
      <c r="AB41" s="187">
        <v>-11.895264142506679</v>
      </c>
      <c r="AC41" s="187">
        <v>-22.871848479038825</v>
      </c>
      <c r="AD41" s="187">
        <v>34.234518980390092</v>
      </c>
      <c r="AE41" s="187">
        <v>52.065841123279789</v>
      </c>
      <c r="AF41" s="187">
        <v>21.426637415302775</v>
      </c>
      <c r="AG41" s="187">
        <v>-7.8170950496855296</v>
      </c>
      <c r="AH41" s="187">
        <v>-8.7922533355432879</v>
      </c>
      <c r="AI41" s="187">
        <v>31.18286073373422</v>
      </c>
      <c r="AJ41" s="187">
        <v>-43.523860059464361</v>
      </c>
      <c r="AK41" s="187">
        <v>-43.023310592515216</v>
      </c>
      <c r="AL41" s="187">
        <v>-49.614950557135565</v>
      </c>
      <c r="AM41" s="187">
        <v>-72.695662846269911</v>
      </c>
      <c r="AN41" s="187">
        <v>-53.777383679151903</v>
      </c>
      <c r="AO41" s="187">
        <v>-4.4030396413441313</v>
      </c>
      <c r="AP41" s="187">
        <v>-112.3751967626161</v>
      </c>
      <c r="AQ41" s="187">
        <v>-56.089406099908068</v>
      </c>
      <c r="AR41" s="187">
        <v>200.44810342173577</v>
      </c>
      <c r="AS41" s="187">
        <v>64.24481331793703</v>
      </c>
      <c r="AT41" s="187">
        <v>-1262.090705108996</v>
      </c>
      <c r="AU41" s="187">
        <v>515.50073005468016</v>
      </c>
      <c r="AV41" s="187">
        <v>-105.83221963103733</v>
      </c>
      <c r="AW41" s="187">
        <v>-47.912161878245165</v>
      </c>
      <c r="AX41" s="187">
        <v>-43.578343067089456</v>
      </c>
      <c r="AY41" s="187">
        <v>-55.490466310663102</v>
      </c>
      <c r="AZ41" s="187">
        <v>-1581.8797347108589</v>
      </c>
      <c r="BA41" s="187">
        <v>62.291590488891281</v>
      </c>
      <c r="BB41" s="187">
        <v>118.98399619343181</v>
      </c>
      <c r="BC41" s="187">
        <v>231.33794864073121</v>
      </c>
      <c r="BD41" s="187">
        <v>0.32542264468782278</v>
      </c>
      <c r="BE41" s="187">
        <v>84.891489142240232</v>
      </c>
      <c r="BF41" s="187">
        <v>4.0020676459479487</v>
      </c>
      <c r="BG41" s="187">
        <v>3.7878266778229142</v>
      </c>
      <c r="BH41" s="187">
        <v>99.097814690400483</v>
      </c>
      <c r="BI41" s="187">
        <v>-1.6318843468313582</v>
      </c>
      <c r="BJ41" s="187">
        <v>44.271765690586129</v>
      </c>
      <c r="BK41" s="187">
        <v>-16.613159961385016</v>
      </c>
      <c r="BL41" s="187">
        <v>-23.469443559919277</v>
      </c>
      <c r="BM41" s="187">
        <v>-18.326814962241457</v>
      </c>
      <c r="BN41" s="187">
        <v>-49.221479967646687</v>
      </c>
      <c r="BO41" s="187">
        <v>-28.798598354560255</v>
      </c>
      <c r="BP41" s="187">
        <v>-61.309585912383113</v>
      </c>
      <c r="BQ41" s="187">
        <v>-53.46690411360764</v>
      </c>
      <c r="BR41" s="187">
        <v>31.542742228770603</v>
      </c>
      <c r="BS41" s="187">
        <v>45.00402611909913</v>
      </c>
      <c r="BT41" s="187">
        <v>-225.3192939585289</v>
      </c>
      <c r="BU41" s="187">
        <v>-133.9260175434359</v>
      </c>
      <c r="BV41" s="187">
        <v>-55.976469882307796</v>
      </c>
      <c r="BW41" s="187">
        <v>-68.63420708086349</v>
      </c>
      <c r="BX41" s="187">
        <v>-222.15816301657298</v>
      </c>
    </row>
    <row r="42" spans="2:76" s="188" customFormat="1" ht="17.100000000000001" customHeight="1" x14ac:dyDescent="0.2">
      <c r="B42" s="201" t="s">
        <v>146</v>
      </c>
      <c r="R42" s="187">
        <v>32.115902100488739</v>
      </c>
      <c r="S42" s="187">
        <v>-6.8766142141532205</v>
      </c>
      <c r="T42" s="187">
        <v>11.027271012666361</v>
      </c>
      <c r="U42" s="187">
        <v>17.246946242438057</v>
      </c>
      <c r="V42" s="187">
        <v>1.6176825261586592</v>
      </c>
      <c r="W42" s="187">
        <v>15.686863638457794</v>
      </c>
      <c r="X42" s="187">
        <v>12.124396105045188</v>
      </c>
      <c r="Y42" s="187">
        <v>3.2675549658431224</v>
      </c>
      <c r="Z42" s="187">
        <v>2.536776646362493</v>
      </c>
      <c r="AA42" s="187">
        <v>11.369617375821095</v>
      </c>
      <c r="AB42" s="187">
        <v>-6.7760495233287195</v>
      </c>
      <c r="AC42" s="187">
        <v>-10.727579217475036</v>
      </c>
      <c r="AD42" s="187">
        <v>-7.9192981033652128</v>
      </c>
      <c r="AE42" s="187">
        <v>-14.284994986503763</v>
      </c>
      <c r="AF42" s="187">
        <v>2.6991987484447977</v>
      </c>
      <c r="AG42" s="187">
        <v>10.66655950651354</v>
      </c>
      <c r="AH42" s="187">
        <v>7.2935322684571702</v>
      </c>
      <c r="AI42" s="187">
        <v>-0.33229354338121242</v>
      </c>
      <c r="AJ42" s="187">
        <v>5.2900015736579764</v>
      </c>
      <c r="AK42" s="187">
        <v>12.080193482827051</v>
      </c>
      <c r="AL42" s="187">
        <v>29.749655997591141</v>
      </c>
      <c r="AM42" s="187">
        <v>46.223810306027488</v>
      </c>
      <c r="AN42" s="187">
        <v>31.52166228487674</v>
      </c>
      <c r="AO42" s="187">
        <v>25.296653774342271</v>
      </c>
      <c r="AP42" s="187">
        <v>39.359563974764924</v>
      </c>
      <c r="AQ42" s="187">
        <v>25.700052143287479</v>
      </c>
      <c r="AR42" s="187">
        <v>-11.682999934519046</v>
      </c>
      <c r="AS42" s="187">
        <v>-13.768665952892512</v>
      </c>
      <c r="AT42" s="187">
        <v>-25.474101549837847</v>
      </c>
      <c r="AU42" s="187">
        <v>-21.084123935162314</v>
      </c>
      <c r="AV42" s="187">
        <v>66.335283905054567</v>
      </c>
      <c r="AW42" s="187">
        <v>23.209420155405635</v>
      </c>
      <c r="AX42" s="187">
        <v>24.715357815241369</v>
      </c>
      <c r="AY42" s="187">
        <v>24.645147199794405</v>
      </c>
      <c r="AZ42" s="187">
        <v>-16.46900838031997</v>
      </c>
      <c r="BA42" s="187">
        <v>-27.938370324386263</v>
      </c>
      <c r="BB42" s="187">
        <v>-9.8359248943925337</v>
      </c>
      <c r="BC42" s="187">
        <v>-18.174824938780244</v>
      </c>
      <c r="BD42" s="187">
        <v>-6.2437217314900035</v>
      </c>
      <c r="BE42" s="187">
        <v>56.377024894683615</v>
      </c>
      <c r="BF42" s="187">
        <v>-15.372345379752295</v>
      </c>
      <c r="BG42" s="187">
        <v>-15.011326813647274</v>
      </c>
      <c r="BH42" s="187">
        <v>-19.828259871480334</v>
      </c>
      <c r="BI42" s="187">
        <v>-27.389282692387486</v>
      </c>
      <c r="BJ42" s="187">
        <v>-7.5156778657347045</v>
      </c>
      <c r="BK42" s="187">
        <v>-8.4244130927567653</v>
      </c>
      <c r="BL42" s="187">
        <v>1.4894286518835509</v>
      </c>
      <c r="BM42" s="187">
        <v>15.880516779566989</v>
      </c>
      <c r="BN42" s="187">
        <v>59.2522762385737</v>
      </c>
      <c r="BO42" s="187">
        <v>61.272362559438889</v>
      </c>
      <c r="BP42" s="187">
        <v>47.223463932613939</v>
      </c>
      <c r="BQ42" s="187">
        <v>25.440026687061422</v>
      </c>
      <c r="BR42" s="187">
        <v>-13.337256399430286</v>
      </c>
      <c r="BS42" s="187">
        <v>32.390790405320359</v>
      </c>
      <c r="BT42" s="187">
        <v>26.156769961174575</v>
      </c>
      <c r="BU42" s="187">
        <v>51.235184311476665</v>
      </c>
      <c r="BV42" s="187">
        <v>49.301858652947807</v>
      </c>
      <c r="BW42" s="187">
        <v>11.411314283473018</v>
      </c>
      <c r="BX42" s="187">
        <v>5.015589166618506</v>
      </c>
    </row>
    <row r="43" spans="2:76" s="188" customFormat="1" ht="17.100000000000001" customHeight="1" x14ac:dyDescent="0.2">
      <c r="B43" s="193" t="s">
        <v>144</v>
      </c>
      <c r="R43" s="187">
        <v>17.539377539541888</v>
      </c>
      <c r="S43" s="187">
        <v>-4.3874630051108809</v>
      </c>
      <c r="T43" s="187">
        <v>5.9578888876999248</v>
      </c>
      <c r="U43" s="187">
        <v>15.042239349524866</v>
      </c>
      <c r="V43" s="187">
        <v>1.324301774495229</v>
      </c>
      <c r="W43" s="187">
        <v>17.985851806995345</v>
      </c>
      <c r="X43" s="187">
        <v>18.125383041691421</v>
      </c>
      <c r="Y43" s="187">
        <v>4.5216182323123189</v>
      </c>
      <c r="Z43" s="187">
        <v>-3.6799585882260066</v>
      </c>
      <c r="AA43" s="187">
        <v>7.0736493379827792</v>
      </c>
      <c r="AB43" s="187">
        <v>-4.3711477338414966</v>
      </c>
      <c r="AC43" s="187">
        <v>-10.340185149526404</v>
      </c>
      <c r="AD43" s="187">
        <v>-4.9823668088452173</v>
      </c>
      <c r="AE43" s="187">
        <v>-11.17155498957546</v>
      </c>
      <c r="AF43" s="187">
        <v>-6.7566559176260981</v>
      </c>
      <c r="AG43" s="187">
        <v>7.1974444745491084</v>
      </c>
      <c r="AH43" s="187">
        <v>16.238421611559616</v>
      </c>
      <c r="AI43" s="187">
        <v>5.2125337705964947</v>
      </c>
      <c r="AJ43" s="187">
        <v>16.799067764165954</v>
      </c>
      <c r="AK43" s="187">
        <v>13.981751376071806</v>
      </c>
      <c r="AL43" s="187">
        <v>4.7398522218630834</v>
      </c>
      <c r="AM43" s="187">
        <v>31.463725931410735</v>
      </c>
      <c r="AN43" s="187">
        <v>9.6399999723450804</v>
      </c>
      <c r="AO43" s="187">
        <v>15.834095987378483</v>
      </c>
      <c r="AP43" s="187">
        <v>55.572593478087562</v>
      </c>
      <c r="AQ43" s="187">
        <v>26.292805477653623</v>
      </c>
      <c r="AR43" s="187">
        <v>-9.6897404782471774</v>
      </c>
      <c r="AS43" s="187">
        <v>-18.247589504615537</v>
      </c>
      <c r="AT43" s="187">
        <v>-32.428942247967527</v>
      </c>
      <c r="AU43" s="187">
        <v>-24.096398519607853</v>
      </c>
      <c r="AV43" s="187">
        <v>87.495036360253593</v>
      </c>
      <c r="AW43" s="187">
        <v>29.939475745161339</v>
      </c>
      <c r="AX43" s="187">
        <v>30.171252329823762</v>
      </c>
      <c r="AY43" s="187">
        <v>27.58915918285647</v>
      </c>
      <c r="AZ43" s="187">
        <v>-21.312652273113031</v>
      </c>
      <c r="BA43" s="187">
        <v>-6.8039065014879103</v>
      </c>
      <c r="BB43" s="187">
        <v>18.142886020454839</v>
      </c>
      <c r="BC43" s="187">
        <v>-1.3811079359036027</v>
      </c>
      <c r="BD43" s="187">
        <v>1.9700936777887312</v>
      </c>
      <c r="BE43" s="187">
        <v>36.655199930243533</v>
      </c>
      <c r="BF43" s="187">
        <v>-28.233029708131152</v>
      </c>
      <c r="BG43" s="187">
        <v>-21.964347837017538</v>
      </c>
      <c r="BH43" s="187">
        <v>-23.490072803263441</v>
      </c>
      <c r="BI43" s="187">
        <v>-30.854251117012854</v>
      </c>
      <c r="BJ43" s="187">
        <v>-7.7609627921593205E-2</v>
      </c>
      <c r="BK43" s="187">
        <v>-7.9815327655003765</v>
      </c>
      <c r="BL43" s="187">
        <v>5.1436938956300748</v>
      </c>
      <c r="BM43" s="187">
        <v>17.639652518753856</v>
      </c>
      <c r="BN43" s="187">
        <v>57.74092615178521</v>
      </c>
      <c r="BO43" s="187">
        <v>65.890069830056348</v>
      </c>
      <c r="BP43" s="187">
        <v>39.504027227366414</v>
      </c>
      <c r="BQ43" s="187">
        <v>26.35264162193991</v>
      </c>
      <c r="BR43" s="187">
        <v>-15.193335425403298</v>
      </c>
      <c r="BS43" s="187">
        <v>35.383874931648364</v>
      </c>
      <c r="BT43" s="187">
        <v>36.82692951459854</v>
      </c>
      <c r="BU43" s="187">
        <v>66.233707231034316</v>
      </c>
      <c r="BV43" s="187">
        <v>56.744252266545161</v>
      </c>
      <c r="BW43" s="187">
        <v>22.4626533727482</v>
      </c>
      <c r="BX43" s="187">
        <v>1.4836363370563044</v>
      </c>
    </row>
    <row r="44" spans="2:76" s="188" customFormat="1" ht="17.100000000000001" customHeight="1" x14ac:dyDescent="0.2">
      <c r="B44" s="193" t="s">
        <v>143</v>
      </c>
      <c r="R44" s="187">
        <v>88.728098858033661</v>
      </c>
      <c r="S44" s="187">
        <v>-11.703534613785182</v>
      </c>
      <c r="T44" s="187">
        <v>24.970819211120698</v>
      </c>
      <c r="U44" s="187">
        <v>23.246523523554075</v>
      </c>
      <c r="V44" s="187">
        <v>2.3273165943567653</v>
      </c>
      <c r="W44" s="187">
        <v>10.859309898948432</v>
      </c>
      <c r="X44" s="187">
        <v>-1.8703696791873337</v>
      </c>
      <c r="Y44" s="187">
        <v>8.2096931946251672E-2</v>
      </c>
      <c r="Z44" s="187">
        <v>17.426521156008199</v>
      </c>
      <c r="AA44" s="187">
        <v>20.970456307151309</v>
      </c>
      <c r="AB44" s="187">
        <v>-13.527286705113628</v>
      </c>
      <c r="AC44" s="187">
        <v>-11.75525266618167</v>
      </c>
      <c r="AD44" s="187">
        <v>-13.689209273230674</v>
      </c>
      <c r="AE44" s="187">
        <v>-20.443735814435371</v>
      </c>
      <c r="AF44" s="187">
        <v>32.055184347434327</v>
      </c>
      <c r="AG44" s="187">
        <v>20.01695206837082</v>
      </c>
      <c r="AH44" s="187">
        <v>-12.052389417837684</v>
      </c>
      <c r="AI44" s="187">
        <v>-12.578938623555413</v>
      </c>
      <c r="AJ44" s="187">
        <v>-19.938900439663609</v>
      </c>
      <c r="AK44" s="187">
        <v>7.5023331913307345</v>
      </c>
      <c r="AL44" s="187">
        <v>101.24049546905489</v>
      </c>
      <c r="AM44" s="187">
        <v>85.458421326714486</v>
      </c>
      <c r="AN44" s="187">
        <v>101.49883630177885</v>
      </c>
      <c r="AO44" s="187">
        <v>49.450092104105536</v>
      </c>
      <c r="AP44" s="187">
        <v>15.238255408268287</v>
      </c>
      <c r="AQ44" s="187">
        <v>24.583153161362901</v>
      </c>
      <c r="AR44" s="187">
        <v>-15.151457661911516</v>
      </c>
      <c r="AS44" s="187">
        <v>-4.9076341649115669</v>
      </c>
      <c r="AT44" s="187">
        <v>-11.505263092248097</v>
      </c>
      <c r="AU44" s="187">
        <v>-15.330337484374368</v>
      </c>
      <c r="AV44" s="187">
        <v>27.145230084036953</v>
      </c>
      <c r="AW44" s="187">
        <v>11.762617104546958</v>
      </c>
      <c r="AX44" s="187">
        <v>16.348115466562362</v>
      </c>
      <c r="AY44" s="187">
        <v>19.603954378246623</v>
      </c>
      <c r="AZ44" s="187">
        <v>-3.2400032081760566</v>
      </c>
      <c r="BA44" s="187">
        <v>-69.731158016854437</v>
      </c>
      <c r="BB44" s="187">
        <v>-57.842571030909106</v>
      </c>
      <c r="BC44" s="187">
        <v>-48.851536509035199</v>
      </c>
      <c r="BD44" s="187">
        <v>-24.487256157224092</v>
      </c>
      <c r="BE44" s="187">
        <v>176.45382573920898</v>
      </c>
      <c r="BF44" s="187">
        <v>46.467678701315783</v>
      </c>
      <c r="BG44" s="187">
        <v>9.4772215815870133</v>
      </c>
      <c r="BH44" s="187">
        <v>-8.8454677604039134</v>
      </c>
      <c r="BI44" s="187">
        <v>-16.960950729419256</v>
      </c>
      <c r="BJ44" s="187">
        <v>-25.040295208704912</v>
      </c>
      <c r="BK44" s="187">
        <v>-9.5362604967249567</v>
      </c>
      <c r="BL44" s="187">
        <v>-7.7099013477540108</v>
      </c>
      <c r="BM44" s="187">
        <v>11.47194379964307</v>
      </c>
      <c r="BN44" s="187">
        <v>63.99893933585512</v>
      </c>
      <c r="BO44" s="187">
        <v>49.480411881767104</v>
      </c>
      <c r="BP44" s="187">
        <v>69.363068606803751</v>
      </c>
      <c r="BQ44" s="187">
        <v>23.026376024787297</v>
      </c>
      <c r="BR44" s="187">
        <v>-7.7303521060211438</v>
      </c>
      <c r="BS44" s="187">
        <v>23.908476477631524</v>
      </c>
      <c r="BT44" s="187">
        <v>0.94965186721225336</v>
      </c>
      <c r="BU44" s="187">
        <v>10.495146544923317</v>
      </c>
      <c r="BV44" s="187">
        <v>28.638047000757805</v>
      </c>
      <c r="BW44" s="187">
        <v>-22.808384905305733</v>
      </c>
      <c r="BX44" s="187">
        <v>16.3248425071294</v>
      </c>
    </row>
    <row r="45" spans="2:76" s="188" customFormat="1" ht="17.100000000000001" customHeight="1" x14ac:dyDescent="0.2">
      <c r="B45" s="201" t="s">
        <v>145</v>
      </c>
      <c r="R45" s="187">
        <v>16.813271786364979</v>
      </c>
      <c r="S45" s="187">
        <v>-1.6774591173510989</v>
      </c>
      <c r="T45" s="187">
        <v>-2.0410597910365591</v>
      </c>
      <c r="U45" s="187">
        <v>10.106449784047511</v>
      </c>
      <c r="V45" s="187">
        <v>-10.726611223434446</v>
      </c>
      <c r="W45" s="187">
        <v>-1.1298215731915806</v>
      </c>
      <c r="X45" s="187">
        <v>-3.0219813450992228</v>
      </c>
      <c r="Y45" s="187">
        <v>13.121905872798379</v>
      </c>
      <c r="Z45" s="187">
        <v>-2.6524000559558614</v>
      </c>
      <c r="AA45" s="187">
        <v>-8.03208870161356</v>
      </c>
      <c r="AB45" s="187">
        <v>-8.6933503181311771</v>
      </c>
      <c r="AC45" s="187">
        <v>-16.703787456067008</v>
      </c>
      <c r="AD45" s="187">
        <v>7.9810072359522755</v>
      </c>
      <c r="AE45" s="187">
        <v>3.6788717806258919</v>
      </c>
      <c r="AF45" s="187">
        <v>9.4672267104872976</v>
      </c>
      <c r="AG45" s="187">
        <v>2.2442762029453167</v>
      </c>
      <c r="AH45" s="187">
        <v>-0.24918224544422385</v>
      </c>
      <c r="AI45" s="187">
        <v>12.182228534201789</v>
      </c>
      <c r="AJ45" s="187">
        <v>-14.278464317834526</v>
      </c>
      <c r="AK45" s="187">
        <v>-10.557522371327588</v>
      </c>
      <c r="AL45" s="187">
        <v>-4.2776466305225576</v>
      </c>
      <c r="AM45" s="187">
        <v>-8.9967542092160286</v>
      </c>
      <c r="AN45" s="187">
        <v>8.9931324970695456</v>
      </c>
      <c r="AO45" s="187">
        <v>17.524189330571737</v>
      </c>
      <c r="AP45" s="187">
        <v>5.1163860911782821</v>
      </c>
      <c r="AQ45" s="187">
        <v>14.304904603794188</v>
      </c>
      <c r="AR45" s="187">
        <v>12.077108438163631</v>
      </c>
      <c r="AS45" s="187">
        <v>2.8384127656294833</v>
      </c>
      <c r="AT45" s="187">
        <v>7.3812215516287916</v>
      </c>
      <c r="AU45" s="187">
        <v>7.6346223202371499</v>
      </c>
      <c r="AV45" s="187">
        <v>14.640372232264355</v>
      </c>
      <c r="AW45" s="187">
        <v>-0.97085867404302917</v>
      </c>
      <c r="AX45" s="187">
        <v>5.0789065253288967</v>
      </c>
      <c r="AY45" s="187">
        <v>0.119006579794112</v>
      </c>
      <c r="AZ45" s="187">
        <v>7.4432835244297113</v>
      </c>
      <c r="BA45" s="187">
        <v>-11.802812500290793</v>
      </c>
      <c r="BB45" s="187">
        <v>10.052284163130331</v>
      </c>
      <c r="BC45" s="187">
        <v>15.774640803027019</v>
      </c>
      <c r="BD45" s="187">
        <v>-4.8597239563442862</v>
      </c>
      <c r="BE45" s="187">
        <v>65.75998158289778</v>
      </c>
      <c r="BF45" s="187">
        <v>-9.4204605696138763</v>
      </c>
      <c r="BG45" s="187">
        <v>-7.6909035733473292</v>
      </c>
      <c r="BH45" s="187">
        <v>6.5928015158458919</v>
      </c>
      <c r="BI45" s="187">
        <v>-17.935323561584614</v>
      </c>
      <c r="BJ45" s="187">
        <v>10.751114910690251</v>
      </c>
      <c r="BK45" s="187">
        <v>-12.009645073118346</v>
      </c>
      <c r="BL45" s="187">
        <v>-8.8676374951538683</v>
      </c>
      <c r="BM45" s="187">
        <v>0.83077612352133734</v>
      </c>
      <c r="BN45" s="187">
        <v>9.4102432516886658</v>
      </c>
      <c r="BO45" s="187">
        <v>23.900300765578564</v>
      </c>
      <c r="BP45" s="187">
        <v>9.4021997098401542</v>
      </c>
      <c r="BQ45" s="187">
        <v>-2.6797164952264474</v>
      </c>
      <c r="BR45" s="187">
        <v>-3.7665066751763621</v>
      </c>
      <c r="BS45" s="187">
        <v>35.398285700115252</v>
      </c>
      <c r="BT45" s="187">
        <v>-4.8351164895948155</v>
      </c>
      <c r="BU45" s="187">
        <v>19.684791414288316</v>
      </c>
      <c r="BV45" s="187">
        <v>18.613564677559545</v>
      </c>
      <c r="BW45" s="187">
        <v>-9.0287556587757329</v>
      </c>
      <c r="BX45" s="187">
        <v>41.883686752083115</v>
      </c>
    </row>
    <row r="46" spans="2:76" s="188" customFormat="1" ht="17.100000000000001" customHeight="1" x14ac:dyDescent="0.2">
      <c r="B46" s="193" t="s">
        <v>144</v>
      </c>
      <c r="R46" s="187">
        <v>16.269268323622764</v>
      </c>
      <c r="S46" s="187">
        <v>-3.9804346711572736</v>
      </c>
      <c r="T46" s="187">
        <v>-1.5246811573304875</v>
      </c>
      <c r="U46" s="187">
        <v>11.364994523750727</v>
      </c>
      <c r="V46" s="187">
        <v>-12.076762320763557</v>
      </c>
      <c r="W46" s="187">
        <v>-1.1598319984089334</v>
      </c>
      <c r="X46" s="187">
        <v>-4.875314212672599</v>
      </c>
      <c r="Y46" s="187">
        <v>12.622706040580422</v>
      </c>
      <c r="Z46" s="187">
        <v>-4.4913808736109946</v>
      </c>
      <c r="AA46" s="187">
        <v>-11.515029121066767</v>
      </c>
      <c r="AB46" s="187">
        <v>-9.3573258529495931</v>
      </c>
      <c r="AC46" s="187">
        <v>-18.224184319847115</v>
      </c>
      <c r="AD46" s="187">
        <v>-3.2823083665773023</v>
      </c>
      <c r="AE46" s="187">
        <v>4.514836119485155</v>
      </c>
      <c r="AF46" s="187">
        <v>4.7820929183797212</v>
      </c>
      <c r="AG46" s="187">
        <v>-4.9733914411025477</v>
      </c>
      <c r="AH46" s="187">
        <v>12.895462931254965</v>
      </c>
      <c r="AI46" s="187">
        <v>16.025659762944187</v>
      </c>
      <c r="AJ46" s="187">
        <v>-13.086101928762295</v>
      </c>
      <c r="AK46" s="187">
        <v>-12.052138728541017</v>
      </c>
      <c r="AL46" s="187">
        <v>-24.911315235213905</v>
      </c>
      <c r="AM46" s="187">
        <v>-31.309934129464303</v>
      </c>
      <c r="AN46" s="187">
        <v>-12.65345999959826</v>
      </c>
      <c r="AO46" s="187">
        <v>-2.299401636212739</v>
      </c>
      <c r="AP46" s="187">
        <v>0.8404219515103506</v>
      </c>
      <c r="AQ46" s="187">
        <v>12.779034611312067</v>
      </c>
      <c r="AR46" s="187">
        <v>13.493571939997494</v>
      </c>
      <c r="AS46" s="187">
        <v>3.1138411656956633</v>
      </c>
      <c r="AT46" s="187">
        <v>1.5197960733243754</v>
      </c>
      <c r="AU46" s="187">
        <v>4.5715409239496463</v>
      </c>
      <c r="AV46" s="187">
        <v>8.6589040685195684</v>
      </c>
      <c r="AW46" s="187">
        <v>-6.1029531282688616</v>
      </c>
      <c r="AX46" s="187">
        <v>5.499327882726246</v>
      </c>
      <c r="AY46" s="187">
        <v>0.86139497892387951</v>
      </c>
      <c r="AZ46" s="187">
        <v>1.933338139792351E-2</v>
      </c>
      <c r="BA46" s="187">
        <v>-7.0273266789214972</v>
      </c>
      <c r="BB46" s="187">
        <v>22.987212543768653</v>
      </c>
      <c r="BC46" s="187">
        <v>22.968880566754567</v>
      </c>
      <c r="BD46" s="187">
        <v>11.836734364808233</v>
      </c>
      <c r="BE46" s="187">
        <v>83.970119057715536</v>
      </c>
      <c r="BF46" s="187">
        <v>-12.829128633676723</v>
      </c>
      <c r="BG46" s="187">
        <v>-5.4161123599049121</v>
      </c>
      <c r="BH46" s="187">
        <v>6.3160551957920363</v>
      </c>
      <c r="BI46" s="187">
        <v>-21.937628977578115</v>
      </c>
      <c r="BJ46" s="187">
        <v>12.347547428713623</v>
      </c>
      <c r="BK46" s="187">
        <v>-16.073081108358767</v>
      </c>
      <c r="BL46" s="187">
        <v>-12.975492603554917</v>
      </c>
      <c r="BM46" s="187">
        <v>-1.769819096272518</v>
      </c>
      <c r="BN46" s="187">
        <v>6.0277513990359743</v>
      </c>
      <c r="BO46" s="187">
        <v>17.215717775448081</v>
      </c>
      <c r="BP46" s="187">
        <v>1.8983960445465797</v>
      </c>
      <c r="BQ46" s="187">
        <v>-10.441681726654139</v>
      </c>
      <c r="BR46" s="187">
        <v>-5.3831437143040173</v>
      </c>
      <c r="BS46" s="187">
        <v>40.64569195513883</v>
      </c>
      <c r="BT46" s="187">
        <v>-0.13238342071152376</v>
      </c>
      <c r="BU46" s="187">
        <v>31.427182142497976</v>
      </c>
      <c r="BV46" s="187">
        <v>19.265672915592514</v>
      </c>
      <c r="BW46" s="187">
        <v>-6.4777717826773991</v>
      </c>
      <c r="BX46" s="187">
        <v>45.181974909951926</v>
      </c>
    </row>
    <row r="47" spans="2:76" s="188" customFormat="1" ht="17.100000000000001" customHeight="1" x14ac:dyDescent="0.2">
      <c r="B47" s="193" t="s">
        <v>143</v>
      </c>
      <c r="R47" s="187">
        <v>20.925651498022148</v>
      </c>
      <c r="S47" s="187">
        <v>17.186462498206389</v>
      </c>
      <c r="T47" s="187">
        <v>-5.5731403560250197</v>
      </c>
      <c r="U47" s="187">
        <v>2.0380768591591103</v>
      </c>
      <c r="V47" s="187">
        <v>-0.9131904390717982</v>
      </c>
      <c r="W47" s="187">
        <v>-0.92840412225556612</v>
      </c>
      <c r="X47" s="187">
        <v>10.198510534616666</v>
      </c>
      <c r="Y47" s="187">
        <v>16.614741679700895</v>
      </c>
      <c r="Z47" s="187">
        <v>9.208102013954921</v>
      </c>
      <c r="AA47" s="187">
        <v>15.289348348984966</v>
      </c>
      <c r="AB47" s="187">
        <v>-4.6048524640110671</v>
      </c>
      <c r="AC47" s="187">
        <v>-6.4299377438047483</v>
      </c>
      <c r="AD47" s="187">
        <v>71.511150483593468</v>
      </c>
      <c r="AE47" s="187">
        <v>-0.61725749966716759</v>
      </c>
      <c r="AF47" s="187">
        <v>36.879188626436289</v>
      </c>
      <c r="AG47" s="187">
        <v>44.868952090202185</v>
      </c>
      <c r="AH47" s="187">
        <v>-42.05878209633336</v>
      </c>
      <c r="AI47" s="187">
        <v>-8.5896450949088923</v>
      </c>
      <c r="AJ47" s="187">
        <v>-19.618891988677234</v>
      </c>
      <c r="AK47" s="187">
        <v>-4.767718507109187</v>
      </c>
      <c r="AL47" s="187">
        <v>123.59936064390915</v>
      </c>
      <c r="AM47" s="187">
        <v>144.06852079800515</v>
      </c>
      <c r="AN47" s="187">
        <v>113.82481363063945</v>
      </c>
      <c r="AO47" s="187">
        <v>88.442362977668324</v>
      </c>
      <c r="AP47" s="187">
        <v>14.015648382753842</v>
      </c>
      <c r="AQ47" s="187">
        <v>17.25078360623953</v>
      </c>
      <c r="AR47" s="187">
        <v>9.2749286161233346</v>
      </c>
      <c r="AS47" s="187">
        <v>2.3275519221386265</v>
      </c>
      <c r="AT47" s="187">
        <v>18.170524643893373</v>
      </c>
      <c r="AU47" s="187">
        <v>13.322739426316744</v>
      </c>
      <c r="AV47" s="187">
        <v>26.930294660125732</v>
      </c>
      <c r="AW47" s="187">
        <v>8.6212241198521546</v>
      </c>
      <c r="AX47" s="187">
        <v>4.4140675235465832</v>
      </c>
      <c r="AY47" s="187">
        <v>-1.1531413378434552</v>
      </c>
      <c r="AZ47" s="187">
        <v>20.501276329420094</v>
      </c>
      <c r="BA47" s="187">
        <v>-19.518472446922843</v>
      </c>
      <c r="BB47" s="187">
        <v>-10.615143468693011</v>
      </c>
      <c r="BC47" s="187">
        <v>3.1954286855202518</v>
      </c>
      <c r="BD47" s="187">
        <v>-29.235477197208048</v>
      </c>
      <c r="BE47" s="187">
        <v>31.771806156071381</v>
      </c>
      <c r="BF47" s="187">
        <v>-1.926642937504508</v>
      </c>
      <c r="BG47" s="187">
        <v>-12.430537887741721</v>
      </c>
      <c r="BH47" s="187">
        <v>7.2313361179910052</v>
      </c>
      <c r="BI47" s="187">
        <v>-7.5061560283904649</v>
      </c>
      <c r="BJ47" s="187">
        <v>7.631583812252507</v>
      </c>
      <c r="BK47" s="187">
        <v>-2.8651190697982054</v>
      </c>
      <c r="BL47" s="187">
        <v>0.52948385813376131</v>
      </c>
      <c r="BM47" s="187">
        <v>6.5500525390469466</v>
      </c>
      <c r="BN47" s="187">
        <v>16.309453473950498</v>
      </c>
      <c r="BO47" s="187">
        <v>36.898050140113561</v>
      </c>
      <c r="BP47" s="187">
        <v>24.261874392031423</v>
      </c>
      <c r="BQ47" s="187">
        <v>13.057622337975738</v>
      </c>
      <c r="BR47" s="187">
        <v>-0.76057101903329594</v>
      </c>
      <c r="BS47" s="187">
        <v>26.661994199017116</v>
      </c>
      <c r="BT47" s="187">
        <v>-12.471849642166665</v>
      </c>
      <c r="BU47" s="187">
        <v>0.82563719575670103</v>
      </c>
      <c r="BV47" s="187">
        <v>17.457529367619308</v>
      </c>
      <c r="BW47" s="187">
        <v>-13.744717193760048</v>
      </c>
      <c r="BX47" s="187">
        <v>35.772538541160827</v>
      </c>
    </row>
    <row r="48" spans="2:76" s="188" customFormat="1" ht="17.100000000000001" customHeight="1" x14ac:dyDescent="0.2">
      <c r="B48" s="201" t="s">
        <v>142</v>
      </c>
      <c r="R48" s="187">
        <v>-199.25592495837492</v>
      </c>
      <c r="S48" s="187">
        <v>-1701.6598868614246</v>
      </c>
      <c r="T48" s="187">
        <v>51.195758579605787</v>
      </c>
      <c r="U48" s="187">
        <v>-51.217045827609951</v>
      </c>
      <c r="V48" s="187">
        <v>-201.98998959295233</v>
      </c>
      <c r="W48" s="187">
        <v>-159.65202186340369</v>
      </c>
      <c r="X48" s="187">
        <v>-91.555651209225175</v>
      </c>
      <c r="Y48" s="187">
        <v>254.29251597489059</v>
      </c>
      <c r="Z48" s="187">
        <v>178.41499921299143</v>
      </c>
      <c r="AA48" s="187">
        <v>-193.72843337027362</v>
      </c>
      <c r="AB48" s="187">
        <v>126.84126877810886</v>
      </c>
      <c r="AC48" s="187">
        <v>-381.87498567181444</v>
      </c>
      <c r="AD48" s="187">
        <v>-58.834316594712853</v>
      </c>
      <c r="AE48" s="187">
        <v>-88.091167331645565</v>
      </c>
      <c r="AF48" s="187">
        <v>-78.881864225005245</v>
      </c>
      <c r="AG48" s="187">
        <v>-82.481943523306072</v>
      </c>
      <c r="AH48" s="187">
        <v>6.0506619174463427</v>
      </c>
      <c r="AI48" s="187">
        <v>756.2898410987375</v>
      </c>
      <c r="AJ48" s="187">
        <v>-5249.5871266758404</v>
      </c>
      <c r="AK48" s="187">
        <v>-211.79568180587412</v>
      </c>
      <c r="AL48" s="187">
        <v>-38.455771177521939</v>
      </c>
      <c r="AM48" s="187">
        <v>-153.75161449979754</v>
      </c>
      <c r="AN48" s="187">
        <v>-90.672246260936603</v>
      </c>
      <c r="AO48" s="187">
        <v>-115.13670661389806</v>
      </c>
      <c r="AP48" s="187">
        <v>-116.33165609349297</v>
      </c>
      <c r="AQ48" s="187">
        <v>15.760371130688956</v>
      </c>
      <c r="AR48" s="187">
        <v>74.334189720173825</v>
      </c>
      <c r="AS48" s="187">
        <v>345.30797387146117</v>
      </c>
      <c r="AT48" s="187">
        <v>-607.80083889107459</v>
      </c>
      <c r="AU48" s="187">
        <v>-36.751307224747677</v>
      </c>
      <c r="AV48" s="187">
        <v>184.95462170577159</v>
      </c>
      <c r="AW48" s="187">
        <v>218.58471612540257</v>
      </c>
      <c r="AX48" s="187">
        <v>-85.030482451832512</v>
      </c>
      <c r="AY48" s="187">
        <v>152.29318130709797</v>
      </c>
      <c r="AZ48" s="187">
        <v>-49.787661539435305</v>
      </c>
      <c r="BA48" s="187">
        <v>-76.820182962718803</v>
      </c>
      <c r="BB48" s="187">
        <v>665.33313642959081</v>
      </c>
      <c r="BC48" s="187">
        <v>-41.282697806161686</v>
      </c>
      <c r="BD48" s="187">
        <v>107.71623274981708</v>
      </c>
      <c r="BE48" s="187">
        <v>8.3947253736115002</v>
      </c>
      <c r="BF48" s="187">
        <v>-54.822676732100327</v>
      </c>
      <c r="BG48" s="187">
        <v>-59.72364972244042</v>
      </c>
      <c r="BH48" s="187">
        <v>-51.214594953947625</v>
      </c>
      <c r="BI48" s="187">
        <v>97.354775417610355</v>
      </c>
      <c r="BJ48" s="187">
        <v>44.622482142895059</v>
      </c>
      <c r="BK48" s="187">
        <v>137.06288567836623</v>
      </c>
      <c r="BL48" s="187">
        <v>-15.730620914347337</v>
      </c>
      <c r="BM48" s="187">
        <v>-64.829495093008731</v>
      </c>
      <c r="BN48" s="187">
        <v>-101.46527859155529</v>
      </c>
      <c r="BO48" s="187">
        <v>-11.787916379077078</v>
      </c>
      <c r="BP48" s="187">
        <v>-3.5932583289616904</v>
      </c>
      <c r="BQ48" s="187">
        <v>123.81535397899164</v>
      </c>
      <c r="BR48" s="187">
        <v>-861.42373994882996</v>
      </c>
      <c r="BS48" s="187">
        <v>-53.061752634351933</v>
      </c>
      <c r="BT48" s="187">
        <v>550.66527066272863</v>
      </c>
      <c r="BU48" s="187">
        <v>242.27584276179334</v>
      </c>
      <c r="BV48" s="187">
        <v>-3274.8227607971708</v>
      </c>
      <c r="BW48" s="187">
        <v>941.43651751503069</v>
      </c>
      <c r="BX48" s="187">
        <v>-41.313765399682303</v>
      </c>
    </row>
    <row r="49" spans="1:76" s="188" customFormat="1" ht="17.100000000000001" customHeight="1" x14ac:dyDescent="0.2">
      <c r="B49" s="194" t="s">
        <v>141</v>
      </c>
      <c r="R49" s="187">
        <v>5.7877391469174588</v>
      </c>
      <c r="S49" s="187">
        <v>0.11611492077976404</v>
      </c>
      <c r="T49" s="187">
        <v>0.97514864758223574</v>
      </c>
      <c r="U49" s="187">
        <v>5.020557061647879</v>
      </c>
      <c r="V49" s="187">
        <v>6.2035338556287956</v>
      </c>
      <c r="W49" s="187">
        <v>3.5505872921750559</v>
      </c>
      <c r="X49" s="187">
        <v>0.73064935824114219</v>
      </c>
      <c r="Y49" s="187">
        <v>-2.1878459515492499</v>
      </c>
      <c r="Z49" s="187">
        <v>-1.9837357888608964</v>
      </c>
      <c r="AA49" s="187">
        <v>0.96905630584316338</v>
      </c>
      <c r="AB49" s="187">
        <v>6.4647827890720322</v>
      </c>
      <c r="AC49" s="187">
        <v>13.298456864077846</v>
      </c>
      <c r="AD49" s="187">
        <v>3.3627427496231821</v>
      </c>
      <c r="AE49" s="187">
        <v>11.293962578132998</v>
      </c>
      <c r="AF49" s="187">
        <v>5.9073900136717761</v>
      </c>
      <c r="AG49" s="187">
        <v>3.8147372798502666</v>
      </c>
      <c r="AH49" s="187">
        <v>8.5308298238007119</v>
      </c>
      <c r="AI49" s="187">
        <v>5.9182597000868364</v>
      </c>
      <c r="AJ49" s="187">
        <v>0.91298889703823605</v>
      </c>
      <c r="AK49" s="187">
        <v>-0.40561579563010985</v>
      </c>
      <c r="AL49" s="187">
        <v>-0.26122599349414077</v>
      </c>
      <c r="AM49" s="187">
        <v>0.50756396361286704</v>
      </c>
      <c r="AN49" s="187">
        <v>6.7464548438344707</v>
      </c>
      <c r="AO49" s="187">
        <v>6.1811726662669653</v>
      </c>
      <c r="AP49" s="187">
        <v>7.680899838187849</v>
      </c>
      <c r="AQ49" s="187">
        <v>6.4828574170991526</v>
      </c>
      <c r="AR49" s="187">
        <v>5.3854548516732992</v>
      </c>
      <c r="AS49" s="187">
        <v>5.5652552026089541</v>
      </c>
      <c r="AT49" s="187">
        <v>5.5745218290362164</v>
      </c>
      <c r="AU49" s="187">
        <v>5.7290793971742193</v>
      </c>
      <c r="AV49" s="187">
        <v>7.6659988765000353</v>
      </c>
      <c r="AW49" s="187">
        <v>6.8851035225670376</v>
      </c>
      <c r="AX49" s="187">
        <v>7.5602194202029516</v>
      </c>
      <c r="AY49" s="187">
        <v>8.3709675178608389</v>
      </c>
      <c r="AZ49" s="187">
        <v>1.1985158163788201</v>
      </c>
      <c r="BA49" s="187">
        <v>-5.5516964673997364</v>
      </c>
      <c r="BB49" s="187">
        <v>-0.40309239402191999</v>
      </c>
      <c r="BC49" s="187">
        <v>3.249573690178309E-2</v>
      </c>
      <c r="BD49" s="187">
        <v>2.8043450225728961</v>
      </c>
      <c r="BE49" s="187">
        <v>13.009860656729334</v>
      </c>
      <c r="BF49" s="187">
        <v>2.3547240160596283</v>
      </c>
      <c r="BG49" s="187">
        <v>4.7648514346921855</v>
      </c>
      <c r="BH49" s="187">
        <v>5.6227188954377949</v>
      </c>
      <c r="BI49" s="187">
        <v>5.8119710085462239</v>
      </c>
      <c r="BJ49" s="187">
        <v>8.7705981453641826</v>
      </c>
      <c r="BK49" s="187">
        <v>4.3131379207032028</v>
      </c>
      <c r="BL49" s="187">
        <v>2.2299522773682856</v>
      </c>
      <c r="BM49" s="187">
        <v>5.747511173271791</v>
      </c>
      <c r="BN49" s="187">
        <v>5.9910475756172588</v>
      </c>
      <c r="BO49" s="187">
        <v>5.7824205334947809</v>
      </c>
      <c r="BP49" s="187">
        <v>6.8245767569395266</v>
      </c>
      <c r="BQ49" s="187">
        <v>5.6851103803429615</v>
      </c>
      <c r="BR49" s="187">
        <v>6.17940640370509</v>
      </c>
      <c r="BS49" s="187">
        <v>5.3634777034342385</v>
      </c>
      <c r="BT49" s="187">
        <v>8.3943389671000901</v>
      </c>
      <c r="BU49" s="187">
        <v>5.5263248039615354</v>
      </c>
      <c r="BV49" s="187">
        <v>4.8457918953031198</v>
      </c>
      <c r="BW49" s="187">
        <v>8.4581777204844943</v>
      </c>
      <c r="BX49" s="187">
        <v>5.7897132531484985</v>
      </c>
    </row>
    <row r="50" spans="1:76" s="190" customFormat="1" ht="17.100000000000001" customHeight="1" x14ac:dyDescent="0.2">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c r="BF50" s="204"/>
      <c r="BG50" s="204"/>
      <c r="BH50" s="204"/>
      <c r="BI50" s="204"/>
    </row>
    <row r="51" spans="1:76" ht="17.100000000000001" customHeight="1" x14ac:dyDescent="0.2">
      <c r="A51" s="190"/>
      <c r="B51" s="191"/>
      <c r="C51" s="190"/>
      <c r="D51" s="190"/>
      <c r="E51" s="190"/>
      <c r="F51" s="190"/>
      <c r="G51" s="190"/>
      <c r="H51" s="190"/>
      <c r="I51" s="190"/>
      <c r="J51" s="190"/>
      <c r="K51" s="190"/>
      <c r="L51" s="190"/>
      <c r="M51" s="190"/>
      <c r="N51" s="190"/>
      <c r="O51" s="190"/>
      <c r="P51" s="190"/>
      <c r="Q51" s="190"/>
      <c r="R51" s="190"/>
      <c r="S51" s="190"/>
    </row>
    <row r="52" spans="1:76" ht="17.100000000000001" customHeight="1" x14ac:dyDescent="0.2">
      <c r="A52" s="190"/>
      <c r="B52" s="190"/>
      <c r="C52" s="190"/>
      <c r="D52" s="190"/>
      <c r="E52" s="190"/>
      <c r="F52" s="190"/>
      <c r="G52" s="190"/>
      <c r="H52" s="190"/>
      <c r="I52" s="190"/>
      <c r="J52" s="190"/>
      <c r="K52" s="190"/>
      <c r="L52" s="190"/>
      <c r="M52" s="190"/>
      <c r="N52" s="190"/>
      <c r="O52" s="190"/>
      <c r="P52" s="190"/>
      <c r="Q52" s="190"/>
      <c r="R52" s="190"/>
      <c r="S52" s="190"/>
    </row>
    <row r="53" spans="1:76" ht="17.100000000000001" customHeight="1" x14ac:dyDescent="0.2">
      <c r="A53" s="190"/>
      <c r="B53" s="190"/>
      <c r="C53" s="190"/>
      <c r="D53" s="190"/>
      <c r="E53" s="190"/>
      <c r="F53" s="190"/>
      <c r="G53" s="190"/>
      <c r="H53" s="190"/>
      <c r="I53" s="190"/>
      <c r="J53" s="190"/>
      <c r="K53" s="190"/>
      <c r="L53" s="190"/>
      <c r="M53" s="190"/>
      <c r="N53" s="190"/>
      <c r="O53" s="190"/>
      <c r="P53" s="190"/>
      <c r="Q53" s="190"/>
      <c r="R53" s="190"/>
      <c r="S53" s="190"/>
    </row>
    <row r="54" spans="1:76" ht="17.100000000000001" customHeight="1" x14ac:dyDescent="0.2">
      <c r="A54" s="190"/>
      <c r="B54" s="190"/>
      <c r="C54" s="190"/>
      <c r="D54" s="190"/>
      <c r="E54" s="190"/>
      <c r="F54" s="190"/>
      <c r="G54" s="190"/>
      <c r="H54" s="190"/>
      <c r="I54" s="190"/>
      <c r="J54" s="190"/>
      <c r="K54" s="190"/>
      <c r="L54" s="190"/>
      <c r="M54" s="190"/>
      <c r="N54" s="190"/>
      <c r="O54" s="190"/>
      <c r="P54" s="190"/>
      <c r="Q54" s="190"/>
      <c r="R54" s="190"/>
      <c r="S54" s="190"/>
    </row>
    <row r="55" spans="1:76" ht="17.100000000000001" customHeight="1" x14ac:dyDescent="0.2">
      <c r="A55" s="188"/>
      <c r="B55" s="189"/>
      <c r="C55" s="188"/>
      <c r="D55" s="188"/>
      <c r="E55" s="188"/>
      <c r="F55" s="188"/>
      <c r="G55" s="188"/>
      <c r="H55" s="188"/>
      <c r="I55" s="188"/>
      <c r="J55" s="188"/>
      <c r="K55" s="188"/>
      <c r="L55" s="188"/>
      <c r="M55" s="188"/>
      <c r="N55" s="188"/>
      <c r="O55" s="188"/>
      <c r="P55" s="188"/>
      <c r="Q55" s="188"/>
      <c r="R55" s="188"/>
      <c r="S55" s="188"/>
    </row>
    <row r="56" spans="1:76" ht="17.100000000000001" customHeight="1" x14ac:dyDescent="0.2">
      <c r="A56" s="188"/>
      <c r="B56" s="188"/>
      <c r="C56" s="188"/>
      <c r="D56" s="188"/>
      <c r="E56" s="188"/>
      <c r="F56" s="188"/>
      <c r="G56" s="188"/>
      <c r="H56" s="188"/>
      <c r="I56" s="188"/>
      <c r="J56" s="188"/>
      <c r="K56" s="188"/>
      <c r="L56" s="188"/>
      <c r="M56" s="188"/>
      <c r="N56" s="188"/>
      <c r="O56" s="188"/>
      <c r="P56" s="188"/>
      <c r="Q56" s="188"/>
      <c r="R56" s="188"/>
      <c r="S56" s="188"/>
    </row>
    <row r="57" spans="1:76" ht="17.100000000000001" customHeight="1" x14ac:dyDescent="0.2">
      <c r="A57" s="188"/>
      <c r="B57" s="188"/>
      <c r="C57" s="188"/>
      <c r="D57" s="188"/>
      <c r="E57" s="188"/>
      <c r="F57" s="188"/>
      <c r="G57" s="188"/>
      <c r="H57" s="188"/>
      <c r="I57" s="188"/>
      <c r="J57" s="188"/>
      <c r="K57" s="188"/>
      <c r="L57" s="188"/>
      <c r="M57" s="188"/>
      <c r="N57" s="188"/>
      <c r="O57" s="188"/>
      <c r="P57" s="188"/>
      <c r="Q57" s="188"/>
      <c r="R57" s="188"/>
      <c r="S57" s="188"/>
    </row>
    <row r="58" spans="1:76" ht="17.100000000000001" customHeight="1" x14ac:dyDescent="0.2">
      <c r="A58" s="188"/>
      <c r="B58" s="188"/>
      <c r="C58" s="188"/>
      <c r="D58" s="188"/>
      <c r="E58" s="188"/>
      <c r="F58" s="188"/>
      <c r="G58" s="188"/>
      <c r="H58" s="188"/>
      <c r="I58" s="188"/>
      <c r="J58" s="188"/>
      <c r="K58" s="188"/>
      <c r="L58" s="188"/>
      <c r="M58" s="188"/>
      <c r="N58" s="188"/>
      <c r="O58" s="188"/>
      <c r="P58" s="188"/>
      <c r="Q58" s="188"/>
      <c r="R58" s="188"/>
      <c r="S58" s="188"/>
    </row>
    <row r="60" spans="1:76" ht="17.100000000000001" customHeight="1" x14ac:dyDescent="0.2">
      <c r="A60" s="199"/>
      <c r="B60" s="199"/>
      <c r="C60" s="198"/>
      <c r="D60" s="198"/>
      <c r="E60" s="198"/>
      <c r="F60" s="198"/>
      <c r="G60" s="198"/>
      <c r="H60" s="198"/>
      <c r="I60" s="198"/>
      <c r="J60" s="198"/>
      <c r="K60" s="198"/>
      <c r="L60" s="198"/>
      <c r="M60" s="198"/>
      <c r="N60" s="198"/>
      <c r="O60" s="198"/>
      <c r="P60" s="198"/>
      <c r="Q60" s="198"/>
      <c r="R60" s="198"/>
    </row>
    <row r="61" spans="1:76" ht="17.100000000000001" customHeight="1" x14ac:dyDescent="0.2">
      <c r="A61" s="197"/>
      <c r="B61" s="196"/>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row>
    <row r="62" spans="1:76" ht="17.100000000000001" customHeight="1" x14ac:dyDescent="0.2">
      <c r="A62" s="195"/>
      <c r="B62" s="194"/>
      <c r="C62" s="195"/>
      <c r="D62" s="192"/>
      <c r="E62" s="192"/>
      <c r="F62" s="192"/>
      <c r="G62" s="192"/>
      <c r="H62" s="192"/>
      <c r="I62" s="192"/>
      <c r="J62" s="192"/>
      <c r="K62" s="192"/>
      <c r="L62" s="192"/>
      <c r="M62" s="192"/>
      <c r="N62" s="192"/>
      <c r="O62" s="192"/>
      <c r="P62" s="192"/>
      <c r="Q62" s="192"/>
      <c r="R62" s="192"/>
    </row>
    <row r="63" spans="1:76" ht="17.100000000000001" customHeight="1" x14ac:dyDescent="0.2">
      <c r="A63" s="192"/>
      <c r="B63" s="193"/>
      <c r="C63" s="192"/>
      <c r="D63" s="192"/>
      <c r="E63" s="192"/>
      <c r="F63" s="192"/>
      <c r="G63" s="192"/>
      <c r="H63" s="192"/>
      <c r="I63" s="192"/>
      <c r="J63" s="192"/>
      <c r="K63" s="192"/>
      <c r="L63" s="192"/>
      <c r="M63" s="192"/>
      <c r="N63" s="192"/>
      <c r="O63" s="192"/>
      <c r="P63" s="192"/>
      <c r="Q63" s="192"/>
      <c r="R63" s="192"/>
      <c r="S63" s="192"/>
    </row>
    <row r="64" spans="1:76" ht="17.100000000000001" customHeight="1" x14ac:dyDescent="0.2">
      <c r="A64" s="192"/>
      <c r="B64" s="193"/>
      <c r="C64" s="192"/>
      <c r="D64" s="192"/>
      <c r="E64" s="192"/>
      <c r="F64" s="192"/>
      <c r="G64" s="192"/>
      <c r="H64" s="192"/>
      <c r="I64" s="192"/>
      <c r="J64" s="192"/>
      <c r="K64" s="192"/>
      <c r="L64" s="192"/>
      <c r="M64" s="192"/>
      <c r="N64" s="192"/>
      <c r="O64" s="192"/>
      <c r="P64" s="192"/>
      <c r="Q64" s="192"/>
      <c r="R64" s="192"/>
      <c r="S64" s="192"/>
    </row>
    <row r="65" spans="1:19" ht="17.100000000000001" customHeight="1" x14ac:dyDescent="0.2">
      <c r="A65" s="192"/>
      <c r="B65" s="193"/>
      <c r="C65" s="192"/>
      <c r="D65" s="192"/>
      <c r="E65" s="192"/>
      <c r="F65" s="192"/>
      <c r="G65" s="192"/>
      <c r="H65" s="192"/>
      <c r="I65" s="192"/>
      <c r="J65" s="192"/>
      <c r="K65" s="192"/>
      <c r="L65" s="192"/>
      <c r="M65" s="192"/>
      <c r="N65" s="192"/>
      <c r="O65" s="192"/>
      <c r="P65" s="192"/>
      <c r="Q65" s="192"/>
      <c r="R65" s="192"/>
      <c r="S65" s="192"/>
    </row>
    <row r="66" spans="1:19" ht="17.100000000000001" customHeight="1" x14ac:dyDescent="0.2">
      <c r="A66" s="195"/>
      <c r="B66" s="194"/>
      <c r="C66" s="192"/>
      <c r="D66" s="192"/>
      <c r="E66" s="192"/>
      <c r="F66" s="192"/>
      <c r="G66" s="192"/>
      <c r="H66" s="192"/>
      <c r="I66" s="192"/>
      <c r="J66" s="192"/>
      <c r="K66" s="192"/>
      <c r="L66" s="192"/>
      <c r="M66" s="192"/>
      <c r="N66" s="192"/>
      <c r="O66" s="192"/>
      <c r="P66" s="192"/>
      <c r="Q66" s="192"/>
      <c r="R66" s="192"/>
      <c r="S66" s="192"/>
    </row>
    <row r="67" spans="1:19" ht="17.100000000000001" customHeight="1" x14ac:dyDescent="0.2">
      <c r="A67" s="192"/>
      <c r="B67" s="193"/>
      <c r="C67" s="192"/>
      <c r="D67" s="192"/>
      <c r="E67" s="192"/>
      <c r="F67" s="192"/>
      <c r="G67" s="192"/>
      <c r="H67" s="192"/>
      <c r="I67" s="192"/>
      <c r="J67" s="192"/>
      <c r="K67" s="192"/>
      <c r="L67" s="192"/>
      <c r="M67" s="192"/>
      <c r="N67" s="192"/>
      <c r="O67" s="192"/>
      <c r="P67" s="192"/>
      <c r="Q67" s="192"/>
      <c r="R67" s="192"/>
      <c r="S67" s="192"/>
    </row>
    <row r="68" spans="1:19" ht="17.100000000000001" customHeight="1" x14ac:dyDescent="0.2">
      <c r="A68" s="192"/>
      <c r="B68" s="193"/>
      <c r="C68" s="192"/>
      <c r="D68" s="192"/>
      <c r="E68" s="192"/>
      <c r="F68" s="192"/>
      <c r="G68" s="192"/>
      <c r="H68" s="192"/>
      <c r="I68" s="192"/>
      <c r="J68" s="192"/>
      <c r="K68" s="192"/>
      <c r="L68" s="192"/>
      <c r="M68" s="192"/>
      <c r="N68" s="192"/>
      <c r="O68" s="192"/>
      <c r="P68" s="192"/>
      <c r="Q68" s="192"/>
      <c r="R68" s="192"/>
      <c r="S68" s="192"/>
    </row>
    <row r="69" spans="1:19" ht="17.100000000000001" customHeight="1" x14ac:dyDescent="0.2">
      <c r="A69" s="192"/>
      <c r="B69" s="193"/>
      <c r="C69" s="192"/>
      <c r="D69" s="192"/>
      <c r="E69" s="192"/>
      <c r="F69" s="192"/>
      <c r="G69" s="192"/>
      <c r="H69" s="192"/>
      <c r="I69" s="192"/>
      <c r="J69" s="192"/>
      <c r="K69" s="192"/>
      <c r="L69" s="192"/>
      <c r="M69" s="192"/>
      <c r="N69" s="192"/>
      <c r="O69" s="192"/>
      <c r="P69" s="192"/>
      <c r="Q69" s="192"/>
      <c r="R69" s="192"/>
      <c r="S69" s="192"/>
    </row>
    <row r="70" spans="1:19" ht="17.100000000000001" customHeight="1" x14ac:dyDescent="0.2">
      <c r="A70" s="188"/>
      <c r="B70" s="189"/>
      <c r="C70" s="188"/>
      <c r="D70" s="188"/>
      <c r="E70" s="188"/>
      <c r="F70" s="188"/>
      <c r="G70" s="188"/>
      <c r="H70" s="188"/>
      <c r="I70" s="188"/>
      <c r="J70" s="188"/>
      <c r="K70" s="188"/>
      <c r="L70" s="188"/>
      <c r="M70" s="188"/>
      <c r="N70" s="188"/>
      <c r="O70" s="188"/>
      <c r="P70" s="188"/>
      <c r="Q70" s="188"/>
      <c r="R70" s="188"/>
      <c r="S70" s="188"/>
    </row>
    <row r="71" spans="1:19" ht="17.100000000000001" customHeight="1" x14ac:dyDescent="0.2">
      <c r="A71" s="188"/>
      <c r="B71" s="188"/>
      <c r="C71" s="188"/>
      <c r="D71" s="188"/>
      <c r="E71" s="188"/>
      <c r="F71" s="188"/>
      <c r="G71" s="188"/>
      <c r="H71" s="188"/>
      <c r="I71" s="188"/>
      <c r="J71" s="188"/>
      <c r="K71" s="188"/>
      <c r="L71" s="188"/>
      <c r="M71" s="188"/>
      <c r="N71" s="188"/>
      <c r="O71" s="188"/>
      <c r="P71" s="188"/>
      <c r="Q71" s="188"/>
      <c r="R71" s="188"/>
      <c r="S71" s="188"/>
    </row>
    <row r="72" spans="1:19" ht="17.100000000000001" customHeight="1" x14ac:dyDescent="0.2">
      <c r="A72" s="188"/>
      <c r="B72" s="188"/>
      <c r="C72" s="188"/>
      <c r="D72" s="188"/>
      <c r="E72" s="188"/>
      <c r="F72" s="188"/>
      <c r="G72" s="188"/>
      <c r="H72" s="188"/>
      <c r="I72" s="188"/>
      <c r="J72" s="188"/>
      <c r="K72" s="188"/>
      <c r="L72" s="188"/>
      <c r="M72" s="188"/>
      <c r="N72" s="188"/>
      <c r="O72" s="188"/>
      <c r="P72" s="188"/>
      <c r="Q72" s="188"/>
      <c r="R72" s="188"/>
      <c r="S72" s="188"/>
    </row>
    <row r="73" spans="1:19" ht="17.100000000000001" customHeight="1" x14ac:dyDescent="0.2">
      <c r="A73" s="188"/>
      <c r="B73" s="188"/>
      <c r="C73" s="188"/>
      <c r="D73" s="188"/>
      <c r="E73" s="188"/>
      <c r="F73" s="188"/>
      <c r="G73" s="188"/>
      <c r="H73" s="188"/>
      <c r="I73" s="188"/>
      <c r="J73" s="188"/>
      <c r="K73" s="188"/>
      <c r="L73" s="188"/>
      <c r="M73" s="188"/>
      <c r="N73" s="188"/>
      <c r="O73" s="188"/>
      <c r="P73" s="188"/>
      <c r="Q73" s="188"/>
      <c r="R73" s="188"/>
      <c r="S73" s="188"/>
    </row>
    <row r="74" spans="1:19" ht="17.100000000000001" customHeight="1" x14ac:dyDescent="0.2">
      <c r="A74" s="190"/>
      <c r="B74" s="191"/>
      <c r="C74" s="190"/>
      <c r="D74" s="190"/>
      <c r="E74" s="190"/>
      <c r="F74" s="190"/>
      <c r="G74" s="190"/>
      <c r="H74" s="190"/>
      <c r="I74" s="190"/>
      <c r="J74" s="190"/>
      <c r="K74" s="190"/>
      <c r="L74" s="190"/>
      <c r="M74" s="190"/>
      <c r="N74" s="190"/>
      <c r="O74" s="190"/>
      <c r="P74" s="190"/>
      <c r="Q74" s="190"/>
      <c r="R74" s="190"/>
      <c r="S74" s="190"/>
    </row>
    <row r="75" spans="1:19" ht="17.100000000000001" customHeight="1" x14ac:dyDescent="0.2">
      <c r="A75" s="190"/>
      <c r="B75" s="190"/>
      <c r="C75" s="190"/>
      <c r="D75" s="190"/>
      <c r="E75" s="190"/>
      <c r="F75" s="190"/>
      <c r="G75" s="190"/>
      <c r="H75" s="190"/>
      <c r="I75" s="190"/>
      <c r="J75" s="190"/>
      <c r="K75" s="190"/>
      <c r="L75" s="190"/>
      <c r="M75" s="190"/>
      <c r="N75" s="190"/>
      <c r="O75" s="190"/>
      <c r="P75" s="190"/>
      <c r="Q75" s="190"/>
      <c r="R75" s="190"/>
      <c r="S75" s="190"/>
    </row>
    <row r="76" spans="1:19" ht="17.100000000000001" customHeight="1" x14ac:dyDescent="0.2">
      <c r="A76" s="190"/>
      <c r="B76" s="190"/>
      <c r="C76" s="190"/>
      <c r="D76" s="190"/>
      <c r="E76" s="190"/>
      <c r="F76" s="190"/>
      <c r="G76" s="190"/>
      <c r="H76" s="190"/>
      <c r="I76" s="190"/>
      <c r="J76" s="190"/>
      <c r="K76" s="190"/>
      <c r="L76" s="190"/>
      <c r="M76" s="190"/>
      <c r="N76" s="190"/>
      <c r="O76" s="190"/>
      <c r="P76" s="190"/>
      <c r="Q76" s="190"/>
      <c r="R76" s="190"/>
      <c r="S76" s="190"/>
    </row>
    <row r="77" spans="1:19" ht="17.100000000000001" customHeight="1" x14ac:dyDescent="0.2">
      <c r="A77" s="190"/>
      <c r="B77" s="190"/>
      <c r="C77" s="190"/>
      <c r="D77" s="190"/>
      <c r="E77" s="190"/>
      <c r="F77" s="190"/>
      <c r="G77" s="190"/>
      <c r="H77" s="190"/>
      <c r="I77" s="190"/>
      <c r="J77" s="190"/>
      <c r="K77" s="190"/>
      <c r="L77" s="190"/>
      <c r="M77" s="190"/>
      <c r="N77" s="190"/>
      <c r="O77" s="190"/>
      <c r="P77" s="190"/>
      <c r="Q77" s="190"/>
      <c r="R77" s="190"/>
      <c r="S77" s="190"/>
    </row>
    <row r="78" spans="1:19" ht="17.100000000000001" customHeight="1" x14ac:dyDescent="0.2">
      <c r="A78" s="190"/>
      <c r="B78" s="191"/>
      <c r="C78" s="190"/>
      <c r="D78" s="190"/>
      <c r="E78" s="190"/>
      <c r="F78" s="190"/>
      <c r="G78" s="190"/>
      <c r="H78" s="190"/>
      <c r="I78" s="190"/>
      <c r="J78" s="190"/>
      <c r="K78" s="190"/>
      <c r="L78" s="190"/>
      <c r="M78" s="190"/>
      <c r="N78" s="190"/>
      <c r="O78" s="190"/>
      <c r="P78" s="190"/>
      <c r="Q78" s="190"/>
      <c r="R78" s="190"/>
      <c r="S78" s="190"/>
    </row>
    <row r="79" spans="1:19" ht="17.100000000000001" customHeight="1" x14ac:dyDescent="0.2">
      <c r="A79" s="190"/>
      <c r="B79" s="190"/>
      <c r="C79" s="190"/>
      <c r="D79" s="190"/>
      <c r="E79" s="190"/>
      <c r="F79" s="190"/>
      <c r="G79" s="190"/>
      <c r="H79" s="190"/>
      <c r="I79" s="190"/>
      <c r="J79" s="190"/>
      <c r="K79" s="190"/>
      <c r="L79" s="190"/>
      <c r="M79" s="190"/>
      <c r="N79" s="190"/>
      <c r="O79" s="190"/>
      <c r="P79" s="190"/>
      <c r="Q79" s="190"/>
      <c r="R79" s="190"/>
      <c r="S79" s="190"/>
    </row>
    <row r="80" spans="1:19" ht="17.100000000000001" customHeight="1" x14ac:dyDescent="0.2">
      <c r="A80" s="190"/>
      <c r="B80" s="190"/>
      <c r="C80" s="190"/>
      <c r="D80" s="190"/>
      <c r="E80" s="190"/>
      <c r="F80" s="190"/>
      <c r="G80" s="190"/>
      <c r="H80" s="190"/>
      <c r="I80" s="190"/>
      <c r="J80" s="190"/>
      <c r="K80" s="190"/>
      <c r="L80" s="190"/>
      <c r="M80" s="190"/>
      <c r="N80" s="190"/>
      <c r="O80" s="190"/>
      <c r="P80" s="190"/>
      <c r="Q80" s="190"/>
      <c r="R80" s="190"/>
      <c r="S80" s="190"/>
    </row>
    <row r="81" spans="1:19" ht="17.100000000000001" customHeight="1" x14ac:dyDescent="0.2">
      <c r="A81" s="190"/>
      <c r="B81" s="190"/>
      <c r="C81" s="190"/>
      <c r="D81" s="190"/>
      <c r="E81" s="190"/>
      <c r="F81" s="190"/>
      <c r="G81" s="190"/>
      <c r="H81" s="190"/>
      <c r="I81" s="190"/>
      <c r="J81" s="190"/>
      <c r="K81" s="190"/>
      <c r="L81" s="190"/>
      <c r="M81" s="190"/>
      <c r="N81" s="190"/>
      <c r="O81" s="190"/>
      <c r="P81" s="190"/>
      <c r="Q81" s="190"/>
      <c r="R81" s="190"/>
      <c r="S81" s="190"/>
    </row>
    <row r="82" spans="1:19" ht="17.100000000000001" customHeight="1" x14ac:dyDescent="0.2">
      <c r="A82" s="188"/>
      <c r="B82" s="189"/>
      <c r="C82" s="188"/>
      <c r="D82" s="188"/>
      <c r="E82" s="188"/>
      <c r="F82" s="188"/>
      <c r="G82" s="188"/>
      <c r="H82" s="188"/>
      <c r="I82" s="188"/>
      <c r="J82" s="188"/>
      <c r="K82" s="188"/>
      <c r="L82" s="188"/>
      <c r="M82" s="188"/>
      <c r="N82" s="188"/>
      <c r="O82" s="188"/>
      <c r="P82" s="188"/>
      <c r="Q82" s="188"/>
      <c r="R82" s="188"/>
      <c r="S82" s="188"/>
    </row>
    <row r="83" spans="1:19" ht="17.100000000000001" customHeight="1" x14ac:dyDescent="0.2">
      <c r="A83" s="188"/>
      <c r="B83" s="188"/>
      <c r="C83" s="188"/>
      <c r="D83" s="188"/>
      <c r="E83" s="188"/>
      <c r="F83" s="188"/>
      <c r="G83" s="188"/>
      <c r="H83" s="188"/>
      <c r="I83" s="188"/>
      <c r="J83" s="188"/>
      <c r="K83" s="188"/>
      <c r="L83" s="188"/>
      <c r="M83" s="188"/>
      <c r="N83" s="188"/>
      <c r="O83" s="188"/>
      <c r="P83" s="188"/>
      <c r="Q83" s="188"/>
      <c r="R83" s="188"/>
      <c r="S83" s="188"/>
    </row>
    <row r="84" spans="1:19" ht="17.100000000000001" customHeight="1" x14ac:dyDescent="0.2">
      <c r="A84" s="188"/>
      <c r="B84" s="188"/>
      <c r="C84" s="188"/>
      <c r="D84" s="188"/>
      <c r="E84" s="188"/>
      <c r="F84" s="188"/>
      <c r="G84" s="188"/>
      <c r="H84" s="188"/>
      <c r="I84" s="188"/>
      <c r="J84" s="188"/>
      <c r="K84" s="188"/>
      <c r="L84" s="188"/>
      <c r="M84" s="188"/>
      <c r="N84" s="188"/>
      <c r="O84" s="188"/>
      <c r="P84" s="188"/>
      <c r="Q84" s="188"/>
      <c r="R84" s="188"/>
      <c r="S84" s="188"/>
    </row>
    <row r="85" spans="1:19" ht="17.100000000000001" customHeight="1" x14ac:dyDescent="0.2">
      <c r="A85" s="188"/>
      <c r="B85" s="188"/>
      <c r="C85" s="188"/>
      <c r="D85" s="188"/>
      <c r="E85" s="188"/>
      <c r="F85" s="188"/>
      <c r="G85" s="188"/>
      <c r="H85" s="188"/>
      <c r="I85" s="188"/>
      <c r="J85" s="188"/>
      <c r="K85" s="188"/>
      <c r="L85" s="188"/>
      <c r="M85" s="188"/>
      <c r="N85" s="188"/>
      <c r="O85" s="188"/>
      <c r="P85" s="188"/>
      <c r="Q85" s="188"/>
      <c r="R85" s="188"/>
      <c r="S85" s="188"/>
    </row>
    <row r="87" spans="1:19" s="192" customFormat="1" ht="17.100000000000001" customHeight="1" x14ac:dyDescent="0.2">
      <c r="A87" s="199"/>
      <c r="B87" s="199"/>
      <c r="C87" s="198"/>
    </row>
    <row r="88" spans="1:19" ht="17.100000000000001" customHeight="1" x14ac:dyDescent="0.2">
      <c r="A88" s="197"/>
      <c r="B88" s="196"/>
    </row>
    <row r="89" spans="1:19" ht="17.100000000000001" customHeight="1" x14ac:dyDescent="0.2">
      <c r="A89" s="195"/>
      <c r="B89" s="194"/>
      <c r="C89" s="195"/>
    </row>
    <row r="90" spans="1:19" ht="17.100000000000001" customHeight="1" x14ac:dyDescent="0.2">
      <c r="A90" s="192"/>
      <c r="B90" s="193"/>
      <c r="C90" s="192"/>
    </row>
    <row r="91" spans="1:19" ht="17.100000000000001" customHeight="1" x14ac:dyDescent="0.2">
      <c r="A91" s="192"/>
      <c r="B91" s="193"/>
      <c r="C91" s="192"/>
    </row>
    <row r="92" spans="1:19" ht="17.100000000000001" customHeight="1" x14ac:dyDescent="0.2">
      <c r="A92" s="192"/>
      <c r="B92" s="193"/>
      <c r="C92" s="192"/>
    </row>
    <row r="93" spans="1:19" ht="17.100000000000001" customHeight="1" x14ac:dyDescent="0.2">
      <c r="A93" s="195"/>
      <c r="B93" s="194"/>
      <c r="C93" s="192"/>
    </row>
    <row r="94" spans="1:19" ht="17.100000000000001" customHeight="1" x14ac:dyDescent="0.2">
      <c r="A94" s="192"/>
      <c r="B94" s="193"/>
      <c r="C94" s="192"/>
    </row>
    <row r="95" spans="1:19" ht="17.100000000000001" customHeight="1" x14ac:dyDescent="0.2">
      <c r="A95" s="192"/>
      <c r="B95" s="193"/>
      <c r="C95" s="192"/>
    </row>
    <row r="96" spans="1:19" ht="17.100000000000001" customHeight="1" x14ac:dyDescent="0.2">
      <c r="A96" s="192"/>
      <c r="B96" s="193"/>
      <c r="C96" s="192"/>
    </row>
    <row r="97" spans="1:3" ht="17.100000000000001" customHeight="1" x14ac:dyDescent="0.2">
      <c r="A97" s="188"/>
      <c r="B97" s="189"/>
      <c r="C97" s="188"/>
    </row>
    <row r="98" spans="1:3" ht="17.100000000000001" customHeight="1" x14ac:dyDescent="0.2">
      <c r="A98" s="188"/>
      <c r="B98" s="188"/>
      <c r="C98" s="188"/>
    </row>
    <row r="99" spans="1:3" ht="17.100000000000001" customHeight="1" x14ac:dyDescent="0.2">
      <c r="A99" s="188"/>
      <c r="B99" s="188"/>
      <c r="C99" s="188"/>
    </row>
    <row r="100" spans="1:3" ht="17.100000000000001" customHeight="1" x14ac:dyDescent="0.2">
      <c r="A100" s="188"/>
      <c r="B100" s="188"/>
      <c r="C100" s="188"/>
    </row>
    <row r="101" spans="1:3" ht="17.100000000000001" customHeight="1" x14ac:dyDescent="0.2">
      <c r="A101" s="190"/>
      <c r="B101" s="191"/>
      <c r="C101" s="190"/>
    </row>
    <row r="102" spans="1:3" ht="17.100000000000001" customHeight="1" x14ac:dyDescent="0.2">
      <c r="A102" s="190"/>
      <c r="B102" s="190"/>
      <c r="C102" s="190"/>
    </row>
    <row r="103" spans="1:3" ht="17.100000000000001" customHeight="1" x14ac:dyDescent="0.2">
      <c r="A103" s="190"/>
      <c r="B103" s="190"/>
      <c r="C103" s="190"/>
    </row>
    <row r="104" spans="1:3" ht="17.100000000000001" customHeight="1" x14ac:dyDescent="0.2">
      <c r="A104" s="190"/>
      <c r="B104" s="190"/>
      <c r="C104" s="190"/>
    </row>
    <row r="105" spans="1:3" ht="17.100000000000001" customHeight="1" x14ac:dyDescent="0.2">
      <c r="A105" s="190"/>
      <c r="B105" s="191"/>
      <c r="C105" s="190"/>
    </row>
    <row r="106" spans="1:3" ht="17.100000000000001" customHeight="1" x14ac:dyDescent="0.2">
      <c r="A106" s="190"/>
      <c r="B106" s="190"/>
      <c r="C106" s="190"/>
    </row>
    <row r="107" spans="1:3" ht="17.100000000000001" customHeight="1" x14ac:dyDescent="0.2">
      <c r="A107" s="190"/>
      <c r="B107" s="190"/>
      <c r="C107" s="190"/>
    </row>
    <row r="108" spans="1:3" ht="17.100000000000001" customHeight="1" x14ac:dyDescent="0.2">
      <c r="A108" s="190"/>
      <c r="B108" s="190"/>
      <c r="C108" s="190"/>
    </row>
    <row r="109" spans="1:3" ht="17.100000000000001" customHeight="1" x14ac:dyDescent="0.2">
      <c r="A109" s="188"/>
      <c r="B109" s="189"/>
      <c r="C109" s="188"/>
    </row>
    <row r="110" spans="1:3" ht="17.100000000000001" customHeight="1" x14ac:dyDescent="0.2">
      <c r="A110" s="188"/>
      <c r="B110" s="188"/>
      <c r="C110" s="188"/>
    </row>
    <row r="111" spans="1:3" ht="17.100000000000001" customHeight="1" x14ac:dyDescent="0.2">
      <c r="A111" s="188"/>
      <c r="B111" s="188"/>
      <c r="C111" s="188"/>
    </row>
    <row r="112" spans="1:3" ht="17.100000000000001" customHeight="1" x14ac:dyDescent="0.2">
      <c r="A112" s="188"/>
      <c r="B112" s="188"/>
      <c r="C112" s="188"/>
    </row>
    <row r="114" spans="1:3" ht="17.100000000000001" customHeight="1" x14ac:dyDescent="0.2">
      <c r="A114" s="199"/>
      <c r="B114" s="199"/>
      <c r="C114" s="198"/>
    </row>
    <row r="115" spans="1:3" ht="17.100000000000001" customHeight="1" x14ac:dyDescent="0.2">
      <c r="A115" s="197"/>
      <c r="B115" s="196"/>
    </row>
    <row r="116" spans="1:3" ht="17.100000000000001" customHeight="1" x14ac:dyDescent="0.2">
      <c r="A116" s="195"/>
      <c r="B116" s="194"/>
      <c r="C116" s="195"/>
    </row>
    <row r="117" spans="1:3" ht="17.100000000000001" customHeight="1" x14ac:dyDescent="0.2">
      <c r="A117" s="192"/>
      <c r="B117" s="193"/>
      <c r="C117" s="192"/>
    </row>
    <row r="118" spans="1:3" ht="17.100000000000001" customHeight="1" x14ac:dyDescent="0.2">
      <c r="A118" s="192"/>
      <c r="B118" s="193"/>
      <c r="C118" s="192"/>
    </row>
    <row r="119" spans="1:3" ht="17.100000000000001" customHeight="1" x14ac:dyDescent="0.2">
      <c r="A119" s="192"/>
      <c r="B119" s="193"/>
      <c r="C119" s="192"/>
    </row>
    <row r="120" spans="1:3" ht="17.100000000000001" customHeight="1" x14ac:dyDescent="0.2">
      <c r="A120" s="195"/>
      <c r="B120" s="194"/>
      <c r="C120" s="192"/>
    </row>
    <row r="121" spans="1:3" ht="17.100000000000001" customHeight="1" x14ac:dyDescent="0.2">
      <c r="A121" s="192"/>
      <c r="B121" s="193"/>
      <c r="C121" s="192"/>
    </row>
    <row r="122" spans="1:3" ht="17.100000000000001" customHeight="1" x14ac:dyDescent="0.2">
      <c r="A122" s="192"/>
      <c r="B122" s="193"/>
      <c r="C122" s="192"/>
    </row>
    <row r="123" spans="1:3" ht="17.100000000000001" customHeight="1" x14ac:dyDescent="0.2">
      <c r="A123" s="192"/>
      <c r="B123" s="193"/>
      <c r="C123" s="192"/>
    </row>
    <row r="124" spans="1:3" ht="17.100000000000001" customHeight="1" x14ac:dyDescent="0.2">
      <c r="A124" s="188"/>
      <c r="B124" s="189"/>
      <c r="C124" s="188"/>
    </row>
    <row r="125" spans="1:3" ht="17.100000000000001" customHeight="1" x14ac:dyDescent="0.2">
      <c r="A125" s="188"/>
      <c r="B125" s="188"/>
      <c r="C125" s="188"/>
    </row>
    <row r="126" spans="1:3" ht="17.100000000000001" customHeight="1" x14ac:dyDescent="0.2">
      <c r="A126" s="188"/>
      <c r="B126" s="188"/>
      <c r="C126" s="188"/>
    </row>
    <row r="127" spans="1:3" ht="17.100000000000001" customHeight="1" x14ac:dyDescent="0.2">
      <c r="A127" s="188"/>
      <c r="B127" s="188"/>
      <c r="C127" s="188"/>
    </row>
    <row r="128" spans="1:3" ht="17.100000000000001" customHeight="1" x14ac:dyDescent="0.2">
      <c r="A128" s="190"/>
      <c r="B128" s="191"/>
      <c r="C128" s="190"/>
    </row>
    <row r="129" spans="1:3" ht="17.100000000000001" customHeight="1" x14ac:dyDescent="0.2">
      <c r="A129" s="190"/>
      <c r="B129" s="190"/>
      <c r="C129" s="190"/>
    </row>
    <row r="130" spans="1:3" ht="17.100000000000001" customHeight="1" x14ac:dyDescent="0.2">
      <c r="A130" s="190"/>
      <c r="B130" s="190"/>
      <c r="C130" s="190"/>
    </row>
    <row r="131" spans="1:3" ht="17.100000000000001" customHeight="1" x14ac:dyDescent="0.2">
      <c r="A131" s="190"/>
      <c r="B131" s="190"/>
      <c r="C131" s="190"/>
    </row>
    <row r="132" spans="1:3" ht="17.100000000000001" customHeight="1" x14ac:dyDescent="0.2">
      <c r="A132" s="190"/>
      <c r="B132" s="191"/>
      <c r="C132" s="190"/>
    </row>
    <row r="133" spans="1:3" ht="17.100000000000001" customHeight="1" x14ac:dyDescent="0.2">
      <c r="A133" s="190"/>
      <c r="B133" s="190"/>
      <c r="C133" s="190"/>
    </row>
    <row r="134" spans="1:3" ht="17.100000000000001" customHeight="1" x14ac:dyDescent="0.2">
      <c r="A134" s="190"/>
      <c r="B134" s="190"/>
      <c r="C134" s="190"/>
    </row>
    <row r="135" spans="1:3" ht="17.100000000000001" customHeight="1" x14ac:dyDescent="0.2">
      <c r="A135" s="190"/>
      <c r="B135" s="190"/>
      <c r="C135" s="190"/>
    </row>
    <row r="136" spans="1:3" ht="17.100000000000001" customHeight="1" x14ac:dyDescent="0.2">
      <c r="A136" s="188"/>
      <c r="B136" s="189"/>
      <c r="C136" s="188"/>
    </row>
    <row r="137" spans="1:3" ht="17.100000000000001" customHeight="1" x14ac:dyDescent="0.2">
      <c r="A137" s="188"/>
      <c r="B137" s="188"/>
      <c r="C137" s="188"/>
    </row>
    <row r="138" spans="1:3" ht="17.100000000000001" customHeight="1" x14ac:dyDescent="0.2">
      <c r="A138" s="188"/>
      <c r="B138" s="188"/>
      <c r="C138" s="188"/>
    </row>
    <row r="139" spans="1:3" ht="17.100000000000001" customHeight="1" x14ac:dyDescent="0.2">
      <c r="A139" s="188"/>
      <c r="B139" s="188"/>
      <c r="C139" s="188"/>
    </row>
    <row r="141" spans="1:3" ht="17.100000000000001" customHeight="1" x14ac:dyDescent="0.2">
      <c r="A141" s="199"/>
      <c r="B141" s="199"/>
      <c r="C141" s="198"/>
    </row>
    <row r="142" spans="1:3" ht="17.100000000000001" customHeight="1" x14ac:dyDescent="0.2">
      <c r="A142" s="197"/>
      <c r="B142" s="196"/>
    </row>
    <row r="143" spans="1:3" ht="17.100000000000001" customHeight="1" x14ac:dyDescent="0.2">
      <c r="A143" s="195"/>
      <c r="B143" s="194"/>
      <c r="C143" s="195"/>
    </row>
    <row r="144" spans="1:3" ht="17.100000000000001" customHeight="1" x14ac:dyDescent="0.2">
      <c r="A144" s="192"/>
      <c r="B144" s="193"/>
      <c r="C144" s="192"/>
    </row>
    <row r="145" spans="1:3" ht="17.100000000000001" customHeight="1" x14ac:dyDescent="0.2">
      <c r="A145" s="192"/>
      <c r="B145" s="193"/>
      <c r="C145" s="192"/>
    </row>
    <row r="146" spans="1:3" ht="17.100000000000001" customHeight="1" x14ac:dyDescent="0.2">
      <c r="A146" s="192"/>
      <c r="B146" s="193"/>
      <c r="C146" s="192"/>
    </row>
    <row r="147" spans="1:3" ht="17.100000000000001" customHeight="1" x14ac:dyDescent="0.2">
      <c r="A147" s="195"/>
      <c r="B147" s="194"/>
      <c r="C147" s="192"/>
    </row>
    <row r="148" spans="1:3" ht="17.100000000000001" customHeight="1" x14ac:dyDescent="0.2">
      <c r="A148" s="192"/>
      <c r="B148" s="193"/>
      <c r="C148" s="192"/>
    </row>
    <row r="149" spans="1:3" ht="17.100000000000001" customHeight="1" x14ac:dyDescent="0.2">
      <c r="A149" s="192"/>
      <c r="B149" s="193"/>
      <c r="C149" s="192"/>
    </row>
    <row r="150" spans="1:3" ht="17.100000000000001" customHeight="1" x14ac:dyDescent="0.2">
      <c r="A150" s="192"/>
      <c r="B150" s="193"/>
      <c r="C150" s="192"/>
    </row>
    <row r="151" spans="1:3" ht="17.100000000000001" customHeight="1" x14ac:dyDescent="0.2">
      <c r="A151" s="188"/>
      <c r="B151" s="189"/>
      <c r="C151" s="188"/>
    </row>
    <row r="152" spans="1:3" ht="17.100000000000001" customHeight="1" x14ac:dyDescent="0.2">
      <c r="A152" s="188"/>
      <c r="B152" s="188"/>
      <c r="C152" s="188"/>
    </row>
    <row r="153" spans="1:3" ht="17.100000000000001" customHeight="1" x14ac:dyDescent="0.2">
      <c r="A153" s="188"/>
      <c r="B153" s="188"/>
      <c r="C153" s="188"/>
    </row>
    <row r="154" spans="1:3" ht="17.100000000000001" customHeight="1" x14ac:dyDescent="0.2">
      <c r="A154" s="188"/>
      <c r="B154" s="188"/>
      <c r="C154" s="188"/>
    </row>
    <row r="155" spans="1:3" ht="17.100000000000001" customHeight="1" x14ac:dyDescent="0.2">
      <c r="A155" s="190"/>
      <c r="B155" s="191"/>
      <c r="C155" s="190"/>
    </row>
    <row r="156" spans="1:3" ht="17.100000000000001" customHeight="1" x14ac:dyDescent="0.2">
      <c r="A156" s="190"/>
      <c r="B156" s="190"/>
      <c r="C156" s="190"/>
    </row>
    <row r="157" spans="1:3" ht="17.100000000000001" customHeight="1" x14ac:dyDescent="0.2">
      <c r="A157" s="190"/>
      <c r="B157" s="190"/>
      <c r="C157" s="190"/>
    </row>
    <row r="158" spans="1:3" ht="17.100000000000001" customHeight="1" x14ac:dyDescent="0.2">
      <c r="A158" s="190"/>
      <c r="B158" s="190"/>
      <c r="C158" s="190"/>
    </row>
    <row r="159" spans="1:3" ht="17.100000000000001" customHeight="1" x14ac:dyDescent="0.2">
      <c r="A159" s="190"/>
      <c r="B159" s="191"/>
      <c r="C159" s="190"/>
    </row>
    <row r="160" spans="1:3" ht="17.100000000000001" customHeight="1" x14ac:dyDescent="0.2">
      <c r="A160" s="190"/>
      <c r="B160" s="190"/>
      <c r="C160" s="190"/>
    </row>
    <row r="161" spans="1:3" ht="17.100000000000001" customHeight="1" x14ac:dyDescent="0.2">
      <c r="A161" s="190"/>
      <c r="B161" s="190"/>
      <c r="C161" s="190"/>
    </row>
    <row r="162" spans="1:3" ht="17.100000000000001" customHeight="1" x14ac:dyDescent="0.2">
      <c r="A162" s="190"/>
      <c r="B162" s="190"/>
      <c r="C162" s="190"/>
    </row>
    <row r="163" spans="1:3" ht="17.100000000000001" customHeight="1" x14ac:dyDescent="0.2">
      <c r="A163" s="188"/>
      <c r="B163" s="189"/>
      <c r="C163" s="188"/>
    </row>
    <row r="164" spans="1:3" ht="17.100000000000001" customHeight="1" x14ac:dyDescent="0.2">
      <c r="A164" s="188"/>
      <c r="B164" s="188"/>
      <c r="C164" s="188"/>
    </row>
    <row r="165" spans="1:3" ht="17.100000000000001" customHeight="1" x14ac:dyDescent="0.2">
      <c r="A165" s="188"/>
      <c r="B165" s="188"/>
      <c r="C165" s="188"/>
    </row>
    <row r="166" spans="1:3" ht="17.100000000000001" customHeight="1" x14ac:dyDescent="0.2">
      <c r="A166" s="188"/>
      <c r="B166" s="188"/>
      <c r="C166" s="188"/>
    </row>
  </sheetData>
  <mergeCells count="17">
    <mergeCell ref="BF2:BI2"/>
    <mergeCell ref="AP26:AS26"/>
    <mergeCell ref="AT26:AW26"/>
    <mergeCell ref="AX26:BA26"/>
    <mergeCell ref="BB26:BE26"/>
    <mergeCell ref="BF26:BI26"/>
    <mergeCell ref="AL2:AO2"/>
    <mergeCell ref="AP2:AS2"/>
    <mergeCell ref="AT2:AW2"/>
    <mergeCell ref="AX2:BA2"/>
    <mergeCell ref="BB2:BE2"/>
    <mergeCell ref="BJ26:BM26"/>
    <mergeCell ref="BN2:BQ2"/>
    <mergeCell ref="BN26:BQ26"/>
    <mergeCell ref="BJ2:BM2"/>
    <mergeCell ref="BR2:BU2"/>
    <mergeCell ref="BR26:BU26"/>
  </mergeCells>
  <phoneticPr fontId="31" type="noConversion"/>
  <printOptions horizontalCentered="1" gridLines="1" gridLinesSet="0"/>
  <pageMargins left="0" right="0" top="0.78740157480314965" bottom="0.59055118110236227" header="0.51181102362204722" footer="0.31496062992125984"/>
  <pageSetup paperSize="9" scale="52" orientation="landscape" blackAndWhite="1" r:id="rId1"/>
  <headerFooter alignWithMargins="0">
    <oddHeader>&amp;L&amp;F&amp;C&amp;A&amp;R&amp;D</oddHeader>
    <oddFooter>Page &amp;P of &amp;N</oddFooter>
  </headerFooter>
  <rowBreaks count="1" manualBreakCount="1">
    <brk id="25" max="16383" man="1"/>
  </rowBreaks>
  <colBreaks count="1" manualBreakCount="1">
    <brk id="48" max="49"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autoPageBreaks="0"/>
  </sheetPr>
  <dimension ref="A1:IV166"/>
  <sheetViews>
    <sheetView tabSelected="1" view="pageBreakPreview" zoomScale="96" zoomScaleNormal="100" zoomScaleSheetLayoutView="96" workbookViewId="0">
      <pane xSplit="3" ySplit="2" topLeftCell="BI22" activePane="bottomRight" state="frozen"/>
      <selection activeCell="C1" sqref="C1:AK1048576"/>
      <selection pane="topRight" activeCell="C1" sqref="C1:AK1048576"/>
      <selection pane="bottomLeft" activeCell="C1" sqref="C1:AK1048576"/>
      <selection pane="bottomRight" activeCell="C1" sqref="C1:AK1048576"/>
    </sheetView>
  </sheetViews>
  <sheetFormatPr defaultRowHeight="17.100000000000001" customHeight="1" x14ac:dyDescent="0.25"/>
  <cols>
    <col min="1" max="1" width="6.28515625" style="225" customWidth="1"/>
    <col min="2" max="2" width="41.28515625" style="225" customWidth="1"/>
    <col min="3" max="3" width="7.140625" style="225" hidden="1" customWidth="1"/>
    <col min="4" max="17" width="9.28515625" style="225" hidden="1" customWidth="1"/>
    <col min="18" max="25" width="9.7109375" style="225" hidden="1" customWidth="1"/>
    <col min="26" max="26" width="9.85546875" style="225" hidden="1" customWidth="1"/>
    <col min="27" max="28" width="9.7109375" style="225" hidden="1" customWidth="1"/>
    <col min="29" max="29" width="10.42578125" style="225" hidden="1" customWidth="1"/>
    <col min="30" max="31" width="9.7109375" style="225" hidden="1" customWidth="1"/>
    <col min="32" max="37" width="9.7109375" hidden="1" customWidth="1"/>
    <col min="38" max="43" width="9.7109375" customWidth="1"/>
    <col min="44" max="48" width="9.7109375" style="225" customWidth="1"/>
    <col min="49" max="49" width="10.42578125" style="225" customWidth="1"/>
    <col min="50" max="50" width="9.7109375" style="225" bestFit="1" customWidth="1"/>
    <col min="51" max="51" width="8.42578125" style="225" customWidth="1"/>
    <col min="52" max="55" width="9.7109375" style="225" bestFit="1" customWidth="1"/>
    <col min="56" max="56" width="10.42578125" style="225" bestFit="1" customWidth="1"/>
    <col min="57" max="60" width="9.7109375" style="225" bestFit="1" customWidth="1"/>
    <col min="61" max="61" width="9.140625" style="225"/>
    <col min="62" max="62" width="10.7109375" style="225" bestFit="1" customWidth="1"/>
    <col min="63" max="65" width="9.7109375" style="225" bestFit="1" customWidth="1"/>
    <col min="66" max="256" width="9.140625" style="225"/>
    <col min="257" max="257" width="6.28515625" customWidth="1"/>
    <col min="258" max="258" width="41.28515625" customWidth="1"/>
    <col min="259" max="259" width="7.140625" customWidth="1"/>
    <col min="260" max="273" width="9.28515625" customWidth="1"/>
    <col min="274" max="281" width="9.7109375" customWidth="1"/>
    <col min="282" max="282" width="9.85546875" customWidth="1"/>
    <col min="283" max="284" width="9.7109375" customWidth="1"/>
    <col min="285" max="285" width="10.42578125" customWidth="1"/>
    <col min="286" max="304" width="9.7109375" customWidth="1"/>
    <col min="305" max="305" width="10.42578125" customWidth="1"/>
    <col min="306" max="306" width="9.7109375" bestFit="1" customWidth="1"/>
    <col min="307" max="307" width="8.42578125" customWidth="1"/>
    <col min="308" max="311" width="9.7109375" bestFit="1" customWidth="1"/>
    <col min="312" max="312" width="10.42578125" bestFit="1" customWidth="1"/>
    <col min="313" max="316" width="9.7109375" bestFit="1" customWidth="1"/>
    <col min="318" max="318" width="10.7109375" bestFit="1" customWidth="1"/>
    <col min="319" max="321" width="9.7109375" bestFit="1" customWidth="1"/>
    <col min="513" max="513" width="6.28515625" customWidth="1"/>
    <col min="514" max="514" width="41.28515625" customWidth="1"/>
    <col min="515" max="515" width="7.140625" customWidth="1"/>
    <col min="516" max="529" width="9.28515625" customWidth="1"/>
    <col min="530" max="537" width="9.7109375" customWidth="1"/>
    <col min="538" max="538" width="9.85546875" customWidth="1"/>
    <col min="539" max="540" width="9.7109375" customWidth="1"/>
    <col min="541" max="541" width="10.42578125" customWidth="1"/>
    <col min="542" max="560" width="9.7109375" customWidth="1"/>
    <col min="561" max="561" width="10.42578125" customWidth="1"/>
    <col min="562" max="562" width="9.7109375" bestFit="1" customWidth="1"/>
    <col min="563" max="563" width="8.42578125" customWidth="1"/>
    <col min="564" max="567" width="9.7109375" bestFit="1" customWidth="1"/>
    <col min="568" max="568" width="10.42578125" bestFit="1" customWidth="1"/>
    <col min="569" max="572" width="9.7109375" bestFit="1" customWidth="1"/>
    <col min="574" max="574" width="10.7109375" bestFit="1" customWidth="1"/>
    <col min="575" max="577" width="9.7109375" bestFit="1" customWidth="1"/>
    <col min="769" max="769" width="6.28515625" customWidth="1"/>
    <col min="770" max="770" width="41.28515625" customWidth="1"/>
    <col min="771" max="771" width="7.140625" customWidth="1"/>
    <col min="772" max="785" width="9.28515625" customWidth="1"/>
    <col min="786" max="793" width="9.7109375" customWidth="1"/>
    <col min="794" max="794" width="9.85546875" customWidth="1"/>
    <col min="795" max="796" width="9.7109375" customWidth="1"/>
    <col min="797" max="797" width="10.42578125" customWidth="1"/>
    <col min="798" max="816" width="9.7109375" customWidth="1"/>
    <col min="817" max="817" width="10.42578125" customWidth="1"/>
    <col min="818" max="818" width="9.7109375" bestFit="1" customWidth="1"/>
    <col min="819" max="819" width="8.42578125" customWidth="1"/>
    <col min="820" max="823" width="9.7109375" bestFit="1" customWidth="1"/>
    <col min="824" max="824" width="10.42578125" bestFit="1" customWidth="1"/>
    <col min="825" max="828" width="9.7109375" bestFit="1" customWidth="1"/>
    <col min="830" max="830" width="10.7109375" bestFit="1" customWidth="1"/>
    <col min="831" max="833" width="9.7109375" bestFit="1" customWidth="1"/>
    <col min="1025" max="1025" width="6.28515625" customWidth="1"/>
    <col min="1026" max="1026" width="41.28515625" customWidth="1"/>
    <col min="1027" max="1027" width="7.140625" customWidth="1"/>
    <col min="1028" max="1041" width="9.28515625" customWidth="1"/>
    <col min="1042" max="1049" width="9.7109375" customWidth="1"/>
    <col min="1050" max="1050" width="9.85546875" customWidth="1"/>
    <col min="1051" max="1052" width="9.7109375" customWidth="1"/>
    <col min="1053" max="1053" width="10.42578125" customWidth="1"/>
    <col min="1054" max="1072" width="9.7109375" customWidth="1"/>
    <col min="1073" max="1073" width="10.42578125" customWidth="1"/>
    <col min="1074" max="1074" width="9.7109375" bestFit="1" customWidth="1"/>
    <col min="1075" max="1075" width="8.42578125" customWidth="1"/>
    <col min="1076" max="1079" width="9.7109375" bestFit="1" customWidth="1"/>
    <col min="1080" max="1080" width="10.42578125" bestFit="1" customWidth="1"/>
    <col min="1081" max="1084" width="9.7109375" bestFit="1" customWidth="1"/>
    <col min="1086" max="1086" width="10.7109375" bestFit="1" customWidth="1"/>
    <col min="1087" max="1089" width="9.7109375" bestFit="1" customWidth="1"/>
    <col min="1281" max="1281" width="6.28515625" customWidth="1"/>
    <col min="1282" max="1282" width="41.28515625" customWidth="1"/>
    <col min="1283" max="1283" width="7.140625" customWidth="1"/>
    <col min="1284" max="1297" width="9.28515625" customWidth="1"/>
    <col min="1298" max="1305" width="9.7109375" customWidth="1"/>
    <col min="1306" max="1306" width="9.85546875" customWidth="1"/>
    <col min="1307" max="1308" width="9.7109375" customWidth="1"/>
    <col min="1309" max="1309" width="10.42578125" customWidth="1"/>
    <col min="1310" max="1328" width="9.7109375" customWidth="1"/>
    <col min="1329" max="1329" width="10.42578125" customWidth="1"/>
    <col min="1330" max="1330" width="9.7109375" bestFit="1" customWidth="1"/>
    <col min="1331" max="1331" width="8.42578125" customWidth="1"/>
    <col min="1332" max="1335" width="9.7109375" bestFit="1" customWidth="1"/>
    <col min="1336" max="1336" width="10.42578125" bestFit="1" customWidth="1"/>
    <col min="1337" max="1340" width="9.7109375" bestFit="1" customWidth="1"/>
    <col min="1342" max="1342" width="10.7109375" bestFit="1" customWidth="1"/>
    <col min="1343" max="1345" width="9.7109375" bestFit="1" customWidth="1"/>
    <col min="1537" max="1537" width="6.28515625" customWidth="1"/>
    <col min="1538" max="1538" width="41.28515625" customWidth="1"/>
    <col min="1539" max="1539" width="7.140625" customWidth="1"/>
    <col min="1540" max="1553" width="9.28515625" customWidth="1"/>
    <col min="1554" max="1561" width="9.7109375" customWidth="1"/>
    <col min="1562" max="1562" width="9.85546875" customWidth="1"/>
    <col min="1563" max="1564" width="9.7109375" customWidth="1"/>
    <col min="1565" max="1565" width="10.42578125" customWidth="1"/>
    <col min="1566" max="1584" width="9.7109375" customWidth="1"/>
    <col min="1585" max="1585" width="10.42578125" customWidth="1"/>
    <col min="1586" max="1586" width="9.7109375" bestFit="1" customWidth="1"/>
    <col min="1587" max="1587" width="8.42578125" customWidth="1"/>
    <col min="1588" max="1591" width="9.7109375" bestFit="1" customWidth="1"/>
    <col min="1592" max="1592" width="10.42578125" bestFit="1" customWidth="1"/>
    <col min="1593" max="1596" width="9.7109375" bestFit="1" customWidth="1"/>
    <col min="1598" max="1598" width="10.7109375" bestFit="1" customWidth="1"/>
    <col min="1599" max="1601" width="9.7109375" bestFit="1" customWidth="1"/>
    <col min="1793" max="1793" width="6.28515625" customWidth="1"/>
    <col min="1794" max="1794" width="41.28515625" customWidth="1"/>
    <col min="1795" max="1795" width="7.140625" customWidth="1"/>
    <col min="1796" max="1809" width="9.28515625" customWidth="1"/>
    <col min="1810" max="1817" width="9.7109375" customWidth="1"/>
    <col min="1818" max="1818" width="9.85546875" customWidth="1"/>
    <col min="1819" max="1820" width="9.7109375" customWidth="1"/>
    <col min="1821" max="1821" width="10.42578125" customWidth="1"/>
    <col min="1822" max="1840" width="9.7109375" customWidth="1"/>
    <col min="1841" max="1841" width="10.42578125" customWidth="1"/>
    <col min="1842" max="1842" width="9.7109375" bestFit="1" customWidth="1"/>
    <col min="1843" max="1843" width="8.42578125" customWidth="1"/>
    <col min="1844" max="1847" width="9.7109375" bestFit="1" customWidth="1"/>
    <col min="1848" max="1848" width="10.42578125" bestFit="1" customWidth="1"/>
    <col min="1849" max="1852" width="9.7109375" bestFit="1" customWidth="1"/>
    <col min="1854" max="1854" width="10.7109375" bestFit="1" customWidth="1"/>
    <col min="1855" max="1857" width="9.7109375" bestFit="1" customWidth="1"/>
    <col min="2049" max="2049" width="6.28515625" customWidth="1"/>
    <col min="2050" max="2050" width="41.28515625" customWidth="1"/>
    <col min="2051" max="2051" width="7.140625" customWidth="1"/>
    <col min="2052" max="2065" width="9.28515625" customWidth="1"/>
    <col min="2066" max="2073" width="9.7109375" customWidth="1"/>
    <col min="2074" max="2074" width="9.85546875" customWidth="1"/>
    <col min="2075" max="2076" width="9.7109375" customWidth="1"/>
    <col min="2077" max="2077" width="10.42578125" customWidth="1"/>
    <col min="2078" max="2096" width="9.7109375" customWidth="1"/>
    <col min="2097" max="2097" width="10.42578125" customWidth="1"/>
    <col min="2098" max="2098" width="9.7109375" bestFit="1" customWidth="1"/>
    <col min="2099" max="2099" width="8.42578125" customWidth="1"/>
    <col min="2100" max="2103" width="9.7109375" bestFit="1" customWidth="1"/>
    <col min="2104" max="2104" width="10.42578125" bestFit="1" customWidth="1"/>
    <col min="2105" max="2108" width="9.7109375" bestFit="1" customWidth="1"/>
    <col min="2110" max="2110" width="10.7109375" bestFit="1" customWidth="1"/>
    <col min="2111" max="2113" width="9.7109375" bestFit="1" customWidth="1"/>
    <col min="2305" max="2305" width="6.28515625" customWidth="1"/>
    <col min="2306" max="2306" width="41.28515625" customWidth="1"/>
    <col min="2307" max="2307" width="7.140625" customWidth="1"/>
    <col min="2308" max="2321" width="9.28515625" customWidth="1"/>
    <col min="2322" max="2329" width="9.7109375" customWidth="1"/>
    <col min="2330" max="2330" width="9.85546875" customWidth="1"/>
    <col min="2331" max="2332" width="9.7109375" customWidth="1"/>
    <col min="2333" max="2333" width="10.42578125" customWidth="1"/>
    <col min="2334" max="2352" width="9.7109375" customWidth="1"/>
    <col min="2353" max="2353" width="10.42578125" customWidth="1"/>
    <col min="2354" max="2354" width="9.7109375" bestFit="1" customWidth="1"/>
    <col min="2355" max="2355" width="8.42578125" customWidth="1"/>
    <col min="2356" max="2359" width="9.7109375" bestFit="1" customWidth="1"/>
    <col min="2360" max="2360" width="10.42578125" bestFit="1" customWidth="1"/>
    <col min="2361" max="2364" width="9.7109375" bestFit="1" customWidth="1"/>
    <col min="2366" max="2366" width="10.7109375" bestFit="1" customWidth="1"/>
    <col min="2367" max="2369" width="9.7109375" bestFit="1" customWidth="1"/>
    <col min="2561" max="2561" width="6.28515625" customWidth="1"/>
    <col min="2562" max="2562" width="41.28515625" customWidth="1"/>
    <col min="2563" max="2563" width="7.140625" customWidth="1"/>
    <col min="2564" max="2577" width="9.28515625" customWidth="1"/>
    <col min="2578" max="2585" width="9.7109375" customWidth="1"/>
    <col min="2586" max="2586" width="9.85546875" customWidth="1"/>
    <col min="2587" max="2588" width="9.7109375" customWidth="1"/>
    <col min="2589" max="2589" width="10.42578125" customWidth="1"/>
    <col min="2590" max="2608" width="9.7109375" customWidth="1"/>
    <col min="2609" max="2609" width="10.42578125" customWidth="1"/>
    <col min="2610" max="2610" width="9.7109375" bestFit="1" customWidth="1"/>
    <col min="2611" max="2611" width="8.42578125" customWidth="1"/>
    <col min="2612" max="2615" width="9.7109375" bestFit="1" customWidth="1"/>
    <col min="2616" max="2616" width="10.42578125" bestFit="1" customWidth="1"/>
    <col min="2617" max="2620" width="9.7109375" bestFit="1" customWidth="1"/>
    <col min="2622" max="2622" width="10.7109375" bestFit="1" customWidth="1"/>
    <col min="2623" max="2625" width="9.7109375" bestFit="1" customWidth="1"/>
    <col min="2817" max="2817" width="6.28515625" customWidth="1"/>
    <col min="2818" max="2818" width="41.28515625" customWidth="1"/>
    <col min="2819" max="2819" width="7.140625" customWidth="1"/>
    <col min="2820" max="2833" width="9.28515625" customWidth="1"/>
    <col min="2834" max="2841" width="9.7109375" customWidth="1"/>
    <col min="2842" max="2842" width="9.85546875" customWidth="1"/>
    <col min="2843" max="2844" width="9.7109375" customWidth="1"/>
    <col min="2845" max="2845" width="10.42578125" customWidth="1"/>
    <col min="2846" max="2864" width="9.7109375" customWidth="1"/>
    <col min="2865" max="2865" width="10.42578125" customWidth="1"/>
    <col min="2866" max="2866" width="9.7109375" bestFit="1" customWidth="1"/>
    <col min="2867" max="2867" width="8.42578125" customWidth="1"/>
    <col min="2868" max="2871" width="9.7109375" bestFit="1" customWidth="1"/>
    <col min="2872" max="2872" width="10.42578125" bestFit="1" customWidth="1"/>
    <col min="2873" max="2876" width="9.7109375" bestFit="1" customWidth="1"/>
    <col min="2878" max="2878" width="10.7109375" bestFit="1" customWidth="1"/>
    <col min="2879" max="2881" width="9.7109375" bestFit="1" customWidth="1"/>
    <col min="3073" max="3073" width="6.28515625" customWidth="1"/>
    <col min="3074" max="3074" width="41.28515625" customWidth="1"/>
    <col min="3075" max="3075" width="7.140625" customWidth="1"/>
    <col min="3076" max="3089" width="9.28515625" customWidth="1"/>
    <col min="3090" max="3097" width="9.7109375" customWidth="1"/>
    <col min="3098" max="3098" width="9.85546875" customWidth="1"/>
    <col min="3099" max="3100" width="9.7109375" customWidth="1"/>
    <col min="3101" max="3101" width="10.42578125" customWidth="1"/>
    <col min="3102" max="3120" width="9.7109375" customWidth="1"/>
    <col min="3121" max="3121" width="10.42578125" customWidth="1"/>
    <col min="3122" max="3122" width="9.7109375" bestFit="1" customWidth="1"/>
    <col min="3123" max="3123" width="8.42578125" customWidth="1"/>
    <col min="3124" max="3127" width="9.7109375" bestFit="1" customWidth="1"/>
    <col min="3128" max="3128" width="10.42578125" bestFit="1" customWidth="1"/>
    <col min="3129" max="3132" width="9.7109375" bestFit="1" customWidth="1"/>
    <col min="3134" max="3134" width="10.7109375" bestFit="1" customWidth="1"/>
    <col min="3135" max="3137" width="9.7109375" bestFit="1" customWidth="1"/>
    <col min="3329" max="3329" width="6.28515625" customWidth="1"/>
    <col min="3330" max="3330" width="41.28515625" customWidth="1"/>
    <col min="3331" max="3331" width="7.140625" customWidth="1"/>
    <col min="3332" max="3345" width="9.28515625" customWidth="1"/>
    <col min="3346" max="3353" width="9.7109375" customWidth="1"/>
    <col min="3354" max="3354" width="9.85546875" customWidth="1"/>
    <col min="3355" max="3356" width="9.7109375" customWidth="1"/>
    <col min="3357" max="3357" width="10.42578125" customWidth="1"/>
    <col min="3358" max="3376" width="9.7109375" customWidth="1"/>
    <col min="3377" max="3377" width="10.42578125" customWidth="1"/>
    <col min="3378" max="3378" width="9.7109375" bestFit="1" customWidth="1"/>
    <col min="3379" max="3379" width="8.42578125" customWidth="1"/>
    <col min="3380" max="3383" width="9.7109375" bestFit="1" customWidth="1"/>
    <col min="3384" max="3384" width="10.42578125" bestFit="1" customWidth="1"/>
    <col min="3385" max="3388" width="9.7109375" bestFit="1" customWidth="1"/>
    <col min="3390" max="3390" width="10.7109375" bestFit="1" customWidth="1"/>
    <col min="3391" max="3393" width="9.7109375" bestFit="1" customWidth="1"/>
    <col min="3585" max="3585" width="6.28515625" customWidth="1"/>
    <col min="3586" max="3586" width="41.28515625" customWidth="1"/>
    <col min="3587" max="3587" width="7.140625" customWidth="1"/>
    <col min="3588" max="3601" width="9.28515625" customWidth="1"/>
    <col min="3602" max="3609" width="9.7109375" customWidth="1"/>
    <col min="3610" max="3610" width="9.85546875" customWidth="1"/>
    <col min="3611" max="3612" width="9.7109375" customWidth="1"/>
    <col min="3613" max="3613" width="10.42578125" customWidth="1"/>
    <col min="3614" max="3632" width="9.7109375" customWidth="1"/>
    <col min="3633" max="3633" width="10.42578125" customWidth="1"/>
    <col min="3634" max="3634" width="9.7109375" bestFit="1" customWidth="1"/>
    <col min="3635" max="3635" width="8.42578125" customWidth="1"/>
    <col min="3636" max="3639" width="9.7109375" bestFit="1" customWidth="1"/>
    <col min="3640" max="3640" width="10.42578125" bestFit="1" customWidth="1"/>
    <col min="3641" max="3644" width="9.7109375" bestFit="1" customWidth="1"/>
    <col min="3646" max="3646" width="10.7109375" bestFit="1" customWidth="1"/>
    <col min="3647" max="3649" width="9.7109375" bestFit="1" customWidth="1"/>
    <col min="3841" max="3841" width="6.28515625" customWidth="1"/>
    <col min="3842" max="3842" width="41.28515625" customWidth="1"/>
    <col min="3843" max="3843" width="7.140625" customWidth="1"/>
    <col min="3844" max="3857" width="9.28515625" customWidth="1"/>
    <col min="3858" max="3865" width="9.7109375" customWidth="1"/>
    <col min="3866" max="3866" width="9.85546875" customWidth="1"/>
    <col min="3867" max="3868" width="9.7109375" customWidth="1"/>
    <col min="3869" max="3869" width="10.42578125" customWidth="1"/>
    <col min="3870" max="3888" width="9.7109375" customWidth="1"/>
    <col min="3889" max="3889" width="10.42578125" customWidth="1"/>
    <col min="3890" max="3890" width="9.7109375" bestFit="1" customWidth="1"/>
    <col min="3891" max="3891" width="8.42578125" customWidth="1"/>
    <col min="3892" max="3895" width="9.7109375" bestFit="1" customWidth="1"/>
    <col min="3896" max="3896" width="10.42578125" bestFit="1" customWidth="1"/>
    <col min="3897" max="3900" width="9.7109375" bestFit="1" customWidth="1"/>
    <col min="3902" max="3902" width="10.7109375" bestFit="1" customWidth="1"/>
    <col min="3903" max="3905" width="9.7109375" bestFit="1" customWidth="1"/>
    <col min="4097" max="4097" width="6.28515625" customWidth="1"/>
    <col min="4098" max="4098" width="41.28515625" customWidth="1"/>
    <col min="4099" max="4099" width="7.140625" customWidth="1"/>
    <col min="4100" max="4113" width="9.28515625" customWidth="1"/>
    <col min="4114" max="4121" width="9.7109375" customWidth="1"/>
    <col min="4122" max="4122" width="9.85546875" customWidth="1"/>
    <col min="4123" max="4124" width="9.7109375" customWidth="1"/>
    <col min="4125" max="4125" width="10.42578125" customWidth="1"/>
    <col min="4126" max="4144" width="9.7109375" customWidth="1"/>
    <col min="4145" max="4145" width="10.42578125" customWidth="1"/>
    <col min="4146" max="4146" width="9.7109375" bestFit="1" customWidth="1"/>
    <col min="4147" max="4147" width="8.42578125" customWidth="1"/>
    <col min="4148" max="4151" width="9.7109375" bestFit="1" customWidth="1"/>
    <col min="4152" max="4152" width="10.42578125" bestFit="1" customWidth="1"/>
    <col min="4153" max="4156" width="9.7109375" bestFit="1" customWidth="1"/>
    <col min="4158" max="4158" width="10.7109375" bestFit="1" customWidth="1"/>
    <col min="4159" max="4161" width="9.7109375" bestFit="1" customWidth="1"/>
    <col min="4353" max="4353" width="6.28515625" customWidth="1"/>
    <col min="4354" max="4354" width="41.28515625" customWidth="1"/>
    <col min="4355" max="4355" width="7.140625" customWidth="1"/>
    <col min="4356" max="4369" width="9.28515625" customWidth="1"/>
    <col min="4370" max="4377" width="9.7109375" customWidth="1"/>
    <col min="4378" max="4378" width="9.85546875" customWidth="1"/>
    <col min="4379" max="4380" width="9.7109375" customWidth="1"/>
    <col min="4381" max="4381" width="10.42578125" customWidth="1"/>
    <col min="4382" max="4400" width="9.7109375" customWidth="1"/>
    <col min="4401" max="4401" width="10.42578125" customWidth="1"/>
    <col min="4402" max="4402" width="9.7109375" bestFit="1" customWidth="1"/>
    <col min="4403" max="4403" width="8.42578125" customWidth="1"/>
    <col min="4404" max="4407" width="9.7109375" bestFit="1" customWidth="1"/>
    <col min="4408" max="4408" width="10.42578125" bestFit="1" customWidth="1"/>
    <col min="4409" max="4412" width="9.7109375" bestFit="1" customWidth="1"/>
    <col min="4414" max="4414" width="10.7109375" bestFit="1" customWidth="1"/>
    <col min="4415" max="4417" width="9.7109375" bestFit="1" customWidth="1"/>
    <col min="4609" max="4609" width="6.28515625" customWidth="1"/>
    <col min="4610" max="4610" width="41.28515625" customWidth="1"/>
    <col min="4611" max="4611" width="7.140625" customWidth="1"/>
    <col min="4612" max="4625" width="9.28515625" customWidth="1"/>
    <col min="4626" max="4633" width="9.7109375" customWidth="1"/>
    <col min="4634" max="4634" width="9.85546875" customWidth="1"/>
    <col min="4635" max="4636" width="9.7109375" customWidth="1"/>
    <col min="4637" max="4637" width="10.42578125" customWidth="1"/>
    <col min="4638" max="4656" width="9.7109375" customWidth="1"/>
    <col min="4657" max="4657" width="10.42578125" customWidth="1"/>
    <col min="4658" max="4658" width="9.7109375" bestFit="1" customWidth="1"/>
    <col min="4659" max="4659" width="8.42578125" customWidth="1"/>
    <col min="4660" max="4663" width="9.7109375" bestFit="1" customWidth="1"/>
    <col min="4664" max="4664" width="10.42578125" bestFit="1" customWidth="1"/>
    <col min="4665" max="4668" width="9.7109375" bestFit="1" customWidth="1"/>
    <col min="4670" max="4670" width="10.7109375" bestFit="1" customWidth="1"/>
    <col min="4671" max="4673" width="9.7109375" bestFit="1" customWidth="1"/>
    <col min="4865" max="4865" width="6.28515625" customWidth="1"/>
    <col min="4866" max="4866" width="41.28515625" customWidth="1"/>
    <col min="4867" max="4867" width="7.140625" customWidth="1"/>
    <col min="4868" max="4881" width="9.28515625" customWidth="1"/>
    <col min="4882" max="4889" width="9.7109375" customWidth="1"/>
    <col min="4890" max="4890" width="9.85546875" customWidth="1"/>
    <col min="4891" max="4892" width="9.7109375" customWidth="1"/>
    <col min="4893" max="4893" width="10.42578125" customWidth="1"/>
    <col min="4894" max="4912" width="9.7109375" customWidth="1"/>
    <col min="4913" max="4913" width="10.42578125" customWidth="1"/>
    <col min="4914" max="4914" width="9.7109375" bestFit="1" customWidth="1"/>
    <col min="4915" max="4915" width="8.42578125" customWidth="1"/>
    <col min="4916" max="4919" width="9.7109375" bestFit="1" customWidth="1"/>
    <col min="4920" max="4920" width="10.42578125" bestFit="1" customWidth="1"/>
    <col min="4921" max="4924" width="9.7109375" bestFit="1" customWidth="1"/>
    <col min="4926" max="4926" width="10.7109375" bestFit="1" customWidth="1"/>
    <col min="4927" max="4929" width="9.7109375" bestFit="1" customWidth="1"/>
    <col min="5121" max="5121" width="6.28515625" customWidth="1"/>
    <col min="5122" max="5122" width="41.28515625" customWidth="1"/>
    <col min="5123" max="5123" width="7.140625" customWidth="1"/>
    <col min="5124" max="5137" width="9.28515625" customWidth="1"/>
    <col min="5138" max="5145" width="9.7109375" customWidth="1"/>
    <col min="5146" max="5146" width="9.85546875" customWidth="1"/>
    <col min="5147" max="5148" width="9.7109375" customWidth="1"/>
    <col min="5149" max="5149" width="10.42578125" customWidth="1"/>
    <col min="5150" max="5168" width="9.7109375" customWidth="1"/>
    <col min="5169" max="5169" width="10.42578125" customWidth="1"/>
    <col min="5170" max="5170" width="9.7109375" bestFit="1" customWidth="1"/>
    <col min="5171" max="5171" width="8.42578125" customWidth="1"/>
    <col min="5172" max="5175" width="9.7109375" bestFit="1" customWidth="1"/>
    <col min="5176" max="5176" width="10.42578125" bestFit="1" customWidth="1"/>
    <col min="5177" max="5180" width="9.7109375" bestFit="1" customWidth="1"/>
    <col min="5182" max="5182" width="10.7109375" bestFit="1" customWidth="1"/>
    <col min="5183" max="5185" width="9.7109375" bestFit="1" customWidth="1"/>
    <col min="5377" max="5377" width="6.28515625" customWidth="1"/>
    <col min="5378" max="5378" width="41.28515625" customWidth="1"/>
    <col min="5379" max="5379" width="7.140625" customWidth="1"/>
    <col min="5380" max="5393" width="9.28515625" customWidth="1"/>
    <col min="5394" max="5401" width="9.7109375" customWidth="1"/>
    <col min="5402" max="5402" width="9.85546875" customWidth="1"/>
    <col min="5403" max="5404" width="9.7109375" customWidth="1"/>
    <col min="5405" max="5405" width="10.42578125" customWidth="1"/>
    <col min="5406" max="5424" width="9.7109375" customWidth="1"/>
    <col min="5425" max="5425" width="10.42578125" customWidth="1"/>
    <col min="5426" max="5426" width="9.7109375" bestFit="1" customWidth="1"/>
    <col min="5427" max="5427" width="8.42578125" customWidth="1"/>
    <col min="5428" max="5431" width="9.7109375" bestFit="1" customWidth="1"/>
    <col min="5432" max="5432" width="10.42578125" bestFit="1" customWidth="1"/>
    <col min="5433" max="5436" width="9.7109375" bestFit="1" customWidth="1"/>
    <col min="5438" max="5438" width="10.7109375" bestFit="1" customWidth="1"/>
    <col min="5439" max="5441" width="9.7109375" bestFit="1" customWidth="1"/>
    <col min="5633" max="5633" width="6.28515625" customWidth="1"/>
    <col min="5634" max="5634" width="41.28515625" customWidth="1"/>
    <col min="5635" max="5635" width="7.140625" customWidth="1"/>
    <col min="5636" max="5649" width="9.28515625" customWidth="1"/>
    <col min="5650" max="5657" width="9.7109375" customWidth="1"/>
    <col min="5658" max="5658" width="9.85546875" customWidth="1"/>
    <col min="5659" max="5660" width="9.7109375" customWidth="1"/>
    <col min="5661" max="5661" width="10.42578125" customWidth="1"/>
    <col min="5662" max="5680" width="9.7109375" customWidth="1"/>
    <col min="5681" max="5681" width="10.42578125" customWidth="1"/>
    <col min="5682" max="5682" width="9.7109375" bestFit="1" customWidth="1"/>
    <col min="5683" max="5683" width="8.42578125" customWidth="1"/>
    <col min="5684" max="5687" width="9.7109375" bestFit="1" customWidth="1"/>
    <col min="5688" max="5688" width="10.42578125" bestFit="1" customWidth="1"/>
    <col min="5689" max="5692" width="9.7109375" bestFit="1" customWidth="1"/>
    <col min="5694" max="5694" width="10.7109375" bestFit="1" customWidth="1"/>
    <col min="5695" max="5697" width="9.7109375" bestFit="1" customWidth="1"/>
    <col min="5889" max="5889" width="6.28515625" customWidth="1"/>
    <col min="5890" max="5890" width="41.28515625" customWidth="1"/>
    <col min="5891" max="5891" width="7.140625" customWidth="1"/>
    <col min="5892" max="5905" width="9.28515625" customWidth="1"/>
    <col min="5906" max="5913" width="9.7109375" customWidth="1"/>
    <col min="5914" max="5914" width="9.85546875" customWidth="1"/>
    <col min="5915" max="5916" width="9.7109375" customWidth="1"/>
    <col min="5917" max="5917" width="10.42578125" customWidth="1"/>
    <col min="5918" max="5936" width="9.7109375" customWidth="1"/>
    <col min="5937" max="5937" width="10.42578125" customWidth="1"/>
    <col min="5938" max="5938" width="9.7109375" bestFit="1" customWidth="1"/>
    <col min="5939" max="5939" width="8.42578125" customWidth="1"/>
    <col min="5940" max="5943" width="9.7109375" bestFit="1" customWidth="1"/>
    <col min="5944" max="5944" width="10.42578125" bestFit="1" customWidth="1"/>
    <col min="5945" max="5948" width="9.7109375" bestFit="1" customWidth="1"/>
    <col min="5950" max="5950" width="10.7109375" bestFit="1" customWidth="1"/>
    <col min="5951" max="5953" width="9.7109375" bestFit="1" customWidth="1"/>
    <col min="6145" max="6145" width="6.28515625" customWidth="1"/>
    <col min="6146" max="6146" width="41.28515625" customWidth="1"/>
    <col min="6147" max="6147" width="7.140625" customWidth="1"/>
    <col min="6148" max="6161" width="9.28515625" customWidth="1"/>
    <col min="6162" max="6169" width="9.7109375" customWidth="1"/>
    <col min="6170" max="6170" width="9.85546875" customWidth="1"/>
    <col min="6171" max="6172" width="9.7109375" customWidth="1"/>
    <col min="6173" max="6173" width="10.42578125" customWidth="1"/>
    <col min="6174" max="6192" width="9.7109375" customWidth="1"/>
    <col min="6193" max="6193" width="10.42578125" customWidth="1"/>
    <col min="6194" max="6194" width="9.7109375" bestFit="1" customWidth="1"/>
    <col min="6195" max="6195" width="8.42578125" customWidth="1"/>
    <col min="6196" max="6199" width="9.7109375" bestFit="1" customWidth="1"/>
    <col min="6200" max="6200" width="10.42578125" bestFit="1" customWidth="1"/>
    <col min="6201" max="6204" width="9.7109375" bestFit="1" customWidth="1"/>
    <col min="6206" max="6206" width="10.7109375" bestFit="1" customWidth="1"/>
    <col min="6207" max="6209" width="9.7109375" bestFit="1" customWidth="1"/>
    <col min="6401" max="6401" width="6.28515625" customWidth="1"/>
    <col min="6402" max="6402" width="41.28515625" customWidth="1"/>
    <col min="6403" max="6403" width="7.140625" customWidth="1"/>
    <col min="6404" max="6417" width="9.28515625" customWidth="1"/>
    <col min="6418" max="6425" width="9.7109375" customWidth="1"/>
    <col min="6426" max="6426" width="9.85546875" customWidth="1"/>
    <col min="6427" max="6428" width="9.7109375" customWidth="1"/>
    <col min="6429" max="6429" width="10.42578125" customWidth="1"/>
    <col min="6430" max="6448" width="9.7109375" customWidth="1"/>
    <col min="6449" max="6449" width="10.42578125" customWidth="1"/>
    <col min="6450" max="6450" width="9.7109375" bestFit="1" customWidth="1"/>
    <col min="6451" max="6451" width="8.42578125" customWidth="1"/>
    <col min="6452" max="6455" width="9.7109375" bestFit="1" customWidth="1"/>
    <col min="6456" max="6456" width="10.42578125" bestFit="1" customWidth="1"/>
    <col min="6457" max="6460" width="9.7109375" bestFit="1" customWidth="1"/>
    <col min="6462" max="6462" width="10.7109375" bestFit="1" customWidth="1"/>
    <col min="6463" max="6465" width="9.7109375" bestFit="1" customWidth="1"/>
    <col min="6657" max="6657" width="6.28515625" customWidth="1"/>
    <col min="6658" max="6658" width="41.28515625" customWidth="1"/>
    <col min="6659" max="6659" width="7.140625" customWidth="1"/>
    <col min="6660" max="6673" width="9.28515625" customWidth="1"/>
    <col min="6674" max="6681" width="9.7109375" customWidth="1"/>
    <col min="6682" max="6682" width="9.85546875" customWidth="1"/>
    <col min="6683" max="6684" width="9.7109375" customWidth="1"/>
    <col min="6685" max="6685" width="10.42578125" customWidth="1"/>
    <col min="6686" max="6704" width="9.7109375" customWidth="1"/>
    <col min="6705" max="6705" width="10.42578125" customWidth="1"/>
    <col min="6706" max="6706" width="9.7109375" bestFit="1" customWidth="1"/>
    <col min="6707" max="6707" width="8.42578125" customWidth="1"/>
    <col min="6708" max="6711" width="9.7109375" bestFit="1" customWidth="1"/>
    <col min="6712" max="6712" width="10.42578125" bestFit="1" customWidth="1"/>
    <col min="6713" max="6716" width="9.7109375" bestFit="1" customWidth="1"/>
    <col min="6718" max="6718" width="10.7109375" bestFit="1" customWidth="1"/>
    <col min="6719" max="6721" width="9.7109375" bestFit="1" customWidth="1"/>
    <col min="6913" max="6913" width="6.28515625" customWidth="1"/>
    <col min="6914" max="6914" width="41.28515625" customWidth="1"/>
    <col min="6915" max="6915" width="7.140625" customWidth="1"/>
    <col min="6916" max="6929" width="9.28515625" customWidth="1"/>
    <col min="6930" max="6937" width="9.7109375" customWidth="1"/>
    <col min="6938" max="6938" width="9.85546875" customWidth="1"/>
    <col min="6939" max="6940" width="9.7109375" customWidth="1"/>
    <col min="6941" max="6941" width="10.42578125" customWidth="1"/>
    <col min="6942" max="6960" width="9.7109375" customWidth="1"/>
    <col min="6961" max="6961" width="10.42578125" customWidth="1"/>
    <col min="6962" max="6962" width="9.7109375" bestFit="1" customWidth="1"/>
    <col min="6963" max="6963" width="8.42578125" customWidth="1"/>
    <col min="6964" max="6967" width="9.7109375" bestFit="1" customWidth="1"/>
    <col min="6968" max="6968" width="10.42578125" bestFit="1" customWidth="1"/>
    <col min="6969" max="6972" width="9.7109375" bestFit="1" customWidth="1"/>
    <col min="6974" max="6974" width="10.7109375" bestFit="1" customWidth="1"/>
    <col min="6975" max="6977" width="9.7109375" bestFit="1" customWidth="1"/>
    <col min="7169" max="7169" width="6.28515625" customWidth="1"/>
    <col min="7170" max="7170" width="41.28515625" customWidth="1"/>
    <col min="7171" max="7171" width="7.140625" customWidth="1"/>
    <col min="7172" max="7185" width="9.28515625" customWidth="1"/>
    <col min="7186" max="7193" width="9.7109375" customWidth="1"/>
    <col min="7194" max="7194" width="9.85546875" customWidth="1"/>
    <col min="7195" max="7196" width="9.7109375" customWidth="1"/>
    <col min="7197" max="7197" width="10.42578125" customWidth="1"/>
    <col min="7198" max="7216" width="9.7109375" customWidth="1"/>
    <col min="7217" max="7217" width="10.42578125" customWidth="1"/>
    <col min="7218" max="7218" width="9.7109375" bestFit="1" customWidth="1"/>
    <col min="7219" max="7219" width="8.42578125" customWidth="1"/>
    <col min="7220" max="7223" width="9.7109375" bestFit="1" customWidth="1"/>
    <col min="7224" max="7224" width="10.42578125" bestFit="1" customWidth="1"/>
    <col min="7225" max="7228" width="9.7109375" bestFit="1" customWidth="1"/>
    <col min="7230" max="7230" width="10.7109375" bestFit="1" customWidth="1"/>
    <col min="7231" max="7233" width="9.7109375" bestFit="1" customWidth="1"/>
    <col min="7425" max="7425" width="6.28515625" customWidth="1"/>
    <col min="7426" max="7426" width="41.28515625" customWidth="1"/>
    <col min="7427" max="7427" width="7.140625" customWidth="1"/>
    <col min="7428" max="7441" width="9.28515625" customWidth="1"/>
    <col min="7442" max="7449" width="9.7109375" customWidth="1"/>
    <col min="7450" max="7450" width="9.85546875" customWidth="1"/>
    <col min="7451" max="7452" width="9.7109375" customWidth="1"/>
    <col min="7453" max="7453" width="10.42578125" customWidth="1"/>
    <col min="7454" max="7472" width="9.7109375" customWidth="1"/>
    <col min="7473" max="7473" width="10.42578125" customWidth="1"/>
    <col min="7474" max="7474" width="9.7109375" bestFit="1" customWidth="1"/>
    <col min="7475" max="7475" width="8.42578125" customWidth="1"/>
    <col min="7476" max="7479" width="9.7109375" bestFit="1" customWidth="1"/>
    <col min="7480" max="7480" width="10.42578125" bestFit="1" customWidth="1"/>
    <col min="7481" max="7484" width="9.7109375" bestFit="1" customWidth="1"/>
    <col min="7486" max="7486" width="10.7109375" bestFit="1" customWidth="1"/>
    <col min="7487" max="7489" width="9.7109375" bestFit="1" customWidth="1"/>
    <col min="7681" max="7681" width="6.28515625" customWidth="1"/>
    <col min="7682" max="7682" width="41.28515625" customWidth="1"/>
    <col min="7683" max="7683" width="7.140625" customWidth="1"/>
    <col min="7684" max="7697" width="9.28515625" customWidth="1"/>
    <col min="7698" max="7705" width="9.7109375" customWidth="1"/>
    <col min="7706" max="7706" width="9.85546875" customWidth="1"/>
    <col min="7707" max="7708" width="9.7109375" customWidth="1"/>
    <col min="7709" max="7709" width="10.42578125" customWidth="1"/>
    <col min="7710" max="7728" width="9.7109375" customWidth="1"/>
    <col min="7729" max="7729" width="10.42578125" customWidth="1"/>
    <col min="7730" max="7730" width="9.7109375" bestFit="1" customWidth="1"/>
    <col min="7731" max="7731" width="8.42578125" customWidth="1"/>
    <col min="7732" max="7735" width="9.7109375" bestFit="1" customWidth="1"/>
    <col min="7736" max="7736" width="10.42578125" bestFit="1" customWidth="1"/>
    <col min="7737" max="7740" width="9.7109375" bestFit="1" customWidth="1"/>
    <col min="7742" max="7742" width="10.7109375" bestFit="1" customWidth="1"/>
    <col min="7743" max="7745" width="9.7109375" bestFit="1" customWidth="1"/>
    <col min="7937" max="7937" width="6.28515625" customWidth="1"/>
    <col min="7938" max="7938" width="41.28515625" customWidth="1"/>
    <col min="7939" max="7939" width="7.140625" customWidth="1"/>
    <col min="7940" max="7953" width="9.28515625" customWidth="1"/>
    <col min="7954" max="7961" width="9.7109375" customWidth="1"/>
    <col min="7962" max="7962" width="9.85546875" customWidth="1"/>
    <col min="7963" max="7964" width="9.7109375" customWidth="1"/>
    <col min="7965" max="7965" width="10.42578125" customWidth="1"/>
    <col min="7966" max="7984" width="9.7109375" customWidth="1"/>
    <col min="7985" max="7985" width="10.42578125" customWidth="1"/>
    <col min="7986" max="7986" width="9.7109375" bestFit="1" customWidth="1"/>
    <col min="7987" max="7987" width="8.42578125" customWidth="1"/>
    <col min="7988" max="7991" width="9.7109375" bestFit="1" customWidth="1"/>
    <col min="7992" max="7992" width="10.42578125" bestFit="1" customWidth="1"/>
    <col min="7993" max="7996" width="9.7109375" bestFit="1" customWidth="1"/>
    <col min="7998" max="7998" width="10.7109375" bestFit="1" customWidth="1"/>
    <col min="7999" max="8001" width="9.7109375" bestFit="1" customWidth="1"/>
    <col min="8193" max="8193" width="6.28515625" customWidth="1"/>
    <col min="8194" max="8194" width="41.28515625" customWidth="1"/>
    <col min="8195" max="8195" width="7.140625" customWidth="1"/>
    <col min="8196" max="8209" width="9.28515625" customWidth="1"/>
    <col min="8210" max="8217" width="9.7109375" customWidth="1"/>
    <col min="8218" max="8218" width="9.85546875" customWidth="1"/>
    <col min="8219" max="8220" width="9.7109375" customWidth="1"/>
    <col min="8221" max="8221" width="10.42578125" customWidth="1"/>
    <col min="8222" max="8240" width="9.7109375" customWidth="1"/>
    <col min="8241" max="8241" width="10.42578125" customWidth="1"/>
    <col min="8242" max="8242" width="9.7109375" bestFit="1" customWidth="1"/>
    <col min="8243" max="8243" width="8.42578125" customWidth="1"/>
    <col min="8244" max="8247" width="9.7109375" bestFit="1" customWidth="1"/>
    <col min="8248" max="8248" width="10.42578125" bestFit="1" customWidth="1"/>
    <col min="8249" max="8252" width="9.7109375" bestFit="1" customWidth="1"/>
    <col min="8254" max="8254" width="10.7109375" bestFit="1" customWidth="1"/>
    <col min="8255" max="8257" width="9.7109375" bestFit="1" customWidth="1"/>
    <col min="8449" max="8449" width="6.28515625" customWidth="1"/>
    <col min="8450" max="8450" width="41.28515625" customWidth="1"/>
    <col min="8451" max="8451" width="7.140625" customWidth="1"/>
    <col min="8452" max="8465" width="9.28515625" customWidth="1"/>
    <col min="8466" max="8473" width="9.7109375" customWidth="1"/>
    <col min="8474" max="8474" width="9.85546875" customWidth="1"/>
    <col min="8475" max="8476" width="9.7109375" customWidth="1"/>
    <col min="8477" max="8477" width="10.42578125" customWidth="1"/>
    <col min="8478" max="8496" width="9.7109375" customWidth="1"/>
    <col min="8497" max="8497" width="10.42578125" customWidth="1"/>
    <col min="8498" max="8498" width="9.7109375" bestFit="1" customWidth="1"/>
    <col min="8499" max="8499" width="8.42578125" customWidth="1"/>
    <col min="8500" max="8503" width="9.7109375" bestFit="1" customWidth="1"/>
    <col min="8504" max="8504" width="10.42578125" bestFit="1" customWidth="1"/>
    <col min="8505" max="8508" width="9.7109375" bestFit="1" customWidth="1"/>
    <col min="8510" max="8510" width="10.7109375" bestFit="1" customWidth="1"/>
    <col min="8511" max="8513" width="9.7109375" bestFit="1" customWidth="1"/>
    <col min="8705" max="8705" width="6.28515625" customWidth="1"/>
    <col min="8706" max="8706" width="41.28515625" customWidth="1"/>
    <col min="8707" max="8707" width="7.140625" customWidth="1"/>
    <col min="8708" max="8721" width="9.28515625" customWidth="1"/>
    <col min="8722" max="8729" width="9.7109375" customWidth="1"/>
    <col min="8730" max="8730" width="9.85546875" customWidth="1"/>
    <col min="8731" max="8732" width="9.7109375" customWidth="1"/>
    <col min="8733" max="8733" width="10.42578125" customWidth="1"/>
    <col min="8734" max="8752" width="9.7109375" customWidth="1"/>
    <col min="8753" max="8753" width="10.42578125" customWidth="1"/>
    <col min="8754" max="8754" width="9.7109375" bestFit="1" customWidth="1"/>
    <col min="8755" max="8755" width="8.42578125" customWidth="1"/>
    <col min="8756" max="8759" width="9.7109375" bestFit="1" customWidth="1"/>
    <col min="8760" max="8760" width="10.42578125" bestFit="1" customWidth="1"/>
    <col min="8761" max="8764" width="9.7109375" bestFit="1" customWidth="1"/>
    <col min="8766" max="8766" width="10.7109375" bestFit="1" customWidth="1"/>
    <col min="8767" max="8769" width="9.7109375" bestFit="1" customWidth="1"/>
    <col min="8961" max="8961" width="6.28515625" customWidth="1"/>
    <col min="8962" max="8962" width="41.28515625" customWidth="1"/>
    <col min="8963" max="8963" width="7.140625" customWidth="1"/>
    <col min="8964" max="8977" width="9.28515625" customWidth="1"/>
    <col min="8978" max="8985" width="9.7109375" customWidth="1"/>
    <col min="8986" max="8986" width="9.85546875" customWidth="1"/>
    <col min="8987" max="8988" width="9.7109375" customWidth="1"/>
    <col min="8989" max="8989" width="10.42578125" customWidth="1"/>
    <col min="8990" max="9008" width="9.7109375" customWidth="1"/>
    <col min="9009" max="9009" width="10.42578125" customWidth="1"/>
    <col min="9010" max="9010" width="9.7109375" bestFit="1" customWidth="1"/>
    <col min="9011" max="9011" width="8.42578125" customWidth="1"/>
    <col min="9012" max="9015" width="9.7109375" bestFit="1" customWidth="1"/>
    <col min="9016" max="9016" width="10.42578125" bestFit="1" customWidth="1"/>
    <col min="9017" max="9020" width="9.7109375" bestFit="1" customWidth="1"/>
    <col min="9022" max="9022" width="10.7109375" bestFit="1" customWidth="1"/>
    <col min="9023" max="9025" width="9.7109375" bestFit="1" customWidth="1"/>
    <col min="9217" max="9217" width="6.28515625" customWidth="1"/>
    <col min="9218" max="9218" width="41.28515625" customWidth="1"/>
    <col min="9219" max="9219" width="7.140625" customWidth="1"/>
    <col min="9220" max="9233" width="9.28515625" customWidth="1"/>
    <col min="9234" max="9241" width="9.7109375" customWidth="1"/>
    <col min="9242" max="9242" width="9.85546875" customWidth="1"/>
    <col min="9243" max="9244" width="9.7109375" customWidth="1"/>
    <col min="9245" max="9245" width="10.42578125" customWidth="1"/>
    <col min="9246" max="9264" width="9.7109375" customWidth="1"/>
    <col min="9265" max="9265" width="10.42578125" customWidth="1"/>
    <col min="9266" max="9266" width="9.7109375" bestFit="1" customWidth="1"/>
    <col min="9267" max="9267" width="8.42578125" customWidth="1"/>
    <col min="9268" max="9271" width="9.7109375" bestFit="1" customWidth="1"/>
    <col min="9272" max="9272" width="10.42578125" bestFit="1" customWidth="1"/>
    <col min="9273" max="9276" width="9.7109375" bestFit="1" customWidth="1"/>
    <col min="9278" max="9278" width="10.7109375" bestFit="1" customWidth="1"/>
    <col min="9279" max="9281" width="9.7109375" bestFit="1" customWidth="1"/>
    <col min="9473" max="9473" width="6.28515625" customWidth="1"/>
    <col min="9474" max="9474" width="41.28515625" customWidth="1"/>
    <col min="9475" max="9475" width="7.140625" customWidth="1"/>
    <col min="9476" max="9489" width="9.28515625" customWidth="1"/>
    <col min="9490" max="9497" width="9.7109375" customWidth="1"/>
    <col min="9498" max="9498" width="9.85546875" customWidth="1"/>
    <col min="9499" max="9500" width="9.7109375" customWidth="1"/>
    <col min="9501" max="9501" width="10.42578125" customWidth="1"/>
    <col min="9502" max="9520" width="9.7109375" customWidth="1"/>
    <col min="9521" max="9521" width="10.42578125" customWidth="1"/>
    <col min="9522" max="9522" width="9.7109375" bestFit="1" customWidth="1"/>
    <col min="9523" max="9523" width="8.42578125" customWidth="1"/>
    <col min="9524" max="9527" width="9.7109375" bestFit="1" customWidth="1"/>
    <col min="9528" max="9528" width="10.42578125" bestFit="1" customWidth="1"/>
    <col min="9529" max="9532" width="9.7109375" bestFit="1" customWidth="1"/>
    <col min="9534" max="9534" width="10.7109375" bestFit="1" customWidth="1"/>
    <col min="9535" max="9537" width="9.7109375" bestFit="1" customWidth="1"/>
    <col min="9729" max="9729" width="6.28515625" customWidth="1"/>
    <col min="9730" max="9730" width="41.28515625" customWidth="1"/>
    <col min="9731" max="9731" width="7.140625" customWidth="1"/>
    <col min="9732" max="9745" width="9.28515625" customWidth="1"/>
    <col min="9746" max="9753" width="9.7109375" customWidth="1"/>
    <col min="9754" max="9754" width="9.85546875" customWidth="1"/>
    <col min="9755" max="9756" width="9.7109375" customWidth="1"/>
    <col min="9757" max="9757" width="10.42578125" customWidth="1"/>
    <col min="9758" max="9776" width="9.7109375" customWidth="1"/>
    <col min="9777" max="9777" width="10.42578125" customWidth="1"/>
    <col min="9778" max="9778" width="9.7109375" bestFit="1" customWidth="1"/>
    <col min="9779" max="9779" width="8.42578125" customWidth="1"/>
    <col min="9780" max="9783" width="9.7109375" bestFit="1" customWidth="1"/>
    <col min="9784" max="9784" width="10.42578125" bestFit="1" customWidth="1"/>
    <col min="9785" max="9788" width="9.7109375" bestFit="1" customWidth="1"/>
    <col min="9790" max="9790" width="10.7109375" bestFit="1" customWidth="1"/>
    <col min="9791" max="9793" width="9.7109375" bestFit="1" customWidth="1"/>
    <col min="9985" max="9985" width="6.28515625" customWidth="1"/>
    <col min="9986" max="9986" width="41.28515625" customWidth="1"/>
    <col min="9987" max="9987" width="7.140625" customWidth="1"/>
    <col min="9988" max="10001" width="9.28515625" customWidth="1"/>
    <col min="10002" max="10009" width="9.7109375" customWidth="1"/>
    <col min="10010" max="10010" width="9.85546875" customWidth="1"/>
    <col min="10011" max="10012" width="9.7109375" customWidth="1"/>
    <col min="10013" max="10013" width="10.42578125" customWidth="1"/>
    <col min="10014" max="10032" width="9.7109375" customWidth="1"/>
    <col min="10033" max="10033" width="10.42578125" customWidth="1"/>
    <col min="10034" max="10034" width="9.7109375" bestFit="1" customWidth="1"/>
    <col min="10035" max="10035" width="8.42578125" customWidth="1"/>
    <col min="10036" max="10039" width="9.7109375" bestFit="1" customWidth="1"/>
    <col min="10040" max="10040" width="10.42578125" bestFit="1" customWidth="1"/>
    <col min="10041" max="10044" width="9.7109375" bestFit="1" customWidth="1"/>
    <col min="10046" max="10046" width="10.7109375" bestFit="1" customWidth="1"/>
    <col min="10047" max="10049" width="9.7109375" bestFit="1" customWidth="1"/>
    <col min="10241" max="10241" width="6.28515625" customWidth="1"/>
    <col min="10242" max="10242" width="41.28515625" customWidth="1"/>
    <col min="10243" max="10243" width="7.140625" customWidth="1"/>
    <col min="10244" max="10257" width="9.28515625" customWidth="1"/>
    <col min="10258" max="10265" width="9.7109375" customWidth="1"/>
    <col min="10266" max="10266" width="9.85546875" customWidth="1"/>
    <col min="10267" max="10268" width="9.7109375" customWidth="1"/>
    <col min="10269" max="10269" width="10.42578125" customWidth="1"/>
    <col min="10270" max="10288" width="9.7109375" customWidth="1"/>
    <col min="10289" max="10289" width="10.42578125" customWidth="1"/>
    <col min="10290" max="10290" width="9.7109375" bestFit="1" customWidth="1"/>
    <col min="10291" max="10291" width="8.42578125" customWidth="1"/>
    <col min="10292" max="10295" width="9.7109375" bestFit="1" customWidth="1"/>
    <col min="10296" max="10296" width="10.42578125" bestFit="1" customWidth="1"/>
    <col min="10297" max="10300" width="9.7109375" bestFit="1" customWidth="1"/>
    <col min="10302" max="10302" width="10.7109375" bestFit="1" customWidth="1"/>
    <col min="10303" max="10305" width="9.7109375" bestFit="1" customWidth="1"/>
    <col min="10497" max="10497" width="6.28515625" customWidth="1"/>
    <col min="10498" max="10498" width="41.28515625" customWidth="1"/>
    <col min="10499" max="10499" width="7.140625" customWidth="1"/>
    <col min="10500" max="10513" width="9.28515625" customWidth="1"/>
    <col min="10514" max="10521" width="9.7109375" customWidth="1"/>
    <col min="10522" max="10522" width="9.85546875" customWidth="1"/>
    <col min="10523" max="10524" width="9.7109375" customWidth="1"/>
    <col min="10525" max="10525" width="10.42578125" customWidth="1"/>
    <col min="10526" max="10544" width="9.7109375" customWidth="1"/>
    <col min="10545" max="10545" width="10.42578125" customWidth="1"/>
    <col min="10546" max="10546" width="9.7109375" bestFit="1" customWidth="1"/>
    <col min="10547" max="10547" width="8.42578125" customWidth="1"/>
    <col min="10548" max="10551" width="9.7109375" bestFit="1" customWidth="1"/>
    <col min="10552" max="10552" width="10.42578125" bestFit="1" customWidth="1"/>
    <col min="10553" max="10556" width="9.7109375" bestFit="1" customWidth="1"/>
    <col min="10558" max="10558" width="10.7109375" bestFit="1" customWidth="1"/>
    <col min="10559" max="10561" width="9.7109375" bestFit="1" customWidth="1"/>
    <col min="10753" max="10753" width="6.28515625" customWidth="1"/>
    <col min="10754" max="10754" width="41.28515625" customWidth="1"/>
    <col min="10755" max="10755" width="7.140625" customWidth="1"/>
    <col min="10756" max="10769" width="9.28515625" customWidth="1"/>
    <col min="10770" max="10777" width="9.7109375" customWidth="1"/>
    <col min="10778" max="10778" width="9.85546875" customWidth="1"/>
    <col min="10779" max="10780" width="9.7109375" customWidth="1"/>
    <col min="10781" max="10781" width="10.42578125" customWidth="1"/>
    <col min="10782" max="10800" width="9.7109375" customWidth="1"/>
    <col min="10801" max="10801" width="10.42578125" customWidth="1"/>
    <col min="10802" max="10802" width="9.7109375" bestFit="1" customWidth="1"/>
    <col min="10803" max="10803" width="8.42578125" customWidth="1"/>
    <col min="10804" max="10807" width="9.7109375" bestFit="1" customWidth="1"/>
    <col min="10808" max="10808" width="10.42578125" bestFit="1" customWidth="1"/>
    <col min="10809" max="10812" width="9.7109375" bestFit="1" customWidth="1"/>
    <col min="10814" max="10814" width="10.7109375" bestFit="1" customWidth="1"/>
    <col min="10815" max="10817" width="9.7109375" bestFit="1" customWidth="1"/>
    <col min="11009" max="11009" width="6.28515625" customWidth="1"/>
    <col min="11010" max="11010" width="41.28515625" customWidth="1"/>
    <col min="11011" max="11011" width="7.140625" customWidth="1"/>
    <col min="11012" max="11025" width="9.28515625" customWidth="1"/>
    <col min="11026" max="11033" width="9.7109375" customWidth="1"/>
    <col min="11034" max="11034" width="9.85546875" customWidth="1"/>
    <col min="11035" max="11036" width="9.7109375" customWidth="1"/>
    <col min="11037" max="11037" width="10.42578125" customWidth="1"/>
    <col min="11038" max="11056" width="9.7109375" customWidth="1"/>
    <col min="11057" max="11057" width="10.42578125" customWidth="1"/>
    <col min="11058" max="11058" width="9.7109375" bestFit="1" customWidth="1"/>
    <col min="11059" max="11059" width="8.42578125" customWidth="1"/>
    <col min="11060" max="11063" width="9.7109375" bestFit="1" customWidth="1"/>
    <col min="11064" max="11064" width="10.42578125" bestFit="1" customWidth="1"/>
    <col min="11065" max="11068" width="9.7109375" bestFit="1" customWidth="1"/>
    <col min="11070" max="11070" width="10.7109375" bestFit="1" customWidth="1"/>
    <col min="11071" max="11073" width="9.7109375" bestFit="1" customWidth="1"/>
    <col min="11265" max="11265" width="6.28515625" customWidth="1"/>
    <col min="11266" max="11266" width="41.28515625" customWidth="1"/>
    <col min="11267" max="11267" width="7.140625" customWidth="1"/>
    <col min="11268" max="11281" width="9.28515625" customWidth="1"/>
    <col min="11282" max="11289" width="9.7109375" customWidth="1"/>
    <col min="11290" max="11290" width="9.85546875" customWidth="1"/>
    <col min="11291" max="11292" width="9.7109375" customWidth="1"/>
    <col min="11293" max="11293" width="10.42578125" customWidth="1"/>
    <col min="11294" max="11312" width="9.7109375" customWidth="1"/>
    <col min="11313" max="11313" width="10.42578125" customWidth="1"/>
    <col min="11314" max="11314" width="9.7109375" bestFit="1" customWidth="1"/>
    <col min="11315" max="11315" width="8.42578125" customWidth="1"/>
    <col min="11316" max="11319" width="9.7109375" bestFit="1" customWidth="1"/>
    <col min="11320" max="11320" width="10.42578125" bestFit="1" customWidth="1"/>
    <col min="11321" max="11324" width="9.7109375" bestFit="1" customWidth="1"/>
    <col min="11326" max="11326" width="10.7109375" bestFit="1" customWidth="1"/>
    <col min="11327" max="11329" width="9.7109375" bestFit="1" customWidth="1"/>
    <col min="11521" max="11521" width="6.28515625" customWidth="1"/>
    <col min="11522" max="11522" width="41.28515625" customWidth="1"/>
    <col min="11523" max="11523" width="7.140625" customWidth="1"/>
    <col min="11524" max="11537" width="9.28515625" customWidth="1"/>
    <col min="11538" max="11545" width="9.7109375" customWidth="1"/>
    <col min="11546" max="11546" width="9.85546875" customWidth="1"/>
    <col min="11547" max="11548" width="9.7109375" customWidth="1"/>
    <col min="11549" max="11549" width="10.42578125" customWidth="1"/>
    <col min="11550" max="11568" width="9.7109375" customWidth="1"/>
    <col min="11569" max="11569" width="10.42578125" customWidth="1"/>
    <col min="11570" max="11570" width="9.7109375" bestFit="1" customWidth="1"/>
    <col min="11571" max="11571" width="8.42578125" customWidth="1"/>
    <col min="11572" max="11575" width="9.7109375" bestFit="1" customWidth="1"/>
    <col min="11576" max="11576" width="10.42578125" bestFit="1" customWidth="1"/>
    <col min="11577" max="11580" width="9.7109375" bestFit="1" customWidth="1"/>
    <col min="11582" max="11582" width="10.7109375" bestFit="1" customWidth="1"/>
    <col min="11583" max="11585" width="9.7109375" bestFit="1" customWidth="1"/>
    <col min="11777" max="11777" width="6.28515625" customWidth="1"/>
    <col min="11778" max="11778" width="41.28515625" customWidth="1"/>
    <col min="11779" max="11779" width="7.140625" customWidth="1"/>
    <col min="11780" max="11793" width="9.28515625" customWidth="1"/>
    <col min="11794" max="11801" width="9.7109375" customWidth="1"/>
    <col min="11802" max="11802" width="9.85546875" customWidth="1"/>
    <col min="11803" max="11804" width="9.7109375" customWidth="1"/>
    <col min="11805" max="11805" width="10.42578125" customWidth="1"/>
    <col min="11806" max="11824" width="9.7109375" customWidth="1"/>
    <col min="11825" max="11825" width="10.42578125" customWidth="1"/>
    <col min="11826" max="11826" width="9.7109375" bestFit="1" customWidth="1"/>
    <col min="11827" max="11827" width="8.42578125" customWidth="1"/>
    <col min="11828" max="11831" width="9.7109375" bestFit="1" customWidth="1"/>
    <col min="11832" max="11832" width="10.42578125" bestFit="1" customWidth="1"/>
    <col min="11833" max="11836" width="9.7109375" bestFit="1" customWidth="1"/>
    <col min="11838" max="11838" width="10.7109375" bestFit="1" customWidth="1"/>
    <col min="11839" max="11841" width="9.7109375" bestFit="1" customWidth="1"/>
    <col min="12033" max="12033" width="6.28515625" customWidth="1"/>
    <col min="12034" max="12034" width="41.28515625" customWidth="1"/>
    <col min="12035" max="12035" width="7.140625" customWidth="1"/>
    <col min="12036" max="12049" width="9.28515625" customWidth="1"/>
    <col min="12050" max="12057" width="9.7109375" customWidth="1"/>
    <col min="12058" max="12058" width="9.85546875" customWidth="1"/>
    <col min="12059" max="12060" width="9.7109375" customWidth="1"/>
    <col min="12061" max="12061" width="10.42578125" customWidth="1"/>
    <col min="12062" max="12080" width="9.7109375" customWidth="1"/>
    <col min="12081" max="12081" width="10.42578125" customWidth="1"/>
    <col min="12082" max="12082" width="9.7109375" bestFit="1" customWidth="1"/>
    <col min="12083" max="12083" width="8.42578125" customWidth="1"/>
    <col min="12084" max="12087" width="9.7109375" bestFit="1" customWidth="1"/>
    <col min="12088" max="12088" width="10.42578125" bestFit="1" customWidth="1"/>
    <col min="12089" max="12092" width="9.7109375" bestFit="1" customWidth="1"/>
    <col min="12094" max="12094" width="10.7109375" bestFit="1" customWidth="1"/>
    <col min="12095" max="12097" width="9.7109375" bestFit="1" customWidth="1"/>
    <col min="12289" max="12289" width="6.28515625" customWidth="1"/>
    <col min="12290" max="12290" width="41.28515625" customWidth="1"/>
    <col min="12291" max="12291" width="7.140625" customWidth="1"/>
    <col min="12292" max="12305" width="9.28515625" customWidth="1"/>
    <col min="12306" max="12313" width="9.7109375" customWidth="1"/>
    <col min="12314" max="12314" width="9.85546875" customWidth="1"/>
    <col min="12315" max="12316" width="9.7109375" customWidth="1"/>
    <col min="12317" max="12317" width="10.42578125" customWidth="1"/>
    <col min="12318" max="12336" width="9.7109375" customWidth="1"/>
    <col min="12337" max="12337" width="10.42578125" customWidth="1"/>
    <col min="12338" max="12338" width="9.7109375" bestFit="1" customWidth="1"/>
    <col min="12339" max="12339" width="8.42578125" customWidth="1"/>
    <col min="12340" max="12343" width="9.7109375" bestFit="1" customWidth="1"/>
    <col min="12344" max="12344" width="10.42578125" bestFit="1" customWidth="1"/>
    <col min="12345" max="12348" width="9.7109375" bestFit="1" customWidth="1"/>
    <col min="12350" max="12350" width="10.7109375" bestFit="1" customWidth="1"/>
    <col min="12351" max="12353" width="9.7109375" bestFit="1" customWidth="1"/>
    <col min="12545" max="12545" width="6.28515625" customWidth="1"/>
    <col min="12546" max="12546" width="41.28515625" customWidth="1"/>
    <col min="12547" max="12547" width="7.140625" customWidth="1"/>
    <col min="12548" max="12561" width="9.28515625" customWidth="1"/>
    <col min="12562" max="12569" width="9.7109375" customWidth="1"/>
    <col min="12570" max="12570" width="9.85546875" customWidth="1"/>
    <col min="12571" max="12572" width="9.7109375" customWidth="1"/>
    <col min="12573" max="12573" width="10.42578125" customWidth="1"/>
    <col min="12574" max="12592" width="9.7109375" customWidth="1"/>
    <col min="12593" max="12593" width="10.42578125" customWidth="1"/>
    <col min="12594" max="12594" width="9.7109375" bestFit="1" customWidth="1"/>
    <col min="12595" max="12595" width="8.42578125" customWidth="1"/>
    <col min="12596" max="12599" width="9.7109375" bestFit="1" customWidth="1"/>
    <col min="12600" max="12600" width="10.42578125" bestFit="1" customWidth="1"/>
    <col min="12601" max="12604" width="9.7109375" bestFit="1" customWidth="1"/>
    <col min="12606" max="12606" width="10.7109375" bestFit="1" customWidth="1"/>
    <col min="12607" max="12609" width="9.7109375" bestFit="1" customWidth="1"/>
    <col min="12801" max="12801" width="6.28515625" customWidth="1"/>
    <col min="12802" max="12802" width="41.28515625" customWidth="1"/>
    <col min="12803" max="12803" width="7.140625" customWidth="1"/>
    <col min="12804" max="12817" width="9.28515625" customWidth="1"/>
    <col min="12818" max="12825" width="9.7109375" customWidth="1"/>
    <col min="12826" max="12826" width="9.85546875" customWidth="1"/>
    <col min="12827" max="12828" width="9.7109375" customWidth="1"/>
    <col min="12829" max="12829" width="10.42578125" customWidth="1"/>
    <col min="12830" max="12848" width="9.7109375" customWidth="1"/>
    <col min="12849" max="12849" width="10.42578125" customWidth="1"/>
    <col min="12850" max="12850" width="9.7109375" bestFit="1" customWidth="1"/>
    <col min="12851" max="12851" width="8.42578125" customWidth="1"/>
    <col min="12852" max="12855" width="9.7109375" bestFit="1" customWidth="1"/>
    <col min="12856" max="12856" width="10.42578125" bestFit="1" customWidth="1"/>
    <col min="12857" max="12860" width="9.7109375" bestFit="1" customWidth="1"/>
    <col min="12862" max="12862" width="10.7109375" bestFit="1" customWidth="1"/>
    <col min="12863" max="12865" width="9.7109375" bestFit="1" customWidth="1"/>
    <col min="13057" max="13057" width="6.28515625" customWidth="1"/>
    <col min="13058" max="13058" width="41.28515625" customWidth="1"/>
    <col min="13059" max="13059" width="7.140625" customWidth="1"/>
    <col min="13060" max="13073" width="9.28515625" customWidth="1"/>
    <col min="13074" max="13081" width="9.7109375" customWidth="1"/>
    <col min="13082" max="13082" width="9.85546875" customWidth="1"/>
    <col min="13083" max="13084" width="9.7109375" customWidth="1"/>
    <col min="13085" max="13085" width="10.42578125" customWidth="1"/>
    <col min="13086" max="13104" width="9.7109375" customWidth="1"/>
    <col min="13105" max="13105" width="10.42578125" customWidth="1"/>
    <col min="13106" max="13106" width="9.7109375" bestFit="1" customWidth="1"/>
    <col min="13107" max="13107" width="8.42578125" customWidth="1"/>
    <col min="13108" max="13111" width="9.7109375" bestFit="1" customWidth="1"/>
    <col min="13112" max="13112" width="10.42578125" bestFit="1" customWidth="1"/>
    <col min="13113" max="13116" width="9.7109375" bestFit="1" customWidth="1"/>
    <col min="13118" max="13118" width="10.7109375" bestFit="1" customWidth="1"/>
    <col min="13119" max="13121" width="9.7109375" bestFit="1" customWidth="1"/>
    <col min="13313" max="13313" width="6.28515625" customWidth="1"/>
    <col min="13314" max="13314" width="41.28515625" customWidth="1"/>
    <col min="13315" max="13315" width="7.140625" customWidth="1"/>
    <col min="13316" max="13329" width="9.28515625" customWidth="1"/>
    <col min="13330" max="13337" width="9.7109375" customWidth="1"/>
    <col min="13338" max="13338" width="9.85546875" customWidth="1"/>
    <col min="13339" max="13340" width="9.7109375" customWidth="1"/>
    <col min="13341" max="13341" width="10.42578125" customWidth="1"/>
    <col min="13342" max="13360" width="9.7109375" customWidth="1"/>
    <col min="13361" max="13361" width="10.42578125" customWidth="1"/>
    <col min="13362" max="13362" width="9.7109375" bestFit="1" customWidth="1"/>
    <col min="13363" max="13363" width="8.42578125" customWidth="1"/>
    <col min="13364" max="13367" width="9.7109375" bestFit="1" customWidth="1"/>
    <col min="13368" max="13368" width="10.42578125" bestFit="1" customWidth="1"/>
    <col min="13369" max="13372" width="9.7109375" bestFit="1" customWidth="1"/>
    <col min="13374" max="13374" width="10.7109375" bestFit="1" customWidth="1"/>
    <col min="13375" max="13377" width="9.7109375" bestFit="1" customWidth="1"/>
    <col min="13569" max="13569" width="6.28515625" customWidth="1"/>
    <col min="13570" max="13570" width="41.28515625" customWidth="1"/>
    <col min="13571" max="13571" width="7.140625" customWidth="1"/>
    <col min="13572" max="13585" width="9.28515625" customWidth="1"/>
    <col min="13586" max="13593" width="9.7109375" customWidth="1"/>
    <col min="13594" max="13594" width="9.85546875" customWidth="1"/>
    <col min="13595" max="13596" width="9.7109375" customWidth="1"/>
    <col min="13597" max="13597" width="10.42578125" customWidth="1"/>
    <col min="13598" max="13616" width="9.7109375" customWidth="1"/>
    <col min="13617" max="13617" width="10.42578125" customWidth="1"/>
    <col min="13618" max="13618" width="9.7109375" bestFit="1" customWidth="1"/>
    <col min="13619" max="13619" width="8.42578125" customWidth="1"/>
    <col min="13620" max="13623" width="9.7109375" bestFit="1" customWidth="1"/>
    <col min="13624" max="13624" width="10.42578125" bestFit="1" customWidth="1"/>
    <col min="13625" max="13628" width="9.7109375" bestFit="1" customWidth="1"/>
    <col min="13630" max="13630" width="10.7109375" bestFit="1" customWidth="1"/>
    <col min="13631" max="13633" width="9.7109375" bestFit="1" customWidth="1"/>
    <col min="13825" max="13825" width="6.28515625" customWidth="1"/>
    <col min="13826" max="13826" width="41.28515625" customWidth="1"/>
    <col min="13827" max="13827" width="7.140625" customWidth="1"/>
    <col min="13828" max="13841" width="9.28515625" customWidth="1"/>
    <col min="13842" max="13849" width="9.7109375" customWidth="1"/>
    <col min="13850" max="13850" width="9.85546875" customWidth="1"/>
    <col min="13851" max="13852" width="9.7109375" customWidth="1"/>
    <col min="13853" max="13853" width="10.42578125" customWidth="1"/>
    <col min="13854" max="13872" width="9.7109375" customWidth="1"/>
    <col min="13873" max="13873" width="10.42578125" customWidth="1"/>
    <col min="13874" max="13874" width="9.7109375" bestFit="1" customWidth="1"/>
    <col min="13875" max="13875" width="8.42578125" customWidth="1"/>
    <col min="13876" max="13879" width="9.7109375" bestFit="1" customWidth="1"/>
    <col min="13880" max="13880" width="10.42578125" bestFit="1" customWidth="1"/>
    <col min="13881" max="13884" width="9.7109375" bestFit="1" customWidth="1"/>
    <col min="13886" max="13886" width="10.7109375" bestFit="1" customWidth="1"/>
    <col min="13887" max="13889" width="9.7109375" bestFit="1" customWidth="1"/>
    <col min="14081" max="14081" width="6.28515625" customWidth="1"/>
    <col min="14082" max="14082" width="41.28515625" customWidth="1"/>
    <col min="14083" max="14083" width="7.140625" customWidth="1"/>
    <col min="14084" max="14097" width="9.28515625" customWidth="1"/>
    <col min="14098" max="14105" width="9.7109375" customWidth="1"/>
    <col min="14106" max="14106" width="9.85546875" customWidth="1"/>
    <col min="14107" max="14108" width="9.7109375" customWidth="1"/>
    <col min="14109" max="14109" width="10.42578125" customWidth="1"/>
    <col min="14110" max="14128" width="9.7109375" customWidth="1"/>
    <col min="14129" max="14129" width="10.42578125" customWidth="1"/>
    <col min="14130" max="14130" width="9.7109375" bestFit="1" customWidth="1"/>
    <col min="14131" max="14131" width="8.42578125" customWidth="1"/>
    <col min="14132" max="14135" width="9.7109375" bestFit="1" customWidth="1"/>
    <col min="14136" max="14136" width="10.42578125" bestFit="1" customWidth="1"/>
    <col min="14137" max="14140" width="9.7109375" bestFit="1" customWidth="1"/>
    <col min="14142" max="14142" width="10.7109375" bestFit="1" customWidth="1"/>
    <col min="14143" max="14145" width="9.7109375" bestFit="1" customWidth="1"/>
    <col min="14337" max="14337" width="6.28515625" customWidth="1"/>
    <col min="14338" max="14338" width="41.28515625" customWidth="1"/>
    <col min="14339" max="14339" width="7.140625" customWidth="1"/>
    <col min="14340" max="14353" width="9.28515625" customWidth="1"/>
    <col min="14354" max="14361" width="9.7109375" customWidth="1"/>
    <col min="14362" max="14362" width="9.85546875" customWidth="1"/>
    <col min="14363" max="14364" width="9.7109375" customWidth="1"/>
    <col min="14365" max="14365" width="10.42578125" customWidth="1"/>
    <col min="14366" max="14384" width="9.7109375" customWidth="1"/>
    <col min="14385" max="14385" width="10.42578125" customWidth="1"/>
    <col min="14386" max="14386" width="9.7109375" bestFit="1" customWidth="1"/>
    <col min="14387" max="14387" width="8.42578125" customWidth="1"/>
    <col min="14388" max="14391" width="9.7109375" bestFit="1" customWidth="1"/>
    <col min="14392" max="14392" width="10.42578125" bestFit="1" customWidth="1"/>
    <col min="14393" max="14396" width="9.7109375" bestFit="1" customWidth="1"/>
    <col min="14398" max="14398" width="10.7109375" bestFit="1" customWidth="1"/>
    <col min="14399" max="14401" width="9.7109375" bestFit="1" customWidth="1"/>
    <col min="14593" max="14593" width="6.28515625" customWidth="1"/>
    <col min="14594" max="14594" width="41.28515625" customWidth="1"/>
    <col min="14595" max="14595" width="7.140625" customWidth="1"/>
    <col min="14596" max="14609" width="9.28515625" customWidth="1"/>
    <col min="14610" max="14617" width="9.7109375" customWidth="1"/>
    <col min="14618" max="14618" width="9.85546875" customWidth="1"/>
    <col min="14619" max="14620" width="9.7109375" customWidth="1"/>
    <col min="14621" max="14621" width="10.42578125" customWidth="1"/>
    <col min="14622" max="14640" width="9.7109375" customWidth="1"/>
    <col min="14641" max="14641" width="10.42578125" customWidth="1"/>
    <col min="14642" max="14642" width="9.7109375" bestFit="1" customWidth="1"/>
    <col min="14643" max="14643" width="8.42578125" customWidth="1"/>
    <col min="14644" max="14647" width="9.7109375" bestFit="1" customWidth="1"/>
    <col min="14648" max="14648" width="10.42578125" bestFit="1" customWidth="1"/>
    <col min="14649" max="14652" width="9.7109375" bestFit="1" customWidth="1"/>
    <col min="14654" max="14654" width="10.7109375" bestFit="1" customWidth="1"/>
    <col min="14655" max="14657" width="9.7109375" bestFit="1" customWidth="1"/>
    <col min="14849" max="14849" width="6.28515625" customWidth="1"/>
    <col min="14850" max="14850" width="41.28515625" customWidth="1"/>
    <col min="14851" max="14851" width="7.140625" customWidth="1"/>
    <col min="14852" max="14865" width="9.28515625" customWidth="1"/>
    <col min="14866" max="14873" width="9.7109375" customWidth="1"/>
    <col min="14874" max="14874" width="9.85546875" customWidth="1"/>
    <col min="14875" max="14876" width="9.7109375" customWidth="1"/>
    <col min="14877" max="14877" width="10.42578125" customWidth="1"/>
    <col min="14878" max="14896" width="9.7109375" customWidth="1"/>
    <col min="14897" max="14897" width="10.42578125" customWidth="1"/>
    <col min="14898" max="14898" width="9.7109375" bestFit="1" customWidth="1"/>
    <col min="14899" max="14899" width="8.42578125" customWidth="1"/>
    <col min="14900" max="14903" width="9.7109375" bestFit="1" customWidth="1"/>
    <col min="14904" max="14904" width="10.42578125" bestFit="1" customWidth="1"/>
    <col min="14905" max="14908" width="9.7109375" bestFit="1" customWidth="1"/>
    <col min="14910" max="14910" width="10.7109375" bestFit="1" customWidth="1"/>
    <col min="14911" max="14913" width="9.7109375" bestFit="1" customWidth="1"/>
    <col min="15105" max="15105" width="6.28515625" customWidth="1"/>
    <col min="15106" max="15106" width="41.28515625" customWidth="1"/>
    <col min="15107" max="15107" width="7.140625" customWidth="1"/>
    <col min="15108" max="15121" width="9.28515625" customWidth="1"/>
    <col min="15122" max="15129" width="9.7109375" customWidth="1"/>
    <col min="15130" max="15130" width="9.85546875" customWidth="1"/>
    <col min="15131" max="15132" width="9.7109375" customWidth="1"/>
    <col min="15133" max="15133" width="10.42578125" customWidth="1"/>
    <col min="15134" max="15152" width="9.7109375" customWidth="1"/>
    <col min="15153" max="15153" width="10.42578125" customWidth="1"/>
    <col min="15154" max="15154" width="9.7109375" bestFit="1" customWidth="1"/>
    <col min="15155" max="15155" width="8.42578125" customWidth="1"/>
    <col min="15156" max="15159" width="9.7109375" bestFit="1" customWidth="1"/>
    <col min="15160" max="15160" width="10.42578125" bestFit="1" customWidth="1"/>
    <col min="15161" max="15164" width="9.7109375" bestFit="1" customWidth="1"/>
    <col min="15166" max="15166" width="10.7109375" bestFit="1" customWidth="1"/>
    <col min="15167" max="15169" width="9.7109375" bestFit="1" customWidth="1"/>
    <col min="15361" max="15361" width="6.28515625" customWidth="1"/>
    <col min="15362" max="15362" width="41.28515625" customWidth="1"/>
    <col min="15363" max="15363" width="7.140625" customWidth="1"/>
    <col min="15364" max="15377" width="9.28515625" customWidth="1"/>
    <col min="15378" max="15385" width="9.7109375" customWidth="1"/>
    <col min="15386" max="15386" width="9.85546875" customWidth="1"/>
    <col min="15387" max="15388" width="9.7109375" customWidth="1"/>
    <col min="15389" max="15389" width="10.42578125" customWidth="1"/>
    <col min="15390" max="15408" width="9.7109375" customWidth="1"/>
    <col min="15409" max="15409" width="10.42578125" customWidth="1"/>
    <col min="15410" max="15410" width="9.7109375" bestFit="1" customWidth="1"/>
    <col min="15411" max="15411" width="8.42578125" customWidth="1"/>
    <col min="15412" max="15415" width="9.7109375" bestFit="1" customWidth="1"/>
    <col min="15416" max="15416" width="10.42578125" bestFit="1" customWidth="1"/>
    <col min="15417" max="15420" width="9.7109375" bestFit="1" customWidth="1"/>
    <col min="15422" max="15422" width="10.7109375" bestFit="1" customWidth="1"/>
    <col min="15423" max="15425" width="9.7109375" bestFit="1" customWidth="1"/>
    <col min="15617" max="15617" width="6.28515625" customWidth="1"/>
    <col min="15618" max="15618" width="41.28515625" customWidth="1"/>
    <col min="15619" max="15619" width="7.140625" customWidth="1"/>
    <col min="15620" max="15633" width="9.28515625" customWidth="1"/>
    <col min="15634" max="15641" width="9.7109375" customWidth="1"/>
    <col min="15642" max="15642" width="9.85546875" customWidth="1"/>
    <col min="15643" max="15644" width="9.7109375" customWidth="1"/>
    <col min="15645" max="15645" width="10.42578125" customWidth="1"/>
    <col min="15646" max="15664" width="9.7109375" customWidth="1"/>
    <col min="15665" max="15665" width="10.42578125" customWidth="1"/>
    <col min="15666" max="15666" width="9.7109375" bestFit="1" customWidth="1"/>
    <col min="15667" max="15667" width="8.42578125" customWidth="1"/>
    <col min="15668" max="15671" width="9.7109375" bestFit="1" customWidth="1"/>
    <col min="15672" max="15672" width="10.42578125" bestFit="1" customWidth="1"/>
    <col min="15673" max="15676" width="9.7109375" bestFit="1" customWidth="1"/>
    <col min="15678" max="15678" width="10.7109375" bestFit="1" customWidth="1"/>
    <col min="15679" max="15681" width="9.7109375" bestFit="1" customWidth="1"/>
    <col min="15873" max="15873" width="6.28515625" customWidth="1"/>
    <col min="15874" max="15874" width="41.28515625" customWidth="1"/>
    <col min="15875" max="15875" width="7.140625" customWidth="1"/>
    <col min="15876" max="15889" width="9.28515625" customWidth="1"/>
    <col min="15890" max="15897" width="9.7109375" customWidth="1"/>
    <col min="15898" max="15898" width="9.85546875" customWidth="1"/>
    <col min="15899" max="15900" width="9.7109375" customWidth="1"/>
    <col min="15901" max="15901" width="10.42578125" customWidth="1"/>
    <col min="15902" max="15920" width="9.7109375" customWidth="1"/>
    <col min="15921" max="15921" width="10.42578125" customWidth="1"/>
    <col min="15922" max="15922" width="9.7109375" bestFit="1" customWidth="1"/>
    <col min="15923" max="15923" width="8.42578125" customWidth="1"/>
    <col min="15924" max="15927" width="9.7109375" bestFit="1" customWidth="1"/>
    <col min="15928" max="15928" width="10.42578125" bestFit="1" customWidth="1"/>
    <col min="15929" max="15932" width="9.7109375" bestFit="1" customWidth="1"/>
    <col min="15934" max="15934" width="10.7109375" bestFit="1" customWidth="1"/>
    <col min="15935" max="15937" width="9.7109375" bestFit="1" customWidth="1"/>
    <col min="16129" max="16129" width="6.28515625" customWidth="1"/>
    <col min="16130" max="16130" width="41.28515625" customWidth="1"/>
    <col min="16131" max="16131" width="7.140625" customWidth="1"/>
    <col min="16132" max="16145" width="9.28515625" customWidth="1"/>
    <col min="16146" max="16153" width="9.7109375" customWidth="1"/>
    <col min="16154" max="16154" width="9.85546875" customWidth="1"/>
    <col min="16155" max="16156" width="9.7109375" customWidth="1"/>
    <col min="16157" max="16157" width="10.42578125" customWidth="1"/>
    <col min="16158" max="16176" width="9.7109375" customWidth="1"/>
    <col min="16177" max="16177" width="10.42578125" customWidth="1"/>
    <col min="16178" max="16178" width="9.7109375" bestFit="1" customWidth="1"/>
    <col min="16179" max="16179" width="8.42578125" customWidth="1"/>
    <col min="16180" max="16183" width="9.7109375" bestFit="1" customWidth="1"/>
    <col min="16184" max="16184" width="10.42578125" bestFit="1" customWidth="1"/>
    <col min="16185" max="16188" width="9.7109375" bestFit="1" customWidth="1"/>
    <col min="16190" max="16190" width="10.7109375" bestFit="1" customWidth="1"/>
    <col min="16191" max="16193" width="9.7109375" bestFit="1" customWidth="1"/>
  </cols>
  <sheetData>
    <row r="1" spans="1:256" ht="15" x14ac:dyDescent="0.25">
      <c r="A1" s="223" t="s">
        <v>172</v>
      </c>
      <c r="B1" s="224"/>
      <c r="D1" s="214" t="s">
        <v>171</v>
      </c>
      <c r="E1" s="225" t="s">
        <v>171</v>
      </c>
      <c r="F1" s="225" t="s">
        <v>171</v>
      </c>
      <c r="G1" s="225" t="s">
        <v>171</v>
      </c>
      <c r="H1" s="225" t="s">
        <v>170</v>
      </c>
      <c r="I1" s="225" t="s">
        <v>170</v>
      </c>
      <c r="J1" s="225" t="s">
        <v>170</v>
      </c>
      <c r="K1" s="225" t="s">
        <v>170</v>
      </c>
      <c r="L1" s="225" t="s">
        <v>169</v>
      </c>
      <c r="M1" s="225" t="s">
        <v>169</v>
      </c>
      <c r="N1" s="225" t="s">
        <v>169</v>
      </c>
      <c r="O1" s="225" t="s">
        <v>169</v>
      </c>
      <c r="P1" s="225" t="s">
        <v>168</v>
      </c>
      <c r="Q1" s="225" t="s">
        <v>168</v>
      </c>
      <c r="R1" s="225" t="s">
        <v>168</v>
      </c>
      <c r="S1" s="225" t="s">
        <v>168</v>
      </c>
      <c r="T1" s="225" t="s">
        <v>167</v>
      </c>
      <c r="U1" s="225" t="s">
        <v>167</v>
      </c>
      <c r="V1" s="225" t="s">
        <v>167</v>
      </c>
      <c r="W1" s="225" t="s">
        <v>167</v>
      </c>
      <c r="X1" s="225" t="s">
        <v>166</v>
      </c>
      <c r="Y1" s="225" t="s">
        <v>166</v>
      </c>
      <c r="Z1" s="225" t="s">
        <v>166</v>
      </c>
      <c r="AA1" s="225" t="s">
        <v>166</v>
      </c>
      <c r="AB1" s="225" t="s">
        <v>165</v>
      </c>
      <c r="AC1" s="225" t="s">
        <v>165</v>
      </c>
      <c r="AD1" s="225" t="s">
        <v>165</v>
      </c>
      <c r="AE1" s="225" t="s">
        <v>165</v>
      </c>
      <c r="AF1" t="s">
        <v>164</v>
      </c>
      <c r="AG1" s="226">
        <v>2015</v>
      </c>
      <c r="AH1" s="226">
        <v>2015</v>
      </c>
      <c r="AI1" s="226">
        <v>2015</v>
      </c>
      <c r="AJ1" s="226">
        <v>2016</v>
      </c>
      <c r="AK1" s="226">
        <v>2016</v>
      </c>
      <c r="AL1" s="226">
        <v>2016</v>
      </c>
      <c r="AM1" s="226">
        <v>2016</v>
      </c>
      <c r="AN1" s="226">
        <v>2017</v>
      </c>
      <c r="AO1" s="226">
        <v>2017</v>
      </c>
      <c r="AP1" s="226">
        <v>2017</v>
      </c>
      <c r="AQ1" s="226">
        <v>2017</v>
      </c>
      <c r="AR1" s="226">
        <v>2018</v>
      </c>
      <c r="AS1" s="226">
        <v>2018</v>
      </c>
      <c r="AT1" s="226">
        <v>2018</v>
      </c>
      <c r="AU1" s="226">
        <v>2018</v>
      </c>
      <c r="AV1" s="226">
        <v>2019</v>
      </c>
      <c r="AW1" s="226">
        <v>2019</v>
      </c>
      <c r="AX1" s="226">
        <v>2019</v>
      </c>
      <c r="AY1" s="226">
        <v>2019</v>
      </c>
      <c r="AZ1" s="226">
        <v>2020</v>
      </c>
      <c r="BA1" s="226">
        <v>2020</v>
      </c>
      <c r="BB1" s="226">
        <v>2020</v>
      </c>
      <c r="BC1" s="226">
        <v>2020</v>
      </c>
      <c r="BD1" s="226">
        <v>2021</v>
      </c>
      <c r="BE1" s="226">
        <v>2021</v>
      </c>
      <c r="BF1" s="226">
        <v>2021</v>
      </c>
      <c r="BG1" s="226">
        <v>2021</v>
      </c>
      <c r="BH1" s="226">
        <v>2022</v>
      </c>
      <c r="BI1" s="226">
        <v>2022</v>
      </c>
      <c r="BJ1" s="226">
        <v>2022</v>
      </c>
      <c r="BK1" s="226">
        <v>2022</v>
      </c>
      <c r="BL1" s="226">
        <v>2023</v>
      </c>
      <c r="BM1" s="226">
        <v>2023</v>
      </c>
      <c r="BN1" s="226">
        <v>2023</v>
      </c>
      <c r="BO1" s="226">
        <v>2023</v>
      </c>
      <c r="BP1" s="226">
        <v>2024</v>
      </c>
      <c r="BQ1" s="226">
        <v>2024</v>
      </c>
      <c r="BR1" s="226">
        <v>2024</v>
      </c>
      <c r="BS1" s="226">
        <v>2024</v>
      </c>
      <c r="BT1" s="226">
        <v>2025</v>
      </c>
      <c r="BU1" s="226">
        <v>2025</v>
      </c>
      <c r="BV1" s="226">
        <v>2025</v>
      </c>
      <c r="BW1" s="226">
        <v>2026</v>
      </c>
      <c r="BX1" s="226">
        <v>2026</v>
      </c>
    </row>
    <row r="2" spans="1:256" ht="15" x14ac:dyDescent="0.25">
      <c r="A2" s="227"/>
      <c r="B2" s="228" t="s">
        <v>163</v>
      </c>
      <c r="C2" s="229"/>
      <c r="D2" s="230"/>
      <c r="E2" s="230"/>
      <c r="F2" s="230" t="s">
        <v>66</v>
      </c>
      <c r="G2" s="230" t="s">
        <v>66</v>
      </c>
      <c r="H2" s="230" t="s">
        <v>66</v>
      </c>
      <c r="I2" s="230" t="s">
        <v>66</v>
      </c>
      <c r="J2" s="230" t="s">
        <v>60</v>
      </c>
      <c r="K2" s="230" t="s">
        <v>60</v>
      </c>
      <c r="L2" s="230" t="s">
        <v>60</v>
      </c>
      <c r="M2" s="230" t="s">
        <v>60</v>
      </c>
      <c r="N2" s="230" t="s">
        <v>61</v>
      </c>
      <c r="O2" s="230" t="s">
        <v>61</v>
      </c>
      <c r="P2" s="230" t="s">
        <v>61</v>
      </c>
      <c r="Q2" s="230" t="s">
        <v>61</v>
      </c>
      <c r="R2" s="230" t="s">
        <v>62</v>
      </c>
      <c r="S2" s="230" t="s">
        <v>62</v>
      </c>
      <c r="T2" s="230" t="s">
        <v>62</v>
      </c>
      <c r="U2" s="230" t="s">
        <v>62</v>
      </c>
      <c r="V2" s="230" t="s">
        <v>63</v>
      </c>
      <c r="W2" s="230" t="s">
        <v>63</v>
      </c>
      <c r="X2" s="230" t="s">
        <v>63</v>
      </c>
      <c r="Y2" s="230" t="s">
        <v>63</v>
      </c>
      <c r="Z2" s="230" t="s">
        <v>64</v>
      </c>
      <c r="AA2" s="230" t="s">
        <v>64</v>
      </c>
      <c r="AB2" s="230" t="s">
        <v>64</v>
      </c>
      <c r="AC2" s="230" t="s">
        <v>64</v>
      </c>
      <c r="AD2" s="230" t="s">
        <v>65</v>
      </c>
      <c r="AE2" s="230" t="s">
        <v>65</v>
      </c>
      <c r="AF2" s="230" t="s">
        <v>65</v>
      </c>
      <c r="AG2" s="230" t="s">
        <v>65</v>
      </c>
      <c r="AH2" s="231" t="s">
        <v>77</v>
      </c>
      <c r="AI2" s="231" t="s">
        <v>77</v>
      </c>
      <c r="AJ2" s="231" t="s">
        <v>77</v>
      </c>
      <c r="AK2" s="231" t="s">
        <v>77</v>
      </c>
      <c r="AL2" s="271" t="s">
        <v>80</v>
      </c>
      <c r="AM2" s="271"/>
      <c r="AN2" s="271"/>
      <c r="AO2" s="271"/>
      <c r="AP2" s="271" t="s">
        <v>92</v>
      </c>
      <c r="AQ2" s="271"/>
      <c r="AR2" s="271"/>
      <c r="AS2" s="271"/>
      <c r="AT2" s="271" t="s">
        <v>134</v>
      </c>
      <c r="AU2" s="271"/>
      <c r="AV2" s="271"/>
      <c r="AW2" s="271"/>
      <c r="AX2" s="271" t="s">
        <v>136</v>
      </c>
      <c r="AY2" s="271"/>
      <c r="AZ2" s="271"/>
      <c r="BA2" s="271"/>
      <c r="BB2" s="271" t="s">
        <v>137</v>
      </c>
      <c r="BC2" s="271"/>
      <c r="BD2" s="271"/>
      <c r="BE2" s="271"/>
      <c r="BF2" s="271" t="s">
        <v>138</v>
      </c>
      <c r="BG2" s="271"/>
      <c r="BH2" s="271"/>
      <c r="BI2" s="271"/>
      <c r="BJ2" s="271" t="s">
        <v>139</v>
      </c>
      <c r="BK2" s="271"/>
      <c r="BL2" s="271"/>
      <c r="BM2" s="271"/>
      <c r="BN2" s="271" t="s">
        <v>140</v>
      </c>
      <c r="BO2" s="271"/>
      <c r="BP2" s="271"/>
      <c r="BQ2" s="271"/>
      <c r="BR2" s="273" t="s">
        <v>174</v>
      </c>
      <c r="BS2" s="273"/>
      <c r="BT2" s="273"/>
      <c r="BU2" s="273"/>
      <c r="BV2" s="230" t="s">
        <v>175</v>
      </c>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c r="EX2" s="230"/>
      <c r="EY2" s="230"/>
      <c r="EZ2" s="230"/>
      <c r="FA2" s="230"/>
      <c r="FB2" s="230"/>
      <c r="FC2" s="230"/>
      <c r="FD2" s="230"/>
      <c r="FE2" s="230"/>
      <c r="FF2" s="230"/>
      <c r="FG2" s="230"/>
      <c r="FH2" s="230"/>
      <c r="FI2" s="230"/>
      <c r="FJ2" s="230"/>
      <c r="FK2" s="230"/>
      <c r="FL2" s="230"/>
      <c r="FM2" s="230"/>
      <c r="FN2" s="230"/>
      <c r="FO2" s="230"/>
      <c r="FP2" s="230"/>
      <c r="FQ2" s="230"/>
      <c r="FR2" s="230"/>
      <c r="FS2" s="230"/>
      <c r="FT2" s="230"/>
      <c r="FU2" s="230"/>
      <c r="FV2" s="230"/>
      <c r="FW2" s="230"/>
      <c r="FX2" s="230"/>
      <c r="FY2" s="230"/>
      <c r="FZ2" s="230"/>
      <c r="GA2" s="230"/>
      <c r="GB2" s="230"/>
      <c r="GC2" s="230"/>
      <c r="GD2" s="230"/>
      <c r="GE2" s="230"/>
      <c r="GF2" s="230"/>
      <c r="GG2" s="230"/>
      <c r="GH2" s="230"/>
      <c r="GI2" s="230"/>
      <c r="GJ2" s="230"/>
      <c r="GK2" s="230"/>
      <c r="GL2" s="230"/>
      <c r="GM2" s="230"/>
      <c r="GN2" s="230"/>
      <c r="GO2" s="230"/>
      <c r="GP2" s="230"/>
      <c r="GQ2" s="230"/>
      <c r="GR2" s="230"/>
      <c r="GS2" s="230"/>
      <c r="GT2" s="230"/>
      <c r="GU2" s="230"/>
      <c r="GV2" s="230"/>
      <c r="GW2" s="230"/>
      <c r="GX2" s="230"/>
      <c r="GY2" s="230"/>
      <c r="GZ2" s="230"/>
      <c r="HA2" s="230"/>
      <c r="HB2" s="230"/>
      <c r="HC2" s="230"/>
      <c r="HD2" s="230"/>
      <c r="HE2" s="230"/>
      <c r="HF2" s="230"/>
      <c r="HG2" s="230"/>
      <c r="HH2" s="230"/>
      <c r="HI2" s="230"/>
      <c r="HJ2" s="230"/>
      <c r="HK2" s="230"/>
      <c r="HL2" s="230"/>
      <c r="HM2" s="230"/>
      <c r="HN2" s="230"/>
      <c r="HO2" s="230"/>
      <c r="HP2" s="230"/>
      <c r="HQ2" s="230"/>
      <c r="HR2" s="230"/>
      <c r="HS2" s="230"/>
      <c r="HT2" s="230"/>
      <c r="HU2" s="230"/>
      <c r="HV2" s="230"/>
      <c r="HW2" s="230"/>
      <c r="HX2" s="230"/>
      <c r="HY2" s="230"/>
      <c r="HZ2" s="230"/>
      <c r="IA2" s="230"/>
      <c r="IB2" s="230"/>
      <c r="IC2" s="230"/>
      <c r="ID2" s="230"/>
      <c r="IE2" s="230"/>
      <c r="IF2" s="230"/>
      <c r="IG2" s="230"/>
      <c r="IH2" s="230"/>
      <c r="II2" s="230"/>
      <c r="IJ2" s="230"/>
      <c r="IK2" s="230"/>
      <c r="IL2" s="230"/>
      <c r="IM2" s="230"/>
      <c r="IN2" s="230"/>
      <c r="IO2" s="230"/>
      <c r="IP2" s="230"/>
      <c r="IQ2" s="230"/>
      <c r="IR2" s="230"/>
      <c r="IS2" s="230"/>
      <c r="IT2" s="230"/>
      <c r="IU2" s="230"/>
      <c r="IV2" s="230"/>
    </row>
    <row r="3" spans="1:256" ht="15" x14ac:dyDescent="0.25">
      <c r="A3" s="235"/>
      <c r="B3" s="236" t="s">
        <v>162</v>
      </c>
      <c r="C3" s="233"/>
      <c r="D3" s="215"/>
      <c r="E3" s="215"/>
      <c r="F3" s="215"/>
      <c r="G3" s="215"/>
      <c r="H3" s="215"/>
      <c r="I3" s="215"/>
      <c r="J3" s="215"/>
      <c r="K3" s="215"/>
      <c r="L3" s="215"/>
      <c r="M3" s="215"/>
      <c r="N3" s="214"/>
      <c r="O3" s="214"/>
      <c r="P3" s="214"/>
      <c r="Q3" s="214"/>
      <c r="R3" s="214"/>
      <c r="S3" s="214"/>
      <c r="T3" s="214"/>
      <c r="U3" s="214"/>
      <c r="V3" s="214"/>
      <c r="W3" s="214"/>
      <c r="X3" s="214"/>
      <c r="Y3" s="214"/>
      <c r="Z3" s="214"/>
      <c r="AA3" s="214"/>
      <c r="AB3" s="214"/>
      <c r="AC3" s="214"/>
      <c r="AD3" s="214"/>
      <c r="AE3" s="214"/>
      <c r="AF3" s="214"/>
      <c r="AG3" s="214"/>
      <c r="AH3" s="242"/>
      <c r="AI3" s="243"/>
      <c r="AJ3" s="243"/>
      <c r="AK3" s="243"/>
      <c r="AL3" s="232" t="s">
        <v>46</v>
      </c>
      <c r="AM3" s="232" t="s">
        <v>47</v>
      </c>
      <c r="AN3" s="232" t="s">
        <v>48</v>
      </c>
      <c r="AO3" s="232" t="s">
        <v>49</v>
      </c>
      <c r="AP3" s="232" t="s">
        <v>46</v>
      </c>
      <c r="AQ3" s="232" t="s">
        <v>47</v>
      </c>
      <c r="AR3" s="232" t="s">
        <v>48</v>
      </c>
      <c r="AS3" s="232" t="s">
        <v>49</v>
      </c>
      <c r="AT3" s="232" t="s">
        <v>46</v>
      </c>
      <c r="AU3" s="232" t="s">
        <v>47</v>
      </c>
      <c r="AV3" s="232" t="s">
        <v>48</v>
      </c>
      <c r="AW3" s="232" t="s">
        <v>49</v>
      </c>
      <c r="AX3" s="232" t="s">
        <v>46</v>
      </c>
      <c r="AY3" s="232" t="s">
        <v>47</v>
      </c>
      <c r="AZ3" s="232" t="s">
        <v>48</v>
      </c>
      <c r="BA3" s="232" t="s">
        <v>49</v>
      </c>
      <c r="BB3" s="232" t="s">
        <v>46</v>
      </c>
      <c r="BC3" s="232" t="s">
        <v>47</v>
      </c>
      <c r="BD3" s="232" t="s">
        <v>48</v>
      </c>
      <c r="BE3" s="232" t="s">
        <v>49</v>
      </c>
      <c r="BF3" s="232" t="s">
        <v>46</v>
      </c>
      <c r="BG3" s="232" t="s">
        <v>47</v>
      </c>
      <c r="BH3" s="232" t="s">
        <v>48</v>
      </c>
      <c r="BI3" s="232" t="s">
        <v>49</v>
      </c>
      <c r="BJ3" s="232" t="s">
        <v>46</v>
      </c>
      <c r="BK3" s="232" t="s">
        <v>47</v>
      </c>
      <c r="BL3" s="232" t="s">
        <v>48</v>
      </c>
      <c r="BM3" s="232" t="s">
        <v>49</v>
      </c>
      <c r="BN3" s="232" t="s">
        <v>46</v>
      </c>
      <c r="BO3" s="232" t="s">
        <v>47</v>
      </c>
      <c r="BP3" s="232" t="s">
        <v>48</v>
      </c>
      <c r="BQ3" s="232" t="s">
        <v>49</v>
      </c>
      <c r="BR3" s="232" t="s">
        <v>46</v>
      </c>
      <c r="BS3" s="232" t="s">
        <v>47</v>
      </c>
      <c r="BT3" s="232" t="s">
        <v>48</v>
      </c>
      <c r="BU3" s="232" t="s">
        <v>49</v>
      </c>
      <c r="BV3" s="232" t="s">
        <v>46</v>
      </c>
      <c r="BW3" s="232" t="s">
        <v>47</v>
      </c>
      <c r="BX3" s="232" t="s">
        <v>48</v>
      </c>
      <c r="BY3" s="233"/>
      <c r="BZ3" s="233"/>
      <c r="CA3" s="233"/>
      <c r="CB3" s="233"/>
      <c r="CC3" s="233"/>
      <c r="CD3" s="233"/>
      <c r="CE3" s="233"/>
      <c r="CF3" s="233"/>
      <c r="CG3" s="233"/>
      <c r="CH3" s="233"/>
      <c r="CI3" s="233"/>
      <c r="CJ3" s="233"/>
      <c r="CK3" s="233"/>
      <c r="CL3" s="233"/>
      <c r="CM3" s="233"/>
      <c r="CN3" s="233"/>
      <c r="CO3" s="233"/>
      <c r="CP3" s="233"/>
      <c r="CQ3" s="233"/>
      <c r="CR3" s="233"/>
      <c r="CS3" s="233"/>
      <c r="CT3" s="233"/>
      <c r="CU3" s="233"/>
      <c r="CV3" s="233"/>
      <c r="CW3" s="233"/>
      <c r="CX3" s="233"/>
      <c r="CY3" s="233"/>
      <c r="CZ3" s="233"/>
      <c r="DA3" s="233"/>
      <c r="DB3" s="233"/>
      <c r="DC3" s="233"/>
      <c r="DD3" s="233"/>
      <c r="DE3" s="233"/>
      <c r="DF3" s="233"/>
      <c r="DG3" s="233"/>
      <c r="DH3" s="233"/>
      <c r="DI3" s="233"/>
      <c r="DJ3" s="233"/>
      <c r="DK3" s="233"/>
      <c r="DL3" s="233"/>
      <c r="DM3" s="233"/>
      <c r="DN3" s="233"/>
      <c r="DO3" s="233"/>
      <c r="DP3" s="233"/>
      <c r="DQ3" s="233"/>
      <c r="DR3" s="233"/>
      <c r="DS3" s="233"/>
      <c r="DT3" s="233"/>
      <c r="DU3" s="233"/>
      <c r="DV3" s="233"/>
      <c r="DW3" s="233"/>
      <c r="DX3" s="233"/>
      <c r="DY3" s="233"/>
      <c r="DZ3" s="233"/>
      <c r="EA3" s="233"/>
      <c r="EB3" s="233"/>
      <c r="EC3" s="233"/>
      <c r="ED3" s="233"/>
      <c r="EE3" s="233"/>
      <c r="EF3" s="233"/>
      <c r="EG3" s="233"/>
      <c r="EH3" s="233"/>
      <c r="EI3" s="233"/>
      <c r="EJ3" s="233"/>
      <c r="EK3" s="233"/>
      <c r="EL3" s="233"/>
      <c r="EM3" s="233"/>
      <c r="EN3" s="233"/>
      <c r="EO3" s="233"/>
      <c r="EP3" s="233"/>
      <c r="EQ3" s="233"/>
      <c r="ER3" s="233"/>
      <c r="ES3" s="233"/>
      <c r="ET3" s="233"/>
      <c r="EU3" s="233"/>
      <c r="EV3" s="233"/>
      <c r="EW3" s="233"/>
      <c r="EX3" s="233"/>
      <c r="EY3" s="233"/>
      <c r="EZ3" s="233"/>
      <c r="FA3" s="233"/>
      <c r="FB3" s="233"/>
      <c r="FC3" s="233"/>
      <c r="FD3" s="233"/>
      <c r="FE3" s="233"/>
      <c r="FF3" s="233"/>
      <c r="FG3" s="233"/>
      <c r="FH3" s="233"/>
      <c r="FI3" s="233"/>
      <c r="FJ3" s="233"/>
      <c r="FK3" s="233"/>
      <c r="FL3" s="233"/>
      <c r="FM3" s="233"/>
      <c r="FN3" s="233"/>
      <c r="FO3" s="233"/>
      <c r="FP3" s="233"/>
      <c r="FQ3" s="233"/>
      <c r="FR3" s="233"/>
      <c r="FS3" s="233"/>
      <c r="FT3" s="233"/>
      <c r="FU3" s="233"/>
      <c r="FV3" s="233"/>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K3" s="233"/>
      <c r="HL3" s="233"/>
      <c r="HM3" s="233"/>
      <c r="HN3" s="233"/>
      <c r="HO3" s="233"/>
      <c r="HP3" s="233"/>
      <c r="HQ3" s="233"/>
      <c r="HR3" s="233"/>
      <c r="HS3" s="233"/>
      <c r="HT3" s="233"/>
      <c r="HU3" s="233"/>
      <c r="HV3" s="233"/>
      <c r="HW3" s="233"/>
      <c r="HX3" s="233"/>
      <c r="HY3" s="233"/>
      <c r="HZ3" s="233"/>
      <c r="IA3" s="233"/>
      <c r="IB3" s="233"/>
      <c r="IC3" s="233"/>
      <c r="ID3" s="233"/>
      <c r="IE3" s="233"/>
      <c r="IF3" s="233"/>
      <c r="IG3" s="233"/>
      <c r="IH3" s="233"/>
      <c r="II3" s="233"/>
      <c r="IJ3" s="233"/>
      <c r="IK3" s="233"/>
      <c r="IL3" s="233"/>
      <c r="IM3" s="233"/>
      <c r="IN3" s="233"/>
      <c r="IO3" s="233"/>
      <c r="IP3" s="233"/>
      <c r="IQ3" s="233"/>
      <c r="IR3" s="233"/>
      <c r="IS3" s="233"/>
      <c r="IT3" s="233"/>
      <c r="IU3" s="233"/>
      <c r="IV3" s="233"/>
    </row>
    <row r="4" spans="1:256" ht="15" x14ac:dyDescent="0.25">
      <c r="A4" s="235"/>
      <c r="B4" s="236" t="s">
        <v>160</v>
      </c>
      <c r="C4" s="235"/>
      <c r="D4" s="210"/>
      <c r="E4" s="210"/>
      <c r="F4" s="210"/>
      <c r="G4" s="210"/>
      <c r="H4" s="210"/>
      <c r="I4" s="210"/>
      <c r="J4" s="210"/>
      <c r="K4" s="210"/>
      <c r="L4" s="210"/>
      <c r="M4" s="210"/>
      <c r="N4" s="209">
        <v>18438.092069659819</v>
      </c>
      <c r="O4" s="209">
        <v>18740.374183898934</v>
      </c>
      <c r="P4" s="209">
        <v>17181.254856522817</v>
      </c>
      <c r="Q4" s="209">
        <v>16321.572376088841</v>
      </c>
      <c r="R4" s="209">
        <v>25953.39353160395</v>
      </c>
      <c r="S4" s="209">
        <v>14142.152113896023</v>
      </c>
      <c r="T4" s="209">
        <v>16187.078762889905</v>
      </c>
      <c r="U4" s="209">
        <v>16964.180554422041</v>
      </c>
      <c r="V4" s="209">
        <v>19079.439957953575</v>
      </c>
      <c r="W4" s="209">
        <v>20885.771860505967</v>
      </c>
      <c r="X4" s="209">
        <v>17549.950016822611</v>
      </c>
      <c r="Y4" s="209">
        <v>15863.536879099491</v>
      </c>
      <c r="Z4" s="209">
        <v>13447.428367594741</v>
      </c>
      <c r="AA4" s="209">
        <v>14816.681076250552</v>
      </c>
      <c r="AB4" s="209">
        <v>18669.810063796565</v>
      </c>
      <c r="AC4" s="209">
        <v>28609.736406914915</v>
      </c>
      <c r="AD4" s="209">
        <v>20291.292558046865</v>
      </c>
      <c r="AE4" s="209">
        <v>20577.360819040205</v>
      </c>
      <c r="AF4" s="209">
        <v>20840.899795437348</v>
      </c>
      <c r="AG4" s="209">
        <v>22495.632251627594</v>
      </c>
      <c r="AH4" s="209">
        <v>20948.601800065822</v>
      </c>
      <c r="AI4" s="209">
        <v>19529.102112425364</v>
      </c>
      <c r="AJ4" s="209">
        <v>25505.208195041767</v>
      </c>
      <c r="AK4" s="209">
        <v>18865.708255787689</v>
      </c>
      <c r="AL4" s="209">
        <v>20874.190620927049</v>
      </c>
      <c r="AM4" s="209">
        <v>21623.428029318533</v>
      </c>
      <c r="AN4" s="209">
        <v>21465.366398289108</v>
      </c>
      <c r="AO4" s="209">
        <v>21842.389405563514</v>
      </c>
      <c r="AP4" s="209">
        <v>23248.066314010612</v>
      </c>
      <c r="AQ4" s="209">
        <v>22529.059429096793</v>
      </c>
      <c r="AR4" s="209">
        <v>23923.388299794857</v>
      </c>
      <c r="AS4" s="209">
        <v>24454.462778004978</v>
      </c>
      <c r="AT4" s="209">
        <v>24038.250076305558</v>
      </c>
      <c r="AU4" s="209">
        <v>24563.70171484811</v>
      </c>
      <c r="AV4" s="209">
        <v>25441.967192411888</v>
      </c>
      <c r="AW4" s="209">
        <v>26601.723270934766</v>
      </c>
      <c r="AX4" s="209">
        <v>26844.085686634273</v>
      </c>
      <c r="AY4" s="209">
        <v>27148.058846851167</v>
      </c>
      <c r="AZ4" s="209">
        <v>25751.819432791548</v>
      </c>
      <c r="BA4" s="209">
        <v>24193.336134558529</v>
      </c>
      <c r="BB4" s="209">
        <v>26743.635552201387</v>
      </c>
      <c r="BC4" s="209">
        <v>27535.717456495116</v>
      </c>
      <c r="BD4" s="209">
        <v>27959.892608499875</v>
      </c>
      <c r="BE4" s="209">
        <v>28041.197001379162</v>
      </c>
      <c r="BF4" s="209">
        <v>26850.703740917525</v>
      </c>
      <c r="BG4" s="209">
        <v>27625.768085725082</v>
      </c>
      <c r="BH4" s="209">
        <v>30017.532372307054</v>
      </c>
      <c r="BI4" s="209">
        <v>30591.525379885556</v>
      </c>
      <c r="BJ4" s="209">
        <v>29841.541706212771</v>
      </c>
      <c r="BK4" s="209">
        <v>29485.956884973297</v>
      </c>
      <c r="BL4" s="209">
        <v>29659.053566030569</v>
      </c>
      <c r="BM4" s="209">
        <v>30471.703547661906</v>
      </c>
      <c r="BN4" s="209">
        <v>30977.553793724113</v>
      </c>
      <c r="BO4" s="209">
        <v>30494.756505850681</v>
      </c>
      <c r="BP4" s="209">
        <v>29634.311097692913</v>
      </c>
      <c r="BQ4" s="209">
        <v>31208.214827165222</v>
      </c>
      <c r="BR4" s="209">
        <v>33156.228119480053</v>
      </c>
      <c r="BS4" s="209">
        <v>32025.847130440863</v>
      </c>
      <c r="BT4" s="209">
        <v>35897.73390746893</v>
      </c>
      <c r="BU4" s="209">
        <v>34030.653104030702</v>
      </c>
      <c r="BV4" s="209">
        <v>37469.79143674708</v>
      </c>
      <c r="BW4" s="209">
        <v>37863.361353002263</v>
      </c>
      <c r="BX4" s="209">
        <v>37294.917834376487</v>
      </c>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ht="15" x14ac:dyDescent="0.25">
      <c r="A5" s="235"/>
      <c r="B5" s="237" t="s">
        <v>159</v>
      </c>
      <c r="C5" s="233"/>
      <c r="D5" s="215"/>
      <c r="E5" s="215"/>
      <c r="F5" s="215"/>
      <c r="G5" s="215"/>
      <c r="H5" s="215"/>
      <c r="I5" s="215"/>
      <c r="J5" s="215"/>
      <c r="K5" s="215"/>
      <c r="L5" s="233"/>
      <c r="M5" s="233"/>
      <c r="N5" s="233">
        <v>2035.7631059424357</v>
      </c>
      <c r="O5" s="233">
        <v>2352.4469554488637</v>
      </c>
      <c r="P5" s="233">
        <v>2468.2002025701672</v>
      </c>
      <c r="Q5" s="233">
        <v>2082.5712837403585</v>
      </c>
      <c r="R5" s="233">
        <v>1796.8404804798768</v>
      </c>
      <c r="S5" s="233">
        <v>1582.2826146347138</v>
      </c>
      <c r="T5" s="233">
        <v>1578.0591525366574</v>
      </c>
      <c r="U5" s="233">
        <v>1586.1131711536939</v>
      </c>
      <c r="V5" s="233">
        <v>1709.7231349980777</v>
      </c>
      <c r="W5" s="233">
        <v>1689.2502619679599</v>
      </c>
      <c r="X5" s="233">
        <v>1588.7388359738311</v>
      </c>
      <c r="Y5" s="233">
        <v>1562.4339599524662</v>
      </c>
      <c r="Z5" s="233">
        <v>1593.3709100778456</v>
      </c>
      <c r="AA5" s="233">
        <v>1612.3034527930133</v>
      </c>
      <c r="AB5" s="233">
        <v>1798.0798882565778</v>
      </c>
      <c r="AC5" s="233">
        <v>1994.7635542560404</v>
      </c>
      <c r="AD5" s="233">
        <v>1932.5509994393215</v>
      </c>
      <c r="AE5" s="233">
        <v>2014.7281508604772</v>
      </c>
      <c r="AF5" s="233">
        <v>2076.0684800214476</v>
      </c>
      <c r="AG5" s="233">
        <v>2088.9634232275944</v>
      </c>
      <c r="AH5" s="233">
        <v>2007.8333521363256</v>
      </c>
      <c r="AI5" s="233">
        <v>2069.187500177818</v>
      </c>
      <c r="AJ5" s="233">
        <v>1831.2563747104491</v>
      </c>
      <c r="AK5" s="233">
        <v>1811.8980534183038</v>
      </c>
      <c r="AL5" s="233">
        <v>2125.8240488435545</v>
      </c>
      <c r="AM5" s="233">
        <v>2056.8719655899399</v>
      </c>
      <c r="AN5" s="233">
        <v>2160.4362497199259</v>
      </c>
      <c r="AO5" s="233">
        <v>2341.5442767076061</v>
      </c>
      <c r="AP5" s="233">
        <v>2503.0388064928948</v>
      </c>
      <c r="AQ5" s="233">
        <v>2510.6887961239222</v>
      </c>
      <c r="AR5" s="233">
        <v>2582.7175977857496</v>
      </c>
      <c r="AS5" s="233">
        <v>2484.8574507430717</v>
      </c>
      <c r="AT5" s="233">
        <v>2569.9846523717438</v>
      </c>
      <c r="AU5" s="233">
        <v>2612.3747102898265</v>
      </c>
      <c r="AV5" s="233">
        <v>2582.0593216908501</v>
      </c>
      <c r="AW5" s="233">
        <v>3063.6060408057288</v>
      </c>
      <c r="AX5" s="233">
        <v>2791.2479211216892</v>
      </c>
      <c r="AY5" s="233">
        <v>3218.3487496061834</v>
      </c>
      <c r="AZ5" s="233">
        <v>3117.2980429732452</v>
      </c>
      <c r="BA5" s="233">
        <v>3110.3375676288683</v>
      </c>
      <c r="BB5" s="233">
        <v>2989.8799976096775</v>
      </c>
      <c r="BC5" s="233">
        <v>3399.0924202830101</v>
      </c>
      <c r="BD5" s="233">
        <v>3449.2688152763699</v>
      </c>
      <c r="BE5" s="233">
        <v>3217.5644162464469</v>
      </c>
      <c r="BF5" s="233">
        <v>3151.4496715818623</v>
      </c>
      <c r="BG5" s="233">
        <v>3094.0193187789205</v>
      </c>
      <c r="BH5" s="233">
        <v>3719.6790487559797</v>
      </c>
      <c r="BI5" s="233">
        <v>3743.4339873547656</v>
      </c>
      <c r="BJ5" s="233">
        <v>3702.8630208265727</v>
      </c>
      <c r="BK5" s="233">
        <v>3734.8747814759026</v>
      </c>
      <c r="BL5" s="233">
        <v>3458.5493354088917</v>
      </c>
      <c r="BM5" s="233">
        <v>3396.9839833621891</v>
      </c>
      <c r="BN5" s="233">
        <v>3690.0830604755224</v>
      </c>
      <c r="BO5" s="233">
        <v>3715.6358869280643</v>
      </c>
      <c r="BP5" s="233">
        <v>4109.3054608976609</v>
      </c>
      <c r="BQ5" s="233">
        <v>4816.3042321911871</v>
      </c>
      <c r="BR5" s="233">
        <v>4895.813069177023</v>
      </c>
      <c r="BS5" s="233">
        <v>5212.5120805192464</v>
      </c>
      <c r="BT5" s="233">
        <v>5547.4402768087757</v>
      </c>
      <c r="BU5" s="233">
        <v>5460.3181948324773</v>
      </c>
      <c r="BV5" s="233">
        <v>5825.6055490593535</v>
      </c>
      <c r="BW5" s="233">
        <v>5693.1327544968517</v>
      </c>
      <c r="BX5" s="233">
        <v>6000.0223815881791</v>
      </c>
      <c r="BY5" s="233"/>
      <c r="BZ5" s="233"/>
      <c r="CA5" s="233"/>
      <c r="CB5" s="233"/>
      <c r="CC5" s="233"/>
      <c r="CD5" s="233"/>
      <c r="CE5" s="233"/>
      <c r="CF5" s="233"/>
      <c r="CG5" s="233"/>
      <c r="CH5" s="233"/>
      <c r="CI5" s="233"/>
      <c r="CJ5" s="233"/>
      <c r="CK5" s="233"/>
      <c r="CL5" s="233"/>
      <c r="CM5" s="233"/>
      <c r="CN5" s="233"/>
      <c r="CO5" s="233"/>
      <c r="CP5" s="233"/>
      <c r="CQ5" s="233"/>
      <c r="CR5" s="233"/>
      <c r="CS5" s="233"/>
      <c r="CT5" s="233"/>
      <c r="CU5" s="233"/>
      <c r="CV5" s="233"/>
      <c r="CW5" s="233"/>
      <c r="CX5" s="233"/>
      <c r="CY5" s="233"/>
      <c r="CZ5" s="233"/>
      <c r="DA5" s="233"/>
      <c r="DB5" s="233"/>
      <c r="DC5" s="233"/>
      <c r="DD5" s="233"/>
      <c r="DE5" s="233"/>
      <c r="DF5" s="233"/>
      <c r="DG5" s="233"/>
      <c r="DH5" s="233"/>
      <c r="DI5" s="233"/>
      <c r="DJ5" s="233"/>
      <c r="DK5" s="233"/>
      <c r="DL5" s="233"/>
      <c r="DM5" s="233"/>
      <c r="DN5" s="233"/>
      <c r="DO5" s="233"/>
      <c r="DP5" s="233"/>
      <c r="DQ5" s="233"/>
      <c r="DR5" s="233"/>
      <c r="DS5" s="233"/>
      <c r="DT5" s="233"/>
      <c r="DU5" s="233"/>
      <c r="DV5" s="233"/>
      <c r="DW5" s="233"/>
      <c r="DX5" s="233"/>
      <c r="DY5" s="233"/>
      <c r="DZ5" s="233"/>
      <c r="EA5" s="233"/>
      <c r="EB5" s="233"/>
      <c r="EC5" s="233"/>
      <c r="ED5" s="233"/>
      <c r="EE5" s="233"/>
      <c r="EF5" s="233"/>
      <c r="EG5" s="233"/>
      <c r="EH5" s="233"/>
      <c r="EI5" s="233"/>
      <c r="EJ5" s="233"/>
      <c r="EK5" s="233"/>
      <c r="EL5" s="233"/>
      <c r="EM5" s="233"/>
      <c r="EN5" s="233"/>
      <c r="EO5" s="233"/>
      <c r="EP5" s="233"/>
      <c r="EQ5" s="233"/>
      <c r="ER5" s="233"/>
      <c r="ES5" s="233"/>
      <c r="ET5" s="233"/>
      <c r="EU5" s="233"/>
      <c r="EV5" s="233"/>
      <c r="EW5" s="233"/>
      <c r="EX5" s="233"/>
      <c r="EY5" s="233"/>
      <c r="EZ5" s="233"/>
      <c r="FA5" s="233"/>
      <c r="FB5" s="233"/>
      <c r="FC5" s="233"/>
      <c r="FD5" s="233"/>
      <c r="FE5" s="233"/>
      <c r="FF5" s="233"/>
      <c r="FG5" s="233"/>
      <c r="FH5" s="233"/>
      <c r="FI5" s="233"/>
      <c r="FJ5" s="233"/>
      <c r="FK5" s="233"/>
      <c r="FL5" s="233"/>
      <c r="FM5" s="233"/>
      <c r="FN5" s="233"/>
      <c r="FO5" s="233"/>
      <c r="FP5" s="233"/>
      <c r="FQ5" s="233"/>
      <c r="FR5" s="233"/>
      <c r="FS5" s="233"/>
      <c r="FT5" s="233"/>
      <c r="FU5" s="233"/>
      <c r="FV5" s="233"/>
      <c r="FW5" s="233"/>
      <c r="FX5" s="233"/>
      <c r="FY5" s="233"/>
      <c r="FZ5" s="233"/>
      <c r="GA5" s="233"/>
      <c r="GB5" s="233"/>
      <c r="GC5" s="233"/>
      <c r="GD5" s="233"/>
      <c r="GE5" s="233"/>
      <c r="GF5" s="233"/>
      <c r="GG5" s="233"/>
      <c r="GH5" s="233"/>
      <c r="GI5" s="233"/>
      <c r="GJ5" s="233"/>
      <c r="GK5" s="233"/>
      <c r="GL5" s="233"/>
      <c r="GM5" s="233"/>
      <c r="GN5" s="233"/>
      <c r="GO5" s="233"/>
      <c r="GP5" s="233"/>
      <c r="GQ5" s="233"/>
      <c r="GR5" s="233"/>
      <c r="GS5" s="233"/>
      <c r="GT5" s="233"/>
      <c r="GU5" s="233"/>
      <c r="GV5" s="233"/>
      <c r="GW5" s="233"/>
      <c r="GX5" s="233"/>
      <c r="GY5" s="233"/>
      <c r="GZ5" s="233"/>
      <c r="HA5" s="233"/>
      <c r="HB5" s="233"/>
      <c r="HC5" s="233"/>
      <c r="HD5" s="233"/>
      <c r="HE5" s="233"/>
      <c r="HF5" s="233"/>
      <c r="HG5" s="233"/>
      <c r="HH5" s="233"/>
      <c r="HI5" s="233"/>
      <c r="HJ5" s="233"/>
      <c r="HK5" s="233"/>
      <c r="HL5" s="233"/>
      <c r="HM5" s="233"/>
      <c r="HN5" s="233"/>
      <c r="HO5" s="233"/>
      <c r="HP5" s="233"/>
      <c r="HQ5" s="233"/>
      <c r="HR5" s="233"/>
      <c r="HS5" s="233"/>
      <c r="HT5" s="233"/>
      <c r="HU5" s="233"/>
      <c r="HV5" s="233"/>
      <c r="HW5" s="233"/>
      <c r="HX5" s="233"/>
      <c r="HY5" s="233"/>
      <c r="HZ5" s="233"/>
      <c r="IA5" s="233"/>
      <c r="IB5" s="233"/>
      <c r="IC5" s="233"/>
      <c r="ID5" s="233"/>
      <c r="IE5" s="233"/>
      <c r="IF5" s="233"/>
      <c r="IG5" s="233"/>
      <c r="IH5" s="233"/>
      <c r="II5" s="233"/>
      <c r="IJ5" s="233"/>
      <c r="IK5" s="233"/>
      <c r="IL5" s="233"/>
      <c r="IM5" s="233"/>
      <c r="IN5" s="233"/>
      <c r="IO5" s="233"/>
      <c r="IP5" s="233"/>
      <c r="IQ5" s="233"/>
      <c r="IR5" s="233"/>
      <c r="IS5" s="233"/>
      <c r="IT5" s="233"/>
      <c r="IU5" s="233"/>
      <c r="IV5" s="233"/>
    </row>
    <row r="6" spans="1:256" ht="15" x14ac:dyDescent="0.25">
      <c r="A6" s="233"/>
      <c r="B6" s="237" t="s">
        <v>158</v>
      </c>
      <c r="C6" s="233"/>
      <c r="D6" s="215"/>
      <c r="E6" s="215"/>
      <c r="F6" s="215"/>
      <c r="G6" s="215"/>
      <c r="H6" s="215"/>
      <c r="I6" s="215"/>
      <c r="J6" s="215"/>
      <c r="K6" s="215"/>
      <c r="L6" s="215"/>
      <c r="M6" s="215"/>
      <c r="N6" s="233">
        <v>818.23869555576528</v>
      </c>
      <c r="O6" s="233">
        <v>824.17462610871769</v>
      </c>
      <c r="P6" s="233">
        <v>828.70258356956197</v>
      </c>
      <c r="Q6" s="233">
        <v>829.42482439160835</v>
      </c>
      <c r="R6" s="233">
        <v>839.07543273859574</v>
      </c>
      <c r="S6" s="233">
        <v>838.72778609808609</v>
      </c>
      <c r="T6" s="233">
        <v>843.80693150587581</v>
      </c>
      <c r="U6" s="233">
        <v>860.38814852068856</v>
      </c>
      <c r="V6" s="233">
        <v>869.53353567341924</v>
      </c>
      <c r="W6" s="233">
        <v>873.93031787626796</v>
      </c>
      <c r="X6" s="233">
        <v>882.14983044190467</v>
      </c>
      <c r="Y6" s="233">
        <v>889.9781268943658</v>
      </c>
      <c r="Z6" s="233">
        <v>886.78971706491643</v>
      </c>
      <c r="AA6" s="233">
        <v>908.18411191502219</v>
      </c>
      <c r="AB6" s="233">
        <v>933.27870580561705</v>
      </c>
      <c r="AC6" s="233">
        <v>921.88336361024176</v>
      </c>
      <c r="AD6" s="233">
        <v>944.85449437956299</v>
      </c>
      <c r="AE6" s="233">
        <v>949.94444425954271</v>
      </c>
      <c r="AF6" s="233">
        <v>955.89668380298417</v>
      </c>
      <c r="AG6" s="233">
        <v>962.79534665739982</v>
      </c>
      <c r="AH6" s="233">
        <v>972.71316714212821</v>
      </c>
      <c r="AI6" s="233">
        <v>989.16532779639419</v>
      </c>
      <c r="AJ6" s="233">
        <v>993.20481495430317</v>
      </c>
      <c r="AK6" s="233">
        <v>1005.0516742452987</v>
      </c>
      <c r="AL6" s="233">
        <v>1028.1466843349997</v>
      </c>
      <c r="AM6" s="233">
        <v>1046.9034935913419</v>
      </c>
      <c r="AN6" s="233">
        <v>1079.596718071816</v>
      </c>
      <c r="AO6" s="233">
        <v>1108.5515247342296</v>
      </c>
      <c r="AP6" s="233">
        <v>1141.2670152035387</v>
      </c>
      <c r="AQ6" s="233">
        <v>1187.3189710504687</v>
      </c>
      <c r="AR6" s="233">
        <v>1244.2750203088717</v>
      </c>
      <c r="AS6" s="233">
        <v>1305.1321708050007</v>
      </c>
      <c r="AT6" s="233">
        <v>1374.0488149304879</v>
      </c>
      <c r="AU6" s="233">
        <v>1403.1088914863126</v>
      </c>
      <c r="AV6" s="233">
        <v>1388.7859049259816</v>
      </c>
      <c r="AW6" s="233">
        <v>1343.0038275695265</v>
      </c>
      <c r="AX6" s="233">
        <v>1255.4220767456097</v>
      </c>
      <c r="AY6" s="233">
        <v>1193.5743384388834</v>
      </c>
      <c r="AZ6" s="233">
        <v>1139.83595608418</v>
      </c>
      <c r="BA6" s="233">
        <v>1112.8271643596556</v>
      </c>
      <c r="BB6" s="233">
        <v>1102.7583282568407</v>
      </c>
      <c r="BC6" s="233">
        <v>1115.1244665347338</v>
      </c>
      <c r="BD6" s="233">
        <v>1153.189007635387</v>
      </c>
      <c r="BE6" s="233">
        <v>1196.3929149700771</v>
      </c>
      <c r="BF6" s="233">
        <v>1234.7296279098748</v>
      </c>
      <c r="BG6" s="233">
        <v>1275.6471517591799</v>
      </c>
      <c r="BH6" s="233">
        <v>1302.5840447617063</v>
      </c>
      <c r="BI6" s="233">
        <v>1335.7385901029943</v>
      </c>
      <c r="BJ6" s="233">
        <v>1369.5179672710785</v>
      </c>
      <c r="BK6" s="233">
        <v>1360.8704589225426</v>
      </c>
      <c r="BL6" s="233">
        <v>1378.1348372520276</v>
      </c>
      <c r="BM6" s="233">
        <v>1387.3655156804</v>
      </c>
      <c r="BN6" s="233">
        <v>1416.5548665387346</v>
      </c>
      <c r="BO6" s="233">
        <v>1448.2290363094951</v>
      </c>
      <c r="BP6" s="233">
        <v>1326.1759281401464</v>
      </c>
      <c r="BQ6" s="233">
        <v>1351.8162339092614</v>
      </c>
      <c r="BR6" s="233">
        <v>1337.1163400629287</v>
      </c>
      <c r="BS6" s="233">
        <v>1342.2923936299867</v>
      </c>
      <c r="BT6" s="233">
        <v>1180.68738593032</v>
      </c>
      <c r="BU6" s="233">
        <v>1287.8595105084253</v>
      </c>
      <c r="BV6" s="233">
        <v>1360.9537232741166</v>
      </c>
      <c r="BW6" s="233">
        <v>1295.4742337379969</v>
      </c>
      <c r="BX6" s="233">
        <v>1379.2209348133226</v>
      </c>
      <c r="BY6" s="233"/>
      <c r="BZ6" s="233"/>
      <c r="CA6" s="233"/>
      <c r="CB6" s="233"/>
      <c r="CC6" s="233"/>
      <c r="CD6" s="233"/>
      <c r="CE6" s="233"/>
      <c r="CF6" s="233"/>
      <c r="CG6" s="233"/>
      <c r="CH6" s="233"/>
      <c r="CI6" s="233"/>
      <c r="CJ6" s="233"/>
      <c r="CK6" s="233"/>
      <c r="CL6" s="233"/>
      <c r="CM6" s="233"/>
      <c r="CN6" s="233"/>
      <c r="CO6" s="233"/>
      <c r="CP6" s="233"/>
      <c r="CQ6" s="233"/>
      <c r="CR6" s="233"/>
      <c r="CS6" s="233"/>
      <c r="CT6" s="233"/>
      <c r="CU6" s="233"/>
      <c r="CV6" s="233"/>
      <c r="CW6" s="233"/>
      <c r="CX6" s="233"/>
      <c r="CY6" s="233"/>
      <c r="CZ6" s="233"/>
      <c r="DA6" s="233"/>
      <c r="DB6" s="233"/>
      <c r="DC6" s="233"/>
      <c r="DD6" s="233"/>
      <c r="DE6" s="233"/>
      <c r="DF6" s="233"/>
      <c r="DG6" s="233"/>
      <c r="DH6" s="233"/>
      <c r="DI6" s="233"/>
      <c r="DJ6" s="233"/>
      <c r="DK6" s="233"/>
      <c r="DL6" s="233"/>
      <c r="DM6" s="233"/>
      <c r="DN6" s="233"/>
      <c r="DO6" s="233"/>
      <c r="DP6" s="233"/>
      <c r="DQ6" s="233"/>
      <c r="DR6" s="233"/>
      <c r="DS6" s="233"/>
      <c r="DT6" s="233"/>
      <c r="DU6" s="233"/>
      <c r="DV6" s="233"/>
      <c r="DW6" s="233"/>
      <c r="DX6" s="233"/>
      <c r="DY6" s="233"/>
      <c r="DZ6" s="233"/>
      <c r="EA6" s="233"/>
      <c r="EB6" s="233"/>
      <c r="EC6" s="233"/>
      <c r="ED6" s="233"/>
      <c r="EE6" s="233"/>
      <c r="EF6" s="233"/>
      <c r="EG6" s="233"/>
      <c r="EH6" s="233"/>
      <c r="EI6" s="233"/>
      <c r="EJ6" s="233"/>
      <c r="EK6" s="233"/>
      <c r="EL6" s="233"/>
      <c r="EM6" s="233"/>
      <c r="EN6" s="233"/>
      <c r="EO6" s="233"/>
      <c r="EP6" s="233"/>
      <c r="EQ6" s="233"/>
      <c r="ER6" s="233"/>
      <c r="ES6" s="233"/>
      <c r="ET6" s="233"/>
      <c r="EU6" s="233"/>
      <c r="EV6" s="233"/>
      <c r="EW6" s="233"/>
      <c r="EX6" s="233"/>
      <c r="EY6" s="233"/>
      <c r="EZ6" s="233"/>
      <c r="FA6" s="233"/>
      <c r="FB6" s="233"/>
      <c r="FC6" s="233"/>
      <c r="FD6" s="233"/>
      <c r="FE6" s="233"/>
      <c r="FF6" s="233"/>
      <c r="FG6" s="233"/>
      <c r="FH6" s="233"/>
      <c r="FI6" s="233"/>
      <c r="FJ6" s="233"/>
      <c r="FK6" s="233"/>
      <c r="FL6" s="233"/>
      <c r="FM6" s="233"/>
      <c r="FN6" s="233"/>
      <c r="FO6" s="233"/>
      <c r="FP6" s="233"/>
      <c r="FQ6" s="233"/>
      <c r="FR6" s="233"/>
      <c r="FS6" s="233"/>
      <c r="FT6" s="233"/>
      <c r="FU6" s="233"/>
      <c r="FV6" s="233"/>
      <c r="FW6" s="233"/>
      <c r="FX6" s="233"/>
      <c r="FY6" s="233"/>
      <c r="FZ6" s="233"/>
      <c r="GA6" s="233"/>
      <c r="GB6" s="233"/>
      <c r="GC6" s="233"/>
      <c r="GD6" s="233"/>
      <c r="GE6" s="233"/>
      <c r="GF6" s="233"/>
      <c r="GG6" s="233"/>
      <c r="GH6" s="233"/>
      <c r="GI6" s="233"/>
      <c r="GJ6" s="233"/>
      <c r="GK6" s="233"/>
      <c r="GL6" s="233"/>
      <c r="GM6" s="233"/>
      <c r="GN6" s="233"/>
      <c r="GO6" s="233"/>
      <c r="GP6" s="233"/>
      <c r="GQ6" s="233"/>
      <c r="GR6" s="233"/>
      <c r="GS6" s="233"/>
      <c r="GT6" s="233"/>
      <c r="GU6" s="233"/>
      <c r="GV6" s="233"/>
      <c r="GW6" s="233"/>
      <c r="GX6" s="233"/>
      <c r="GY6" s="233"/>
      <c r="GZ6" s="233"/>
      <c r="HA6" s="233"/>
      <c r="HB6" s="233"/>
      <c r="HC6" s="233"/>
      <c r="HD6" s="233"/>
      <c r="HE6" s="233"/>
      <c r="HF6" s="233"/>
      <c r="HG6" s="233"/>
      <c r="HH6" s="233"/>
      <c r="HI6" s="233"/>
      <c r="HJ6" s="233"/>
      <c r="HK6" s="233"/>
      <c r="HL6" s="233"/>
      <c r="HM6" s="233"/>
      <c r="HN6" s="233"/>
      <c r="HO6" s="233"/>
      <c r="HP6" s="233"/>
      <c r="HQ6" s="233"/>
      <c r="HR6" s="233"/>
      <c r="HS6" s="233"/>
      <c r="HT6" s="233"/>
      <c r="HU6" s="233"/>
      <c r="HV6" s="233"/>
      <c r="HW6" s="233"/>
      <c r="HX6" s="233"/>
      <c r="HY6" s="233"/>
      <c r="HZ6" s="233"/>
      <c r="IA6" s="233"/>
      <c r="IB6" s="233"/>
      <c r="IC6" s="233"/>
      <c r="ID6" s="233"/>
      <c r="IE6" s="233"/>
      <c r="IF6" s="233"/>
      <c r="IG6" s="233"/>
      <c r="IH6" s="233"/>
      <c r="II6" s="233"/>
      <c r="IJ6" s="233"/>
      <c r="IK6" s="233"/>
      <c r="IL6" s="233"/>
      <c r="IM6" s="233"/>
      <c r="IN6" s="233"/>
      <c r="IO6" s="233"/>
      <c r="IP6" s="233"/>
      <c r="IQ6" s="233"/>
      <c r="IR6" s="233"/>
      <c r="IS6" s="233"/>
      <c r="IT6" s="233"/>
      <c r="IU6" s="233"/>
      <c r="IV6" s="233"/>
    </row>
    <row r="7" spans="1:256" ht="15" x14ac:dyDescent="0.25">
      <c r="A7" s="233"/>
      <c r="B7" s="237" t="s">
        <v>157</v>
      </c>
      <c r="C7" s="233"/>
      <c r="D7" s="216"/>
      <c r="E7" s="216"/>
      <c r="F7" s="216"/>
      <c r="G7" s="216"/>
      <c r="H7" s="216"/>
      <c r="I7" s="216"/>
      <c r="J7" s="216"/>
      <c r="K7" s="216"/>
      <c r="L7" s="216"/>
      <c r="M7" s="216"/>
      <c r="N7" s="233">
        <v>15584.090268161619</v>
      </c>
      <c r="O7" s="233">
        <v>15563.752602341352</v>
      </c>
      <c r="P7" s="233">
        <v>13884.352070383087</v>
      </c>
      <c r="Q7" s="233">
        <v>13409.576267956874</v>
      </c>
      <c r="R7" s="233">
        <v>23317.477618385477</v>
      </c>
      <c r="S7" s="233">
        <v>11721.141713163222</v>
      </c>
      <c r="T7" s="233">
        <v>13765.212678847372</v>
      </c>
      <c r="U7" s="233">
        <v>14517.679234747658</v>
      </c>
      <c r="V7" s="233">
        <v>16500.183287282078</v>
      </c>
      <c r="W7" s="233">
        <v>18322.591280661738</v>
      </c>
      <c r="X7" s="233">
        <v>15079.061350406875</v>
      </c>
      <c r="Y7" s="233">
        <v>13411.124792252658</v>
      </c>
      <c r="Z7" s="233">
        <v>10967.267740451978</v>
      </c>
      <c r="AA7" s="233">
        <v>12296.193511542517</v>
      </c>
      <c r="AB7" s="233">
        <v>15938.451469734369</v>
      </c>
      <c r="AC7" s="233">
        <v>25693.089489048634</v>
      </c>
      <c r="AD7" s="233">
        <v>17413.88706422798</v>
      </c>
      <c r="AE7" s="233">
        <v>17612.688223920184</v>
      </c>
      <c r="AF7" s="233">
        <v>17808.934631612916</v>
      </c>
      <c r="AG7" s="233">
        <v>19443.873481742601</v>
      </c>
      <c r="AH7" s="233">
        <v>17968.055280787368</v>
      </c>
      <c r="AI7" s="233">
        <v>16470.749284451151</v>
      </c>
      <c r="AJ7" s="233">
        <v>22680.747005377016</v>
      </c>
      <c r="AK7" s="233">
        <v>16048.758528124086</v>
      </c>
      <c r="AL7" s="233">
        <v>17720.219887748495</v>
      </c>
      <c r="AM7" s="233">
        <v>18519.652570137252</v>
      </c>
      <c r="AN7" s="233">
        <v>18225.333430497365</v>
      </c>
      <c r="AO7" s="233">
        <v>18392.293604121678</v>
      </c>
      <c r="AP7" s="233">
        <v>19603.760492314177</v>
      </c>
      <c r="AQ7" s="233">
        <v>18831.051661922404</v>
      </c>
      <c r="AR7" s="233">
        <v>20096.395681700236</v>
      </c>
      <c r="AS7" s="233">
        <v>20664.473156456905</v>
      </c>
      <c r="AT7" s="233">
        <v>20094.216609003328</v>
      </c>
      <c r="AU7" s="233">
        <v>20548.218113071973</v>
      </c>
      <c r="AV7" s="233">
        <v>21471.121965795057</v>
      </c>
      <c r="AW7" s="233">
        <v>22195.113402559513</v>
      </c>
      <c r="AX7" s="233">
        <v>22797.415688766974</v>
      </c>
      <c r="AY7" s="233">
        <v>22736.1357588061</v>
      </c>
      <c r="AZ7" s="233">
        <v>21494.685433734125</v>
      </c>
      <c r="BA7" s="233">
        <v>19970.171402570006</v>
      </c>
      <c r="BB7" s="233">
        <v>22650.997226334868</v>
      </c>
      <c r="BC7" s="233">
        <v>23021.500569677373</v>
      </c>
      <c r="BD7" s="233">
        <v>23357.434785588117</v>
      </c>
      <c r="BE7" s="233">
        <v>23627.239670162639</v>
      </c>
      <c r="BF7" s="233">
        <v>22464.524441425787</v>
      </c>
      <c r="BG7" s="233">
        <v>23256.101615186981</v>
      </c>
      <c r="BH7" s="233">
        <v>24995.269278789368</v>
      </c>
      <c r="BI7" s="233">
        <v>25512.352802427795</v>
      </c>
      <c r="BJ7" s="233">
        <v>24769.160718115119</v>
      </c>
      <c r="BK7" s="233">
        <v>24390.211644574851</v>
      </c>
      <c r="BL7" s="233">
        <v>24822.369393369649</v>
      </c>
      <c r="BM7" s="233">
        <v>25687.354048619316</v>
      </c>
      <c r="BN7" s="233">
        <v>25870.915866709856</v>
      </c>
      <c r="BO7" s="233">
        <v>25330.89158261312</v>
      </c>
      <c r="BP7" s="233">
        <v>24198.829708655107</v>
      </c>
      <c r="BQ7" s="233">
        <v>25040.094361064774</v>
      </c>
      <c r="BR7" s="233">
        <v>26923.298710240098</v>
      </c>
      <c r="BS7" s="233">
        <v>25471.042656291629</v>
      </c>
      <c r="BT7" s="233">
        <v>29169.606244729835</v>
      </c>
      <c r="BU7" s="233">
        <v>27282.475398689803</v>
      </c>
      <c r="BV7" s="233">
        <v>30283.23216441361</v>
      </c>
      <c r="BW7" s="233">
        <v>30874.754364767417</v>
      </c>
      <c r="BX7" s="233">
        <v>29915.674517974985</v>
      </c>
      <c r="BY7" s="233"/>
      <c r="BZ7" s="233"/>
      <c r="CA7" s="233"/>
      <c r="CB7" s="233"/>
      <c r="CC7" s="233"/>
      <c r="CD7" s="233"/>
      <c r="CE7" s="233"/>
      <c r="CF7" s="233"/>
      <c r="CG7" s="233"/>
      <c r="CH7" s="233"/>
      <c r="CI7" s="233"/>
      <c r="CJ7" s="233"/>
      <c r="CK7" s="233"/>
      <c r="CL7" s="233"/>
      <c r="CM7" s="233"/>
      <c r="CN7" s="233"/>
      <c r="CO7" s="233"/>
      <c r="CP7" s="233"/>
      <c r="CQ7" s="233"/>
      <c r="CR7" s="233"/>
      <c r="CS7" s="233"/>
      <c r="CT7" s="233"/>
      <c r="CU7" s="233"/>
      <c r="CV7" s="233"/>
      <c r="CW7" s="233"/>
      <c r="CX7" s="233"/>
      <c r="CY7" s="233"/>
      <c r="CZ7" s="233"/>
      <c r="DA7" s="233"/>
      <c r="DB7" s="233"/>
      <c r="DC7" s="233"/>
      <c r="DD7" s="233"/>
      <c r="DE7" s="233"/>
      <c r="DF7" s="233"/>
      <c r="DG7" s="233"/>
      <c r="DH7" s="233"/>
      <c r="DI7" s="233"/>
      <c r="DJ7" s="233"/>
      <c r="DK7" s="233"/>
      <c r="DL7" s="233"/>
      <c r="DM7" s="233"/>
      <c r="DN7" s="233"/>
      <c r="DO7" s="233"/>
      <c r="DP7" s="233"/>
      <c r="DQ7" s="233"/>
      <c r="DR7" s="233"/>
      <c r="DS7" s="233"/>
      <c r="DT7" s="233"/>
      <c r="DU7" s="233"/>
      <c r="DV7" s="233"/>
      <c r="DW7" s="233"/>
      <c r="DX7" s="233"/>
      <c r="DY7" s="233"/>
      <c r="DZ7" s="233"/>
      <c r="EA7" s="233"/>
      <c r="EB7" s="233"/>
      <c r="EC7" s="233"/>
      <c r="ED7" s="233"/>
      <c r="EE7" s="233"/>
      <c r="EF7" s="233"/>
      <c r="EG7" s="233"/>
      <c r="EH7" s="233"/>
      <c r="EI7" s="233"/>
      <c r="EJ7" s="233"/>
      <c r="EK7" s="233"/>
      <c r="EL7" s="233"/>
      <c r="EM7" s="233"/>
      <c r="EN7" s="233"/>
      <c r="EO7" s="233"/>
      <c r="EP7" s="233"/>
      <c r="EQ7" s="233"/>
      <c r="ER7" s="233"/>
      <c r="ES7" s="233"/>
      <c r="ET7" s="233"/>
      <c r="EU7" s="233"/>
      <c r="EV7" s="233"/>
      <c r="EW7" s="233"/>
      <c r="EX7" s="233"/>
      <c r="EY7" s="233"/>
      <c r="EZ7" s="233"/>
      <c r="FA7" s="233"/>
      <c r="FB7" s="233"/>
      <c r="FC7" s="233"/>
      <c r="FD7" s="233"/>
      <c r="FE7" s="233"/>
      <c r="FF7" s="233"/>
      <c r="FG7" s="233"/>
      <c r="FH7" s="233"/>
      <c r="FI7" s="233"/>
      <c r="FJ7" s="233"/>
      <c r="FK7" s="233"/>
      <c r="FL7" s="233"/>
      <c r="FM7" s="233"/>
      <c r="FN7" s="233"/>
      <c r="FO7" s="233"/>
      <c r="FP7" s="233"/>
      <c r="FQ7" s="233"/>
      <c r="FR7" s="233"/>
      <c r="FS7" s="233"/>
      <c r="FT7" s="233"/>
      <c r="FU7" s="233"/>
      <c r="FV7" s="233"/>
      <c r="FW7" s="233"/>
      <c r="FX7" s="233"/>
      <c r="FY7" s="233"/>
      <c r="FZ7" s="233"/>
      <c r="GA7" s="233"/>
      <c r="GB7" s="233"/>
      <c r="GC7" s="233"/>
      <c r="GD7" s="233"/>
      <c r="GE7" s="233"/>
      <c r="GF7" s="233"/>
      <c r="GG7" s="233"/>
      <c r="GH7" s="233"/>
      <c r="GI7" s="233"/>
      <c r="GJ7" s="233"/>
      <c r="GK7" s="233"/>
      <c r="GL7" s="233"/>
      <c r="GM7" s="233"/>
      <c r="GN7" s="233"/>
      <c r="GO7" s="233"/>
      <c r="GP7" s="233"/>
      <c r="GQ7" s="233"/>
      <c r="GR7" s="233"/>
      <c r="GS7" s="233"/>
      <c r="GT7" s="233"/>
      <c r="GU7" s="233"/>
      <c r="GV7" s="233"/>
      <c r="GW7" s="233"/>
      <c r="GX7" s="233"/>
      <c r="GY7" s="233"/>
      <c r="GZ7" s="233"/>
      <c r="HA7" s="233"/>
      <c r="HB7" s="233"/>
      <c r="HC7" s="233"/>
      <c r="HD7" s="233"/>
      <c r="HE7" s="233"/>
      <c r="HF7" s="233"/>
      <c r="HG7" s="233"/>
      <c r="HH7" s="233"/>
      <c r="HI7" s="233"/>
      <c r="HJ7" s="233"/>
      <c r="HK7" s="233"/>
      <c r="HL7" s="233"/>
      <c r="HM7" s="233"/>
      <c r="HN7" s="233"/>
      <c r="HO7" s="233"/>
      <c r="HP7" s="233"/>
      <c r="HQ7" s="233"/>
      <c r="HR7" s="233"/>
      <c r="HS7" s="233"/>
      <c r="HT7" s="233"/>
      <c r="HU7" s="233"/>
      <c r="HV7" s="233"/>
      <c r="HW7" s="233"/>
      <c r="HX7" s="233"/>
      <c r="HY7" s="233"/>
      <c r="HZ7" s="233"/>
      <c r="IA7" s="233"/>
      <c r="IB7" s="233"/>
      <c r="IC7" s="233"/>
      <c r="ID7" s="233"/>
      <c r="IE7" s="233"/>
      <c r="IF7" s="233"/>
      <c r="IG7" s="233"/>
      <c r="IH7" s="233"/>
      <c r="II7" s="233"/>
      <c r="IJ7" s="233"/>
      <c r="IK7" s="233"/>
      <c r="IL7" s="233"/>
      <c r="IM7" s="233"/>
      <c r="IN7" s="233"/>
      <c r="IO7" s="233"/>
      <c r="IP7" s="233"/>
      <c r="IQ7" s="233"/>
      <c r="IR7" s="233"/>
      <c r="IS7" s="233"/>
      <c r="IT7" s="233"/>
      <c r="IU7" s="233"/>
      <c r="IV7" s="233"/>
    </row>
    <row r="8" spans="1:256" ht="15" x14ac:dyDescent="0.25">
      <c r="A8" s="235"/>
      <c r="B8" s="236" t="s">
        <v>156</v>
      </c>
      <c r="C8" s="235"/>
      <c r="D8" s="210"/>
      <c r="E8" s="210"/>
      <c r="F8" s="210"/>
      <c r="G8" s="210"/>
      <c r="H8" s="210"/>
      <c r="I8" s="210"/>
      <c r="J8" s="210"/>
      <c r="K8" s="210"/>
      <c r="L8" s="210"/>
      <c r="M8" s="210"/>
      <c r="N8" s="209">
        <v>5221.2891314937024</v>
      </c>
      <c r="O8" s="209">
        <v>5273.2631653479602</v>
      </c>
      <c r="P8" s="209">
        <v>5439.9222965805484</v>
      </c>
      <c r="Q8" s="209">
        <v>5053.8005130958954</v>
      </c>
      <c r="R8" s="209">
        <v>4981.3456357826553</v>
      </c>
      <c r="S8" s="209">
        <v>4937.9835013491029</v>
      </c>
      <c r="T8" s="209">
        <v>5319.428817859136</v>
      </c>
      <c r="U8" s="209">
        <v>6277.4276938545718</v>
      </c>
      <c r="V8" s="209">
        <v>6667.9732482875079</v>
      </c>
      <c r="W8" s="209">
        <v>6069.4016303577146</v>
      </c>
      <c r="X8" s="209">
        <v>6002.0122184199627</v>
      </c>
      <c r="Y8" s="209">
        <v>5728.4647265275071</v>
      </c>
      <c r="Z8" s="209">
        <v>6165.7769735166048</v>
      </c>
      <c r="AA8" s="209">
        <v>5957.9321216737653</v>
      </c>
      <c r="AB8" s="209">
        <v>5935.881420542154</v>
      </c>
      <c r="AC8" s="209">
        <v>5727.5486835072834</v>
      </c>
      <c r="AD8" s="209">
        <v>5565.6501415551975</v>
      </c>
      <c r="AE8" s="209">
        <v>5794.0310263675938</v>
      </c>
      <c r="AF8" s="209">
        <v>6039.9203793059587</v>
      </c>
      <c r="AG8" s="209">
        <v>6240.6184134878076</v>
      </c>
      <c r="AH8" s="209">
        <v>6431.4642770424616</v>
      </c>
      <c r="AI8" s="209">
        <v>6496.3861225643286</v>
      </c>
      <c r="AJ8" s="209">
        <v>6513.6401471082472</v>
      </c>
      <c r="AK8" s="209">
        <v>6174.9961581640173</v>
      </c>
      <c r="AL8" s="209">
        <v>6327.6641463688356</v>
      </c>
      <c r="AM8" s="209">
        <v>6664.3264741645116</v>
      </c>
      <c r="AN8" s="209">
        <v>6591.5793156309101</v>
      </c>
      <c r="AO8" s="209">
        <v>6510.236054108992</v>
      </c>
      <c r="AP8" s="209">
        <v>7091.029896434673</v>
      </c>
      <c r="AQ8" s="209">
        <v>7103.469569600491</v>
      </c>
      <c r="AR8" s="209">
        <v>7192.1676649827214</v>
      </c>
      <c r="AS8" s="209">
        <v>7232.6920697813885</v>
      </c>
      <c r="AT8" s="209">
        <v>7603.9171907506861</v>
      </c>
      <c r="AU8" s="209">
        <v>7655.8162934147713</v>
      </c>
      <c r="AV8" s="209">
        <v>7878.7692576884065</v>
      </c>
      <c r="AW8" s="209">
        <v>8309.1812275786178</v>
      </c>
      <c r="AX8" s="209">
        <v>7932.8383611635891</v>
      </c>
      <c r="AY8" s="209">
        <v>7950.1152232047652</v>
      </c>
      <c r="AZ8" s="209">
        <v>8393.1519848709941</v>
      </c>
      <c r="BA8" s="209">
        <v>7110.820617359248</v>
      </c>
      <c r="BB8" s="209">
        <v>7101.8955702567437</v>
      </c>
      <c r="BC8" s="209">
        <v>8494.5364774273312</v>
      </c>
      <c r="BD8" s="209">
        <v>8627.8440572658328</v>
      </c>
      <c r="BE8" s="209">
        <v>8591.8821628575606</v>
      </c>
      <c r="BF8" s="209">
        <v>8735.0964719359636</v>
      </c>
      <c r="BG8" s="209">
        <v>9108.083768165774</v>
      </c>
      <c r="BH8" s="209">
        <v>8641.9249305628</v>
      </c>
      <c r="BI8" s="209">
        <v>8742.780527710669</v>
      </c>
      <c r="BJ8" s="209">
        <v>9032.7460523911068</v>
      </c>
      <c r="BK8" s="209">
        <v>9137.0071169893927</v>
      </c>
      <c r="BL8" s="209">
        <v>8956.4693850668846</v>
      </c>
      <c r="BM8" s="209">
        <v>9357.4928450772786</v>
      </c>
      <c r="BN8" s="209">
        <v>9532.2602000485713</v>
      </c>
      <c r="BO8" s="209">
        <v>9328.4029494860806</v>
      </c>
      <c r="BP8" s="209">
        <v>9878.127157118075</v>
      </c>
      <c r="BQ8" s="209">
        <v>10206.84100088969</v>
      </c>
      <c r="BR8" s="209">
        <v>9863.2922716161338</v>
      </c>
      <c r="BS8" s="209">
        <v>10075.473504943879</v>
      </c>
      <c r="BT8" s="209">
        <v>10799.747312676973</v>
      </c>
      <c r="BU8" s="209">
        <v>10968.757440013876</v>
      </c>
      <c r="BV8" s="209">
        <v>11181.767400764691</v>
      </c>
      <c r="BW8" s="209">
        <v>11640.032173354888</v>
      </c>
      <c r="BX8" s="209">
        <v>11463.484014034968</v>
      </c>
      <c r="BY8" s="235"/>
      <c r="BZ8" s="235"/>
      <c r="CA8" s="235"/>
      <c r="CB8" s="235"/>
      <c r="CC8" s="235"/>
      <c r="CD8" s="235"/>
      <c r="CE8" s="235"/>
      <c r="CF8" s="235"/>
      <c r="CG8" s="235"/>
      <c r="CH8" s="235"/>
      <c r="CI8" s="235"/>
      <c r="CJ8" s="235"/>
      <c r="CK8" s="235"/>
      <c r="CL8" s="235"/>
      <c r="CM8" s="235"/>
      <c r="CN8" s="235"/>
      <c r="CO8" s="235"/>
      <c r="CP8" s="235"/>
      <c r="CQ8" s="235"/>
      <c r="CR8" s="235"/>
      <c r="CS8" s="235"/>
      <c r="CT8" s="235"/>
      <c r="CU8" s="235"/>
      <c r="CV8" s="235"/>
      <c r="CW8" s="235"/>
      <c r="CX8" s="235"/>
      <c r="CY8" s="235"/>
      <c r="CZ8" s="235"/>
      <c r="DA8" s="235"/>
      <c r="DB8" s="235"/>
      <c r="DC8" s="235"/>
      <c r="DD8" s="235"/>
      <c r="DE8" s="235"/>
      <c r="DF8" s="235"/>
      <c r="DG8" s="235"/>
      <c r="DH8" s="235"/>
      <c r="DI8" s="235"/>
      <c r="DJ8" s="235"/>
      <c r="DK8" s="235"/>
      <c r="DL8" s="235"/>
      <c r="DM8" s="235"/>
      <c r="DN8" s="235"/>
      <c r="DO8" s="235"/>
      <c r="DP8" s="235"/>
      <c r="DQ8" s="235"/>
      <c r="DR8" s="235"/>
      <c r="DS8" s="235"/>
      <c r="DT8" s="235"/>
      <c r="DU8" s="235"/>
      <c r="DV8" s="235"/>
      <c r="DW8" s="235"/>
      <c r="DX8" s="235"/>
      <c r="DY8" s="235"/>
      <c r="DZ8" s="235"/>
      <c r="EA8" s="235"/>
      <c r="EB8" s="235"/>
      <c r="EC8" s="235"/>
      <c r="ED8" s="235"/>
      <c r="EE8" s="235"/>
      <c r="EF8" s="235"/>
      <c r="EG8" s="235"/>
      <c r="EH8" s="235"/>
      <c r="EI8" s="235"/>
      <c r="EJ8" s="235"/>
      <c r="EK8" s="235"/>
      <c r="EL8" s="235"/>
      <c r="EM8" s="235"/>
      <c r="EN8" s="235"/>
      <c r="EO8" s="235"/>
      <c r="EP8" s="235"/>
      <c r="EQ8" s="235"/>
      <c r="ER8" s="235"/>
      <c r="ES8" s="235"/>
      <c r="ET8" s="235"/>
      <c r="EU8" s="235"/>
      <c r="EV8" s="235"/>
      <c r="EW8" s="235"/>
      <c r="EX8" s="235"/>
      <c r="EY8" s="235"/>
      <c r="EZ8" s="235"/>
      <c r="FA8" s="235"/>
      <c r="FB8" s="235"/>
      <c r="FC8" s="235"/>
      <c r="FD8" s="235"/>
      <c r="FE8" s="235"/>
      <c r="FF8" s="235"/>
      <c r="FG8" s="235"/>
      <c r="FH8" s="235"/>
      <c r="FI8" s="235"/>
      <c r="FJ8" s="235"/>
      <c r="FK8" s="235"/>
      <c r="FL8" s="235"/>
      <c r="FM8" s="235"/>
      <c r="FN8" s="235"/>
      <c r="FO8" s="235"/>
      <c r="FP8" s="235"/>
      <c r="FQ8" s="235"/>
      <c r="FR8" s="235"/>
      <c r="FS8" s="235"/>
      <c r="FT8" s="235"/>
      <c r="FU8" s="235"/>
      <c r="FV8" s="235"/>
      <c r="FW8" s="235"/>
      <c r="FX8" s="235"/>
      <c r="FY8" s="235"/>
      <c r="FZ8" s="235"/>
      <c r="GA8" s="235"/>
      <c r="GB8" s="235"/>
      <c r="GC8" s="235"/>
      <c r="GD8" s="235"/>
      <c r="GE8" s="235"/>
      <c r="GF8" s="235"/>
      <c r="GG8" s="235"/>
      <c r="GH8" s="235"/>
      <c r="GI8" s="235"/>
      <c r="GJ8" s="235"/>
      <c r="GK8" s="235"/>
      <c r="GL8" s="235"/>
      <c r="GM8" s="235"/>
      <c r="GN8" s="235"/>
      <c r="GO8" s="235"/>
      <c r="GP8" s="235"/>
      <c r="GQ8" s="235"/>
      <c r="GR8" s="235"/>
      <c r="GS8" s="235"/>
      <c r="GT8" s="235"/>
      <c r="GU8" s="235"/>
      <c r="GV8" s="235"/>
      <c r="GW8" s="235"/>
      <c r="GX8" s="235"/>
      <c r="GY8" s="235"/>
      <c r="GZ8" s="235"/>
      <c r="HA8" s="235"/>
      <c r="HB8" s="235"/>
      <c r="HC8" s="235"/>
      <c r="HD8" s="235"/>
      <c r="HE8" s="235"/>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row>
    <row r="9" spans="1:256" ht="15" x14ac:dyDescent="0.25">
      <c r="A9" s="233"/>
      <c r="B9" s="237" t="s">
        <v>155</v>
      </c>
      <c r="C9" s="233"/>
      <c r="D9" s="215"/>
      <c r="E9" s="215"/>
      <c r="F9" s="215"/>
      <c r="G9" s="215"/>
      <c r="H9" s="215"/>
      <c r="I9" s="215"/>
      <c r="J9" s="215"/>
      <c r="K9" s="215"/>
      <c r="L9" s="215"/>
      <c r="M9" s="215"/>
      <c r="N9" s="233">
        <v>59.398664217165624</v>
      </c>
      <c r="O9" s="233">
        <v>59.827598518283239</v>
      </c>
      <c r="P9" s="233">
        <v>60.508680953277796</v>
      </c>
      <c r="Q9" s="233">
        <v>61.297191653607854</v>
      </c>
      <c r="R9" s="233">
        <v>62.200915953075409</v>
      </c>
      <c r="S9" s="233">
        <v>62.888613182524161</v>
      </c>
      <c r="T9" s="233">
        <v>63.320717270585092</v>
      </c>
      <c r="U9" s="233">
        <v>63.360320363506844</v>
      </c>
      <c r="V9" s="233">
        <v>63.01004603976638</v>
      </c>
      <c r="W9" s="233">
        <v>63.692731704375802</v>
      </c>
      <c r="X9" s="233">
        <v>65.395678607495284</v>
      </c>
      <c r="Y9" s="233">
        <v>68.020124448754032</v>
      </c>
      <c r="Z9" s="233">
        <v>71.589339005507</v>
      </c>
      <c r="AA9" s="233">
        <v>74.125628388284497</v>
      </c>
      <c r="AB9" s="233">
        <v>75.590242649236671</v>
      </c>
      <c r="AC9" s="233">
        <v>75.869782715652406</v>
      </c>
      <c r="AD9" s="233">
        <v>74.95900630805022</v>
      </c>
      <c r="AE9" s="233">
        <v>74.863000588885839</v>
      </c>
      <c r="AF9" s="233">
        <v>75.585552113693268</v>
      </c>
      <c r="AG9" s="233">
        <v>77.064337985934131</v>
      </c>
      <c r="AH9" s="233">
        <v>79.324529749822489</v>
      </c>
      <c r="AI9" s="233">
        <v>81.010733142214164</v>
      </c>
      <c r="AJ9" s="233">
        <v>82.116513346004098</v>
      </c>
      <c r="AK9" s="233">
        <v>82.579255725971194</v>
      </c>
      <c r="AL9" s="233">
        <v>82.40316031499809</v>
      </c>
      <c r="AM9" s="233">
        <v>82.381160137712897</v>
      </c>
      <c r="AN9" s="233">
        <v>82.529340886718288</v>
      </c>
      <c r="AO9" s="233">
        <v>82.815296915483771</v>
      </c>
      <c r="AP9" s="233">
        <v>83.252874905804703</v>
      </c>
      <c r="AQ9" s="233">
        <v>83.654642302169378</v>
      </c>
      <c r="AR9" s="233">
        <v>84.034688806432499</v>
      </c>
      <c r="AS9" s="233">
        <v>84.368952321384143</v>
      </c>
      <c r="AT9" s="233">
        <v>84.667491856122595</v>
      </c>
      <c r="AU9" s="233">
        <v>84.974032516671173</v>
      </c>
      <c r="AV9" s="233">
        <v>85.298678393829235</v>
      </c>
      <c r="AW9" s="233">
        <v>85.627947146588014</v>
      </c>
      <c r="AX9" s="233">
        <v>85.9687408381361</v>
      </c>
      <c r="AY9" s="233">
        <v>86.307557956967301</v>
      </c>
      <c r="AZ9" s="233">
        <v>86.648582987294517</v>
      </c>
      <c r="BA9" s="233">
        <v>86.986356394225098</v>
      </c>
      <c r="BB9" s="233">
        <v>87.322546574244896</v>
      </c>
      <c r="BC9" s="233">
        <v>87.661685420056372</v>
      </c>
      <c r="BD9" s="233">
        <v>88.003372221903902</v>
      </c>
      <c r="BE9" s="233">
        <v>88.346227580938901</v>
      </c>
      <c r="BF9" s="233">
        <v>88.690678820965374</v>
      </c>
      <c r="BG9" s="233">
        <v>89.036931725062431</v>
      </c>
      <c r="BH9" s="233">
        <v>89.384507390990166</v>
      </c>
      <c r="BI9" s="233">
        <v>89.732477989227888</v>
      </c>
      <c r="BJ9" s="233">
        <v>90.081559545247529</v>
      </c>
      <c r="BK9" s="233">
        <v>90.432829797478078</v>
      </c>
      <c r="BL9" s="233">
        <v>90.786079762087269</v>
      </c>
      <c r="BM9" s="233">
        <v>91.13933536301947</v>
      </c>
      <c r="BN9" s="233">
        <v>91.494080585830986</v>
      </c>
      <c r="BO9" s="233">
        <v>91.851048317233264</v>
      </c>
      <c r="BP9" s="233">
        <v>92.209953352738182</v>
      </c>
      <c r="BQ9" s="233">
        <v>92.568557011188261</v>
      </c>
      <c r="BR9" s="233">
        <v>92.928735438619313</v>
      </c>
      <c r="BS9" s="233">
        <v>93.291329672341362</v>
      </c>
      <c r="BT9" s="233">
        <v>93.656031256602731</v>
      </c>
      <c r="BU9" s="233">
        <v>94.020115559396743</v>
      </c>
      <c r="BV9" s="233">
        <v>94.385922219989084</v>
      </c>
      <c r="BW9" s="233">
        <v>94.754254546468673</v>
      </c>
      <c r="BX9" s="233">
        <v>95.124836978367568</v>
      </c>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W9" s="233"/>
      <c r="CX9" s="233"/>
      <c r="CY9" s="233"/>
      <c r="CZ9" s="233"/>
      <c r="DA9" s="233"/>
      <c r="DB9" s="233"/>
      <c r="DC9" s="233"/>
      <c r="DD9" s="233"/>
      <c r="DE9" s="233"/>
      <c r="DF9" s="233"/>
      <c r="DG9" s="233"/>
      <c r="DH9" s="233"/>
      <c r="DI9" s="233"/>
      <c r="DJ9" s="233"/>
      <c r="DK9" s="233"/>
      <c r="DL9" s="233"/>
      <c r="DM9" s="233"/>
      <c r="DN9" s="233"/>
      <c r="DO9" s="233"/>
      <c r="DP9" s="233"/>
      <c r="DQ9" s="233"/>
      <c r="DR9" s="233"/>
      <c r="DS9" s="233"/>
      <c r="DT9" s="233"/>
      <c r="DU9" s="233"/>
      <c r="DV9" s="233"/>
      <c r="DW9" s="233"/>
      <c r="DX9" s="233"/>
      <c r="DY9" s="233"/>
      <c r="DZ9" s="233"/>
      <c r="EA9" s="233"/>
      <c r="EB9" s="233"/>
      <c r="EC9" s="233"/>
      <c r="ED9" s="233"/>
      <c r="EE9" s="233"/>
      <c r="EF9" s="233"/>
      <c r="EG9" s="233"/>
      <c r="EH9" s="233"/>
      <c r="EI9" s="233"/>
      <c r="EJ9" s="233"/>
      <c r="EK9" s="233"/>
      <c r="EL9" s="233"/>
      <c r="EM9" s="233"/>
      <c r="EN9" s="233"/>
      <c r="EO9" s="233"/>
      <c r="EP9" s="233"/>
      <c r="EQ9" s="233"/>
      <c r="ER9" s="233"/>
      <c r="ES9" s="233"/>
      <c r="ET9" s="233"/>
      <c r="EU9" s="233"/>
      <c r="EV9" s="233"/>
      <c r="EW9" s="233"/>
      <c r="EX9" s="233"/>
      <c r="EY9" s="233"/>
      <c r="EZ9" s="233"/>
      <c r="FA9" s="233"/>
      <c r="FB9" s="233"/>
      <c r="FC9" s="233"/>
      <c r="FD9" s="233"/>
      <c r="FE9" s="233"/>
      <c r="FF9" s="233"/>
      <c r="FG9" s="233"/>
      <c r="FH9" s="233"/>
      <c r="FI9" s="233"/>
      <c r="FJ9" s="233"/>
      <c r="FK9" s="233"/>
      <c r="FL9" s="233"/>
      <c r="FM9" s="233"/>
      <c r="FN9" s="233"/>
      <c r="FO9" s="233"/>
      <c r="FP9" s="233"/>
      <c r="FQ9" s="233"/>
      <c r="FR9" s="233"/>
      <c r="FS9" s="233"/>
      <c r="FT9" s="233"/>
      <c r="FU9" s="233"/>
      <c r="FV9" s="233"/>
      <c r="FW9" s="233"/>
      <c r="FX9" s="233"/>
      <c r="FY9" s="233"/>
      <c r="FZ9" s="233"/>
      <c r="GA9" s="233"/>
      <c r="GB9" s="233"/>
      <c r="GC9" s="233"/>
      <c r="GD9" s="233"/>
      <c r="GE9" s="233"/>
      <c r="GF9" s="233"/>
      <c r="GG9" s="233"/>
      <c r="GH9" s="233"/>
      <c r="GI9" s="233"/>
      <c r="GJ9" s="233"/>
      <c r="GK9" s="233"/>
      <c r="GL9" s="233"/>
      <c r="GM9" s="233"/>
      <c r="GN9" s="233"/>
      <c r="GO9" s="233"/>
      <c r="GP9" s="233"/>
      <c r="GQ9" s="233"/>
      <c r="GR9" s="233"/>
      <c r="GS9" s="233"/>
      <c r="GT9" s="233"/>
      <c r="GU9" s="233"/>
      <c r="GV9" s="233"/>
      <c r="GW9" s="233"/>
      <c r="GX9" s="233"/>
      <c r="GY9" s="233"/>
      <c r="GZ9" s="233"/>
      <c r="HA9" s="233"/>
      <c r="HB9" s="233"/>
      <c r="HC9" s="233"/>
      <c r="HD9" s="233"/>
      <c r="HE9" s="233"/>
      <c r="HF9" s="233"/>
      <c r="HG9" s="233"/>
      <c r="HH9" s="233"/>
      <c r="HI9" s="233"/>
      <c r="HJ9" s="233"/>
      <c r="HK9" s="233"/>
      <c r="HL9" s="233"/>
      <c r="HM9" s="233"/>
      <c r="HN9" s="233"/>
      <c r="HO9" s="233"/>
      <c r="HP9" s="233"/>
      <c r="HQ9" s="233"/>
      <c r="HR9" s="233"/>
      <c r="HS9" s="233"/>
      <c r="HT9" s="233"/>
      <c r="HU9" s="233"/>
      <c r="HV9" s="233"/>
      <c r="HW9" s="233"/>
      <c r="HX9" s="233"/>
      <c r="HY9" s="233"/>
      <c r="HZ9" s="233"/>
      <c r="IA9" s="233"/>
      <c r="IB9" s="233"/>
      <c r="IC9" s="233"/>
      <c r="ID9" s="233"/>
      <c r="IE9" s="233"/>
      <c r="IF9" s="233"/>
      <c r="IG9" s="233"/>
      <c r="IH9" s="233"/>
      <c r="II9" s="233"/>
      <c r="IJ9" s="233"/>
      <c r="IK9" s="233"/>
      <c r="IL9" s="233"/>
      <c r="IM9" s="233"/>
      <c r="IN9" s="233"/>
      <c r="IO9" s="233"/>
      <c r="IP9" s="233"/>
      <c r="IQ9" s="233"/>
      <c r="IR9" s="233"/>
      <c r="IS9" s="233"/>
      <c r="IT9" s="233"/>
      <c r="IU9" s="233"/>
      <c r="IV9" s="233"/>
    </row>
    <row r="10" spans="1:256" ht="15" x14ac:dyDescent="0.25">
      <c r="A10" s="233"/>
      <c r="B10" s="237" t="s">
        <v>154</v>
      </c>
      <c r="C10" s="233"/>
      <c r="D10" s="215"/>
      <c r="E10" s="215"/>
      <c r="F10" s="215"/>
      <c r="G10" s="215"/>
      <c r="H10" s="215"/>
      <c r="I10" s="215"/>
      <c r="J10" s="215"/>
      <c r="K10" s="215"/>
      <c r="L10" s="215"/>
      <c r="M10" s="215"/>
      <c r="N10" s="233">
        <v>915.78927696488734</v>
      </c>
      <c r="O10" s="233">
        <v>999.38179972906426</v>
      </c>
      <c r="P10" s="233">
        <v>1077.568648534005</v>
      </c>
      <c r="Q10" s="233">
        <v>1038.7312841077189</v>
      </c>
      <c r="R10" s="233">
        <v>1033.4554094773907</v>
      </c>
      <c r="S10" s="233">
        <v>1014.7877867206688</v>
      </c>
      <c r="T10" s="233">
        <v>1029.690483137812</v>
      </c>
      <c r="U10" s="233">
        <v>1079.2412142943588</v>
      </c>
      <c r="V10" s="233">
        <v>1138.448951693</v>
      </c>
      <c r="W10" s="233">
        <v>1160.6894915894575</v>
      </c>
      <c r="X10" s="233">
        <v>1198.1492718200493</v>
      </c>
      <c r="Y10" s="233">
        <v>871.98395607293685</v>
      </c>
      <c r="Z10" s="233">
        <v>1268.1325151986332</v>
      </c>
      <c r="AA10" s="233">
        <v>1195.4040531165172</v>
      </c>
      <c r="AB10" s="233">
        <v>1182.691029250328</v>
      </c>
      <c r="AC10" s="233">
        <v>1229.375515363887</v>
      </c>
      <c r="AD10" s="233">
        <v>1199.258979282567</v>
      </c>
      <c r="AE10" s="233">
        <v>1231.7190238990111</v>
      </c>
      <c r="AF10" s="233">
        <v>1233.682686474925</v>
      </c>
      <c r="AG10" s="233">
        <v>1316.780337468851</v>
      </c>
      <c r="AH10" s="233">
        <v>1323.9691805738557</v>
      </c>
      <c r="AI10" s="233">
        <v>1361.4098160902981</v>
      </c>
      <c r="AJ10" s="233">
        <v>1414.4636156206732</v>
      </c>
      <c r="AK10" s="233">
        <v>1243.6729507075524</v>
      </c>
      <c r="AL10" s="233">
        <v>1431.4183229909045</v>
      </c>
      <c r="AM10" s="233">
        <v>1538.647658854321</v>
      </c>
      <c r="AN10" s="233">
        <v>1508.8115353680487</v>
      </c>
      <c r="AO10" s="233">
        <v>1502.2115511878183</v>
      </c>
      <c r="AP10" s="233">
        <v>1520.7465479505117</v>
      </c>
      <c r="AQ10" s="233">
        <v>1533.1376719905054</v>
      </c>
      <c r="AR10" s="233">
        <v>1683.6633454888308</v>
      </c>
      <c r="AS10" s="233">
        <v>1724.2295409084438</v>
      </c>
      <c r="AT10" s="233">
        <v>1731.1060517440142</v>
      </c>
      <c r="AU10" s="233">
        <v>1773.9024818397065</v>
      </c>
      <c r="AV10" s="233">
        <v>1824.6111932548638</v>
      </c>
      <c r="AW10" s="233">
        <v>1904.8110062882051</v>
      </c>
      <c r="AX10" s="233">
        <v>1840.0807458622603</v>
      </c>
      <c r="AY10" s="233">
        <v>1969.2733836689492</v>
      </c>
      <c r="AZ10" s="233">
        <v>1974.7010375017069</v>
      </c>
      <c r="BA10" s="233">
        <v>1800.732589808074</v>
      </c>
      <c r="BB10" s="233">
        <v>1532.4676354148025</v>
      </c>
      <c r="BC10" s="233">
        <v>1971.8809879134405</v>
      </c>
      <c r="BD10" s="233">
        <v>2049.0183959169326</v>
      </c>
      <c r="BE10" s="233">
        <v>2150.87706625282</v>
      </c>
      <c r="BF10" s="233">
        <v>2260.6888451516597</v>
      </c>
      <c r="BG10" s="233">
        <v>2241.4660756348144</v>
      </c>
      <c r="BH10" s="233">
        <v>2059.3665805529149</v>
      </c>
      <c r="BI10" s="233">
        <v>2120.7525923327225</v>
      </c>
      <c r="BJ10" s="233">
        <v>2188.8625029241434</v>
      </c>
      <c r="BK10" s="233">
        <v>2159.2243858741326</v>
      </c>
      <c r="BL10" s="233">
        <v>2167.6095047014282</v>
      </c>
      <c r="BM10" s="233">
        <v>2149.9595306382785</v>
      </c>
      <c r="BN10" s="233">
        <v>2293.0676208919322</v>
      </c>
      <c r="BO10" s="233">
        <v>2139.4026308726266</v>
      </c>
      <c r="BP10" s="233">
        <v>2280.2415442186061</v>
      </c>
      <c r="BQ10" s="233">
        <v>2414.9755233849546</v>
      </c>
      <c r="BR10" s="233">
        <v>2408.5086515240414</v>
      </c>
      <c r="BS10" s="233">
        <v>2566.3810914782857</v>
      </c>
      <c r="BT10" s="233">
        <v>2797.6804164631562</v>
      </c>
      <c r="BU10" s="233">
        <v>2828.8493871230294</v>
      </c>
      <c r="BV10" s="233">
        <v>2863.5923494485842</v>
      </c>
      <c r="BW10" s="233">
        <v>2997.7464855287044</v>
      </c>
      <c r="BX10" s="233">
        <v>3015.6865888196294</v>
      </c>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W10" s="233"/>
      <c r="CX10" s="233"/>
      <c r="CY10" s="233"/>
      <c r="CZ10" s="233"/>
      <c r="DA10" s="233"/>
      <c r="DB10" s="233"/>
      <c r="DC10" s="233"/>
      <c r="DD10" s="233"/>
      <c r="DE10" s="233"/>
      <c r="DF10" s="233"/>
      <c r="DG10" s="233"/>
      <c r="DH10" s="233"/>
      <c r="DI10" s="233"/>
      <c r="DJ10" s="233"/>
      <c r="DK10" s="233"/>
      <c r="DL10" s="233"/>
      <c r="DM10" s="233"/>
      <c r="DN10" s="233"/>
      <c r="DO10" s="233"/>
      <c r="DP10" s="233"/>
      <c r="DQ10" s="233"/>
      <c r="DR10" s="233"/>
      <c r="DS10" s="233"/>
      <c r="DT10" s="233"/>
      <c r="DU10" s="233"/>
      <c r="DV10" s="233"/>
      <c r="DW10" s="233"/>
      <c r="DX10" s="233"/>
      <c r="DY10" s="233"/>
      <c r="DZ10" s="233"/>
      <c r="EA10" s="233"/>
      <c r="EB10" s="233"/>
      <c r="EC10" s="233"/>
      <c r="ED10" s="233"/>
      <c r="EE10" s="233"/>
      <c r="EF10" s="233"/>
      <c r="EG10" s="233"/>
      <c r="EH10" s="233"/>
      <c r="EI10" s="233"/>
      <c r="EJ10" s="233"/>
      <c r="EK10" s="233"/>
      <c r="EL10" s="233"/>
      <c r="EM10" s="233"/>
      <c r="EN10" s="233"/>
      <c r="EO10" s="233"/>
      <c r="EP10" s="233"/>
      <c r="EQ10" s="233"/>
      <c r="ER10" s="233"/>
      <c r="ES10" s="233"/>
      <c r="ET10" s="233"/>
      <c r="EU10" s="233"/>
      <c r="EV10" s="233"/>
      <c r="EW10" s="233"/>
      <c r="EX10" s="233"/>
      <c r="EY10" s="233"/>
      <c r="EZ10" s="233"/>
      <c r="FA10" s="233"/>
      <c r="FB10" s="233"/>
      <c r="FC10" s="233"/>
      <c r="FD10" s="233"/>
      <c r="FE10" s="233"/>
      <c r="FF10" s="233"/>
      <c r="FG10" s="233"/>
      <c r="FH10" s="233"/>
      <c r="FI10" s="233"/>
      <c r="FJ10" s="233"/>
      <c r="FK10" s="233"/>
      <c r="FL10" s="233"/>
      <c r="FM10" s="233"/>
      <c r="FN10" s="233"/>
      <c r="FO10" s="233"/>
      <c r="FP10" s="233"/>
      <c r="FQ10" s="233"/>
      <c r="FR10" s="233"/>
      <c r="FS10" s="233"/>
      <c r="FT10" s="233"/>
      <c r="FU10" s="233"/>
      <c r="FV10" s="233"/>
      <c r="FW10" s="233"/>
      <c r="FX10" s="233"/>
      <c r="FY10" s="233"/>
      <c r="FZ10" s="233"/>
      <c r="GA10" s="233"/>
      <c r="GB10" s="233"/>
      <c r="GC10" s="233"/>
      <c r="GD10" s="233"/>
      <c r="GE10" s="233"/>
      <c r="GF10" s="233"/>
      <c r="GG10" s="233"/>
      <c r="GH10" s="233"/>
      <c r="GI10" s="233"/>
      <c r="GJ10" s="233"/>
      <c r="GK10" s="233"/>
      <c r="GL10" s="233"/>
      <c r="GM10" s="233"/>
      <c r="GN10" s="233"/>
      <c r="GO10" s="233"/>
      <c r="GP10" s="233"/>
      <c r="GQ10" s="233"/>
      <c r="GR10" s="233"/>
      <c r="GS10" s="233"/>
      <c r="GT10" s="233"/>
      <c r="GU10" s="233"/>
      <c r="GV10" s="233"/>
      <c r="GW10" s="233"/>
      <c r="GX10" s="233"/>
      <c r="GY10" s="233"/>
      <c r="GZ10" s="233"/>
      <c r="HA10" s="233"/>
      <c r="HB10" s="233"/>
      <c r="HC10" s="233"/>
      <c r="HD10" s="233"/>
      <c r="HE10" s="233"/>
      <c r="HF10" s="233"/>
      <c r="HG10" s="233"/>
      <c r="HH10" s="233"/>
      <c r="HI10" s="233"/>
      <c r="HJ10" s="233"/>
      <c r="HK10" s="233"/>
      <c r="HL10" s="233"/>
      <c r="HM10" s="233"/>
      <c r="HN10" s="233"/>
      <c r="HO10" s="233"/>
      <c r="HP10" s="233"/>
      <c r="HQ10" s="233"/>
      <c r="HR10" s="233"/>
      <c r="HS10" s="233"/>
      <c r="HT10" s="233"/>
      <c r="HU10" s="233"/>
      <c r="HV10" s="233"/>
      <c r="HW10" s="233"/>
      <c r="HX10" s="233"/>
      <c r="HY10" s="233"/>
      <c r="HZ10" s="233"/>
      <c r="IA10" s="233"/>
      <c r="IB10" s="233"/>
      <c r="IC10" s="233"/>
      <c r="ID10" s="233"/>
      <c r="IE10" s="233"/>
      <c r="IF10" s="233"/>
      <c r="IG10" s="233"/>
      <c r="IH10" s="233"/>
      <c r="II10" s="233"/>
      <c r="IJ10" s="233"/>
      <c r="IK10" s="233"/>
      <c r="IL10" s="233"/>
      <c r="IM10" s="233"/>
      <c r="IN10" s="233"/>
      <c r="IO10" s="233"/>
      <c r="IP10" s="233"/>
      <c r="IQ10" s="233"/>
      <c r="IR10" s="233"/>
      <c r="IS10" s="233"/>
      <c r="IT10" s="233"/>
      <c r="IU10" s="233"/>
      <c r="IV10" s="233"/>
    </row>
    <row r="11" spans="1:256" ht="15" x14ac:dyDescent="0.25">
      <c r="A11" s="233"/>
      <c r="B11" s="237" t="s">
        <v>153</v>
      </c>
      <c r="C11" s="233"/>
      <c r="D11" s="215"/>
      <c r="E11" s="215"/>
      <c r="F11" s="215"/>
      <c r="G11" s="215"/>
      <c r="H11" s="215"/>
      <c r="I11" s="215"/>
      <c r="J11" s="215"/>
      <c r="K11" s="215"/>
      <c r="L11" s="215"/>
      <c r="M11" s="215"/>
      <c r="N11" s="233">
        <v>1461.233014446789</v>
      </c>
      <c r="O11" s="233">
        <v>1447.3950772002197</v>
      </c>
      <c r="P11" s="233">
        <v>1687.6517298561682</v>
      </c>
      <c r="Q11" s="233">
        <v>1666.9809731943881</v>
      </c>
      <c r="R11" s="233">
        <v>1627.4643342044722</v>
      </c>
      <c r="S11" s="233">
        <v>1567.9110618073239</v>
      </c>
      <c r="T11" s="233">
        <v>1645.7138550239958</v>
      </c>
      <c r="U11" s="233">
        <v>1768.1930211857298</v>
      </c>
      <c r="V11" s="233">
        <v>1832.7724353149213</v>
      </c>
      <c r="W11" s="233">
        <v>1899.6417306763085</v>
      </c>
      <c r="X11" s="233">
        <v>1776.3516120874665</v>
      </c>
      <c r="Y11" s="233">
        <v>1455.6093609418072</v>
      </c>
      <c r="Z11" s="233">
        <v>1910.6320353776878</v>
      </c>
      <c r="AA11" s="233">
        <v>1872.7420000441111</v>
      </c>
      <c r="AB11" s="233">
        <v>1910.4902659280967</v>
      </c>
      <c r="AC11" s="233">
        <v>1977.9271907915327</v>
      </c>
      <c r="AD11" s="233">
        <v>1901.2137059106421</v>
      </c>
      <c r="AE11" s="233">
        <v>1865.4234123808335</v>
      </c>
      <c r="AF11" s="233">
        <v>1928.4755167759386</v>
      </c>
      <c r="AG11" s="233">
        <v>2045.6148019409216</v>
      </c>
      <c r="AH11" s="233">
        <v>2038.8112816892815</v>
      </c>
      <c r="AI11" s="233">
        <v>2068.2019174572888</v>
      </c>
      <c r="AJ11" s="233">
        <v>2101.9732455966796</v>
      </c>
      <c r="AK11" s="233">
        <v>2145.0182521632055</v>
      </c>
      <c r="AL11" s="233">
        <v>2350.4297623783891</v>
      </c>
      <c r="AM11" s="233">
        <v>2407.9826722352454</v>
      </c>
      <c r="AN11" s="233">
        <v>2357.7574529497297</v>
      </c>
      <c r="AO11" s="233">
        <v>2245.4116309582564</v>
      </c>
      <c r="AP11" s="233">
        <v>2388.5468249594414</v>
      </c>
      <c r="AQ11" s="233">
        <v>2451.7797096382646</v>
      </c>
      <c r="AR11" s="233">
        <v>2454.9142571966013</v>
      </c>
      <c r="AS11" s="233">
        <v>2786.9526967326206</v>
      </c>
      <c r="AT11" s="233">
        <v>2794.1667057061482</v>
      </c>
      <c r="AU11" s="233">
        <v>2932.1061519622376</v>
      </c>
      <c r="AV11" s="233">
        <v>2968.8625003744651</v>
      </c>
      <c r="AW11" s="233">
        <v>3028.6064894648507</v>
      </c>
      <c r="AX11" s="233">
        <v>2993.4899025332656</v>
      </c>
      <c r="AY11" s="233">
        <v>3051.3479410327309</v>
      </c>
      <c r="AZ11" s="233">
        <v>3172.6200825604101</v>
      </c>
      <c r="BA11" s="233">
        <v>2885.6399569381083</v>
      </c>
      <c r="BB11" s="233">
        <v>2611.2057618875765</v>
      </c>
      <c r="BC11" s="233">
        <v>3314.5290069518087</v>
      </c>
      <c r="BD11" s="233">
        <v>3411.3092511676959</v>
      </c>
      <c r="BE11" s="233">
        <v>3363.6263875109394</v>
      </c>
      <c r="BF11" s="233">
        <v>3348.7667114092624</v>
      </c>
      <c r="BG11" s="233">
        <v>3278.1579420672138</v>
      </c>
      <c r="BH11" s="233">
        <v>3057.0070513816063</v>
      </c>
      <c r="BI11" s="233">
        <v>3097.9086576858522</v>
      </c>
      <c r="BJ11" s="233">
        <v>3420.5303792706336</v>
      </c>
      <c r="BK11" s="233">
        <v>3421.1563531713687</v>
      </c>
      <c r="BL11" s="233">
        <v>3444.7665086703882</v>
      </c>
      <c r="BM11" s="233">
        <v>3586.0742114886471</v>
      </c>
      <c r="BN11" s="233">
        <v>3636.5926235498587</v>
      </c>
      <c r="BO11" s="233">
        <v>3636.8721124118179</v>
      </c>
      <c r="BP11" s="233">
        <v>3774.0814523762774</v>
      </c>
      <c r="BQ11" s="233">
        <v>4027.7483097606969</v>
      </c>
      <c r="BR11" s="233">
        <v>3898.0211682191461</v>
      </c>
      <c r="BS11" s="233">
        <v>3757.4562429499742</v>
      </c>
      <c r="BT11" s="233">
        <v>4317.7198817517165</v>
      </c>
      <c r="BU11" s="233">
        <v>4397.4920501686374</v>
      </c>
      <c r="BV11" s="233">
        <v>4267.3511249689172</v>
      </c>
      <c r="BW11" s="233">
        <v>4571.9817118939291</v>
      </c>
      <c r="BX11" s="233">
        <v>4602.1034335006461</v>
      </c>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W11" s="233"/>
      <c r="CX11" s="233"/>
      <c r="CY11" s="233"/>
      <c r="CZ11" s="233"/>
      <c r="DA11" s="233"/>
      <c r="DB11" s="233"/>
      <c r="DC11" s="233"/>
      <c r="DD11" s="233"/>
      <c r="DE11" s="233"/>
      <c r="DF11" s="233"/>
      <c r="DG11" s="233"/>
      <c r="DH11" s="233"/>
      <c r="DI11" s="233"/>
      <c r="DJ11" s="233"/>
      <c r="DK11" s="233"/>
      <c r="DL11" s="233"/>
      <c r="DM11" s="233"/>
      <c r="DN11" s="233"/>
      <c r="DO11" s="233"/>
      <c r="DP11" s="233"/>
      <c r="DQ11" s="233"/>
      <c r="DR11" s="233"/>
      <c r="DS11" s="233"/>
      <c r="DT11" s="233"/>
      <c r="DU11" s="233"/>
      <c r="DV11" s="233"/>
      <c r="DW11" s="233"/>
      <c r="DX11" s="233"/>
      <c r="DY11" s="233"/>
      <c r="DZ11" s="233"/>
      <c r="EA11" s="233"/>
      <c r="EB11" s="233"/>
      <c r="EC11" s="233"/>
      <c r="ED11" s="233"/>
      <c r="EE11" s="233"/>
      <c r="EF11" s="233"/>
      <c r="EG11" s="233"/>
      <c r="EH11" s="233"/>
      <c r="EI11" s="233"/>
      <c r="EJ11" s="233"/>
      <c r="EK11" s="233"/>
      <c r="EL11" s="233"/>
      <c r="EM11" s="233"/>
      <c r="EN11" s="233"/>
      <c r="EO11" s="233"/>
      <c r="EP11" s="233"/>
      <c r="EQ11" s="233"/>
      <c r="ER11" s="233"/>
      <c r="ES11" s="233"/>
      <c r="ET11" s="233"/>
      <c r="EU11" s="233"/>
      <c r="EV11" s="233"/>
      <c r="EW11" s="233"/>
      <c r="EX11" s="233"/>
      <c r="EY11" s="233"/>
      <c r="EZ11" s="233"/>
      <c r="FA11" s="233"/>
      <c r="FB11" s="233"/>
      <c r="FC11" s="233"/>
      <c r="FD11" s="233"/>
      <c r="FE11" s="233"/>
      <c r="FF11" s="233"/>
      <c r="FG11" s="233"/>
      <c r="FH11" s="233"/>
      <c r="FI11" s="233"/>
      <c r="FJ11" s="233"/>
      <c r="FK11" s="233"/>
      <c r="FL11" s="233"/>
      <c r="FM11" s="233"/>
      <c r="FN11" s="233"/>
      <c r="FO11" s="233"/>
      <c r="FP11" s="233"/>
      <c r="FQ11" s="233"/>
      <c r="FR11" s="233"/>
      <c r="FS11" s="233"/>
      <c r="FT11" s="233"/>
      <c r="FU11" s="233"/>
      <c r="FV11" s="233"/>
      <c r="FW11" s="233"/>
      <c r="FX11" s="233"/>
      <c r="FY11" s="233"/>
      <c r="FZ11" s="233"/>
      <c r="GA11" s="233"/>
      <c r="GB11" s="233"/>
      <c r="GC11" s="233"/>
      <c r="GD11" s="233"/>
      <c r="GE11" s="233"/>
      <c r="GF11" s="233"/>
      <c r="GG11" s="233"/>
      <c r="GH11" s="233"/>
      <c r="GI11" s="233"/>
      <c r="GJ11" s="233"/>
      <c r="GK11" s="233"/>
      <c r="GL11" s="233"/>
      <c r="GM11" s="233"/>
      <c r="GN11" s="233"/>
      <c r="GO11" s="233"/>
      <c r="GP11" s="233"/>
      <c r="GQ11" s="233"/>
      <c r="GR11" s="233"/>
      <c r="GS11" s="233"/>
      <c r="GT11" s="233"/>
      <c r="GU11" s="233"/>
      <c r="GV11" s="233"/>
      <c r="GW11" s="233"/>
      <c r="GX11" s="233"/>
      <c r="GY11" s="233"/>
      <c r="GZ11" s="233"/>
      <c r="HA11" s="233"/>
      <c r="HB11" s="233"/>
      <c r="HC11" s="233"/>
      <c r="HD11" s="233"/>
      <c r="HE11" s="233"/>
      <c r="HF11" s="233"/>
      <c r="HG11" s="233"/>
      <c r="HH11" s="233"/>
      <c r="HI11" s="233"/>
      <c r="HJ11" s="233"/>
      <c r="HK11" s="233"/>
      <c r="HL11" s="233"/>
      <c r="HM11" s="233"/>
      <c r="HN11" s="233"/>
      <c r="HO11" s="233"/>
      <c r="HP11" s="233"/>
      <c r="HQ11" s="233"/>
      <c r="HR11" s="233"/>
      <c r="HS11" s="233"/>
      <c r="HT11" s="233"/>
      <c r="HU11" s="233"/>
      <c r="HV11" s="233"/>
      <c r="HW11" s="233"/>
      <c r="HX11" s="233"/>
      <c r="HY11" s="233"/>
      <c r="HZ11" s="233"/>
      <c r="IA11" s="233"/>
      <c r="IB11" s="233"/>
      <c r="IC11" s="233"/>
      <c r="ID11" s="233"/>
      <c r="IE11" s="233"/>
      <c r="IF11" s="233"/>
      <c r="IG11" s="233"/>
      <c r="IH11" s="233"/>
      <c r="II11" s="233"/>
      <c r="IJ11" s="233"/>
      <c r="IK11" s="233"/>
      <c r="IL11" s="233"/>
      <c r="IM11" s="233"/>
      <c r="IN11" s="233"/>
      <c r="IO11" s="233"/>
      <c r="IP11" s="233"/>
      <c r="IQ11" s="233"/>
      <c r="IR11" s="233"/>
      <c r="IS11" s="233"/>
      <c r="IT11" s="233"/>
      <c r="IU11" s="233"/>
      <c r="IV11" s="233"/>
    </row>
    <row r="12" spans="1:256" ht="15" x14ac:dyDescent="0.25">
      <c r="A12" s="233"/>
      <c r="B12" s="237" t="s">
        <v>152</v>
      </c>
      <c r="C12" s="233"/>
      <c r="D12" s="215"/>
      <c r="E12" s="215"/>
      <c r="F12" s="215"/>
      <c r="G12" s="215"/>
      <c r="H12" s="215"/>
      <c r="I12" s="215"/>
      <c r="J12" s="215"/>
      <c r="K12" s="215"/>
      <c r="L12" s="215"/>
      <c r="M12" s="215"/>
      <c r="N12" s="233">
        <v>499.09450444314723</v>
      </c>
      <c r="O12" s="233">
        <v>568.64816876403518</v>
      </c>
      <c r="P12" s="233">
        <v>603.39555363229238</v>
      </c>
      <c r="Q12" s="233">
        <v>536.83860250826956</v>
      </c>
      <c r="R12" s="233">
        <v>545.81922142801432</v>
      </c>
      <c r="S12" s="233">
        <v>522.55791676864021</v>
      </c>
      <c r="T12" s="233">
        <v>464.82966476757338</v>
      </c>
      <c r="U12" s="233">
        <v>611.15495614850681</v>
      </c>
      <c r="V12" s="233">
        <v>615.5065216320437</v>
      </c>
      <c r="W12" s="233">
        <v>595.49033215330462</v>
      </c>
      <c r="X12" s="233">
        <v>572.55513973912548</v>
      </c>
      <c r="Y12" s="233">
        <v>619.03984803589901</v>
      </c>
      <c r="Z12" s="233">
        <v>594.14491378831883</v>
      </c>
      <c r="AA12" s="233">
        <v>612.06114503118442</v>
      </c>
      <c r="AB12" s="233">
        <v>575.84899057641519</v>
      </c>
      <c r="AC12" s="233">
        <v>579.82143775782242</v>
      </c>
      <c r="AD12" s="233">
        <v>475.58975974138656</v>
      </c>
      <c r="AE12" s="233">
        <v>457.78643597483415</v>
      </c>
      <c r="AF12" s="233">
        <v>553.95637832546549</v>
      </c>
      <c r="AG12" s="233">
        <v>527.68015636289738</v>
      </c>
      <c r="AH12" s="233">
        <v>578.32801037593651</v>
      </c>
      <c r="AI12" s="233">
        <v>532.29717826758906</v>
      </c>
      <c r="AJ12" s="233">
        <v>512.46240246530556</v>
      </c>
      <c r="AK12" s="233">
        <v>445.29235118295117</v>
      </c>
      <c r="AL12" s="233">
        <v>460.00164676108375</v>
      </c>
      <c r="AM12" s="233">
        <v>539.01940007511894</v>
      </c>
      <c r="AN12" s="233">
        <v>468.27966543239035</v>
      </c>
      <c r="AO12" s="233">
        <v>419.04438565787075</v>
      </c>
      <c r="AP12" s="233">
        <v>635.81288403472809</v>
      </c>
      <c r="AQ12" s="233">
        <v>654.41375306619386</v>
      </c>
      <c r="AR12" s="233">
        <v>617.19532040557522</v>
      </c>
      <c r="AS12" s="233">
        <v>604.1276587786906</v>
      </c>
      <c r="AT12" s="233">
        <v>574.99661667414807</v>
      </c>
      <c r="AU12" s="233">
        <v>557.83814567812215</v>
      </c>
      <c r="AV12" s="233">
        <v>533.3706378823432</v>
      </c>
      <c r="AW12" s="233">
        <v>541.9558048769735</v>
      </c>
      <c r="AX12" s="233">
        <v>527.28228968164206</v>
      </c>
      <c r="AY12" s="233">
        <v>469.49283469615796</v>
      </c>
      <c r="AZ12" s="233">
        <v>479.26320046015263</v>
      </c>
      <c r="BA12" s="233">
        <v>190.24691423268735</v>
      </c>
      <c r="BB12" s="233">
        <v>471.64194154664841</v>
      </c>
      <c r="BC12" s="233">
        <v>459.9744106648206</v>
      </c>
      <c r="BD12" s="233">
        <v>580.67063173535337</v>
      </c>
      <c r="BE12" s="233">
        <v>504.93898242260866</v>
      </c>
      <c r="BF12" s="233">
        <v>516.121935522934</v>
      </c>
      <c r="BG12" s="233">
        <v>584.68340063353401</v>
      </c>
      <c r="BH12" s="233">
        <v>510.34524247565821</v>
      </c>
      <c r="BI12" s="233">
        <v>553.22091099710838</v>
      </c>
      <c r="BJ12" s="233">
        <v>541.173921799901</v>
      </c>
      <c r="BK12" s="233">
        <v>490.76414040623979</v>
      </c>
      <c r="BL12" s="233">
        <v>562.37967085351295</v>
      </c>
      <c r="BM12" s="233">
        <v>568.37558197093131</v>
      </c>
      <c r="BN12" s="233">
        <v>496.48053826607793</v>
      </c>
      <c r="BO12" s="233">
        <v>470.68922046136618</v>
      </c>
      <c r="BP12" s="233">
        <v>507.98025094848674</v>
      </c>
      <c r="BQ12" s="233">
        <v>486.5061501173397</v>
      </c>
      <c r="BR12" s="233">
        <v>485.88110200921471</v>
      </c>
      <c r="BS12" s="233">
        <v>715.7759276916762</v>
      </c>
      <c r="BT12" s="233">
        <v>542.77972463844799</v>
      </c>
      <c r="BU12" s="233">
        <v>652.85183420459055</v>
      </c>
      <c r="BV12" s="233">
        <v>755.66133529738886</v>
      </c>
      <c r="BW12" s="233">
        <v>722.48282212600259</v>
      </c>
      <c r="BX12" s="233">
        <v>662.36444510218996</v>
      </c>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c r="CY12" s="233"/>
      <c r="CZ12" s="233"/>
      <c r="DA12" s="233"/>
      <c r="DB12" s="233"/>
      <c r="DC12" s="233"/>
      <c r="DD12" s="233"/>
      <c r="DE12" s="233"/>
      <c r="DF12" s="233"/>
      <c r="DG12" s="233"/>
      <c r="DH12" s="233"/>
      <c r="DI12" s="233"/>
      <c r="DJ12" s="233"/>
      <c r="DK12" s="233"/>
      <c r="DL12" s="233"/>
      <c r="DM12" s="233"/>
      <c r="DN12" s="233"/>
      <c r="DO12" s="233"/>
      <c r="DP12" s="233"/>
      <c r="DQ12" s="233"/>
      <c r="DR12" s="233"/>
      <c r="DS12" s="233"/>
      <c r="DT12" s="233"/>
      <c r="DU12" s="233"/>
      <c r="DV12" s="233"/>
      <c r="DW12" s="233"/>
      <c r="DX12" s="233"/>
      <c r="DY12" s="233"/>
      <c r="DZ12" s="233"/>
      <c r="EA12" s="233"/>
      <c r="EB12" s="233"/>
      <c r="EC12" s="233"/>
      <c r="ED12" s="233"/>
      <c r="EE12" s="233"/>
      <c r="EF12" s="233"/>
      <c r="EG12" s="233"/>
      <c r="EH12" s="233"/>
      <c r="EI12" s="233"/>
      <c r="EJ12" s="233"/>
      <c r="EK12" s="233"/>
      <c r="EL12" s="233"/>
      <c r="EM12" s="233"/>
      <c r="EN12" s="233"/>
      <c r="EO12" s="233"/>
      <c r="EP12" s="233"/>
      <c r="EQ12" s="233"/>
      <c r="ER12" s="233"/>
      <c r="ES12" s="233"/>
      <c r="ET12" s="233"/>
      <c r="EU12" s="233"/>
      <c r="EV12" s="233"/>
      <c r="EW12" s="233"/>
      <c r="EX12" s="233"/>
      <c r="EY12" s="233"/>
      <c r="EZ12" s="233"/>
      <c r="FA12" s="233"/>
      <c r="FB12" s="233"/>
      <c r="FC12" s="233"/>
      <c r="FD12" s="233"/>
      <c r="FE12" s="233"/>
      <c r="FF12" s="233"/>
      <c r="FG12" s="233"/>
      <c r="FH12" s="233"/>
      <c r="FI12" s="233"/>
      <c r="FJ12" s="233"/>
      <c r="FK12" s="233"/>
      <c r="FL12" s="233"/>
      <c r="FM12" s="233"/>
      <c r="FN12" s="233"/>
      <c r="FO12" s="233"/>
      <c r="FP12" s="233"/>
      <c r="FQ12" s="233"/>
      <c r="FR12" s="233"/>
      <c r="FS12" s="233"/>
      <c r="FT12" s="233"/>
      <c r="FU12" s="233"/>
      <c r="FV12" s="233"/>
      <c r="FW12" s="233"/>
      <c r="FX12" s="233"/>
      <c r="FY12" s="233"/>
      <c r="FZ12" s="233"/>
      <c r="GA12" s="233"/>
      <c r="GB12" s="233"/>
      <c r="GC12" s="233"/>
      <c r="GD12" s="233"/>
      <c r="GE12" s="233"/>
      <c r="GF12" s="233"/>
      <c r="GG12" s="233"/>
      <c r="GH12" s="233"/>
      <c r="GI12" s="233"/>
      <c r="GJ12" s="233"/>
      <c r="GK12" s="233"/>
      <c r="GL12" s="233"/>
      <c r="GM12" s="233"/>
      <c r="GN12" s="233"/>
      <c r="GO12" s="233"/>
      <c r="GP12" s="233"/>
      <c r="GQ12" s="233"/>
      <c r="GR12" s="233"/>
      <c r="GS12" s="233"/>
      <c r="GT12" s="233"/>
      <c r="GU12" s="233"/>
      <c r="GV12" s="233"/>
      <c r="GW12" s="233"/>
      <c r="GX12" s="233"/>
      <c r="GY12" s="233"/>
      <c r="GZ12" s="233"/>
      <c r="HA12" s="233"/>
      <c r="HB12" s="233"/>
      <c r="HC12" s="233"/>
      <c r="HD12" s="233"/>
      <c r="HE12" s="233"/>
      <c r="HF12" s="233"/>
      <c r="HG12" s="233"/>
      <c r="HH12" s="233"/>
      <c r="HI12" s="233"/>
      <c r="HJ12" s="233"/>
      <c r="HK12" s="233"/>
      <c r="HL12" s="233"/>
      <c r="HM12" s="233"/>
      <c r="HN12" s="233"/>
      <c r="HO12" s="233"/>
      <c r="HP12" s="233"/>
      <c r="HQ12" s="233"/>
      <c r="HR12" s="233"/>
      <c r="HS12" s="233"/>
      <c r="HT12" s="233"/>
      <c r="HU12" s="233"/>
      <c r="HV12" s="233"/>
      <c r="HW12" s="233"/>
      <c r="HX12" s="233"/>
      <c r="HY12" s="233"/>
      <c r="HZ12" s="233"/>
      <c r="IA12" s="233"/>
      <c r="IB12" s="233"/>
      <c r="IC12" s="233"/>
      <c r="ID12" s="233"/>
      <c r="IE12" s="233"/>
      <c r="IF12" s="233"/>
      <c r="IG12" s="233"/>
      <c r="IH12" s="233"/>
      <c r="II12" s="233"/>
      <c r="IJ12" s="233"/>
      <c r="IK12" s="233"/>
      <c r="IL12" s="233"/>
      <c r="IM12" s="233"/>
      <c r="IN12" s="233"/>
      <c r="IO12" s="233"/>
      <c r="IP12" s="233"/>
      <c r="IQ12" s="233"/>
      <c r="IR12" s="233"/>
      <c r="IS12" s="233"/>
      <c r="IT12" s="233"/>
      <c r="IU12" s="233"/>
      <c r="IV12" s="233"/>
    </row>
    <row r="13" spans="1:256" ht="15" x14ac:dyDescent="0.25">
      <c r="A13" s="233"/>
      <c r="B13" s="237" t="s">
        <v>151</v>
      </c>
      <c r="C13" s="233"/>
      <c r="D13" s="215"/>
      <c r="E13" s="215"/>
      <c r="F13" s="215"/>
      <c r="G13" s="215"/>
      <c r="H13" s="215"/>
      <c r="I13" s="215"/>
      <c r="J13" s="215"/>
      <c r="K13" s="215"/>
      <c r="L13" s="215"/>
      <c r="M13" s="215"/>
      <c r="N13" s="233">
        <v>112.70332889378871</v>
      </c>
      <c r="O13" s="233">
        <v>210.42188584778967</v>
      </c>
      <c r="P13" s="233">
        <v>249.86735014759844</v>
      </c>
      <c r="Q13" s="233">
        <v>193.45147294465355</v>
      </c>
      <c r="R13" s="233">
        <v>217.9527069149307</v>
      </c>
      <c r="S13" s="233">
        <v>159.15042386017484</v>
      </c>
      <c r="T13" s="233">
        <v>182.66000565459001</v>
      </c>
      <c r="U13" s="233">
        <v>177.63913408005169</v>
      </c>
      <c r="V13" s="233">
        <v>171.47438322276363</v>
      </c>
      <c r="W13" s="233">
        <v>193.30530325248853</v>
      </c>
      <c r="X13" s="233">
        <v>146.13473276971729</v>
      </c>
      <c r="Y13" s="233">
        <v>168.38219274674424</v>
      </c>
      <c r="Z13" s="233">
        <v>236.96606854149101</v>
      </c>
      <c r="AA13" s="233">
        <v>149.21767908102422</v>
      </c>
      <c r="AB13" s="233">
        <v>133.66207146371701</v>
      </c>
      <c r="AC13" s="233">
        <v>182.02253553595378</v>
      </c>
      <c r="AD13" s="233">
        <v>111.14531678992837</v>
      </c>
      <c r="AE13" s="233">
        <v>119.77376327101265</v>
      </c>
      <c r="AF13" s="233">
        <v>122.40156770044757</v>
      </c>
      <c r="AG13" s="233">
        <v>119.37925808032804</v>
      </c>
      <c r="AH13" s="233">
        <v>176.32835378669128</v>
      </c>
      <c r="AI13" s="233">
        <v>125.76475690801976</v>
      </c>
      <c r="AJ13" s="233">
        <v>193.05918760363971</v>
      </c>
      <c r="AK13" s="233">
        <v>177.76602351167273</v>
      </c>
      <c r="AL13" s="233">
        <v>45.812269934317357</v>
      </c>
      <c r="AM13" s="233">
        <v>187.81941322365071</v>
      </c>
      <c r="AN13" s="233">
        <v>340.00526669758619</v>
      </c>
      <c r="AO13" s="233">
        <v>167.00789889559752</v>
      </c>
      <c r="AP13" s="233">
        <v>162.08652613888179</v>
      </c>
      <c r="AQ13" s="233">
        <v>186.75827636079597</v>
      </c>
      <c r="AR13" s="233">
        <v>130.3999984858041</v>
      </c>
      <c r="AS13" s="233">
        <v>99.531408880862756</v>
      </c>
      <c r="AT13" s="233">
        <v>134.47931776567026</v>
      </c>
      <c r="AU13" s="233">
        <v>145.36949440861918</v>
      </c>
      <c r="AV13" s="233">
        <v>167.09586350522869</v>
      </c>
      <c r="AW13" s="233">
        <v>146.86107814715726</v>
      </c>
      <c r="AX13" s="233">
        <v>137.79880866764961</v>
      </c>
      <c r="AY13" s="233">
        <v>122.06912214339923</v>
      </c>
      <c r="AZ13" s="233">
        <v>114.57642552480137</v>
      </c>
      <c r="BA13" s="233">
        <v>122.47409852260445</v>
      </c>
      <c r="BB13" s="233">
        <v>111.2473930670795</v>
      </c>
      <c r="BC13" s="233">
        <v>129.97504388665729</v>
      </c>
      <c r="BD13" s="233">
        <v>100.45477635663585</v>
      </c>
      <c r="BE13" s="233">
        <v>121.15981418745483</v>
      </c>
      <c r="BF13" s="233">
        <v>96.223822328370289</v>
      </c>
      <c r="BG13" s="233">
        <v>129.76814106753864</v>
      </c>
      <c r="BH13" s="233">
        <v>110.12324338257471</v>
      </c>
      <c r="BI13" s="233">
        <v>163.43113315901647</v>
      </c>
      <c r="BJ13" s="233">
        <v>137.83970817147096</v>
      </c>
      <c r="BK13" s="233">
        <v>125.32971030752114</v>
      </c>
      <c r="BL13" s="233">
        <v>144.20535783956413</v>
      </c>
      <c r="BM13" s="233">
        <v>115.35993734665044</v>
      </c>
      <c r="BN13" s="233">
        <v>108.91812974168457</v>
      </c>
      <c r="BO13" s="233">
        <v>78.72773207164127</v>
      </c>
      <c r="BP13" s="233">
        <v>141.17431575626071</v>
      </c>
      <c r="BQ13" s="233">
        <v>124.8616839671441</v>
      </c>
      <c r="BR13" s="233">
        <v>84.967409076738647</v>
      </c>
      <c r="BS13" s="233">
        <v>149.51362101175599</v>
      </c>
      <c r="BT13" s="233">
        <v>124.37683709390936</v>
      </c>
      <c r="BU13" s="233">
        <v>98.502782392308092</v>
      </c>
      <c r="BV13" s="233">
        <v>139.58152252494156</v>
      </c>
      <c r="BW13" s="233">
        <v>305.27547468976002</v>
      </c>
      <c r="BX13" s="233">
        <v>144.23727149467584</v>
      </c>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c r="CY13" s="233"/>
      <c r="CZ13" s="233"/>
      <c r="DA13" s="233"/>
      <c r="DB13" s="233"/>
      <c r="DC13" s="233"/>
      <c r="DD13" s="233"/>
      <c r="DE13" s="233"/>
      <c r="DF13" s="233"/>
      <c r="DG13" s="233"/>
      <c r="DH13" s="233"/>
      <c r="DI13" s="233"/>
      <c r="DJ13" s="233"/>
      <c r="DK13" s="233"/>
      <c r="DL13" s="233"/>
      <c r="DM13" s="233"/>
      <c r="DN13" s="233"/>
      <c r="DO13" s="233"/>
      <c r="DP13" s="233"/>
      <c r="DQ13" s="233"/>
      <c r="DR13" s="233"/>
      <c r="DS13" s="233"/>
      <c r="DT13" s="233"/>
      <c r="DU13" s="233"/>
      <c r="DV13" s="233"/>
      <c r="DW13" s="233"/>
      <c r="DX13" s="233"/>
      <c r="DY13" s="233"/>
      <c r="DZ13" s="233"/>
      <c r="EA13" s="233"/>
      <c r="EB13" s="233"/>
      <c r="EC13" s="233"/>
      <c r="ED13" s="233"/>
      <c r="EE13" s="233"/>
      <c r="EF13" s="233"/>
      <c r="EG13" s="233"/>
      <c r="EH13" s="233"/>
      <c r="EI13" s="233"/>
      <c r="EJ13" s="233"/>
      <c r="EK13" s="233"/>
      <c r="EL13" s="233"/>
      <c r="EM13" s="233"/>
      <c r="EN13" s="233"/>
      <c r="EO13" s="233"/>
      <c r="EP13" s="233"/>
      <c r="EQ13" s="233"/>
      <c r="ER13" s="233"/>
      <c r="ES13" s="233"/>
      <c r="ET13" s="233"/>
      <c r="EU13" s="233"/>
      <c r="EV13" s="233"/>
      <c r="EW13" s="233"/>
      <c r="EX13" s="233"/>
      <c r="EY13" s="233"/>
      <c r="EZ13" s="233"/>
      <c r="FA13" s="233"/>
      <c r="FB13" s="233"/>
      <c r="FC13" s="233"/>
      <c r="FD13" s="233"/>
      <c r="FE13" s="233"/>
      <c r="FF13" s="233"/>
      <c r="FG13" s="233"/>
      <c r="FH13" s="233"/>
      <c r="FI13" s="233"/>
      <c r="FJ13" s="233"/>
      <c r="FK13" s="233"/>
      <c r="FL13" s="233"/>
      <c r="FM13" s="233"/>
      <c r="FN13" s="233"/>
      <c r="FO13" s="233"/>
      <c r="FP13" s="233"/>
      <c r="FQ13" s="233"/>
      <c r="FR13" s="233"/>
      <c r="FS13" s="233"/>
      <c r="FT13" s="233"/>
      <c r="FU13" s="233"/>
      <c r="FV13" s="233"/>
      <c r="FW13" s="233"/>
      <c r="FX13" s="233"/>
      <c r="FY13" s="233"/>
      <c r="FZ13" s="233"/>
      <c r="GA13" s="233"/>
      <c r="GB13" s="233"/>
      <c r="GC13" s="233"/>
      <c r="GD13" s="233"/>
      <c r="GE13" s="233"/>
      <c r="GF13" s="233"/>
      <c r="GG13" s="233"/>
      <c r="GH13" s="233"/>
      <c r="GI13" s="233"/>
      <c r="GJ13" s="233"/>
      <c r="GK13" s="233"/>
      <c r="GL13" s="233"/>
      <c r="GM13" s="233"/>
      <c r="GN13" s="233"/>
      <c r="GO13" s="233"/>
      <c r="GP13" s="233"/>
      <c r="GQ13" s="233"/>
      <c r="GR13" s="233"/>
      <c r="GS13" s="233"/>
      <c r="GT13" s="233"/>
      <c r="GU13" s="233"/>
      <c r="GV13" s="233"/>
      <c r="GW13" s="233"/>
      <c r="GX13" s="233"/>
      <c r="GY13" s="233"/>
      <c r="GZ13" s="233"/>
      <c r="HA13" s="233"/>
      <c r="HB13" s="233"/>
      <c r="HC13" s="233"/>
      <c r="HD13" s="233"/>
      <c r="HE13" s="233"/>
      <c r="HF13" s="233"/>
      <c r="HG13" s="233"/>
      <c r="HH13" s="233"/>
      <c r="HI13" s="233"/>
      <c r="HJ13" s="233"/>
      <c r="HK13" s="233"/>
      <c r="HL13" s="233"/>
      <c r="HM13" s="233"/>
      <c r="HN13" s="233"/>
      <c r="HO13" s="233"/>
      <c r="HP13" s="233"/>
      <c r="HQ13" s="233"/>
      <c r="HR13" s="233"/>
      <c r="HS13" s="233"/>
      <c r="HT13" s="233"/>
      <c r="HU13" s="233"/>
      <c r="HV13" s="233"/>
      <c r="HW13" s="233"/>
      <c r="HX13" s="233"/>
      <c r="HY13" s="233"/>
      <c r="HZ13" s="233"/>
      <c r="IA13" s="233"/>
      <c r="IB13" s="233"/>
      <c r="IC13" s="233"/>
      <c r="ID13" s="233"/>
      <c r="IE13" s="233"/>
      <c r="IF13" s="233"/>
      <c r="IG13" s="233"/>
      <c r="IH13" s="233"/>
      <c r="II13" s="233"/>
      <c r="IJ13" s="233"/>
      <c r="IK13" s="233"/>
      <c r="IL13" s="233"/>
      <c r="IM13" s="233"/>
      <c r="IN13" s="233"/>
      <c r="IO13" s="233"/>
      <c r="IP13" s="233"/>
      <c r="IQ13" s="233"/>
      <c r="IR13" s="233"/>
      <c r="IS13" s="233"/>
      <c r="IT13" s="233"/>
      <c r="IU13" s="233"/>
      <c r="IV13" s="233"/>
    </row>
    <row r="14" spans="1:256" ht="15" x14ac:dyDescent="0.25">
      <c r="A14" s="233"/>
      <c r="B14" s="237" t="s">
        <v>150</v>
      </c>
      <c r="C14" s="233"/>
      <c r="D14" s="215"/>
      <c r="E14" s="215"/>
      <c r="F14" s="215"/>
      <c r="G14" s="215"/>
      <c r="H14" s="215"/>
      <c r="I14" s="215"/>
      <c r="J14" s="215"/>
      <c r="K14" s="215"/>
      <c r="L14" s="215"/>
      <c r="M14" s="215"/>
      <c r="N14" s="233">
        <v>1499.9523834124691</v>
      </c>
      <c r="O14" s="233">
        <v>1414.8911825072344</v>
      </c>
      <c r="P14" s="233">
        <v>1386.7155781302538</v>
      </c>
      <c r="Q14" s="233">
        <v>1183.3453046122318</v>
      </c>
      <c r="R14" s="233">
        <v>1093.2213801412777</v>
      </c>
      <c r="S14" s="233">
        <v>1162.975576142032</v>
      </c>
      <c r="T14" s="233">
        <v>1349.6058459519247</v>
      </c>
      <c r="U14" s="233">
        <v>2012.1412515312511</v>
      </c>
      <c r="V14" s="233">
        <v>2268.2283696057311</v>
      </c>
      <c r="W14" s="233">
        <v>1618.947888394682</v>
      </c>
      <c r="X14" s="233">
        <v>1811.3665222894851</v>
      </c>
      <c r="Y14" s="233">
        <v>1933.9522139840535</v>
      </c>
      <c r="Z14" s="233">
        <v>1547.6178606026663</v>
      </c>
      <c r="AA14" s="233">
        <v>1509.6185885616376</v>
      </c>
      <c r="AB14" s="233">
        <v>1435.7371103001201</v>
      </c>
      <c r="AC14" s="233">
        <v>1041.6138424732119</v>
      </c>
      <c r="AD14" s="233">
        <v>1245.6530947692609</v>
      </c>
      <c r="AE14" s="233">
        <v>1477.847421399237</v>
      </c>
      <c r="AF14" s="233">
        <v>1470.0061031631626</v>
      </c>
      <c r="AG14" s="233">
        <v>1513.7058338862812</v>
      </c>
      <c r="AH14" s="233">
        <v>1595.9763218556468</v>
      </c>
      <c r="AI14" s="233">
        <v>1618.5515894863925</v>
      </c>
      <c r="AJ14" s="233">
        <v>1577.440821664758</v>
      </c>
      <c r="AK14" s="233">
        <v>1499.5419812706587</v>
      </c>
      <c r="AL14" s="233">
        <v>1384.0973706809591</v>
      </c>
      <c r="AM14" s="233">
        <v>1379.9523908008141</v>
      </c>
      <c r="AN14" s="233">
        <v>1324.3282591916889</v>
      </c>
      <c r="AO14" s="233">
        <v>1633.3542487114405</v>
      </c>
      <c r="AP14" s="233">
        <v>1750.4922734229726</v>
      </c>
      <c r="AQ14" s="233">
        <v>1627.1971304493497</v>
      </c>
      <c r="AR14" s="233">
        <v>1659.8821746054748</v>
      </c>
      <c r="AS14" s="233">
        <v>1340.1775253286421</v>
      </c>
      <c r="AT14" s="233">
        <v>1729.9625383232385</v>
      </c>
      <c r="AU14" s="233">
        <v>1660.5364466311887</v>
      </c>
      <c r="AV14" s="233">
        <v>1700.6974040290188</v>
      </c>
      <c r="AW14" s="233">
        <v>1988.4718822966965</v>
      </c>
      <c r="AX14" s="233">
        <v>1758.7535369790119</v>
      </c>
      <c r="AY14" s="233">
        <v>1637.8897649245002</v>
      </c>
      <c r="AZ14" s="233">
        <v>1968.7986572847503</v>
      </c>
      <c r="BA14" s="233">
        <v>1468.6712195537068</v>
      </c>
      <c r="BB14" s="233">
        <v>1676.8847169269864</v>
      </c>
      <c r="BC14" s="233">
        <v>1896.0670370924549</v>
      </c>
      <c r="BD14" s="233">
        <v>1774.7430933018247</v>
      </c>
      <c r="BE14" s="233">
        <v>1758.5547418211436</v>
      </c>
      <c r="BF14" s="233">
        <v>1752.739532011012</v>
      </c>
      <c r="BG14" s="233">
        <v>2015.6810218139383</v>
      </c>
      <c r="BH14" s="233">
        <v>2104.6263127891475</v>
      </c>
      <c r="BI14" s="233">
        <v>1989.2941777940769</v>
      </c>
      <c r="BJ14" s="233">
        <v>1870.249787818776</v>
      </c>
      <c r="BK14" s="233">
        <v>2049.7060897051178</v>
      </c>
      <c r="BL14" s="233">
        <v>1637.7248111631575</v>
      </c>
      <c r="BM14" s="233">
        <v>1830.3946474313623</v>
      </c>
      <c r="BN14" s="233">
        <v>1944.1881149392561</v>
      </c>
      <c r="BO14" s="233">
        <v>1875.3872249081464</v>
      </c>
      <c r="BP14" s="233">
        <v>2117.2107070100215</v>
      </c>
      <c r="BQ14" s="233">
        <v>2094.5743475993731</v>
      </c>
      <c r="BR14" s="233">
        <v>1862.2216282302875</v>
      </c>
      <c r="BS14" s="233">
        <v>1777.3914973500007</v>
      </c>
      <c r="BT14" s="233">
        <v>1883.6074728996423</v>
      </c>
      <c r="BU14" s="233">
        <v>1917.7740096829043</v>
      </c>
      <c r="BV14" s="233">
        <v>2094.9708203166856</v>
      </c>
      <c r="BW14" s="233">
        <v>1932.1738657525239</v>
      </c>
      <c r="BX14" s="233">
        <v>1899.6189054484942</v>
      </c>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c r="CY14" s="233"/>
      <c r="CZ14" s="233"/>
      <c r="DA14" s="233"/>
      <c r="DB14" s="233"/>
      <c r="DC14" s="233"/>
      <c r="DD14" s="233"/>
      <c r="DE14" s="233"/>
      <c r="DF14" s="233"/>
      <c r="DG14" s="233"/>
      <c r="DH14" s="233"/>
      <c r="DI14" s="233"/>
      <c r="DJ14" s="233"/>
      <c r="DK14" s="233"/>
      <c r="DL14" s="233"/>
      <c r="DM14" s="233"/>
      <c r="DN14" s="233"/>
      <c r="DO14" s="233"/>
      <c r="DP14" s="233"/>
      <c r="DQ14" s="233"/>
      <c r="DR14" s="233"/>
      <c r="DS14" s="233"/>
      <c r="DT14" s="233"/>
      <c r="DU14" s="233"/>
      <c r="DV14" s="233"/>
      <c r="DW14" s="233"/>
      <c r="DX14" s="233"/>
      <c r="DY14" s="233"/>
      <c r="DZ14" s="233"/>
      <c r="EA14" s="233"/>
      <c r="EB14" s="233"/>
      <c r="EC14" s="233"/>
      <c r="ED14" s="233"/>
      <c r="EE14" s="233"/>
      <c r="EF14" s="233"/>
      <c r="EG14" s="233"/>
      <c r="EH14" s="233"/>
      <c r="EI14" s="233"/>
      <c r="EJ14" s="233"/>
      <c r="EK14" s="233"/>
      <c r="EL14" s="233"/>
      <c r="EM14" s="233"/>
      <c r="EN14" s="233"/>
      <c r="EO14" s="233"/>
      <c r="EP14" s="233"/>
      <c r="EQ14" s="233"/>
      <c r="ER14" s="233"/>
      <c r="ES14" s="233"/>
      <c r="ET14" s="233"/>
      <c r="EU14" s="233"/>
      <c r="EV14" s="233"/>
      <c r="EW14" s="233"/>
      <c r="EX14" s="233"/>
      <c r="EY14" s="233"/>
      <c r="EZ14" s="233"/>
      <c r="FA14" s="233"/>
      <c r="FB14" s="233"/>
      <c r="FC14" s="233"/>
      <c r="FD14" s="233"/>
      <c r="FE14" s="233"/>
      <c r="FF14" s="233"/>
      <c r="FG14" s="233"/>
      <c r="FH14" s="233"/>
      <c r="FI14" s="233"/>
      <c r="FJ14" s="233"/>
      <c r="FK14" s="233"/>
      <c r="FL14" s="233"/>
      <c r="FM14" s="233"/>
      <c r="FN14" s="233"/>
      <c r="FO14" s="233"/>
      <c r="FP14" s="233"/>
      <c r="FQ14" s="233"/>
      <c r="FR14" s="233"/>
      <c r="FS14" s="233"/>
      <c r="FT14" s="233"/>
      <c r="FU14" s="233"/>
      <c r="FV14" s="233"/>
      <c r="FW14" s="233"/>
      <c r="FX14" s="233"/>
      <c r="FY14" s="233"/>
      <c r="FZ14" s="233"/>
      <c r="GA14" s="233"/>
      <c r="GB14" s="233"/>
      <c r="GC14" s="233"/>
      <c r="GD14" s="233"/>
      <c r="GE14" s="233"/>
      <c r="GF14" s="233"/>
      <c r="GG14" s="233"/>
      <c r="GH14" s="233"/>
      <c r="GI14" s="233"/>
      <c r="GJ14" s="233"/>
      <c r="GK14" s="233"/>
      <c r="GL14" s="233"/>
      <c r="GM14" s="233"/>
      <c r="GN14" s="233"/>
      <c r="GO14" s="233"/>
      <c r="GP14" s="233"/>
      <c r="GQ14" s="233"/>
      <c r="GR14" s="233"/>
      <c r="GS14" s="233"/>
      <c r="GT14" s="233"/>
      <c r="GU14" s="233"/>
      <c r="GV14" s="233"/>
      <c r="GW14" s="233"/>
      <c r="GX14" s="233"/>
      <c r="GY14" s="233"/>
      <c r="GZ14" s="233"/>
      <c r="HA14" s="233"/>
      <c r="HB14" s="233"/>
      <c r="HC14" s="233"/>
      <c r="HD14" s="233"/>
      <c r="HE14" s="233"/>
      <c r="HF14" s="233"/>
      <c r="HG14" s="233"/>
      <c r="HH14" s="233"/>
      <c r="HI14" s="233"/>
      <c r="HJ14" s="233"/>
      <c r="HK14" s="233"/>
      <c r="HL14" s="233"/>
      <c r="HM14" s="233"/>
      <c r="HN14" s="233"/>
      <c r="HO14" s="233"/>
      <c r="HP14" s="233"/>
      <c r="HQ14" s="233"/>
      <c r="HR14" s="233"/>
      <c r="HS14" s="233"/>
      <c r="HT14" s="233"/>
      <c r="HU14" s="233"/>
      <c r="HV14" s="233"/>
      <c r="HW14" s="233"/>
      <c r="HX14" s="233"/>
      <c r="HY14" s="233"/>
      <c r="HZ14" s="233"/>
      <c r="IA14" s="233"/>
      <c r="IB14" s="233"/>
      <c r="IC14" s="233"/>
      <c r="ID14" s="233"/>
      <c r="IE14" s="233"/>
      <c r="IF14" s="233"/>
      <c r="IG14" s="233"/>
      <c r="IH14" s="233"/>
      <c r="II14" s="233"/>
      <c r="IJ14" s="233"/>
      <c r="IK14" s="233"/>
      <c r="IL14" s="233"/>
      <c r="IM14" s="233"/>
      <c r="IN14" s="233"/>
      <c r="IO14" s="233"/>
      <c r="IP14" s="233"/>
      <c r="IQ14" s="233"/>
      <c r="IR14" s="233"/>
      <c r="IS14" s="233"/>
      <c r="IT14" s="233"/>
      <c r="IU14" s="233"/>
      <c r="IV14" s="233"/>
    </row>
    <row r="15" spans="1:256" ht="15" x14ac:dyDescent="0.25">
      <c r="A15" s="233"/>
      <c r="B15" s="238" t="s">
        <v>149</v>
      </c>
      <c r="C15" s="233"/>
      <c r="D15" s="215"/>
      <c r="E15" s="215"/>
      <c r="F15" s="215"/>
      <c r="G15" s="215"/>
      <c r="H15" s="215"/>
      <c r="I15" s="215"/>
      <c r="J15" s="215"/>
      <c r="K15" s="215"/>
      <c r="L15" s="215"/>
      <c r="M15" s="215"/>
      <c r="N15" s="233">
        <v>673.11795911545528</v>
      </c>
      <c r="O15" s="233">
        <v>572.69745278133325</v>
      </c>
      <c r="P15" s="233">
        <v>374.21475532695342</v>
      </c>
      <c r="Q15" s="233">
        <v>373.1556840750257</v>
      </c>
      <c r="R15" s="233">
        <v>401.23166766349408</v>
      </c>
      <c r="S15" s="233">
        <v>447.71212286773897</v>
      </c>
      <c r="T15" s="233">
        <v>583.60824605265475</v>
      </c>
      <c r="U15" s="233">
        <v>565.69779625116644</v>
      </c>
      <c r="V15" s="233">
        <v>578.53254077928204</v>
      </c>
      <c r="W15" s="233">
        <v>537.63415258709733</v>
      </c>
      <c r="X15" s="233">
        <v>432.05926110662398</v>
      </c>
      <c r="Y15" s="233">
        <v>611.47703029731179</v>
      </c>
      <c r="Z15" s="233">
        <v>536.69424100230037</v>
      </c>
      <c r="AA15" s="233">
        <v>544.76302745100634</v>
      </c>
      <c r="AB15" s="233">
        <v>621.86171037423969</v>
      </c>
      <c r="AC15" s="233">
        <v>640.91837886922281</v>
      </c>
      <c r="AD15" s="233">
        <v>557.83027875336256</v>
      </c>
      <c r="AE15" s="233">
        <v>566.61796885377976</v>
      </c>
      <c r="AF15" s="233">
        <v>655.81257475232655</v>
      </c>
      <c r="AG15" s="233">
        <v>640.39368776259448</v>
      </c>
      <c r="AH15" s="233">
        <v>638.72659901122665</v>
      </c>
      <c r="AI15" s="233">
        <v>709.15013121252548</v>
      </c>
      <c r="AJ15" s="233">
        <v>632.12436081118688</v>
      </c>
      <c r="AK15" s="233">
        <v>581.12534360200539</v>
      </c>
      <c r="AL15" s="233">
        <v>573.50161330818378</v>
      </c>
      <c r="AM15" s="233">
        <v>528.52377883764916</v>
      </c>
      <c r="AN15" s="233">
        <v>509.8677951047481</v>
      </c>
      <c r="AO15" s="233">
        <v>460.3910417825258</v>
      </c>
      <c r="AP15" s="233">
        <v>550.09196502233351</v>
      </c>
      <c r="AQ15" s="233">
        <v>566.52838579321224</v>
      </c>
      <c r="AR15" s="233">
        <v>562.07787999400239</v>
      </c>
      <c r="AS15" s="233">
        <v>593.30428683074399</v>
      </c>
      <c r="AT15" s="233">
        <v>554.53846868134451</v>
      </c>
      <c r="AU15" s="233">
        <v>501.08954037822548</v>
      </c>
      <c r="AV15" s="233">
        <v>598.83298024865815</v>
      </c>
      <c r="AW15" s="233">
        <v>612.84701935814712</v>
      </c>
      <c r="AX15" s="233">
        <v>589.46433660162313</v>
      </c>
      <c r="AY15" s="233">
        <v>613.73461878206126</v>
      </c>
      <c r="AZ15" s="233">
        <v>596.54399855187751</v>
      </c>
      <c r="BA15" s="233">
        <v>556.06948190984258</v>
      </c>
      <c r="BB15" s="233">
        <v>611.12557483940623</v>
      </c>
      <c r="BC15" s="233">
        <v>634.44830549809114</v>
      </c>
      <c r="BD15" s="233">
        <v>623.64453656548505</v>
      </c>
      <c r="BE15" s="233">
        <v>604.37894308165414</v>
      </c>
      <c r="BF15" s="233">
        <v>671.86494669176</v>
      </c>
      <c r="BG15" s="233">
        <v>769.29025522367249</v>
      </c>
      <c r="BH15" s="233">
        <v>711.07199258990886</v>
      </c>
      <c r="BI15" s="233">
        <v>728.44057775266583</v>
      </c>
      <c r="BJ15" s="233">
        <v>784.0081928609319</v>
      </c>
      <c r="BK15" s="233">
        <v>800.39360772753594</v>
      </c>
      <c r="BL15" s="233">
        <v>908.99745207674687</v>
      </c>
      <c r="BM15" s="233">
        <v>1016.1896008383895</v>
      </c>
      <c r="BN15" s="233">
        <v>961.51909207393123</v>
      </c>
      <c r="BO15" s="233">
        <v>1035.47298044325</v>
      </c>
      <c r="BP15" s="233">
        <v>965.22893345568389</v>
      </c>
      <c r="BQ15" s="233">
        <v>965.60642904899305</v>
      </c>
      <c r="BR15" s="233">
        <v>1030.7635771180867</v>
      </c>
      <c r="BS15" s="233">
        <v>1015.6637947898446</v>
      </c>
      <c r="BT15" s="233">
        <v>1039.9269485734969</v>
      </c>
      <c r="BU15" s="233">
        <v>979.26726088300973</v>
      </c>
      <c r="BV15" s="233">
        <v>966.22432598818546</v>
      </c>
      <c r="BW15" s="233">
        <v>1015.6175588174992</v>
      </c>
      <c r="BX15" s="233">
        <v>1044.3485326909647</v>
      </c>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c r="CY15" s="233"/>
      <c r="CZ15" s="233"/>
      <c r="DA15" s="233"/>
      <c r="DB15" s="233"/>
      <c r="DC15" s="233"/>
      <c r="DD15" s="233"/>
      <c r="DE15" s="233"/>
      <c r="DF15" s="233"/>
      <c r="DG15" s="233"/>
      <c r="DH15" s="233"/>
      <c r="DI15" s="233"/>
      <c r="DJ15" s="233"/>
      <c r="DK15" s="233"/>
      <c r="DL15" s="233"/>
      <c r="DM15" s="233"/>
      <c r="DN15" s="233"/>
      <c r="DO15" s="233"/>
      <c r="DP15" s="233"/>
      <c r="DQ15" s="233"/>
      <c r="DR15" s="233"/>
      <c r="DS15" s="233"/>
      <c r="DT15" s="233"/>
      <c r="DU15" s="233"/>
      <c r="DV15" s="233"/>
      <c r="DW15" s="233"/>
      <c r="DX15" s="233"/>
      <c r="DY15" s="233"/>
      <c r="DZ15" s="233"/>
      <c r="EA15" s="233"/>
      <c r="EB15" s="233"/>
      <c r="EC15" s="233"/>
      <c r="ED15" s="233"/>
      <c r="EE15" s="233"/>
      <c r="EF15" s="233"/>
      <c r="EG15" s="233"/>
      <c r="EH15" s="233"/>
      <c r="EI15" s="233"/>
      <c r="EJ15" s="233"/>
      <c r="EK15" s="233"/>
      <c r="EL15" s="233"/>
      <c r="EM15" s="233"/>
      <c r="EN15" s="233"/>
      <c r="EO15" s="233"/>
      <c r="EP15" s="233"/>
      <c r="EQ15" s="233"/>
      <c r="ER15" s="233"/>
      <c r="ES15" s="233"/>
      <c r="ET15" s="233"/>
      <c r="EU15" s="233"/>
      <c r="EV15" s="233"/>
      <c r="EW15" s="233"/>
      <c r="EX15" s="233"/>
      <c r="EY15" s="233"/>
      <c r="EZ15" s="233"/>
      <c r="FA15" s="233"/>
      <c r="FB15" s="233"/>
      <c r="FC15" s="233"/>
      <c r="FD15" s="233"/>
      <c r="FE15" s="233"/>
      <c r="FF15" s="233"/>
      <c r="FG15" s="233"/>
      <c r="FH15" s="233"/>
      <c r="FI15" s="233"/>
      <c r="FJ15" s="233"/>
      <c r="FK15" s="233"/>
      <c r="FL15" s="233"/>
      <c r="FM15" s="233"/>
      <c r="FN15" s="233"/>
      <c r="FO15" s="233"/>
      <c r="FP15" s="233"/>
      <c r="FQ15" s="233"/>
      <c r="FR15" s="233"/>
      <c r="FS15" s="233"/>
      <c r="FT15" s="233"/>
      <c r="FU15" s="233"/>
      <c r="FV15" s="233"/>
      <c r="FW15" s="233"/>
      <c r="FX15" s="233"/>
      <c r="FY15" s="233"/>
      <c r="FZ15" s="233"/>
      <c r="GA15" s="233"/>
      <c r="GB15" s="233"/>
      <c r="GC15" s="233"/>
      <c r="GD15" s="233"/>
      <c r="GE15" s="233"/>
      <c r="GF15" s="233"/>
      <c r="GG15" s="233"/>
      <c r="GH15" s="233"/>
      <c r="GI15" s="233"/>
      <c r="GJ15" s="233"/>
      <c r="GK15" s="233"/>
      <c r="GL15" s="233"/>
      <c r="GM15" s="233"/>
      <c r="GN15" s="233"/>
      <c r="GO15" s="233"/>
      <c r="GP15" s="233"/>
      <c r="GQ15" s="233"/>
      <c r="GR15" s="233"/>
      <c r="GS15" s="233"/>
      <c r="GT15" s="233"/>
      <c r="GU15" s="233"/>
      <c r="GV15" s="233"/>
      <c r="GW15" s="233"/>
      <c r="GX15" s="233"/>
      <c r="GY15" s="233"/>
      <c r="GZ15" s="233"/>
      <c r="HA15" s="233"/>
      <c r="HB15" s="233"/>
      <c r="HC15" s="233"/>
      <c r="HD15" s="233"/>
      <c r="HE15" s="233"/>
      <c r="HF15" s="233"/>
      <c r="HG15" s="233"/>
      <c r="HH15" s="233"/>
      <c r="HI15" s="233"/>
      <c r="HJ15" s="233"/>
      <c r="HK15" s="233"/>
      <c r="HL15" s="233"/>
      <c r="HM15" s="233"/>
      <c r="HN15" s="233"/>
      <c r="HO15" s="233"/>
      <c r="HP15" s="233"/>
      <c r="HQ15" s="233"/>
      <c r="HR15" s="233"/>
      <c r="HS15" s="233"/>
      <c r="HT15" s="233"/>
      <c r="HU15" s="233"/>
      <c r="HV15" s="233"/>
      <c r="HW15" s="233"/>
      <c r="HX15" s="233"/>
      <c r="HY15" s="233"/>
      <c r="HZ15" s="233"/>
      <c r="IA15" s="233"/>
      <c r="IB15" s="233"/>
      <c r="IC15" s="233"/>
      <c r="ID15" s="233"/>
      <c r="IE15" s="233"/>
      <c r="IF15" s="233"/>
      <c r="IG15" s="233"/>
      <c r="IH15" s="233"/>
      <c r="II15" s="233"/>
      <c r="IJ15" s="233"/>
      <c r="IK15" s="233"/>
      <c r="IL15" s="233"/>
      <c r="IM15" s="233"/>
      <c r="IN15" s="233"/>
      <c r="IO15" s="233"/>
      <c r="IP15" s="233"/>
      <c r="IQ15" s="233"/>
      <c r="IR15" s="233"/>
      <c r="IS15" s="233"/>
      <c r="IT15" s="233"/>
      <c r="IU15" s="233"/>
      <c r="IV15" s="233"/>
    </row>
    <row r="16" spans="1:256" ht="15" x14ac:dyDescent="0.25">
      <c r="A16" s="233"/>
      <c r="B16" s="236" t="s">
        <v>148</v>
      </c>
      <c r="C16" s="233"/>
      <c r="D16" s="215"/>
      <c r="E16" s="215"/>
      <c r="F16" s="215"/>
      <c r="G16" s="215"/>
      <c r="H16" s="215"/>
      <c r="I16" s="215"/>
      <c r="J16" s="215"/>
      <c r="K16" s="215"/>
      <c r="L16" s="215"/>
      <c r="M16" s="215"/>
      <c r="N16" s="233">
        <v>93.112820909348116</v>
      </c>
      <c r="O16" s="233">
        <v>92.956734169565934</v>
      </c>
      <c r="P16" s="233">
        <v>99.92690491286811</v>
      </c>
      <c r="Q16" s="233">
        <v>96.663420038674559</v>
      </c>
      <c r="R16" s="233">
        <v>98.674195781934344</v>
      </c>
      <c r="S16" s="233">
        <v>101.61209749775405</v>
      </c>
      <c r="T16" s="233">
        <v>102.2050071010469</v>
      </c>
      <c r="U16" s="233">
        <v>105.11161998567272</v>
      </c>
      <c r="V16" s="233">
        <v>108.01432702655204</v>
      </c>
      <c r="W16" s="233">
        <v>113.23073926934541</v>
      </c>
      <c r="X16" s="233">
        <v>124.37470364521886</v>
      </c>
      <c r="Y16" s="233">
        <v>127.9788986845175</v>
      </c>
      <c r="Z16" s="233">
        <v>131.93352912544898</v>
      </c>
      <c r="AA16" s="233">
        <v>136.32320016558069</v>
      </c>
      <c r="AB16" s="233">
        <v>137.70013183051142</v>
      </c>
      <c r="AC16" s="233">
        <v>138.94009923791475</v>
      </c>
      <c r="AD16" s="233">
        <v>140.55646436071069</v>
      </c>
      <c r="AE16" s="233">
        <v>140.88112706343088</v>
      </c>
      <c r="AF16" s="233">
        <v>140.79017696328199</v>
      </c>
      <c r="AG16" s="233">
        <v>141.0974837055619</v>
      </c>
      <c r="AH16" s="233">
        <v>140.62750178789952</v>
      </c>
      <c r="AI16" s="233">
        <v>140.55297631840386</v>
      </c>
      <c r="AJ16" s="233">
        <v>141.1256896820577</v>
      </c>
      <c r="AK16" s="233">
        <v>144.13684585939805</v>
      </c>
      <c r="AL16" s="233">
        <v>146.35225106760632</v>
      </c>
      <c r="AM16" s="233">
        <v>150.41695967874782</v>
      </c>
      <c r="AN16" s="233">
        <v>154.77905681076336</v>
      </c>
      <c r="AO16" s="233">
        <v>157.39574795984234</v>
      </c>
      <c r="AP16" s="233">
        <v>160.9504444695005</v>
      </c>
      <c r="AQ16" s="233">
        <v>163.18731293450634</v>
      </c>
      <c r="AR16" s="233">
        <v>168.22417584959143</v>
      </c>
      <c r="AS16" s="233">
        <v>171.03216352874196</v>
      </c>
      <c r="AT16" s="233">
        <v>176.2496409923518</v>
      </c>
      <c r="AU16" s="233">
        <v>179.89428827592121</v>
      </c>
      <c r="AV16" s="233">
        <v>182.72386444424998</v>
      </c>
      <c r="AW16" s="233">
        <v>187.55957866425084</v>
      </c>
      <c r="AX16" s="233">
        <v>193.23683348065751</v>
      </c>
      <c r="AY16" s="233">
        <v>198.26582484869283</v>
      </c>
      <c r="AZ16" s="233">
        <v>201.71194451397665</v>
      </c>
      <c r="BA16" s="233">
        <v>204.06742023068725</v>
      </c>
      <c r="BB16" s="233">
        <v>206.0275859005518</v>
      </c>
      <c r="BC16" s="233">
        <v>212.389168172295</v>
      </c>
      <c r="BD16" s="233">
        <v>220.11664714407874</v>
      </c>
      <c r="BE16" s="233">
        <v>236.91031257907403</v>
      </c>
      <c r="BF16" s="233">
        <v>234.23693043170451</v>
      </c>
      <c r="BG16" s="233">
        <v>237.28757417754636</v>
      </c>
      <c r="BH16" s="233">
        <v>242.27665597316235</v>
      </c>
      <c r="BI16" s="233">
        <v>249.08842748041062</v>
      </c>
      <c r="BJ16" s="233">
        <v>266.31815196599172</v>
      </c>
      <c r="BK16" s="233">
        <v>262.84430585108169</v>
      </c>
      <c r="BL16" s="233">
        <v>269.1768348559325</v>
      </c>
      <c r="BM16" s="233">
        <v>262.07387071611771</v>
      </c>
      <c r="BN16" s="233">
        <v>270.41644844205501</v>
      </c>
      <c r="BO16" s="233">
        <v>278.08640932311124</v>
      </c>
      <c r="BP16" s="233">
        <v>285.63893458258696</v>
      </c>
      <c r="BQ16" s="233">
        <v>293.14779596851736</v>
      </c>
      <c r="BR16" s="233">
        <v>299.4277158713067</v>
      </c>
      <c r="BS16" s="233">
        <v>304.86347363189617</v>
      </c>
      <c r="BT16" s="233">
        <v>310.86546941893516</v>
      </c>
      <c r="BU16" s="233">
        <v>315.61445768983197</v>
      </c>
      <c r="BV16" s="233">
        <v>324.23689952044214</v>
      </c>
      <c r="BW16" s="233">
        <v>329.94300751321117</v>
      </c>
      <c r="BX16" s="233">
        <v>329.86680587453935</v>
      </c>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c r="CY16" s="233"/>
      <c r="CZ16" s="233"/>
      <c r="DA16" s="233"/>
      <c r="DB16" s="233"/>
      <c r="DC16" s="233"/>
      <c r="DD16" s="233"/>
      <c r="DE16" s="233"/>
      <c r="DF16" s="233"/>
      <c r="DG16" s="233"/>
      <c r="DH16" s="233"/>
      <c r="DI16" s="233"/>
      <c r="DJ16" s="233"/>
      <c r="DK16" s="233"/>
      <c r="DL16" s="233"/>
      <c r="DM16" s="233"/>
      <c r="DN16" s="233"/>
      <c r="DO16" s="233"/>
      <c r="DP16" s="233"/>
      <c r="DQ16" s="233"/>
      <c r="DR16" s="233"/>
      <c r="DS16" s="233"/>
      <c r="DT16" s="233"/>
      <c r="DU16" s="233"/>
      <c r="DV16" s="233"/>
      <c r="DW16" s="233"/>
      <c r="DX16" s="233"/>
      <c r="DY16" s="233"/>
      <c r="DZ16" s="233"/>
      <c r="EA16" s="233"/>
      <c r="EB16" s="233"/>
      <c r="EC16" s="233"/>
      <c r="ED16" s="233"/>
      <c r="EE16" s="233"/>
      <c r="EF16" s="233"/>
      <c r="EG16" s="233"/>
      <c r="EH16" s="233"/>
      <c r="EI16" s="233"/>
      <c r="EJ16" s="233"/>
      <c r="EK16" s="233"/>
      <c r="EL16" s="233"/>
      <c r="EM16" s="233"/>
      <c r="EN16" s="233"/>
      <c r="EO16" s="233"/>
      <c r="EP16" s="233"/>
      <c r="EQ16" s="233"/>
      <c r="ER16" s="233"/>
      <c r="ES16" s="233"/>
      <c r="ET16" s="233"/>
      <c r="EU16" s="233"/>
      <c r="EV16" s="233"/>
      <c r="EW16" s="233"/>
      <c r="EX16" s="233"/>
      <c r="EY16" s="233"/>
      <c r="EZ16" s="233"/>
      <c r="FA16" s="233"/>
      <c r="FB16" s="233"/>
      <c r="FC16" s="233"/>
      <c r="FD16" s="233"/>
      <c r="FE16" s="233"/>
      <c r="FF16" s="233"/>
      <c r="FG16" s="233"/>
      <c r="FH16" s="233"/>
      <c r="FI16" s="233"/>
      <c r="FJ16" s="233"/>
      <c r="FK16" s="233"/>
      <c r="FL16" s="233"/>
      <c r="FM16" s="233"/>
      <c r="FN16" s="233"/>
      <c r="FO16" s="233"/>
      <c r="FP16" s="233"/>
      <c r="FQ16" s="233"/>
      <c r="FR16" s="233"/>
      <c r="FS16" s="233"/>
      <c r="FT16" s="233"/>
      <c r="FU16" s="233"/>
      <c r="FV16" s="233"/>
      <c r="FW16" s="233"/>
      <c r="FX16" s="233"/>
      <c r="FY16" s="233"/>
      <c r="FZ16" s="233"/>
      <c r="GA16" s="233"/>
      <c r="GB16" s="233"/>
      <c r="GC16" s="233"/>
      <c r="GD16" s="233"/>
      <c r="GE16" s="233"/>
      <c r="GF16" s="233"/>
      <c r="GG16" s="233"/>
      <c r="GH16" s="233"/>
      <c r="GI16" s="233"/>
      <c r="GJ16" s="233"/>
      <c r="GK16" s="233"/>
      <c r="GL16" s="233"/>
      <c r="GM16" s="233"/>
      <c r="GN16" s="233"/>
      <c r="GO16" s="233"/>
      <c r="GP16" s="233"/>
      <c r="GQ16" s="233"/>
      <c r="GR16" s="233"/>
      <c r="GS16" s="233"/>
      <c r="GT16" s="233"/>
      <c r="GU16" s="233"/>
      <c r="GV16" s="233"/>
      <c r="GW16" s="233"/>
      <c r="GX16" s="233"/>
      <c r="GY16" s="233"/>
      <c r="GZ16" s="233"/>
      <c r="HA16" s="233"/>
      <c r="HB16" s="233"/>
      <c r="HC16" s="233"/>
      <c r="HD16" s="233"/>
      <c r="HE16" s="233"/>
      <c r="HF16" s="233"/>
      <c r="HG16" s="233"/>
      <c r="HH16" s="233"/>
      <c r="HI16" s="233"/>
      <c r="HJ16" s="233"/>
      <c r="HK16" s="233"/>
      <c r="HL16" s="233"/>
      <c r="HM16" s="233"/>
      <c r="HN16" s="233"/>
      <c r="HO16" s="233"/>
      <c r="HP16" s="233"/>
      <c r="HQ16" s="233"/>
      <c r="HR16" s="233"/>
      <c r="HS16" s="233"/>
      <c r="HT16" s="233"/>
      <c r="HU16" s="233"/>
      <c r="HV16" s="233"/>
      <c r="HW16" s="233"/>
      <c r="HX16" s="233"/>
      <c r="HY16" s="233"/>
      <c r="HZ16" s="233"/>
      <c r="IA16" s="233"/>
      <c r="IB16" s="233"/>
      <c r="IC16" s="233"/>
      <c r="ID16" s="233"/>
      <c r="IE16" s="233"/>
      <c r="IF16" s="233"/>
      <c r="IG16" s="233"/>
      <c r="IH16" s="233"/>
      <c r="II16" s="233"/>
      <c r="IJ16" s="233"/>
      <c r="IK16" s="233"/>
      <c r="IL16" s="233"/>
      <c r="IM16" s="233"/>
      <c r="IN16" s="233"/>
      <c r="IO16" s="233"/>
      <c r="IP16" s="233"/>
      <c r="IQ16" s="233"/>
      <c r="IR16" s="233"/>
      <c r="IS16" s="233"/>
      <c r="IT16" s="233"/>
      <c r="IU16" s="233"/>
      <c r="IV16" s="233"/>
    </row>
    <row r="17" spans="1:256" ht="15" x14ac:dyDescent="0.25">
      <c r="A17" s="235"/>
      <c r="B17" s="236" t="s">
        <v>147</v>
      </c>
      <c r="C17" s="235"/>
      <c r="D17" s="210"/>
      <c r="E17" s="210"/>
      <c r="F17" s="210"/>
      <c r="G17" s="210"/>
      <c r="H17" s="210"/>
      <c r="I17" s="210"/>
      <c r="J17" s="210"/>
      <c r="K17" s="210"/>
      <c r="L17" s="210"/>
      <c r="M17" s="210"/>
      <c r="N17" s="214">
        <v>-2930.8344829006055</v>
      </c>
      <c r="O17" s="214">
        <v>-2790.0522327212025</v>
      </c>
      <c r="P17" s="214">
        <v>-3027.9854149485373</v>
      </c>
      <c r="Q17" s="214">
        <v>-2179.9036965622395</v>
      </c>
      <c r="R17" s="214">
        <v>-3213.4546563188833</v>
      </c>
      <c r="S17" s="214">
        <v>-2919.6106097069701</v>
      </c>
      <c r="T17" s="214">
        <v>-2711.3593086865317</v>
      </c>
      <c r="U17" s="214">
        <v>-2218.6977295354782</v>
      </c>
      <c r="V17" s="214">
        <v>-2394.3108125557692</v>
      </c>
      <c r="W17" s="214">
        <v>-2034.9727647844352</v>
      </c>
      <c r="X17" s="214">
        <v>-2301.5655620213447</v>
      </c>
      <c r="Y17" s="214">
        <v>-3006.400443303608</v>
      </c>
      <c r="Z17" s="214">
        <v>-1847.2519173534356</v>
      </c>
      <c r="AA17" s="214">
        <v>-1430.9372258302596</v>
      </c>
      <c r="AB17" s="214">
        <v>-2013.175850692061</v>
      </c>
      <c r="AC17" s="214">
        <v>-2169.6552824439764</v>
      </c>
      <c r="AD17" s="214">
        <v>-2641.5605610635239</v>
      </c>
      <c r="AE17" s="214">
        <v>-2350.5658203926641</v>
      </c>
      <c r="AF17" s="214">
        <v>-2166.9056066666171</v>
      </c>
      <c r="AG17" s="214">
        <v>-1988.3046188442136</v>
      </c>
      <c r="AH17" s="214">
        <v>-2725.0777612588954</v>
      </c>
      <c r="AI17" s="214">
        <v>-2685.4296585278425</v>
      </c>
      <c r="AJ17" s="214">
        <v>-1323.3432965025777</v>
      </c>
      <c r="AK17" s="214">
        <v>-1092.0060118630181</v>
      </c>
      <c r="AL17" s="214">
        <v>-1444.8694895530398</v>
      </c>
      <c r="AM17" s="214">
        <v>-936.70410911044928</v>
      </c>
      <c r="AN17" s="214">
        <v>-684.70642539209257</v>
      </c>
      <c r="AO17" s="214">
        <v>-869.59663921917308</v>
      </c>
      <c r="AP17" s="214">
        <v>-80.271176225441195</v>
      </c>
      <c r="AQ17" s="214">
        <v>-339.46194925246346</v>
      </c>
      <c r="AR17" s="214">
        <v>-1935.7045877081046</v>
      </c>
      <c r="AS17" s="214">
        <v>-1832.7394796314102</v>
      </c>
      <c r="AT17" s="214">
        <v>-1821.2528247013197</v>
      </c>
      <c r="AU17" s="214">
        <v>-1668.2217453603462</v>
      </c>
      <c r="AV17" s="214">
        <v>-726.32364931451866</v>
      </c>
      <c r="AW17" s="214">
        <v>-809.41451246459656</v>
      </c>
      <c r="AX17" s="214">
        <v>-669.3032623122599</v>
      </c>
      <c r="AY17" s="214">
        <v>-564.3832729455944</v>
      </c>
      <c r="AZ17" s="214">
        <v>-1966.5478051797727</v>
      </c>
      <c r="BA17" s="214">
        <v>-1512.7979528145133</v>
      </c>
      <c r="BB17" s="214">
        <v>-2516.7230113704063</v>
      </c>
      <c r="BC17" s="214">
        <v>-2705.7616360342217</v>
      </c>
      <c r="BD17" s="214">
        <v>-1971.3997932344273</v>
      </c>
      <c r="BE17" s="214">
        <v>-3220.9967955113807</v>
      </c>
      <c r="BF17" s="214">
        <v>-2056.5686503917123</v>
      </c>
      <c r="BG17" s="214">
        <v>-3077.6574978157882</v>
      </c>
      <c r="BH17" s="214">
        <v>-3295.4658893633623</v>
      </c>
      <c r="BI17" s="214">
        <v>-3138.1752408270186</v>
      </c>
      <c r="BJ17" s="214">
        <v>-3149.4590792259414</v>
      </c>
      <c r="BK17" s="214">
        <v>-2517.8688958036328</v>
      </c>
      <c r="BL17" s="214">
        <v>-2788.7308377007985</v>
      </c>
      <c r="BM17" s="214">
        <v>-2459.9890050838821</v>
      </c>
      <c r="BN17" s="214">
        <v>-1571.9941413715342</v>
      </c>
      <c r="BO17" s="214">
        <v>-1673.5466446526334</v>
      </c>
      <c r="BP17" s="214">
        <v>-1464.6988826096331</v>
      </c>
      <c r="BQ17" s="214">
        <v>-1085.5957356976978</v>
      </c>
      <c r="BR17" s="214">
        <v>-1055.4620973142592</v>
      </c>
      <c r="BS17" s="214">
        <v>-1326.3521068928994</v>
      </c>
      <c r="BT17" s="214">
        <v>43.840235696629861</v>
      </c>
      <c r="BU17" s="214">
        <v>-547.66405685035352</v>
      </c>
      <c r="BV17" s="214">
        <v>-811.76618714819415</v>
      </c>
      <c r="BW17" s="214">
        <v>-402.14778699162343</v>
      </c>
      <c r="BX17" s="214">
        <v>-458.82917913904203</v>
      </c>
      <c r="BY17" s="235"/>
      <c r="BZ17" s="235"/>
      <c r="CA17" s="235"/>
      <c r="CB17" s="235"/>
      <c r="CC17" s="235"/>
      <c r="CD17" s="235"/>
      <c r="CE17" s="235"/>
      <c r="CF17" s="235"/>
      <c r="CG17" s="235"/>
      <c r="CH17" s="235"/>
      <c r="CI17" s="235"/>
      <c r="CJ17" s="235"/>
      <c r="CK17" s="235"/>
      <c r="CL17" s="235"/>
      <c r="CM17" s="235"/>
      <c r="CN17" s="235"/>
      <c r="CO17" s="235"/>
      <c r="CP17" s="235"/>
      <c r="CQ17" s="235"/>
      <c r="CR17" s="235"/>
      <c r="CS17" s="235"/>
      <c r="CT17" s="235"/>
      <c r="CU17" s="235"/>
      <c r="CV17" s="235"/>
      <c r="CW17" s="235"/>
      <c r="CX17" s="235"/>
      <c r="CY17" s="235"/>
      <c r="CZ17" s="235"/>
      <c r="DA17" s="235"/>
      <c r="DB17" s="235"/>
      <c r="DC17" s="235"/>
      <c r="DD17" s="235"/>
      <c r="DE17" s="235"/>
      <c r="DF17" s="235"/>
      <c r="DG17" s="235"/>
      <c r="DH17" s="235"/>
      <c r="DI17" s="235"/>
      <c r="DJ17" s="235"/>
      <c r="DK17" s="235"/>
      <c r="DL17" s="235"/>
      <c r="DM17" s="235"/>
      <c r="DN17" s="235"/>
      <c r="DO17" s="235"/>
      <c r="DP17" s="235"/>
      <c r="DQ17" s="235"/>
      <c r="DR17" s="235"/>
      <c r="DS17" s="235"/>
      <c r="DT17" s="235"/>
      <c r="DU17" s="235"/>
      <c r="DV17" s="235"/>
      <c r="DW17" s="235"/>
      <c r="DX17" s="235"/>
      <c r="DY17" s="235"/>
      <c r="DZ17" s="235"/>
      <c r="EA17" s="235"/>
      <c r="EB17" s="235"/>
      <c r="EC17" s="235"/>
      <c r="ED17" s="235"/>
      <c r="EE17" s="235"/>
      <c r="EF17" s="235"/>
      <c r="EG17" s="235"/>
      <c r="EH17" s="235"/>
      <c r="EI17" s="235"/>
      <c r="EJ17" s="235"/>
      <c r="EK17" s="235"/>
      <c r="EL17" s="235"/>
      <c r="EM17" s="235"/>
      <c r="EN17" s="235"/>
      <c r="EO17" s="235"/>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5"/>
      <c r="FO17" s="235"/>
      <c r="FP17" s="235"/>
      <c r="FQ17" s="235"/>
      <c r="FR17" s="235"/>
      <c r="FS17" s="235"/>
      <c r="FT17" s="235"/>
      <c r="FU17" s="235"/>
      <c r="FV17" s="235"/>
      <c r="FW17" s="235"/>
      <c r="FX17" s="235"/>
      <c r="FY17" s="235"/>
      <c r="FZ17" s="235"/>
      <c r="GA17" s="235"/>
      <c r="GB17" s="235"/>
      <c r="GC17" s="235"/>
      <c r="GD17" s="235"/>
      <c r="GE17" s="235"/>
      <c r="GF17" s="235"/>
      <c r="GG17" s="235"/>
      <c r="GH17" s="235"/>
      <c r="GI17" s="235"/>
      <c r="GJ17" s="235"/>
      <c r="GK17" s="235"/>
      <c r="GL17" s="235"/>
      <c r="GM17" s="235"/>
      <c r="GN17" s="235"/>
      <c r="GO17" s="235"/>
      <c r="GP17" s="235"/>
      <c r="GQ17" s="235"/>
      <c r="GR17" s="235"/>
      <c r="GS17" s="235"/>
      <c r="GT17" s="235"/>
      <c r="GU17" s="235"/>
      <c r="GV17" s="235"/>
      <c r="GW17" s="235"/>
      <c r="GX17" s="235"/>
      <c r="GY17" s="235"/>
      <c r="GZ17" s="235"/>
      <c r="HA17" s="235"/>
      <c r="HB17" s="235"/>
      <c r="HC17" s="235"/>
      <c r="HD17" s="235"/>
      <c r="HE17" s="235"/>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c r="II17" s="235"/>
      <c r="IJ17" s="235"/>
      <c r="IK17" s="235"/>
      <c r="IL17" s="235"/>
      <c r="IM17" s="235"/>
      <c r="IN17" s="235"/>
      <c r="IO17" s="235"/>
      <c r="IP17" s="235"/>
      <c r="IQ17" s="235"/>
      <c r="IR17" s="235"/>
      <c r="IS17" s="235"/>
      <c r="IT17" s="235"/>
      <c r="IU17" s="235"/>
      <c r="IV17" s="235"/>
    </row>
    <row r="18" spans="1:256" ht="15" x14ac:dyDescent="0.25">
      <c r="A18" s="235"/>
      <c r="B18" s="239" t="s">
        <v>146</v>
      </c>
      <c r="C18" s="235"/>
      <c r="D18" s="210"/>
      <c r="E18" s="210"/>
      <c r="F18" s="210"/>
      <c r="G18" s="210"/>
      <c r="H18" s="210"/>
      <c r="I18" s="210"/>
      <c r="J18" s="210"/>
      <c r="K18" s="210"/>
      <c r="L18" s="210"/>
      <c r="M18" s="210"/>
      <c r="N18" s="235">
        <v>2488.9662376200513</v>
      </c>
      <c r="O18" s="235">
        <v>3019.8408916820695</v>
      </c>
      <c r="P18" s="235">
        <v>2787.6264393143992</v>
      </c>
      <c r="Q18" s="235">
        <v>2851.5724139055678</v>
      </c>
      <c r="R18" s="235">
        <v>3095.9228549746986</v>
      </c>
      <c r="S18" s="235">
        <v>2765.0166572394478</v>
      </c>
      <c r="T18" s="235">
        <v>3031.6028272568833</v>
      </c>
      <c r="U18" s="235">
        <v>3308.6467251489566</v>
      </c>
      <c r="V18" s="235">
        <v>3159.646016149527</v>
      </c>
      <c r="W18" s="235">
        <v>3604.0628407359177</v>
      </c>
      <c r="X18" s="235">
        <v>3298.1903870849828</v>
      </c>
      <c r="Y18" s="235">
        <v>3255.1976503739479</v>
      </c>
      <c r="Z18" s="235">
        <v>3571.2685379476325</v>
      </c>
      <c r="AA18" s="235">
        <v>3586.8468091726477</v>
      </c>
      <c r="AB18" s="235">
        <v>3207.0235970022991</v>
      </c>
      <c r="AC18" s="235">
        <v>3140.9772321595087</v>
      </c>
      <c r="AD18" s="235">
        <v>2944.0773432515343</v>
      </c>
      <c r="AE18" s="235">
        <v>3030.6335425321686</v>
      </c>
      <c r="AF18" s="235">
        <v>3392.6698485914112</v>
      </c>
      <c r="AG18" s="235">
        <v>3414.9141212270629</v>
      </c>
      <c r="AH18" s="235">
        <v>3141.444540547117</v>
      </c>
      <c r="AI18" s="235">
        <v>3221.344079113217</v>
      </c>
      <c r="AJ18" s="235">
        <v>3531.4900806780024</v>
      </c>
      <c r="AK18" s="235">
        <v>3779.2017966225076</v>
      </c>
      <c r="AL18" s="235">
        <v>4126.5835452099991</v>
      </c>
      <c r="AM18" s="235">
        <v>4380.5030497642001</v>
      </c>
      <c r="AN18" s="235">
        <v>4536.7303480818118</v>
      </c>
      <c r="AO18" s="235">
        <v>5054.4600865848988</v>
      </c>
      <c r="AP18" s="235">
        <v>5654.8901973789671</v>
      </c>
      <c r="AQ18" s="235">
        <v>5605.7789012774974</v>
      </c>
      <c r="AR18" s="235">
        <v>4158.518600614193</v>
      </c>
      <c r="AS18" s="235">
        <v>4173.3836905065564</v>
      </c>
      <c r="AT18" s="235">
        <v>4227.2802717282138</v>
      </c>
      <c r="AU18" s="235">
        <v>4842.1236874023925</v>
      </c>
      <c r="AV18" s="235">
        <v>5916.3190301375625</v>
      </c>
      <c r="AW18" s="235">
        <v>5378.7155707724487</v>
      </c>
      <c r="AX18" s="235">
        <v>5769.8994292192292</v>
      </c>
      <c r="AY18" s="235">
        <v>5550.1525127216119</v>
      </c>
      <c r="AZ18" s="235">
        <v>5312.8031284372319</v>
      </c>
      <c r="BA18" s="235">
        <v>3919.2152587318151</v>
      </c>
      <c r="BB18" s="235">
        <v>4639.6657740398878</v>
      </c>
      <c r="BC18" s="235">
        <v>4981.8647366633259</v>
      </c>
      <c r="BD18" s="235">
        <v>4942.0954950153791</v>
      </c>
      <c r="BE18" s="235">
        <v>5684.3982822834132</v>
      </c>
      <c r="BF18" s="235">
        <v>4278.8116430909722</v>
      </c>
      <c r="BG18" s="235">
        <v>4040.2038083331586</v>
      </c>
      <c r="BH18" s="235">
        <v>4026.2724689047991</v>
      </c>
      <c r="BI18" s="235">
        <v>4222.3229572763139</v>
      </c>
      <c r="BJ18" s="235">
        <v>3751.1515383298902</v>
      </c>
      <c r="BK18" s="235">
        <v>3689.6580756437088</v>
      </c>
      <c r="BL18" s="235">
        <v>4136.9713107430134</v>
      </c>
      <c r="BM18" s="235">
        <v>4817.5329640205919</v>
      </c>
      <c r="BN18" s="235">
        <v>5927.6564352514279</v>
      </c>
      <c r="BO18" s="235">
        <v>6065.3469790857216</v>
      </c>
      <c r="BP18" s="235">
        <v>6238.2314828174158</v>
      </c>
      <c r="BQ18" s="235">
        <v>5638.9785576732529</v>
      </c>
      <c r="BR18" s="235">
        <v>5819.0729599373917</v>
      </c>
      <c r="BS18" s="235">
        <v>7898.627627718236</v>
      </c>
      <c r="BT18" s="235">
        <v>7675.5878719397779</v>
      </c>
      <c r="BU18" s="235">
        <v>9092.0791633076005</v>
      </c>
      <c r="BV18" s="235">
        <v>8811.0632881311431</v>
      </c>
      <c r="BW18" s="235">
        <v>8308.9503098450259</v>
      </c>
      <c r="BX18" s="235">
        <v>7854.2940047891952</v>
      </c>
      <c r="BY18" s="235"/>
      <c r="BZ18" s="235"/>
      <c r="CA18" s="235"/>
      <c r="CB18" s="235"/>
      <c r="CC18" s="235"/>
      <c r="CD18" s="235"/>
      <c r="CE18" s="235"/>
      <c r="CF18" s="235"/>
      <c r="CG18" s="235"/>
      <c r="CH18" s="235"/>
      <c r="CI18" s="235"/>
      <c r="CJ18" s="235"/>
      <c r="CK18" s="235"/>
      <c r="CL18" s="235"/>
      <c r="CM18" s="235"/>
      <c r="CN18" s="235"/>
      <c r="CO18" s="235"/>
      <c r="CP18" s="235"/>
      <c r="CQ18" s="235"/>
      <c r="CR18" s="235"/>
      <c r="CS18" s="235"/>
      <c r="CT18" s="235"/>
      <c r="CU18" s="235"/>
      <c r="CV18" s="235"/>
      <c r="CW18" s="235"/>
      <c r="CX18" s="235"/>
      <c r="CY18" s="235"/>
      <c r="CZ18" s="235"/>
      <c r="DA18" s="235"/>
      <c r="DB18" s="235"/>
      <c r="DC18" s="235"/>
      <c r="DD18" s="235"/>
      <c r="DE18" s="235"/>
      <c r="DF18" s="235"/>
      <c r="DG18" s="235"/>
      <c r="DH18" s="235"/>
      <c r="DI18" s="235"/>
      <c r="DJ18" s="235"/>
      <c r="DK18" s="235"/>
      <c r="DL18" s="235"/>
      <c r="DM18" s="235"/>
      <c r="DN18" s="235"/>
      <c r="DO18" s="235"/>
      <c r="DP18" s="235"/>
      <c r="DQ18" s="235"/>
      <c r="DR18" s="235"/>
      <c r="DS18" s="235"/>
      <c r="DT18" s="235"/>
      <c r="DU18" s="235"/>
      <c r="DV18" s="235"/>
      <c r="DW18" s="235"/>
      <c r="DX18" s="235"/>
      <c r="DY18" s="235"/>
      <c r="DZ18" s="235"/>
      <c r="EA18" s="235"/>
      <c r="EB18" s="235"/>
      <c r="EC18" s="235"/>
      <c r="ED18" s="235"/>
      <c r="EE18" s="235"/>
      <c r="EF18" s="235"/>
      <c r="EG18" s="235"/>
      <c r="EH18" s="235"/>
      <c r="EI18" s="235"/>
      <c r="EJ18" s="235"/>
      <c r="EK18" s="235"/>
      <c r="EL18" s="235"/>
      <c r="EM18" s="235"/>
      <c r="EN18" s="235"/>
      <c r="EO18" s="235"/>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5"/>
      <c r="FO18" s="235"/>
      <c r="FP18" s="235"/>
      <c r="FQ18" s="235"/>
      <c r="FR18" s="235"/>
      <c r="FS18" s="235"/>
      <c r="FT18" s="235"/>
      <c r="FU18" s="235"/>
      <c r="FV18" s="235"/>
      <c r="FW18" s="235"/>
      <c r="FX18" s="235"/>
      <c r="FY18" s="235"/>
      <c r="FZ18" s="235"/>
      <c r="GA18" s="235"/>
      <c r="GB18" s="235"/>
      <c r="GC18" s="235"/>
      <c r="GD18" s="235"/>
      <c r="GE18" s="235"/>
      <c r="GF18" s="235"/>
      <c r="GG18" s="235"/>
      <c r="GH18" s="235"/>
      <c r="GI18" s="235"/>
      <c r="GJ18" s="235"/>
      <c r="GK18" s="235"/>
      <c r="GL18" s="235"/>
      <c r="GM18" s="235"/>
      <c r="GN18" s="235"/>
      <c r="GO18" s="235"/>
      <c r="GP18" s="235"/>
      <c r="GQ18" s="235"/>
      <c r="GR18" s="235"/>
      <c r="GS18" s="235"/>
      <c r="GT18" s="235"/>
      <c r="GU18" s="235"/>
      <c r="GV18" s="235"/>
      <c r="GW18" s="235"/>
      <c r="GX18" s="235"/>
      <c r="GY18" s="235"/>
      <c r="GZ18" s="235"/>
      <c r="HA18" s="235"/>
      <c r="HB18" s="235"/>
      <c r="HC18" s="235"/>
      <c r="HD18" s="235"/>
      <c r="HE18" s="235"/>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c r="II18" s="235"/>
      <c r="IJ18" s="235"/>
      <c r="IK18" s="235"/>
      <c r="IL18" s="235"/>
      <c r="IM18" s="235"/>
      <c r="IN18" s="235"/>
      <c r="IO18" s="235"/>
      <c r="IP18" s="235"/>
      <c r="IQ18" s="235"/>
      <c r="IR18" s="235"/>
      <c r="IS18" s="235"/>
      <c r="IT18" s="235"/>
      <c r="IU18" s="235"/>
      <c r="IV18" s="235"/>
    </row>
    <row r="19" spans="1:256" ht="15" x14ac:dyDescent="0.25">
      <c r="A19" s="233"/>
      <c r="B19" s="237" t="s">
        <v>144</v>
      </c>
      <c r="C19" s="233"/>
      <c r="D19" s="215"/>
      <c r="E19" s="215"/>
      <c r="F19" s="215"/>
      <c r="G19" s="215"/>
      <c r="H19" s="215"/>
      <c r="I19" s="215"/>
      <c r="J19" s="215"/>
      <c r="K19" s="215"/>
      <c r="L19" s="215"/>
      <c r="M19" s="215"/>
      <c r="N19" s="233">
        <v>2036.5338168487513</v>
      </c>
      <c r="O19" s="233">
        <v>2048.3709668666675</v>
      </c>
      <c r="P19" s="233">
        <v>1995.5666490292676</v>
      </c>
      <c r="Q19" s="233">
        <v>2041.0607073912349</v>
      </c>
      <c r="R19" s="233">
        <v>2209.2222549277299</v>
      </c>
      <c r="S19" s="233">
        <v>1914.7179526609659</v>
      </c>
      <c r="T19" s="233">
        <v>2053.46601323509</v>
      </c>
      <c r="U19" s="233">
        <v>2329.5837713697547</v>
      </c>
      <c r="V19" s="233">
        <v>2254.519457819838</v>
      </c>
      <c r="W19" s="233">
        <v>2649.1665821872425</v>
      </c>
      <c r="X19" s="233">
        <v>2334.5732671301789</v>
      </c>
      <c r="Y19" s="233">
        <v>2274.5013859933815</v>
      </c>
      <c r="Z19" s="233">
        <v>2509.5583276813923</v>
      </c>
      <c r="AA19" s="233">
        <v>2408.1274575952343</v>
      </c>
      <c r="AB19" s="233">
        <v>2368.3323826654196</v>
      </c>
      <c r="AC19" s="233">
        <v>2255.4919916696813</v>
      </c>
      <c r="AD19" s="233">
        <v>2051.8779332766926</v>
      </c>
      <c r="AE19" s="233">
        <v>2104.7008720918247</v>
      </c>
      <c r="AF19" s="233">
        <v>2303.2629834754466</v>
      </c>
      <c r="AG19" s="233">
        <v>2350.8951250980454</v>
      </c>
      <c r="AH19" s="233">
        <v>2387.6118576951494</v>
      </c>
      <c r="AI19" s="233">
        <v>2412.6260713686243</v>
      </c>
      <c r="AJ19" s="233">
        <v>2658.5294519430408</v>
      </c>
      <c r="AK19" s="233">
        <v>2619.2297118534416</v>
      </c>
      <c r="AL19" s="233">
        <v>2529.044903521803</v>
      </c>
      <c r="AM19" s="233">
        <v>2828.2596004945735</v>
      </c>
      <c r="AN19" s="233">
        <v>2828.7533583541581</v>
      </c>
      <c r="AO19" s="233">
        <v>3366.4308027957327</v>
      </c>
      <c r="AP19" s="233">
        <v>3808.2196025247426</v>
      </c>
      <c r="AQ19" s="233">
        <v>3649.2126763883994</v>
      </c>
      <c r="AR19" s="233">
        <v>2714.6461453529782</v>
      </c>
      <c r="AS19" s="233">
        <v>2559.3049127550476</v>
      </c>
      <c r="AT19" s="233">
        <v>2600.012021694944</v>
      </c>
      <c r="AU19" s="233">
        <v>3189.0352519682665</v>
      </c>
      <c r="AV19" s="233">
        <v>4093.2149828840247</v>
      </c>
      <c r="AW19" s="233">
        <v>3616.2293254253455</v>
      </c>
      <c r="AX19" s="233">
        <v>3832.0875168197299</v>
      </c>
      <c r="AY19" s="233">
        <v>3548.1290859414912</v>
      </c>
      <c r="AZ19" s="233">
        <v>3562.1942743655795</v>
      </c>
      <c r="BA19" s="233">
        <v>3339.148752606638</v>
      </c>
      <c r="BB19" s="233">
        <v>3837.5401121750219</v>
      </c>
      <c r="BC19" s="233">
        <v>3956.8754703965087</v>
      </c>
      <c r="BD19" s="233">
        <v>3636.2978952190456</v>
      </c>
      <c r="BE19" s="233">
        <v>4264.8432356784642</v>
      </c>
      <c r="BF19" s="233">
        <v>3043.0205473702686</v>
      </c>
      <c r="BG19" s="233">
        <v>2892.9103910794456</v>
      </c>
      <c r="BH19" s="233">
        <v>2864.7720261718396</v>
      </c>
      <c r="BI19" s="233">
        <v>3057.5586377614814</v>
      </c>
      <c r="BJ19" s="233">
        <v>2809.4151301798565</v>
      </c>
      <c r="BK19" s="233">
        <v>2623.7411485900552</v>
      </c>
      <c r="BL19" s="233">
        <v>3093.0489570557602</v>
      </c>
      <c r="BM19" s="233">
        <v>3537.6908770027826</v>
      </c>
      <c r="BN19" s="233">
        <v>4369.7725705666089</v>
      </c>
      <c r="BO19" s="233">
        <v>4472.7036934169364</v>
      </c>
      <c r="BP19" s="233">
        <v>4443.8569556071961</v>
      </c>
      <c r="BQ19" s="233">
        <v>4068.1989167334059</v>
      </c>
      <c r="BR19" s="233">
        <v>4382.7789632667373</v>
      </c>
      <c r="BS19" s="233">
        <v>5922.0750246919006</v>
      </c>
      <c r="BT19" s="233">
        <v>5872.9557419123685</v>
      </c>
      <c r="BU19" s="233">
        <v>7357.9949259751293</v>
      </c>
      <c r="BV19" s="233">
        <v>6968.1084694074025</v>
      </c>
      <c r="BW19" s="233">
        <v>6765.0080095475714</v>
      </c>
      <c r="BX19" s="233">
        <v>6252.41976257642</v>
      </c>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c r="CY19" s="233"/>
      <c r="CZ19" s="233"/>
      <c r="DA19" s="233"/>
      <c r="DB19" s="233"/>
      <c r="DC19" s="233"/>
      <c r="DD19" s="233"/>
      <c r="DE19" s="233"/>
      <c r="DF19" s="233"/>
      <c r="DG19" s="233"/>
      <c r="DH19" s="233"/>
      <c r="DI19" s="233"/>
      <c r="DJ19" s="233"/>
      <c r="DK19" s="233"/>
      <c r="DL19" s="233"/>
      <c r="DM19" s="233"/>
      <c r="DN19" s="233"/>
      <c r="DO19" s="233"/>
      <c r="DP19" s="233"/>
      <c r="DQ19" s="233"/>
      <c r="DR19" s="233"/>
      <c r="DS19" s="233"/>
      <c r="DT19" s="233"/>
      <c r="DU19" s="233"/>
      <c r="DV19" s="233"/>
      <c r="DW19" s="233"/>
      <c r="DX19" s="233"/>
      <c r="DY19" s="233"/>
      <c r="DZ19" s="233"/>
      <c r="EA19" s="233"/>
      <c r="EB19" s="233"/>
      <c r="EC19" s="233"/>
      <c r="ED19" s="233"/>
      <c r="EE19" s="233"/>
      <c r="EF19" s="233"/>
      <c r="EG19" s="233"/>
      <c r="EH19" s="233"/>
      <c r="EI19" s="233"/>
      <c r="EJ19" s="233"/>
      <c r="EK19" s="233"/>
      <c r="EL19" s="233"/>
      <c r="EM19" s="233"/>
      <c r="EN19" s="233"/>
      <c r="EO19" s="233"/>
      <c r="EP19" s="233"/>
      <c r="EQ19" s="233"/>
      <c r="ER19" s="233"/>
      <c r="ES19" s="233"/>
      <c r="ET19" s="233"/>
      <c r="EU19" s="233"/>
      <c r="EV19" s="233"/>
      <c r="EW19" s="233"/>
      <c r="EX19" s="233"/>
      <c r="EY19" s="233"/>
      <c r="EZ19" s="233"/>
      <c r="FA19" s="233"/>
      <c r="FB19" s="233"/>
      <c r="FC19" s="233"/>
      <c r="FD19" s="233"/>
      <c r="FE19" s="233"/>
      <c r="FF19" s="233"/>
      <c r="FG19" s="233"/>
      <c r="FH19" s="233"/>
      <c r="FI19" s="233"/>
      <c r="FJ19" s="233"/>
      <c r="FK19" s="233"/>
      <c r="FL19" s="233"/>
      <c r="FM19" s="233"/>
      <c r="FN19" s="233"/>
      <c r="FO19" s="233"/>
      <c r="FP19" s="233"/>
      <c r="FQ19" s="233"/>
      <c r="FR19" s="233"/>
      <c r="FS19" s="233"/>
      <c r="FT19" s="233"/>
      <c r="FU19" s="233"/>
      <c r="FV19" s="233"/>
      <c r="FW19" s="233"/>
      <c r="FX19" s="233"/>
      <c r="FY19" s="233"/>
      <c r="FZ19" s="233"/>
      <c r="GA19" s="233"/>
      <c r="GB19" s="233"/>
      <c r="GC19" s="233"/>
      <c r="GD19" s="233"/>
      <c r="GE19" s="233"/>
      <c r="GF19" s="233"/>
      <c r="GG19" s="233"/>
      <c r="GH19" s="233"/>
      <c r="GI19" s="233"/>
      <c r="GJ19" s="233"/>
      <c r="GK19" s="233"/>
      <c r="GL19" s="233"/>
      <c r="GM19" s="233"/>
      <c r="GN19" s="233"/>
      <c r="GO19" s="233"/>
      <c r="GP19" s="233"/>
      <c r="GQ19" s="233"/>
      <c r="GR19" s="233"/>
      <c r="GS19" s="233"/>
      <c r="GT19" s="233"/>
      <c r="GU19" s="233"/>
      <c r="GV19" s="233"/>
      <c r="GW19" s="233"/>
      <c r="GX19" s="233"/>
      <c r="GY19" s="233"/>
      <c r="GZ19" s="233"/>
      <c r="HA19" s="233"/>
      <c r="HB19" s="233"/>
      <c r="HC19" s="233"/>
      <c r="HD19" s="233"/>
      <c r="HE19" s="233"/>
      <c r="HF19" s="233"/>
      <c r="HG19" s="233"/>
      <c r="HH19" s="233"/>
      <c r="HI19" s="233"/>
      <c r="HJ19" s="233"/>
      <c r="HK19" s="233"/>
      <c r="HL19" s="233"/>
      <c r="HM19" s="233"/>
      <c r="HN19" s="233"/>
      <c r="HO19" s="233"/>
      <c r="HP19" s="233"/>
      <c r="HQ19" s="233"/>
      <c r="HR19" s="233"/>
      <c r="HS19" s="233"/>
      <c r="HT19" s="233"/>
      <c r="HU19" s="233"/>
      <c r="HV19" s="233"/>
      <c r="HW19" s="233"/>
      <c r="HX19" s="233"/>
      <c r="HY19" s="233"/>
      <c r="HZ19" s="233"/>
      <c r="IA19" s="233"/>
      <c r="IB19" s="233"/>
      <c r="IC19" s="233"/>
      <c r="ID19" s="233"/>
      <c r="IE19" s="233"/>
      <c r="IF19" s="233"/>
      <c r="IG19" s="233"/>
      <c r="IH19" s="233"/>
      <c r="II19" s="233"/>
      <c r="IJ19" s="233"/>
      <c r="IK19" s="233"/>
      <c r="IL19" s="233"/>
      <c r="IM19" s="233"/>
      <c r="IN19" s="233"/>
      <c r="IO19" s="233"/>
      <c r="IP19" s="233"/>
      <c r="IQ19" s="233"/>
      <c r="IR19" s="233"/>
      <c r="IS19" s="233"/>
      <c r="IT19" s="233"/>
      <c r="IU19" s="233"/>
      <c r="IV19" s="233"/>
    </row>
    <row r="20" spans="1:256" ht="15" x14ac:dyDescent="0.25">
      <c r="A20" s="233"/>
      <c r="B20" s="237" t="s">
        <v>143</v>
      </c>
      <c r="C20" s="233"/>
      <c r="D20" s="215"/>
      <c r="E20" s="215"/>
      <c r="F20" s="215"/>
      <c r="G20" s="215"/>
      <c r="H20" s="215"/>
      <c r="I20" s="215"/>
      <c r="J20" s="215"/>
      <c r="K20" s="215"/>
      <c r="L20" s="215"/>
      <c r="M20" s="215"/>
      <c r="N20" s="233">
        <v>452.43242077130026</v>
      </c>
      <c r="O20" s="233">
        <v>971.46992481540212</v>
      </c>
      <c r="P20" s="233">
        <v>792.05979028513184</v>
      </c>
      <c r="Q20" s="233">
        <v>810.5117065143329</v>
      </c>
      <c r="R20" s="233">
        <v>886.70060004696893</v>
      </c>
      <c r="S20" s="233">
        <v>850.29870457848187</v>
      </c>
      <c r="T20" s="233">
        <v>978.13681402179327</v>
      </c>
      <c r="U20" s="233">
        <v>979.06295377920196</v>
      </c>
      <c r="V20" s="233">
        <v>905.12655832968892</v>
      </c>
      <c r="W20" s="233">
        <v>954.89625854867529</v>
      </c>
      <c r="X20" s="233">
        <v>963.61711995480414</v>
      </c>
      <c r="Y20" s="233">
        <v>980.69626438056639</v>
      </c>
      <c r="Z20" s="233">
        <v>1061.7102102662404</v>
      </c>
      <c r="AA20" s="233">
        <v>1178.7193515774134</v>
      </c>
      <c r="AB20" s="233">
        <v>838.6912143368794</v>
      </c>
      <c r="AC20" s="233">
        <v>885.48524048982745</v>
      </c>
      <c r="AD20" s="233">
        <v>892.19940997484184</v>
      </c>
      <c r="AE20" s="233">
        <v>925.93267044034371</v>
      </c>
      <c r="AF20" s="233">
        <v>1089.4068651159648</v>
      </c>
      <c r="AG20" s="233">
        <v>1064.0189961290175</v>
      </c>
      <c r="AH20" s="233">
        <v>753.83268285196743</v>
      </c>
      <c r="AI20" s="233">
        <v>808.7180077445928</v>
      </c>
      <c r="AJ20" s="233">
        <v>872.96062873496146</v>
      </c>
      <c r="AK20" s="233">
        <v>1159.9720847690662</v>
      </c>
      <c r="AL20" s="233">
        <v>1597.5386416881959</v>
      </c>
      <c r="AM20" s="233">
        <v>1552.2434492696266</v>
      </c>
      <c r="AN20" s="233">
        <v>1707.9769897276533</v>
      </c>
      <c r="AO20" s="233">
        <v>1688.0292837891657</v>
      </c>
      <c r="AP20" s="233">
        <v>1846.6705948542244</v>
      </c>
      <c r="AQ20" s="233">
        <v>1956.5662248890981</v>
      </c>
      <c r="AR20" s="233">
        <v>1443.8724552612148</v>
      </c>
      <c r="AS20" s="233">
        <v>1614.0787777515093</v>
      </c>
      <c r="AT20" s="233">
        <v>1627.2682500332701</v>
      </c>
      <c r="AU20" s="233">
        <v>1653.0884354341265</v>
      </c>
      <c r="AV20" s="233">
        <v>1823.1040472535376</v>
      </c>
      <c r="AW20" s="233">
        <v>1762.4862453471028</v>
      </c>
      <c r="AX20" s="233">
        <v>1937.8119123994998</v>
      </c>
      <c r="AY20" s="233">
        <v>2002.0234267801211</v>
      </c>
      <c r="AZ20" s="233">
        <v>1750.6088540716519</v>
      </c>
      <c r="BA20" s="233">
        <v>580.06650612517683</v>
      </c>
      <c r="BB20" s="233">
        <v>802.12566186486606</v>
      </c>
      <c r="BC20" s="233">
        <v>1024.9892662668171</v>
      </c>
      <c r="BD20" s="233">
        <v>1305.7975997963335</v>
      </c>
      <c r="BE20" s="233">
        <v>1419.5550466049488</v>
      </c>
      <c r="BF20" s="233">
        <v>1235.7910957207034</v>
      </c>
      <c r="BG20" s="233">
        <v>1147.293417253713</v>
      </c>
      <c r="BH20" s="233">
        <v>1161.5004427329598</v>
      </c>
      <c r="BI20" s="233">
        <v>1164.7643195148326</v>
      </c>
      <c r="BJ20" s="233">
        <v>941.73640815003341</v>
      </c>
      <c r="BK20" s="233">
        <v>1065.9169270536534</v>
      </c>
      <c r="BL20" s="233">
        <v>1043.9223536872535</v>
      </c>
      <c r="BM20" s="233">
        <v>1279.842087017809</v>
      </c>
      <c r="BN20" s="233">
        <v>1557.8838646848192</v>
      </c>
      <c r="BO20" s="233">
        <v>1592.6432856687854</v>
      </c>
      <c r="BP20" s="233">
        <v>1794.3745272102194</v>
      </c>
      <c r="BQ20" s="233">
        <v>1570.7796409398468</v>
      </c>
      <c r="BR20" s="233">
        <v>1436.2939966706549</v>
      </c>
      <c r="BS20" s="233">
        <v>1976.5526030263356</v>
      </c>
      <c r="BT20" s="233">
        <v>1802.6321300274094</v>
      </c>
      <c r="BU20" s="233">
        <v>1734.0842373324722</v>
      </c>
      <c r="BV20" s="233">
        <v>1842.9548187237408</v>
      </c>
      <c r="BW20" s="233">
        <v>1543.9423002974554</v>
      </c>
      <c r="BX20" s="233">
        <v>1601.8742422127748</v>
      </c>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233"/>
      <c r="CX20" s="233"/>
      <c r="CY20" s="233"/>
      <c r="CZ20" s="233"/>
      <c r="DA20" s="233"/>
      <c r="DB20" s="233"/>
      <c r="DC20" s="233"/>
      <c r="DD20" s="233"/>
      <c r="DE20" s="233"/>
      <c r="DF20" s="233"/>
      <c r="DG20" s="233"/>
      <c r="DH20" s="233"/>
      <c r="DI20" s="233"/>
      <c r="DJ20" s="233"/>
      <c r="DK20" s="233"/>
      <c r="DL20" s="233"/>
      <c r="DM20" s="233"/>
      <c r="DN20" s="233"/>
      <c r="DO20" s="233"/>
      <c r="DP20" s="233"/>
      <c r="DQ20" s="233"/>
      <c r="DR20" s="233"/>
      <c r="DS20" s="233"/>
      <c r="DT20" s="233"/>
      <c r="DU20" s="233"/>
      <c r="DV20" s="233"/>
      <c r="DW20" s="233"/>
      <c r="DX20" s="233"/>
      <c r="DY20" s="233"/>
      <c r="DZ20" s="233"/>
      <c r="EA20" s="233"/>
      <c r="EB20" s="233"/>
      <c r="EC20" s="233"/>
      <c r="ED20" s="233"/>
      <c r="EE20" s="233"/>
      <c r="EF20" s="233"/>
      <c r="EG20" s="233"/>
      <c r="EH20" s="233"/>
      <c r="EI20" s="233"/>
      <c r="EJ20" s="233"/>
      <c r="EK20" s="233"/>
      <c r="EL20" s="233"/>
      <c r="EM20" s="233"/>
      <c r="EN20" s="233"/>
      <c r="EO20" s="233"/>
      <c r="EP20" s="233"/>
      <c r="EQ20" s="233"/>
      <c r="ER20" s="233"/>
      <c r="ES20" s="233"/>
      <c r="ET20" s="233"/>
      <c r="EU20" s="233"/>
      <c r="EV20" s="233"/>
      <c r="EW20" s="233"/>
      <c r="EX20" s="233"/>
      <c r="EY20" s="233"/>
      <c r="EZ20" s="233"/>
      <c r="FA20" s="233"/>
      <c r="FB20" s="233"/>
      <c r="FC20" s="233"/>
      <c r="FD20" s="233"/>
      <c r="FE20" s="233"/>
      <c r="FF20" s="233"/>
      <c r="FG20" s="233"/>
      <c r="FH20" s="233"/>
      <c r="FI20" s="233"/>
      <c r="FJ20" s="233"/>
      <c r="FK20" s="233"/>
      <c r="FL20" s="233"/>
      <c r="FM20" s="233"/>
      <c r="FN20" s="233"/>
      <c r="FO20" s="233"/>
      <c r="FP20" s="233"/>
      <c r="FQ20" s="233"/>
      <c r="FR20" s="233"/>
      <c r="FS20" s="233"/>
      <c r="FT20" s="233"/>
      <c r="FU20" s="233"/>
      <c r="FV20" s="233"/>
      <c r="FW20" s="233"/>
      <c r="FX20" s="233"/>
      <c r="FY20" s="233"/>
      <c r="FZ20" s="233"/>
      <c r="GA20" s="233"/>
      <c r="GB20" s="233"/>
      <c r="GC20" s="233"/>
      <c r="GD20" s="233"/>
      <c r="GE20" s="233"/>
      <c r="GF20" s="233"/>
      <c r="GG20" s="233"/>
      <c r="GH20" s="233"/>
      <c r="GI20" s="233"/>
      <c r="GJ20" s="233"/>
      <c r="GK20" s="233"/>
      <c r="GL20" s="233"/>
      <c r="GM20" s="233"/>
      <c r="GN20" s="233"/>
      <c r="GO20" s="233"/>
      <c r="GP20" s="233"/>
      <c r="GQ20" s="233"/>
      <c r="GR20" s="233"/>
      <c r="GS20" s="233"/>
      <c r="GT20" s="233"/>
      <c r="GU20" s="233"/>
      <c r="GV20" s="233"/>
      <c r="GW20" s="233"/>
      <c r="GX20" s="233"/>
      <c r="GY20" s="233"/>
      <c r="GZ20" s="233"/>
      <c r="HA20" s="233"/>
      <c r="HB20" s="233"/>
      <c r="HC20" s="233"/>
      <c r="HD20" s="233"/>
      <c r="HE20" s="233"/>
      <c r="HF20" s="233"/>
      <c r="HG20" s="233"/>
      <c r="HH20" s="233"/>
      <c r="HI20" s="233"/>
      <c r="HJ20" s="233"/>
      <c r="HK20" s="233"/>
      <c r="HL20" s="233"/>
      <c r="HM20" s="233"/>
      <c r="HN20" s="233"/>
      <c r="HO20" s="233"/>
      <c r="HP20" s="233"/>
      <c r="HQ20" s="233"/>
      <c r="HR20" s="233"/>
      <c r="HS20" s="233"/>
      <c r="HT20" s="233"/>
      <c r="HU20" s="233"/>
      <c r="HV20" s="233"/>
      <c r="HW20" s="233"/>
      <c r="HX20" s="233"/>
      <c r="HY20" s="233"/>
      <c r="HZ20" s="233"/>
      <c r="IA20" s="233"/>
      <c r="IB20" s="233"/>
      <c r="IC20" s="233"/>
      <c r="ID20" s="233"/>
      <c r="IE20" s="233"/>
      <c r="IF20" s="233"/>
      <c r="IG20" s="233"/>
      <c r="IH20" s="233"/>
      <c r="II20" s="233"/>
      <c r="IJ20" s="233"/>
      <c r="IK20" s="233"/>
      <c r="IL20" s="233"/>
      <c r="IM20" s="233"/>
      <c r="IN20" s="233"/>
      <c r="IO20" s="233"/>
      <c r="IP20" s="233"/>
      <c r="IQ20" s="233"/>
      <c r="IR20" s="233"/>
      <c r="IS20" s="233"/>
      <c r="IT20" s="233"/>
      <c r="IU20" s="233"/>
      <c r="IV20" s="233"/>
    </row>
    <row r="21" spans="1:256" ht="15" x14ac:dyDescent="0.25">
      <c r="A21" s="235"/>
      <c r="B21" s="239" t="s">
        <v>145</v>
      </c>
      <c r="C21" s="235"/>
      <c r="D21" s="210"/>
      <c r="E21" s="210"/>
      <c r="F21" s="210"/>
      <c r="G21" s="210"/>
      <c r="H21" s="210"/>
      <c r="I21" s="210"/>
      <c r="J21" s="210"/>
      <c r="K21" s="210"/>
      <c r="L21" s="210"/>
      <c r="M21" s="210"/>
      <c r="N21" s="235">
        <v>5419.8007205206568</v>
      </c>
      <c r="O21" s="235">
        <v>5809.8931244032719</v>
      </c>
      <c r="P21" s="235">
        <v>5815.6118542629365</v>
      </c>
      <c r="Q21" s="235">
        <v>5031.4761104678073</v>
      </c>
      <c r="R21" s="235">
        <v>6309.3775112935818</v>
      </c>
      <c r="S21" s="235">
        <v>5684.6272669464179</v>
      </c>
      <c r="T21" s="235">
        <v>5742.962135943415</v>
      </c>
      <c r="U21" s="235">
        <v>5527.3444546844348</v>
      </c>
      <c r="V21" s="235">
        <v>5553.9568287052962</v>
      </c>
      <c r="W21" s="235">
        <v>5639.0356055203529</v>
      </c>
      <c r="X21" s="235">
        <v>5599.7559491063275</v>
      </c>
      <c r="Y21" s="235">
        <v>6261.5980936775559</v>
      </c>
      <c r="Z21" s="235">
        <v>5418.5204553010681</v>
      </c>
      <c r="AA21" s="235">
        <v>5017.7840350029073</v>
      </c>
      <c r="AB21" s="235">
        <v>5220.1994476943601</v>
      </c>
      <c r="AC21" s="235">
        <v>5310.6325146034851</v>
      </c>
      <c r="AD21" s="235">
        <v>5585.6379043150582</v>
      </c>
      <c r="AE21" s="235">
        <v>5381.1993629248327</v>
      </c>
      <c r="AF21" s="235">
        <v>5559.5754552580283</v>
      </c>
      <c r="AG21" s="235">
        <v>5403.2187400712764</v>
      </c>
      <c r="AH21" s="235">
        <v>5866.5223018060124</v>
      </c>
      <c r="AI21" s="235">
        <v>5906.7737376410596</v>
      </c>
      <c r="AJ21" s="235">
        <v>4854.8333771805801</v>
      </c>
      <c r="AK21" s="235">
        <v>4871.2078084855257</v>
      </c>
      <c r="AL21" s="235">
        <v>5571.4530347630389</v>
      </c>
      <c r="AM21" s="235">
        <v>5317.2071588746494</v>
      </c>
      <c r="AN21" s="235">
        <v>5221.4367734739044</v>
      </c>
      <c r="AO21" s="235">
        <v>5924.0567258040719</v>
      </c>
      <c r="AP21" s="235">
        <v>5735.1613736044083</v>
      </c>
      <c r="AQ21" s="235">
        <v>5945.2408505299609</v>
      </c>
      <c r="AR21" s="235">
        <v>6094.2231883222976</v>
      </c>
      <c r="AS21" s="235">
        <v>6006.1231701379666</v>
      </c>
      <c r="AT21" s="235">
        <v>6048.5330964295335</v>
      </c>
      <c r="AU21" s="235">
        <v>6510.3454327627387</v>
      </c>
      <c r="AV21" s="235">
        <v>6642.6426794520812</v>
      </c>
      <c r="AW21" s="235">
        <v>6188.1300832370453</v>
      </c>
      <c r="AX21" s="235">
        <v>6439.2026915314891</v>
      </c>
      <c r="AY21" s="235">
        <v>6114.5357856672063</v>
      </c>
      <c r="AZ21" s="235">
        <v>7279.3509336170046</v>
      </c>
      <c r="BA21" s="235">
        <v>5432.0132115463284</v>
      </c>
      <c r="BB21" s="235">
        <v>7156.3887854102941</v>
      </c>
      <c r="BC21" s="235">
        <v>7687.6263726975476</v>
      </c>
      <c r="BD21" s="235">
        <v>6913.4952882498064</v>
      </c>
      <c r="BE21" s="235">
        <v>8905.3950777947939</v>
      </c>
      <c r="BF21" s="235">
        <v>6335.3802934826845</v>
      </c>
      <c r="BG21" s="235">
        <v>7117.8613061489468</v>
      </c>
      <c r="BH21" s="235">
        <v>7321.7383582681614</v>
      </c>
      <c r="BI21" s="235">
        <v>7360.4981981033325</v>
      </c>
      <c r="BJ21" s="235">
        <v>6900.6106175558316</v>
      </c>
      <c r="BK21" s="235">
        <v>6207.5269714473416</v>
      </c>
      <c r="BL21" s="235">
        <v>6925.7021484438119</v>
      </c>
      <c r="BM21" s="235">
        <v>7277.521969104474</v>
      </c>
      <c r="BN21" s="235">
        <v>7499.650576622962</v>
      </c>
      <c r="BO21" s="235">
        <v>7738.893623738355</v>
      </c>
      <c r="BP21" s="235">
        <v>7702.9303654270489</v>
      </c>
      <c r="BQ21" s="235">
        <v>6724.5742933709507</v>
      </c>
      <c r="BR21" s="235">
        <v>6874.5350572516509</v>
      </c>
      <c r="BS21" s="235">
        <v>9224.9797346111354</v>
      </c>
      <c r="BT21" s="235">
        <v>7631.747636243148</v>
      </c>
      <c r="BU21" s="235">
        <v>9639.7432201579541</v>
      </c>
      <c r="BV21" s="235">
        <v>9622.8294752793372</v>
      </c>
      <c r="BW21" s="235">
        <v>8711.0980968366493</v>
      </c>
      <c r="BX21" s="235">
        <v>8313.1231839282373</v>
      </c>
      <c r="BY21" s="235"/>
      <c r="BZ21" s="235"/>
      <c r="CA21" s="235"/>
      <c r="CB21" s="235"/>
      <c r="CC21" s="235"/>
      <c r="CD21" s="235"/>
      <c r="CE21" s="235"/>
      <c r="CF21" s="235"/>
      <c r="CG21" s="235"/>
      <c r="CH21" s="235"/>
      <c r="CI21" s="235"/>
      <c r="CJ21" s="235"/>
      <c r="CK21" s="235"/>
      <c r="CL21" s="235"/>
      <c r="CM21" s="235"/>
      <c r="CN21" s="235"/>
      <c r="CO21" s="235"/>
      <c r="CP21" s="235"/>
      <c r="CQ21" s="235"/>
      <c r="CR21" s="235"/>
      <c r="CS21" s="235"/>
      <c r="CT21" s="235"/>
      <c r="CU21" s="235"/>
      <c r="CV21" s="235"/>
      <c r="CW21" s="235"/>
      <c r="CX21" s="235"/>
      <c r="CY21" s="235"/>
      <c r="CZ21" s="235"/>
      <c r="DA21" s="235"/>
      <c r="DB21" s="235"/>
      <c r="DC21" s="235"/>
      <c r="DD21" s="235"/>
      <c r="DE21" s="235"/>
      <c r="DF21" s="235"/>
      <c r="DG21" s="235"/>
      <c r="DH21" s="235"/>
      <c r="DI21" s="235"/>
      <c r="DJ21" s="235"/>
      <c r="DK21" s="235"/>
      <c r="DL21" s="235"/>
      <c r="DM21" s="235"/>
      <c r="DN21" s="235"/>
      <c r="DO21" s="235"/>
      <c r="DP21" s="235"/>
      <c r="DQ21" s="235"/>
      <c r="DR21" s="235"/>
      <c r="DS21" s="235"/>
      <c r="DT21" s="235"/>
      <c r="DU21" s="235"/>
      <c r="DV21" s="235"/>
      <c r="DW21" s="235"/>
      <c r="DX21" s="235"/>
      <c r="DY21" s="235"/>
      <c r="DZ21" s="235"/>
      <c r="EA21" s="235"/>
      <c r="EB21" s="235"/>
      <c r="EC21" s="235"/>
      <c r="ED21" s="235"/>
      <c r="EE21" s="235"/>
      <c r="EF21" s="235"/>
      <c r="EG21" s="235"/>
      <c r="EH21" s="235"/>
      <c r="EI21" s="235"/>
      <c r="EJ21" s="235"/>
      <c r="EK21" s="235"/>
      <c r="EL21" s="235"/>
      <c r="EM21" s="235"/>
      <c r="EN21" s="235"/>
      <c r="EO21" s="235"/>
      <c r="EP21" s="235"/>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5"/>
      <c r="FN21" s="235"/>
      <c r="FO21" s="235"/>
      <c r="FP21" s="235"/>
      <c r="FQ21" s="235"/>
      <c r="FR21" s="235"/>
      <c r="FS21" s="235"/>
      <c r="FT21" s="235"/>
      <c r="FU21" s="235"/>
      <c r="FV21" s="235"/>
      <c r="FW21" s="235"/>
      <c r="FX21" s="235"/>
      <c r="FY21" s="235"/>
      <c r="FZ21" s="235"/>
      <c r="GA21" s="235"/>
      <c r="GB21" s="235"/>
      <c r="GC21" s="235"/>
      <c r="GD21" s="235"/>
      <c r="GE21" s="235"/>
      <c r="GF21" s="235"/>
      <c r="GG21" s="235"/>
      <c r="GH21" s="235"/>
      <c r="GI21" s="235"/>
      <c r="GJ21" s="235"/>
      <c r="GK21" s="235"/>
      <c r="GL21" s="235"/>
      <c r="GM21" s="235"/>
      <c r="GN21" s="235"/>
      <c r="GO21" s="235"/>
      <c r="GP21" s="235"/>
      <c r="GQ21" s="235"/>
      <c r="GR21" s="235"/>
      <c r="GS21" s="235"/>
      <c r="GT21" s="235"/>
      <c r="GU21" s="235"/>
      <c r="GV21" s="235"/>
      <c r="GW21" s="235"/>
      <c r="GX21" s="235"/>
      <c r="GY21" s="235"/>
      <c r="GZ21" s="235"/>
      <c r="HA21" s="235"/>
      <c r="HB21" s="235"/>
      <c r="HC21" s="235"/>
      <c r="HD21" s="235"/>
      <c r="HE21" s="235"/>
      <c r="HF21" s="235"/>
      <c r="HG21" s="235"/>
      <c r="HH21" s="235"/>
      <c r="HI21" s="235"/>
      <c r="HJ21" s="235"/>
      <c r="HK21" s="235"/>
      <c r="HL21" s="235"/>
      <c r="HM21" s="235"/>
      <c r="HN21" s="235"/>
      <c r="HO21" s="235"/>
      <c r="HP21" s="235"/>
      <c r="HQ21" s="235"/>
      <c r="HR21" s="235"/>
      <c r="HS21" s="235"/>
      <c r="HT21" s="235"/>
      <c r="HU21" s="235"/>
      <c r="HV21" s="235"/>
      <c r="HW21" s="235"/>
      <c r="HX21" s="235"/>
      <c r="HY21" s="235"/>
      <c r="HZ21" s="235"/>
      <c r="IA21" s="235"/>
      <c r="IB21" s="235"/>
      <c r="IC21" s="235"/>
      <c r="ID21" s="235"/>
      <c r="IE21" s="235"/>
      <c r="IF21" s="235"/>
      <c r="IG21" s="235"/>
      <c r="IH21" s="235"/>
      <c r="II21" s="235"/>
      <c r="IJ21" s="235"/>
      <c r="IK21" s="235"/>
      <c r="IL21" s="235"/>
      <c r="IM21" s="235"/>
      <c r="IN21" s="235"/>
      <c r="IO21" s="235"/>
      <c r="IP21" s="235"/>
      <c r="IQ21" s="235"/>
      <c r="IR21" s="235"/>
      <c r="IS21" s="235"/>
      <c r="IT21" s="235"/>
      <c r="IU21" s="235"/>
      <c r="IV21" s="235"/>
    </row>
    <row r="22" spans="1:256" ht="15" x14ac:dyDescent="0.25">
      <c r="A22" s="233"/>
      <c r="B22" s="237" t="s">
        <v>144</v>
      </c>
      <c r="C22" s="233"/>
      <c r="D22" s="215"/>
      <c r="E22" s="215"/>
      <c r="F22" s="215"/>
      <c r="G22" s="215"/>
      <c r="H22" s="215"/>
      <c r="I22" s="215"/>
      <c r="J22" s="215"/>
      <c r="K22" s="215"/>
      <c r="L22" s="215"/>
      <c r="M22" s="215"/>
      <c r="N22" s="233">
        <v>4786.0549942009175</v>
      </c>
      <c r="O22" s="233">
        <v>5138.2929382558486</v>
      </c>
      <c r="P22" s="233">
        <v>5119.6968952901989</v>
      </c>
      <c r="Q22" s="233">
        <v>4315.410470746293</v>
      </c>
      <c r="R22" s="233">
        <v>5560.7928215570673</v>
      </c>
      <c r="S22" s="233">
        <v>4930.6034711889215</v>
      </c>
      <c r="T22" s="233">
        <v>5035.1342516879904</v>
      </c>
      <c r="U22" s="233">
        <v>4834.900773096414</v>
      </c>
      <c r="V22" s="233">
        <v>4866.7450213564171</v>
      </c>
      <c r="W22" s="233">
        <v>4856.7502269978158</v>
      </c>
      <c r="X22" s="233">
        <v>4795.1051082843769</v>
      </c>
      <c r="Y22" s="233">
        <v>5496.0290672964211</v>
      </c>
      <c r="Z22" s="233">
        <v>4616.4107341666386</v>
      </c>
      <c r="AA22" s="233">
        <v>4268.4929009692451</v>
      </c>
      <c r="AB22" s="233">
        <v>4362.3484238552319</v>
      </c>
      <c r="AC22" s="233">
        <v>4540.2979351858257</v>
      </c>
      <c r="AD22" s="233">
        <v>4439.8189155016371</v>
      </c>
      <c r="AE22" s="233">
        <v>4419.9567530487202</v>
      </c>
      <c r="AF22" s="233">
        <v>4584.6240741867095</v>
      </c>
      <c r="AG22" s="233">
        <v>4361.2021168522506</v>
      </c>
      <c r="AH22" s="233">
        <v>5003.413285415224</v>
      </c>
      <c r="AI22" s="233">
        <v>5075.0137490788957</v>
      </c>
      <c r="AJ22" s="233">
        <v>3974.1350899128811</v>
      </c>
      <c r="AK22" s="233">
        <v>3896.3610055518557</v>
      </c>
      <c r="AL22" s="233">
        <v>3750.7037260627367</v>
      </c>
      <c r="AM22" s="233">
        <v>3452.628452595045</v>
      </c>
      <c r="AN22" s="233">
        <v>3446.7727366447812</v>
      </c>
      <c r="AO22" s="233">
        <v>3885.0195687871983</v>
      </c>
      <c r="AP22" s="233">
        <v>3760.5095739900817</v>
      </c>
      <c r="AQ22" s="233">
        <v>3869.7236430237613</v>
      </c>
      <c r="AR22" s="233">
        <v>3897.6099490219631</v>
      </c>
      <c r="AS22" s="233">
        <v>4060.9593819935153</v>
      </c>
      <c r="AT22" s="233">
        <v>3789.2571339113415</v>
      </c>
      <c r="AU22" s="233">
        <v>4047.1846070996339</v>
      </c>
      <c r="AV22" s="233">
        <v>4228.5322862863868</v>
      </c>
      <c r="AW22" s="233">
        <v>3841.5585614181164</v>
      </c>
      <c r="AX22" s="233">
        <v>3952.4429316618698</v>
      </c>
      <c r="AY22" s="233">
        <v>4114.3507003775476</v>
      </c>
      <c r="AZ22" s="233">
        <v>4234.8753613298877</v>
      </c>
      <c r="BA22" s="233">
        <v>3572.6474144939752</v>
      </c>
      <c r="BB22" s="233">
        <v>4797.6889842254823</v>
      </c>
      <c r="BC22" s="233">
        <v>5114.9612816294375</v>
      </c>
      <c r="BD22" s="233">
        <v>4758.3264152330421</v>
      </c>
      <c r="BE22" s="233">
        <v>6556.677814658814</v>
      </c>
      <c r="BF22" s="233">
        <v>4120.9463973098336</v>
      </c>
      <c r="BG22" s="233">
        <v>4895.0121872932687</v>
      </c>
      <c r="BH22" s="233">
        <v>5131.2009316470076</v>
      </c>
      <c r="BI22" s="233">
        <v>5041.57968373123</v>
      </c>
      <c r="BJ22" s="233">
        <v>4567.244518553247</v>
      </c>
      <c r="BK22" s="233">
        <v>4145.7091948960751</v>
      </c>
      <c r="BL22" s="233">
        <v>4534.4006535341068</v>
      </c>
      <c r="BM22" s="233">
        <v>4889.3590984673747</v>
      </c>
      <c r="BN22" s="233">
        <v>4872.0119798542064</v>
      </c>
      <c r="BO22" s="233">
        <v>4939.3477658667998</v>
      </c>
      <c r="BP22" s="233">
        <v>4688.7716433745763</v>
      </c>
      <c r="BQ22" s="233">
        <v>4212.4349310779226</v>
      </c>
      <c r="BR22" s="233">
        <v>4341.2144212088224</v>
      </c>
      <c r="BS22" s="233">
        <v>6391.3606842819108</v>
      </c>
      <c r="BT22" s="233">
        <v>4601.6685819219219</v>
      </c>
      <c r="BU22" s="233">
        <v>6458.9089400528128</v>
      </c>
      <c r="BV22" s="233">
        <v>6542.1433048274948</v>
      </c>
      <c r="BW22" s="233">
        <v>5725.7854709404537</v>
      </c>
      <c r="BX22" s="233">
        <v>5547.9960842591536</v>
      </c>
      <c r="BY22" s="233"/>
      <c r="BZ22" s="233"/>
      <c r="CA22" s="233"/>
      <c r="CB22" s="233"/>
      <c r="CC22" s="233"/>
      <c r="CD22" s="233"/>
      <c r="CE22" s="233"/>
      <c r="CF22" s="233"/>
      <c r="CG22" s="233"/>
      <c r="CH22" s="233"/>
      <c r="CI22" s="233"/>
      <c r="CJ22" s="233"/>
      <c r="CK22" s="233"/>
      <c r="CL22" s="233"/>
      <c r="CM22" s="233"/>
      <c r="CN22" s="233"/>
      <c r="CO22" s="233"/>
      <c r="CP22" s="233"/>
      <c r="CQ22" s="233"/>
      <c r="CR22" s="233"/>
      <c r="CS22" s="233"/>
      <c r="CT22" s="233"/>
      <c r="CU22" s="233"/>
      <c r="CV22" s="233"/>
      <c r="CW22" s="233"/>
      <c r="CX22" s="233"/>
      <c r="CY22" s="233"/>
      <c r="CZ22" s="233"/>
      <c r="DA22" s="233"/>
      <c r="DB22" s="233"/>
      <c r="DC22" s="233"/>
      <c r="DD22" s="233"/>
      <c r="DE22" s="233"/>
      <c r="DF22" s="233"/>
      <c r="DG22" s="233"/>
      <c r="DH22" s="233"/>
      <c r="DI22" s="233"/>
      <c r="DJ22" s="233"/>
      <c r="DK22" s="233"/>
      <c r="DL22" s="233"/>
      <c r="DM22" s="233"/>
      <c r="DN22" s="233"/>
      <c r="DO22" s="233"/>
      <c r="DP22" s="233"/>
      <c r="DQ22" s="233"/>
      <c r="DR22" s="233"/>
      <c r="DS22" s="233"/>
      <c r="DT22" s="233"/>
      <c r="DU22" s="233"/>
      <c r="DV22" s="233"/>
      <c r="DW22" s="233"/>
      <c r="DX22" s="233"/>
      <c r="DY22" s="233"/>
      <c r="DZ22" s="233"/>
      <c r="EA22" s="233"/>
      <c r="EB22" s="233"/>
      <c r="EC22" s="233"/>
      <c r="ED22" s="233"/>
      <c r="EE22" s="233"/>
      <c r="EF22" s="233"/>
      <c r="EG22" s="233"/>
      <c r="EH22" s="233"/>
      <c r="EI22" s="233"/>
      <c r="EJ22" s="233"/>
      <c r="EK22" s="233"/>
      <c r="EL22" s="233"/>
      <c r="EM22" s="233"/>
      <c r="EN22" s="233"/>
      <c r="EO22" s="233"/>
      <c r="EP22" s="233"/>
      <c r="EQ22" s="233"/>
      <c r="ER22" s="233"/>
      <c r="ES22" s="233"/>
      <c r="ET22" s="233"/>
      <c r="EU22" s="233"/>
      <c r="EV22" s="233"/>
      <c r="EW22" s="233"/>
      <c r="EX22" s="233"/>
      <c r="EY22" s="233"/>
      <c r="EZ22" s="233"/>
      <c r="FA22" s="233"/>
      <c r="FB22" s="233"/>
      <c r="FC22" s="233"/>
      <c r="FD22" s="233"/>
      <c r="FE22" s="233"/>
      <c r="FF22" s="233"/>
      <c r="FG22" s="233"/>
      <c r="FH22" s="233"/>
      <c r="FI22" s="233"/>
      <c r="FJ22" s="233"/>
      <c r="FK22" s="233"/>
      <c r="FL22" s="233"/>
      <c r="FM22" s="233"/>
      <c r="FN22" s="233"/>
      <c r="FO22" s="233"/>
      <c r="FP22" s="233"/>
      <c r="FQ22" s="233"/>
      <c r="FR22" s="233"/>
      <c r="FS22" s="233"/>
      <c r="FT22" s="233"/>
      <c r="FU22" s="233"/>
      <c r="FV22" s="233"/>
      <c r="FW22" s="233"/>
      <c r="FX22" s="233"/>
      <c r="FY22" s="233"/>
      <c r="FZ22" s="233"/>
      <c r="GA22" s="233"/>
      <c r="GB22" s="233"/>
      <c r="GC22" s="233"/>
      <c r="GD22" s="233"/>
      <c r="GE22" s="233"/>
      <c r="GF22" s="233"/>
      <c r="GG22" s="233"/>
      <c r="GH22" s="233"/>
      <c r="GI22" s="233"/>
      <c r="GJ22" s="233"/>
      <c r="GK22" s="233"/>
      <c r="GL22" s="233"/>
      <c r="GM22" s="233"/>
      <c r="GN22" s="233"/>
      <c r="GO22" s="233"/>
      <c r="GP22" s="233"/>
      <c r="GQ22" s="233"/>
      <c r="GR22" s="233"/>
      <c r="GS22" s="233"/>
      <c r="GT22" s="233"/>
      <c r="GU22" s="233"/>
      <c r="GV22" s="233"/>
      <c r="GW22" s="233"/>
      <c r="GX22" s="233"/>
      <c r="GY22" s="233"/>
      <c r="GZ22" s="233"/>
      <c r="HA22" s="233"/>
      <c r="HB22" s="233"/>
      <c r="HC22" s="233"/>
      <c r="HD22" s="233"/>
      <c r="HE22" s="233"/>
      <c r="HF22" s="233"/>
      <c r="HG22" s="233"/>
      <c r="HH22" s="233"/>
      <c r="HI22" s="233"/>
      <c r="HJ22" s="233"/>
      <c r="HK22" s="233"/>
      <c r="HL22" s="233"/>
      <c r="HM22" s="233"/>
      <c r="HN22" s="233"/>
      <c r="HO22" s="233"/>
      <c r="HP22" s="233"/>
      <c r="HQ22" s="233"/>
      <c r="HR22" s="233"/>
      <c r="HS22" s="233"/>
      <c r="HT22" s="233"/>
      <c r="HU22" s="233"/>
      <c r="HV22" s="233"/>
      <c r="HW22" s="233"/>
      <c r="HX22" s="233"/>
      <c r="HY22" s="233"/>
      <c r="HZ22" s="233"/>
      <c r="IA22" s="233"/>
      <c r="IB22" s="233"/>
      <c r="IC22" s="233"/>
      <c r="ID22" s="233"/>
      <c r="IE22" s="233"/>
      <c r="IF22" s="233"/>
      <c r="IG22" s="233"/>
      <c r="IH22" s="233"/>
      <c r="II22" s="233"/>
      <c r="IJ22" s="233"/>
      <c r="IK22" s="233"/>
      <c r="IL22" s="233"/>
      <c r="IM22" s="233"/>
      <c r="IN22" s="233"/>
      <c r="IO22" s="233"/>
      <c r="IP22" s="233"/>
      <c r="IQ22" s="233"/>
      <c r="IR22" s="233"/>
      <c r="IS22" s="233"/>
      <c r="IT22" s="233"/>
      <c r="IU22" s="233"/>
      <c r="IV22" s="233"/>
    </row>
    <row r="23" spans="1:256" ht="15" x14ac:dyDescent="0.25">
      <c r="A23" s="233"/>
      <c r="B23" s="237" t="s">
        <v>143</v>
      </c>
      <c r="C23" s="233"/>
      <c r="D23" s="215"/>
      <c r="E23" s="215"/>
      <c r="F23" s="215"/>
      <c r="G23" s="215"/>
      <c r="H23" s="215"/>
      <c r="I23" s="215"/>
      <c r="J23" s="215"/>
      <c r="K23" s="215"/>
      <c r="L23" s="215"/>
      <c r="M23" s="215"/>
      <c r="N23" s="233">
        <v>633.74572631973899</v>
      </c>
      <c r="O23" s="233">
        <v>671.6001861474233</v>
      </c>
      <c r="P23" s="233">
        <v>695.9149589727374</v>
      </c>
      <c r="Q23" s="233">
        <v>716.06563972151446</v>
      </c>
      <c r="R23" s="233">
        <v>748.58468973651418</v>
      </c>
      <c r="S23" s="233">
        <v>754.02379575749626</v>
      </c>
      <c r="T23" s="233">
        <v>707.82788425542412</v>
      </c>
      <c r="U23" s="233">
        <v>692.44368158802047</v>
      </c>
      <c r="V23" s="233">
        <v>687.21180734887946</v>
      </c>
      <c r="W23" s="233">
        <v>782.2853785225368</v>
      </c>
      <c r="X23" s="233">
        <v>804.65084082195062</v>
      </c>
      <c r="Y23" s="233">
        <v>765.56902638113445</v>
      </c>
      <c r="Z23" s="233">
        <v>802.10972113442904</v>
      </c>
      <c r="AA23" s="233">
        <v>749.2911340336625</v>
      </c>
      <c r="AB23" s="233">
        <v>857.85102383912852</v>
      </c>
      <c r="AC23" s="233">
        <v>770.33457941765937</v>
      </c>
      <c r="AD23" s="233">
        <v>1145.8189888134209</v>
      </c>
      <c r="AE23" s="233">
        <v>961.24260987611228</v>
      </c>
      <c r="AF23" s="233">
        <v>974.95138107131868</v>
      </c>
      <c r="AG23" s="233">
        <v>1042.0166232190259</v>
      </c>
      <c r="AH23" s="233">
        <v>863.10901639078861</v>
      </c>
      <c r="AI23" s="233">
        <v>831.75998856216358</v>
      </c>
      <c r="AJ23" s="233">
        <v>880.69828726769936</v>
      </c>
      <c r="AK23" s="233">
        <v>974.84680293367023</v>
      </c>
      <c r="AL23" s="233">
        <v>1820.7493087003018</v>
      </c>
      <c r="AM23" s="233">
        <v>1864.5787062796046</v>
      </c>
      <c r="AN23" s="233">
        <v>1774.6640368291228</v>
      </c>
      <c r="AO23" s="233">
        <v>2039.0371570168732</v>
      </c>
      <c r="AP23" s="233">
        <v>1974.6517996143264</v>
      </c>
      <c r="AQ23" s="233">
        <v>2075.5172075061996</v>
      </c>
      <c r="AR23" s="233">
        <v>2196.613239300335</v>
      </c>
      <c r="AS23" s="233">
        <v>1945.1637881444515</v>
      </c>
      <c r="AT23" s="233">
        <v>2259.2759625181925</v>
      </c>
      <c r="AU23" s="233">
        <v>2463.1608256631052</v>
      </c>
      <c r="AV23" s="233">
        <v>2414.1103931656944</v>
      </c>
      <c r="AW23" s="233">
        <v>2346.5715218189284</v>
      </c>
      <c r="AX23" s="233">
        <v>2486.7597598696198</v>
      </c>
      <c r="AY23" s="233">
        <v>2000.1850852896589</v>
      </c>
      <c r="AZ23" s="233">
        <v>3044.4755722871168</v>
      </c>
      <c r="BA23" s="233">
        <v>1859.3657970523532</v>
      </c>
      <c r="BB23" s="233">
        <v>2358.6998011848123</v>
      </c>
      <c r="BC23" s="233">
        <v>2572.6650910681101</v>
      </c>
      <c r="BD23" s="233">
        <v>2155.1688730167643</v>
      </c>
      <c r="BE23" s="233">
        <v>2348.7172631359808</v>
      </c>
      <c r="BF23" s="233">
        <v>2214.4338961728508</v>
      </c>
      <c r="BG23" s="233">
        <v>2222.8491188556786</v>
      </c>
      <c r="BH23" s="233">
        <v>2190.5374266211534</v>
      </c>
      <c r="BI23" s="233">
        <v>2318.9185143721029</v>
      </c>
      <c r="BJ23" s="233">
        <v>2333.3660990025846</v>
      </c>
      <c r="BK23" s="233">
        <v>2061.8177765512664</v>
      </c>
      <c r="BL23" s="233">
        <v>2391.3014949097046</v>
      </c>
      <c r="BM23" s="233">
        <v>2388.1628706370993</v>
      </c>
      <c r="BN23" s="233">
        <v>2627.6385967687552</v>
      </c>
      <c r="BO23" s="233">
        <v>2799.5458578715557</v>
      </c>
      <c r="BP23" s="233">
        <v>3014.1587220524725</v>
      </c>
      <c r="BQ23" s="233">
        <v>2512.1393622930282</v>
      </c>
      <c r="BR23" s="233">
        <v>2533.3206360428289</v>
      </c>
      <c r="BS23" s="233">
        <v>2833.6190503292241</v>
      </c>
      <c r="BT23" s="233">
        <v>3030.0790543212265</v>
      </c>
      <c r="BU23" s="233">
        <v>3180.8342801051417</v>
      </c>
      <c r="BV23" s="233">
        <v>3080.6861704518419</v>
      </c>
      <c r="BW23" s="233">
        <v>2985.3126258961966</v>
      </c>
      <c r="BX23" s="233">
        <v>2765.1270996690841</v>
      </c>
      <c r="BY23" s="233"/>
      <c r="BZ23" s="233"/>
      <c r="CA23" s="233"/>
      <c r="CB23" s="233"/>
      <c r="CC23" s="233"/>
      <c r="CD23" s="233"/>
      <c r="CE23" s="233"/>
      <c r="CF23" s="233"/>
      <c r="CG23" s="233"/>
      <c r="CH23" s="233"/>
      <c r="CI23" s="233"/>
      <c r="CJ23" s="233"/>
      <c r="CK23" s="233"/>
      <c r="CL23" s="233"/>
      <c r="CM23" s="233"/>
      <c r="CN23" s="233"/>
      <c r="CO23" s="233"/>
      <c r="CP23" s="233"/>
      <c r="CQ23" s="233"/>
      <c r="CR23" s="233"/>
      <c r="CS23" s="233"/>
      <c r="CT23" s="233"/>
      <c r="CU23" s="233"/>
      <c r="CV23" s="233"/>
      <c r="CW23" s="233"/>
      <c r="CX23" s="233"/>
      <c r="CY23" s="233"/>
      <c r="CZ23" s="233"/>
      <c r="DA23" s="233"/>
      <c r="DB23" s="233"/>
      <c r="DC23" s="233"/>
      <c r="DD23" s="233"/>
      <c r="DE23" s="233"/>
      <c r="DF23" s="233"/>
      <c r="DG23" s="233"/>
      <c r="DH23" s="233"/>
      <c r="DI23" s="233"/>
      <c r="DJ23" s="233"/>
      <c r="DK23" s="233"/>
      <c r="DL23" s="233"/>
      <c r="DM23" s="233"/>
      <c r="DN23" s="233"/>
      <c r="DO23" s="233"/>
      <c r="DP23" s="233"/>
      <c r="DQ23" s="233"/>
      <c r="DR23" s="233"/>
      <c r="DS23" s="233"/>
      <c r="DT23" s="233"/>
      <c r="DU23" s="233"/>
      <c r="DV23" s="233"/>
      <c r="DW23" s="233"/>
      <c r="DX23" s="233"/>
      <c r="DY23" s="233"/>
      <c r="DZ23" s="233"/>
      <c r="EA23" s="233"/>
      <c r="EB23" s="233"/>
      <c r="EC23" s="233"/>
      <c r="ED23" s="233"/>
      <c r="EE23" s="233"/>
      <c r="EF23" s="233"/>
      <c r="EG23" s="233"/>
      <c r="EH23" s="233"/>
      <c r="EI23" s="233"/>
      <c r="EJ23" s="233"/>
      <c r="EK23" s="233"/>
      <c r="EL23" s="233"/>
      <c r="EM23" s="233"/>
      <c r="EN23" s="233"/>
      <c r="EO23" s="233"/>
      <c r="EP23" s="233"/>
      <c r="EQ23" s="233"/>
      <c r="ER23" s="233"/>
      <c r="ES23" s="233"/>
      <c r="ET23" s="233"/>
      <c r="EU23" s="233"/>
      <c r="EV23" s="233"/>
      <c r="EW23" s="233"/>
      <c r="EX23" s="233"/>
      <c r="EY23" s="233"/>
      <c r="EZ23" s="233"/>
      <c r="FA23" s="233"/>
      <c r="FB23" s="233"/>
      <c r="FC23" s="233"/>
      <c r="FD23" s="233"/>
      <c r="FE23" s="233"/>
      <c r="FF23" s="233"/>
      <c r="FG23" s="233"/>
      <c r="FH23" s="233"/>
      <c r="FI23" s="233"/>
      <c r="FJ23" s="233"/>
      <c r="FK23" s="233"/>
      <c r="FL23" s="233"/>
      <c r="FM23" s="233"/>
      <c r="FN23" s="233"/>
      <c r="FO23" s="233"/>
      <c r="FP23" s="233"/>
      <c r="FQ23" s="233"/>
      <c r="FR23" s="233"/>
      <c r="FS23" s="233"/>
      <c r="FT23" s="233"/>
      <c r="FU23" s="233"/>
      <c r="FV23" s="233"/>
      <c r="FW23" s="233"/>
      <c r="FX23" s="233"/>
      <c r="FY23" s="233"/>
      <c r="FZ23" s="233"/>
      <c r="GA23" s="233"/>
      <c r="GB23" s="233"/>
      <c r="GC23" s="233"/>
      <c r="GD23" s="233"/>
      <c r="GE23" s="233"/>
      <c r="GF23" s="233"/>
      <c r="GG23" s="233"/>
      <c r="GH23" s="233"/>
      <c r="GI23" s="233"/>
      <c r="GJ23" s="233"/>
      <c r="GK23" s="233"/>
      <c r="GL23" s="233"/>
      <c r="GM23" s="233"/>
      <c r="GN23" s="233"/>
      <c r="GO23" s="233"/>
      <c r="GP23" s="233"/>
      <c r="GQ23" s="233"/>
      <c r="GR23" s="233"/>
      <c r="GS23" s="233"/>
      <c r="GT23" s="233"/>
      <c r="GU23" s="233"/>
      <c r="GV23" s="233"/>
      <c r="GW23" s="233"/>
      <c r="GX23" s="233"/>
      <c r="GY23" s="233"/>
      <c r="GZ23" s="233"/>
      <c r="HA23" s="233"/>
      <c r="HB23" s="233"/>
      <c r="HC23" s="233"/>
      <c r="HD23" s="233"/>
      <c r="HE23" s="233"/>
      <c r="HF23" s="233"/>
      <c r="HG23" s="233"/>
      <c r="HH23" s="233"/>
      <c r="HI23" s="233"/>
      <c r="HJ23" s="233"/>
      <c r="HK23" s="233"/>
      <c r="HL23" s="233"/>
      <c r="HM23" s="233"/>
      <c r="HN23" s="233"/>
      <c r="HO23" s="233"/>
      <c r="HP23" s="233"/>
      <c r="HQ23" s="233"/>
      <c r="HR23" s="233"/>
      <c r="HS23" s="233"/>
      <c r="HT23" s="233"/>
      <c r="HU23" s="233"/>
      <c r="HV23" s="233"/>
      <c r="HW23" s="233"/>
      <c r="HX23" s="233"/>
      <c r="HY23" s="233"/>
      <c r="HZ23" s="233"/>
      <c r="IA23" s="233"/>
      <c r="IB23" s="233"/>
      <c r="IC23" s="233"/>
      <c r="ID23" s="233"/>
      <c r="IE23" s="233"/>
      <c r="IF23" s="233"/>
      <c r="IG23" s="233"/>
      <c r="IH23" s="233"/>
      <c r="II23" s="233"/>
      <c r="IJ23" s="233"/>
      <c r="IK23" s="233"/>
      <c r="IL23" s="233"/>
      <c r="IM23" s="233"/>
      <c r="IN23" s="233"/>
      <c r="IO23" s="233"/>
      <c r="IP23" s="233"/>
      <c r="IQ23" s="233"/>
      <c r="IR23" s="233"/>
      <c r="IS23" s="233"/>
      <c r="IT23" s="233"/>
      <c r="IU23" s="233"/>
      <c r="IV23" s="233"/>
    </row>
    <row r="24" spans="1:256" ht="15" x14ac:dyDescent="0.25">
      <c r="A24" s="240"/>
      <c r="B24" s="239" t="s">
        <v>142</v>
      </c>
      <c r="C24" s="240"/>
      <c r="D24" s="213"/>
      <c r="E24" s="213"/>
      <c r="F24" s="213"/>
      <c r="G24" s="213"/>
      <c r="H24" s="213"/>
      <c r="I24" s="213"/>
      <c r="J24" s="213"/>
      <c r="K24" s="213"/>
      <c r="L24" s="213"/>
      <c r="M24" s="213"/>
      <c r="N24" s="212">
        <v>520.87045410314749</v>
      </c>
      <c r="O24" s="212">
        <v>580.31116285524695</v>
      </c>
      <c r="P24" s="212">
        <v>2697.1137557858965</v>
      </c>
      <c r="Q24" s="212">
        <v>2390.7820847179137</v>
      </c>
      <c r="R24" s="212">
        <v>-5333.2379426985426</v>
      </c>
      <c r="S24" s="212">
        <v>5648.8773607777493</v>
      </c>
      <c r="T24" s="212">
        <v>3619.9570009474301</v>
      </c>
      <c r="U24" s="212">
        <v>1613.1421258578848</v>
      </c>
      <c r="V24" s="212">
        <v>209.53464981862999</v>
      </c>
      <c r="W24" s="212">
        <v>-2401.0589516801119</v>
      </c>
      <c r="X24" s="212">
        <v>1279.1125670073779</v>
      </c>
      <c r="Y24" s="212">
        <v>3552.9108792188381</v>
      </c>
      <c r="Z24" s="212">
        <v>5308.7592305940052</v>
      </c>
      <c r="AA24" s="212">
        <v>3301.8555623195025</v>
      </c>
      <c r="AB24" s="212">
        <v>1412.0824137231357</v>
      </c>
      <c r="AC24" s="212">
        <v>-7098.5691887338508</v>
      </c>
      <c r="AD24" s="212">
        <v>967.46682476015485</v>
      </c>
      <c r="AE24" s="212">
        <v>1162.0960583441884</v>
      </c>
      <c r="AF24" s="212">
        <v>716.16233095557254</v>
      </c>
      <c r="AG24" s="212">
        <v>-690.73933971227962</v>
      </c>
      <c r="AH24" s="212">
        <v>1785.7080729490008</v>
      </c>
      <c r="AI24" s="212">
        <v>3246.7696957619701</v>
      </c>
      <c r="AJ24" s="212">
        <v>-4970.41691396229</v>
      </c>
      <c r="AK24" s="212">
        <v>2105.5426916242468</v>
      </c>
      <c r="AL24" s="212">
        <v>513.11389607454839</v>
      </c>
      <c r="AM24" s="212">
        <v>-689.34030420130512</v>
      </c>
      <c r="AN24" s="212">
        <v>95.066177221462567</v>
      </c>
      <c r="AO24" s="212">
        <v>249.489424649586</v>
      </c>
      <c r="AP24" s="212">
        <v>-2136.7203881442219</v>
      </c>
      <c r="AQ24" s="212">
        <v>-902.10000692366884</v>
      </c>
      <c r="AR24" s="212">
        <v>-118.8175954448925</v>
      </c>
      <c r="AS24" s="212">
        <v>-580.09794653905192</v>
      </c>
      <c r="AT24" s="212">
        <v>-56.147404230403481</v>
      </c>
      <c r="AU24" s="212">
        <v>-587.20919530253741</v>
      </c>
      <c r="AV24" s="212">
        <v>-1210.8536250576617</v>
      </c>
      <c r="AW24" s="212">
        <v>-2885.6676173807755</v>
      </c>
      <c r="AX24" s="212">
        <v>-2023.3518145214402</v>
      </c>
      <c r="AY24" s="212">
        <v>-2056.2680234713516</v>
      </c>
      <c r="AZ24" s="212">
        <v>-429.58584213823997</v>
      </c>
      <c r="BA24" s="212">
        <v>-319.69104853268436</v>
      </c>
      <c r="BB24" s="212">
        <v>355.34084461013117</v>
      </c>
      <c r="BC24" s="212">
        <v>-870.11578989109694</v>
      </c>
      <c r="BD24" s="212">
        <v>-1915.438210348053</v>
      </c>
      <c r="BE24" s="212">
        <v>-342.82330138327234</v>
      </c>
      <c r="BF24" s="212">
        <v>-1123.14944333741</v>
      </c>
      <c r="BG24" s="212">
        <v>357.96056428518932</v>
      </c>
      <c r="BH24" s="212">
        <v>-594.69821190437506</v>
      </c>
      <c r="BI24" s="212">
        <v>-1299.7917076262675</v>
      </c>
      <c r="BJ24" s="212">
        <v>-503.63358838343265</v>
      </c>
      <c r="BK24" s="212">
        <v>-543.39123582172761</v>
      </c>
      <c r="BL24" s="212">
        <v>-279.07837387044128</v>
      </c>
      <c r="BM24" s="212">
        <v>351.9615114975677</v>
      </c>
      <c r="BN24" s="212">
        <v>-1736.2577643216064</v>
      </c>
      <c r="BO24" s="212">
        <v>-444.4564501382556</v>
      </c>
      <c r="BP24" s="212">
        <v>43.153456499589083</v>
      </c>
      <c r="BQ24" s="212">
        <v>-1617.6885522600423</v>
      </c>
      <c r="BR24" s="212">
        <v>-2421.5778269613002</v>
      </c>
      <c r="BS24" s="212">
        <v>-1031.3598136136497</v>
      </c>
      <c r="BT24" s="212">
        <v>-5514.970935235513</v>
      </c>
      <c r="BU24" s="212">
        <v>-3615.0508303832612</v>
      </c>
      <c r="BV24" s="212">
        <v>-6207.3724512823974</v>
      </c>
      <c r="BW24" s="212">
        <v>-5979.8512455979653</v>
      </c>
      <c r="BX24" s="212">
        <v>-4650.578223570672</v>
      </c>
      <c r="BY24" s="240"/>
      <c r="BZ24" s="240"/>
      <c r="CA24" s="240"/>
      <c r="CB24" s="240"/>
      <c r="CC24" s="240"/>
      <c r="CD24" s="240"/>
      <c r="CE24" s="240"/>
      <c r="CF24" s="240"/>
      <c r="CG24" s="240"/>
      <c r="CH24" s="240"/>
      <c r="CI24" s="240"/>
      <c r="CJ24" s="240"/>
      <c r="CK24" s="240"/>
      <c r="CL24" s="240"/>
      <c r="CM24" s="240"/>
      <c r="CN24" s="240"/>
      <c r="CO24" s="240"/>
      <c r="CP24" s="240"/>
      <c r="CQ24" s="240"/>
      <c r="CR24" s="240"/>
      <c r="CS24" s="240"/>
      <c r="CT24" s="240"/>
      <c r="CU24" s="240"/>
      <c r="CV24" s="240"/>
      <c r="CW24" s="240"/>
      <c r="CX24" s="240"/>
      <c r="CY24" s="240"/>
      <c r="CZ24" s="240"/>
      <c r="DA24" s="240"/>
      <c r="DB24" s="240"/>
      <c r="DC24" s="240"/>
      <c r="DD24" s="240"/>
      <c r="DE24" s="240"/>
      <c r="DF24" s="240"/>
      <c r="DG24" s="240"/>
      <c r="DH24" s="240"/>
      <c r="DI24" s="240"/>
      <c r="DJ24" s="240"/>
      <c r="DK24" s="240"/>
      <c r="DL24" s="240"/>
      <c r="DM24" s="240"/>
      <c r="DN24" s="240"/>
      <c r="DO24" s="240"/>
      <c r="DP24" s="240"/>
      <c r="DQ24" s="240"/>
      <c r="DR24" s="240"/>
      <c r="DS24" s="240"/>
      <c r="DT24" s="240"/>
      <c r="DU24" s="240"/>
      <c r="DV24" s="240"/>
      <c r="DW24" s="240"/>
      <c r="DX24" s="240"/>
      <c r="DY24" s="240"/>
      <c r="DZ24" s="240"/>
      <c r="EA24" s="240"/>
      <c r="EB24" s="240"/>
      <c r="EC24" s="240"/>
      <c r="ED24" s="240"/>
      <c r="EE24" s="240"/>
      <c r="EF24" s="240"/>
      <c r="EG24" s="240"/>
      <c r="EH24" s="240"/>
      <c r="EI24" s="240"/>
      <c r="EJ24" s="240"/>
      <c r="EK24" s="240"/>
      <c r="EL24" s="240"/>
      <c r="EM24" s="240"/>
      <c r="EN24" s="240"/>
      <c r="EO24" s="240"/>
      <c r="EP24" s="240"/>
      <c r="EQ24" s="240"/>
      <c r="ER24" s="240"/>
      <c r="ES24" s="240"/>
      <c r="ET24" s="240"/>
      <c r="EU24" s="240"/>
      <c r="EV24" s="240"/>
      <c r="EW24" s="240"/>
      <c r="EX24" s="240"/>
      <c r="EY24" s="240"/>
      <c r="EZ24" s="240"/>
      <c r="FA24" s="240"/>
      <c r="FB24" s="240"/>
      <c r="FC24" s="240"/>
      <c r="FD24" s="240"/>
      <c r="FE24" s="240"/>
      <c r="FF24" s="240"/>
      <c r="FG24" s="240"/>
      <c r="FH24" s="240"/>
      <c r="FI24" s="240"/>
      <c r="FJ24" s="240"/>
      <c r="FK24" s="240"/>
      <c r="FL24" s="240"/>
      <c r="FM24" s="240"/>
      <c r="FN24" s="240"/>
      <c r="FO24" s="240"/>
      <c r="FP24" s="240"/>
      <c r="FQ24" s="240"/>
      <c r="FR24" s="240"/>
      <c r="FS24" s="240"/>
      <c r="FT24" s="240"/>
      <c r="FU24" s="240"/>
      <c r="FV24" s="240"/>
      <c r="FW24" s="240"/>
      <c r="FX24" s="240"/>
      <c r="FY24" s="240"/>
      <c r="FZ24" s="240"/>
      <c r="GA24" s="240"/>
      <c r="GB24" s="240"/>
      <c r="GC24" s="240"/>
      <c r="GD24" s="240"/>
      <c r="GE24" s="240"/>
      <c r="GF24" s="240"/>
      <c r="GG24" s="240"/>
      <c r="GH24" s="240"/>
      <c r="GI24" s="240"/>
      <c r="GJ24" s="240"/>
      <c r="GK24" s="240"/>
      <c r="GL24" s="240"/>
      <c r="GM24" s="240"/>
      <c r="GN24" s="240"/>
      <c r="GO24" s="240"/>
      <c r="GP24" s="240"/>
      <c r="GQ24" s="240"/>
      <c r="GR24" s="240"/>
      <c r="GS24" s="240"/>
      <c r="GT24" s="240"/>
      <c r="GU24" s="240"/>
      <c r="GV24" s="240"/>
      <c r="GW24" s="240"/>
      <c r="GX24" s="240"/>
      <c r="GY24" s="240"/>
      <c r="GZ24" s="240"/>
      <c r="HA24" s="240"/>
      <c r="HB24" s="240"/>
      <c r="HC24" s="240"/>
      <c r="HD24" s="240"/>
      <c r="HE24" s="240"/>
      <c r="HF24" s="240"/>
      <c r="HG24" s="240"/>
      <c r="HH24" s="240"/>
      <c r="HI24" s="240"/>
      <c r="HJ24" s="240"/>
      <c r="HK24" s="240"/>
      <c r="HL24" s="240"/>
      <c r="HM24" s="240"/>
      <c r="HN24" s="240"/>
      <c r="HO24" s="240"/>
      <c r="HP24" s="240"/>
      <c r="HQ24" s="240"/>
      <c r="HR24" s="240"/>
      <c r="HS24" s="240"/>
      <c r="HT24" s="240"/>
      <c r="HU24" s="240"/>
      <c r="HV24" s="240"/>
      <c r="HW24" s="240"/>
      <c r="HX24" s="240"/>
      <c r="HY24" s="240"/>
      <c r="HZ24" s="240"/>
      <c r="IA24" s="240"/>
      <c r="IB24" s="240"/>
      <c r="IC24" s="240"/>
      <c r="ID24" s="240"/>
      <c r="IE24" s="240"/>
      <c r="IF24" s="240"/>
      <c r="IG24" s="240"/>
      <c r="IH24" s="240"/>
      <c r="II24" s="240"/>
      <c r="IJ24" s="240"/>
      <c r="IK24" s="240"/>
      <c r="IL24" s="240"/>
      <c r="IM24" s="240"/>
      <c r="IN24" s="240"/>
      <c r="IO24" s="240"/>
      <c r="IP24" s="240"/>
      <c r="IQ24" s="240"/>
      <c r="IR24" s="240"/>
      <c r="IS24" s="240"/>
      <c r="IT24" s="240"/>
      <c r="IU24" s="240"/>
      <c r="IV24" s="240"/>
    </row>
    <row r="25" spans="1:256" ht="15" x14ac:dyDescent="0.25">
      <c r="A25" s="235"/>
      <c r="B25" s="236" t="s">
        <v>141</v>
      </c>
      <c r="C25" s="235"/>
      <c r="D25" s="210"/>
      <c r="E25" s="210"/>
      <c r="F25" s="210"/>
      <c r="G25" s="210"/>
      <c r="H25" s="210"/>
      <c r="I25" s="210"/>
      <c r="J25" s="210"/>
      <c r="K25" s="210"/>
      <c r="L25" s="210"/>
      <c r="M25" s="210"/>
      <c r="N25" s="209">
        <v>21342.529993265409</v>
      </c>
      <c r="O25" s="209">
        <v>21896.853013550503</v>
      </c>
      <c r="P25" s="209">
        <v>22390.232398853594</v>
      </c>
      <c r="Q25" s="209">
        <v>21682.914697379085</v>
      </c>
      <c r="R25" s="209">
        <v>22486.720764151112</v>
      </c>
      <c r="S25" s="209">
        <v>21911.014463813659</v>
      </c>
      <c r="T25" s="209">
        <v>22517.310280110985</v>
      </c>
      <c r="U25" s="209">
        <v>22741.164264584695</v>
      </c>
      <c r="V25" s="209">
        <v>23670.651370530493</v>
      </c>
      <c r="W25" s="209">
        <v>22632.372513668481</v>
      </c>
      <c r="X25" s="209">
        <v>22653.883943873825</v>
      </c>
      <c r="Y25" s="209">
        <v>22266.49094022674</v>
      </c>
      <c r="Z25" s="209">
        <v>23206.646183477365</v>
      </c>
      <c r="AA25" s="209">
        <v>22781.854734579141</v>
      </c>
      <c r="AB25" s="209">
        <v>24142.298179200308</v>
      </c>
      <c r="AC25" s="209">
        <v>25208.00071848229</v>
      </c>
      <c r="AD25" s="209">
        <v>24323.405427659403</v>
      </c>
      <c r="AE25" s="209">
        <v>25323.803210422753</v>
      </c>
      <c r="AF25" s="209">
        <v>25570.867075995542</v>
      </c>
      <c r="AG25" s="209">
        <v>26198.304190264473</v>
      </c>
      <c r="AH25" s="209">
        <v>26581.323890586285</v>
      </c>
      <c r="AI25" s="209">
        <v>26727.381248542224</v>
      </c>
      <c r="AJ25" s="209">
        <v>25866.213821367201</v>
      </c>
      <c r="AK25" s="209">
        <v>26198.377939572332</v>
      </c>
      <c r="AL25" s="209">
        <v>26416.451424884999</v>
      </c>
      <c r="AM25" s="209">
        <v>26812.127049850034</v>
      </c>
      <c r="AN25" s="209">
        <v>27622.084522560148</v>
      </c>
      <c r="AO25" s="209">
        <v>27889.913993062761</v>
      </c>
      <c r="AP25" s="209">
        <v>28283.055090545124</v>
      </c>
      <c r="AQ25" s="209">
        <v>28554.154355455663</v>
      </c>
      <c r="AR25" s="209">
        <v>29229.257957474172</v>
      </c>
      <c r="AS25" s="209">
        <v>29445.349585144646</v>
      </c>
      <c r="AT25" s="209">
        <v>29941.016679116874</v>
      </c>
      <c r="AU25" s="209">
        <v>30143.98135587592</v>
      </c>
      <c r="AV25" s="209">
        <v>31566.283040172366</v>
      </c>
      <c r="AW25" s="209">
        <v>31403.381947332262</v>
      </c>
      <c r="AX25" s="209">
        <v>32277.505804444816</v>
      </c>
      <c r="AY25" s="209">
        <v>32675.788598487674</v>
      </c>
      <c r="AZ25" s="209">
        <v>31950.549714858505</v>
      </c>
      <c r="BA25" s="209">
        <v>29675.735170801268</v>
      </c>
      <c r="BB25" s="209">
        <v>31890.176541598405</v>
      </c>
      <c r="BC25" s="209">
        <v>32666.765676169423</v>
      </c>
      <c r="BD25" s="209">
        <v>32921.015309327311</v>
      </c>
      <c r="BE25" s="209">
        <v>33306.169379921143</v>
      </c>
      <c r="BF25" s="209">
        <v>32640.31904955607</v>
      </c>
      <c r="BG25" s="209">
        <v>34251.442494537805</v>
      </c>
      <c r="BH25" s="209">
        <v>35011.569857575276</v>
      </c>
      <c r="BI25" s="209">
        <v>35145.427386623349</v>
      </c>
      <c r="BJ25" s="209">
        <v>35487.5132429605</v>
      </c>
      <c r="BK25" s="209">
        <v>35824.548176188408</v>
      </c>
      <c r="BL25" s="209">
        <v>35816.890574382145</v>
      </c>
      <c r="BM25" s="209">
        <v>36991.392379874153</v>
      </c>
      <c r="BN25" s="209">
        <v>37471.978536521594</v>
      </c>
      <c r="BO25" s="209">
        <v>37983.242769868986</v>
      </c>
      <c r="BP25" s="209">
        <v>38376.531763283529</v>
      </c>
      <c r="BQ25" s="209">
        <v>39004.919336065686</v>
      </c>
      <c r="BR25" s="209">
        <v>39841.908182691936</v>
      </c>
      <c r="BS25" s="209">
        <v>40048.472188510088</v>
      </c>
      <c r="BT25" s="209">
        <v>41537.21599002595</v>
      </c>
      <c r="BU25" s="209">
        <v>41152.310114500797</v>
      </c>
      <c r="BV25" s="209">
        <v>41956.65709860163</v>
      </c>
      <c r="BW25" s="209">
        <v>43451.337501280766</v>
      </c>
      <c r="BX25" s="209">
        <v>43978.86125157628</v>
      </c>
      <c r="BY25" s="235"/>
      <c r="BZ25" s="235"/>
      <c r="CA25" s="235"/>
      <c r="CB25" s="235"/>
      <c r="CC25" s="235"/>
      <c r="CD25" s="235"/>
      <c r="CE25" s="235"/>
      <c r="CF25" s="235"/>
      <c r="CG25" s="235"/>
      <c r="CH25" s="235"/>
      <c r="CI25" s="235"/>
      <c r="CJ25" s="235"/>
      <c r="CK25" s="235"/>
      <c r="CL25" s="235"/>
      <c r="CM25" s="235"/>
      <c r="CN25" s="235"/>
      <c r="CO25" s="235"/>
      <c r="CP25" s="235"/>
      <c r="CQ25" s="235"/>
      <c r="CR25" s="235"/>
      <c r="CS25" s="235"/>
      <c r="CT25" s="235"/>
      <c r="CU25" s="235"/>
      <c r="CV25" s="235"/>
      <c r="CW25" s="235"/>
      <c r="CX25" s="235"/>
      <c r="CY25" s="235"/>
      <c r="CZ25" s="235"/>
      <c r="DA25" s="235"/>
      <c r="DB25" s="235"/>
      <c r="DC25" s="235"/>
      <c r="DD25" s="235"/>
      <c r="DE25" s="235"/>
      <c r="DF25" s="235"/>
      <c r="DG25" s="235"/>
      <c r="DH25" s="235"/>
      <c r="DI25" s="235"/>
      <c r="DJ25" s="235"/>
      <c r="DK25" s="235"/>
      <c r="DL25" s="235"/>
      <c r="DM25" s="235"/>
      <c r="DN25" s="235"/>
      <c r="DO25" s="235"/>
      <c r="DP25" s="235"/>
      <c r="DQ25" s="235"/>
      <c r="DR25" s="235"/>
      <c r="DS25" s="235"/>
      <c r="DT25" s="235"/>
      <c r="DU25" s="235"/>
      <c r="DV25" s="235"/>
      <c r="DW25" s="235"/>
      <c r="DX25" s="235"/>
      <c r="DY25" s="235"/>
      <c r="DZ25" s="235"/>
      <c r="EA25" s="235"/>
      <c r="EB25" s="235"/>
      <c r="EC25" s="235"/>
      <c r="ED25" s="235"/>
      <c r="EE25" s="235"/>
      <c r="EF25" s="235"/>
      <c r="EG25" s="235"/>
      <c r="EH25" s="235"/>
      <c r="EI25" s="235"/>
      <c r="EJ25" s="235"/>
      <c r="EK25" s="235"/>
      <c r="EL25" s="235"/>
      <c r="EM25" s="235"/>
      <c r="EN25" s="235"/>
      <c r="EO25" s="235"/>
      <c r="EP25" s="235"/>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5"/>
      <c r="FN25" s="235"/>
      <c r="FO25" s="235"/>
      <c r="FP25" s="235"/>
      <c r="FQ25" s="235"/>
      <c r="FR25" s="235"/>
      <c r="FS25" s="235"/>
      <c r="FT25" s="235"/>
      <c r="FU25" s="235"/>
      <c r="FV25" s="235"/>
      <c r="FW25" s="235"/>
      <c r="FX25" s="235"/>
      <c r="FY25" s="235"/>
      <c r="FZ25" s="235"/>
      <c r="GA25" s="235"/>
      <c r="GB25" s="235"/>
      <c r="GC25" s="235"/>
      <c r="GD25" s="235"/>
      <c r="GE25" s="235"/>
      <c r="GF25" s="235"/>
      <c r="GG25" s="235"/>
      <c r="GH25" s="235"/>
      <c r="GI25" s="235"/>
      <c r="GJ25" s="235"/>
      <c r="GK25" s="235"/>
      <c r="GL25" s="235"/>
      <c r="GM25" s="235"/>
      <c r="GN25" s="235"/>
      <c r="GO25" s="235"/>
      <c r="GP25" s="235"/>
      <c r="GQ25" s="235"/>
      <c r="GR25" s="235"/>
      <c r="GS25" s="235"/>
      <c r="GT25" s="235"/>
      <c r="GU25" s="235"/>
      <c r="GV25" s="235"/>
      <c r="GW25" s="235"/>
      <c r="GX25" s="235"/>
      <c r="GY25" s="235"/>
      <c r="GZ25" s="235"/>
      <c r="HA25" s="235"/>
      <c r="HB25" s="235"/>
      <c r="HC25" s="235"/>
      <c r="HD25" s="235"/>
      <c r="HE25" s="235"/>
      <c r="HF25" s="235"/>
      <c r="HG25" s="235"/>
      <c r="HH25" s="235"/>
      <c r="HI25" s="235"/>
      <c r="HJ25" s="235"/>
      <c r="HK25" s="235"/>
      <c r="HL25" s="235"/>
      <c r="HM25" s="235"/>
      <c r="HN25" s="235"/>
      <c r="HO25" s="235"/>
      <c r="HP25" s="235"/>
      <c r="HQ25" s="235"/>
      <c r="HR25" s="235"/>
      <c r="HS25" s="235"/>
      <c r="HT25" s="235"/>
      <c r="HU25" s="235"/>
      <c r="HV25" s="235"/>
      <c r="HW25" s="235"/>
      <c r="HX25" s="235"/>
      <c r="HY25" s="235"/>
      <c r="HZ25" s="235"/>
      <c r="IA25" s="235"/>
      <c r="IB25" s="235"/>
      <c r="IC25" s="235"/>
      <c r="ID25" s="235"/>
      <c r="IE25" s="235"/>
      <c r="IF25" s="235"/>
      <c r="IG25" s="235"/>
      <c r="IH25" s="235"/>
      <c r="II25" s="235"/>
      <c r="IJ25" s="235"/>
      <c r="IK25" s="235"/>
      <c r="IL25" s="235"/>
      <c r="IM25" s="235"/>
      <c r="IN25" s="235"/>
      <c r="IO25" s="235"/>
      <c r="IP25" s="235"/>
      <c r="IQ25" s="235"/>
      <c r="IR25" s="235"/>
      <c r="IS25" s="235"/>
      <c r="IT25" s="235"/>
      <c r="IU25" s="235"/>
      <c r="IV25" s="235"/>
    </row>
    <row r="26" spans="1:256" ht="15" x14ac:dyDescent="0.25">
      <c r="A26" s="241"/>
      <c r="B26" s="244"/>
      <c r="C26" s="241"/>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71" t="s">
        <v>92</v>
      </c>
      <c r="AQ26" s="271"/>
      <c r="AR26" s="271"/>
      <c r="AS26" s="271"/>
      <c r="AT26" s="271" t="s">
        <v>134</v>
      </c>
      <c r="AU26" s="271"/>
      <c r="AV26" s="271"/>
      <c r="AW26" s="271"/>
      <c r="AX26" s="271" t="s">
        <v>136</v>
      </c>
      <c r="AY26" s="271"/>
      <c r="AZ26" s="271"/>
      <c r="BA26" s="271"/>
      <c r="BB26" s="271" t="s">
        <v>137</v>
      </c>
      <c r="BC26" s="271"/>
      <c r="BD26" s="271"/>
      <c r="BE26" s="271"/>
      <c r="BF26" s="271" t="s">
        <v>138</v>
      </c>
      <c r="BG26" s="271"/>
      <c r="BH26" s="271"/>
      <c r="BI26" s="271"/>
      <c r="BJ26" s="272" t="s">
        <v>139</v>
      </c>
      <c r="BK26" s="272"/>
      <c r="BL26" s="272"/>
      <c r="BM26" s="272"/>
      <c r="BN26" s="271" t="s">
        <v>140</v>
      </c>
      <c r="BO26" s="271"/>
      <c r="BP26" s="271"/>
      <c r="BQ26" s="271"/>
      <c r="BR26" s="272" t="s">
        <v>174</v>
      </c>
      <c r="BS26" s="272"/>
      <c r="BT26" s="272"/>
      <c r="BU26" s="272"/>
      <c r="BV26" s="233" t="s">
        <v>175</v>
      </c>
      <c r="BW26" s="233"/>
      <c r="BX26" s="233"/>
      <c r="BY26" s="233"/>
      <c r="BZ26" s="233"/>
      <c r="CA26" s="233"/>
      <c r="CB26" s="233"/>
      <c r="CC26" s="233"/>
      <c r="CD26" s="233"/>
      <c r="CE26" s="233"/>
      <c r="CF26" s="233"/>
      <c r="CG26" s="233"/>
      <c r="CH26" s="233"/>
      <c r="CI26" s="233"/>
      <c r="CJ26" s="233"/>
      <c r="CK26" s="233"/>
      <c r="CL26" s="233"/>
      <c r="CM26" s="233"/>
      <c r="CN26" s="233"/>
      <c r="CO26" s="233"/>
      <c r="CP26" s="233"/>
      <c r="CQ26" s="233"/>
      <c r="CR26" s="233"/>
      <c r="CS26" s="233"/>
      <c r="CT26" s="233"/>
      <c r="CU26" s="233"/>
      <c r="CV26" s="233"/>
      <c r="CW26" s="233"/>
      <c r="CX26" s="233"/>
      <c r="CY26" s="233"/>
      <c r="CZ26" s="233"/>
      <c r="DA26" s="233"/>
      <c r="DB26" s="233"/>
      <c r="DC26" s="233"/>
      <c r="DD26" s="233"/>
      <c r="DE26" s="233"/>
      <c r="DF26" s="233"/>
      <c r="DG26" s="233"/>
      <c r="DH26" s="233"/>
      <c r="DI26" s="233"/>
      <c r="DJ26" s="233"/>
      <c r="DK26" s="233"/>
      <c r="DL26" s="233"/>
      <c r="DM26" s="233"/>
      <c r="DN26" s="233"/>
      <c r="DO26" s="233"/>
      <c r="DP26" s="233"/>
      <c r="DQ26" s="233"/>
      <c r="DR26" s="233"/>
      <c r="DS26" s="233"/>
      <c r="DT26" s="233"/>
      <c r="DU26" s="233"/>
      <c r="DV26" s="233"/>
      <c r="DW26" s="233"/>
      <c r="DX26" s="233"/>
      <c r="DY26" s="233"/>
      <c r="DZ26" s="233"/>
      <c r="EA26" s="233"/>
      <c r="EB26" s="233"/>
      <c r="EC26" s="233"/>
      <c r="ED26" s="233"/>
      <c r="EE26" s="233"/>
      <c r="EF26" s="233"/>
      <c r="EG26" s="233"/>
      <c r="EH26" s="233"/>
      <c r="EI26" s="233"/>
      <c r="EJ26" s="233"/>
      <c r="EK26" s="233"/>
      <c r="EL26" s="233"/>
      <c r="EM26" s="233"/>
      <c r="EN26" s="233"/>
      <c r="EO26" s="233"/>
      <c r="EP26" s="233"/>
      <c r="EQ26" s="233"/>
      <c r="ER26" s="233"/>
      <c r="ES26" s="233"/>
      <c r="ET26" s="233"/>
      <c r="EU26" s="233"/>
      <c r="EV26" s="233"/>
      <c r="EW26" s="233"/>
      <c r="EX26" s="233"/>
      <c r="EY26" s="233"/>
      <c r="EZ26" s="233"/>
      <c r="FA26" s="233"/>
      <c r="FB26" s="233"/>
      <c r="FC26" s="233"/>
      <c r="FD26" s="233"/>
      <c r="FE26" s="233"/>
      <c r="FF26" s="233"/>
      <c r="FG26" s="233"/>
      <c r="FH26" s="233"/>
      <c r="FI26" s="233"/>
      <c r="FJ26" s="233"/>
      <c r="FK26" s="233"/>
      <c r="FL26" s="233"/>
      <c r="FM26" s="233"/>
      <c r="FN26" s="233"/>
      <c r="FO26" s="233"/>
      <c r="FP26" s="233"/>
      <c r="FQ26" s="233"/>
      <c r="FR26" s="233"/>
      <c r="FS26" s="233"/>
      <c r="FT26" s="233"/>
      <c r="FU26" s="233"/>
      <c r="FV26" s="233"/>
      <c r="FW26" s="233"/>
      <c r="FX26" s="233"/>
      <c r="FY26" s="233"/>
      <c r="FZ26" s="233"/>
      <c r="GA26" s="233"/>
      <c r="GB26" s="233"/>
      <c r="GC26" s="233"/>
      <c r="GD26" s="233"/>
      <c r="GE26" s="233"/>
      <c r="GF26" s="233"/>
      <c r="GG26" s="233"/>
      <c r="GH26" s="233"/>
      <c r="GI26" s="233"/>
      <c r="GJ26" s="233"/>
      <c r="GK26" s="233"/>
      <c r="GL26" s="233"/>
      <c r="GM26" s="233"/>
      <c r="GN26" s="233"/>
      <c r="GO26" s="233"/>
      <c r="GP26" s="233"/>
      <c r="GQ26" s="233"/>
      <c r="GR26" s="233"/>
      <c r="GS26" s="233"/>
      <c r="GT26" s="233"/>
      <c r="GU26" s="233"/>
      <c r="GV26" s="233"/>
      <c r="GW26" s="233"/>
      <c r="GX26" s="233"/>
      <c r="GY26" s="233"/>
      <c r="GZ26" s="233"/>
      <c r="HA26" s="233"/>
      <c r="HB26" s="233"/>
      <c r="HC26" s="233"/>
      <c r="HD26" s="233"/>
      <c r="HE26" s="233"/>
      <c r="HF26" s="233"/>
      <c r="HG26" s="233"/>
      <c r="HH26" s="233"/>
      <c r="HI26" s="233"/>
      <c r="HJ26" s="233"/>
      <c r="HK26" s="233"/>
      <c r="HL26" s="233"/>
      <c r="HM26" s="233"/>
      <c r="HN26" s="233"/>
      <c r="HO26" s="233"/>
      <c r="HP26" s="233"/>
      <c r="HQ26" s="233"/>
      <c r="HR26" s="233"/>
      <c r="HS26" s="233"/>
      <c r="HT26" s="233"/>
      <c r="HU26" s="233"/>
      <c r="HV26" s="233"/>
      <c r="HW26" s="233"/>
      <c r="HX26" s="233"/>
      <c r="HY26" s="233"/>
      <c r="HZ26" s="233"/>
      <c r="IA26" s="233"/>
      <c r="IB26" s="233"/>
      <c r="IC26" s="233"/>
      <c r="ID26" s="233"/>
      <c r="IE26" s="233"/>
      <c r="IF26" s="233"/>
      <c r="IG26" s="233"/>
      <c r="IH26" s="233"/>
      <c r="II26" s="233"/>
      <c r="IJ26" s="233"/>
      <c r="IK26" s="233"/>
      <c r="IL26" s="233"/>
      <c r="IM26" s="233"/>
      <c r="IN26" s="233"/>
      <c r="IO26" s="233"/>
      <c r="IP26" s="233"/>
      <c r="IQ26" s="233"/>
      <c r="IR26" s="233"/>
      <c r="IS26" s="233"/>
      <c r="IT26" s="233"/>
      <c r="IU26" s="233"/>
      <c r="IV26" s="233"/>
    </row>
    <row r="27" spans="1:256" ht="15" x14ac:dyDescent="0.25">
      <c r="A27" s="245"/>
      <c r="B27" s="246" t="s">
        <v>161</v>
      </c>
      <c r="C27" s="245"/>
      <c r="D27" s="245"/>
      <c r="E27" s="245"/>
      <c r="F27" s="245"/>
      <c r="G27" s="245"/>
      <c r="H27" s="245"/>
      <c r="I27" s="245"/>
      <c r="J27" s="245"/>
      <c r="K27" s="245"/>
      <c r="L27" s="245"/>
      <c r="M27" s="245"/>
      <c r="N27" s="245"/>
      <c r="O27" s="245"/>
      <c r="P27" s="245"/>
      <c r="Q27" s="245"/>
      <c r="R27" s="245"/>
      <c r="S27" s="245"/>
      <c r="T27" s="245"/>
      <c r="U27" s="245"/>
      <c r="V27" s="245"/>
      <c r="W27" s="206"/>
      <c r="X27" s="206"/>
      <c r="Y27" s="206"/>
      <c r="Z27" s="206"/>
      <c r="AA27" s="206"/>
      <c r="AB27" s="206"/>
      <c r="AC27" s="206"/>
      <c r="AD27" s="206"/>
      <c r="AE27" s="206"/>
      <c r="AF27" s="206"/>
      <c r="AG27" s="206"/>
      <c r="AH27" s="206"/>
      <c r="AI27" s="206"/>
      <c r="AJ27" s="206"/>
      <c r="AK27" s="206"/>
      <c r="AL27" s="206"/>
      <c r="AM27" s="232"/>
      <c r="AN27" s="232"/>
      <c r="AO27" s="232"/>
      <c r="AP27" s="232" t="s">
        <v>46</v>
      </c>
      <c r="AQ27" s="232" t="s">
        <v>47</v>
      </c>
      <c r="AR27" s="232" t="s">
        <v>48</v>
      </c>
      <c r="AS27" s="232" t="s">
        <v>49</v>
      </c>
      <c r="AT27" s="232" t="s">
        <v>46</v>
      </c>
      <c r="AU27" s="232" t="s">
        <v>47</v>
      </c>
      <c r="AV27" s="232" t="s">
        <v>48</v>
      </c>
      <c r="AW27" s="232" t="s">
        <v>49</v>
      </c>
      <c r="AX27" s="232" t="s">
        <v>46</v>
      </c>
      <c r="AY27" s="232" t="s">
        <v>47</v>
      </c>
      <c r="AZ27" s="232" t="s">
        <v>48</v>
      </c>
      <c r="BA27" s="232" t="s">
        <v>49</v>
      </c>
      <c r="BB27" s="232" t="s">
        <v>46</v>
      </c>
      <c r="BC27" s="232" t="s">
        <v>47</v>
      </c>
      <c r="BD27" s="232" t="s">
        <v>48</v>
      </c>
      <c r="BE27" s="232" t="s">
        <v>49</v>
      </c>
      <c r="BF27" s="232" t="s">
        <v>46</v>
      </c>
      <c r="BG27" s="232" t="s">
        <v>47</v>
      </c>
      <c r="BH27" s="232" t="s">
        <v>48</v>
      </c>
      <c r="BI27" s="232" t="s">
        <v>49</v>
      </c>
      <c r="BJ27" s="232" t="s">
        <v>46</v>
      </c>
      <c r="BK27" s="232" t="s">
        <v>47</v>
      </c>
      <c r="BL27" s="232" t="s">
        <v>48</v>
      </c>
      <c r="BM27" s="232" t="s">
        <v>49</v>
      </c>
      <c r="BN27" s="232" t="s">
        <v>46</v>
      </c>
      <c r="BO27" s="232" t="s">
        <v>47</v>
      </c>
      <c r="BP27" s="232" t="s">
        <v>48</v>
      </c>
      <c r="BQ27" s="232" t="s">
        <v>49</v>
      </c>
      <c r="BR27" s="232" t="s">
        <v>46</v>
      </c>
      <c r="BS27" s="232" t="s">
        <v>47</v>
      </c>
      <c r="BT27" s="232" t="s">
        <v>48</v>
      </c>
      <c r="BU27" s="232" t="s">
        <v>49</v>
      </c>
      <c r="BV27" s="232" t="s">
        <v>46</v>
      </c>
      <c r="BW27" s="232" t="s">
        <v>47</v>
      </c>
      <c r="BX27" s="232" t="s">
        <v>48</v>
      </c>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c r="HU27" s="245"/>
      <c r="HV27" s="245"/>
      <c r="HW27" s="245"/>
      <c r="HX27" s="245"/>
      <c r="HY27" s="245"/>
      <c r="HZ27" s="245"/>
      <c r="IA27" s="245"/>
      <c r="IB27" s="245"/>
      <c r="IC27" s="245"/>
      <c r="ID27" s="245"/>
      <c r="IE27" s="245"/>
      <c r="IF27" s="245"/>
      <c r="IG27" s="245"/>
      <c r="IH27" s="245"/>
      <c r="II27" s="245"/>
      <c r="IJ27" s="245"/>
      <c r="IK27" s="245"/>
      <c r="IL27" s="245"/>
      <c r="IM27" s="245"/>
      <c r="IN27" s="245"/>
      <c r="IO27" s="245"/>
      <c r="IP27" s="245"/>
      <c r="IQ27" s="245"/>
      <c r="IR27" s="245"/>
      <c r="IS27" s="245"/>
      <c r="IT27" s="245"/>
      <c r="IU27" s="245"/>
      <c r="IV27" s="245"/>
    </row>
    <row r="28" spans="1:256" ht="15" x14ac:dyDescent="0.25">
      <c r="A28" s="245"/>
      <c r="B28" s="236" t="s">
        <v>160</v>
      </c>
      <c r="C28" s="245"/>
      <c r="D28" s="245"/>
      <c r="E28" s="245"/>
      <c r="F28" s="245"/>
      <c r="G28" s="245"/>
      <c r="H28" s="245"/>
      <c r="I28" s="245"/>
      <c r="J28" s="245"/>
      <c r="K28" s="245"/>
      <c r="L28" s="245"/>
      <c r="M28" s="245"/>
      <c r="N28" s="245"/>
      <c r="O28" s="245">
        <v>1.6394435665961549E-2</v>
      </c>
      <c r="P28" s="245">
        <v>-8.3195741561855052E-2</v>
      </c>
      <c r="Q28" s="245">
        <v>-5.0036070567197277E-2</v>
      </c>
      <c r="R28" s="245">
        <v>0.5901282629868283</v>
      </c>
      <c r="S28" s="245">
        <v>-0.45509429829764458</v>
      </c>
      <c r="T28" s="245">
        <v>0.14459798144757219</v>
      </c>
      <c r="U28" s="245">
        <v>4.8007537549869639E-2</v>
      </c>
      <c r="V28" s="245">
        <v>0.12468974830500446</v>
      </c>
      <c r="W28" s="245">
        <v>9.4674262270439069E-2</v>
      </c>
      <c r="X28" s="245">
        <v>-0.15971743184609044</v>
      </c>
      <c r="Y28" s="245">
        <v>-9.6092190354194695E-2</v>
      </c>
      <c r="Z28" s="245">
        <v>-0.15230578968098962</v>
      </c>
      <c r="AA28" s="245">
        <v>0.10182264379674266</v>
      </c>
      <c r="AB28" s="245">
        <v>0.26005344703829381</v>
      </c>
      <c r="AC28" s="245">
        <v>0.53240639884137275</v>
      </c>
      <c r="AD28" s="245">
        <v>-0.29075569696117498</v>
      </c>
      <c r="AE28" s="245">
        <v>1.4098079763770199E-2</v>
      </c>
      <c r="AF28" s="245">
        <v>1.2807229202750348E-2</v>
      </c>
      <c r="AG28" s="245">
        <v>7.9398321206482381E-2</v>
      </c>
      <c r="AH28" s="245">
        <v>-6.8770258788785177E-2</v>
      </c>
      <c r="AI28" s="245">
        <v>-6.7761070700002479E-2</v>
      </c>
      <c r="AJ28" s="245">
        <v>0.30601028394511354</v>
      </c>
      <c r="AK28" s="245">
        <v>-0.26031937824153117</v>
      </c>
      <c r="AL28" s="245">
        <v>0.10646207064731805</v>
      </c>
      <c r="AM28" s="245">
        <v>3.589300404492568E-2</v>
      </c>
      <c r="AN28" s="245">
        <v>-7.3097397329929814E-3</v>
      </c>
      <c r="AO28" s="245">
        <v>1.7564247461643978E-2</v>
      </c>
      <c r="AP28" s="245">
        <v>6.4355454998392014E-2</v>
      </c>
      <c r="AQ28" s="245">
        <v>-3.0927599534611772E-2</v>
      </c>
      <c r="AR28" s="245">
        <v>6.1890238919484419E-2</v>
      </c>
      <c r="AS28" s="245">
        <v>2.2198965780055202E-2</v>
      </c>
      <c r="AT28" s="245">
        <v>-1.7019907796697709E-2</v>
      </c>
      <c r="AU28" s="245">
        <v>2.1858980453010934E-2</v>
      </c>
      <c r="AV28" s="245">
        <v>3.5754606034516856E-2</v>
      </c>
      <c r="AW28" s="245">
        <v>4.5584371277264113E-2</v>
      </c>
      <c r="AX28" s="245">
        <v>9.1107787729043377E-3</v>
      </c>
      <c r="AY28" s="245">
        <v>1.1323654817874562E-2</v>
      </c>
      <c r="AZ28" s="245">
        <v>-5.1430543227276249E-2</v>
      </c>
      <c r="BA28" s="245">
        <v>-6.051934708149187E-2</v>
      </c>
      <c r="BB28" s="245">
        <v>0.10541330073118482</v>
      </c>
      <c r="BC28" s="245">
        <v>2.9617585191349605E-2</v>
      </c>
      <c r="BD28" s="245">
        <v>1.5404543305433505E-2</v>
      </c>
      <c r="BE28" s="245">
        <v>2.9078936038033909E-3</v>
      </c>
      <c r="BF28" s="245">
        <v>-4.2455151269151781E-2</v>
      </c>
      <c r="BG28" s="245">
        <v>2.8865699472391926E-2</v>
      </c>
      <c r="BH28" s="245">
        <v>8.6577295485871231E-2</v>
      </c>
      <c r="BI28" s="245">
        <v>1.9121925162244313E-2</v>
      </c>
      <c r="BJ28" s="245">
        <v>-2.4516060064331158E-2</v>
      </c>
      <c r="BK28" s="245">
        <v>-1.1915765771761233E-2</v>
      </c>
      <c r="BL28" s="245">
        <v>5.8704786733743131E-3</v>
      </c>
      <c r="BM28" s="245">
        <v>2.7399727365612581E-2</v>
      </c>
      <c r="BN28" s="245">
        <v>1.6600655269272568E-2</v>
      </c>
      <c r="BO28" s="245">
        <v>-1.5585390992727266E-2</v>
      </c>
      <c r="BP28" s="245">
        <v>-2.8216175721642034E-2</v>
      </c>
      <c r="BQ28" s="245">
        <v>5.3110859377960784E-2</v>
      </c>
      <c r="BR28" s="245">
        <v>6.2419888580720118E-2</v>
      </c>
      <c r="BS28" s="245">
        <v>-3.4092568821936231E-2</v>
      </c>
      <c r="BT28" s="245">
        <v>0.1208988090543841</v>
      </c>
      <c r="BU28" s="245">
        <v>-5.2011104886198978E-2</v>
      </c>
      <c r="BV28" s="245">
        <v>0.1010600155748711</v>
      </c>
      <c r="BW28" s="245">
        <v>1.0503659112156338E-2</v>
      </c>
      <c r="BX28" s="245">
        <v>-1.5013023099722855E-2</v>
      </c>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c r="DM28" s="245"/>
      <c r="DN28" s="245"/>
      <c r="DO28" s="245"/>
      <c r="DP28" s="245"/>
      <c r="DQ28" s="245"/>
      <c r="DR28" s="245"/>
      <c r="DS28" s="245"/>
      <c r="DT28" s="245"/>
      <c r="DU28" s="245"/>
      <c r="DV28" s="245"/>
      <c r="DW28" s="245"/>
      <c r="DX28" s="245"/>
      <c r="DY28" s="245"/>
      <c r="DZ28" s="245"/>
      <c r="EA28" s="245"/>
      <c r="EB28" s="245"/>
      <c r="EC28" s="245"/>
      <c r="ED28" s="245"/>
      <c r="EE28" s="245"/>
      <c r="EF28" s="245"/>
      <c r="EG28" s="245"/>
      <c r="EH28" s="245"/>
      <c r="EI28" s="245"/>
      <c r="EJ28" s="245"/>
      <c r="EK28" s="245"/>
      <c r="EL28" s="245"/>
      <c r="EM28" s="245"/>
      <c r="EN28" s="245"/>
      <c r="EO28" s="245"/>
      <c r="EP28" s="245"/>
      <c r="EQ28" s="245"/>
      <c r="ER28" s="245"/>
      <c r="ES28" s="245"/>
      <c r="ET28" s="245"/>
      <c r="EU28" s="245"/>
      <c r="EV28" s="245"/>
      <c r="EW28" s="245"/>
      <c r="EX28" s="245"/>
      <c r="EY28" s="245"/>
      <c r="EZ28" s="245"/>
      <c r="FA28" s="245"/>
      <c r="FB28" s="245"/>
      <c r="FC28" s="245"/>
      <c r="FD28" s="245"/>
      <c r="FE28" s="245"/>
      <c r="FF28" s="245"/>
      <c r="FG28" s="245"/>
      <c r="FH28" s="245"/>
      <c r="FI28" s="245"/>
      <c r="FJ28" s="245"/>
      <c r="FK28" s="245"/>
      <c r="FL28" s="245"/>
      <c r="FM28" s="245"/>
      <c r="FN28" s="245"/>
      <c r="FO28" s="245"/>
      <c r="FP28" s="245"/>
      <c r="FQ28" s="245"/>
      <c r="FR28" s="245"/>
      <c r="FS28" s="245"/>
      <c r="FT28" s="245"/>
      <c r="FU28" s="245"/>
      <c r="FV28" s="245"/>
      <c r="FW28" s="245"/>
      <c r="FX28" s="245"/>
      <c r="FY28" s="245"/>
      <c r="FZ28" s="245"/>
      <c r="GA28" s="245"/>
      <c r="GB28" s="245"/>
      <c r="GC28" s="245"/>
      <c r="GD28" s="245"/>
      <c r="GE28" s="245"/>
      <c r="GF28" s="245"/>
      <c r="GG28" s="245"/>
      <c r="GH28" s="245"/>
      <c r="GI28" s="245"/>
      <c r="GJ28" s="245"/>
      <c r="GK28" s="245"/>
      <c r="GL28" s="245"/>
      <c r="GM28" s="245"/>
      <c r="GN28" s="245"/>
      <c r="GO28" s="245"/>
      <c r="GP28" s="245"/>
      <c r="GQ28" s="245"/>
      <c r="GR28" s="245"/>
      <c r="GS28" s="245"/>
      <c r="GT28" s="245"/>
      <c r="GU28" s="245"/>
      <c r="GV28" s="245"/>
      <c r="GW28" s="245"/>
      <c r="GX28" s="245"/>
      <c r="GY28" s="245"/>
      <c r="GZ28" s="245"/>
      <c r="HA28" s="245"/>
      <c r="HB28" s="245"/>
      <c r="HC28" s="245"/>
      <c r="HD28" s="245"/>
      <c r="HE28" s="245"/>
      <c r="HF28" s="245"/>
      <c r="HG28" s="245"/>
      <c r="HH28" s="245"/>
      <c r="HI28" s="245"/>
      <c r="HJ28" s="245"/>
      <c r="HK28" s="245"/>
      <c r="HL28" s="245"/>
      <c r="HM28" s="245"/>
      <c r="HN28" s="245"/>
      <c r="HO28" s="245"/>
      <c r="HP28" s="245"/>
      <c r="HQ28" s="245"/>
      <c r="HR28" s="245"/>
      <c r="HS28" s="245"/>
      <c r="HT28" s="245"/>
      <c r="HU28" s="245"/>
      <c r="HV28" s="245"/>
      <c r="HW28" s="245"/>
      <c r="HX28" s="245"/>
      <c r="HY28" s="245"/>
      <c r="HZ28" s="245"/>
      <c r="IA28" s="245"/>
      <c r="IB28" s="245"/>
      <c r="IC28" s="245"/>
      <c r="ID28" s="245"/>
      <c r="IE28" s="245"/>
      <c r="IF28" s="245"/>
      <c r="IG28" s="245"/>
      <c r="IH28" s="245"/>
      <c r="II28" s="245"/>
      <c r="IJ28" s="245"/>
      <c r="IK28" s="245"/>
      <c r="IL28" s="245"/>
      <c r="IM28" s="245"/>
      <c r="IN28" s="245"/>
      <c r="IO28" s="245"/>
      <c r="IP28" s="245"/>
      <c r="IQ28" s="245"/>
      <c r="IR28" s="245"/>
      <c r="IS28" s="245"/>
      <c r="IT28" s="245"/>
      <c r="IU28" s="245"/>
      <c r="IV28" s="245"/>
    </row>
    <row r="29" spans="1:256" ht="15" x14ac:dyDescent="0.25">
      <c r="A29" s="245"/>
      <c r="B29" s="237" t="s">
        <v>159</v>
      </c>
      <c r="C29" s="245"/>
      <c r="D29" s="245"/>
      <c r="E29" s="245"/>
      <c r="F29" s="245"/>
      <c r="G29" s="245"/>
      <c r="H29" s="245"/>
      <c r="I29" s="245"/>
      <c r="J29" s="245"/>
      <c r="K29" s="245"/>
      <c r="L29" s="245"/>
      <c r="M29" s="245"/>
      <c r="N29" s="245"/>
      <c r="O29" s="245">
        <v>0.15556026562325509</v>
      </c>
      <c r="P29" s="245">
        <v>4.9205465336078946E-2</v>
      </c>
      <c r="Q29" s="245">
        <v>-0.15623891385644029</v>
      </c>
      <c r="R29" s="245">
        <v>-0.13720097145836996</v>
      </c>
      <c r="S29" s="245">
        <v>-0.11940841058292584</v>
      </c>
      <c r="T29" s="245">
        <v>-2.6692210727673471E-3</v>
      </c>
      <c r="U29" s="245">
        <v>5.103749503996724E-3</v>
      </c>
      <c r="V29" s="245">
        <v>7.7932625548070789E-2</v>
      </c>
      <c r="W29" s="245">
        <v>-1.197437913252597E-2</v>
      </c>
      <c r="X29" s="245">
        <v>-5.9500612938803932E-2</v>
      </c>
      <c r="Y29" s="245">
        <v>-1.6557080009466207E-2</v>
      </c>
      <c r="Z29" s="245">
        <v>1.9800484960222242E-2</v>
      </c>
      <c r="AA29" s="245">
        <v>1.1882068760903142E-2</v>
      </c>
      <c r="AB29" s="245">
        <v>0.11522423718794483</v>
      </c>
      <c r="AC29" s="245">
        <v>0.10938538787070673</v>
      </c>
      <c r="AD29" s="245">
        <v>-3.1187934371460613E-2</v>
      </c>
      <c r="AE29" s="245">
        <v>4.2522630163445818E-2</v>
      </c>
      <c r="AF29" s="245">
        <v>3.044595824740548E-2</v>
      </c>
      <c r="AG29" s="245">
        <v>6.2112321102305579E-3</v>
      </c>
      <c r="AH29" s="245">
        <v>-3.8837478047326068E-2</v>
      </c>
      <c r="AI29" s="245">
        <v>3.0557390620198577E-2</v>
      </c>
      <c r="AJ29" s="245">
        <v>-0.1149877067433096</v>
      </c>
      <c r="AK29" s="245">
        <v>-1.05710601527359E-2</v>
      </c>
      <c r="AL29" s="245">
        <v>0.17325808967728729</v>
      </c>
      <c r="AM29" s="245">
        <v>-3.2435461105600139E-2</v>
      </c>
      <c r="AN29" s="245">
        <v>5.0350379538709911E-2</v>
      </c>
      <c r="AO29" s="245">
        <v>8.3829377983802411E-2</v>
      </c>
      <c r="AP29" s="245">
        <v>6.8969240253856201E-2</v>
      </c>
      <c r="AQ29" s="245">
        <v>3.0562808739453828E-3</v>
      </c>
      <c r="AR29" s="245">
        <v>2.8688860910610625E-2</v>
      </c>
      <c r="AS29" s="245">
        <v>-3.7890378385378565E-2</v>
      </c>
      <c r="AT29" s="245">
        <v>3.4258384360525751E-2</v>
      </c>
      <c r="AU29" s="245">
        <v>1.6494284461567643E-2</v>
      </c>
      <c r="AV29" s="245">
        <v>-1.160453302490172E-2</v>
      </c>
      <c r="AW29" s="245">
        <v>0.18649715561125846</v>
      </c>
      <c r="AX29" s="245">
        <v>-8.8901156368137113E-2</v>
      </c>
      <c r="AY29" s="245">
        <v>0.15301429344651685</v>
      </c>
      <c r="AZ29" s="245">
        <v>-3.139830841679403E-2</v>
      </c>
      <c r="BA29" s="245">
        <v>-2.2328552638932742E-3</v>
      </c>
      <c r="BB29" s="245">
        <v>-3.8728133972615764E-2</v>
      </c>
      <c r="BC29" s="245">
        <v>0.13686583508384498</v>
      </c>
      <c r="BD29" s="245">
        <v>1.4761703651818392E-2</v>
      </c>
      <c r="BE29" s="245">
        <v>-6.7174932264987275E-2</v>
      </c>
      <c r="BF29" s="245">
        <v>-2.0548071805727153E-2</v>
      </c>
      <c r="BG29" s="245">
        <v>-1.8223471350603759E-2</v>
      </c>
      <c r="BH29" s="245">
        <v>0.20221584467157783</v>
      </c>
      <c r="BI29" s="245">
        <v>6.3862871735480553E-3</v>
      </c>
      <c r="BJ29" s="245">
        <v>-1.0837900885988794E-2</v>
      </c>
      <c r="BK29" s="245">
        <v>8.6451376865095408E-3</v>
      </c>
      <c r="BL29" s="245">
        <v>-7.3985196890005489E-2</v>
      </c>
      <c r="BM29" s="245">
        <v>-1.7800917690082296E-2</v>
      </c>
      <c r="BN29" s="245">
        <v>8.6282148679204695E-2</v>
      </c>
      <c r="BO29" s="245">
        <v>6.9247293445067193E-3</v>
      </c>
      <c r="BP29" s="245">
        <v>0.105949448748345</v>
      </c>
      <c r="BQ29" s="245">
        <v>0.1720482397867511</v>
      </c>
      <c r="BR29" s="245">
        <v>1.6508267159373924E-2</v>
      </c>
      <c r="BS29" s="245">
        <v>6.4687725382345906E-2</v>
      </c>
      <c r="BT29" s="245">
        <v>6.4254660922755225E-2</v>
      </c>
      <c r="BU29" s="245">
        <v>-1.5704915714102374E-2</v>
      </c>
      <c r="BV29" s="245">
        <v>6.6898547152906884E-2</v>
      </c>
      <c r="BW29" s="245">
        <v>-2.2739746700476848E-2</v>
      </c>
      <c r="BX29" s="245">
        <v>5.3905229392187115E-2</v>
      </c>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c r="DM29" s="245"/>
      <c r="DN29" s="245"/>
      <c r="DO29" s="245"/>
      <c r="DP29" s="245"/>
      <c r="DQ29" s="245"/>
      <c r="DR29" s="245"/>
      <c r="DS29" s="245"/>
      <c r="DT29" s="245"/>
      <c r="DU29" s="245"/>
      <c r="DV29" s="245"/>
      <c r="DW29" s="245"/>
      <c r="DX29" s="245"/>
      <c r="DY29" s="245"/>
      <c r="DZ29" s="245"/>
      <c r="EA29" s="245"/>
      <c r="EB29" s="245"/>
      <c r="EC29" s="245"/>
      <c r="ED29" s="245"/>
      <c r="EE29" s="245"/>
      <c r="EF29" s="245"/>
      <c r="EG29" s="245"/>
      <c r="EH29" s="245"/>
      <c r="EI29" s="245"/>
      <c r="EJ29" s="245"/>
      <c r="EK29" s="245"/>
      <c r="EL29" s="245"/>
      <c r="EM29" s="245"/>
      <c r="EN29" s="245"/>
      <c r="EO29" s="245"/>
      <c r="EP29" s="245"/>
      <c r="EQ29" s="245"/>
      <c r="ER29" s="245"/>
      <c r="ES29" s="245"/>
      <c r="ET29" s="245"/>
      <c r="EU29" s="245"/>
      <c r="EV29" s="245"/>
      <c r="EW29" s="245"/>
      <c r="EX29" s="245"/>
      <c r="EY29" s="245"/>
      <c r="EZ29" s="245"/>
      <c r="FA29" s="245"/>
      <c r="FB29" s="245"/>
      <c r="FC29" s="245"/>
      <c r="FD29" s="245"/>
      <c r="FE29" s="245"/>
      <c r="FF29" s="245"/>
      <c r="FG29" s="245"/>
      <c r="FH29" s="245"/>
      <c r="FI29" s="245"/>
      <c r="FJ29" s="245"/>
      <c r="FK29" s="245"/>
      <c r="FL29" s="245"/>
      <c r="FM29" s="245"/>
      <c r="FN29" s="245"/>
      <c r="FO29" s="245"/>
      <c r="FP29" s="245"/>
      <c r="FQ29" s="245"/>
      <c r="FR29" s="245"/>
      <c r="FS29" s="245"/>
      <c r="FT29" s="245"/>
      <c r="FU29" s="245"/>
      <c r="FV29" s="245"/>
      <c r="FW29" s="245"/>
      <c r="FX29" s="245"/>
      <c r="FY29" s="245"/>
      <c r="FZ29" s="245"/>
      <c r="GA29" s="245"/>
      <c r="GB29" s="245"/>
      <c r="GC29" s="245"/>
      <c r="GD29" s="245"/>
      <c r="GE29" s="245"/>
      <c r="GF29" s="245"/>
      <c r="GG29" s="245"/>
      <c r="GH29" s="245"/>
      <c r="GI29" s="245"/>
      <c r="GJ29" s="245"/>
      <c r="GK29" s="245"/>
      <c r="GL29" s="245"/>
      <c r="GM29" s="245"/>
      <c r="GN29" s="245"/>
      <c r="GO29" s="245"/>
      <c r="GP29" s="245"/>
      <c r="GQ29" s="245"/>
      <c r="GR29" s="245"/>
      <c r="GS29" s="245"/>
      <c r="GT29" s="245"/>
      <c r="GU29" s="245"/>
      <c r="GV29" s="245"/>
      <c r="GW29" s="245"/>
      <c r="GX29" s="245"/>
      <c r="GY29" s="245"/>
      <c r="GZ29" s="245"/>
      <c r="HA29" s="245"/>
      <c r="HB29" s="245"/>
      <c r="HC29" s="245"/>
      <c r="HD29" s="245"/>
      <c r="HE29" s="245"/>
      <c r="HF29" s="245"/>
      <c r="HG29" s="245"/>
      <c r="HH29" s="245"/>
      <c r="HI29" s="245"/>
      <c r="HJ29" s="245"/>
      <c r="HK29" s="245"/>
      <c r="HL29" s="245"/>
      <c r="HM29" s="245"/>
      <c r="HN29" s="245"/>
      <c r="HO29" s="245"/>
      <c r="HP29" s="245"/>
      <c r="HQ29" s="245"/>
      <c r="HR29" s="245"/>
      <c r="HS29" s="245"/>
      <c r="HT29" s="245"/>
      <c r="HU29" s="245"/>
      <c r="HV29" s="245"/>
      <c r="HW29" s="245"/>
      <c r="HX29" s="245"/>
      <c r="HY29" s="245"/>
      <c r="HZ29" s="245"/>
      <c r="IA29" s="245"/>
      <c r="IB29" s="245"/>
      <c r="IC29" s="245"/>
      <c r="ID29" s="245"/>
      <c r="IE29" s="245"/>
      <c r="IF29" s="245"/>
      <c r="IG29" s="245"/>
      <c r="IH29" s="245"/>
      <c r="II29" s="245"/>
      <c r="IJ29" s="245"/>
      <c r="IK29" s="245"/>
      <c r="IL29" s="245"/>
      <c r="IM29" s="245"/>
      <c r="IN29" s="245"/>
      <c r="IO29" s="245"/>
      <c r="IP29" s="245"/>
      <c r="IQ29" s="245"/>
      <c r="IR29" s="245"/>
      <c r="IS29" s="245"/>
      <c r="IT29" s="245"/>
      <c r="IU29" s="245"/>
      <c r="IV29" s="245"/>
    </row>
    <row r="30" spans="1:256" ht="15" x14ac:dyDescent="0.25">
      <c r="A30" s="245"/>
      <c r="B30" s="237" t="s">
        <v>158</v>
      </c>
      <c r="C30" s="245"/>
      <c r="D30" s="245"/>
      <c r="E30" s="245"/>
      <c r="F30" s="245"/>
      <c r="G30" s="245"/>
      <c r="H30" s="245"/>
      <c r="I30" s="245"/>
      <c r="J30" s="245"/>
      <c r="K30" s="245"/>
      <c r="L30" s="245"/>
      <c r="M30" s="245"/>
      <c r="N30" s="245"/>
      <c r="O30" s="245">
        <v>7.2545219203066225E-3</v>
      </c>
      <c r="P30" s="245">
        <v>5.4939297054348302E-3</v>
      </c>
      <c r="Q30" s="245">
        <v>8.7153200239264983E-4</v>
      </c>
      <c r="R30" s="245">
        <v>1.1635302034836315E-2</v>
      </c>
      <c r="S30" s="245">
        <v>-4.1432108121075562E-4</v>
      </c>
      <c r="T30" s="245">
        <v>6.0557733891455356E-3</v>
      </c>
      <c r="U30" s="245">
        <v>1.9650486853931781E-2</v>
      </c>
      <c r="V30" s="245">
        <v>1.0629373694250432E-2</v>
      </c>
      <c r="W30" s="245">
        <v>5.0564837610818092E-3</v>
      </c>
      <c r="X30" s="245">
        <v>9.4052264780226658E-3</v>
      </c>
      <c r="Y30" s="245">
        <v>8.874112063865125E-3</v>
      </c>
      <c r="Z30" s="245">
        <v>-3.5825710015767731E-3</v>
      </c>
      <c r="AA30" s="245">
        <v>2.4125668620647245E-2</v>
      </c>
      <c r="AB30" s="245">
        <v>2.7631615177323043E-2</v>
      </c>
      <c r="AC30" s="245">
        <v>-1.2210009855028958E-2</v>
      </c>
      <c r="AD30" s="245">
        <v>2.4917610704420001E-2</v>
      </c>
      <c r="AE30" s="245">
        <v>5.3870198112588863E-3</v>
      </c>
      <c r="AF30" s="245">
        <v>6.2658817359377839E-3</v>
      </c>
      <c r="AG30" s="245">
        <v>7.2169544798186269E-3</v>
      </c>
      <c r="AH30" s="245">
        <v>1.030106815447418E-2</v>
      </c>
      <c r="AI30" s="245">
        <v>1.6913681453087692E-2</v>
      </c>
      <c r="AJ30" s="245">
        <v>4.08373306705756E-3</v>
      </c>
      <c r="AK30" s="245">
        <v>1.1927911657919843E-2</v>
      </c>
      <c r="AL30" s="245">
        <v>2.2978928030783274E-2</v>
      </c>
      <c r="AM30" s="245">
        <v>1.8243320279220709E-2</v>
      </c>
      <c r="AN30" s="245">
        <v>3.1228498787717163E-2</v>
      </c>
      <c r="AO30" s="245">
        <v>2.6820021011297213E-2</v>
      </c>
      <c r="AP30" s="245">
        <v>2.9511925913549675E-2</v>
      </c>
      <c r="AQ30" s="245">
        <v>4.0351605043730254E-2</v>
      </c>
      <c r="AR30" s="245">
        <v>4.79703017025086E-2</v>
      </c>
      <c r="AS30" s="245">
        <v>4.8909726148020027E-2</v>
      </c>
      <c r="AT30" s="245">
        <v>5.2804340945009187E-2</v>
      </c>
      <c r="AU30" s="245">
        <v>2.1149231555718018E-2</v>
      </c>
      <c r="AV30" s="245">
        <v>-1.0208036345032756E-2</v>
      </c>
      <c r="AW30" s="245">
        <v>-3.2965540040453711E-2</v>
      </c>
      <c r="AX30" s="245">
        <v>-6.5213329274285137E-2</v>
      </c>
      <c r="AY30" s="245">
        <v>-4.9264497934473406E-2</v>
      </c>
      <c r="AZ30" s="245">
        <v>-4.5023071143595161E-2</v>
      </c>
      <c r="BA30" s="245">
        <v>-2.369533228036691E-2</v>
      </c>
      <c r="BB30" s="245">
        <v>-9.0479783611399078E-3</v>
      </c>
      <c r="BC30" s="245">
        <v>1.1213824426463903E-2</v>
      </c>
      <c r="BD30" s="245">
        <v>3.4134791445245005E-2</v>
      </c>
      <c r="BE30" s="245">
        <v>3.7464723517682152E-2</v>
      </c>
      <c r="BF30" s="245">
        <v>3.2043580716755171E-2</v>
      </c>
      <c r="BG30" s="245">
        <v>3.3138853174333738E-2</v>
      </c>
      <c r="BH30" s="245">
        <v>2.1116256925262755E-2</v>
      </c>
      <c r="BI30" s="245">
        <v>2.5452903000476423E-2</v>
      </c>
      <c r="BJ30" s="245">
        <v>2.5288913128937551E-2</v>
      </c>
      <c r="BK30" s="245">
        <v>-6.3142715577270137E-3</v>
      </c>
      <c r="BL30" s="245">
        <v>1.2686276064184598E-2</v>
      </c>
      <c r="BM30" s="245">
        <v>6.6979501416408738E-3</v>
      </c>
      <c r="BN30" s="245">
        <v>2.1039409246105922E-2</v>
      </c>
      <c r="BO30" s="245">
        <v>2.2360002086014852E-2</v>
      </c>
      <c r="BP30" s="245">
        <v>-8.4277490030427171E-2</v>
      </c>
      <c r="BQ30" s="245">
        <v>1.933401536331103E-2</v>
      </c>
      <c r="BR30" s="245">
        <v>-1.0874180585790705E-2</v>
      </c>
      <c r="BS30" s="245">
        <v>3.8710569992843613E-3</v>
      </c>
      <c r="BT30" s="245">
        <v>-0.12039478765325873</v>
      </c>
      <c r="BU30" s="245">
        <v>9.0770957541533415E-2</v>
      </c>
      <c r="BV30" s="245">
        <v>5.6756355929564739E-2</v>
      </c>
      <c r="BW30" s="245">
        <v>-4.8112943457469193E-2</v>
      </c>
      <c r="BX30" s="245">
        <v>6.4645593786671229E-2</v>
      </c>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c r="DM30" s="245"/>
      <c r="DN30" s="245"/>
      <c r="DO30" s="245"/>
      <c r="DP30" s="245"/>
      <c r="DQ30" s="245"/>
      <c r="DR30" s="245"/>
      <c r="DS30" s="245"/>
      <c r="DT30" s="245"/>
      <c r="DU30" s="245"/>
      <c r="DV30" s="245"/>
      <c r="DW30" s="245"/>
      <c r="DX30" s="245"/>
      <c r="DY30" s="245"/>
      <c r="DZ30" s="245"/>
      <c r="EA30" s="245"/>
      <c r="EB30" s="245"/>
      <c r="EC30" s="245"/>
      <c r="ED30" s="245"/>
      <c r="EE30" s="245"/>
      <c r="EF30" s="245"/>
      <c r="EG30" s="245"/>
      <c r="EH30" s="245"/>
      <c r="EI30" s="245"/>
      <c r="EJ30" s="245"/>
      <c r="EK30" s="245"/>
      <c r="EL30" s="245"/>
      <c r="EM30" s="245"/>
      <c r="EN30" s="245"/>
      <c r="EO30" s="245"/>
      <c r="EP30" s="245"/>
      <c r="EQ30" s="245"/>
      <c r="ER30" s="245"/>
      <c r="ES30" s="245"/>
      <c r="ET30" s="245"/>
      <c r="EU30" s="245"/>
      <c r="EV30" s="245"/>
      <c r="EW30" s="245"/>
      <c r="EX30" s="245"/>
      <c r="EY30" s="245"/>
      <c r="EZ30" s="245"/>
      <c r="FA30" s="245"/>
      <c r="FB30" s="245"/>
      <c r="FC30" s="245"/>
      <c r="FD30" s="245"/>
      <c r="FE30" s="245"/>
      <c r="FF30" s="245"/>
      <c r="FG30" s="245"/>
      <c r="FH30" s="245"/>
      <c r="FI30" s="245"/>
      <c r="FJ30" s="245"/>
      <c r="FK30" s="245"/>
      <c r="FL30" s="245"/>
      <c r="FM30" s="245"/>
      <c r="FN30" s="245"/>
      <c r="FO30" s="245"/>
      <c r="FP30" s="245"/>
      <c r="FQ30" s="245"/>
      <c r="FR30" s="245"/>
      <c r="FS30" s="245"/>
      <c r="FT30" s="245"/>
      <c r="FU30" s="245"/>
      <c r="FV30" s="245"/>
      <c r="FW30" s="245"/>
      <c r="FX30" s="245"/>
      <c r="FY30" s="245"/>
      <c r="FZ30" s="245"/>
      <c r="GA30" s="245"/>
      <c r="GB30" s="245"/>
      <c r="GC30" s="245"/>
      <c r="GD30" s="245"/>
      <c r="GE30" s="245"/>
      <c r="GF30" s="245"/>
      <c r="GG30" s="245"/>
      <c r="GH30" s="245"/>
      <c r="GI30" s="245"/>
      <c r="GJ30" s="245"/>
      <c r="GK30" s="245"/>
      <c r="GL30" s="245"/>
      <c r="GM30" s="245"/>
      <c r="GN30" s="245"/>
      <c r="GO30" s="245"/>
      <c r="GP30" s="245"/>
      <c r="GQ30" s="245"/>
      <c r="GR30" s="245"/>
      <c r="GS30" s="245"/>
      <c r="GT30" s="245"/>
      <c r="GU30" s="245"/>
      <c r="GV30" s="245"/>
      <c r="GW30" s="245"/>
      <c r="GX30" s="245"/>
      <c r="GY30" s="245"/>
      <c r="GZ30" s="245"/>
      <c r="HA30" s="245"/>
      <c r="HB30" s="245"/>
      <c r="HC30" s="245"/>
      <c r="HD30" s="245"/>
      <c r="HE30" s="245"/>
      <c r="HF30" s="245"/>
      <c r="HG30" s="245"/>
      <c r="HH30" s="245"/>
      <c r="HI30" s="245"/>
      <c r="HJ30" s="245"/>
      <c r="HK30" s="245"/>
      <c r="HL30" s="245"/>
      <c r="HM30" s="245"/>
      <c r="HN30" s="245"/>
      <c r="HO30" s="245"/>
      <c r="HP30" s="245"/>
      <c r="HQ30" s="245"/>
      <c r="HR30" s="245"/>
      <c r="HS30" s="245"/>
      <c r="HT30" s="245"/>
      <c r="HU30" s="245"/>
      <c r="HV30" s="245"/>
      <c r="HW30" s="245"/>
      <c r="HX30" s="245"/>
      <c r="HY30" s="245"/>
      <c r="HZ30" s="245"/>
      <c r="IA30" s="245"/>
      <c r="IB30" s="245"/>
      <c r="IC30" s="245"/>
      <c r="ID30" s="245"/>
      <c r="IE30" s="245"/>
      <c r="IF30" s="245"/>
      <c r="IG30" s="245"/>
      <c r="IH30" s="245"/>
      <c r="II30" s="245"/>
      <c r="IJ30" s="245"/>
      <c r="IK30" s="245"/>
      <c r="IL30" s="245"/>
      <c r="IM30" s="245"/>
      <c r="IN30" s="245"/>
      <c r="IO30" s="245"/>
      <c r="IP30" s="245"/>
      <c r="IQ30" s="245"/>
      <c r="IR30" s="245"/>
      <c r="IS30" s="245"/>
      <c r="IT30" s="245"/>
      <c r="IU30" s="245"/>
      <c r="IV30" s="245"/>
    </row>
    <row r="31" spans="1:256" ht="15" x14ac:dyDescent="0.25">
      <c r="A31" s="245"/>
      <c r="B31" s="237" t="s">
        <v>157</v>
      </c>
      <c r="C31" s="245"/>
      <c r="D31" s="245"/>
      <c r="E31" s="245"/>
      <c r="F31" s="245"/>
      <c r="G31" s="245"/>
      <c r="H31" s="245"/>
      <c r="I31" s="245"/>
      <c r="J31" s="245"/>
      <c r="K31" s="245"/>
      <c r="L31" s="245"/>
      <c r="M31" s="245"/>
      <c r="N31" s="245"/>
      <c r="O31" s="245">
        <v>-1.3050274652102178E-3</v>
      </c>
      <c r="P31" s="245">
        <v>-0.10790460211412134</v>
      </c>
      <c r="Q31" s="245">
        <v>-3.4195027612340945E-2</v>
      </c>
      <c r="R31" s="245">
        <v>0.73886759375866551</v>
      </c>
      <c r="S31" s="245">
        <v>-0.49732377125039973</v>
      </c>
      <c r="T31" s="245">
        <v>0.17439179695170748</v>
      </c>
      <c r="U31" s="245">
        <v>5.4664361056809607E-2</v>
      </c>
      <c r="V31" s="245">
        <v>0.13655791814089335</v>
      </c>
      <c r="W31" s="245">
        <v>0.11044774240685706</v>
      </c>
      <c r="X31" s="245">
        <v>-0.17702353780484048</v>
      </c>
      <c r="Y31" s="245">
        <v>-0.11061275761101741</v>
      </c>
      <c r="Z31" s="245">
        <v>-0.18222610628546587</v>
      </c>
      <c r="AA31" s="245">
        <v>0.12117200040525056</v>
      </c>
      <c r="AB31" s="245">
        <v>0.29621020153699118</v>
      </c>
      <c r="AC31" s="245">
        <v>0.61201918127601118</v>
      </c>
      <c r="AD31" s="245">
        <v>-0.32223460041072771</v>
      </c>
      <c r="AE31" s="245">
        <v>1.1416242620556849E-2</v>
      </c>
      <c r="AF31" s="245">
        <v>1.1142331323744425E-2</v>
      </c>
      <c r="AG31" s="245">
        <v>9.1804416375782516E-2</v>
      </c>
      <c r="AH31" s="245">
        <v>-7.5901450518128244E-2</v>
      </c>
      <c r="AI31" s="245">
        <v>-8.3331555526614864E-2</v>
      </c>
      <c r="AJ31" s="245">
        <v>0.37703188930137355</v>
      </c>
      <c r="AK31" s="245">
        <v>-0.29240608678720581</v>
      </c>
      <c r="AL31" s="245">
        <v>0.10414895063037521</v>
      </c>
      <c r="AM31" s="245">
        <v>4.5114151373565781E-2</v>
      </c>
      <c r="AN31" s="245">
        <v>-1.5892260317802775E-2</v>
      </c>
      <c r="AO31" s="245">
        <v>9.1608844502635289E-3</v>
      </c>
      <c r="AP31" s="245">
        <v>6.5868179046522535E-2</v>
      </c>
      <c r="AQ31" s="245">
        <v>-3.9416357422583315E-2</v>
      </c>
      <c r="AR31" s="245">
        <v>6.719454879604192E-2</v>
      </c>
      <c r="AS31" s="245">
        <v>2.8267629865287747E-2</v>
      </c>
      <c r="AT31" s="245">
        <v>-2.7595987719405857E-2</v>
      </c>
      <c r="AU31" s="245">
        <v>2.2593640394282799E-2</v>
      </c>
      <c r="AV31" s="245">
        <v>4.4914057639672933E-2</v>
      </c>
      <c r="AW31" s="245">
        <v>3.3719310891988874E-2</v>
      </c>
      <c r="AX31" s="245">
        <v>2.7136706863502891E-2</v>
      </c>
      <c r="AY31" s="245">
        <v>-2.6880209054164217E-3</v>
      </c>
      <c r="AZ31" s="245">
        <v>-5.4602520773176733E-2</v>
      </c>
      <c r="BA31" s="245">
        <v>-7.0925161285287808E-2</v>
      </c>
      <c r="BB31" s="245">
        <v>0.13424150297577619</v>
      </c>
      <c r="BC31" s="245">
        <v>1.635704334075605E-2</v>
      </c>
      <c r="BD31" s="245">
        <v>1.459219458323302E-2</v>
      </c>
      <c r="BE31" s="245">
        <v>1.1551135090442255E-2</v>
      </c>
      <c r="BF31" s="245">
        <v>-4.9210794192144802E-2</v>
      </c>
      <c r="BG31" s="245">
        <v>3.5236765230671097E-2</v>
      </c>
      <c r="BH31" s="245">
        <v>7.4783284506576786E-2</v>
      </c>
      <c r="BI31" s="245">
        <v>2.068725557108575E-2</v>
      </c>
      <c r="BJ31" s="245">
        <v>-2.9130676032433689E-2</v>
      </c>
      <c r="BK31" s="245">
        <v>-1.5299229467356179E-2</v>
      </c>
      <c r="BL31" s="245">
        <v>1.7718491134574688E-2</v>
      </c>
      <c r="BM31" s="245">
        <v>3.4846981830860768E-2</v>
      </c>
      <c r="BN31" s="245">
        <v>7.1459994572857788E-3</v>
      </c>
      <c r="BO31" s="245">
        <v>-2.0873798472346605E-2</v>
      </c>
      <c r="BP31" s="245">
        <v>-4.4690960453008688E-2</v>
      </c>
      <c r="BQ31" s="245">
        <v>3.4764683356103498E-2</v>
      </c>
      <c r="BR31" s="245">
        <v>7.5207558007590825E-2</v>
      </c>
      <c r="BS31" s="245">
        <v>-5.3940494795168381E-2</v>
      </c>
      <c r="BT31" s="245">
        <v>0.14520660337100955</v>
      </c>
      <c r="BU31" s="245">
        <v>-6.4695108676038005E-2</v>
      </c>
      <c r="BV31" s="245">
        <v>0.10998843476893283</v>
      </c>
      <c r="BW31" s="245">
        <v>1.9532994270305082E-2</v>
      </c>
      <c r="BX31" s="245">
        <v>-3.1063562011261925E-2</v>
      </c>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c r="DM31" s="245"/>
      <c r="DN31" s="245"/>
      <c r="DO31" s="245"/>
      <c r="DP31" s="245"/>
      <c r="DQ31" s="245"/>
      <c r="DR31" s="245"/>
      <c r="DS31" s="245"/>
      <c r="DT31" s="245"/>
      <c r="DU31" s="245"/>
      <c r="DV31" s="245"/>
      <c r="DW31" s="245"/>
      <c r="DX31" s="245"/>
      <c r="DY31" s="245"/>
      <c r="DZ31" s="245"/>
      <c r="EA31" s="245"/>
      <c r="EB31" s="245"/>
      <c r="EC31" s="245"/>
      <c r="ED31" s="245"/>
      <c r="EE31" s="245"/>
      <c r="EF31" s="245"/>
      <c r="EG31" s="245"/>
      <c r="EH31" s="245"/>
      <c r="EI31" s="245"/>
      <c r="EJ31" s="245"/>
      <c r="EK31" s="245"/>
      <c r="EL31" s="245"/>
      <c r="EM31" s="245"/>
      <c r="EN31" s="245"/>
      <c r="EO31" s="245"/>
      <c r="EP31" s="245"/>
      <c r="EQ31" s="245"/>
      <c r="ER31" s="245"/>
      <c r="ES31" s="245"/>
      <c r="ET31" s="245"/>
      <c r="EU31" s="245"/>
      <c r="EV31" s="245"/>
      <c r="EW31" s="245"/>
      <c r="EX31" s="245"/>
      <c r="EY31" s="245"/>
      <c r="EZ31" s="245"/>
      <c r="FA31" s="245"/>
      <c r="FB31" s="245"/>
      <c r="FC31" s="245"/>
      <c r="FD31" s="245"/>
      <c r="FE31" s="245"/>
      <c r="FF31" s="245"/>
      <c r="FG31" s="245"/>
      <c r="FH31" s="245"/>
      <c r="FI31" s="245"/>
      <c r="FJ31" s="245"/>
      <c r="FK31" s="245"/>
      <c r="FL31" s="245"/>
      <c r="FM31" s="245"/>
      <c r="FN31" s="245"/>
      <c r="FO31" s="245"/>
      <c r="FP31" s="245"/>
      <c r="FQ31" s="245"/>
      <c r="FR31" s="245"/>
      <c r="FS31" s="245"/>
      <c r="FT31" s="245"/>
      <c r="FU31" s="245"/>
      <c r="FV31" s="245"/>
      <c r="FW31" s="245"/>
      <c r="FX31" s="245"/>
      <c r="FY31" s="245"/>
      <c r="FZ31" s="245"/>
      <c r="GA31" s="245"/>
      <c r="GB31" s="245"/>
      <c r="GC31" s="245"/>
      <c r="GD31" s="245"/>
      <c r="GE31" s="245"/>
      <c r="GF31" s="245"/>
      <c r="GG31" s="245"/>
      <c r="GH31" s="245"/>
      <c r="GI31" s="245"/>
      <c r="GJ31" s="245"/>
      <c r="GK31" s="245"/>
      <c r="GL31" s="245"/>
      <c r="GM31" s="245"/>
      <c r="GN31" s="245"/>
      <c r="GO31" s="245"/>
      <c r="GP31" s="245"/>
      <c r="GQ31" s="245"/>
      <c r="GR31" s="245"/>
      <c r="GS31" s="245"/>
      <c r="GT31" s="245"/>
      <c r="GU31" s="245"/>
      <c r="GV31" s="245"/>
      <c r="GW31" s="245"/>
      <c r="GX31" s="245"/>
      <c r="GY31" s="245"/>
      <c r="GZ31" s="245"/>
      <c r="HA31" s="245"/>
      <c r="HB31" s="245"/>
      <c r="HC31" s="245"/>
      <c r="HD31" s="245"/>
      <c r="HE31" s="245"/>
      <c r="HF31" s="245"/>
      <c r="HG31" s="245"/>
      <c r="HH31" s="245"/>
      <c r="HI31" s="245"/>
      <c r="HJ31" s="245"/>
      <c r="HK31" s="245"/>
      <c r="HL31" s="245"/>
      <c r="HM31" s="245"/>
      <c r="HN31" s="245"/>
      <c r="HO31" s="245"/>
      <c r="HP31" s="245"/>
      <c r="HQ31" s="245"/>
      <c r="HR31" s="245"/>
      <c r="HS31" s="245"/>
      <c r="HT31" s="245"/>
      <c r="HU31" s="245"/>
      <c r="HV31" s="245"/>
      <c r="HW31" s="245"/>
      <c r="HX31" s="245"/>
      <c r="HY31" s="245"/>
      <c r="HZ31" s="245"/>
      <c r="IA31" s="245"/>
      <c r="IB31" s="245"/>
      <c r="IC31" s="245"/>
      <c r="ID31" s="245"/>
      <c r="IE31" s="245"/>
      <c r="IF31" s="245"/>
      <c r="IG31" s="245"/>
      <c r="IH31" s="245"/>
      <c r="II31" s="245"/>
      <c r="IJ31" s="245"/>
      <c r="IK31" s="245"/>
      <c r="IL31" s="245"/>
      <c r="IM31" s="245"/>
      <c r="IN31" s="245"/>
      <c r="IO31" s="245"/>
      <c r="IP31" s="245"/>
      <c r="IQ31" s="245"/>
      <c r="IR31" s="245"/>
      <c r="IS31" s="245"/>
      <c r="IT31" s="245"/>
      <c r="IU31" s="245"/>
      <c r="IV31" s="245"/>
    </row>
    <row r="32" spans="1:256" s="254" customFormat="1" ht="15" x14ac:dyDescent="0.25">
      <c r="A32" s="246"/>
      <c r="B32" s="236" t="s">
        <v>156</v>
      </c>
      <c r="C32" s="246"/>
      <c r="D32" s="246"/>
      <c r="E32" s="246"/>
      <c r="F32" s="246"/>
      <c r="G32" s="246"/>
      <c r="H32" s="246"/>
      <c r="I32" s="246"/>
      <c r="J32" s="246"/>
      <c r="K32" s="246"/>
      <c r="L32" s="246"/>
      <c r="M32" s="246"/>
      <c r="N32" s="246"/>
      <c r="O32" s="246">
        <v>9.9542531634115861E-3</v>
      </c>
      <c r="P32" s="246">
        <v>3.1604554145476804E-2</v>
      </c>
      <c r="Q32" s="246">
        <v>-7.097928287089017E-2</v>
      </c>
      <c r="R32" s="246">
        <v>-1.4336710981268097E-2</v>
      </c>
      <c r="S32" s="246">
        <v>-8.7049037758126779E-3</v>
      </c>
      <c r="T32" s="246">
        <v>7.724718326940927E-2</v>
      </c>
      <c r="U32" s="246">
        <v>0.18009431252827501</v>
      </c>
      <c r="V32" s="246">
        <v>6.2214265696006299E-2</v>
      </c>
      <c r="W32" s="246">
        <v>-8.9768149277371534E-2</v>
      </c>
      <c r="X32" s="246">
        <v>-1.1103139327719891E-2</v>
      </c>
      <c r="Y32" s="246">
        <v>-4.5575963849748269E-2</v>
      </c>
      <c r="Z32" s="246">
        <v>7.6340218167702423E-2</v>
      </c>
      <c r="AA32" s="246">
        <v>-3.3709433983029169E-2</v>
      </c>
      <c r="AB32" s="246">
        <v>-3.7010661889542718E-3</v>
      </c>
      <c r="AC32" s="246">
        <v>-3.509718646230009E-2</v>
      </c>
      <c r="AD32" s="246">
        <v>-2.8266637421743734E-2</v>
      </c>
      <c r="AE32" s="246">
        <v>4.1033999443698566E-2</v>
      </c>
      <c r="AF32" s="246">
        <v>4.2438390788617886E-2</v>
      </c>
      <c r="AG32" s="246">
        <v>3.3228589381655294E-2</v>
      </c>
      <c r="AH32" s="246">
        <v>3.058124225993053E-2</v>
      </c>
      <c r="AI32" s="246">
        <v>1.0094411276388549E-2</v>
      </c>
      <c r="AJ32" s="246">
        <v>2.6559419681027041E-3</v>
      </c>
      <c r="AK32" s="246">
        <v>-5.1989975082454065E-2</v>
      </c>
      <c r="AL32" s="246">
        <v>2.4723576224897625E-2</v>
      </c>
      <c r="AM32" s="246">
        <v>5.3204835150562069E-2</v>
      </c>
      <c r="AN32" s="246">
        <v>-1.0915905578098406E-2</v>
      </c>
      <c r="AO32" s="246">
        <v>-1.2340481336396092E-2</v>
      </c>
      <c r="AP32" s="246">
        <v>8.9212409119805658E-2</v>
      </c>
      <c r="AQ32" s="246">
        <v>1.7542829952068573E-3</v>
      </c>
      <c r="AR32" s="246">
        <v>1.2486587647509095E-2</v>
      </c>
      <c r="AS32" s="246">
        <v>5.6345189220174952E-3</v>
      </c>
      <c r="AT32" s="246">
        <v>5.1325995547397696E-2</v>
      </c>
      <c r="AU32" s="246">
        <v>6.8253113970275781E-3</v>
      </c>
      <c r="AV32" s="246">
        <v>2.9122036857834432E-2</v>
      </c>
      <c r="AW32" s="246">
        <v>5.4629340676552784E-2</v>
      </c>
      <c r="AX32" s="246">
        <v>-4.5292412827141915E-2</v>
      </c>
      <c r="AY32" s="246">
        <v>2.1778916012908933E-3</v>
      </c>
      <c r="AZ32" s="246">
        <v>5.5727086869520548E-2</v>
      </c>
      <c r="BA32" s="246">
        <v>-0.15278305097098221</v>
      </c>
      <c r="BB32" s="246">
        <v>-1.2551360219544838E-3</v>
      </c>
      <c r="BC32" s="246">
        <v>0.19609425306154438</v>
      </c>
      <c r="BD32" s="246">
        <v>1.5693331848387837E-2</v>
      </c>
      <c r="BE32" s="246">
        <v>-4.168120583726509E-3</v>
      </c>
      <c r="BF32" s="246">
        <v>1.6668560667360444E-2</v>
      </c>
      <c r="BG32" s="246">
        <v>4.2699848528077622E-2</v>
      </c>
      <c r="BH32" s="246">
        <v>-5.1180780663466763E-2</v>
      </c>
      <c r="BI32" s="246">
        <v>1.1670501417014867E-2</v>
      </c>
      <c r="BJ32" s="246">
        <v>3.3166282026796612E-2</v>
      </c>
      <c r="BK32" s="246">
        <v>1.1542565681970762E-2</v>
      </c>
      <c r="BL32" s="246">
        <v>-1.9758957130154298E-2</v>
      </c>
      <c r="BM32" s="246">
        <v>4.4774725705981844E-2</v>
      </c>
      <c r="BN32" s="246">
        <v>1.8676728677728294E-2</v>
      </c>
      <c r="BO32" s="246">
        <v>-2.1386035030962702E-2</v>
      </c>
      <c r="BP32" s="246">
        <v>5.8930152418242177E-2</v>
      </c>
      <c r="BQ32" s="246">
        <v>3.3276939904012703E-2</v>
      </c>
      <c r="BR32" s="246">
        <v>-3.3658673554688545E-2</v>
      </c>
      <c r="BS32" s="246">
        <v>2.1512211894840094E-2</v>
      </c>
      <c r="BT32" s="246">
        <v>7.1884840685423335E-2</v>
      </c>
      <c r="BU32" s="246">
        <v>1.5649452014355525E-2</v>
      </c>
      <c r="BV32" s="246">
        <v>1.9419698349218306E-2</v>
      </c>
      <c r="BW32" s="246">
        <v>4.0983214563992565E-2</v>
      </c>
      <c r="BX32" s="246">
        <v>-1.5167325716165525E-2</v>
      </c>
      <c r="BY32" s="246"/>
      <c r="BZ32" s="246"/>
      <c r="CA32" s="246"/>
      <c r="CB32" s="246"/>
      <c r="CC32" s="246"/>
      <c r="CD32" s="246"/>
      <c r="CE32" s="246"/>
      <c r="CF32" s="246"/>
      <c r="CG32" s="246"/>
      <c r="CH32" s="246"/>
      <c r="CI32" s="246"/>
      <c r="CJ32" s="246"/>
      <c r="CK32" s="246"/>
      <c r="CL32" s="246"/>
      <c r="CM32" s="246"/>
      <c r="CN32" s="246"/>
      <c r="CO32" s="246"/>
      <c r="CP32" s="246"/>
      <c r="CQ32" s="246"/>
      <c r="CR32" s="246"/>
      <c r="CS32" s="246"/>
      <c r="CT32" s="246"/>
      <c r="CU32" s="246"/>
      <c r="CV32" s="246"/>
      <c r="CW32" s="246"/>
      <c r="CX32" s="246"/>
      <c r="CY32" s="246"/>
      <c r="CZ32" s="246"/>
      <c r="DA32" s="246"/>
      <c r="DB32" s="246"/>
      <c r="DC32" s="246"/>
      <c r="DD32" s="246"/>
      <c r="DE32" s="246"/>
      <c r="DF32" s="246"/>
      <c r="DG32" s="246"/>
      <c r="DH32" s="246"/>
      <c r="DI32" s="246"/>
      <c r="DJ32" s="246"/>
      <c r="DK32" s="246"/>
      <c r="DL32" s="246"/>
      <c r="DM32" s="246"/>
      <c r="DN32" s="246"/>
      <c r="DO32" s="246"/>
      <c r="DP32" s="246"/>
      <c r="DQ32" s="246"/>
      <c r="DR32" s="246"/>
      <c r="DS32" s="246"/>
      <c r="DT32" s="246"/>
      <c r="DU32" s="246"/>
      <c r="DV32" s="246"/>
      <c r="DW32" s="246"/>
      <c r="DX32" s="246"/>
      <c r="DY32" s="246"/>
      <c r="DZ32" s="246"/>
      <c r="EA32" s="246"/>
      <c r="EB32" s="246"/>
      <c r="EC32" s="246"/>
      <c r="ED32" s="246"/>
      <c r="EE32" s="246"/>
      <c r="EF32" s="246"/>
      <c r="EG32" s="246"/>
      <c r="EH32" s="246"/>
      <c r="EI32" s="246"/>
      <c r="EJ32" s="246"/>
      <c r="EK32" s="246"/>
      <c r="EL32" s="246"/>
      <c r="EM32" s="246"/>
      <c r="EN32" s="246"/>
      <c r="EO32" s="246"/>
      <c r="EP32" s="246"/>
      <c r="EQ32" s="246"/>
      <c r="ER32" s="246"/>
      <c r="ES32" s="246"/>
      <c r="ET32" s="246"/>
      <c r="EU32" s="246"/>
      <c r="EV32" s="246"/>
      <c r="EW32" s="246"/>
      <c r="EX32" s="246"/>
      <c r="EY32" s="246"/>
      <c r="EZ32" s="246"/>
      <c r="FA32" s="246"/>
      <c r="FB32" s="246"/>
      <c r="FC32" s="246"/>
      <c r="FD32" s="246"/>
      <c r="FE32" s="246"/>
      <c r="FF32" s="246"/>
      <c r="FG32" s="246"/>
      <c r="FH32" s="246"/>
      <c r="FI32" s="246"/>
      <c r="FJ32" s="246"/>
      <c r="FK32" s="246"/>
      <c r="FL32" s="246"/>
      <c r="FM32" s="246"/>
      <c r="FN32" s="246"/>
      <c r="FO32" s="246"/>
      <c r="FP32" s="246"/>
      <c r="FQ32" s="246"/>
      <c r="FR32" s="246"/>
      <c r="FS32" s="246"/>
      <c r="FT32" s="246"/>
      <c r="FU32" s="246"/>
      <c r="FV32" s="246"/>
      <c r="FW32" s="246"/>
      <c r="FX32" s="246"/>
      <c r="FY32" s="246"/>
      <c r="FZ32" s="246"/>
      <c r="GA32" s="246"/>
      <c r="GB32" s="246"/>
      <c r="GC32" s="246"/>
      <c r="GD32" s="246"/>
      <c r="GE32" s="246"/>
      <c r="GF32" s="246"/>
      <c r="GG32" s="246"/>
      <c r="GH32" s="246"/>
      <c r="GI32" s="246"/>
      <c r="GJ32" s="246"/>
      <c r="GK32" s="246"/>
      <c r="GL32" s="246"/>
      <c r="GM32" s="246"/>
      <c r="GN32" s="246"/>
      <c r="GO32" s="246"/>
      <c r="GP32" s="246"/>
      <c r="GQ32" s="246"/>
      <c r="GR32" s="246"/>
      <c r="GS32" s="246"/>
      <c r="GT32" s="246"/>
      <c r="GU32" s="246"/>
      <c r="GV32" s="246"/>
      <c r="GW32" s="246"/>
      <c r="GX32" s="246"/>
      <c r="GY32" s="246"/>
      <c r="GZ32" s="246"/>
      <c r="HA32" s="246"/>
      <c r="HB32" s="246"/>
      <c r="HC32" s="246"/>
      <c r="HD32" s="246"/>
      <c r="HE32" s="246"/>
      <c r="HF32" s="246"/>
      <c r="HG32" s="246"/>
      <c r="HH32" s="246"/>
      <c r="HI32" s="246"/>
      <c r="HJ32" s="246"/>
      <c r="HK32" s="246"/>
      <c r="HL32" s="246"/>
      <c r="HM32" s="246"/>
      <c r="HN32" s="246"/>
      <c r="HO32" s="246"/>
      <c r="HP32" s="246"/>
      <c r="HQ32" s="246"/>
      <c r="HR32" s="246"/>
      <c r="HS32" s="246"/>
      <c r="HT32" s="246"/>
      <c r="HU32" s="246"/>
      <c r="HV32" s="246"/>
      <c r="HW32" s="246"/>
      <c r="HX32" s="246"/>
      <c r="HY32" s="246"/>
      <c r="HZ32" s="246"/>
      <c r="IA32" s="246"/>
      <c r="IB32" s="246"/>
      <c r="IC32" s="246"/>
      <c r="ID32" s="246"/>
      <c r="IE32" s="246"/>
      <c r="IF32" s="246"/>
      <c r="IG32" s="246"/>
      <c r="IH32" s="246"/>
      <c r="II32" s="246"/>
      <c r="IJ32" s="246"/>
      <c r="IK32" s="246"/>
      <c r="IL32" s="246"/>
      <c r="IM32" s="246"/>
      <c r="IN32" s="246"/>
      <c r="IO32" s="246"/>
      <c r="IP32" s="246"/>
      <c r="IQ32" s="246"/>
      <c r="IR32" s="246"/>
      <c r="IS32" s="246"/>
      <c r="IT32" s="246"/>
      <c r="IU32" s="246"/>
      <c r="IV32" s="246"/>
    </row>
    <row r="33" spans="1:256" ht="15" x14ac:dyDescent="0.25">
      <c r="A33" s="245"/>
      <c r="B33" s="237" t="s">
        <v>155</v>
      </c>
      <c r="C33" s="245"/>
      <c r="D33" s="245"/>
      <c r="E33" s="245"/>
      <c r="F33" s="245"/>
      <c r="G33" s="245"/>
      <c r="H33" s="245"/>
      <c r="I33" s="245"/>
      <c r="J33" s="245"/>
      <c r="K33" s="245"/>
      <c r="L33" s="245"/>
      <c r="M33" s="245"/>
      <c r="N33" s="245"/>
      <c r="O33" s="245">
        <v>7.2212785720129347E-3</v>
      </c>
      <c r="P33" s="245">
        <v>1.1384084467077837E-2</v>
      </c>
      <c r="Q33" s="245">
        <v>1.3031364886947561E-2</v>
      </c>
      <c r="R33" s="245">
        <v>1.4743323064040581E-2</v>
      </c>
      <c r="S33" s="245">
        <v>1.1056062742991646E-2</v>
      </c>
      <c r="T33" s="245">
        <v>6.8709431834157453E-3</v>
      </c>
      <c r="U33" s="245">
        <v>6.2543658108804578E-4</v>
      </c>
      <c r="V33" s="245">
        <v>-5.5282915510984632E-3</v>
      </c>
      <c r="W33" s="245">
        <v>1.0834552702573275E-2</v>
      </c>
      <c r="X33" s="245">
        <v>2.6736911065827096E-2</v>
      </c>
      <c r="Y33" s="245">
        <v>4.0131793065573351E-2</v>
      </c>
      <c r="Z33" s="245">
        <v>5.2472920120015365E-2</v>
      </c>
      <c r="AA33" s="245">
        <v>3.5428311226374021E-2</v>
      </c>
      <c r="AB33" s="245">
        <v>1.9758540909498024E-2</v>
      </c>
      <c r="AC33" s="245">
        <v>3.6980972228504161E-3</v>
      </c>
      <c r="AD33" s="245">
        <v>-1.2004468379929634E-2</v>
      </c>
      <c r="AE33" s="245">
        <v>-1.2807763055160404E-3</v>
      </c>
      <c r="AF33" s="245">
        <v>9.6516506034183269E-3</v>
      </c>
      <c r="AG33" s="245">
        <v>1.9564398630263602E-2</v>
      </c>
      <c r="AH33" s="245">
        <v>2.9328634008390475E-2</v>
      </c>
      <c r="AI33" s="245">
        <v>2.1257023492099014E-2</v>
      </c>
      <c r="AJ33" s="245">
        <v>1.3649798747639164E-2</v>
      </c>
      <c r="AK33" s="245">
        <v>5.635192741529238E-3</v>
      </c>
      <c r="AL33" s="245">
        <v>-2.1324412459886588E-3</v>
      </c>
      <c r="AM33" s="245">
        <v>-2.6698220312293408E-4</v>
      </c>
      <c r="AN33" s="245">
        <v>1.7987213187782292E-3</v>
      </c>
      <c r="AO33" s="245">
        <v>3.4649013998304667E-3</v>
      </c>
      <c r="AP33" s="245">
        <v>5.2837821829885279E-3</v>
      </c>
      <c r="AQ33" s="245">
        <v>4.8258681375177304E-3</v>
      </c>
      <c r="AR33" s="245">
        <v>4.543041411740889E-3</v>
      </c>
      <c r="AS33" s="245">
        <v>3.977684926299796E-3</v>
      </c>
      <c r="AT33" s="245">
        <v>3.5384999638401471E-3</v>
      </c>
      <c r="AU33" s="245">
        <v>3.6205236960307197E-3</v>
      </c>
      <c r="AV33" s="245">
        <v>3.8205304319807176E-3</v>
      </c>
      <c r="AW33" s="245">
        <v>3.860185866403798E-3</v>
      </c>
      <c r="AX33" s="245">
        <v>3.9799353237404134E-3</v>
      </c>
      <c r="AY33" s="245">
        <v>3.9411664696722415E-3</v>
      </c>
      <c r="AZ33" s="245">
        <v>3.9512765556088958E-3</v>
      </c>
      <c r="BA33" s="245">
        <v>3.898198854332291E-3</v>
      </c>
      <c r="BB33" s="245">
        <v>3.8648610420717322E-3</v>
      </c>
      <c r="BC33" s="245">
        <v>3.8837489184209151E-3</v>
      </c>
      <c r="BD33" s="245">
        <v>3.897789555496578E-3</v>
      </c>
      <c r="BE33" s="245">
        <v>3.8959343304536542E-3</v>
      </c>
      <c r="BF33" s="245">
        <v>3.8988788707576827E-3</v>
      </c>
      <c r="BG33" s="245">
        <v>3.904050670262782E-3</v>
      </c>
      <c r="BH33" s="245">
        <v>3.903724658897989E-3</v>
      </c>
      <c r="BI33" s="245">
        <v>3.8929632035180628E-3</v>
      </c>
      <c r="BJ33" s="245">
        <v>3.8902475875184361E-3</v>
      </c>
      <c r="BK33" s="245">
        <v>3.8994690367688545E-3</v>
      </c>
      <c r="BL33" s="245">
        <v>3.9062137655128115E-3</v>
      </c>
      <c r="BM33" s="245">
        <v>3.8910767141606684E-3</v>
      </c>
      <c r="BN33" s="245">
        <v>3.8923393658569783E-3</v>
      </c>
      <c r="BO33" s="245">
        <v>3.9015390844592268E-3</v>
      </c>
      <c r="BP33" s="245">
        <v>3.9074680374397985E-3</v>
      </c>
      <c r="BQ33" s="245">
        <v>3.8889907804018353E-3</v>
      </c>
      <c r="BR33" s="245">
        <v>3.8909370423427792E-3</v>
      </c>
      <c r="BS33" s="245">
        <v>3.9018526617264904E-3</v>
      </c>
      <c r="BT33" s="245">
        <v>3.9092763019057397E-3</v>
      </c>
      <c r="BU33" s="245">
        <v>3.8874624293707694E-3</v>
      </c>
      <c r="BV33" s="245">
        <v>3.8907276215933706E-3</v>
      </c>
      <c r="BW33" s="245">
        <v>3.9024074545894738E-3</v>
      </c>
      <c r="BX33" s="245">
        <v>3.9109846167082463E-3</v>
      </c>
      <c r="BY33" s="245"/>
      <c r="BZ33" s="245"/>
      <c r="CA33" s="245"/>
      <c r="CB33" s="245"/>
      <c r="CC33" s="245"/>
      <c r="CD33" s="245"/>
      <c r="CE33" s="245"/>
      <c r="CF33" s="245"/>
      <c r="CG33" s="245"/>
      <c r="CH33" s="245"/>
      <c r="CI33" s="245"/>
      <c r="CJ33" s="245"/>
      <c r="CK33" s="245"/>
      <c r="CL33" s="245"/>
      <c r="CM33" s="245"/>
      <c r="CN33" s="245"/>
      <c r="CO33" s="245"/>
      <c r="CP33" s="245"/>
      <c r="CQ33" s="245"/>
      <c r="CR33" s="245"/>
      <c r="CS33" s="245"/>
      <c r="CT33" s="245"/>
      <c r="CU33" s="245"/>
      <c r="CV33" s="245"/>
      <c r="CW33" s="245"/>
      <c r="CX33" s="245"/>
      <c r="CY33" s="245"/>
      <c r="CZ33" s="245"/>
      <c r="DA33" s="245"/>
      <c r="DB33" s="245"/>
      <c r="DC33" s="245"/>
      <c r="DD33" s="245"/>
      <c r="DE33" s="245"/>
      <c r="DF33" s="245"/>
      <c r="DG33" s="245"/>
      <c r="DH33" s="245"/>
      <c r="DI33" s="245"/>
      <c r="DJ33" s="245"/>
      <c r="DK33" s="245"/>
      <c r="DL33" s="245"/>
      <c r="DM33" s="245"/>
      <c r="DN33" s="245"/>
      <c r="DO33" s="245"/>
      <c r="DP33" s="245"/>
      <c r="DQ33" s="245"/>
      <c r="DR33" s="245"/>
      <c r="DS33" s="245"/>
      <c r="DT33" s="245"/>
      <c r="DU33" s="245"/>
      <c r="DV33" s="245"/>
      <c r="DW33" s="245"/>
      <c r="DX33" s="245"/>
      <c r="DY33" s="245"/>
      <c r="DZ33" s="245"/>
      <c r="EA33" s="245"/>
      <c r="EB33" s="245"/>
      <c r="EC33" s="245"/>
      <c r="ED33" s="245"/>
      <c r="EE33" s="245"/>
      <c r="EF33" s="245"/>
      <c r="EG33" s="245"/>
      <c r="EH33" s="245"/>
      <c r="EI33" s="245"/>
      <c r="EJ33" s="245"/>
      <c r="EK33" s="245"/>
      <c r="EL33" s="245"/>
      <c r="EM33" s="245"/>
      <c r="EN33" s="245"/>
      <c r="EO33" s="245"/>
      <c r="EP33" s="245"/>
      <c r="EQ33" s="245"/>
      <c r="ER33" s="245"/>
      <c r="ES33" s="245"/>
      <c r="ET33" s="245"/>
      <c r="EU33" s="245"/>
      <c r="EV33" s="245"/>
      <c r="EW33" s="245"/>
      <c r="EX33" s="245"/>
      <c r="EY33" s="245"/>
      <c r="EZ33" s="245"/>
      <c r="FA33" s="245"/>
      <c r="FB33" s="245"/>
      <c r="FC33" s="245"/>
      <c r="FD33" s="245"/>
      <c r="FE33" s="245"/>
      <c r="FF33" s="245"/>
      <c r="FG33" s="245"/>
      <c r="FH33" s="245"/>
      <c r="FI33" s="245"/>
      <c r="FJ33" s="245"/>
      <c r="FK33" s="245"/>
      <c r="FL33" s="245"/>
      <c r="FM33" s="245"/>
      <c r="FN33" s="245"/>
      <c r="FO33" s="245"/>
      <c r="FP33" s="245"/>
      <c r="FQ33" s="245"/>
      <c r="FR33" s="245"/>
      <c r="FS33" s="245"/>
      <c r="FT33" s="245"/>
      <c r="FU33" s="245"/>
      <c r="FV33" s="245"/>
      <c r="FW33" s="245"/>
      <c r="FX33" s="245"/>
      <c r="FY33" s="245"/>
      <c r="FZ33" s="245"/>
      <c r="GA33" s="245"/>
      <c r="GB33" s="245"/>
      <c r="GC33" s="245"/>
      <c r="GD33" s="245"/>
      <c r="GE33" s="245"/>
      <c r="GF33" s="245"/>
      <c r="GG33" s="245"/>
      <c r="GH33" s="245"/>
      <c r="GI33" s="245"/>
      <c r="GJ33" s="245"/>
      <c r="GK33" s="245"/>
      <c r="GL33" s="245"/>
      <c r="GM33" s="245"/>
      <c r="GN33" s="245"/>
      <c r="GO33" s="245"/>
      <c r="GP33" s="245"/>
      <c r="GQ33" s="245"/>
      <c r="GR33" s="245"/>
      <c r="GS33" s="245"/>
      <c r="GT33" s="245"/>
      <c r="GU33" s="245"/>
      <c r="GV33" s="245"/>
      <c r="GW33" s="245"/>
      <c r="GX33" s="245"/>
      <c r="GY33" s="245"/>
      <c r="GZ33" s="245"/>
      <c r="HA33" s="245"/>
      <c r="HB33" s="245"/>
      <c r="HC33" s="245"/>
      <c r="HD33" s="245"/>
      <c r="HE33" s="245"/>
      <c r="HF33" s="245"/>
      <c r="HG33" s="245"/>
      <c r="HH33" s="245"/>
      <c r="HI33" s="245"/>
      <c r="HJ33" s="245"/>
      <c r="HK33" s="245"/>
      <c r="HL33" s="245"/>
      <c r="HM33" s="245"/>
      <c r="HN33" s="245"/>
      <c r="HO33" s="245"/>
      <c r="HP33" s="245"/>
      <c r="HQ33" s="245"/>
      <c r="HR33" s="245"/>
      <c r="HS33" s="245"/>
      <c r="HT33" s="245"/>
      <c r="HU33" s="245"/>
      <c r="HV33" s="245"/>
      <c r="HW33" s="245"/>
      <c r="HX33" s="245"/>
      <c r="HY33" s="245"/>
      <c r="HZ33" s="245"/>
      <c r="IA33" s="245"/>
      <c r="IB33" s="245"/>
      <c r="IC33" s="245"/>
      <c r="ID33" s="245"/>
      <c r="IE33" s="245"/>
      <c r="IF33" s="245"/>
      <c r="IG33" s="245"/>
      <c r="IH33" s="245"/>
      <c r="II33" s="245"/>
      <c r="IJ33" s="245"/>
      <c r="IK33" s="245"/>
      <c r="IL33" s="245"/>
      <c r="IM33" s="245"/>
      <c r="IN33" s="245"/>
      <c r="IO33" s="245"/>
      <c r="IP33" s="245"/>
      <c r="IQ33" s="245"/>
      <c r="IR33" s="245"/>
      <c r="IS33" s="245"/>
      <c r="IT33" s="245"/>
      <c r="IU33" s="245"/>
      <c r="IV33" s="245"/>
    </row>
    <row r="34" spans="1:256" ht="15" x14ac:dyDescent="0.25">
      <c r="A34" s="245"/>
      <c r="B34" s="237" t="s">
        <v>154</v>
      </c>
      <c r="C34" s="245"/>
      <c r="D34" s="245"/>
      <c r="E34" s="245"/>
      <c r="F34" s="245"/>
      <c r="G34" s="245"/>
      <c r="H34" s="245"/>
      <c r="I34" s="245"/>
      <c r="J34" s="245"/>
      <c r="K34" s="245"/>
      <c r="L34" s="245"/>
      <c r="M34" s="245"/>
      <c r="N34" s="245"/>
      <c r="O34" s="245">
        <v>9.1279211131647608E-2</v>
      </c>
      <c r="P34" s="245">
        <v>7.8235213835330386E-2</v>
      </c>
      <c r="Q34" s="245">
        <v>-3.6041661456207907E-2</v>
      </c>
      <c r="R34" s="245">
        <v>-5.0791525306376206E-3</v>
      </c>
      <c r="S34" s="245">
        <v>-1.8063307410778329E-2</v>
      </c>
      <c r="T34" s="245">
        <v>1.4685529932619623E-2</v>
      </c>
      <c r="U34" s="245">
        <v>4.8121966715229947E-2</v>
      </c>
      <c r="V34" s="245">
        <v>5.4860522943754653E-2</v>
      </c>
      <c r="W34" s="245">
        <v>1.9535825355527114E-2</v>
      </c>
      <c r="X34" s="245">
        <v>3.2273730831571701E-2</v>
      </c>
      <c r="Y34" s="245">
        <v>-0.27222427406866501</v>
      </c>
      <c r="Z34" s="245">
        <v>0.45430716513385105</v>
      </c>
      <c r="AA34" s="245">
        <v>-5.7350837716454439E-2</v>
      </c>
      <c r="AB34" s="245">
        <v>-1.0634917819665413E-2</v>
      </c>
      <c r="AC34" s="245">
        <v>3.9473104098160627E-2</v>
      </c>
      <c r="AD34" s="245">
        <v>-2.4497426298917047E-2</v>
      </c>
      <c r="AE34" s="245">
        <v>2.7066751366633612E-2</v>
      </c>
      <c r="AF34" s="245">
        <v>1.5942455526083421E-3</v>
      </c>
      <c r="AG34" s="245">
        <v>6.7357394170267426E-2</v>
      </c>
      <c r="AH34" s="245">
        <v>5.4594095161104583E-3</v>
      </c>
      <c r="AI34" s="245">
        <v>2.8279083883368195E-2</v>
      </c>
      <c r="AJ34" s="245">
        <v>3.8969749522399511E-2</v>
      </c>
      <c r="AK34" s="245">
        <v>-0.12074588771813477</v>
      </c>
      <c r="AL34" s="245">
        <v>0.15096040496542096</v>
      </c>
      <c r="AM34" s="245">
        <v>7.4911250010663677E-2</v>
      </c>
      <c r="AN34" s="245">
        <v>-1.9391134360473572E-2</v>
      </c>
      <c r="AO34" s="245">
        <v>-4.3742932934432988E-3</v>
      </c>
      <c r="AP34" s="245">
        <v>1.2338473065286681E-2</v>
      </c>
      <c r="AQ34" s="245">
        <v>8.1480533733204741E-3</v>
      </c>
      <c r="AR34" s="245">
        <v>9.8181445964271807E-2</v>
      </c>
      <c r="AS34" s="245">
        <v>2.4094006398788226E-2</v>
      </c>
      <c r="AT34" s="245">
        <v>3.9881643785939502E-3</v>
      </c>
      <c r="AU34" s="245">
        <v>2.4722015183631818E-2</v>
      </c>
      <c r="AV34" s="245">
        <v>2.8585963396684289E-2</v>
      </c>
      <c r="AW34" s="245">
        <v>4.3954467302305344E-2</v>
      </c>
      <c r="AX34" s="245">
        <v>-3.3982510712220693E-2</v>
      </c>
      <c r="AY34" s="245">
        <v>7.021030902975367E-2</v>
      </c>
      <c r="AZ34" s="245">
        <v>2.7561708180128264E-3</v>
      </c>
      <c r="BA34" s="245">
        <v>-8.8098625761461657E-2</v>
      </c>
      <c r="BB34" s="245">
        <v>-0.14897545360794728</v>
      </c>
      <c r="BC34" s="245">
        <v>0.28673581245303059</v>
      </c>
      <c r="BD34" s="245">
        <v>3.9118693509548663E-2</v>
      </c>
      <c r="BE34" s="245">
        <v>4.9710959422746281E-2</v>
      </c>
      <c r="BF34" s="245">
        <v>5.1054418972512394E-2</v>
      </c>
      <c r="BG34" s="245">
        <v>-8.5030585071762532E-3</v>
      </c>
      <c r="BH34" s="245">
        <v>-8.1241245210604607E-2</v>
      </c>
      <c r="BI34" s="245">
        <v>2.9808200424096487E-2</v>
      </c>
      <c r="BJ34" s="245">
        <v>3.2115915282934226E-2</v>
      </c>
      <c r="BK34" s="245">
        <v>-1.3540419743321763E-2</v>
      </c>
      <c r="BL34" s="245">
        <v>3.8833939085496372E-3</v>
      </c>
      <c r="BM34" s="245">
        <v>-8.1425985745439133E-3</v>
      </c>
      <c r="BN34" s="245">
        <v>6.6563155359100179E-2</v>
      </c>
      <c r="BO34" s="245">
        <v>-6.70128471656386E-2</v>
      </c>
      <c r="BP34" s="245">
        <v>6.5830952675109078E-2</v>
      </c>
      <c r="BQ34" s="245">
        <v>5.9087590745794838E-2</v>
      </c>
      <c r="BR34" s="245">
        <v>-2.6778208715958485E-3</v>
      </c>
      <c r="BS34" s="245">
        <v>6.5547798574170368E-2</v>
      </c>
      <c r="BT34" s="245">
        <v>9.0126647890644174E-2</v>
      </c>
      <c r="BU34" s="245">
        <v>1.1141004696768375E-2</v>
      </c>
      <c r="BV34" s="245">
        <v>1.2281658572458998E-2</v>
      </c>
      <c r="BW34" s="245">
        <v>4.6848196149830157E-2</v>
      </c>
      <c r="BX34" s="245">
        <v>5.9845298385066137E-3</v>
      </c>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c r="CW34" s="245"/>
      <c r="CX34" s="245"/>
      <c r="CY34" s="245"/>
      <c r="CZ34" s="245"/>
      <c r="DA34" s="245"/>
      <c r="DB34" s="245"/>
      <c r="DC34" s="245"/>
      <c r="DD34" s="245"/>
      <c r="DE34" s="245"/>
      <c r="DF34" s="245"/>
      <c r="DG34" s="245"/>
      <c r="DH34" s="245"/>
      <c r="DI34" s="245"/>
      <c r="DJ34" s="245"/>
      <c r="DK34" s="245"/>
      <c r="DL34" s="245"/>
      <c r="DM34" s="245"/>
      <c r="DN34" s="245"/>
      <c r="DO34" s="245"/>
      <c r="DP34" s="245"/>
      <c r="DQ34" s="245"/>
      <c r="DR34" s="245"/>
      <c r="DS34" s="245"/>
      <c r="DT34" s="245"/>
      <c r="DU34" s="245"/>
      <c r="DV34" s="245"/>
      <c r="DW34" s="245"/>
      <c r="DX34" s="245"/>
      <c r="DY34" s="245"/>
      <c r="DZ34" s="245"/>
      <c r="EA34" s="245"/>
      <c r="EB34" s="245"/>
      <c r="EC34" s="245"/>
      <c r="ED34" s="245"/>
      <c r="EE34" s="245"/>
      <c r="EF34" s="245"/>
      <c r="EG34" s="245"/>
      <c r="EH34" s="245"/>
      <c r="EI34" s="245"/>
      <c r="EJ34" s="245"/>
      <c r="EK34" s="245"/>
      <c r="EL34" s="245"/>
      <c r="EM34" s="245"/>
      <c r="EN34" s="245"/>
      <c r="EO34" s="245"/>
      <c r="EP34" s="245"/>
      <c r="EQ34" s="245"/>
      <c r="ER34" s="245"/>
      <c r="ES34" s="245"/>
      <c r="ET34" s="245"/>
      <c r="EU34" s="245"/>
      <c r="EV34" s="245"/>
      <c r="EW34" s="245"/>
      <c r="EX34" s="245"/>
      <c r="EY34" s="245"/>
      <c r="EZ34" s="245"/>
      <c r="FA34" s="245"/>
      <c r="FB34" s="245"/>
      <c r="FC34" s="245"/>
      <c r="FD34" s="245"/>
      <c r="FE34" s="245"/>
      <c r="FF34" s="245"/>
      <c r="FG34" s="245"/>
      <c r="FH34" s="245"/>
      <c r="FI34" s="245"/>
      <c r="FJ34" s="245"/>
      <c r="FK34" s="245"/>
      <c r="FL34" s="245"/>
      <c r="FM34" s="245"/>
      <c r="FN34" s="245"/>
      <c r="FO34" s="245"/>
      <c r="FP34" s="245"/>
      <c r="FQ34" s="245"/>
      <c r="FR34" s="245"/>
      <c r="FS34" s="245"/>
      <c r="FT34" s="245"/>
      <c r="FU34" s="245"/>
      <c r="FV34" s="245"/>
      <c r="FW34" s="245"/>
      <c r="FX34" s="245"/>
      <c r="FY34" s="245"/>
      <c r="FZ34" s="245"/>
      <c r="GA34" s="245"/>
      <c r="GB34" s="245"/>
      <c r="GC34" s="245"/>
      <c r="GD34" s="245"/>
      <c r="GE34" s="245"/>
      <c r="GF34" s="245"/>
      <c r="GG34" s="245"/>
      <c r="GH34" s="245"/>
      <c r="GI34" s="245"/>
      <c r="GJ34" s="245"/>
      <c r="GK34" s="245"/>
      <c r="GL34" s="245"/>
      <c r="GM34" s="245"/>
      <c r="GN34" s="245"/>
      <c r="GO34" s="245"/>
      <c r="GP34" s="245"/>
      <c r="GQ34" s="245"/>
      <c r="GR34" s="245"/>
      <c r="GS34" s="245"/>
      <c r="GT34" s="245"/>
      <c r="GU34" s="245"/>
      <c r="GV34" s="245"/>
      <c r="GW34" s="245"/>
      <c r="GX34" s="245"/>
      <c r="GY34" s="245"/>
      <c r="GZ34" s="245"/>
      <c r="HA34" s="245"/>
      <c r="HB34" s="245"/>
      <c r="HC34" s="245"/>
      <c r="HD34" s="245"/>
      <c r="HE34" s="245"/>
      <c r="HF34" s="245"/>
      <c r="HG34" s="245"/>
      <c r="HH34" s="245"/>
      <c r="HI34" s="245"/>
      <c r="HJ34" s="245"/>
      <c r="HK34" s="245"/>
      <c r="HL34" s="245"/>
      <c r="HM34" s="245"/>
      <c r="HN34" s="245"/>
      <c r="HO34" s="245"/>
      <c r="HP34" s="245"/>
      <c r="HQ34" s="245"/>
      <c r="HR34" s="245"/>
      <c r="HS34" s="245"/>
      <c r="HT34" s="245"/>
      <c r="HU34" s="245"/>
      <c r="HV34" s="245"/>
      <c r="HW34" s="245"/>
      <c r="HX34" s="245"/>
      <c r="HY34" s="245"/>
      <c r="HZ34" s="245"/>
      <c r="IA34" s="245"/>
      <c r="IB34" s="245"/>
      <c r="IC34" s="245"/>
      <c r="ID34" s="245"/>
      <c r="IE34" s="245"/>
      <c r="IF34" s="245"/>
      <c r="IG34" s="245"/>
      <c r="IH34" s="245"/>
      <c r="II34" s="245"/>
      <c r="IJ34" s="245"/>
      <c r="IK34" s="245"/>
      <c r="IL34" s="245"/>
      <c r="IM34" s="245"/>
      <c r="IN34" s="245"/>
      <c r="IO34" s="245"/>
      <c r="IP34" s="245"/>
      <c r="IQ34" s="245"/>
      <c r="IR34" s="245"/>
      <c r="IS34" s="245"/>
      <c r="IT34" s="245"/>
      <c r="IU34" s="245"/>
      <c r="IV34" s="245"/>
    </row>
    <row r="35" spans="1:256" ht="15" x14ac:dyDescent="0.25">
      <c r="A35" s="245"/>
      <c r="B35" s="237" t="s">
        <v>153</v>
      </c>
      <c r="C35" s="245"/>
      <c r="D35" s="245"/>
      <c r="E35" s="245"/>
      <c r="F35" s="245"/>
      <c r="G35" s="245"/>
      <c r="H35" s="245"/>
      <c r="I35" s="245"/>
      <c r="J35" s="245"/>
      <c r="K35" s="245"/>
      <c r="L35" s="245"/>
      <c r="M35" s="245"/>
      <c r="N35" s="245"/>
      <c r="O35" s="245">
        <v>-9.4700414716596404E-3</v>
      </c>
      <c r="P35" s="245">
        <v>0.1659924483926607</v>
      </c>
      <c r="Q35" s="245">
        <v>-1.2248235993300494E-2</v>
      </c>
      <c r="R35" s="245">
        <v>-2.3705512915478177E-2</v>
      </c>
      <c r="S35" s="245">
        <v>-3.6592674349609444E-2</v>
      </c>
      <c r="T35" s="245">
        <v>4.9621942922571716E-2</v>
      </c>
      <c r="U35" s="245">
        <v>7.4423123915395406E-2</v>
      </c>
      <c r="V35" s="245">
        <v>3.6522830570774101E-2</v>
      </c>
      <c r="W35" s="245">
        <v>3.6485323585684126E-2</v>
      </c>
      <c r="X35" s="245">
        <v>-6.4901774159777159E-2</v>
      </c>
      <c r="Y35" s="245">
        <v>-0.18056236668636871</v>
      </c>
      <c r="Z35" s="245">
        <v>0.31259944229918402</v>
      </c>
      <c r="AA35" s="245">
        <v>-1.9831152535912833E-2</v>
      </c>
      <c r="AB35" s="245">
        <v>2.0156682491820233E-2</v>
      </c>
      <c r="AC35" s="245">
        <v>3.5298230023001809E-2</v>
      </c>
      <c r="AD35" s="245">
        <v>-3.8784787042737912E-2</v>
      </c>
      <c r="AE35" s="245">
        <v>-1.8824971342538133E-2</v>
      </c>
      <c r="AF35" s="245">
        <v>3.3800425134919765E-2</v>
      </c>
      <c r="AG35" s="245">
        <v>6.0741909423262186E-2</v>
      </c>
      <c r="AH35" s="245">
        <v>-3.3259048796404622E-3</v>
      </c>
      <c r="AI35" s="245">
        <v>1.4415574424159194E-2</v>
      </c>
      <c r="AJ35" s="245">
        <v>1.6328835136614872E-2</v>
      </c>
      <c r="AK35" s="245">
        <v>2.0478379854119932E-2</v>
      </c>
      <c r="AL35" s="245">
        <v>9.5762126969330286E-2</v>
      </c>
      <c r="AM35" s="245">
        <v>2.4486121975676012E-2</v>
      </c>
      <c r="AN35" s="245">
        <v>-2.0857799295911694E-2</v>
      </c>
      <c r="AO35" s="245">
        <v>-4.7649439873859945E-2</v>
      </c>
      <c r="AP35" s="245">
        <v>6.3745636669789718E-2</v>
      </c>
      <c r="AQ35" s="245">
        <v>2.6473370343031544E-2</v>
      </c>
      <c r="AR35" s="245">
        <v>1.2784784644452873E-3</v>
      </c>
      <c r="AS35" s="245">
        <v>0.13525459741115031</v>
      </c>
      <c r="AT35" s="245">
        <v>2.5884935119226959E-3</v>
      </c>
      <c r="AU35" s="245">
        <v>4.9366935041633031E-2</v>
      </c>
      <c r="AV35" s="245">
        <v>1.2535817773046576E-2</v>
      </c>
      <c r="AW35" s="245">
        <v>2.012352848367005E-2</v>
      </c>
      <c r="AX35" s="245">
        <v>-1.1594965226991327E-2</v>
      </c>
      <c r="AY35" s="245">
        <v>1.9327955123717766E-2</v>
      </c>
      <c r="AZ35" s="245">
        <v>3.9743793192799526E-2</v>
      </c>
      <c r="BA35" s="245">
        <v>-9.0455244609905949E-2</v>
      </c>
      <c r="BB35" s="245">
        <v>-9.5103408306602466E-2</v>
      </c>
      <c r="BC35" s="245">
        <v>0.26934807487396828</v>
      </c>
      <c r="BD35" s="245">
        <v>2.9198792351161407E-2</v>
      </c>
      <c r="BE35" s="245">
        <v>-1.3977877743108325E-2</v>
      </c>
      <c r="BF35" s="245">
        <v>-4.4177546462503825E-3</v>
      </c>
      <c r="BG35" s="245">
        <v>-2.1085006937474726E-2</v>
      </c>
      <c r="BH35" s="245">
        <v>-6.7461938867457105E-2</v>
      </c>
      <c r="BI35" s="245">
        <v>1.3379624455154726E-2</v>
      </c>
      <c r="BJ35" s="245">
        <v>0.10414177990185824</v>
      </c>
      <c r="BK35" s="245">
        <v>1.8300492360157072E-4</v>
      </c>
      <c r="BL35" s="245">
        <v>6.9012208334569003E-3</v>
      </c>
      <c r="BM35" s="245">
        <v>4.102098138221888E-2</v>
      </c>
      <c r="BN35" s="245">
        <v>1.40873861169315E-2</v>
      </c>
      <c r="BO35" s="245">
        <v>7.6854597391262658E-5</v>
      </c>
      <c r="BP35" s="245">
        <v>3.7727293048384958E-2</v>
      </c>
      <c r="BQ35" s="245">
        <v>6.7212873009061092E-2</v>
      </c>
      <c r="BR35" s="245">
        <v>-3.2208353542641843E-2</v>
      </c>
      <c r="BS35" s="245">
        <v>-3.6060585410671475E-2</v>
      </c>
      <c r="BT35" s="245">
        <v>0.14910716255257839</v>
      </c>
      <c r="BU35" s="245">
        <v>1.8475531206660234E-2</v>
      </c>
      <c r="BV35" s="245">
        <v>-2.9594351442825073E-2</v>
      </c>
      <c r="BW35" s="245">
        <v>7.1386342019659876E-2</v>
      </c>
      <c r="BX35" s="245">
        <v>6.5883294170570039E-3</v>
      </c>
      <c r="BY35" s="245"/>
      <c r="BZ35" s="245"/>
      <c r="CA35" s="245"/>
      <c r="CB35" s="245"/>
      <c r="CC35" s="245"/>
      <c r="CD35" s="245"/>
      <c r="CE35" s="245"/>
      <c r="CF35" s="245"/>
      <c r="CG35" s="245"/>
      <c r="CH35" s="245"/>
      <c r="CI35" s="245"/>
      <c r="CJ35" s="245"/>
      <c r="CK35" s="245"/>
      <c r="CL35" s="245"/>
      <c r="CM35" s="245"/>
      <c r="CN35" s="245"/>
      <c r="CO35" s="245"/>
      <c r="CP35" s="245"/>
      <c r="CQ35" s="245"/>
      <c r="CR35" s="245"/>
      <c r="CS35" s="245"/>
      <c r="CT35" s="245"/>
      <c r="CU35" s="245"/>
      <c r="CV35" s="245"/>
      <c r="CW35" s="245"/>
      <c r="CX35" s="245"/>
      <c r="CY35" s="245"/>
      <c r="CZ35" s="245"/>
      <c r="DA35" s="245"/>
      <c r="DB35" s="245"/>
      <c r="DC35" s="245"/>
      <c r="DD35" s="245"/>
      <c r="DE35" s="245"/>
      <c r="DF35" s="245"/>
      <c r="DG35" s="245"/>
      <c r="DH35" s="245"/>
      <c r="DI35" s="245"/>
      <c r="DJ35" s="245"/>
      <c r="DK35" s="245"/>
      <c r="DL35" s="245"/>
      <c r="DM35" s="245"/>
      <c r="DN35" s="245"/>
      <c r="DO35" s="245"/>
      <c r="DP35" s="245"/>
      <c r="DQ35" s="245"/>
      <c r="DR35" s="245"/>
      <c r="DS35" s="245"/>
      <c r="DT35" s="245"/>
      <c r="DU35" s="245"/>
      <c r="DV35" s="245"/>
      <c r="DW35" s="245"/>
      <c r="DX35" s="245"/>
      <c r="DY35" s="245"/>
      <c r="DZ35" s="245"/>
      <c r="EA35" s="245"/>
      <c r="EB35" s="245"/>
      <c r="EC35" s="245"/>
      <c r="ED35" s="245"/>
      <c r="EE35" s="245"/>
      <c r="EF35" s="245"/>
      <c r="EG35" s="245"/>
      <c r="EH35" s="245"/>
      <c r="EI35" s="245"/>
      <c r="EJ35" s="245"/>
      <c r="EK35" s="245"/>
      <c r="EL35" s="245"/>
      <c r="EM35" s="245"/>
      <c r="EN35" s="245"/>
      <c r="EO35" s="245"/>
      <c r="EP35" s="245"/>
      <c r="EQ35" s="245"/>
      <c r="ER35" s="245"/>
      <c r="ES35" s="245"/>
      <c r="ET35" s="245"/>
      <c r="EU35" s="245"/>
      <c r="EV35" s="245"/>
      <c r="EW35" s="245"/>
      <c r="EX35" s="245"/>
      <c r="EY35" s="245"/>
      <c r="EZ35" s="245"/>
      <c r="FA35" s="245"/>
      <c r="FB35" s="245"/>
      <c r="FC35" s="245"/>
      <c r="FD35" s="245"/>
      <c r="FE35" s="245"/>
      <c r="FF35" s="245"/>
      <c r="FG35" s="245"/>
      <c r="FH35" s="245"/>
      <c r="FI35" s="245"/>
      <c r="FJ35" s="245"/>
      <c r="FK35" s="245"/>
      <c r="FL35" s="245"/>
      <c r="FM35" s="245"/>
      <c r="FN35" s="245"/>
      <c r="FO35" s="245"/>
      <c r="FP35" s="245"/>
      <c r="FQ35" s="245"/>
      <c r="FR35" s="245"/>
      <c r="FS35" s="245"/>
      <c r="FT35" s="245"/>
      <c r="FU35" s="245"/>
      <c r="FV35" s="245"/>
      <c r="FW35" s="245"/>
      <c r="FX35" s="245"/>
      <c r="FY35" s="245"/>
      <c r="FZ35" s="245"/>
      <c r="GA35" s="245"/>
      <c r="GB35" s="245"/>
      <c r="GC35" s="245"/>
      <c r="GD35" s="245"/>
      <c r="GE35" s="245"/>
      <c r="GF35" s="245"/>
      <c r="GG35" s="245"/>
      <c r="GH35" s="245"/>
      <c r="GI35" s="245"/>
      <c r="GJ35" s="245"/>
      <c r="GK35" s="245"/>
      <c r="GL35" s="245"/>
      <c r="GM35" s="245"/>
      <c r="GN35" s="245"/>
      <c r="GO35" s="245"/>
      <c r="GP35" s="245"/>
      <c r="GQ35" s="245"/>
      <c r="GR35" s="245"/>
      <c r="GS35" s="245"/>
      <c r="GT35" s="245"/>
      <c r="GU35" s="245"/>
      <c r="GV35" s="245"/>
      <c r="GW35" s="245"/>
      <c r="GX35" s="245"/>
      <c r="GY35" s="245"/>
      <c r="GZ35" s="245"/>
      <c r="HA35" s="245"/>
      <c r="HB35" s="245"/>
      <c r="HC35" s="245"/>
      <c r="HD35" s="245"/>
      <c r="HE35" s="245"/>
      <c r="HF35" s="245"/>
      <c r="HG35" s="245"/>
      <c r="HH35" s="245"/>
      <c r="HI35" s="245"/>
      <c r="HJ35" s="245"/>
      <c r="HK35" s="245"/>
      <c r="HL35" s="245"/>
      <c r="HM35" s="245"/>
      <c r="HN35" s="245"/>
      <c r="HO35" s="245"/>
      <c r="HP35" s="245"/>
      <c r="HQ35" s="245"/>
      <c r="HR35" s="245"/>
      <c r="HS35" s="245"/>
      <c r="HT35" s="245"/>
      <c r="HU35" s="245"/>
      <c r="HV35" s="245"/>
      <c r="HW35" s="245"/>
      <c r="HX35" s="245"/>
      <c r="HY35" s="245"/>
      <c r="HZ35" s="245"/>
      <c r="IA35" s="245"/>
      <c r="IB35" s="245"/>
      <c r="IC35" s="245"/>
      <c r="ID35" s="245"/>
      <c r="IE35" s="245"/>
      <c r="IF35" s="245"/>
      <c r="IG35" s="245"/>
      <c r="IH35" s="245"/>
      <c r="II35" s="245"/>
      <c r="IJ35" s="245"/>
      <c r="IK35" s="245"/>
      <c r="IL35" s="245"/>
      <c r="IM35" s="245"/>
      <c r="IN35" s="245"/>
      <c r="IO35" s="245"/>
      <c r="IP35" s="245"/>
      <c r="IQ35" s="245"/>
      <c r="IR35" s="245"/>
      <c r="IS35" s="245"/>
      <c r="IT35" s="245"/>
      <c r="IU35" s="245"/>
      <c r="IV35" s="245"/>
    </row>
    <row r="36" spans="1:256" ht="15" x14ac:dyDescent="0.25">
      <c r="A36" s="245"/>
      <c r="B36" s="237" t="s">
        <v>152</v>
      </c>
      <c r="C36" s="245"/>
      <c r="D36" s="245"/>
      <c r="E36" s="245"/>
      <c r="F36" s="245"/>
      <c r="G36" s="245"/>
      <c r="H36" s="245"/>
      <c r="I36" s="245"/>
      <c r="J36" s="245"/>
      <c r="K36" s="245"/>
      <c r="L36" s="245"/>
      <c r="M36" s="245"/>
      <c r="N36" s="245"/>
      <c r="O36" s="245">
        <v>0.13935970783427232</v>
      </c>
      <c r="P36" s="245">
        <v>6.1105243588106761E-2</v>
      </c>
      <c r="Q36" s="245">
        <v>-0.11030401321880212</v>
      </c>
      <c r="R36" s="245">
        <v>1.67287130206073E-2</v>
      </c>
      <c r="S36" s="245">
        <v>-4.2617232494150836E-2</v>
      </c>
      <c r="T36" s="245">
        <v>-0.11047244745241458</v>
      </c>
      <c r="U36" s="245">
        <v>0.31479335866849167</v>
      </c>
      <c r="V36" s="245">
        <v>7.1202326672770155E-3</v>
      </c>
      <c r="W36" s="245">
        <v>-3.2519865793891545E-2</v>
      </c>
      <c r="X36" s="245">
        <v>-3.8514802299552064E-2</v>
      </c>
      <c r="Y36" s="245">
        <v>8.1188177470476353E-2</v>
      </c>
      <c r="Z36" s="245">
        <v>-4.02153986153998E-2</v>
      </c>
      <c r="AA36" s="245">
        <v>3.0154648852634525E-2</v>
      </c>
      <c r="AB36" s="245">
        <v>-5.9164275904042607E-2</v>
      </c>
      <c r="AC36" s="245">
        <v>6.8984182423084128E-3</v>
      </c>
      <c r="AD36" s="245">
        <v>-0.17976513324429877</v>
      </c>
      <c r="AE36" s="245">
        <v>-3.7434203327324389E-2</v>
      </c>
      <c r="AF36" s="245">
        <v>0.21007599787407871</v>
      </c>
      <c r="AG36" s="245">
        <v>-4.7433738450665675E-2</v>
      </c>
      <c r="AH36" s="245">
        <v>9.5982108484305995E-2</v>
      </c>
      <c r="AI36" s="245">
        <v>-7.9592949472437891E-2</v>
      </c>
      <c r="AJ36" s="245">
        <v>-3.7262598060049168E-2</v>
      </c>
      <c r="AK36" s="245">
        <v>-0.13107313035886936</v>
      </c>
      <c r="AL36" s="245">
        <v>3.3032895218290337E-2</v>
      </c>
      <c r="AM36" s="245">
        <v>0.17177710964820858</v>
      </c>
      <c r="AN36" s="245">
        <v>-0.13123782675144924</v>
      </c>
      <c r="AO36" s="245">
        <v>-0.10514075969764292</v>
      </c>
      <c r="AP36" s="245">
        <v>0.51729245348686814</v>
      </c>
      <c r="AQ36" s="245">
        <v>2.9255256536213636E-2</v>
      </c>
      <c r="AR36" s="245">
        <v>-5.6872937780166111E-2</v>
      </c>
      <c r="AS36" s="245">
        <v>-2.1172651824867272E-2</v>
      </c>
      <c r="AT36" s="245">
        <v>-4.8220010590864337E-2</v>
      </c>
      <c r="AU36" s="245">
        <v>-2.9840994709277813E-2</v>
      </c>
      <c r="AV36" s="245">
        <v>-4.3861302754826137E-2</v>
      </c>
      <c r="AW36" s="245">
        <v>1.6096062259287836E-2</v>
      </c>
      <c r="AX36" s="245">
        <v>-2.7075113991374966E-2</v>
      </c>
      <c r="AY36" s="245">
        <v>-0.10959870285113449</v>
      </c>
      <c r="AZ36" s="245">
        <v>2.0810468322307374E-2</v>
      </c>
      <c r="BA36" s="245">
        <v>-0.60304293329839109</v>
      </c>
      <c r="BB36" s="245">
        <v>1.4791042916459198</v>
      </c>
      <c r="BC36" s="245">
        <v>-2.4738111380778971E-2</v>
      </c>
      <c r="BD36" s="245">
        <v>0.26239768620190285</v>
      </c>
      <c r="BE36" s="245">
        <v>-0.13042100835445758</v>
      </c>
      <c r="BF36" s="245">
        <v>2.2147137554465512E-2</v>
      </c>
      <c r="BG36" s="245">
        <v>0.13283966518712997</v>
      </c>
      <c r="BH36" s="245">
        <v>-0.12714258362273778</v>
      </c>
      <c r="BI36" s="245">
        <v>8.4013065965820477E-2</v>
      </c>
      <c r="BJ36" s="245">
        <v>-2.1776091535466779E-2</v>
      </c>
      <c r="BK36" s="245">
        <v>-9.3148947802219162E-2</v>
      </c>
      <c r="BL36" s="245">
        <v>0.14592657562142164</v>
      </c>
      <c r="BM36" s="245">
        <v>1.0661678272115394E-2</v>
      </c>
      <c r="BN36" s="245">
        <v>-0.12649214003097398</v>
      </c>
      <c r="BO36" s="245">
        <v>-5.1948295687049617E-2</v>
      </c>
      <c r="BP36" s="245">
        <v>7.9226438307994806E-2</v>
      </c>
      <c r="BQ36" s="245">
        <v>-4.2273495457847421E-2</v>
      </c>
      <c r="BR36" s="245">
        <v>-1.2847691811793682E-3</v>
      </c>
      <c r="BS36" s="245">
        <v>0.47315037512634417</v>
      </c>
      <c r="BT36" s="245">
        <v>-0.24169044579513599</v>
      </c>
      <c r="BU36" s="245">
        <v>0.20279333322456528</v>
      </c>
      <c r="BV36" s="245">
        <v>0.15747754039483919</v>
      </c>
      <c r="BW36" s="245">
        <v>-4.3906590984080118E-2</v>
      </c>
      <c r="BX36" s="245">
        <v>-8.3210804717690379E-2</v>
      </c>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c r="HU36" s="245"/>
      <c r="HV36" s="245"/>
      <c r="HW36" s="245"/>
      <c r="HX36" s="245"/>
      <c r="HY36" s="245"/>
      <c r="HZ36" s="245"/>
      <c r="IA36" s="245"/>
      <c r="IB36" s="245"/>
      <c r="IC36" s="245"/>
      <c r="ID36" s="245"/>
      <c r="IE36" s="245"/>
      <c r="IF36" s="245"/>
      <c r="IG36" s="245"/>
      <c r="IH36" s="245"/>
      <c r="II36" s="245"/>
      <c r="IJ36" s="245"/>
      <c r="IK36" s="245"/>
      <c r="IL36" s="245"/>
      <c r="IM36" s="245"/>
      <c r="IN36" s="245"/>
      <c r="IO36" s="245"/>
      <c r="IP36" s="245"/>
      <c r="IQ36" s="245"/>
      <c r="IR36" s="245"/>
      <c r="IS36" s="245"/>
      <c r="IT36" s="245"/>
      <c r="IU36" s="245"/>
      <c r="IV36" s="245"/>
    </row>
    <row r="37" spans="1:256" ht="15" x14ac:dyDescent="0.25">
      <c r="A37" s="245"/>
      <c r="B37" s="237" t="s">
        <v>151</v>
      </c>
      <c r="C37" s="245"/>
      <c r="D37" s="245"/>
      <c r="E37" s="245"/>
      <c r="F37" s="245"/>
      <c r="G37" s="245"/>
      <c r="H37" s="245"/>
      <c r="I37" s="245"/>
      <c r="J37" s="245"/>
      <c r="K37" s="245"/>
      <c r="L37" s="245"/>
      <c r="M37" s="245"/>
      <c r="N37" s="245"/>
      <c r="O37" s="245">
        <v>0.86704233063151714</v>
      </c>
      <c r="P37" s="245">
        <v>0.18745894297488608</v>
      </c>
      <c r="Q37" s="245">
        <v>-0.22578330930239443</v>
      </c>
      <c r="R37" s="245">
        <v>0.12665312699524889</v>
      </c>
      <c r="S37" s="245">
        <v>-0.26979377263576276</v>
      </c>
      <c r="T37" s="245">
        <v>0.14771925342197045</v>
      </c>
      <c r="U37" s="245">
        <v>-2.7487525561741166E-2</v>
      </c>
      <c r="V37" s="245">
        <v>-3.4703788043179529E-2</v>
      </c>
      <c r="W37" s="245">
        <v>0.12731301095490277</v>
      </c>
      <c r="X37" s="245">
        <v>-0.24402108834623493</v>
      </c>
      <c r="Y37" s="245">
        <v>0.15223937222429562</v>
      </c>
      <c r="Z37" s="245">
        <v>0.40731074156933311</v>
      </c>
      <c r="AA37" s="245">
        <v>-0.37029938505775017</v>
      </c>
      <c r="AB37" s="245">
        <v>-0.10424775209685855</v>
      </c>
      <c r="AC37" s="245">
        <v>0.36181142146494683</v>
      </c>
      <c r="AD37" s="245">
        <v>-0.38938705329717527</v>
      </c>
      <c r="AE37" s="245">
        <v>7.7632119195742533E-2</v>
      </c>
      <c r="AF37" s="245">
        <v>2.1939733357872138E-2</v>
      </c>
      <c r="AG37" s="245">
        <v>-2.4691755807540017E-2</v>
      </c>
      <c r="AH37" s="245">
        <v>0.47704347155552984</v>
      </c>
      <c r="AI37" s="245">
        <v>-0.28675817469401166</v>
      </c>
      <c r="AJ37" s="245">
        <v>0.53508178562963304</v>
      </c>
      <c r="AK37" s="245">
        <v>-7.9214899232688318E-2</v>
      </c>
      <c r="AL37" s="245">
        <v>-0.74228894234499676</v>
      </c>
      <c r="AM37" s="245">
        <v>3.0997622142044898</v>
      </c>
      <c r="AN37" s="245">
        <v>0.81027754725607792</v>
      </c>
      <c r="AO37" s="245">
        <v>-0.50880790607240567</v>
      </c>
      <c r="AP37" s="245">
        <v>-2.9467904148607005E-2</v>
      </c>
      <c r="AQ37" s="245">
        <v>0.15221345542796394</v>
      </c>
      <c r="AR37" s="245">
        <v>-0.30177124662531163</v>
      </c>
      <c r="AS37" s="245">
        <v>-0.23672231567013269</v>
      </c>
      <c r="AT37" s="245">
        <v>0.35112442672884803</v>
      </c>
      <c r="AU37" s="245">
        <v>8.0980308525397282E-2</v>
      </c>
      <c r="AV37" s="245">
        <v>0.14945617844373071</v>
      </c>
      <c r="AW37" s="245">
        <v>-0.12109686579667045</v>
      </c>
      <c r="AX37" s="245">
        <v>-6.1706407128695462E-2</v>
      </c>
      <c r="AY37" s="245">
        <v>-0.11414965540223254</v>
      </c>
      <c r="AZ37" s="245">
        <v>-6.1380769248065126E-2</v>
      </c>
      <c r="BA37" s="245">
        <v>6.8929301657203013E-2</v>
      </c>
      <c r="BB37" s="245">
        <v>-9.1665957055016789E-2</v>
      </c>
      <c r="BC37" s="245">
        <v>0.16834237911791305</v>
      </c>
      <c r="BD37" s="245">
        <v>-0.2271225817454936</v>
      </c>
      <c r="BE37" s="245">
        <v>0.20611302500253137</v>
      </c>
      <c r="BF37" s="245">
        <v>-0.20581074695694335</v>
      </c>
      <c r="BG37" s="245">
        <v>0.34860721521429583</v>
      </c>
      <c r="BH37" s="245">
        <v>-0.15138459658399217</v>
      </c>
      <c r="BI37" s="245">
        <v>0.48407482506891819</v>
      </c>
      <c r="BJ37" s="245">
        <v>-0.15658843264976552</v>
      </c>
      <c r="BK37" s="245">
        <v>-9.0757576535112294E-2</v>
      </c>
      <c r="BL37" s="245">
        <v>0.15060792437585535</v>
      </c>
      <c r="BM37" s="245">
        <v>-0.20003015786005474</v>
      </c>
      <c r="BN37" s="245">
        <v>-5.5840942298786E-2</v>
      </c>
      <c r="BO37" s="245">
        <v>-0.27718431946678013</v>
      </c>
      <c r="BP37" s="245">
        <v>0.7931967813805918</v>
      </c>
      <c r="BQ37" s="245">
        <v>-0.11554957218479156</v>
      </c>
      <c r="BR37" s="245">
        <v>-0.3195077434715935</v>
      </c>
      <c r="BS37" s="245">
        <v>0.75965846948118876</v>
      </c>
      <c r="BT37" s="245">
        <v>-0.16812370503601248</v>
      </c>
      <c r="BU37" s="245">
        <v>-0.20802952789405116</v>
      </c>
      <c r="BV37" s="245">
        <v>0.41703126688369796</v>
      </c>
      <c r="BW37" s="245">
        <v>1.1870765497289293</v>
      </c>
      <c r="BX37" s="245">
        <v>-0.52751765715454624</v>
      </c>
      <c r="BY37" s="245"/>
      <c r="BZ37" s="245"/>
      <c r="CA37" s="245"/>
      <c r="CB37" s="245"/>
      <c r="CC37" s="245"/>
      <c r="CD37" s="245"/>
      <c r="CE37" s="245"/>
      <c r="CF37" s="245"/>
      <c r="CG37" s="245"/>
      <c r="CH37" s="245"/>
      <c r="CI37" s="245"/>
      <c r="CJ37" s="245"/>
      <c r="CK37" s="245"/>
      <c r="CL37" s="245"/>
      <c r="CM37" s="245"/>
      <c r="CN37" s="245"/>
      <c r="CO37" s="245"/>
      <c r="CP37" s="245"/>
      <c r="CQ37" s="245"/>
      <c r="CR37" s="245"/>
      <c r="CS37" s="245"/>
      <c r="CT37" s="245"/>
      <c r="CU37" s="245"/>
      <c r="CV37" s="245"/>
      <c r="CW37" s="245"/>
      <c r="CX37" s="245"/>
      <c r="CY37" s="245"/>
      <c r="CZ37" s="245"/>
      <c r="DA37" s="245"/>
      <c r="DB37" s="245"/>
      <c r="DC37" s="245"/>
      <c r="DD37" s="245"/>
      <c r="DE37" s="245"/>
      <c r="DF37" s="245"/>
      <c r="DG37" s="245"/>
      <c r="DH37" s="245"/>
      <c r="DI37" s="245"/>
      <c r="DJ37" s="245"/>
      <c r="DK37" s="245"/>
      <c r="DL37" s="245"/>
      <c r="DM37" s="245"/>
      <c r="DN37" s="245"/>
      <c r="DO37" s="245"/>
      <c r="DP37" s="245"/>
      <c r="DQ37" s="245"/>
      <c r="DR37" s="245"/>
      <c r="DS37" s="245"/>
      <c r="DT37" s="245"/>
      <c r="DU37" s="245"/>
      <c r="DV37" s="245"/>
      <c r="DW37" s="245"/>
      <c r="DX37" s="245"/>
      <c r="DY37" s="245"/>
      <c r="DZ37" s="245"/>
      <c r="EA37" s="245"/>
      <c r="EB37" s="245"/>
      <c r="EC37" s="245"/>
      <c r="ED37" s="245"/>
      <c r="EE37" s="245"/>
      <c r="EF37" s="245"/>
      <c r="EG37" s="245"/>
      <c r="EH37" s="245"/>
      <c r="EI37" s="245"/>
      <c r="EJ37" s="245"/>
      <c r="EK37" s="245"/>
      <c r="EL37" s="245"/>
      <c r="EM37" s="245"/>
      <c r="EN37" s="245"/>
      <c r="EO37" s="245"/>
      <c r="EP37" s="245"/>
      <c r="EQ37" s="245"/>
      <c r="ER37" s="245"/>
      <c r="ES37" s="245"/>
      <c r="ET37" s="245"/>
      <c r="EU37" s="245"/>
      <c r="EV37" s="245"/>
      <c r="EW37" s="245"/>
      <c r="EX37" s="245"/>
      <c r="EY37" s="245"/>
      <c r="EZ37" s="245"/>
      <c r="FA37" s="245"/>
      <c r="FB37" s="245"/>
      <c r="FC37" s="245"/>
      <c r="FD37" s="245"/>
      <c r="FE37" s="245"/>
      <c r="FF37" s="245"/>
      <c r="FG37" s="245"/>
      <c r="FH37" s="245"/>
      <c r="FI37" s="245"/>
      <c r="FJ37" s="245"/>
      <c r="FK37" s="245"/>
      <c r="FL37" s="245"/>
      <c r="FM37" s="245"/>
      <c r="FN37" s="245"/>
      <c r="FO37" s="245"/>
      <c r="FP37" s="245"/>
      <c r="FQ37" s="245"/>
      <c r="FR37" s="245"/>
      <c r="FS37" s="245"/>
      <c r="FT37" s="245"/>
      <c r="FU37" s="245"/>
      <c r="FV37" s="245"/>
      <c r="FW37" s="245"/>
      <c r="FX37" s="245"/>
      <c r="FY37" s="245"/>
      <c r="FZ37" s="245"/>
      <c r="GA37" s="245"/>
      <c r="GB37" s="245"/>
      <c r="GC37" s="245"/>
      <c r="GD37" s="245"/>
      <c r="GE37" s="245"/>
      <c r="GF37" s="245"/>
      <c r="GG37" s="245"/>
      <c r="GH37" s="245"/>
      <c r="GI37" s="245"/>
      <c r="GJ37" s="245"/>
      <c r="GK37" s="245"/>
      <c r="GL37" s="245"/>
      <c r="GM37" s="245"/>
      <c r="GN37" s="245"/>
      <c r="GO37" s="245"/>
      <c r="GP37" s="245"/>
      <c r="GQ37" s="245"/>
      <c r="GR37" s="245"/>
      <c r="GS37" s="245"/>
      <c r="GT37" s="245"/>
      <c r="GU37" s="245"/>
      <c r="GV37" s="245"/>
      <c r="GW37" s="245"/>
      <c r="GX37" s="245"/>
      <c r="GY37" s="245"/>
      <c r="GZ37" s="245"/>
      <c r="HA37" s="245"/>
      <c r="HB37" s="245"/>
      <c r="HC37" s="245"/>
      <c r="HD37" s="245"/>
      <c r="HE37" s="245"/>
      <c r="HF37" s="245"/>
      <c r="HG37" s="245"/>
      <c r="HH37" s="245"/>
      <c r="HI37" s="245"/>
      <c r="HJ37" s="245"/>
      <c r="HK37" s="245"/>
      <c r="HL37" s="245"/>
      <c r="HM37" s="245"/>
      <c r="HN37" s="245"/>
      <c r="HO37" s="245"/>
      <c r="HP37" s="245"/>
      <c r="HQ37" s="245"/>
      <c r="HR37" s="245"/>
      <c r="HS37" s="245"/>
      <c r="HT37" s="245"/>
      <c r="HU37" s="245"/>
      <c r="HV37" s="245"/>
      <c r="HW37" s="245"/>
      <c r="HX37" s="245"/>
      <c r="HY37" s="245"/>
      <c r="HZ37" s="245"/>
      <c r="IA37" s="245"/>
      <c r="IB37" s="245"/>
      <c r="IC37" s="245"/>
      <c r="ID37" s="245"/>
      <c r="IE37" s="245"/>
      <c r="IF37" s="245"/>
      <c r="IG37" s="245"/>
      <c r="IH37" s="245"/>
      <c r="II37" s="245"/>
      <c r="IJ37" s="245"/>
      <c r="IK37" s="245"/>
      <c r="IL37" s="245"/>
      <c r="IM37" s="245"/>
      <c r="IN37" s="245"/>
      <c r="IO37" s="245"/>
      <c r="IP37" s="245"/>
      <c r="IQ37" s="245"/>
      <c r="IR37" s="245"/>
      <c r="IS37" s="245"/>
      <c r="IT37" s="245"/>
      <c r="IU37" s="245"/>
      <c r="IV37" s="245"/>
    </row>
    <row r="38" spans="1:256" ht="15" x14ac:dyDescent="0.25">
      <c r="A38" s="245"/>
      <c r="B38" s="237" t="s">
        <v>150</v>
      </c>
      <c r="C38" s="245"/>
      <c r="D38" s="245"/>
      <c r="E38" s="245"/>
      <c r="F38" s="245"/>
      <c r="G38" s="245"/>
      <c r="H38" s="245"/>
      <c r="I38" s="245"/>
      <c r="J38" s="245"/>
      <c r="K38" s="245"/>
      <c r="L38" s="245"/>
      <c r="M38" s="245"/>
      <c r="N38" s="245"/>
      <c r="O38" s="245">
        <v>-5.6709267471355407E-2</v>
      </c>
      <c r="P38" s="245">
        <v>-1.9913619312442399E-2</v>
      </c>
      <c r="Q38" s="245">
        <v>-0.14665608198635205</v>
      </c>
      <c r="R38" s="245">
        <v>-7.6160292451987743E-2</v>
      </c>
      <c r="S38" s="245">
        <v>6.3806103016152083E-2</v>
      </c>
      <c r="T38" s="245">
        <v>0.16047651699531484</v>
      </c>
      <c r="U38" s="245">
        <v>0.49091029619245363</v>
      </c>
      <c r="V38" s="245">
        <v>0.12727094476075984</v>
      </c>
      <c r="W38" s="245">
        <v>-0.28625004867737747</v>
      </c>
      <c r="X38" s="245">
        <v>0.11885412450526855</v>
      </c>
      <c r="Y38" s="245">
        <v>6.7675807290302314E-2</v>
      </c>
      <c r="Z38" s="245">
        <v>-0.19976416717428402</v>
      </c>
      <c r="AA38" s="245">
        <v>-2.4553394612692792E-2</v>
      </c>
      <c r="AB38" s="245">
        <v>-4.8940493195643309E-2</v>
      </c>
      <c r="AC38" s="245">
        <v>-0.27450935481114813</v>
      </c>
      <c r="AD38" s="245">
        <v>0.19588761590531223</v>
      </c>
      <c r="AE38" s="245">
        <v>0.1864036846253625</v>
      </c>
      <c r="AF38" s="245">
        <v>-5.3059051445581984E-3</v>
      </c>
      <c r="AG38" s="245">
        <v>2.972758455157809E-2</v>
      </c>
      <c r="AH38" s="245">
        <v>5.4350380455457925E-2</v>
      </c>
      <c r="AI38" s="245">
        <v>1.4145114386469926E-2</v>
      </c>
      <c r="AJ38" s="245">
        <v>-2.5399726575709547E-2</v>
      </c>
      <c r="AK38" s="245">
        <v>-4.9383050903861192E-2</v>
      </c>
      <c r="AL38" s="245">
        <v>-7.6986581257215581E-2</v>
      </c>
      <c r="AM38" s="245">
        <v>-2.994716967134825E-3</v>
      </c>
      <c r="AN38" s="245">
        <v>-4.030873237361865E-2</v>
      </c>
      <c r="AO38" s="245">
        <v>0.2333454620294575</v>
      </c>
      <c r="AP38" s="245">
        <v>7.1716239636283818E-2</v>
      </c>
      <c r="AQ38" s="245">
        <v>-7.0434554236864622E-2</v>
      </c>
      <c r="AR38" s="245">
        <v>2.008671447638255E-2</v>
      </c>
      <c r="AS38" s="245">
        <v>-0.19260683328491124</v>
      </c>
      <c r="AT38" s="245">
        <v>0.29084580634122492</v>
      </c>
      <c r="AU38" s="245">
        <v>-4.0131557854045097E-2</v>
      </c>
      <c r="AV38" s="245">
        <v>2.418553201846696E-2</v>
      </c>
      <c r="AW38" s="245">
        <v>0.16920968867590958</v>
      </c>
      <c r="AX38" s="245">
        <v>-0.11552506593774847</v>
      </c>
      <c r="AY38" s="245">
        <v>-6.8721267371048333E-2</v>
      </c>
      <c r="AZ38" s="245">
        <v>0.20203367738579381</v>
      </c>
      <c r="BA38" s="245">
        <v>-0.25402670602223465</v>
      </c>
      <c r="BB38" s="245">
        <v>0.14176998541344776</v>
      </c>
      <c r="BC38" s="245">
        <v>0.1307080432858474</v>
      </c>
      <c r="BD38" s="245">
        <v>-6.3987159429065188E-2</v>
      </c>
      <c r="BE38" s="245">
        <v>-9.1215182308801435E-3</v>
      </c>
      <c r="BF38" s="245">
        <v>-3.3068119358681258E-3</v>
      </c>
      <c r="BG38" s="245">
        <v>0.15001743556342317</v>
      </c>
      <c r="BH38" s="245">
        <v>4.4126669851346945E-2</v>
      </c>
      <c r="BI38" s="245">
        <v>-5.4799341001409041E-2</v>
      </c>
      <c r="BJ38" s="245">
        <v>-5.9842526713323463E-2</v>
      </c>
      <c r="BK38" s="245">
        <v>9.5953119767834494E-2</v>
      </c>
      <c r="BL38" s="245">
        <v>-0.2009952942088542</v>
      </c>
      <c r="BM38" s="245">
        <v>0.1176448173434983</v>
      </c>
      <c r="BN38" s="245">
        <v>6.2168815707357439E-2</v>
      </c>
      <c r="BO38" s="245">
        <v>-3.5387979950314286E-2</v>
      </c>
      <c r="BP38" s="245">
        <v>0.12894589388797773</v>
      </c>
      <c r="BQ38" s="245">
        <v>-1.0691595000771548E-2</v>
      </c>
      <c r="BR38" s="245">
        <v>-0.11093075766701188</v>
      </c>
      <c r="BS38" s="245">
        <v>-4.5553187437148868E-2</v>
      </c>
      <c r="BT38" s="245">
        <v>5.9759470948299365E-2</v>
      </c>
      <c r="BU38" s="245">
        <v>1.8138883644725379E-2</v>
      </c>
      <c r="BV38" s="245">
        <v>9.239712799271893E-2</v>
      </c>
      <c r="BW38" s="245">
        <v>-7.7708459223099102E-2</v>
      </c>
      <c r="BX38" s="245">
        <v>-1.6848877257404804E-2</v>
      </c>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45"/>
      <c r="CY38" s="245"/>
      <c r="CZ38" s="245"/>
      <c r="DA38" s="245"/>
      <c r="DB38" s="245"/>
      <c r="DC38" s="245"/>
      <c r="DD38" s="245"/>
      <c r="DE38" s="245"/>
      <c r="DF38" s="245"/>
      <c r="DG38" s="245"/>
      <c r="DH38" s="245"/>
      <c r="DI38" s="245"/>
      <c r="DJ38" s="245"/>
      <c r="DK38" s="245"/>
      <c r="DL38" s="245"/>
      <c r="DM38" s="245"/>
      <c r="DN38" s="245"/>
      <c r="DO38" s="245"/>
      <c r="DP38" s="245"/>
      <c r="DQ38" s="245"/>
      <c r="DR38" s="245"/>
      <c r="DS38" s="245"/>
      <c r="DT38" s="245"/>
      <c r="DU38" s="245"/>
      <c r="DV38" s="245"/>
      <c r="DW38" s="245"/>
      <c r="DX38" s="245"/>
      <c r="DY38" s="245"/>
      <c r="DZ38" s="245"/>
      <c r="EA38" s="245"/>
      <c r="EB38" s="245"/>
      <c r="EC38" s="245"/>
      <c r="ED38" s="245"/>
      <c r="EE38" s="245"/>
      <c r="EF38" s="245"/>
      <c r="EG38" s="245"/>
      <c r="EH38" s="245"/>
      <c r="EI38" s="245"/>
      <c r="EJ38" s="245"/>
      <c r="EK38" s="245"/>
      <c r="EL38" s="245"/>
      <c r="EM38" s="245"/>
      <c r="EN38" s="245"/>
      <c r="EO38" s="245"/>
      <c r="EP38" s="245"/>
      <c r="EQ38" s="245"/>
      <c r="ER38" s="245"/>
      <c r="ES38" s="245"/>
      <c r="ET38" s="245"/>
      <c r="EU38" s="245"/>
      <c r="EV38" s="245"/>
      <c r="EW38" s="245"/>
      <c r="EX38" s="245"/>
      <c r="EY38" s="245"/>
      <c r="EZ38" s="245"/>
      <c r="FA38" s="245"/>
      <c r="FB38" s="245"/>
      <c r="FC38" s="245"/>
      <c r="FD38" s="245"/>
      <c r="FE38" s="245"/>
      <c r="FF38" s="245"/>
      <c r="FG38" s="245"/>
      <c r="FH38" s="245"/>
      <c r="FI38" s="245"/>
      <c r="FJ38" s="245"/>
      <c r="FK38" s="245"/>
      <c r="FL38" s="245"/>
      <c r="FM38" s="245"/>
      <c r="FN38" s="245"/>
      <c r="FO38" s="245"/>
      <c r="FP38" s="245"/>
      <c r="FQ38" s="245"/>
      <c r="FR38" s="245"/>
      <c r="FS38" s="245"/>
      <c r="FT38" s="245"/>
      <c r="FU38" s="245"/>
      <c r="FV38" s="245"/>
      <c r="FW38" s="245"/>
      <c r="FX38" s="245"/>
      <c r="FY38" s="245"/>
      <c r="FZ38" s="245"/>
      <c r="GA38" s="245"/>
      <c r="GB38" s="245"/>
      <c r="GC38" s="245"/>
      <c r="GD38" s="245"/>
      <c r="GE38" s="245"/>
      <c r="GF38" s="245"/>
      <c r="GG38" s="245"/>
      <c r="GH38" s="245"/>
      <c r="GI38" s="245"/>
      <c r="GJ38" s="245"/>
      <c r="GK38" s="245"/>
      <c r="GL38" s="245"/>
      <c r="GM38" s="245"/>
      <c r="GN38" s="245"/>
      <c r="GO38" s="245"/>
      <c r="GP38" s="245"/>
      <c r="GQ38" s="245"/>
      <c r="GR38" s="245"/>
      <c r="GS38" s="245"/>
      <c r="GT38" s="245"/>
      <c r="GU38" s="245"/>
      <c r="GV38" s="245"/>
      <c r="GW38" s="245"/>
      <c r="GX38" s="245"/>
      <c r="GY38" s="245"/>
      <c r="GZ38" s="245"/>
      <c r="HA38" s="245"/>
      <c r="HB38" s="245"/>
      <c r="HC38" s="245"/>
      <c r="HD38" s="245"/>
      <c r="HE38" s="245"/>
      <c r="HF38" s="245"/>
      <c r="HG38" s="245"/>
      <c r="HH38" s="245"/>
      <c r="HI38" s="245"/>
      <c r="HJ38" s="245"/>
      <c r="HK38" s="245"/>
      <c r="HL38" s="245"/>
      <c r="HM38" s="245"/>
      <c r="HN38" s="245"/>
      <c r="HO38" s="245"/>
      <c r="HP38" s="245"/>
      <c r="HQ38" s="245"/>
      <c r="HR38" s="245"/>
      <c r="HS38" s="245"/>
      <c r="HT38" s="245"/>
      <c r="HU38" s="245"/>
      <c r="HV38" s="245"/>
      <c r="HW38" s="245"/>
      <c r="HX38" s="245"/>
      <c r="HY38" s="245"/>
      <c r="HZ38" s="245"/>
      <c r="IA38" s="245"/>
      <c r="IB38" s="245"/>
      <c r="IC38" s="245"/>
      <c r="ID38" s="245"/>
      <c r="IE38" s="245"/>
      <c r="IF38" s="245"/>
      <c r="IG38" s="245"/>
      <c r="IH38" s="245"/>
      <c r="II38" s="245"/>
      <c r="IJ38" s="245"/>
      <c r="IK38" s="245"/>
      <c r="IL38" s="245"/>
      <c r="IM38" s="245"/>
      <c r="IN38" s="245"/>
      <c r="IO38" s="245"/>
      <c r="IP38" s="245"/>
      <c r="IQ38" s="245"/>
      <c r="IR38" s="245"/>
      <c r="IS38" s="245"/>
      <c r="IT38" s="245"/>
      <c r="IU38" s="245"/>
      <c r="IV38" s="245"/>
    </row>
    <row r="39" spans="1:256" ht="15" x14ac:dyDescent="0.25">
      <c r="A39" s="245"/>
      <c r="B39" s="238" t="s">
        <v>149</v>
      </c>
      <c r="C39" s="245"/>
      <c r="D39" s="245"/>
      <c r="E39" s="245"/>
      <c r="F39" s="245"/>
      <c r="G39" s="245"/>
      <c r="H39" s="245"/>
      <c r="I39" s="245"/>
      <c r="J39" s="245"/>
      <c r="K39" s="245"/>
      <c r="L39" s="245"/>
      <c r="M39" s="245"/>
      <c r="N39" s="245"/>
      <c r="O39" s="245">
        <v>-0.14918708522661417</v>
      </c>
      <c r="P39" s="245">
        <v>-0.34657513577271715</v>
      </c>
      <c r="Q39" s="245">
        <v>-2.8301162283203007E-3</v>
      </c>
      <c r="R39" s="245">
        <v>7.5239329820374623E-2</v>
      </c>
      <c r="S39" s="245">
        <v>0.11584443340406336</v>
      </c>
      <c r="T39" s="245">
        <v>0.30353460682381739</v>
      </c>
      <c r="U39" s="245">
        <v>-3.0689165073710001E-2</v>
      </c>
      <c r="V39" s="245">
        <v>2.2688341042108373E-2</v>
      </c>
      <c r="W39" s="245">
        <v>-7.0693323727468615E-2</v>
      </c>
      <c r="X39" s="245">
        <v>-0.19636939166242806</v>
      </c>
      <c r="Y39" s="245">
        <v>0.41526194515805304</v>
      </c>
      <c r="Z39" s="245">
        <v>-0.12229860745325227</v>
      </c>
      <c r="AA39" s="245">
        <v>1.5034233334863423E-2</v>
      </c>
      <c r="AB39" s="245">
        <v>0.14152701089863751</v>
      </c>
      <c r="AC39" s="245">
        <v>3.064454391879945E-2</v>
      </c>
      <c r="AD39" s="245">
        <v>-0.12963912856181969</v>
      </c>
      <c r="AE39" s="245">
        <v>1.5753340102039548E-2</v>
      </c>
      <c r="AF39" s="245">
        <v>0.15741577359253167</v>
      </c>
      <c r="AG39" s="245">
        <v>-2.3511118242212969E-2</v>
      </c>
      <c r="AH39" s="245">
        <v>-2.6032248337617414E-3</v>
      </c>
      <c r="AI39" s="245">
        <v>0.11025614450739507</v>
      </c>
      <c r="AJ39" s="245">
        <v>-0.10861701494666254</v>
      </c>
      <c r="AK39" s="245">
        <v>-8.0678772043741409E-2</v>
      </c>
      <c r="AL39" s="245">
        <v>-1.3118908644677685E-2</v>
      </c>
      <c r="AM39" s="245">
        <v>-7.8426692143174104E-2</v>
      </c>
      <c r="AN39" s="245">
        <v>-3.5298286434585879E-2</v>
      </c>
      <c r="AO39" s="245">
        <v>-9.7038396614278599E-2</v>
      </c>
      <c r="AP39" s="245">
        <v>0.19483637842410406</v>
      </c>
      <c r="AQ39" s="245">
        <v>2.9879405292188688E-2</v>
      </c>
      <c r="AR39" s="245">
        <v>-7.8557507634477997E-3</v>
      </c>
      <c r="AS39" s="245">
        <v>5.5555302829342512E-2</v>
      </c>
      <c r="AT39" s="245">
        <v>-6.5338847215271278E-2</v>
      </c>
      <c r="AU39" s="245">
        <v>-9.6384527533711073E-2</v>
      </c>
      <c r="AV39" s="245">
        <v>0.19506182427327312</v>
      </c>
      <c r="AW39" s="245">
        <v>2.3402249995766455E-2</v>
      </c>
      <c r="AX39" s="245">
        <v>-3.8154191858538189E-2</v>
      </c>
      <c r="AY39" s="245">
        <v>4.1173453037652852E-2</v>
      </c>
      <c r="AZ39" s="245">
        <v>-2.8009859154267791E-2</v>
      </c>
      <c r="BA39" s="245">
        <v>-6.7848334306082392E-2</v>
      </c>
      <c r="BB39" s="245">
        <v>9.9009376922594816E-2</v>
      </c>
      <c r="BC39" s="245">
        <v>3.8163565098406682E-2</v>
      </c>
      <c r="BD39" s="245">
        <v>-1.7028603968174072E-2</v>
      </c>
      <c r="BE39" s="245">
        <v>-3.0891946219764543E-2</v>
      </c>
      <c r="BF39" s="245">
        <v>0.11166173868666407</v>
      </c>
      <c r="BG39" s="245">
        <v>0.145007280126209</v>
      </c>
      <c r="BH39" s="245">
        <v>-7.5677889117205299E-2</v>
      </c>
      <c r="BI39" s="245">
        <v>2.4425916565066874E-2</v>
      </c>
      <c r="BJ39" s="245">
        <v>7.6282975997437497E-2</v>
      </c>
      <c r="BK39" s="245">
        <v>2.0899545458590074E-2</v>
      </c>
      <c r="BL39" s="245">
        <v>0.13568804560740699</v>
      </c>
      <c r="BM39" s="245">
        <v>0.11792348649244877</v>
      </c>
      <c r="BN39" s="245">
        <v>-5.3799516073922971E-2</v>
      </c>
      <c r="BO39" s="245">
        <v>7.6913593270212965E-2</v>
      </c>
      <c r="BP39" s="245">
        <v>-6.7837643583415486E-2</v>
      </c>
      <c r="BQ39" s="245">
        <v>3.9109436137363396E-4</v>
      </c>
      <c r="BR39" s="245">
        <v>6.747795593414363E-2</v>
      </c>
      <c r="BS39" s="245">
        <v>-1.4649122906010725E-2</v>
      </c>
      <c r="BT39" s="245">
        <v>2.3888961985371049E-2</v>
      </c>
      <c r="BU39" s="245">
        <v>-5.8330720031533168E-2</v>
      </c>
      <c r="BV39" s="245">
        <v>-1.3319075819060222E-2</v>
      </c>
      <c r="BW39" s="245">
        <v>5.1119839876519357E-2</v>
      </c>
      <c r="BX39" s="245">
        <v>2.8289166157108747E-2</v>
      </c>
      <c r="BY39" s="245"/>
      <c r="BZ39" s="245"/>
      <c r="CA39" s="245"/>
      <c r="CB39" s="245"/>
      <c r="CC39" s="245"/>
      <c r="CD39" s="245"/>
      <c r="CE39" s="245"/>
      <c r="CF39" s="245"/>
      <c r="CG39" s="245"/>
      <c r="CH39" s="245"/>
      <c r="CI39" s="245"/>
      <c r="CJ39" s="245"/>
      <c r="CK39" s="245"/>
      <c r="CL39" s="245"/>
      <c r="CM39" s="245"/>
      <c r="CN39" s="245"/>
      <c r="CO39" s="245"/>
      <c r="CP39" s="245"/>
      <c r="CQ39" s="245"/>
      <c r="CR39" s="245"/>
      <c r="CS39" s="245"/>
      <c r="CT39" s="245"/>
      <c r="CU39" s="245"/>
      <c r="CV39" s="245"/>
      <c r="CW39" s="245"/>
      <c r="CX39" s="245"/>
      <c r="CY39" s="245"/>
      <c r="CZ39" s="245"/>
      <c r="DA39" s="245"/>
      <c r="DB39" s="245"/>
      <c r="DC39" s="245"/>
      <c r="DD39" s="245"/>
      <c r="DE39" s="245"/>
      <c r="DF39" s="245"/>
      <c r="DG39" s="245"/>
      <c r="DH39" s="245"/>
      <c r="DI39" s="245"/>
      <c r="DJ39" s="245"/>
      <c r="DK39" s="245"/>
      <c r="DL39" s="245"/>
      <c r="DM39" s="245"/>
      <c r="DN39" s="245"/>
      <c r="DO39" s="245"/>
      <c r="DP39" s="245"/>
      <c r="DQ39" s="245"/>
      <c r="DR39" s="245"/>
      <c r="DS39" s="245"/>
      <c r="DT39" s="245"/>
      <c r="DU39" s="245"/>
      <c r="DV39" s="245"/>
      <c r="DW39" s="245"/>
      <c r="DX39" s="245"/>
      <c r="DY39" s="245"/>
      <c r="DZ39" s="245"/>
      <c r="EA39" s="245"/>
      <c r="EB39" s="245"/>
      <c r="EC39" s="245"/>
      <c r="ED39" s="245"/>
      <c r="EE39" s="245"/>
      <c r="EF39" s="245"/>
      <c r="EG39" s="245"/>
      <c r="EH39" s="245"/>
      <c r="EI39" s="245"/>
      <c r="EJ39" s="245"/>
      <c r="EK39" s="245"/>
      <c r="EL39" s="245"/>
      <c r="EM39" s="245"/>
      <c r="EN39" s="245"/>
      <c r="EO39" s="245"/>
      <c r="EP39" s="245"/>
      <c r="EQ39" s="245"/>
      <c r="ER39" s="245"/>
      <c r="ES39" s="245"/>
      <c r="ET39" s="245"/>
      <c r="EU39" s="245"/>
      <c r="EV39" s="245"/>
      <c r="EW39" s="245"/>
      <c r="EX39" s="245"/>
      <c r="EY39" s="245"/>
      <c r="EZ39" s="245"/>
      <c r="FA39" s="245"/>
      <c r="FB39" s="245"/>
      <c r="FC39" s="245"/>
      <c r="FD39" s="245"/>
      <c r="FE39" s="245"/>
      <c r="FF39" s="245"/>
      <c r="FG39" s="245"/>
      <c r="FH39" s="245"/>
      <c r="FI39" s="245"/>
      <c r="FJ39" s="245"/>
      <c r="FK39" s="245"/>
      <c r="FL39" s="245"/>
      <c r="FM39" s="245"/>
      <c r="FN39" s="245"/>
      <c r="FO39" s="245"/>
      <c r="FP39" s="245"/>
      <c r="FQ39" s="245"/>
      <c r="FR39" s="245"/>
      <c r="FS39" s="245"/>
      <c r="FT39" s="245"/>
      <c r="FU39" s="245"/>
      <c r="FV39" s="245"/>
      <c r="FW39" s="245"/>
      <c r="FX39" s="245"/>
      <c r="FY39" s="245"/>
      <c r="FZ39" s="245"/>
      <c r="GA39" s="245"/>
      <c r="GB39" s="245"/>
      <c r="GC39" s="245"/>
      <c r="GD39" s="245"/>
      <c r="GE39" s="245"/>
      <c r="GF39" s="245"/>
      <c r="GG39" s="245"/>
      <c r="GH39" s="245"/>
      <c r="GI39" s="245"/>
      <c r="GJ39" s="245"/>
      <c r="GK39" s="245"/>
      <c r="GL39" s="245"/>
      <c r="GM39" s="245"/>
      <c r="GN39" s="245"/>
      <c r="GO39" s="245"/>
      <c r="GP39" s="245"/>
      <c r="GQ39" s="245"/>
      <c r="GR39" s="245"/>
      <c r="GS39" s="245"/>
      <c r="GT39" s="245"/>
      <c r="GU39" s="245"/>
      <c r="GV39" s="245"/>
      <c r="GW39" s="245"/>
      <c r="GX39" s="245"/>
      <c r="GY39" s="245"/>
      <c r="GZ39" s="245"/>
      <c r="HA39" s="245"/>
      <c r="HB39" s="245"/>
      <c r="HC39" s="245"/>
      <c r="HD39" s="245"/>
      <c r="HE39" s="245"/>
      <c r="HF39" s="245"/>
      <c r="HG39" s="245"/>
      <c r="HH39" s="245"/>
      <c r="HI39" s="245"/>
      <c r="HJ39" s="245"/>
      <c r="HK39" s="245"/>
      <c r="HL39" s="245"/>
      <c r="HM39" s="245"/>
      <c r="HN39" s="245"/>
      <c r="HO39" s="245"/>
      <c r="HP39" s="245"/>
      <c r="HQ39" s="245"/>
      <c r="HR39" s="245"/>
      <c r="HS39" s="245"/>
      <c r="HT39" s="245"/>
      <c r="HU39" s="245"/>
      <c r="HV39" s="245"/>
      <c r="HW39" s="245"/>
      <c r="HX39" s="245"/>
      <c r="HY39" s="245"/>
      <c r="HZ39" s="245"/>
      <c r="IA39" s="245"/>
      <c r="IB39" s="245"/>
      <c r="IC39" s="245"/>
      <c r="ID39" s="245"/>
      <c r="IE39" s="245"/>
      <c r="IF39" s="245"/>
      <c r="IG39" s="245"/>
      <c r="IH39" s="245"/>
      <c r="II39" s="245"/>
      <c r="IJ39" s="245"/>
      <c r="IK39" s="245"/>
      <c r="IL39" s="245"/>
      <c r="IM39" s="245"/>
      <c r="IN39" s="245"/>
      <c r="IO39" s="245"/>
      <c r="IP39" s="245"/>
      <c r="IQ39" s="245"/>
      <c r="IR39" s="245"/>
      <c r="IS39" s="245"/>
      <c r="IT39" s="245"/>
      <c r="IU39" s="245"/>
      <c r="IV39" s="245"/>
    </row>
    <row r="40" spans="1:256" ht="15" x14ac:dyDescent="0.25">
      <c r="A40" s="245"/>
      <c r="B40" s="236" t="s">
        <v>148</v>
      </c>
      <c r="C40" s="245"/>
      <c r="D40" s="245"/>
      <c r="E40" s="245"/>
      <c r="F40" s="245"/>
      <c r="G40" s="245"/>
      <c r="H40" s="245"/>
      <c r="I40" s="245"/>
      <c r="J40" s="245"/>
      <c r="K40" s="245"/>
      <c r="L40" s="245"/>
      <c r="M40" s="245"/>
      <c r="N40" s="245"/>
      <c r="O40" s="245">
        <v>-1.676318451721559E-3</v>
      </c>
      <c r="P40" s="245">
        <v>7.4982956378261134E-2</v>
      </c>
      <c r="Q40" s="245">
        <v>-3.2658720662259721E-2</v>
      </c>
      <c r="R40" s="245">
        <v>2.0801827024693242E-2</v>
      </c>
      <c r="S40" s="245">
        <v>2.9773758909698467E-2</v>
      </c>
      <c r="T40" s="245">
        <v>5.8350296656946021E-3</v>
      </c>
      <c r="U40" s="245">
        <v>2.8439045865454871E-2</v>
      </c>
      <c r="V40" s="245">
        <v>2.7615472402337415E-2</v>
      </c>
      <c r="W40" s="245">
        <v>4.8293706829382721E-2</v>
      </c>
      <c r="X40" s="245">
        <v>9.8418189687563329E-2</v>
      </c>
      <c r="Y40" s="245">
        <v>2.8978521625906195E-2</v>
      </c>
      <c r="Z40" s="245">
        <v>3.0900644415452483E-2</v>
      </c>
      <c r="AA40" s="245">
        <v>3.3271838244831375E-2</v>
      </c>
      <c r="AB40" s="245">
        <v>1.0100493997047488E-2</v>
      </c>
      <c r="AC40" s="245">
        <v>9.0048382010958772E-3</v>
      </c>
      <c r="AD40" s="245">
        <v>1.1633539429305895E-2</v>
      </c>
      <c r="AE40" s="245">
        <v>2.3098382859645383E-3</v>
      </c>
      <c r="AF40" s="245">
        <v>-6.45580441075988E-4</v>
      </c>
      <c r="AG40" s="245">
        <v>2.1827285745941172E-3</v>
      </c>
      <c r="AH40" s="245">
        <v>-3.3309021913042747E-3</v>
      </c>
      <c r="AI40" s="245">
        <v>-5.2994946612971994E-4</v>
      </c>
      <c r="AJ40" s="245">
        <v>4.0747153041884587E-3</v>
      </c>
      <c r="AK40" s="245">
        <v>2.1336697692136752E-2</v>
      </c>
      <c r="AL40" s="245">
        <v>1.5370151851174407E-2</v>
      </c>
      <c r="AM40" s="245">
        <v>2.7773461504625896E-2</v>
      </c>
      <c r="AN40" s="245">
        <v>2.9000035244242994E-2</v>
      </c>
      <c r="AO40" s="245">
        <v>1.6905976835601244E-2</v>
      </c>
      <c r="AP40" s="245">
        <v>2.2584450696629288E-2</v>
      </c>
      <c r="AQ40" s="245">
        <v>1.3897870691681913E-2</v>
      </c>
      <c r="AR40" s="245">
        <v>3.0865530074060343E-2</v>
      </c>
      <c r="AS40" s="245">
        <v>1.6691938985399668E-2</v>
      </c>
      <c r="AT40" s="245">
        <v>3.0505826249067169E-2</v>
      </c>
      <c r="AU40" s="245">
        <v>2.0678891957161882E-2</v>
      </c>
      <c r="AV40" s="245">
        <v>1.5729105106376595E-2</v>
      </c>
      <c r="AW40" s="245">
        <v>2.6464601297200963E-2</v>
      </c>
      <c r="AX40" s="245">
        <v>3.0269074268766127E-2</v>
      </c>
      <c r="AY40" s="245">
        <v>2.6025014369419841E-2</v>
      </c>
      <c r="AZ40" s="245">
        <v>1.7381309501593334E-2</v>
      </c>
      <c r="BA40" s="245">
        <v>1.167742308164299E-2</v>
      </c>
      <c r="BB40" s="245">
        <v>9.6054807163665767E-3</v>
      </c>
      <c r="BC40" s="245">
        <v>3.0877332488931319E-2</v>
      </c>
      <c r="BD40" s="245">
        <v>3.6383583203805525E-2</v>
      </c>
      <c r="BE40" s="245">
        <v>7.6294390510150301E-2</v>
      </c>
      <c r="BF40" s="245">
        <v>-1.1284363767310568E-2</v>
      </c>
      <c r="BG40" s="245">
        <v>1.3023752233345176E-2</v>
      </c>
      <c r="BH40" s="245">
        <v>2.1025465884205952E-2</v>
      </c>
      <c r="BI40" s="245">
        <v>2.8115674124224332E-2</v>
      </c>
      <c r="BJ40" s="245">
        <v>6.9171115895924729E-2</v>
      </c>
      <c r="BK40" s="245">
        <v>-1.3043970488927248E-2</v>
      </c>
      <c r="BL40" s="245">
        <v>2.4092319536260343E-2</v>
      </c>
      <c r="BM40" s="245">
        <v>-2.6387724425158687E-2</v>
      </c>
      <c r="BN40" s="245">
        <v>3.1832924446611788E-2</v>
      </c>
      <c r="BO40" s="245">
        <v>2.8363514591087213E-2</v>
      </c>
      <c r="BP40" s="245">
        <v>2.7158915381227278E-2</v>
      </c>
      <c r="BQ40" s="245">
        <v>2.6287947743900197E-2</v>
      </c>
      <c r="BR40" s="245">
        <v>2.1422367792469421E-2</v>
      </c>
      <c r="BS40" s="245">
        <v>1.8153823017925674E-2</v>
      </c>
      <c r="BT40" s="245">
        <v>1.9687487371104373E-2</v>
      </c>
      <c r="BU40" s="245">
        <v>1.527666704112729E-2</v>
      </c>
      <c r="BV40" s="245">
        <v>2.7319540092437089E-2</v>
      </c>
      <c r="BW40" s="245">
        <v>1.7598576846770353E-2</v>
      </c>
      <c r="BX40" s="245">
        <v>-2.309539433678065E-4</v>
      </c>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c r="HU40" s="245"/>
      <c r="HV40" s="245"/>
      <c r="HW40" s="245"/>
      <c r="HX40" s="245"/>
      <c r="HY40" s="245"/>
      <c r="HZ40" s="245"/>
      <c r="IA40" s="245"/>
      <c r="IB40" s="245"/>
      <c r="IC40" s="245"/>
      <c r="ID40" s="245"/>
      <c r="IE40" s="245"/>
      <c r="IF40" s="245"/>
      <c r="IG40" s="245"/>
      <c r="IH40" s="245"/>
      <c r="II40" s="245"/>
      <c r="IJ40" s="245"/>
      <c r="IK40" s="245"/>
      <c r="IL40" s="245"/>
      <c r="IM40" s="245"/>
      <c r="IN40" s="245"/>
      <c r="IO40" s="245"/>
      <c r="IP40" s="245"/>
      <c r="IQ40" s="245"/>
      <c r="IR40" s="245"/>
      <c r="IS40" s="245"/>
      <c r="IT40" s="245"/>
      <c r="IU40" s="245"/>
      <c r="IV40" s="245"/>
    </row>
    <row r="41" spans="1:256" ht="15" x14ac:dyDescent="0.25">
      <c r="A41" s="245"/>
      <c r="B41" s="236" t="s">
        <v>147</v>
      </c>
      <c r="C41" s="245"/>
      <c r="D41" s="245"/>
      <c r="E41" s="245"/>
      <c r="F41" s="245"/>
      <c r="G41" s="245"/>
      <c r="H41" s="245"/>
      <c r="I41" s="245"/>
      <c r="J41" s="245"/>
      <c r="K41" s="245"/>
      <c r="L41" s="245"/>
      <c r="M41" s="245"/>
      <c r="N41" s="245"/>
      <c r="O41" s="245">
        <v>-4.8034868908759631E-2</v>
      </c>
      <c r="P41" s="245">
        <v>8.5279113930879058E-2</v>
      </c>
      <c r="Q41" s="245">
        <v>-0.2800811768113195</v>
      </c>
      <c r="R41" s="245">
        <v>0.4741268898192974</v>
      </c>
      <c r="S41" s="245">
        <v>-9.144179023472554E-2</v>
      </c>
      <c r="T41" s="245">
        <v>-7.1328450557089806E-2</v>
      </c>
      <c r="U41" s="245">
        <v>-0.18170280035282904</v>
      </c>
      <c r="V41" s="245">
        <v>7.9151423234682161E-2</v>
      </c>
      <c r="W41" s="245">
        <v>-0.15007995030844146</v>
      </c>
      <c r="X41" s="245">
        <v>0.13100558486597236</v>
      </c>
      <c r="Y41" s="245">
        <v>0.30624149618542407</v>
      </c>
      <c r="Z41" s="245">
        <v>-0.38556025646285241</v>
      </c>
      <c r="AA41" s="245">
        <v>-0.22536974389482922</v>
      </c>
      <c r="AB41" s="245">
        <v>0.40689319863348605</v>
      </c>
      <c r="AC41" s="245">
        <v>7.7727651907866457E-2</v>
      </c>
      <c r="AD41" s="245">
        <v>0.21750242189993285</v>
      </c>
      <c r="AE41" s="245">
        <v>-0.11016016250397898</v>
      </c>
      <c r="AF41" s="245">
        <v>-7.8134469638193926E-2</v>
      </c>
      <c r="AG41" s="245">
        <v>-8.2422135635685678E-2</v>
      </c>
      <c r="AH41" s="245">
        <v>0.37055345314389632</v>
      </c>
      <c r="AI41" s="245">
        <v>-1.454934728641899E-2</v>
      </c>
      <c r="AJ41" s="245">
        <v>-0.50721356923270267</v>
      </c>
      <c r="AK41" s="245">
        <v>-0.17481275285933262</v>
      </c>
      <c r="AL41" s="245">
        <v>0.32313327386176072</v>
      </c>
      <c r="AM41" s="245">
        <v>-0.35170330892639157</v>
      </c>
      <c r="AN41" s="245">
        <v>-0.26902591892937133</v>
      </c>
      <c r="AO41" s="245">
        <v>0.27002844864673836</v>
      </c>
      <c r="AP41" s="245">
        <v>-0.90769148291842738</v>
      </c>
      <c r="AQ41" s="245">
        <v>3.228939517456257</v>
      </c>
      <c r="AR41" s="245">
        <v>4.7022726463768967</v>
      </c>
      <c r="AS41" s="245">
        <v>-5.3192573252412556E-2</v>
      </c>
      <c r="AT41" s="245">
        <v>-6.2674783065188588E-3</v>
      </c>
      <c r="AU41" s="245">
        <v>-8.4025170621805478E-2</v>
      </c>
      <c r="AV41" s="245">
        <v>-0.56461204792793995</v>
      </c>
      <c r="AW41" s="245">
        <v>0.11439922578384509</v>
      </c>
      <c r="AX41" s="245">
        <v>-0.1731019743217973</v>
      </c>
      <c r="AY41" s="245">
        <v>-0.15676001489100111</v>
      </c>
      <c r="AZ41" s="245">
        <v>2.4844190100037649</v>
      </c>
      <c r="BA41" s="245">
        <v>-0.23073420903885922</v>
      </c>
      <c r="BB41" s="245">
        <v>0.66362137566891977</v>
      </c>
      <c r="BC41" s="245">
        <v>7.5113003620084662E-2</v>
      </c>
      <c r="BD41" s="245">
        <v>-0.27140670228295982</v>
      </c>
      <c r="BE41" s="245">
        <v>0.63386280477729495</v>
      </c>
      <c r="BF41" s="245">
        <v>-0.3615117365973034</v>
      </c>
      <c r="BG41" s="245">
        <v>0.49650122169740873</v>
      </c>
      <c r="BH41" s="245">
        <v>7.0770835189475356E-2</v>
      </c>
      <c r="BI41" s="245">
        <v>-4.7729411809123601E-2</v>
      </c>
      <c r="BJ41" s="245">
        <v>3.5956686714375685E-3</v>
      </c>
      <c r="BK41" s="245">
        <v>-0.2005392569118688</v>
      </c>
      <c r="BL41" s="245">
        <v>0.10757587194019269</v>
      </c>
      <c r="BM41" s="245">
        <v>-0.11788223810367848</v>
      </c>
      <c r="BN41" s="245">
        <v>-0.360975135204748</v>
      </c>
      <c r="BO41" s="245">
        <v>6.4601069818553292E-2</v>
      </c>
      <c r="BP41" s="245">
        <v>-0.12479351125964544</v>
      </c>
      <c r="BQ41" s="245">
        <v>-0.25882667858426478</v>
      </c>
      <c r="BR41" s="245">
        <v>-2.7757697817477278E-2</v>
      </c>
      <c r="BS41" s="245">
        <v>0.25665536476198447</v>
      </c>
      <c r="BT41" s="245">
        <v>-1.0330532408919149</v>
      </c>
      <c r="BU41" s="245">
        <v>-13.492269901104892</v>
      </c>
      <c r="BV41" s="245">
        <v>0.48223382015739125</v>
      </c>
      <c r="BW41" s="245">
        <v>-0.50460145623408637</v>
      </c>
      <c r="BX41" s="245">
        <v>0.14094667179804543</v>
      </c>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c r="DM41" s="245"/>
      <c r="DN41" s="245"/>
      <c r="DO41" s="245"/>
      <c r="DP41" s="245"/>
      <c r="DQ41" s="245"/>
      <c r="DR41" s="245"/>
      <c r="DS41" s="245"/>
      <c r="DT41" s="245"/>
      <c r="DU41" s="245"/>
      <c r="DV41" s="245"/>
      <c r="DW41" s="245"/>
      <c r="DX41" s="245"/>
      <c r="DY41" s="245"/>
      <c r="DZ41" s="245"/>
      <c r="EA41" s="245"/>
      <c r="EB41" s="245"/>
      <c r="EC41" s="245"/>
      <c r="ED41" s="245"/>
      <c r="EE41" s="245"/>
      <c r="EF41" s="245"/>
      <c r="EG41" s="245"/>
      <c r="EH41" s="245"/>
      <c r="EI41" s="245"/>
      <c r="EJ41" s="245"/>
      <c r="EK41" s="245"/>
      <c r="EL41" s="245"/>
      <c r="EM41" s="245"/>
      <c r="EN41" s="245"/>
      <c r="EO41" s="245"/>
      <c r="EP41" s="245"/>
      <c r="EQ41" s="245"/>
      <c r="ER41" s="245"/>
      <c r="ES41" s="245"/>
      <c r="ET41" s="245"/>
      <c r="EU41" s="245"/>
      <c r="EV41" s="245"/>
      <c r="EW41" s="245"/>
      <c r="EX41" s="245"/>
      <c r="EY41" s="245"/>
      <c r="EZ41" s="245"/>
      <c r="FA41" s="245"/>
      <c r="FB41" s="245"/>
      <c r="FC41" s="245"/>
      <c r="FD41" s="245"/>
      <c r="FE41" s="245"/>
      <c r="FF41" s="245"/>
      <c r="FG41" s="245"/>
      <c r="FH41" s="245"/>
      <c r="FI41" s="245"/>
      <c r="FJ41" s="245"/>
      <c r="FK41" s="245"/>
      <c r="FL41" s="245"/>
      <c r="FM41" s="245"/>
      <c r="FN41" s="245"/>
      <c r="FO41" s="245"/>
      <c r="FP41" s="245"/>
      <c r="FQ41" s="245"/>
      <c r="FR41" s="245"/>
      <c r="FS41" s="245"/>
      <c r="FT41" s="245"/>
      <c r="FU41" s="245"/>
      <c r="FV41" s="245"/>
      <c r="FW41" s="245"/>
      <c r="FX41" s="245"/>
      <c r="FY41" s="245"/>
      <c r="FZ41" s="245"/>
      <c r="GA41" s="245"/>
      <c r="GB41" s="245"/>
      <c r="GC41" s="245"/>
      <c r="GD41" s="245"/>
      <c r="GE41" s="245"/>
      <c r="GF41" s="245"/>
      <c r="GG41" s="245"/>
      <c r="GH41" s="245"/>
      <c r="GI41" s="245"/>
      <c r="GJ41" s="245"/>
      <c r="GK41" s="245"/>
      <c r="GL41" s="245"/>
      <c r="GM41" s="245"/>
      <c r="GN41" s="245"/>
      <c r="GO41" s="245"/>
      <c r="GP41" s="245"/>
      <c r="GQ41" s="245"/>
      <c r="GR41" s="245"/>
      <c r="GS41" s="245"/>
      <c r="GT41" s="245"/>
      <c r="GU41" s="245"/>
      <c r="GV41" s="245"/>
      <c r="GW41" s="245"/>
      <c r="GX41" s="245"/>
      <c r="GY41" s="245"/>
      <c r="GZ41" s="245"/>
      <c r="HA41" s="245"/>
      <c r="HB41" s="245"/>
      <c r="HC41" s="245"/>
      <c r="HD41" s="245"/>
      <c r="HE41" s="245"/>
      <c r="HF41" s="245"/>
      <c r="HG41" s="245"/>
      <c r="HH41" s="245"/>
      <c r="HI41" s="245"/>
      <c r="HJ41" s="245"/>
      <c r="HK41" s="245"/>
      <c r="HL41" s="245"/>
      <c r="HM41" s="245"/>
      <c r="HN41" s="245"/>
      <c r="HO41" s="245"/>
      <c r="HP41" s="245"/>
      <c r="HQ41" s="245"/>
      <c r="HR41" s="245"/>
      <c r="HS41" s="245"/>
      <c r="HT41" s="245"/>
      <c r="HU41" s="245"/>
      <c r="HV41" s="245"/>
      <c r="HW41" s="245"/>
      <c r="HX41" s="245"/>
      <c r="HY41" s="245"/>
      <c r="HZ41" s="245"/>
      <c r="IA41" s="245"/>
      <c r="IB41" s="245"/>
      <c r="IC41" s="245"/>
      <c r="ID41" s="245"/>
      <c r="IE41" s="245"/>
      <c r="IF41" s="245"/>
      <c r="IG41" s="245"/>
      <c r="IH41" s="245"/>
      <c r="II41" s="245"/>
      <c r="IJ41" s="245"/>
      <c r="IK41" s="245"/>
      <c r="IL41" s="245"/>
      <c r="IM41" s="245"/>
      <c r="IN41" s="245"/>
      <c r="IO41" s="245"/>
      <c r="IP41" s="245"/>
      <c r="IQ41" s="245"/>
      <c r="IR41" s="245"/>
      <c r="IS41" s="245"/>
      <c r="IT41" s="245"/>
      <c r="IU41" s="245"/>
      <c r="IV41" s="245"/>
    </row>
    <row r="42" spans="1:256" ht="15" x14ac:dyDescent="0.25">
      <c r="A42" s="245"/>
      <c r="B42" s="239" t="s">
        <v>146</v>
      </c>
      <c r="C42" s="245"/>
      <c r="D42" s="245"/>
      <c r="E42" s="245"/>
      <c r="F42" s="245"/>
      <c r="G42" s="245"/>
      <c r="H42" s="245"/>
      <c r="I42" s="245"/>
      <c r="J42" s="245"/>
      <c r="K42" s="245"/>
      <c r="L42" s="245"/>
      <c r="M42" s="245"/>
      <c r="N42" s="245"/>
      <c r="O42" s="245">
        <v>0.21329122349592033</v>
      </c>
      <c r="P42" s="245">
        <v>-7.6896254040167422E-2</v>
      </c>
      <c r="Q42" s="245">
        <v>2.2939219433897984E-2</v>
      </c>
      <c r="R42" s="245">
        <v>8.5689719776207207E-2</v>
      </c>
      <c r="S42" s="245">
        <v>-0.10688451012386579</v>
      </c>
      <c r="T42" s="245">
        <v>9.6413947206955175E-2</v>
      </c>
      <c r="U42" s="245">
        <v>9.1385288139064658E-2</v>
      </c>
      <c r="V42" s="245">
        <v>-4.503373172689551E-2</v>
      </c>
      <c r="W42" s="245">
        <v>0.14065399171770987</v>
      </c>
      <c r="X42" s="245">
        <v>-8.4868790353410772E-2</v>
      </c>
      <c r="Y42" s="245">
        <v>-1.3035250141830934E-2</v>
      </c>
      <c r="Z42" s="245">
        <v>9.7097295317037036E-2</v>
      </c>
      <c r="AA42" s="245">
        <v>4.3621114064886779E-3</v>
      </c>
      <c r="AB42" s="245">
        <v>-0.1058933465457812</v>
      </c>
      <c r="AC42" s="245">
        <v>-2.0594287146663337E-2</v>
      </c>
      <c r="AD42" s="245">
        <v>-6.2687461370931508E-2</v>
      </c>
      <c r="AE42" s="245">
        <v>2.9400110523264633E-2</v>
      </c>
      <c r="AF42" s="245">
        <v>0.11945895172688958</v>
      </c>
      <c r="AG42" s="245">
        <v>6.5565686106732191E-3</v>
      </c>
      <c r="AH42" s="245">
        <v>-8.0080954007031191E-2</v>
      </c>
      <c r="AI42" s="245">
        <v>2.543401213512575E-2</v>
      </c>
      <c r="AJ42" s="245">
        <v>9.6278445874730556E-2</v>
      </c>
      <c r="AK42" s="245">
        <v>7.014368164300433E-2</v>
      </c>
      <c r="AL42" s="245">
        <v>9.1919343629109251E-2</v>
      </c>
      <c r="AM42" s="245">
        <v>6.1532621785627573E-2</v>
      </c>
      <c r="AN42" s="245">
        <v>3.566423685654585E-2</v>
      </c>
      <c r="AO42" s="245">
        <v>0.11411957484358526</v>
      </c>
      <c r="AP42" s="245">
        <v>0.11879213615469575</v>
      </c>
      <c r="AQ42" s="245">
        <v>-8.6847479592500054E-3</v>
      </c>
      <c r="AR42" s="245">
        <v>-0.25817291872383497</v>
      </c>
      <c r="AS42" s="245">
        <v>3.5746118558104278E-3</v>
      </c>
      <c r="AT42" s="245">
        <v>1.2914360437133787E-2</v>
      </c>
      <c r="AU42" s="245">
        <v>0.14544656993438854</v>
      </c>
      <c r="AV42" s="245">
        <v>0.22184384623008935</v>
      </c>
      <c r="AW42" s="245">
        <v>-9.0867895498294993E-2</v>
      </c>
      <c r="AX42" s="245">
        <v>7.272811757744635E-2</v>
      </c>
      <c r="AY42" s="245">
        <v>-3.8085051428245253E-2</v>
      </c>
      <c r="AZ42" s="245">
        <v>-4.2764479667963484E-2</v>
      </c>
      <c r="BA42" s="245">
        <v>-0.26230745540826061</v>
      </c>
      <c r="BB42" s="245">
        <v>0.18382519656274177</v>
      </c>
      <c r="BC42" s="245">
        <v>7.3755089113989314E-2</v>
      </c>
      <c r="BD42" s="245">
        <v>-7.9828023742336551E-3</v>
      </c>
      <c r="BE42" s="245">
        <v>0.15020000888625562</v>
      </c>
      <c r="BF42" s="245">
        <v>-0.24727096332662657</v>
      </c>
      <c r="BG42" s="245">
        <v>-5.5764977442532504E-2</v>
      </c>
      <c r="BH42" s="245">
        <v>-3.4481773913547231E-3</v>
      </c>
      <c r="BI42" s="245">
        <v>4.8692802060870788E-2</v>
      </c>
      <c r="BJ42" s="245">
        <v>-0.11159056844158632</v>
      </c>
      <c r="BK42" s="245">
        <v>-1.6393222736493351E-2</v>
      </c>
      <c r="BL42" s="245">
        <v>0.12123433281043661</v>
      </c>
      <c r="BM42" s="245">
        <v>0.16450722090101877</v>
      </c>
      <c r="BN42" s="245">
        <v>0.23043401664746566</v>
      </c>
      <c r="BO42" s="245">
        <v>2.3228496006525656E-2</v>
      </c>
      <c r="BP42" s="245">
        <v>2.8503646094415913E-2</v>
      </c>
      <c r="BQ42" s="245">
        <v>-9.606134796291943E-2</v>
      </c>
      <c r="BR42" s="245">
        <v>3.1937415690129756E-2</v>
      </c>
      <c r="BS42" s="245">
        <v>0.35736872214835036</v>
      </c>
      <c r="BT42" s="245">
        <v>-2.8237785890267375E-2</v>
      </c>
      <c r="BU42" s="245">
        <v>0.18454499055977136</v>
      </c>
      <c r="BV42" s="245">
        <v>-3.0907768193499385E-2</v>
      </c>
      <c r="BW42" s="245">
        <v>-5.698664983628976E-2</v>
      </c>
      <c r="BX42" s="245">
        <v>-5.4718861962277265E-2</v>
      </c>
      <c r="BY42" s="245"/>
      <c r="BZ42" s="245"/>
      <c r="CA42" s="245"/>
      <c r="CB42" s="245"/>
      <c r="CC42" s="245"/>
      <c r="CD42" s="245"/>
      <c r="CE42" s="245"/>
      <c r="CF42" s="245"/>
      <c r="CG42" s="245"/>
      <c r="CH42" s="245"/>
      <c r="CI42" s="245"/>
      <c r="CJ42" s="245"/>
      <c r="CK42" s="245"/>
      <c r="CL42" s="245"/>
      <c r="CM42" s="245"/>
      <c r="CN42" s="245"/>
      <c r="CO42" s="245"/>
      <c r="CP42" s="245"/>
      <c r="CQ42" s="245"/>
      <c r="CR42" s="245"/>
      <c r="CS42" s="245"/>
      <c r="CT42" s="245"/>
      <c r="CU42" s="245"/>
      <c r="CV42" s="245"/>
      <c r="CW42" s="245"/>
      <c r="CX42" s="245"/>
      <c r="CY42" s="245"/>
      <c r="CZ42" s="245"/>
      <c r="DA42" s="245"/>
      <c r="DB42" s="245"/>
      <c r="DC42" s="245"/>
      <c r="DD42" s="245"/>
      <c r="DE42" s="245"/>
      <c r="DF42" s="245"/>
      <c r="DG42" s="245"/>
      <c r="DH42" s="245"/>
      <c r="DI42" s="245"/>
      <c r="DJ42" s="245"/>
      <c r="DK42" s="245"/>
      <c r="DL42" s="245"/>
      <c r="DM42" s="245"/>
      <c r="DN42" s="245"/>
      <c r="DO42" s="245"/>
      <c r="DP42" s="245"/>
      <c r="DQ42" s="245"/>
      <c r="DR42" s="245"/>
      <c r="DS42" s="245"/>
      <c r="DT42" s="245"/>
      <c r="DU42" s="245"/>
      <c r="DV42" s="245"/>
      <c r="DW42" s="245"/>
      <c r="DX42" s="245"/>
      <c r="DY42" s="245"/>
      <c r="DZ42" s="245"/>
      <c r="EA42" s="245"/>
      <c r="EB42" s="245"/>
      <c r="EC42" s="245"/>
      <c r="ED42" s="245"/>
      <c r="EE42" s="245"/>
      <c r="EF42" s="245"/>
      <c r="EG42" s="245"/>
      <c r="EH42" s="245"/>
      <c r="EI42" s="245"/>
      <c r="EJ42" s="245"/>
      <c r="EK42" s="245"/>
      <c r="EL42" s="245"/>
      <c r="EM42" s="245"/>
      <c r="EN42" s="245"/>
      <c r="EO42" s="245"/>
      <c r="EP42" s="245"/>
      <c r="EQ42" s="245"/>
      <c r="ER42" s="245"/>
      <c r="ES42" s="245"/>
      <c r="ET42" s="245"/>
      <c r="EU42" s="245"/>
      <c r="EV42" s="245"/>
      <c r="EW42" s="245"/>
      <c r="EX42" s="245"/>
      <c r="EY42" s="245"/>
      <c r="EZ42" s="245"/>
      <c r="FA42" s="245"/>
      <c r="FB42" s="245"/>
      <c r="FC42" s="245"/>
      <c r="FD42" s="245"/>
      <c r="FE42" s="245"/>
      <c r="FF42" s="245"/>
      <c r="FG42" s="245"/>
      <c r="FH42" s="245"/>
      <c r="FI42" s="245"/>
      <c r="FJ42" s="245"/>
      <c r="FK42" s="245"/>
      <c r="FL42" s="245"/>
      <c r="FM42" s="245"/>
      <c r="FN42" s="245"/>
      <c r="FO42" s="245"/>
      <c r="FP42" s="245"/>
      <c r="FQ42" s="245"/>
      <c r="FR42" s="245"/>
      <c r="FS42" s="245"/>
      <c r="FT42" s="245"/>
      <c r="FU42" s="245"/>
      <c r="FV42" s="245"/>
      <c r="FW42" s="245"/>
      <c r="FX42" s="245"/>
      <c r="FY42" s="245"/>
      <c r="FZ42" s="245"/>
      <c r="GA42" s="245"/>
      <c r="GB42" s="245"/>
      <c r="GC42" s="245"/>
      <c r="GD42" s="245"/>
      <c r="GE42" s="245"/>
      <c r="GF42" s="245"/>
      <c r="GG42" s="245"/>
      <c r="GH42" s="245"/>
      <c r="GI42" s="245"/>
      <c r="GJ42" s="245"/>
      <c r="GK42" s="245"/>
      <c r="GL42" s="245"/>
      <c r="GM42" s="245"/>
      <c r="GN42" s="245"/>
      <c r="GO42" s="245"/>
      <c r="GP42" s="245"/>
      <c r="GQ42" s="245"/>
      <c r="GR42" s="245"/>
      <c r="GS42" s="245"/>
      <c r="GT42" s="245"/>
      <c r="GU42" s="245"/>
      <c r="GV42" s="245"/>
      <c r="GW42" s="245"/>
      <c r="GX42" s="245"/>
      <c r="GY42" s="245"/>
      <c r="GZ42" s="245"/>
      <c r="HA42" s="245"/>
      <c r="HB42" s="245"/>
      <c r="HC42" s="245"/>
      <c r="HD42" s="245"/>
      <c r="HE42" s="245"/>
      <c r="HF42" s="245"/>
      <c r="HG42" s="245"/>
      <c r="HH42" s="245"/>
      <c r="HI42" s="245"/>
      <c r="HJ42" s="245"/>
      <c r="HK42" s="245"/>
      <c r="HL42" s="245"/>
      <c r="HM42" s="245"/>
      <c r="HN42" s="245"/>
      <c r="HO42" s="245"/>
      <c r="HP42" s="245"/>
      <c r="HQ42" s="245"/>
      <c r="HR42" s="245"/>
      <c r="HS42" s="245"/>
      <c r="HT42" s="245"/>
      <c r="HU42" s="245"/>
      <c r="HV42" s="245"/>
      <c r="HW42" s="245"/>
      <c r="HX42" s="245"/>
      <c r="HY42" s="245"/>
      <c r="HZ42" s="245"/>
      <c r="IA42" s="245"/>
      <c r="IB42" s="245"/>
      <c r="IC42" s="245"/>
      <c r="ID42" s="245"/>
      <c r="IE42" s="245"/>
      <c r="IF42" s="245"/>
      <c r="IG42" s="245"/>
      <c r="IH42" s="245"/>
      <c r="II42" s="245"/>
      <c r="IJ42" s="245"/>
      <c r="IK42" s="245"/>
      <c r="IL42" s="245"/>
      <c r="IM42" s="245"/>
      <c r="IN42" s="245"/>
      <c r="IO42" s="245"/>
      <c r="IP42" s="245"/>
      <c r="IQ42" s="245"/>
      <c r="IR42" s="245"/>
      <c r="IS42" s="245"/>
      <c r="IT42" s="245"/>
      <c r="IU42" s="245"/>
      <c r="IV42" s="245"/>
    </row>
    <row r="43" spans="1:256" ht="15" x14ac:dyDescent="0.25">
      <c r="A43" s="245"/>
      <c r="B43" s="237" t="s">
        <v>144</v>
      </c>
      <c r="C43" s="245"/>
      <c r="D43" s="245"/>
      <c r="E43" s="245"/>
      <c r="F43" s="245"/>
      <c r="G43" s="245"/>
      <c r="H43" s="245"/>
      <c r="I43" s="245"/>
      <c r="J43" s="245"/>
      <c r="K43" s="245"/>
      <c r="L43" s="245"/>
      <c r="M43" s="245"/>
      <c r="N43" s="245"/>
      <c r="O43" s="245">
        <v>5.8124004227106951E-3</v>
      </c>
      <c r="P43" s="245">
        <v>-2.57786888661935E-2</v>
      </c>
      <c r="Q43" s="245">
        <v>2.2797563982189128E-2</v>
      </c>
      <c r="R43" s="245">
        <v>8.2389292453446616E-2</v>
      </c>
      <c r="S43" s="245">
        <v>-0.13330677871357854</v>
      </c>
      <c r="T43" s="245">
        <v>7.2463968064486961E-2</v>
      </c>
      <c r="U43" s="245">
        <v>0.13446424550249114</v>
      </c>
      <c r="V43" s="245">
        <v>-3.2222199721875788E-2</v>
      </c>
      <c r="W43" s="245">
        <v>0.17504711391980421</v>
      </c>
      <c r="X43" s="245">
        <v>-0.11875180563289633</v>
      </c>
      <c r="Y43" s="245">
        <v>-2.5731418235008685E-2</v>
      </c>
      <c r="Z43" s="245">
        <v>0.10334438270098056</v>
      </c>
      <c r="AA43" s="245">
        <v>-4.0417817337551565E-2</v>
      </c>
      <c r="AB43" s="245">
        <v>-1.6525319207793987E-2</v>
      </c>
      <c r="AC43" s="245">
        <v>-4.764550441553439E-2</v>
      </c>
      <c r="AD43" s="245">
        <v>-9.0274786674041207E-2</v>
      </c>
      <c r="AE43" s="245">
        <v>2.5743704320060568E-2</v>
      </c>
      <c r="AF43" s="245">
        <v>9.434220036516372E-2</v>
      </c>
      <c r="AG43" s="245">
        <v>2.0680287906474915E-2</v>
      </c>
      <c r="AH43" s="245">
        <v>1.5618192494049499E-2</v>
      </c>
      <c r="AI43" s="245">
        <v>1.0476666713165939E-2</v>
      </c>
      <c r="AJ43" s="245">
        <v>0.10192353613874428</v>
      </c>
      <c r="AK43" s="245">
        <v>-1.4782510707517682E-2</v>
      </c>
      <c r="AL43" s="245">
        <v>-3.4431805627243461E-2</v>
      </c>
      <c r="AM43" s="245">
        <v>0.11831134218143036</v>
      </c>
      <c r="AN43" s="245">
        <v>1.7458010555260195E-4</v>
      </c>
      <c r="AO43" s="245">
        <v>0.19007575999994897</v>
      </c>
      <c r="AP43" s="245">
        <v>0.13123358999748813</v>
      </c>
      <c r="AQ43" s="245">
        <v>-4.1753612641173832E-2</v>
      </c>
      <c r="AR43" s="245">
        <v>-0.25610086720414316</v>
      </c>
      <c r="AS43" s="245">
        <v>-5.7223381715458155E-2</v>
      </c>
      <c r="AT43" s="245">
        <v>1.5905533075414535E-2</v>
      </c>
      <c r="AU43" s="245">
        <v>0.22654634877008717</v>
      </c>
      <c r="AV43" s="245">
        <v>0.28352766886402403</v>
      </c>
      <c r="AW43" s="245">
        <v>-0.11653080999977228</v>
      </c>
      <c r="AX43" s="245">
        <v>5.9691510678459236E-2</v>
      </c>
      <c r="AY43" s="245">
        <v>-7.4100194641143591E-2</v>
      </c>
      <c r="AZ43" s="245">
        <v>3.9641140678385867E-3</v>
      </c>
      <c r="BA43" s="245">
        <v>-6.2614642711665502E-2</v>
      </c>
      <c r="BB43" s="245">
        <v>0.14925701024230342</v>
      </c>
      <c r="BC43" s="245">
        <v>3.1096836706118625E-2</v>
      </c>
      <c r="BD43" s="245">
        <v>-8.1017858048825331E-2</v>
      </c>
      <c r="BE43" s="245">
        <v>0.17285309360540047</v>
      </c>
      <c r="BF43" s="245">
        <v>-0.28648712761275141</v>
      </c>
      <c r="BG43" s="245">
        <v>-4.932932721093386E-2</v>
      </c>
      <c r="BH43" s="245">
        <v>-9.7266631536093717E-3</v>
      </c>
      <c r="BI43" s="245">
        <v>6.7295620673614387E-2</v>
      </c>
      <c r="BJ43" s="245">
        <v>-8.1157399409123698E-2</v>
      </c>
      <c r="BK43" s="245">
        <v>-6.6089905900775348E-2</v>
      </c>
      <c r="BL43" s="245">
        <v>0.17886970622765186</v>
      </c>
      <c r="BM43" s="245">
        <v>0.14375521568539029</v>
      </c>
      <c r="BN43" s="245">
        <v>0.2352047486604556</v>
      </c>
      <c r="BO43" s="245">
        <v>2.3555258583396022E-2</v>
      </c>
      <c r="BP43" s="245">
        <v>-6.449507901048257E-3</v>
      </c>
      <c r="BQ43" s="245">
        <v>-8.4534232903196949E-2</v>
      </c>
      <c r="BR43" s="245">
        <v>7.7326613809220124E-2</v>
      </c>
      <c r="BS43" s="245">
        <v>0.35121462303402073</v>
      </c>
      <c r="BT43" s="245">
        <v>-8.2942689132999847E-3</v>
      </c>
      <c r="BU43" s="245">
        <v>0.25286061215560918</v>
      </c>
      <c r="BV43" s="245">
        <v>-5.2988138819089592E-2</v>
      </c>
      <c r="BW43" s="245">
        <v>-2.9147143841333434E-2</v>
      </c>
      <c r="BX43" s="245">
        <v>-7.5770530684919679E-2</v>
      </c>
      <c r="BY43" s="245"/>
      <c r="BZ43" s="245"/>
      <c r="CA43" s="245"/>
      <c r="CB43" s="245"/>
      <c r="CC43" s="245"/>
      <c r="CD43" s="245"/>
      <c r="CE43" s="245"/>
      <c r="CF43" s="245"/>
      <c r="CG43" s="245"/>
      <c r="CH43" s="245"/>
      <c r="CI43" s="245"/>
      <c r="CJ43" s="245"/>
      <c r="CK43" s="245"/>
      <c r="CL43" s="245"/>
      <c r="CM43" s="245"/>
      <c r="CN43" s="245"/>
      <c r="CO43" s="245"/>
      <c r="CP43" s="245"/>
      <c r="CQ43" s="245"/>
      <c r="CR43" s="245"/>
      <c r="CS43" s="245"/>
      <c r="CT43" s="245"/>
      <c r="CU43" s="245"/>
      <c r="CV43" s="245"/>
      <c r="CW43" s="245"/>
      <c r="CX43" s="245"/>
      <c r="CY43" s="245"/>
      <c r="CZ43" s="245"/>
      <c r="DA43" s="245"/>
      <c r="DB43" s="245"/>
      <c r="DC43" s="245"/>
      <c r="DD43" s="245"/>
      <c r="DE43" s="245"/>
      <c r="DF43" s="245"/>
      <c r="DG43" s="245"/>
      <c r="DH43" s="245"/>
      <c r="DI43" s="245"/>
      <c r="DJ43" s="245"/>
      <c r="DK43" s="245"/>
      <c r="DL43" s="245"/>
      <c r="DM43" s="245"/>
      <c r="DN43" s="245"/>
      <c r="DO43" s="245"/>
      <c r="DP43" s="245"/>
      <c r="DQ43" s="245"/>
      <c r="DR43" s="245"/>
      <c r="DS43" s="245"/>
      <c r="DT43" s="245"/>
      <c r="DU43" s="245"/>
      <c r="DV43" s="245"/>
      <c r="DW43" s="245"/>
      <c r="DX43" s="245"/>
      <c r="DY43" s="245"/>
      <c r="DZ43" s="245"/>
      <c r="EA43" s="245"/>
      <c r="EB43" s="245"/>
      <c r="EC43" s="245"/>
      <c r="ED43" s="245"/>
      <c r="EE43" s="245"/>
      <c r="EF43" s="245"/>
      <c r="EG43" s="245"/>
      <c r="EH43" s="245"/>
      <c r="EI43" s="245"/>
      <c r="EJ43" s="245"/>
      <c r="EK43" s="245"/>
      <c r="EL43" s="245"/>
      <c r="EM43" s="245"/>
      <c r="EN43" s="245"/>
      <c r="EO43" s="245"/>
      <c r="EP43" s="245"/>
      <c r="EQ43" s="245"/>
      <c r="ER43" s="245"/>
      <c r="ES43" s="245"/>
      <c r="ET43" s="245"/>
      <c r="EU43" s="245"/>
      <c r="EV43" s="245"/>
      <c r="EW43" s="245"/>
      <c r="EX43" s="245"/>
      <c r="EY43" s="245"/>
      <c r="EZ43" s="245"/>
      <c r="FA43" s="245"/>
      <c r="FB43" s="245"/>
      <c r="FC43" s="245"/>
      <c r="FD43" s="245"/>
      <c r="FE43" s="245"/>
      <c r="FF43" s="245"/>
      <c r="FG43" s="245"/>
      <c r="FH43" s="245"/>
      <c r="FI43" s="245"/>
      <c r="FJ43" s="245"/>
      <c r="FK43" s="245"/>
      <c r="FL43" s="245"/>
      <c r="FM43" s="245"/>
      <c r="FN43" s="245"/>
      <c r="FO43" s="245"/>
      <c r="FP43" s="245"/>
      <c r="FQ43" s="245"/>
      <c r="FR43" s="245"/>
      <c r="FS43" s="245"/>
      <c r="FT43" s="245"/>
      <c r="FU43" s="245"/>
      <c r="FV43" s="245"/>
      <c r="FW43" s="245"/>
      <c r="FX43" s="245"/>
      <c r="FY43" s="245"/>
      <c r="FZ43" s="245"/>
      <c r="GA43" s="245"/>
      <c r="GB43" s="245"/>
      <c r="GC43" s="245"/>
      <c r="GD43" s="245"/>
      <c r="GE43" s="245"/>
      <c r="GF43" s="245"/>
      <c r="GG43" s="245"/>
      <c r="GH43" s="245"/>
      <c r="GI43" s="245"/>
      <c r="GJ43" s="245"/>
      <c r="GK43" s="245"/>
      <c r="GL43" s="245"/>
      <c r="GM43" s="245"/>
      <c r="GN43" s="245"/>
      <c r="GO43" s="245"/>
      <c r="GP43" s="245"/>
      <c r="GQ43" s="245"/>
      <c r="GR43" s="245"/>
      <c r="GS43" s="245"/>
      <c r="GT43" s="245"/>
      <c r="GU43" s="245"/>
      <c r="GV43" s="245"/>
      <c r="GW43" s="245"/>
      <c r="GX43" s="245"/>
      <c r="GY43" s="245"/>
      <c r="GZ43" s="245"/>
      <c r="HA43" s="245"/>
      <c r="HB43" s="245"/>
      <c r="HC43" s="245"/>
      <c r="HD43" s="245"/>
      <c r="HE43" s="245"/>
      <c r="HF43" s="245"/>
      <c r="HG43" s="245"/>
      <c r="HH43" s="245"/>
      <c r="HI43" s="245"/>
      <c r="HJ43" s="245"/>
      <c r="HK43" s="245"/>
      <c r="HL43" s="245"/>
      <c r="HM43" s="245"/>
      <c r="HN43" s="245"/>
      <c r="HO43" s="245"/>
      <c r="HP43" s="245"/>
      <c r="HQ43" s="245"/>
      <c r="HR43" s="245"/>
      <c r="HS43" s="245"/>
      <c r="HT43" s="245"/>
      <c r="HU43" s="245"/>
      <c r="HV43" s="245"/>
      <c r="HW43" s="245"/>
      <c r="HX43" s="245"/>
      <c r="HY43" s="245"/>
      <c r="HZ43" s="245"/>
      <c r="IA43" s="245"/>
      <c r="IB43" s="245"/>
      <c r="IC43" s="245"/>
      <c r="ID43" s="245"/>
      <c r="IE43" s="245"/>
      <c r="IF43" s="245"/>
      <c r="IG43" s="245"/>
      <c r="IH43" s="245"/>
      <c r="II43" s="245"/>
      <c r="IJ43" s="245"/>
      <c r="IK43" s="245"/>
      <c r="IL43" s="245"/>
      <c r="IM43" s="245"/>
      <c r="IN43" s="245"/>
      <c r="IO43" s="245"/>
      <c r="IP43" s="245"/>
      <c r="IQ43" s="245"/>
      <c r="IR43" s="245"/>
      <c r="IS43" s="245"/>
      <c r="IT43" s="245"/>
      <c r="IU43" s="245"/>
      <c r="IV43" s="245"/>
    </row>
    <row r="44" spans="1:256" ht="15" x14ac:dyDescent="0.25">
      <c r="A44" s="245"/>
      <c r="B44" s="237" t="s">
        <v>143</v>
      </c>
      <c r="C44" s="245"/>
      <c r="D44" s="245"/>
      <c r="E44" s="245"/>
      <c r="F44" s="245"/>
      <c r="G44" s="245"/>
      <c r="H44" s="245"/>
      <c r="I44" s="245"/>
      <c r="J44" s="245"/>
      <c r="K44" s="245"/>
      <c r="L44" s="245"/>
      <c r="M44" s="245"/>
      <c r="N44" s="245"/>
      <c r="O44" s="245">
        <v>1.147215540299376</v>
      </c>
      <c r="P44" s="245">
        <v>-0.18467904146838277</v>
      </c>
      <c r="Q44" s="245">
        <v>2.3296115338159673E-2</v>
      </c>
      <c r="R44" s="245">
        <v>9.40009785426692E-2</v>
      </c>
      <c r="S44" s="245">
        <v>-4.1053198189511586E-2</v>
      </c>
      <c r="T44" s="245">
        <v>0.1503449420244436</v>
      </c>
      <c r="U44" s="245">
        <v>9.4684071198658515E-4</v>
      </c>
      <c r="V44" s="245">
        <v>-7.5517509026480023E-2</v>
      </c>
      <c r="W44" s="245">
        <v>5.4986454392445205E-2</v>
      </c>
      <c r="X44" s="245">
        <v>9.1327841407438104E-3</v>
      </c>
      <c r="Y44" s="245">
        <v>1.7723994387483843E-2</v>
      </c>
      <c r="Z44" s="245">
        <v>8.2608600469019411E-2</v>
      </c>
      <c r="AA44" s="245">
        <v>0.11020817185306253</v>
      </c>
      <c r="AB44" s="245">
        <v>-0.28847251619776459</v>
      </c>
      <c r="AC44" s="245">
        <v>5.5794105569528574E-2</v>
      </c>
      <c r="AD44" s="245">
        <v>7.5824747584729568E-3</v>
      </c>
      <c r="AE44" s="245">
        <v>3.780910420738004E-2</v>
      </c>
      <c r="AF44" s="245">
        <v>0.17655084423997924</v>
      </c>
      <c r="AG44" s="245">
        <v>-2.3304304204329385E-2</v>
      </c>
      <c r="AH44" s="245">
        <v>-0.29152328520969228</v>
      </c>
      <c r="AI44" s="245">
        <v>7.2808364695701844E-2</v>
      </c>
      <c r="AJ44" s="245">
        <v>7.9437604177422516E-2</v>
      </c>
      <c r="AK44" s="245">
        <v>0.32877938200949952</v>
      </c>
      <c r="AL44" s="245">
        <v>0.37722162685168659</v>
      </c>
      <c r="AM44" s="245">
        <v>-2.8353112241907175E-2</v>
      </c>
      <c r="AN44" s="245">
        <v>0.10032803844738636</v>
      </c>
      <c r="AO44" s="245">
        <v>-1.1679142083564242E-2</v>
      </c>
      <c r="AP44" s="245">
        <v>9.3980188962689226E-2</v>
      </c>
      <c r="AQ44" s="245">
        <v>5.9510142383324638E-2</v>
      </c>
      <c r="AR44" s="245">
        <v>-0.26203752426368487</v>
      </c>
      <c r="AS44" s="245">
        <v>0.11788182666003011</v>
      </c>
      <c r="AT44" s="245">
        <v>8.1715170681659899E-3</v>
      </c>
      <c r="AU44" s="245">
        <v>1.58671966962598E-2</v>
      </c>
      <c r="AV44" s="245">
        <v>0.1028472573971897</v>
      </c>
      <c r="AW44" s="245">
        <v>-3.3249776389753571E-2</v>
      </c>
      <c r="AX44" s="245">
        <v>9.9476332093512809E-2</v>
      </c>
      <c r="AY44" s="245">
        <v>3.3136092295516617E-2</v>
      </c>
      <c r="AZ44" s="245">
        <v>-0.12558023514880756</v>
      </c>
      <c r="BA44" s="245">
        <v>-0.66864870769045304</v>
      </c>
      <c r="BB44" s="245">
        <v>0.38281671738476386</v>
      </c>
      <c r="BC44" s="245">
        <v>0.27784125978941288</v>
      </c>
      <c r="BD44" s="245">
        <v>0.2739622186993893</v>
      </c>
      <c r="BE44" s="245">
        <v>8.711721236611103E-2</v>
      </c>
      <c r="BF44" s="245">
        <v>-0.12945179640884008</v>
      </c>
      <c r="BG44" s="245">
        <v>-7.1612167115817638E-2</v>
      </c>
      <c r="BH44" s="245">
        <v>1.2383079398515351E-2</v>
      </c>
      <c r="BI44" s="245">
        <v>2.8100521203358042E-3</v>
      </c>
      <c r="BJ44" s="245">
        <v>-0.19147900363027814</v>
      </c>
      <c r="BK44" s="245">
        <v>0.13186335138891225</v>
      </c>
      <c r="BL44" s="245">
        <v>-2.0634416067672356E-2</v>
      </c>
      <c r="BM44" s="245">
        <v>0.22599356407807547</v>
      </c>
      <c r="BN44" s="245">
        <v>0.21724694045253812</v>
      </c>
      <c r="BO44" s="245">
        <v>2.2311946205950672E-2</v>
      </c>
      <c r="BP44" s="245">
        <v>0.12666442219465535</v>
      </c>
      <c r="BQ44" s="245">
        <v>-0.12460881654288969</v>
      </c>
      <c r="BR44" s="245">
        <v>-8.5617129713194462E-2</v>
      </c>
      <c r="BS44" s="245">
        <v>0.3761476463788096</v>
      </c>
      <c r="BT44" s="245">
        <v>-8.7991826138415719E-2</v>
      </c>
      <c r="BU44" s="245">
        <v>-3.8026556585283422E-2</v>
      </c>
      <c r="BV44" s="245">
        <v>6.278275244502729E-2</v>
      </c>
      <c r="BW44" s="245">
        <v>-0.16224625551773086</v>
      </c>
      <c r="BX44" s="245">
        <v>3.7522089979760365E-2</v>
      </c>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c r="HU44" s="245"/>
      <c r="HV44" s="245"/>
      <c r="HW44" s="245"/>
      <c r="HX44" s="245"/>
      <c r="HY44" s="245"/>
      <c r="HZ44" s="245"/>
      <c r="IA44" s="245"/>
      <c r="IB44" s="245"/>
      <c r="IC44" s="245"/>
      <c r="ID44" s="245"/>
      <c r="IE44" s="245"/>
      <c r="IF44" s="245"/>
      <c r="IG44" s="245"/>
      <c r="IH44" s="245"/>
      <c r="II44" s="245"/>
      <c r="IJ44" s="245"/>
      <c r="IK44" s="245"/>
      <c r="IL44" s="245"/>
      <c r="IM44" s="245"/>
      <c r="IN44" s="245"/>
      <c r="IO44" s="245"/>
      <c r="IP44" s="245"/>
      <c r="IQ44" s="245"/>
      <c r="IR44" s="245"/>
      <c r="IS44" s="245"/>
      <c r="IT44" s="245"/>
      <c r="IU44" s="245"/>
      <c r="IV44" s="245"/>
    </row>
    <row r="45" spans="1:256" ht="15" x14ac:dyDescent="0.25">
      <c r="A45" s="245"/>
      <c r="B45" s="239" t="s">
        <v>145</v>
      </c>
      <c r="C45" s="245"/>
      <c r="D45" s="245"/>
      <c r="E45" s="245"/>
      <c r="F45" s="245"/>
      <c r="G45" s="245"/>
      <c r="H45" s="245"/>
      <c r="I45" s="245"/>
      <c r="J45" s="245"/>
      <c r="K45" s="245"/>
      <c r="L45" s="245"/>
      <c r="M45" s="245"/>
      <c r="N45" s="245"/>
      <c r="O45" s="245">
        <v>7.1975414595158993E-2</v>
      </c>
      <c r="P45" s="245">
        <v>9.8430896011558744E-4</v>
      </c>
      <c r="Q45" s="245">
        <v>-0.13483288834352747</v>
      </c>
      <c r="R45" s="245">
        <v>0.25398141077667957</v>
      </c>
      <c r="S45" s="245">
        <v>-9.9019315808711927E-2</v>
      </c>
      <c r="T45" s="245">
        <v>1.0261863488603362E-2</v>
      </c>
      <c r="U45" s="245">
        <v>-3.75446809773472E-2</v>
      </c>
      <c r="V45" s="245">
        <v>4.8146762408316501E-3</v>
      </c>
      <c r="W45" s="245">
        <v>1.5318588069560102E-2</v>
      </c>
      <c r="X45" s="245">
        <v>-6.9656691607998811E-3</v>
      </c>
      <c r="Y45" s="245">
        <v>0.11819124808052628</v>
      </c>
      <c r="Z45" s="245">
        <v>-0.13464256660416418</v>
      </c>
      <c r="AA45" s="245">
        <v>-7.395679754352702E-2</v>
      </c>
      <c r="AB45" s="245">
        <v>4.0339602358222093E-2</v>
      </c>
      <c r="AC45" s="245">
        <v>1.7323680410155085E-2</v>
      </c>
      <c r="AD45" s="245">
        <v>5.1783923846236313E-2</v>
      </c>
      <c r="AE45" s="245">
        <v>-3.6600750870780741E-2</v>
      </c>
      <c r="AF45" s="245">
        <v>3.3148017812193231E-2</v>
      </c>
      <c r="AG45" s="245">
        <v>-2.8123858817110881E-2</v>
      </c>
      <c r="AH45" s="245">
        <v>8.5745845952670763E-2</v>
      </c>
      <c r="AI45" s="245">
        <v>6.861209037363647E-3</v>
      </c>
      <c r="AJ45" s="245">
        <v>-0.17809051221260841</v>
      </c>
      <c r="AK45" s="245">
        <v>3.3728101528491816E-3</v>
      </c>
      <c r="AL45" s="245">
        <v>0.14375186890152847</v>
      </c>
      <c r="AM45" s="245">
        <v>-4.5633674788609802E-2</v>
      </c>
      <c r="AN45" s="245">
        <v>-1.8011407594097584E-2</v>
      </c>
      <c r="AO45" s="245">
        <v>0.13456448537299881</v>
      </c>
      <c r="AP45" s="245">
        <v>-3.1886148452439866E-2</v>
      </c>
      <c r="AQ45" s="245">
        <v>3.6630089938257893E-2</v>
      </c>
      <c r="AR45" s="245">
        <v>2.5059092060005561E-2</v>
      </c>
      <c r="AS45" s="245">
        <v>-1.4456316328083862E-2</v>
      </c>
      <c r="AT45" s="245">
        <v>7.0611149805295259E-3</v>
      </c>
      <c r="AU45" s="245">
        <v>7.6351129930299022E-2</v>
      </c>
      <c r="AV45" s="245">
        <v>2.0321079435135392E-2</v>
      </c>
      <c r="AW45" s="245">
        <v>-6.8423460081782794E-2</v>
      </c>
      <c r="AX45" s="245">
        <v>4.0573259598173594E-2</v>
      </c>
      <c r="AY45" s="245">
        <v>-5.0420358143294375E-2</v>
      </c>
      <c r="AZ45" s="245">
        <v>0.19049935903232207</v>
      </c>
      <c r="BA45" s="245">
        <v>-0.25377780779044823</v>
      </c>
      <c r="BB45" s="245">
        <v>0.31744686669734534</v>
      </c>
      <c r="BC45" s="245">
        <v>7.4232633695123784E-2</v>
      </c>
      <c r="BD45" s="245">
        <v>-0.10069832311271687</v>
      </c>
      <c r="BE45" s="245">
        <v>0.28811761728259588</v>
      </c>
      <c r="BF45" s="245">
        <v>-0.28859076569441899</v>
      </c>
      <c r="BG45" s="245">
        <v>0.1235097147161337</v>
      </c>
      <c r="BH45" s="245">
        <v>2.8643021175909888E-2</v>
      </c>
      <c r="BI45" s="245">
        <v>5.293802911080725E-3</v>
      </c>
      <c r="BJ45" s="245">
        <v>-6.2480496315589829E-2</v>
      </c>
      <c r="BK45" s="245">
        <v>-0.10043801694088017</v>
      </c>
      <c r="BL45" s="245">
        <v>0.11569424994846567</v>
      </c>
      <c r="BM45" s="245">
        <v>5.0799155539733354E-2</v>
      </c>
      <c r="BN45" s="245">
        <v>3.0522560902117357E-2</v>
      </c>
      <c r="BO45" s="245">
        <v>3.1900559188868582E-2</v>
      </c>
      <c r="BP45" s="245">
        <v>-4.647080068524545E-3</v>
      </c>
      <c r="BQ45" s="245">
        <v>-0.12701089399006382</v>
      </c>
      <c r="BR45" s="245">
        <v>2.2300410009378657E-2</v>
      </c>
      <c r="BS45" s="245">
        <v>0.34190598459165633</v>
      </c>
      <c r="BT45" s="245">
        <v>-0.1727084659482071</v>
      </c>
      <c r="BU45" s="245">
        <v>0.26311084690206998</v>
      </c>
      <c r="BV45" s="245">
        <v>-1.7545845871960175E-3</v>
      </c>
      <c r="BW45" s="245">
        <v>-9.4746704260414205E-2</v>
      </c>
      <c r="BX45" s="245">
        <v>-4.5685963868657753E-2</v>
      </c>
      <c r="BY45" s="245"/>
      <c r="BZ45" s="245"/>
      <c r="CA45" s="245"/>
      <c r="CB45" s="245"/>
      <c r="CC45" s="245"/>
      <c r="CD45" s="245"/>
      <c r="CE45" s="245"/>
      <c r="CF45" s="245"/>
      <c r="CG45" s="245"/>
      <c r="CH45" s="245"/>
      <c r="CI45" s="245"/>
      <c r="CJ45" s="245"/>
      <c r="CK45" s="245"/>
      <c r="CL45" s="245"/>
      <c r="CM45" s="245"/>
      <c r="CN45" s="245"/>
      <c r="CO45" s="245"/>
      <c r="CP45" s="245"/>
      <c r="CQ45" s="245"/>
      <c r="CR45" s="245"/>
      <c r="CS45" s="245"/>
      <c r="CT45" s="245"/>
      <c r="CU45" s="245"/>
      <c r="CV45" s="245"/>
      <c r="CW45" s="245"/>
      <c r="CX45" s="245"/>
      <c r="CY45" s="245"/>
      <c r="CZ45" s="245"/>
      <c r="DA45" s="245"/>
      <c r="DB45" s="245"/>
      <c r="DC45" s="245"/>
      <c r="DD45" s="245"/>
      <c r="DE45" s="245"/>
      <c r="DF45" s="245"/>
      <c r="DG45" s="245"/>
      <c r="DH45" s="245"/>
      <c r="DI45" s="245"/>
      <c r="DJ45" s="245"/>
      <c r="DK45" s="245"/>
      <c r="DL45" s="245"/>
      <c r="DM45" s="245"/>
      <c r="DN45" s="245"/>
      <c r="DO45" s="245"/>
      <c r="DP45" s="245"/>
      <c r="DQ45" s="245"/>
      <c r="DR45" s="245"/>
      <c r="DS45" s="245"/>
      <c r="DT45" s="245"/>
      <c r="DU45" s="245"/>
      <c r="DV45" s="245"/>
      <c r="DW45" s="245"/>
      <c r="DX45" s="245"/>
      <c r="DY45" s="245"/>
      <c r="DZ45" s="245"/>
      <c r="EA45" s="245"/>
      <c r="EB45" s="245"/>
      <c r="EC45" s="245"/>
      <c r="ED45" s="245"/>
      <c r="EE45" s="245"/>
      <c r="EF45" s="245"/>
      <c r="EG45" s="245"/>
      <c r="EH45" s="245"/>
      <c r="EI45" s="245"/>
      <c r="EJ45" s="245"/>
      <c r="EK45" s="245"/>
      <c r="EL45" s="245"/>
      <c r="EM45" s="245"/>
      <c r="EN45" s="245"/>
      <c r="EO45" s="245"/>
      <c r="EP45" s="245"/>
      <c r="EQ45" s="245"/>
      <c r="ER45" s="245"/>
      <c r="ES45" s="245"/>
      <c r="ET45" s="245"/>
      <c r="EU45" s="245"/>
      <c r="EV45" s="245"/>
      <c r="EW45" s="245"/>
      <c r="EX45" s="245"/>
      <c r="EY45" s="245"/>
      <c r="EZ45" s="245"/>
      <c r="FA45" s="245"/>
      <c r="FB45" s="245"/>
      <c r="FC45" s="245"/>
      <c r="FD45" s="245"/>
      <c r="FE45" s="245"/>
      <c r="FF45" s="245"/>
      <c r="FG45" s="245"/>
      <c r="FH45" s="245"/>
      <c r="FI45" s="245"/>
      <c r="FJ45" s="245"/>
      <c r="FK45" s="245"/>
      <c r="FL45" s="245"/>
      <c r="FM45" s="245"/>
      <c r="FN45" s="245"/>
      <c r="FO45" s="245"/>
      <c r="FP45" s="245"/>
      <c r="FQ45" s="245"/>
      <c r="FR45" s="245"/>
      <c r="FS45" s="245"/>
      <c r="FT45" s="245"/>
      <c r="FU45" s="245"/>
      <c r="FV45" s="245"/>
      <c r="FW45" s="245"/>
      <c r="FX45" s="245"/>
      <c r="FY45" s="245"/>
      <c r="FZ45" s="245"/>
      <c r="GA45" s="245"/>
      <c r="GB45" s="245"/>
      <c r="GC45" s="245"/>
      <c r="GD45" s="245"/>
      <c r="GE45" s="245"/>
      <c r="GF45" s="245"/>
      <c r="GG45" s="245"/>
      <c r="GH45" s="245"/>
      <c r="GI45" s="245"/>
      <c r="GJ45" s="245"/>
      <c r="GK45" s="245"/>
      <c r="GL45" s="245"/>
      <c r="GM45" s="245"/>
      <c r="GN45" s="245"/>
      <c r="GO45" s="245"/>
      <c r="GP45" s="245"/>
      <c r="GQ45" s="245"/>
      <c r="GR45" s="245"/>
      <c r="GS45" s="245"/>
      <c r="GT45" s="245"/>
      <c r="GU45" s="245"/>
      <c r="GV45" s="245"/>
      <c r="GW45" s="245"/>
      <c r="GX45" s="245"/>
      <c r="GY45" s="245"/>
      <c r="GZ45" s="245"/>
      <c r="HA45" s="245"/>
      <c r="HB45" s="245"/>
      <c r="HC45" s="245"/>
      <c r="HD45" s="245"/>
      <c r="HE45" s="245"/>
      <c r="HF45" s="245"/>
      <c r="HG45" s="245"/>
      <c r="HH45" s="245"/>
      <c r="HI45" s="245"/>
      <c r="HJ45" s="245"/>
      <c r="HK45" s="245"/>
      <c r="HL45" s="245"/>
      <c r="HM45" s="245"/>
      <c r="HN45" s="245"/>
      <c r="HO45" s="245"/>
      <c r="HP45" s="245"/>
      <c r="HQ45" s="245"/>
      <c r="HR45" s="245"/>
      <c r="HS45" s="245"/>
      <c r="HT45" s="245"/>
      <c r="HU45" s="245"/>
      <c r="HV45" s="245"/>
      <c r="HW45" s="245"/>
      <c r="HX45" s="245"/>
      <c r="HY45" s="245"/>
      <c r="HZ45" s="245"/>
      <c r="IA45" s="245"/>
      <c r="IB45" s="245"/>
      <c r="IC45" s="245"/>
      <c r="ID45" s="245"/>
      <c r="IE45" s="245"/>
      <c r="IF45" s="245"/>
      <c r="IG45" s="245"/>
      <c r="IH45" s="245"/>
      <c r="II45" s="245"/>
      <c r="IJ45" s="245"/>
      <c r="IK45" s="245"/>
      <c r="IL45" s="245"/>
      <c r="IM45" s="245"/>
      <c r="IN45" s="245"/>
      <c r="IO45" s="245"/>
      <c r="IP45" s="245"/>
      <c r="IQ45" s="245"/>
      <c r="IR45" s="245"/>
      <c r="IS45" s="245"/>
      <c r="IT45" s="245"/>
      <c r="IU45" s="245"/>
      <c r="IV45" s="245"/>
    </row>
    <row r="46" spans="1:256" ht="15" x14ac:dyDescent="0.25">
      <c r="A46" s="245"/>
      <c r="B46" s="237" t="s">
        <v>144</v>
      </c>
      <c r="C46" s="245"/>
      <c r="D46" s="245"/>
      <c r="E46" s="245"/>
      <c r="F46" s="245"/>
      <c r="G46" s="245"/>
      <c r="H46" s="245"/>
      <c r="I46" s="245"/>
      <c r="J46" s="245"/>
      <c r="K46" s="245"/>
      <c r="L46" s="245"/>
      <c r="M46" s="245"/>
      <c r="N46" s="245"/>
      <c r="O46" s="245">
        <v>7.3596718901417724E-2</v>
      </c>
      <c r="P46" s="245">
        <v>-3.6191091456070357E-3</v>
      </c>
      <c r="Q46" s="245">
        <v>-0.15709649242786217</v>
      </c>
      <c r="R46" s="245">
        <v>0.28858954652241975</v>
      </c>
      <c r="S46" s="245">
        <v>-0.11332724857598409</v>
      </c>
      <c r="T46" s="245">
        <v>2.120040297498571E-2</v>
      </c>
      <c r="U46" s="245">
        <v>-3.976725715395768E-2</v>
      </c>
      <c r="V46" s="245">
        <v>6.58632922462421E-3</v>
      </c>
      <c r="W46" s="245">
        <v>-2.0536918031952567E-3</v>
      </c>
      <c r="X46" s="245">
        <v>-1.269266810773273E-2</v>
      </c>
      <c r="Y46" s="245">
        <v>0.14617488943069801</v>
      </c>
      <c r="Z46" s="245">
        <v>-0.16004615739095429</v>
      </c>
      <c r="AA46" s="245">
        <v>-7.5365441515506726E-2</v>
      </c>
      <c r="AB46" s="245">
        <v>2.1987976801993714E-2</v>
      </c>
      <c r="AC46" s="245">
        <v>4.079213626254341E-2</v>
      </c>
      <c r="AD46" s="245">
        <v>-2.2130490359566268E-2</v>
      </c>
      <c r="AE46" s="245">
        <v>-4.47364246851778E-3</v>
      </c>
      <c r="AF46" s="245">
        <v>3.7255414552282318E-2</v>
      </c>
      <c r="AG46" s="245">
        <v>-4.8732884903784135E-2</v>
      </c>
      <c r="AH46" s="245">
        <v>0.14725553903621802</v>
      </c>
      <c r="AI46" s="245">
        <v>1.43103236889075E-2</v>
      </c>
      <c r="AJ46" s="245">
        <v>-0.21692131560546446</v>
      </c>
      <c r="AK46" s="245">
        <v>-1.957006558695773E-2</v>
      </c>
      <c r="AL46" s="245">
        <v>-3.7382901451270656E-2</v>
      </c>
      <c r="AM46" s="245">
        <v>-7.9471825886016645E-2</v>
      </c>
      <c r="AN46" s="245">
        <v>-1.6960168262132314E-3</v>
      </c>
      <c r="AO46" s="245">
        <v>0.12714700551131286</v>
      </c>
      <c r="AP46" s="245">
        <v>-3.2048743279814551E-2</v>
      </c>
      <c r="AQ46" s="245">
        <v>2.9042358990140293E-2</v>
      </c>
      <c r="AR46" s="245">
        <v>7.206278424681356E-3</v>
      </c>
      <c r="AS46" s="245">
        <v>4.1910153942557038E-2</v>
      </c>
      <c r="AT46" s="245">
        <v>-6.6905926044696362E-2</v>
      </c>
      <c r="AU46" s="245">
        <v>6.8068084079069946E-2</v>
      </c>
      <c r="AV46" s="245">
        <v>4.4808353656176081E-2</v>
      </c>
      <c r="AW46" s="245">
        <v>-9.1514903675507075E-2</v>
      </c>
      <c r="AX46" s="245">
        <v>2.8864422726077255E-2</v>
      </c>
      <c r="AY46" s="245">
        <v>4.0963973804322817E-2</v>
      </c>
      <c r="AZ46" s="245">
        <v>2.929372572476141E-2</v>
      </c>
      <c r="BA46" s="245">
        <v>-0.15637483758859705</v>
      </c>
      <c r="BB46" s="245">
        <v>0.34289461780124197</v>
      </c>
      <c r="BC46" s="245">
        <v>6.6130234462285387E-2</v>
      </c>
      <c r="BD46" s="245">
        <v>-6.9723864318829154E-2</v>
      </c>
      <c r="BE46" s="245">
        <v>0.37793779629506496</v>
      </c>
      <c r="BF46" s="245">
        <v>-0.3714886541936524</v>
      </c>
      <c r="BG46" s="245">
        <v>0.18783689845826368</v>
      </c>
      <c r="BH46" s="245">
        <v>4.8250900164630961E-2</v>
      </c>
      <c r="BI46" s="245">
        <v>-1.7465940061523022E-2</v>
      </c>
      <c r="BJ46" s="245">
        <v>-9.4084631193795176E-2</v>
      </c>
      <c r="BK46" s="245">
        <v>-9.2295326415039458E-2</v>
      </c>
      <c r="BL46" s="245">
        <v>9.3757531067679034E-2</v>
      </c>
      <c r="BM46" s="245">
        <v>7.828122657326575E-2</v>
      </c>
      <c r="BN46" s="245">
        <v>-3.5479330243111118E-3</v>
      </c>
      <c r="BO46" s="245">
        <v>1.3820940155941264E-2</v>
      </c>
      <c r="BP46" s="245">
        <v>-5.0730609458969789E-2</v>
      </c>
      <c r="BQ46" s="245">
        <v>-0.10159093863522584</v>
      </c>
      <c r="BR46" s="245">
        <v>3.0571271067193928E-2</v>
      </c>
      <c r="BS46" s="245">
        <v>0.4722517858268378</v>
      </c>
      <c r="BT46" s="245">
        <v>-0.28001738452366287</v>
      </c>
      <c r="BU46" s="245">
        <v>0.40360150346924817</v>
      </c>
      <c r="BV46" s="245">
        <v>1.2886753095175507E-2</v>
      </c>
      <c r="BW46" s="245">
        <v>-0.12478446219370409</v>
      </c>
      <c r="BX46" s="245">
        <v>-3.1050654549252377E-2</v>
      </c>
      <c r="BY46" s="245"/>
      <c r="BZ46" s="245"/>
      <c r="CA46" s="245"/>
      <c r="CB46" s="245"/>
      <c r="CC46" s="245"/>
      <c r="CD46" s="245"/>
      <c r="CE46" s="245"/>
      <c r="CF46" s="245"/>
      <c r="CG46" s="245"/>
      <c r="CH46" s="245"/>
      <c r="CI46" s="245"/>
      <c r="CJ46" s="245"/>
      <c r="CK46" s="245"/>
      <c r="CL46" s="245"/>
      <c r="CM46" s="245"/>
      <c r="CN46" s="245"/>
      <c r="CO46" s="245"/>
      <c r="CP46" s="245"/>
      <c r="CQ46" s="245"/>
      <c r="CR46" s="245"/>
      <c r="CS46" s="245"/>
      <c r="CT46" s="245"/>
      <c r="CU46" s="245"/>
      <c r="CV46" s="245"/>
      <c r="CW46" s="245"/>
      <c r="CX46" s="245"/>
      <c r="CY46" s="245"/>
      <c r="CZ46" s="245"/>
      <c r="DA46" s="245"/>
      <c r="DB46" s="245"/>
      <c r="DC46" s="245"/>
      <c r="DD46" s="245"/>
      <c r="DE46" s="245"/>
      <c r="DF46" s="245"/>
      <c r="DG46" s="245"/>
      <c r="DH46" s="245"/>
      <c r="DI46" s="245"/>
      <c r="DJ46" s="245"/>
      <c r="DK46" s="245"/>
      <c r="DL46" s="245"/>
      <c r="DM46" s="245"/>
      <c r="DN46" s="245"/>
      <c r="DO46" s="245"/>
      <c r="DP46" s="245"/>
      <c r="DQ46" s="245"/>
      <c r="DR46" s="245"/>
      <c r="DS46" s="245"/>
      <c r="DT46" s="245"/>
      <c r="DU46" s="245"/>
      <c r="DV46" s="245"/>
      <c r="DW46" s="245"/>
      <c r="DX46" s="245"/>
      <c r="DY46" s="245"/>
      <c r="DZ46" s="245"/>
      <c r="EA46" s="245"/>
      <c r="EB46" s="245"/>
      <c r="EC46" s="245"/>
      <c r="ED46" s="245"/>
      <c r="EE46" s="245"/>
      <c r="EF46" s="245"/>
      <c r="EG46" s="245"/>
      <c r="EH46" s="245"/>
      <c r="EI46" s="245"/>
      <c r="EJ46" s="245"/>
      <c r="EK46" s="245"/>
      <c r="EL46" s="245"/>
      <c r="EM46" s="245"/>
      <c r="EN46" s="245"/>
      <c r="EO46" s="245"/>
      <c r="EP46" s="245"/>
      <c r="EQ46" s="245"/>
      <c r="ER46" s="245"/>
      <c r="ES46" s="245"/>
      <c r="ET46" s="245"/>
      <c r="EU46" s="245"/>
      <c r="EV46" s="245"/>
      <c r="EW46" s="245"/>
      <c r="EX46" s="245"/>
      <c r="EY46" s="245"/>
      <c r="EZ46" s="245"/>
      <c r="FA46" s="245"/>
      <c r="FB46" s="245"/>
      <c r="FC46" s="245"/>
      <c r="FD46" s="245"/>
      <c r="FE46" s="245"/>
      <c r="FF46" s="245"/>
      <c r="FG46" s="245"/>
      <c r="FH46" s="245"/>
      <c r="FI46" s="245"/>
      <c r="FJ46" s="245"/>
      <c r="FK46" s="245"/>
      <c r="FL46" s="245"/>
      <c r="FM46" s="245"/>
      <c r="FN46" s="245"/>
      <c r="FO46" s="245"/>
      <c r="FP46" s="245"/>
      <c r="FQ46" s="245"/>
      <c r="FR46" s="245"/>
      <c r="FS46" s="245"/>
      <c r="FT46" s="245"/>
      <c r="FU46" s="245"/>
      <c r="FV46" s="245"/>
      <c r="FW46" s="245"/>
      <c r="FX46" s="245"/>
      <c r="FY46" s="245"/>
      <c r="FZ46" s="245"/>
      <c r="GA46" s="245"/>
      <c r="GB46" s="245"/>
      <c r="GC46" s="245"/>
      <c r="GD46" s="245"/>
      <c r="GE46" s="245"/>
      <c r="GF46" s="245"/>
      <c r="GG46" s="245"/>
      <c r="GH46" s="245"/>
      <c r="GI46" s="245"/>
      <c r="GJ46" s="245"/>
      <c r="GK46" s="245"/>
      <c r="GL46" s="245"/>
      <c r="GM46" s="245"/>
      <c r="GN46" s="245"/>
      <c r="GO46" s="245"/>
      <c r="GP46" s="245"/>
      <c r="GQ46" s="245"/>
      <c r="GR46" s="245"/>
      <c r="GS46" s="245"/>
      <c r="GT46" s="245"/>
      <c r="GU46" s="245"/>
      <c r="GV46" s="245"/>
      <c r="GW46" s="245"/>
      <c r="GX46" s="245"/>
      <c r="GY46" s="245"/>
      <c r="GZ46" s="245"/>
      <c r="HA46" s="245"/>
      <c r="HB46" s="245"/>
      <c r="HC46" s="245"/>
      <c r="HD46" s="245"/>
      <c r="HE46" s="245"/>
      <c r="HF46" s="245"/>
      <c r="HG46" s="245"/>
      <c r="HH46" s="245"/>
      <c r="HI46" s="245"/>
      <c r="HJ46" s="245"/>
      <c r="HK46" s="245"/>
      <c r="HL46" s="245"/>
      <c r="HM46" s="245"/>
      <c r="HN46" s="245"/>
      <c r="HO46" s="245"/>
      <c r="HP46" s="245"/>
      <c r="HQ46" s="245"/>
      <c r="HR46" s="245"/>
      <c r="HS46" s="245"/>
      <c r="HT46" s="245"/>
      <c r="HU46" s="245"/>
      <c r="HV46" s="245"/>
      <c r="HW46" s="245"/>
      <c r="HX46" s="245"/>
      <c r="HY46" s="245"/>
      <c r="HZ46" s="245"/>
      <c r="IA46" s="245"/>
      <c r="IB46" s="245"/>
      <c r="IC46" s="245"/>
      <c r="ID46" s="245"/>
      <c r="IE46" s="245"/>
      <c r="IF46" s="245"/>
      <c r="IG46" s="245"/>
      <c r="IH46" s="245"/>
      <c r="II46" s="245"/>
      <c r="IJ46" s="245"/>
      <c r="IK46" s="245"/>
      <c r="IL46" s="245"/>
      <c r="IM46" s="245"/>
      <c r="IN46" s="245"/>
      <c r="IO46" s="245"/>
      <c r="IP46" s="245"/>
      <c r="IQ46" s="245"/>
      <c r="IR46" s="245"/>
      <c r="IS46" s="245"/>
      <c r="IT46" s="245"/>
      <c r="IU46" s="245"/>
      <c r="IV46" s="245"/>
    </row>
    <row r="47" spans="1:256" ht="15" x14ac:dyDescent="0.25">
      <c r="A47" s="245"/>
      <c r="B47" s="237" t="s">
        <v>143</v>
      </c>
      <c r="C47" s="245"/>
      <c r="D47" s="245"/>
      <c r="E47" s="245"/>
      <c r="F47" s="245"/>
      <c r="G47" s="245"/>
      <c r="H47" s="245"/>
      <c r="I47" s="245"/>
      <c r="J47" s="245"/>
      <c r="K47" s="245"/>
      <c r="L47" s="245"/>
      <c r="M47" s="245"/>
      <c r="N47" s="245"/>
      <c r="O47" s="245">
        <v>5.9731305878007346E-2</v>
      </c>
      <c r="P47" s="245">
        <v>3.6204237769488667E-2</v>
      </c>
      <c r="Q47" s="245">
        <v>2.8955665471715353E-2</v>
      </c>
      <c r="R47" s="245">
        <v>4.5413504308971842E-2</v>
      </c>
      <c r="S47" s="245">
        <v>7.2658526090034758E-3</v>
      </c>
      <c r="T47" s="245">
        <v>-6.1265853626891853E-2</v>
      </c>
      <c r="U47" s="245">
        <v>-2.1734383470335517E-2</v>
      </c>
      <c r="V47" s="245">
        <v>-7.5556675268412254E-3</v>
      </c>
      <c r="W47" s="245">
        <v>0.13834682430796907</v>
      </c>
      <c r="X47" s="245">
        <v>2.8589901989034106E-2</v>
      </c>
      <c r="Y47" s="245">
        <v>-4.8569904433199973E-2</v>
      </c>
      <c r="Z47" s="245">
        <v>4.7730111190656954E-2</v>
      </c>
      <c r="AA47" s="245">
        <v>-6.5849578566464562E-2</v>
      </c>
      <c r="AB47" s="245">
        <v>0.14488345700963401</v>
      </c>
      <c r="AC47" s="245">
        <v>-0.10201823159201706</v>
      </c>
      <c r="AD47" s="245">
        <v>0.48743029253550052</v>
      </c>
      <c r="AE47" s="245">
        <v>-0.16108685642262821</v>
      </c>
      <c r="AF47" s="245">
        <v>1.4261510106146069E-2</v>
      </c>
      <c r="AG47" s="245">
        <v>6.8788293908577325E-2</v>
      </c>
      <c r="AH47" s="245">
        <v>-0.17169362065986149</v>
      </c>
      <c r="AI47" s="245">
        <v>-3.6321052420139721E-2</v>
      </c>
      <c r="AJ47" s="245">
        <v>5.8837043592507854E-2</v>
      </c>
      <c r="AK47" s="245">
        <v>0.10690212190381287</v>
      </c>
      <c r="AL47" s="245">
        <v>0.86772865564209867</v>
      </c>
      <c r="AM47" s="245">
        <v>2.4072175872794643E-2</v>
      </c>
      <c r="AN47" s="245">
        <v>-4.8222512220944869E-2</v>
      </c>
      <c r="AO47" s="245">
        <v>0.14897079937457813</v>
      </c>
      <c r="AP47" s="245">
        <v>-3.1576353172858784E-2</v>
      </c>
      <c r="AQ47" s="245">
        <v>5.1080098228747817E-2</v>
      </c>
      <c r="AR47" s="245">
        <v>5.8344990519079376E-2</v>
      </c>
      <c r="AS47" s="245">
        <v>-0.11447142658394205</v>
      </c>
      <c r="AT47" s="245">
        <v>0.16148366337488818</v>
      </c>
      <c r="AU47" s="245">
        <v>9.0243452560643478E-2</v>
      </c>
      <c r="AV47" s="245">
        <v>-1.9913613429689891E-2</v>
      </c>
      <c r="AW47" s="245">
        <v>-2.797671205839114E-2</v>
      </c>
      <c r="AX47" s="245">
        <v>5.9741728196729182E-2</v>
      </c>
      <c r="AY47" s="245">
        <v>-0.19566613648496223</v>
      </c>
      <c r="AZ47" s="245">
        <v>0.52209692726822232</v>
      </c>
      <c r="BA47" s="245">
        <v>-0.38926565416469006</v>
      </c>
      <c r="BB47" s="245">
        <v>0.26855070956132021</v>
      </c>
      <c r="BC47" s="245">
        <v>9.0713235222142252E-2</v>
      </c>
      <c r="BD47" s="245">
        <v>-0.16228160420135029</v>
      </c>
      <c r="BE47" s="245">
        <v>8.9806600560396577E-2</v>
      </c>
      <c r="BF47" s="245">
        <v>-5.7173065941464762E-2</v>
      </c>
      <c r="BG47" s="245">
        <v>3.8001688365463249E-3</v>
      </c>
      <c r="BH47" s="245">
        <v>-1.4536160803914289E-2</v>
      </c>
      <c r="BI47" s="245">
        <v>5.8607119052503043E-2</v>
      </c>
      <c r="BJ47" s="245">
        <v>6.2303114753445854E-3</v>
      </c>
      <c r="BK47" s="245">
        <v>-0.11637621827427491</v>
      </c>
      <c r="BL47" s="245">
        <v>0.15980254031447649</v>
      </c>
      <c r="BM47" s="245">
        <v>-1.3125171707901728E-3</v>
      </c>
      <c r="BN47" s="245">
        <v>0.10027612818039078</v>
      </c>
      <c r="BO47" s="245">
        <v>6.5422718829825977E-2</v>
      </c>
      <c r="BP47" s="245">
        <v>7.6659885237273073E-2</v>
      </c>
      <c r="BQ47" s="245">
        <v>-0.1665537239583712</v>
      </c>
      <c r="BR47" s="245">
        <v>8.4315679566706603E-3</v>
      </c>
      <c r="BS47" s="245">
        <v>0.11853944187478604</v>
      </c>
      <c r="BT47" s="245">
        <v>6.9331833426647949E-2</v>
      </c>
      <c r="BU47" s="245">
        <v>4.9752901848854947E-2</v>
      </c>
      <c r="BV47" s="245">
        <v>-3.1484856120825411E-2</v>
      </c>
      <c r="BW47" s="245">
        <v>-3.0958539519673645E-2</v>
      </c>
      <c r="BX47" s="245">
        <v>-7.375627072257207E-2</v>
      </c>
      <c r="BY47" s="245"/>
      <c r="BZ47" s="245"/>
      <c r="CA47" s="245"/>
      <c r="CB47" s="245"/>
      <c r="CC47" s="245"/>
      <c r="CD47" s="245"/>
      <c r="CE47" s="245"/>
      <c r="CF47" s="245"/>
      <c r="CG47" s="245"/>
      <c r="CH47" s="245"/>
      <c r="CI47" s="245"/>
      <c r="CJ47" s="245"/>
      <c r="CK47" s="245"/>
      <c r="CL47" s="245"/>
      <c r="CM47" s="245"/>
      <c r="CN47" s="245"/>
      <c r="CO47" s="245"/>
      <c r="CP47" s="245"/>
      <c r="CQ47" s="245"/>
      <c r="CR47" s="245"/>
      <c r="CS47" s="245"/>
      <c r="CT47" s="245"/>
      <c r="CU47" s="245"/>
      <c r="CV47" s="245"/>
      <c r="CW47" s="245"/>
      <c r="CX47" s="245"/>
      <c r="CY47" s="245"/>
      <c r="CZ47" s="245"/>
      <c r="DA47" s="245"/>
      <c r="DB47" s="245"/>
      <c r="DC47" s="245"/>
      <c r="DD47" s="245"/>
      <c r="DE47" s="245"/>
      <c r="DF47" s="245"/>
      <c r="DG47" s="245"/>
      <c r="DH47" s="245"/>
      <c r="DI47" s="245"/>
      <c r="DJ47" s="245"/>
      <c r="DK47" s="245"/>
      <c r="DL47" s="245"/>
      <c r="DM47" s="245"/>
      <c r="DN47" s="245"/>
      <c r="DO47" s="245"/>
      <c r="DP47" s="245"/>
      <c r="DQ47" s="245"/>
      <c r="DR47" s="245"/>
      <c r="DS47" s="245"/>
      <c r="DT47" s="245"/>
      <c r="DU47" s="245"/>
      <c r="DV47" s="245"/>
      <c r="DW47" s="245"/>
      <c r="DX47" s="245"/>
      <c r="DY47" s="245"/>
      <c r="DZ47" s="245"/>
      <c r="EA47" s="245"/>
      <c r="EB47" s="245"/>
      <c r="EC47" s="245"/>
      <c r="ED47" s="245"/>
      <c r="EE47" s="245"/>
      <c r="EF47" s="245"/>
      <c r="EG47" s="245"/>
      <c r="EH47" s="245"/>
      <c r="EI47" s="245"/>
      <c r="EJ47" s="245"/>
      <c r="EK47" s="245"/>
      <c r="EL47" s="245"/>
      <c r="EM47" s="245"/>
      <c r="EN47" s="245"/>
      <c r="EO47" s="245"/>
      <c r="EP47" s="245"/>
      <c r="EQ47" s="245"/>
      <c r="ER47" s="245"/>
      <c r="ES47" s="245"/>
      <c r="ET47" s="245"/>
      <c r="EU47" s="245"/>
      <c r="EV47" s="245"/>
      <c r="EW47" s="245"/>
      <c r="EX47" s="245"/>
      <c r="EY47" s="245"/>
      <c r="EZ47" s="245"/>
      <c r="FA47" s="245"/>
      <c r="FB47" s="245"/>
      <c r="FC47" s="245"/>
      <c r="FD47" s="245"/>
      <c r="FE47" s="245"/>
      <c r="FF47" s="245"/>
      <c r="FG47" s="245"/>
      <c r="FH47" s="245"/>
      <c r="FI47" s="245"/>
      <c r="FJ47" s="245"/>
      <c r="FK47" s="245"/>
      <c r="FL47" s="245"/>
      <c r="FM47" s="245"/>
      <c r="FN47" s="245"/>
      <c r="FO47" s="245"/>
      <c r="FP47" s="245"/>
      <c r="FQ47" s="245"/>
      <c r="FR47" s="245"/>
      <c r="FS47" s="245"/>
      <c r="FT47" s="245"/>
      <c r="FU47" s="245"/>
      <c r="FV47" s="245"/>
      <c r="FW47" s="245"/>
      <c r="FX47" s="245"/>
      <c r="FY47" s="245"/>
      <c r="FZ47" s="245"/>
      <c r="GA47" s="245"/>
      <c r="GB47" s="245"/>
      <c r="GC47" s="245"/>
      <c r="GD47" s="245"/>
      <c r="GE47" s="245"/>
      <c r="GF47" s="245"/>
      <c r="GG47" s="245"/>
      <c r="GH47" s="245"/>
      <c r="GI47" s="245"/>
      <c r="GJ47" s="245"/>
      <c r="GK47" s="245"/>
      <c r="GL47" s="245"/>
      <c r="GM47" s="245"/>
      <c r="GN47" s="245"/>
      <c r="GO47" s="245"/>
      <c r="GP47" s="245"/>
      <c r="GQ47" s="245"/>
      <c r="GR47" s="245"/>
      <c r="GS47" s="245"/>
      <c r="GT47" s="245"/>
      <c r="GU47" s="245"/>
      <c r="GV47" s="245"/>
      <c r="GW47" s="245"/>
      <c r="GX47" s="245"/>
      <c r="GY47" s="245"/>
      <c r="GZ47" s="245"/>
      <c r="HA47" s="245"/>
      <c r="HB47" s="245"/>
      <c r="HC47" s="245"/>
      <c r="HD47" s="245"/>
      <c r="HE47" s="245"/>
      <c r="HF47" s="245"/>
      <c r="HG47" s="245"/>
      <c r="HH47" s="245"/>
      <c r="HI47" s="245"/>
      <c r="HJ47" s="245"/>
      <c r="HK47" s="245"/>
      <c r="HL47" s="245"/>
      <c r="HM47" s="245"/>
      <c r="HN47" s="245"/>
      <c r="HO47" s="245"/>
      <c r="HP47" s="245"/>
      <c r="HQ47" s="245"/>
      <c r="HR47" s="245"/>
      <c r="HS47" s="245"/>
      <c r="HT47" s="245"/>
      <c r="HU47" s="245"/>
      <c r="HV47" s="245"/>
      <c r="HW47" s="245"/>
      <c r="HX47" s="245"/>
      <c r="HY47" s="245"/>
      <c r="HZ47" s="245"/>
      <c r="IA47" s="245"/>
      <c r="IB47" s="245"/>
      <c r="IC47" s="245"/>
      <c r="ID47" s="245"/>
      <c r="IE47" s="245"/>
      <c r="IF47" s="245"/>
      <c r="IG47" s="245"/>
      <c r="IH47" s="245"/>
      <c r="II47" s="245"/>
      <c r="IJ47" s="245"/>
      <c r="IK47" s="245"/>
      <c r="IL47" s="245"/>
      <c r="IM47" s="245"/>
      <c r="IN47" s="245"/>
      <c r="IO47" s="245"/>
      <c r="IP47" s="245"/>
      <c r="IQ47" s="245"/>
      <c r="IR47" s="245"/>
      <c r="IS47" s="245"/>
      <c r="IT47" s="245"/>
      <c r="IU47" s="245"/>
      <c r="IV47" s="245"/>
    </row>
    <row r="48" spans="1:256" ht="15" x14ac:dyDescent="0.25">
      <c r="A48" s="245"/>
      <c r="B48" s="239" t="s">
        <v>142</v>
      </c>
      <c r="C48" s="245"/>
      <c r="D48" s="245"/>
      <c r="E48" s="245"/>
      <c r="F48" s="245"/>
      <c r="G48" s="245"/>
      <c r="H48" s="245"/>
      <c r="I48" s="245"/>
      <c r="J48" s="245"/>
      <c r="K48" s="245"/>
      <c r="L48" s="245"/>
      <c r="M48" s="245"/>
      <c r="N48" s="245"/>
      <c r="O48" s="245">
        <v>0</v>
      </c>
      <c r="P48" s="245">
        <v>0</v>
      </c>
      <c r="Q48" s="245">
        <v>0</v>
      </c>
      <c r="R48" s="245">
        <v>0</v>
      </c>
      <c r="S48" s="245">
        <v>0</v>
      </c>
      <c r="T48" s="245">
        <v>0</v>
      </c>
      <c r="U48" s="245">
        <v>0</v>
      </c>
      <c r="V48" s="245">
        <v>0</v>
      </c>
      <c r="W48" s="245">
        <v>0</v>
      </c>
      <c r="X48" s="245">
        <v>0</v>
      </c>
      <c r="Y48" s="245">
        <v>0</v>
      </c>
      <c r="Z48" s="245">
        <v>0</v>
      </c>
      <c r="AA48" s="245">
        <v>0</v>
      </c>
      <c r="AB48" s="245">
        <v>0</v>
      </c>
      <c r="AC48" s="245">
        <v>0</v>
      </c>
      <c r="AD48" s="245">
        <v>0</v>
      </c>
      <c r="AE48" s="245">
        <v>0</v>
      </c>
      <c r="AF48" s="245">
        <v>0</v>
      </c>
      <c r="AG48" s="245">
        <v>0</v>
      </c>
      <c r="AH48" s="245">
        <v>0</v>
      </c>
      <c r="AI48" s="245">
        <v>0</v>
      </c>
      <c r="AJ48" s="245">
        <v>0</v>
      </c>
      <c r="AK48" s="245">
        <v>0</v>
      </c>
      <c r="AL48" s="245">
        <v>0</v>
      </c>
      <c r="AM48" s="245">
        <v>0</v>
      </c>
      <c r="AN48" s="245">
        <v>0</v>
      </c>
      <c r="AO48" s="245">
        <v>0</v>
      </c>
      <c r="AP48" s="245">
        <v>0</v>
      </c>
      <c r="AQ48" s="245">
        <v>0</v>
      </c>
      <c r="AR48" s="245">
        <v>0</v>
      </c>
      <c r="AS48" s="245">
        <v>0</v>
      </c>
      <c r="AT48" s="245">
        <v>0</v>
      </c>
      <c r="AU48" s="245">
        <v>0</v>
      </c>
      <c r="AV48" s="245">
        <v>0</v>
      </c>
      <c r="AW48" s="245">
        <v>0</v>
      </c>
      <c r="AX48" s="245">
        <v>0</v>
      </c>
      <c r="AY48" s="245">
        <v>0</v>
      </c>
      <c r="AZ48" s="245">
        <v>0</v>
      </c>
      <c r="BA48" s="245">
        <v>0</v>
      </c>
      <c r="BB48" s="245">
        <v>0</v>
      </c>
      <c r="BC48" s="245">
        <v>0</v>
      </c>
      <c r="BD48" s="245">
        <v>0</v>
      </c>
      <c r="BE48" s="245">
        <v>0</v>
      </c>
      <c r="BF48" s="245">
        <v>0</v>
      </c>
      <c r="BG48" s="245">
        <v>0</v>
      </c>
      <c r="BH48" s="245">
        <v>0</v>
      </c>
      <c r="BI48" s="245">
        <v>0</v>
      </c>
      <c r="BJ48" s="245">
        <v>0</v>
      </c>
      <c r="BK48" s="245">
        <v>0</v>
      </c>
      <c r="BL48" s="245">
        <v>0</v>
      </c>
      <c r="BM48" s="245">
        <v>0</v>
      </c>
      <c r="BN48" s="245">
        <v>0</v>
      </c>
      <c r="BO48" s="245">
        <v>0</v>
      </c>
      <c r="BP48" s="245">
        <v>0</v>
      </c>
      <c r="BQ48" s="245">
        <v>0</v>
      </c>
      <c r="BR48" s="245">
        <v>0</v>
      </c>
      <c r="BS48" s="245">
        <v>0</v>
      </c>
      <c r="BT48" s="245">
        <v>0</v>
      </c>
      <c r="BU48" s="245">
        <v>0</v>
      </c>
      <c r="BV48" s="245">
        <v>0</v>
      </c>
      <c r="BW48" s="245">
        <v>0</v>
      </c>
      <c r="BX48" s="245">
        <v>0</v>
      </c>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c r="HU48" s="245"/>
      <c r="HV48" s="245"/>
      <c r="HW48" s="245"/>
      <c r="HX48" s="245"/>
      <c r="HY48" s="245"/>
      <c r="HZ48" s="245"/>
      <c r="IA48" s="245"/>
      <c r="IB48" s="245"/>
      <c r="IC48" s="245"/>
      <c r="ID48" s="245"/>
      <c r="IE48" s="245"/>
      <c r="IF48" s="245"/>
      <c r="IG48" s="245"/>
      <c r="IH48" s="245"/>
      <c r="II48" s="245"/>
      <c r="IJ48" s="245"/>
      <c r="IK48" s="245"/>
      <c r="IL48" s="245"/>
      <c r="IM48" s="245"/>
      <c r="IN48" s="245"/>
      <c r="IO48" s="245"/>
      <c r="IP48" s="245"/>
      <c r="IQ48" s="245"/>
      <c r="IR48" s="245"/>
      <c r="IS48" s="245"/>
      <c r="IT48" s="245"/>
      <c r="IU48" s="245"/>
      <c r="IV48" s="245"/>
    </row>
    <row r="49" spans="1:256" ht="15" x14ac:dyDescent="0.25">
      <c r="A49" s="245"/>
      <c r="B49" s="236" t="s">
        <v>141</v>
      </c>
      <c r="C49" s="245"/>
      <c r="D49" s="245"/>
      <c r="E49" s="245"/>
      <c r="F49" s="245"/>
      <c r="G49" s="245"/>
      <c r="H49" s="245"/>
      <c r="I49" s="245"/>
      <c r="J49" s="245"/>
      <c r="K49" s="245"/>
      <c r="L49" s="245"/>
      <c r="M49" s="245"/>
      <c r="N49" s="245"/>
      <c r="O49" s="245">
        <v>2.5972694917613337E-2</v>
      </c>
      <c r="P49" s="245">
        <v>2.2531976855202585E-2</v>
      </c>
      <c r="Q49" s="245">
        <v>-3.1590458235293939E-2</v>
      </c>
      <c r="R49" s="245">
        <v>3.7070941706429661E-2</v>
      </c>
      <c r="S49" s="245">
        <v>-2.5602056714968402E-2</v>
      </c>
      <c r="T49" s="245">
        <v>2.7670823607854E-2</v>
      </c>
      <c r="U49" s="245">
        <v>9.9414175889132039E-3</v>
      </c>
      <c r="V49" s="245">
        <v>4.0872450290212692E-2</v>
      </c>
      <c r="W49" s="245">
        <v>-4.3863552405433603E-2</v>
      </c>
      <c r="X49" s="245">
        <v>9.5047172771445254E-4</v>
      </c>
      <c r="Y49" s="245">
        <v>-1.7100511532895268E-2</v>
      </c>
      <c r="Z49" s="245">
        <v>4.2222874083501782E-2</v>
      </c>
      <c r="AA49" s="245">
        <v>-1.8304732426207559E-2</v>
      </c>
      <c r="AB49" s="245">
        <v>5.9716096888118519E-2</v>
      </c>
      <c r="AC49" s="245">
        <v>4.414254729900291E-2</v>
      </c>
      <c r="AD49" s="245">
        <v>-3.5091846461838161E-2</v>
      </c>
      <c r="AE49" s="245">
        <v>4.1129018127771921E-2</v>
      </c>
      <c r="AF49" s="245">
        <v>9.7561911818642155E-3</v>
      </c>
      <c r="AG49" s="245">
        <v>2.4537185712327103E-2</v>
      </c>
      <c r="AH49" s="245">
        <v>1.4620018820307612E-2</v>
      </c>
      <c r="AI49" s="245">
        <v>5.4947360243280396E-3</v>
      </c>
      <c r="AJ49" s="245">
        <v>-3.222041917114471E-2</v>
      </c>
      <c r="AK49" s="245">
        <v>1.2841621139416226E-2</v>
      </c>
      <c r="AL49" s="245">
        <v>8.3239308103602028E-3</v>
      </c>
      <c r="AM49" s="245">
        <v>1.4978379139610531E-2</v>
      </c>
      <c r="AN49" s="245">
        <v>3.0208624299154385E-2</v>
      </c>
      <c r="AO49" s="245">
        <v>9.6962077675153413E-3</v>
      </c>
      <c r="AP49" s="245">
        <v>1.4096174609220746E-2</v>
      </c>
      <c r="AQ49" s="245">
        <v>9.5852185714253579E-3</v>
      </c>
      <c r="AR49" s="245">
        <v>2.3642920522684685E-2</v>
      </c>
      <c r="AS49" s="245">
        <v>7.3929905434091392E-3</v>
      </c>
      <c r="AT49" s="245">
        <v>1.6833459305312326E-2</v>
      </c>
      <c r="AU49" s="245">
        <v>6.7788171301681466E-3</v>
      </c>
      <c r="AV49" s="245">
        <v>4.7183604166448179E-2</v>
      </c>
      <c r="AW49" s="245">
        <v>-5.1606042001457464E-3</v>
      </c>
      <c r="AX49" s="245">
        <v>2.7835341383885881E-2</v>
      </c>
      <c r="AY49" s="245">
        <v>1.2339329948722666E-2</v>
      </c>
      <c r="AZ49" s="245">
        <v>-2.2194992523079771E-2</v>
      </c>
      <c r="BA49" s="245">
        <v>-7.1197978261993478E-2</v>
      </c>
      <c r="BB49" s="245">
        <v>7.4621280923681477E-2</v>
      </c>
      <c r="BC49" s="245">
        <v>2.4351986059343966E-2</v>
      </c>
      <c r="BD49" s="245">
        <v>7.7831284455369687E-3</v>
      </c>
      <c r="BE49" s="245">
        <v>1.1699337550039379E-2</v>
      </c>
      <c r="BF49" s="245">
        <v>-1.9991801601972448E-2</v>
      </c>
      <c r="BG49" s="245">
        <v>4.9359917178984913E-2</v>
      </c>
      <c r="BH49" s="245">
        <v>2.2192564974707008E-2</v>
      </c>
      <c r="BI49" s="245">
        <v>3.8232369925883525E-3</v>
      </c>
      <c r="BJ49" s="245">
        <v>9.7334385089125064E-3</v>
      </c>
      <c r="BK49" s="245">
        <v>9.4972823516947802E-3</v>
      </c>
      <c r="BL49" s="245">
        <v>-2.1375292072356444E-4</v>
      </c>
      <c r="BM49" s="245">
        <v>3.2791841688570855E-2</v>
      </c>
      <c r="BN49" s="245">
        <v>1.299183744456478E-2</v>
      </c>
      <c r="BO49" s="245">
        <v>1.3643908149901796E-2</v>
      </c>
      <c r="BP49" s="245">
        <v>1.0354276379122895E-2</v>
      </c>
      <c r="BQ49" s="245">
        <v>1.6374266873781629E-2</v>
      </c>
      <c r="BR49" s="245">
        <v>2.1458545764824422E-2</v>
      </c>
      <c r="BS49" s="245">
        <v>5.1845911815009416E-3</v>
      </c>
      <c r="BT49" s="245">
        <v>3.7173547957292108E-2</v>
      </c>
      <c r="BU49" s="245">
        <v>-9.2665304197946385E-3</v>
      </c>
      <c r="BV49" s="245">
        <v>1.9545609514091566E-2</v>
      </c>
      <c r="BW49" s="245">
        <v>3.5624392076006206E-2</v>
      </c>
      <c r="BX49" s="245">
        <v>1.2140564149031308E-2</v>
      </c>
      <c r="BY49" s="245"/>
      <c r="BZ49" s="245"/>
      <c r="CA49" s="245"/>
      <c r="CB49" s="245"/>
      <c r="CC49" s="245"/>
      <c r="CD49" s="245"/>
      <c r="CE49" s="245"/>
      <c r="CF49" s="245"/>
      <c r="CG49" s="245"/>
      <c r="CH49" s="245"/>
      <c r="CI49" s="245"/>
      <c r="CJ49" s="245"/>
      <c r="CK49" s="245"/>
      <c r="CL49" s="245"/>
      <c r="CM49" s="245"/>
      <c r="CN49" s="245"/>
      <c r="CO49" s="245"/>
      <c r="CP49" s="245"/>
      <c r="CQ49" s="245"/>
      <c r="CR49" s="245"/>
      <c r="CS49" s="245"/>
      <c r="CT49" s="245"/>
      <c r="CU49" s="245"/>
      <c r="CV49" s="245"/>
      <c r="CW49" s="245"/>
      <c r="CX49" s="245"/>
      <c r="CY49" s="245"/>
      <c r="CZ49" s="245"/>
      <c r="DA49" s="245"/>
      <c r="DB49" s="245"/>
      <c r="DC49" s="245"/>
      <c r="DD49" s="245"/>
      <c r="DE49" s="245"/>
      <c r="DF49" s="245"/>
      <c r="DG49" s="245"/>
      <c r="DH49" s="245"/>
      <c r="DI49" s="245"/>
      <c r="DJ49" s="245"/>
      <c r="DK49" s="245"/>
      <c r="DL49" s="245"/>
      <c r="DM49" s="245"/>
      <c r="DN49" s="245"/>
      <c r="DO49" s="245"/>
      <c r="DP49" s="245"/>
      <c r="DQ49" s="245"/>
      <c r="DR49" s="245"/>
      <c r="DS49" s="245"/>
      <c r="DT49" s="245"/>
      <c r="DU49" s="245"/>
      <c r="DV49" s="245"/>
      <c r="DW49" s="245"/>
      <c r="DX49" s="245"/>
      <c r="DY49" s="245"/>
      <c r="DZ49" s="245"/>
      <c r="EA49" s="245"/>
      <c r="EB49" s="245"/>
      <c r="EC49" s="245"/>
      <c r="ED49" s="245"/>
      <c r="EE49" s="245"/>
      <c r="EF49" s="245"/>
      <c r="EG49" s="245"/>
      <c r="EH49" s="245"/>
      <c r="EI49" s="245"/>
      <c r="EJ49" s="245"/>
      <c r="EK49" s="245"/>
      <c r="EL49" s="245"/>
      <c r="EM49" s="245"/>
      <c r="EN49" s="245"/>
      <c r="EO49" s="245"/>
      <c r="EP49" s="245"/>
      <c r="EQ49" s="245"/>
      <c r="ER49" s="245"/>
      <c r="ES49" s="245"/>
      <c r="ET49" s="245"/>
      <c r="EU49" s="245"/>
      <c r="EV49" s="245"/>
      <c r="EW49" s="245"/>
      <c r="EX49" s="245"/>
      <c r="EY49" s="245"/>
      <c r="EZ49" s="245"/>
      <c r="FA49" s="245"/>
      <c r="FB49" s="245"/>
      <c r="FC49" s="245"/>
      <c r="FD49" s="245"/>
      <c r="FE49" s="245"/>
      <c r="FF49" s="245"/>
      <c r="FG49" s="245"/>
      <c r="FH49" s="245"/>
      <c r="FI49" s="245"/>
      <c r="FJ49" s="245"/>
      <c r="FK49" s="245"/>
      <c r="FL49" s="245"/>
      <c r="FM49" s="245"/>
      <c r="FN49" s="245"/>
      <c r="FO49" s="245"/>
      <c r="FP49" s="245"/>
      <c r="FQ49" s="245"/>
      <c r="FR49" s="245"/>
      <c r="FS49" s="245"/>
      <c r="FT49" s="245"/>
      <c r="FU49" s="245"/>
      <c r="FV49" s="245"/>
      <c r="FW49" s="245"/>
      <c r="FX49" s="245"/>
      <c r="FY49" s="245"/>
      <c r="FZ49" s="245"/>
      <c r="GA49" s="245"/>
      <c r="GB49" s="245"/>
      <c r="GC49" s="245"/>
      <c r="GD49" s="245"/>
      <c r="GE49" s="245"/>
      <c r="GF49" s="245"/>
      <c r="GG49" s="245"/>
      <c r="GH49" s="245"/>
      <c r="GI49" s="245"/>
      <c r="GJ49" s="245"/>
      <c r="GK49" s="245"/>
      <c r="GL49" s="245"/>
      <c r="GM49" s="245"/>
      <c r="GN49" s="245"/>
      <c r="GO49" s="245"/>
      <c r="GP49" s="245"/>
      <c r="GQ49" s="245"/>
      <c r="GR49" s="245"/>
      <c r="GS49" s="245"/>
      <c r="GT49" s="245"/>
      <c r="GU49" s="245"/>
      <c r="GV49" s="245"/>
      <c r="GW49" s="245"/>
      <c r="GX49" s="245"/>
      <c r="GY49" s="245"/>
      <c r="GZ49" s="245"/>
      <c r="HA49" s="245"/>
      <c r="HB49" s="245"/>
      <c r="HC49" s="245"/>
      <c r="HD49" s="245"/>
      <c r="HE49" s="245"/>
      <c r="HF49" s="245"/>
      <c r="HG49" s="245"/>
      <c r="HH49" s="245"/>
      <c r="HI49" s="245"/>
      <c r="HJ49" s="245"/>
      <c r="HK49" s="245"/>
      <c r="HL49" s="245"/>
      <c r="HM49" s="245"/>
      <c r="HN49" s="245"/>
      <c r="HO49" s="245"/>
      <c r="HP49" s="245"/>
      <c r="HQ49" s="245"/>
      <c r="HR49" s="245"/>
      <c r="HS49" s="245"/>
      <c r="HT49" s="245"/>
      <c r="HU49" s="245"/>
      <c r="HV49" s="245"/>
      <c r="HW49" s="245"/>
      <c r="HX49" s="245"/>
      <c r="HY49" s="245"/>
      <c r="HZ49" s="245"/>
      <c r="IA49" s="245"/>
      <c r="IB49" s="245"/>
      <c r="IC49" s="245"/>
      <c r="ID49" s="245"/>
      <c r="IE49" s="245"/>
      <c r="IF49" s="245"/>
      <c r="IG49" s="245"/>
      <c r="IH49" s="245"/>
      <c r="II49" s="245"/>
      <c r="IJ49" s="245"/>
      <c r="IK49" s="245"/>
      <c r="IL49" s="245"/>
      <c r="IM49" s="245"/>
      <c r="IN49" s="245"/>
      <c r="IO49" s="245"/>
      <c r="IP49" s="245"/>
      <c r="IQ49" s="245"/>
      <c r="IR49" s="245"/>
      <c r="IS49" s="245"/>
      <c r="IT49" s="245"/>
      <c r="IU49" s="245"/>
      <c r="IV49" s="245"/>
    </row>
    <row r="50" spans="1:256" ht="15" x14ac:dyDescent="0.25">
      <c r="A50" s="247"/>
      <c r="B50" s="244"/>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47"/>
      <c r="AZ50" s="247"/>
      <c r="BA50" s="247"/>
      <c r="BB50" s="247"/>
      <c r="BC50" s="247"/>
      <c r="BD50" s="247"/>
      <c r="BE50" s="247"/>
      <c r="BF50" s="247"/>
      <c r="BG50" s="247"/>
      <c r="BH50" s="247"/>
      <c r="BI50" s="247"/>
      <c r="BJ50" s="248"/>
      <c r="BK50" s="248"/>
      <c r="BL50" s="248"/>
      <c r="BM50" s="248"/>
      <c r="BN50" s="248"/>
      <c r="BO50" s="248"/>
      <c r="BP50" s="248"/>
      <c r="BQ50" s="248"/>
      <c r="BR50" s="248"/>
      <c r="BS50" s="248"/>
      <c r="BT50" s="248"/>
      <c r="BU50" s="248"/>
      <c r="BV50" s="248"/>
      <c r="BW50" s="248"/>
      <c r="BX50" s="248"/>
      <c r="BY50" s="248"/>
      <c r="BZ50" s="248"/>
      <c r="CA50" s="248"/>
      <c r="CB50" s="248"/>
      <c r="CC50" s="248"/>
      <c r="CD50" s="248"/>
      <c r="CE50" s="248"/>
      <c r="CF50" s="248"/>
      <c r="CG50" s="248"/>
      <c r="CH50" s="248"/>
      <c r="CI50" s="248"/>
      <c r="CJ50" s="248"/>
      <c r="CK50" s="248"/>
      <c r="CL50" s="248"/>
      <c r="CM50" s="248"/>
      <c r="CN50" s="248"/>
      <c r="CO50" s="248"/>
      <c r="CP50" s="248"/>
      <c r="CQ50" s="248"/>
      <c r="CR50" s="248"/>
      <c r="CS50" s="248"/>
      <c r="CT50" s="248"/>
      <c r="CU50" s="248"/>
      <c r="CV50" s="248"/>
      <c r="CW50" s="248"/>
      <c r="CX50" s="248"/>
      <c r="CY50" s="248"/>
      <c r="CZ50" s="248"/>
      <c r="DA50" s="248"/>
      <c r="DB50" s="248"/>
      <c r="DC50" s="248"/>
      <c r="DD50" s="248"/>
      <c r="DE50" s="248"/>
      <c r="DF50" s="248"/>
      <c r="DG50" s="248"/>
      <c r="DH50" s="248"/>
      <c r="DI50" s="248"/>
      <c r="DJ50" s="248"/>
      <c r="DK50" s="248"/>
      <c r="DL50" s="248"/>
      <c r="DM50" s="248"/>
      <c r="DN50" s="248"/>
      <c r="DO50" s="248"/>
      <c r="DP50" s="248"/>
      <c r="DQ50" s="248"/>
      <c r="DR50" s="248"/>
      <c r="DS50" s="248"/>
      <c r="DT50" s="248"/>
      <c r="DU50" s="248"/>
      <c r="DV50" s="248"/>
      <c r="DW50" s="248"/>
      <c r="DX50" s="248"/>
      <c r="DY50" s="248"/>
      <c r="DZ50" s="248"/>
      <c r="EA50" s="248"/>
      <c r="EB50" s="248"/>
      <c r="EC50" s="248"/>
      <c r="ED50" s="248"/>
      <c r="EE50" s="248"/>
      <c r="EF50" s="248"/>
      <c r="EG50" s="248"/>
      <c r="EH50" s="248"/>
      <c r="EI50" s="248"/>
      <c r="EJ50" s="248"/>
      <c r="EK50" s="248"/>
      <c r="EL50" s="248"/>
      <c r="EM50" s="248"/>
      <c r="EN50" s="248"/>
      <c r="EO50" s="248"/>
      <c r="EP50" s="248"/>
      <c r="EQ50" s="248"/>
      <c r="ER50" s="248"/>
      <c r="ES50" s="248"/>
      <c r="ET50" s="248"/>
      <c r="EU50" s="248"/>
      <c r="EV50" s="248"/>
      <c r="EW50" s="248"/>
      <c r="EX50" s="248"/>
      <c r="EY50" s="248"/>
      <c r="EZ50" s="248"/>
      <c r="FA50" s="248"/>
      <c r="FB50" s="248"/>
      <c r="FC50" s="248"/>
      <c r="FD50" s="248"/>
      <c r="FE50" s="248"/>
      <c r="FF50" s="248"/>
      <c r="FG50" s="248"/>
      <c r="FH50" s="248"/>
      <c r="FI50" s="248"/>
      <c r="FJ50" s="248"/>
      <c r="FK50" s="248"/>
      <c r="FL50" s="248"/>
      <c r="FM50" s="248"/>
      <c r="FN50" s="248"/>
      <c r="FO50" s="248"/>
      <c r="FP50" s="248"/>
      <c r="FQ50" s="248"/>
      <c r="FR50" s="248"/>
      <c r="FS50" s="248"/>
      <c r="FT50" s="248"/>
      <c r="FU50" s="248"/>
      <c r="FV50" s="248"/>
      <c r="FW50" s="248"/>
      <c r="FX50" s="248"/>
      <c r="FY50" s="248"/>
      <c r="FZ50" s="248"/>
      <c r="GA50" s="248"/>
      <c r="GB50" s="248"/>
      <c r="GC50" s="248"/>
      <c r="GD50" s="248"/>
      <c r="GE50" s="248"/>
      <c r="GF50" s="248"/>
      <c r="GG50" s="248"/>
      <c r="GH50" s="248"/>
      <c r="GI50" s="248"/>
      <c r="GJ50" s="248"/>
      <c r="GK50" s="248"/>
      <c r="GL50" s="248"/>
      <c r="GM50" s="248"/>
      <c r="GN50" s="248"/>
      <c r="GO50" s="248"/>
      <c r="GP50" s="248"/>
      <c r="GQ50" s="248"/>
      <c r="GR50" s="248"/>
      <c r="GS50" s="248"/>
      <c r="GT50" s="248"/>
      <c r="GU50" s="248"/>
      <c r="GV50" s="248"/>
      <c r="GW50" s="248"/>
      <c r="GX50" s="248"/>
      <c r="GY50" s="248"/>
      <c r="GZ50" s="248"/>
      <c r="HA50" s="248"/>
      <c r="HB50" s="248"/>
      <c r="HC50" s="248"/>
      <c r="HD50" s="248"/>
      <c r="HE50" s="248"/>
      <c r="HF50" s="248"/>
      <c r="HG50" s="248"/>
      <c r="HH50" s="248"/>
      <c r="HI50" s="248"/>
      <c r="HJ50" s="248"/>
      <c r="HK50" s="248"/>
      <c r="HL50" s="248"/>
      <c r="HM50" s="248"/>
      <c r="HN50" s="248"/>
      <c r="HO50" s="248"/>
      <c r="HP50" s="248"/>
      <c r="HQ50" s="248"/>
      <c r="HR50" s="248"/>
      <c r="HS50" s="248"/>
      <c r="HT50" s="248"/>
      <c r="HU50" s="248"/>
      <c r="HV50" s="248"/>
      <c r="HW50" s="248"/>
      <c r="HX50" s="248"/>
      <c r="HY50" s="248"/>
      <c r="HZ50" s="248"/>
      <c r="IA50" s="248"/>
      <c r="IB50" s="248"/>
      <c r="IC50" s="248"/>
      <c r="ID50" s="248"/>
      <c r="IE50" s="248"/>
      <c r="IF50" s="248"/>
      <c r="IG50" s="248"/>
      <c r="IH50" s="248"/>
      <c r="II50" s="248"/>
      <c r="IJ50" s="248"/>
      <c r="IK50" s="248"/>
      <c r="IL50" s="248"/>
      <c r="IM50" s="248"/>
      <c r="IN50" s="248"/>
      <c r="IO50" s="248"/>
      <c r="IP50" s="248"/>
      <c r="IQ50" s="248"/>
      <c r="IR50" s="248"/>
      <c r="IS50" s="248"/>
      <c r="IT50" s="248"/>
      <c r="IU50" s="248"/>
      <c r="IV50" s="248"/>
    </row>
    <row r="51" spans="1:256" ht="15" x14ac:dyDescent="0.25">
      <c r="A51" s="248"/>
      <c r="B51" s="249"/>
      <c r="C51" s="248"/>
      <c r="D51" s="248"/>
      <c r="E51" s="248"/>
      <c r="F51" s="248"/>
      <c r="G51" s="248"/>
      <c r="H51" s="248"/>
      <c r="I51" s="248"/>
      <c r="J51" s="248"/>
      <c r="K51" s="248"/>
      <c r="L51" s="248"/>
      <c r="M51" s="248"/>
      <c r="N51" s="248"/>
      <c r="O51" s="248"/>
      <c r="P51" s="248"/>
      <c r="Q51" s="248"/>
      <c r="R51" s="248"/>
      <c r="S51" s="248"/>
      <c r="AR51"/>
      <c r="AS51"/>
      <c r="AT51"/>
      <c r="AU51"/>
      <c r="AV51"/>
      <c r="AW51"/>
      <c r="AX51"/>
      <c r="AY51"/>
      <c r="AZ51"/>
      <c r="BA51"/>
      <c r="BB51"/>
      <c r="BC51"/>
      <c r="BD51"/>
      <c r="BE51"/>
      <c r="BF51"/>
      <c r="BG51"/>
    </row>
    <row r="52" spans="1:256" ht="15" x14ac:dyDescent="0.25">
      <c r="A52" s="248"/>
      <c r="B52" s="248"/>
      <c r="C52" s="248"/>
      <c r="D52" s="248"/>
      <c r="E52" s="248"/>
      <c r="F52" s="248"/>
      <c r="G52" s="248"/>
      <c r="H52" s="248"/>
      <c r="I52" s="248"/>
      <c r="J52" s="248"/>
      <c r="K52" s="248"/>
      <c r="L52" s="248"/>
      <c r="M52" s="248"/>
      <c r="N52" s="248"/>
      <c r="O52" s="248"/>
      <c r="P52" s="248"/>
      <c r="Q52" s="248"/>
      <c r="R52" s="248"/>
      <c r="S52" s="248"/>
    </row>
    <row r="53" spans="1:256" ht="15" x14ac:dyDescent="0.25">
      <c r="A53" s="248"/>
      <c r="B53" s="248"/>
      <c r="C53" s="248"/>
      <c r="D53" s="248"/>
      <c r="E53" s="248"/>
      <c r="F53" s="248"/>
      <c r="G53" s="248"/>
      <c r="H53" s="248"/>
      <c r="I53" s="248"/>
      <c r="J53" s="248"/>
      <c r="K53" s="248"/>
      <c r="L53" s="248"/>
      <c r="M53" s="248"/>
      <c r="N53" s="248"/>
      <c r="O53" s="248"/>
      <c r="P53" s="248"/>
      <c r="Q53" s="248"/>
      <c r="R53" s="248"/>
      <c r="S53" s="248"/>
    </row>
    <row r="54" spans="1:256" ht="15" x14ac:dyDescent="0.25">
      <c r="A54" s="248"/>
      <c r="B54" s="248"/>
      <c r="C54" s="248"/>
      <c r="D54" s="248"/>
      <c r="E54" s="248"/>
      <c r="F54" s="248"/>
      <c r="G54" s="248"/>
      <c r="H54" s="248"/>
      <c r="I54" s="248"/>
      <c r="J54" s="248"/>
      <c r="K54" s="248"/>
      <c r="L54" s="248"/>
      <c r="M54" s="248"/>
      <c r="N54" s="248"/>
      <c r="O54" s="248"/>
      <c r="P54" s="248"/>
      <c r="Q54" s="248"/>
      <c r="R54" s="248"/>
      <c r="S54" s="248"/>
    </row>
    <row r="55" spans="1:256" ht="15" x14ac:dyDescent="0.25">
      <c r="A55" s="245"/>
      <c r="B55" s="246"/>
      <c r="C55" s="245"/>
      <c r="D55" s="245"/>
      <c r="E55" s="245"/>
      <c r="F55" s="245"/>
      <c r="G55" s="245"/>
      <c r="H55" s="245"/>
      <c r="I55" s="245"/>
      <c r="J55" s="245"/>
      <c r="K55" s="245"/>
      <c r="L55" s="245"/>
      <c r="M55" s="245"/>
      <c r="N55" s="245"/>
      <c r="O55" s="245"/>
      <c r="P55" s="245"/>
      <c r="Q55" s="245"/>
      <c r="R55" s="245"/>
      <c r="S55" s="245"/>
    </row>
    <row r="56" spans="1:256" ht="15" x14ac:dyDescent="0.25">
      <c r="A56" s="245"/>
      <c r="B56" s="245"/>
      <c r="C56" s="245"/>
      <c r="D56" s="245"/>
      <c r="E56" s="245"/>
      <c r="F56" s="245"/>
      <c r="G56" s="245"/>
      <c r="H56" s="245"/>
      <c r="I56" s="245"/>
      <c r="J56" s="245"/>
      <c r="K56" s="245"/>
      <c r="L56" s="245"/>
      <c r="M56" s="245"/>
      <c r="N56" s="245"/>
      <c r="O56" s="245"/>
      <c r="P56" s="245"/>
      <c r="Q56" s="245"/>
      <c r="R56" s="245"/>
      <c r="S56" s="245"/>
    </row>
    <row r="57" spans="1:256" ht="15" x14ac:dyDescent="0.25">
      <c r="A57" s="245"/>
      <c r="B57" s="245"/>
      <c r="C57" s="245"/>
      <c r="D57" s="245"/>
      <c r="E57" s="245"/>
      <c r="F57" s="245"/>
      <c r="G57" s="245"/>
      <c r="H57" s="245"/>
      <c r="I57" s="245"/>
      <c r="J57" s="245"/>
      <c r="K57" s="245"/>
      <c r="L57" s="245"/>
      <c r="M57" s="245"/>
      <c r="N57" s="245"/>
      <c r="O57" s="245"/>
      <c r="P57" s="245"/>
      <c r="Q57" s="245"/>
      <c r="R57" s="245"/>
      <c r="S57" s="245"/>
    </row>
    <row r="58" spans="1:256" ht="15" x14ac:dyDescent="0.25">
      <c r="A58" s="245"/>
      <c r="B58" s="245"/>
      <c r="C58" s="245"/>
      <c r="D58" s="245"/>
      <c r="E58" s="245"/>
      <c r="F58" s="245"/>
      <c r="G58" s="245"/>
      <c r="H58" s="245"/>
      <c r="I58" s="245"/>
      <c r="J58" s="245"/>
      <c r="K58" s="245"/>
      <c r="L58" s="245"/>
      <c r="M58" s="245"/>
      <c r="N58" s="245"/>
      <c r="O58" s="245"/>
      <c r="P58" s="245"/>
      <c r="Q58" s="245"/>
      <c r="R58" s="245"/>
      <c r="S58" s="245"/>
    </row>
    <row r="59" spans="1:256" ht="15" x14ac:dyDescent="0.25"/>
    <row r="60" spans="1:256" ht="15" x14ac:dyDescent="0.25">
      <c r="A60" s="250"/>
      <c r="B60" s="250"/>
      <c r="C60" s="230"/>
      <c r="D60" s="230"/>
      <c r="E60" s="230"/>
      <c r="F60" s="230"/>
      <c r="G60" s="230"/>
      <c r="H60" s="230"/>
      <c r="I60" s="230"/>
      <c r="J60" s="230"/>
      <c r="K60" s="230"/>
      <c r="L60" s="230"/>
      <c r="M60" s="230"/>
      <c r="N60" s="230"/>
      <c r="O60" s="230"/>
      <c r="P60" s="230"/>
      <c r="Q60" s="230"/>
      <c r="R60" s="230"/>
    </row>
    <row r="61" spans="1:256" ht="15" x14ac:dyDescent="0.25">
      <c r="A61" s="251"/>
      <c r="B61" s="224"/>
      <c r="D61" s="252"/>
      <c r="E61" s="252"/>
      <c r="F61" s="252"/>
      <c r="G61" s="252"/>
      <c r="H61" s="252"/>
      <c r="I61" s="252"/>
      <c r="J61" s="252"/>
      <c r="K61" s="252"/>
      <c r="L61" s="252"/>
      <c r="M61" s="252"/>
      <c r="N61" s="252"/>
      <c r="O61" s="252"/>
      <c r="P61" s="252"/>
      <c r="Q61" s="252"/>
      <c r="R61" s="252"/>
      <c r="S61" s="252"/>
      <c r="T61" s="252"/>
      <c r="U61" s="252"/>
      <c r="V61" s="252"/>
      <c r="W61" s="252"/>
      <c r="X61" s="252"/>
      <c r="Y61" s="252"/>
      <c r="Z61" s="252"/>
      <c r="AA61" s="252"/>
    </row>
    <row r="62" spans="1:256" ht="15" x14ac:dyDescent="0.25">
      <c r="A62" s="235"/>
      <c r="B62" s="236"/>
      <c r="C62" s="235"/>
      <c r="D62" s="233"/>
      <c r="E62" s="233"/>
      <c r="F62" s="233"/>
      <c r="G62" s="233"/>
      <c r="H62" s="233"/>
      <c r="I62" s="233"/>
      <c r="J62" s="233"/>
      <c r="K62" s="233"/>
      <c r="L62" s="233"/>
      <c r="M62" s="233"/>
      <c r="N62" s="233"/>
      <c r="O62" s="233"/>
      <c r="P62" s="233"/>
      <c r="Q62" s="233"/>
      <c r="R62" s="233"/>
    </row>
    <row r="63" spans="1:256" ht="15" x14ac:dyDescent="0.25">
      <c r="A63" s="233"/>
      <c r="B63" s="253"/>
      <c r="C63" s="233"/>
      <c r="D63" s="233"/>
      <c r="E63" s="233"/>
      <c r="F63" s="233"/>
      <c r="G63" s="233"/>
      <c r="H63" s="233"/>
      <c r="I63" s="233"/>
      <c r="J63" s="233"/>
      <c r="K63" s="233"/>
      <c r="L63" s="233"/>
      <c r="M63" s="233"/>
      <c r="N63" s="233"/>
      <c r="O63" s="233"/>
      <c r="P63" s="233"/>
      <c r="Q63" s="233"/>
      <c r="R63" s="233"/>
      <c r="S63" s="233"/>
    </row>
    <row r="64" spans="1:256" ht="15" x14ac:dyDescent="0.25">
      <c r="A64" s="233"/>
      <c r="B64" s="253"/>
      <c r="C64" s="233"/>
      <c r="D64" s="233"/>
      <c r="E64" s="233"/>
      <c r="F64" s="233"/>
      <c r="G64" s="233"/>
      <c r="H64" s="233"/>
      <c r="I64" s="233"/>
      <c r="J64" s="233"/>
      <c r="K64" s="233"/>
      <c r="L64" s="233"/>
      <c r="M64" s="233"/>
      <c r="N64" s="233"/>
      <c r="O64" s="233"/>
      <c r="P64" s="233"/>
      <c r="Q64" s="233"/>
      <c r="R64" s="233"/>
      <c r="S64" s="233"/>
    </row>
    <row r="65" spans="1:19" ht="15" x14ac:dyDescent="0.25">
      <c r="A65" s="233"/>
      <c r="B65" s="253"/>
      <c r="C65" s="233"/>
      <c r="D65" s="233"/>
      <c r="E65" s="233"/>
      <c r="F65" s="233"/>
      <c r="G65" s="233"/>
      <c r="H65" s="233"/>
      <c r="I65" s="233"/>
      <c r="J65" s="233"/>
      <c r="K65" s="233"/>
      <c r="L65" s="233"/>
      <c r="M65" s="233"/>
      <c r="N65" s="233"/>
      <c r="O65" s="233"/>
      <c r="P65" s="233"/>
      <c r="Q65" s="233"/>
      <c r="R65" s="233"/>
      <c r="S65" s="233"/>
    </row>
    <row r="66" spans="1:19" ht="15" x14ac:dyDescent="0.25">
      <c r="A66" s="235"/>
      <c r="B66" s="236"/>
      <c r="C66" s="233"/>
      <c r="D66" s="233"/>
      <c r="E66" s="233"/>
      <c r="F66" s="233"/>
      <c r="G66" s="233"/>
      <c r="H66" s="233"/>
      <c r="I66" s="233"/>
      <c r="J66" s="233"/>
      <c r="K66" s="233"/>
      <c r="L66" s="233"/>
      <c r="M66" s="233"/>
      <c r="N66" s="233"/>
      <c r="O66" s="233"/>
      <c r="P66" s="233"/>
      <c r="Q66" s="233"/>
      <c r="R66" s="233"/>
      <c r="S66" s="233"/>
    </row>
    <row r="67" spans="1:19" ht="15" x14ac:dyDescent="0.25">
      <c r="A67" s="233"/>
      <c r="B67" s="253"/>
      <c r="C67" s="233"/>
      <c r="D67" s="233"/>
      <c r="E67" s="233"/>
      <c r="F67" s="233"/>
      <c r="G67" s="233"/>
      <c r="H67" s="233"/>
      <c r="I67" s="233"/>
      <c r="J67" s="233"/>
      <c r="K67" s="233"/>
      <c r="L67" s="233"/>
      <c r="M67" s="233"/>
      <c r="N67" s="233"/>
      <c r="O67" s="233"/>
      <c r="P67" s="233"/>
      <c r="Q67" s="233"/>
      <c r="R67" s="233"/>
      <c r="S67" s="233"/>
    </row>
    <row r="68" spans="1:19" ht="15" x14ac:dyDescent="0.25">
      <c r="A68" s="233"/>
      <c r="B68" s="253"/>
      <c r="C68" s="233"/>
      <c r="D68" s="233"/>
      <c r="E68" s="233"/>
      <c r="F68" s="233"/>
      <c r="G68" s="233"/>
      <c r="H68" s="233"/>
      <c r="I68" s="233"/>
      <c r="J68" s="233"/>
      <c r="K68" s="233"/>
      <c r="L68" s="233"/>
      <c r="M68" s="233"/>
      <c r="N68" s="233"/>
      <c r="O68" s="233"/>
      <c r="P68" s="233"/>
      <c r="Q68" s="233"/>
      <c r="R68" s="233"/>
      <c r="S68" s="233"/>
    </row>
    <row r="69" spans="1:19" ht="15" x14ac:dyDescent="0.25">
      <c r="A69" s="233"/>
      <c r="B69" s="253"/>
      <c r="C69" s="233"/>
      <c r="D69" s="233"/>
      <c r="E69" s="233"/>
      <c r="F69" s="233"/>
      <c r="G69" s="233"/>
      <c r="H69" s="233"/>
      <c r="I69" s="233"/>
      <c r="J69" s="233"/>
      <c r="K69" s="233"/>
      <c r="L69" s="233"/>
      <c r="M69" s="233"/>
      <c r="N69" s="233"/>
      <c r="O69" s="233"/>
      <c r="P69" s="233"/>
      <c r="Q69" s="233"/>
      <c r="R69" s="233"/>
      <c r="S69" s="233"/>
    </row>
    <row r="70" spans="1:19" ht="15" x14ac:dyDescent="0.25">
      <c r="A70" s="245"/>
      <c r="B70" s="246"/>
      <c r="C70" s="245"/>
      <c r="D70" s="245"/>
      <c r="E70" s="245"/>
      <c r="F70" s="245"/>
      <c r="G70" s="245"/>
      <c r="H70" s="245"/>
      <c r="I70" s="245"/>
      <c r="J70" s="245"/>
      <c r="K70" s="245"/>
      <c r="L70" s="245"/>
      <c r="M70" s="245"/>
      <c r="N70" s="245"/>
      <c r="O70" s="245"/>
      <c r="P70" s="245"/>
      <c r="Q70" s="245"/>
      <c r="R70" s="245"/>
      <c r="S70" s="245"/>
    </row>
    <row r="71" spans="1:19" ht="15" x14ac:dyDescent="0.25">
      <c r="A71" s="245"/>
      <c r="B71" s="245"/>
      <c r="C71" s="245"/>
      <c r="D71" s="245"/>
      <c r="E71" s="245"/>
      <c r="F71" s="245"/>
      <c r="G71" s="245"/>
      <c r="H71" s="245"/>
      <c r="I71" s="245"/>
      <c r="J71" s="245"/>
      <c r="K71" s="245"/>
      <c r="L71" s="245"/>
      <c r="M71" s="245"/>
      <c r="N71" s="245"/>
      <c r="O71" s="245"/>
      <c r="P71" s="245"/>
      <c r="Q71" s="245"/>
      <c r="R71" s="245"/>
      <c r="S71" s="245"/>
    </row>
    <row r="72" spans="1:19" ht="15" x14ac:dyDescent="0.25">
      <c r="A72" s="245"/>
      <c r="B72" s="245"/>
      <c r="C72" s="245"/>
      <c r="D72" s="245"/>
      <c r="E72" s="245"/>
      <c r="F72" s="245"/>
      <c r="G72" s="245"/>
      <c r="H72" s="245"/>
      <c r="I72" s="245"/>
      <c r="J72" s="245"/>
      <c r="K72" s="245"/>
      <c r="L72" s="245"/>
      <c r="M72" s="245"/>
      <c r="N72" s="245"/>
      <c r="O72" s="245"/>
      <c r="P72" s="245"/>
      <c r="Q72" s="245"/>
      <c r="R72" s="245"/>
      <c r="S72" s="245"/>
    </row>
    <row r="73" spans="1:19" ht="15" x14ac:dyDescent="0.25">
      <c r="A73" s="245"/>
      <c r="B73" s="245"/>
      <c r="C73" s="245"/>
      <c r="D73" s="245"/>
      <c r="E73" s="245"/>
      <c r="F73" s="245"/>
      <c r="G73" s="245"/>
      <c r="H73" s="245"/>
      <c r="I73" s="245"/>
      <c r="J73" s="245"/>
      <c r="K73" s="245"/>
      <c r="L73" s="245"/>
      <c r="M73" s="245"/>
      <c r="N73" s="245"/>
      <c r="O73" s="245"/>
      <c r="P73" s="245"/>
      <c r="Q73" s="245"/>
      <c r="R73" s="245"/>
      <c r="S73" s="245"/>
    </row>
    <row r="74" spans="1:19" ht="15" x14ac:dyDescent="0.25">
      <c r="A74" s="248"/>
      <c r="B74" s="249"/>
      <c r="C74" s="248"/>
      <c r="D74" s="248"/>
      <c r="E74" s="248"/>
      <c r="F74" s="248"/>
      <c r="G74" s="248"/>
      <c r="H74" s="248"/>
      <c r="I74" s="248"/>
      <c r="J74" s="248"/>
      <c r="K74" s="248"/>
      <c r="L74" s="248"/>
      <c r="M74" s="248"/>
      <c r="N74" s="248"/>
      <c r="O74" s="248"/>
      <c r="P74" s="248"/>
      <c r="Q74" s="248"/>
      <c r="R74" s="248"/>
      <c r="S74" s="248"/>
    </row>
    <row r="75" spans="1:19" ht="15" x14ac:dyDescent="0.25">
      <c r="A75" s="248"/>
      <c r="B75" s="248"/>
      <c r="C75" s="248"/>
      <c r="D75" s="248"/>
      <c r="E75" s="248"/>
      <c r="F75" s="248"/>
      <c r="G75" s="248"/>
      <c r="H75" s="248"/>
      <c r="I75" s="248"/>
      <c r="J75" s="248"/>
      <c r="K75" s="248"/>
      <c r="L75" s="248"/>
      <c r="M75" s="248"/>
      <c r="N75" s="248"/>
      <c r="O75" s="248"/>
      <c r="P75" s="248"/>
      <c r="Q75" s="248"/>
      <c r="R75" s="248"/>
      <c r="S75" s="248"/>
    </row>
    <row r="76" spans="1:19" ht="15" x14ac:dyDescent="0.25">
      <c r="A76" s="248"/>
      <c r="B76" s="248"/>
      <c r="C76" s="248"/>
      <c r="D76" s="248"/>
      <c r="E76" s="248"/>
      <c r="F76" s="248"/>
      <c r="G76" s="248"/>
      <c r="H76" s="248"/>
      <c r="I76" s="248"/>
      <c r="J76" s="248"/>
      <c r="K76" s="248"/>
      <c r="L76" s="248"/>
      <c r="M76" s="248"/>
      <c r="N76" s="248"/>
      <c r="O76" s="248"/>
      <c r="P76" s="248"/>
      <c r="Q76" s="248"/>
      <c r="R76" s="248"/>
      <c r="S76" s="248"/>
    </row>
    <row r="77" spans="1:19" ht="15" x14ac:dyDescent="0.25">
      <c r="A77" s="248"/>
      <c r="B77" s="248"/>
      <c r="C77" s="248"/>
      <c r="D77" s="248"/>
      <c r="E77" s="248"/>
      <c r="F77" s="248"/>
      <c r="G77" s="248"/>
      <c r="H77" s="248"/>
      <c r="I77" s="248"/>
      <c r="J77" s="248"/>
      <c r="K77" s="248"/>
      <c r="L77" s="248"/>
      <c r="M77" s="248"/>
      <c r="N77" s="248"/>
      <c r="O77" s="248"/>
      <c r="P77" s="248"/>
      <c r="Q77" s="248"/>
      <c r="R77" s="248"/>
      <c r="S77" s="248"/>
    </row>
    <row r="78" spans="1:19" ht="15" x14ac:dyDescent="0.25">
      <c r="A78" s="248"/>
      <c r="B78" s="249"/>
      <c r="C78" s="248"/>
      <c r="D78" s="248"/>
      <c r="E78" s="248"/>
      <c r="F78" s="248"/>
      <c r="G78" s="248"/>
      <c r="H78" s="248"/>
      <c r="I78" s="248"/>
      <c r="J78" s="248"/>
      <c r="K78" s="248"/>
      <c r="L78" s="248"/>
      <c r="M78" s="248"/>
      <c r="N78" s="248"/>
      <c r="O78" s="248"/>
      <c r="P78" s="248"/>
      <c r="Q78" s="248"/>
      <c r="R78" s="248"/>
      <c r="S78" s="248"/>
    </row>
    <row r="79" spans="1:19" ht="15" x14ac:dyDescent="0.25">
      <c r="A79" s="248"/>
      <c r="B79" s="248"/>
      <c r="C79" s="248"/>
      <c r="D79" s="248"/>
      <c r="E79" s="248"/>
      <c r="F79" s="248"/>
      <c r="G79" s="248"/>
      <c r="H79" s="248"/>
      <c r="I79" s="248"/>
      <c r="J79" s="248"/>
      <c r="K79" s="248"/>
      <c r="L79" s="248"/>
      <c r="M79" s="248"/>
      <c r="N79" s="248"/>
      <c r="O79" s="248"/>
      <c r="P79" s="248"/>
      <c r="Q79" s="248"/>
      <c r="R79" s="248"/>
      <c r="S79" s="248"/>
    </row>
    <row r="80" spans="1:19" ht="15" x14ac:dyDescent="0.25">
      <c r="A80" s="248"/>
      <c r="B80" s="248"/>
      <c r="C80" s="248"/>
      <c r="D80" s="248"/>
      <c r="E80" s="248"/>
      <c r="F80" s="248"/>
      <c r="G80" s="248"/>
      <c r="H80" s="248"/>
      <c r="I80" s="248"/>
      <c r="J80" s="248"/>
      <c r="K80" s="248"/>
      <c r="L80" s="248"/>
      <c r="M80" s="248"/>
      <c r="N80" s="248"/>
      <c r="O80" s="248"/>
      <c r="P80" s="248"/>
      <c r="Q80" s="248"/>
      <c r="R80" s="248"/>
      <c r="S80" s="248"/>
    </row>
    <row r="81" spans="1:256" ht="15" x14ac:dyDescent="0.25">
      <c r="A81" s="248"/>
      <c r="B81" s="248"/>
      <c r="C81" s="248"/>
      <c r="D81" s="248"/>
      <c r="E81" s="248"/>
      <c r="F81" s="248"/>
      <c r="G81" s="248"/>
      <c r="H81" s="248"/>
      <c r="I81" s="248"/>
      <c r="J81" s="248"/>
      <c r="K81" s="248"/>
      <c r="L81" s="248"/>
      <c r="M81" s="248"/>
      <c r="N81" s="248"/>
      <c r="O81" s="248"/>
      <c r="P81" s="248"/>
      <c r="Q81" s="248"/>
      <c r="R81" s="248"/>
      <c r="S81" s="248"/>
    </row>
    <row r="82" spans="1:256" ht="15" x14ac:dyDescent="0.25">
      <c r="A82" s="245"/>
      <c r="B82" s="246"/>
      <c r="C82" s="245"/>
      <c r="D82" s="245"/>
      <c r="E82" s="245"/>
      <c r="F82" s="245"/>
      <c r="G82" s="245"/>
      <c r="H82" s="245"/>
      <c r="I82" s="245"/>
      <c r="J82" s="245"/>
      <c r="K82" s="245"/>
      <c r="L82" s="245"/>
      <c r="M82" s="245"/>
      <c r="N82" s="245"/>
      <c r="O82" s="245"/>
      <c r="P82" s="245"/>
      <c r="Q82" s="245"/>
      <c r="R82" s="245"/>
      <c r="S82" s="245"/>
    </row>
    <row r="83" spans="1:256" ht="15" x14ac:dyDescent="0.25">
      <c r="A83" s="245"/>
      <c r="B83" s="245"/>
      <c r="C83" s="245"/>
      <c r="D83" s="245"/>
      <c r="E83" s="245"/>
      <c r="F83" s="245"/>
      <c r="G83" s="245"/>
      <c r="H83" s="245"/>
      <c r="I83" s="245"/>
      <c r="J83" s="245"/>
      <c r="K83" s="245"/>
      <c r="L83" s="245"/>
      <c r="M83" s="245"/>
      <c r="N83" s="245"/>
      <c r="O83" s="245"/>
      <c r="P83" s="245"/>
      <c r="Q83" s="245"/>
      <c r="R83" s="245"/>
      <c r="S83" s="245"/>
    </row>
    <row r="84" spans="1:256" ht="15" x14ac:dyDescent="0.25">
      <c r="A84" s="245"/>
      <c r="B84" s="245"/>
      <c r="C84" s="245"/>
      <c r="D84" s="245"/>
      <c r="E84" s="245"/>
      <c r="F84" s="245"/>
      <c r="G84" s="245"/>
      <c r="H84" s="245"/>
      <c r="I84" s="245"/>
      <c r="J84" s="245"/>
      <c r="K84" s="245"/>
      <c r="L84" s="245"/>
      <c r="M84" s="245"/>
      <c r="N84" s="245"/>
      <c r="O84" s="245"/>
      <c r="P84" s="245"/>
      <c r="Q84" s="245"/>
      <c r="R84" s="245"/>
      <c r="S84" s="245"/>
    </row>
    <row r="85" spans="1:256" ht="15" x14ac:dyDescent="0.25">
      <c r="A85" s="245"/>
      <c r="B85" s="245"/>
      <c r="C85" s="245"/>
      <c r="D85" s="245"/>
      <c r="E85" s="245"/>
      <c r="F85" s="245"/>
      <c r="G85" s="245"/>
      <c r="H85" s="245"/>
      <c r="I85" s="245"/>
      <c r="J85" s="245"/>
      <c r="K85" s="245"/>
      <c r="L85" s="245"/>
      <c r="M85" s="245"/>
      <c r="N85" s="245"/>
      <c r="O85" s="245"/>
      <c r="P85" s="245"/>
      <c r="Q85" s="245"/>
      <c r="R85" s="245"/>
      <c r="S85" s="245"/>
    </row>
    <row r="86" spans="1:256" ht="15" x14ac:dyDescent="0.25"/>
    <row r="87" spans="1:256" ht="15" x14ac:dyDescent="0.25">
      <c r="A87" s="250"/>
      <c r="B87" s="250"/>
      <c r="C87" s="230"/>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4"/>
      <c r="AG87" s="234"/>
      <c r="AH87" s="234"/>
      <c r="AI87" s="234"/>
      <c r="AJ87" s="234"/>
      <c r="AK87" s="234"/>
      <c r="AL87" s="234"/>
      <c r="AM87" s="234"/>
      <c r="AN87" s="234"/>
      <c r="AO87" s="234"/>
      <c r="AP87" s="234"/>
      <c r="AQ87" s="234"/>
      <c r="AR87" s="233"/>
      <c r="AS87" s="233"/>
      <c r="AT87" s="233"/>
      <c r="AU87" s="233"/>
      <c r="AV87" s="233"/>
      <c r="AW87" s="233"/>
      <c r="AX87" s="233"/>
      <c r="AY87" s="233"/>
      <c r="AZ87" s="233"/>
      <c r="BA87" s="233"/>
      <c r="BB87" s="233"/>
      <c r="BC87" s="233"/>
      <c r="BD87" s="233"/>
      <c r="BE87" s="233"/>
      <c r="BF87" s="233"/>
      <c r="BG87" s="233"/>
      <c r="BH87" s="233"/>
      <c r="BI87" s="233"/>
      <c r="BJ87" s="233"/>
      <c r="BK87" s="233"/>
      <c r="BL87" s="233"/>
      <c r="BM87" s="233"/>
      <c r="BN87" s="233"/>
      <c r="BO87" s="233"/>
      <c r="BP87" s="233"/>
      <c r="BQ87" s="233"/>
      <c r="BR87" s="233"/>
      <c r="BS87" s="233"/>
      <c r="BT87" s="233"/>
      <c r="BU87" s="233"/>
      <c r="BV87" s="233"/>
      <c r="BW87" s="233"/>
      <c r="BX87" s="233"/>
      <c r="BY87" s="233"/>
      <c r="BZ87" s="233"/>
      <c r="CA87" s="233"/>
      <c r="CB87" s="233"/>
      <c r="CC87" s="233"/>
      <c r="CD87" s="233"/>
      <c r="CE87" s="233"/>
      <c r="CF87" s="233"/>
      <c r="CG87" s="233"/>
      <c r="CH87" s="233"/>
      <c r="CI87" s="233"/>
      <c r="CJ87" s="233"/>
      <c r="CK87" s="233"/>
      <c r="CL87" s="233"/>
      <c r="CM87" s="233"/>
      <c r="CN87" s="233"/>
      <c r="CO87" s="233"/>
      <c r="CP87" s="233"/>
      <c r="CQ87" s="233"/>
      <c r="CR87" s="233"/>
      <c r="CS87" s="233"/>
      <c r="CT87" s="233"/>
      <c r="CU87" s="233"/>
      <c r="CV87" s="233"/>
      <c r="CW87" s="233"/>
      <c r="CX87" s="233"/>
      <c r="CY87" s="233"/>
      <c r="CZ87" s="233"/>
      <c r="DA87" s="233"/>
      <c r="DB87" s="233"/>
      <c r="DC87" s="233"/>
      <c r="DD87" s="233"/>
      <c r="DE87" s="233"/>
      <c r="DF87" s="233"/>
      <c r="DG87" s="233"/>
      <c r="DH87" s="233"/>
      <c r="DI87" s="233"/>
      <c r="DJ87" s="233"/>
      <c r="DK87" s="233"/>
      <c r="DL87" s="233"/>
      <c r="DM87" s="233"/>
      <c r="DN87" s="233"/>
      <c r="DO87" s="233"/>
      <c r="DP87" s="233"/>
      <c r="DQ87" s="233"/>
      <c r="DR87" s="233"/>
      <c r="DS87" s="233"/>
      <c r="DT87" s="233"/>
      <c r="DU87" s="233"/>
      <c r="DV87" s="233"/>
      <c r="DW87" s="233"/>
      <c r="DX87" s="233"/>
      <c r="DY87" s="233"/>
      <c r="DZ87" s="233"/>
      <c r="EA87" s="233"/>
      <c r="EB87" s="233"/>
      <c r="EC87" s="233"/>
      <c r="ED87" s="233"/>
      <c r="EE87" s="233"/>
      <c r="EF87" s="233"/>
      <c r="EG87" s="233"/>
      <c r="EH87" s="233"/>
      <c r="EI87" s="233"/>
      <c r="EJ87" s="233"/>
      <c r="EK87" s="233"/>
      <c r="EL87" s="233"/>
      <c r="EM87" s="233"/>
      <c r="EN87" s="233"/>
      <c r="EO87" s="233"/>
      <c r="EP87" s="233"/>
      <c r="EQ87" s="233"/>
      <c r="ER87" s="233"/>
      <c r="ES87" s="233"/>
      <c r="ET87" s="233"/>
      <c r="EU87" s="233"/>
      <c r="EV87" s="233"/>
      <c r="EW87" s="233"/>
      <c r="EX87" s="233"/>
      <c r="EY87" s="233"/>
      <c r="EZ87" s="233"/>
      <c r="FA87" s="233"/>
      <c r="FB87" s="233"/>
      <c r="FC87" s="233"/>
      <c r="FD87" s="233"/>
      <c r="FE87" s="233"/>
      <c r="FF87" s="233"/>
      <c r="FG87" s="233"/>
      <c r="FH87" s="233"/>
      <c r="FI87" s="233"/>
      <c r="FJ87" s="233"/>
      <c r="FK87" s="233"/>
      <c r="FL87" s="233"/>
      <c r="FM87" s="233"/>
      <c r="FN87" s="233"/>
      <c r="FO87" s="233"/>
      <c r="FP87" s="233"/>
      <c r="FQ87" s="233"/>
      <c r="FR87" s="233"/>
      <c r="FS87" s="233"/>
      <c r="FT87" s="233"/>
      <c r="FU87" s="233"/>
      <c r="FV87" s="233"/>
      <c r="FW87" s="233"/>
      <c r="FX87" s="233"/>
      <c r="FY87" s="233"/>
      <c r="FZ87" s="233"/>
      <c r="GA87" s="233"/>
      <c r="GB87" s="233"/>
      <c r="GC87" s="233"/>
      <c r="GD87" s="233"/>
      <c r="GE87" s="233"/>
      <c r="GF87" s="233"/>
      <c r="GG87" s="233"/>
      <c r="GH87" s="233"/>
      <c r="GI87" s="233"/>
      <c r="GJ87" s="233"/>
      <c r="GK87" s="233"/>
      <c r="GL87" s="233"/>
      <c r="GM87" s="233"/>
      <c r="GN87" s="233"/>
      <c r="GO87" s="233"/>
      <c r="GP87" s="233"/>
      <c r="GQ87" s="233"/>
      <c r="GR87" s="233"/>
      <c r="GS87" s="233"/>
      <c r="GT87" s="233"/>
      <c r="GU87" s="233"/>
      <c r="GV87" s="233"/>
      <c r="GW87" s="233"/>
      <c r="GX87" s="233"/>
      <c r="GY87" s="233"/>
      <c r="GZ87" s="233"/>
      <c r="HA87" s="233"/>
      <c r="HB87" s="233"/>
      <c r="HC87" s="233"/>
      <c r="HD87" s="233"/>
      <c r="HE87" s="233"/>
      <c r="HF87" s="233"/>
      <c r="HG87" s="233"/>
      <c r="HH87" s="233"/>
      <c r="HI87" s="233"/>
      <c r="HJ87" s="233"/>
      <c r="HK87" s="233"/>
      <c r="HL87" s="233"/>
      <c r="HM87" s="233"/>
      <c r="HN87" s="233"/>
      <c r="HO87" s="233"/>
      <c r="HP87" s="233"/>
      <c r="HQ87" s="233"/>
      <c r="HR87" s="233"/>
      <c r="HS87" s="233"/>
      <c r="HT87" s="233"/>
      <c r="HU87" s="233"/>
      <c r="HV87" s="233"/>
      <c r="HW87" s="233"/>
      <c r="HX87" s="233"/>
      <c r="HY87" s="233"/>
      <c r="HZ87" s="233"/>
      <c r="IA87" s="233"/>
      <c r="IB87" s="233"/>
      <c r="IC87" s="233"/>
      <c r="ID87" s="233"/>
      <c r="IE87" s="233"/>
      <c r="IF87" s="233"/>
      <c r="IG87" s="233"/>
      <c r="IH87" s="233"/>
      <c r="II87" s="233"/>
      <c r="IJ87" s="233"/>
      <c r="IK87" s="233"/>
      <c r="IL87" s="233"/>
      <c r="IM87" s="233"/>
      <c r="IN87" s="233"/>
      <c r="IO87" s="233"/>
      <c r="IP87" s="233"/>
      <c r="IQ87" s="233"/>
      <c r="IR87" s="233"/>
      <c r="IS87" s="233"/>
      <c r="IT87" s="233"/>
      <c r="IU87" s="233"/>
      <c r="IV87" s="233"/>
    </row>
    <row r="88" spans="1:256" ht="15" x14ac:dyDescent="0.25">
      <c r="A88" s="251"/>
      <c r="B88" s="224"/>
    </row>
    <row r="89" spans="1:256" ht="15" x14ac:dyDescent="0.25">
      <c r="A89" s="235"/>
      <c r="B89" s="236"/>
      <c r="C89" s="235"/>
    </row>
    <row r="90" spans="1:256" ht="15" x14ac:dyDescent="0.25">
      <c r="A90" s="233"/>
      <c r="B90" s="253"/>
      <c r="C90" s="233"/>
    </row>
    <row r="91" spans="1:256" ht="15" x14ac:dyDescent="0.25">
      <c r="A91" s="233"/>
      <c r="B91" s="253"/>
      <c r="C91" s="233"/>
    </row>
    <row r="92" spans="1:256" ht="15" x14ac:dyDescent="0.25">
      <c r="A92" s="233"/>
      <c r="B92" s="253"/>
      <c r="C92" s="233"/>
    </row>
    <row r="93" spans="1:256" ht="15" x14ac:dyDescent="0.25">
      <c r="A93" s="235"/>
      <c r="B93" s="236"/>
      <c r="C93" s="233"/>
    </row>
    <row r="94" spans="1:256" ht="15" x14ac:dyDescent="0.25">
      <c r="A94" s="233"/>
      <c r="B94" s="253"/>
      <c r="C94" s="233"/>
    </row>
    <row r="95" spans="1:256" ht="15" x14ac:dyDescent="0.25">
      <c r="A95" s="233"/>
      <c r="B95" s="253"/>
      <c r="C95" s="233"/>
    </row>
    <row r="96" spans="1:256" ht="15" x14ac:dyDescent="0.25">
      <c r="A96" s="233"/>
      <c r="B96" s="253"/>
      <c r="C96" s="233"/>
    </row>
    <row r="97" spans="1:3" ht="15" x14ac:dyDescent="0.25">
      <c r="A97" s="245"/>
      <c r="B97" s="246"/>
      <c r="C97" s="245"/>
    </row>
    <row r="98" spans="1:3" ht="15" x14ac:dyDescent="0.25">
      <c r="A98" s="245"/>
      <c r="B98" s="245"/>
      <c r="C98" s="245"/>
    </row>
    <row r="99" spans="1:3" ht="15" x14ac:dyDescent="0.25">
      <c r="A99" s="245"/>
      <c r="B99" s="245"/>
      <c r="C99" s="245"/>
    </row>
    <row r="100" spans="1:3" ht="15" x14ac:dyDescent="0.25">
      <c r="A100" s="245"/>
      <c r="B100" s="245"/>
      <c r="C100" s="245"/>
    </row>
    <row r="101" spans="1:3" ht="15" x14ac:dyDescent="0.25">
      <c r="A101" s="248"/>
      <c r="B101" s="249"/>
      <c r="C101" s="248"/>
    </row>
    <row r="102" spans="1:3" ht="15" x14ac:dyDescent="0.25">
      <c r="A102" s="248"/>
      <c r="B102" s="248"/>
      <c r="C102" s="248"/>
    </row>
    <row r="103" spans="1:3" ht="15" x14ac:dyDescent="0.25">
      <c r="A103" s="248"/>
      <c r="B103" s="248"/>
      <c r="C103" s="248"/>
    </row>
    <row r="104" spans="1:3" ht="15" x14ac:dyDescent="0.25">
      <c r="A104" s="248"/>
      <c r="B104" s="248"/>
      <c r="C104" s="248"/>
    </row>
    <row r="105" spans="1:3" ht="15" x14ac:dyDescent="0.25">
      <c r="A105" s="248"/>
      <c r="B105" s="249"/>
      <c r="C105" s="248"/>
    </row>
    <row r="106" spans="1:3" ht="15" x14ac:dyDescent="0.25">
      <c r="A106" s="248"/>
      <c r="B106" s="248"/>
      <c r="C106" s="248"/>
    </row>
    <row r="107" spans="1:3" ht="15" x14ac:dyDescent="0.25">
      <c r="A107" s="248"/>
      <c r="B107" s="248"/>
      <c r="C107" s="248"/>
    </row>
    <row r="108" spans="1:3" ht="15" x14ac:dyDescent="0.25">
      <c r="A108" s="248"/>
      <c r="B108" s="248"/>
      <c r="C108" s="248"/>
    </row>
    <row r="109" spans="1:3" ht="15" x14ac:dyDescent="0.25">
      <c r="A109" s="245"/>
      <c r="B109" s="246"/>
      <c r="C109" s="245"/>
    </row>
    <row r="110" spans="1:3" ht="15" x14ac:dyDescent="0.25">
      <c r="A110" s="245"/>
      <c r="B110" s="245"/>
      <c r="C110" s="245"/>
    </row>
    <row r="111" spans="1:3" ht="15" x14ac:dyDescent="0.25">
      <c r="A111" s="245"/>
      <c r="B111" s="245"/>
      <c r="C111" s="245"/>
    </row>
    <row r="112" spans="1:3" ht="15" x14ac:dyDescent="0.25">
      <c r="A112" s="245"/>
      <c r="B112" s="245"/>
      <c r="C112" s="245"/>
    </row>
    <row r="113" spans="1:3" ht="15" x14ac:dyDescent="0.25"/>
    <row r="114" spans="1:3" ht="15" x14ac:dyDescent="0.25">
      <c r="A114" s="250"/>
      <c r="B114" s="250"/>
      <c r="C114" s="230"/>
    </row>
    <row r="115" spans="1:3" ht="15" x14ac:dyDescent="0.25">
      <c r="A115" s="251"/>
      <c r="B115" s="224"/>
    </row>
    <row r="116" spans="1:3" ht="15" x14ac:dyDescent="0.25">
      <c r="A116" s="235"/>
      <c r="B116" s="236"/>
      <c r="C116" s="235"/>
    </row>
    <row r="117" spans="1:3" ht="15" x14ac:dyDescent="0.25">
      <c r="A117" s="233"/>
      <c r="B117" s="253"/>
      <c r="C117" s="233"/>
    </row>
    <row r="118" spans="1:3" ht="15" x14ac:dyDescent="0.25">
      <c r="A118" s="233"/>
      <c r="B118" s="253"/>
      <c r="C118" s="233"/>
    </row>
    <row r="119" spans="1:3" ht="15" x14ac:dyDescent="0.25">
      <c r="A119" s="233"/>
      <c r="B119" s="253"/>
      <c r="C119" s="233"/>
    </row>
    <row r="120" spans="1:3" ht="15" x14ac:dyDescent="0.25">
      <c r="A120" s="235"/>
      <c r="B120" s="236"/>
      <c r="C120" s="233"/>
    </row>
    <row r="121" spans="1:3" ht="15" x14ac:dyDescent="0.25">
      <c r="A121" s="233"/>
      <c r="B121" s="253"/>
      <c r="C121" s="233"/>
    </row>
    <row r="122" spans="1:3" ht="15" x14ac:dyDescent="0.25">
      <c r="A122" s="233"/>
      <c r="B122" s="253"/>
      <c r="C122" s="233"/>
    </row>
    <row r="123" spans="1:3" ht="15" x14ac:dyDescent="0.25">
      <c r="A123" s="233"/>
      <c r="B123" s="253"/>
      <c r="C123" s="233"/>
    </row>
    <row r="124" spans="1:3" ht="15" x14ac:dyDescent="0.25">
      <c r="A124" s="245"/>
      <c r="B124" s="246"/>
      <c r="C124" s="245"/>
    </row>
    <row r="125" spans="1:3" ht="15" x14ac:dyDescent="0.25">
      <c r="A125" s="245"/>
      <c r="B125" s="245"/>
      <c r="C125" s="245"/>
    </row>
    <row r="126" spans="1:3" ht="15" x14ac:dyDescent="0.25">
      <c r="A126" s="245"/>
      <c r="B126" s="245"/>
      <c r="C126" s="245"/>
    </row>
    <row r="127" spans="1:3" ht="15" x14ac:dyDescent="0.25">
      <c r="A127" s="245"/>
      <c r="B127" s="245"/>
      <c r="C127" s="245"/>
    </row>
    <row r="128" spans="1:3" ht="15" x14ac:dyDescent="0.25">
      <c r="A128" s="248"/>
      <c r="B128" s="249"/>
      <c r="C128" s="248"/>
    </row>
    <row r="129" spans="1:3" ht="15" x14ac:dyDescent="0.25">
      <c r="A129" s="248"/>
      <c r="B129" s="248"/>
      <c r="C129" s="248"/>
    </row>
    <row r="130" spans="1:3" ht="15" x14ac:dyDescent="0.25">
      <c r="A130" s="248"/>
      <c r="B130" s="248"/>
      <c r="C130" s="248"/>
    </row>
    <row r="131" spans="1:3" ht="15" x14ac:dyDescent="0.25">
      <c r="A131" s="248"/>
      <c r="B131" s="248"/>
      <c r="C131" s="248"/>
    </row>
    <row r="132" spans="1:3" ht="15" x14ac:dyDescent="0.25">
      <c r="A132" s="248"/>
      <c r="B132" s="249"/>
      <c r="C132" s="248"/>
    </row>
    <row r="133" spans="1:3" ht="15" x14ac:dyDescent="0.25">
      <c r="A133" s="248"/>
      <c r="B133" s="248"/>
      <c r="C133" s="248"/>
    </row>
    <row r="134" spans="1:3" ht="15" x14ac:dyDescent="0.25">
      <c r="A134" s="248"/>
      <c r="B134" s="248"/>
      <c r="C134" s="248"/>
    </row>
    <row r="135" spans="1:3" ht="15" x14ac:dyDescent="0.25">
      <c r="A135" s="248"/>
      <c r="B135" s="248"/>
      <c r="C135" s="248"/>
    </row>
    <row r="136" spans="1:3" ht="15" x14ac:dyDescent="0.25">
      <c r="A136" s="245"/>
      <c r="B136" s="246"/>
      <c r="C136" s="245"/>
    </row>
    <row r="137" spans="1:3" ht="15" x14ac:dyDescent="0.25">
      <c r="A137" s="245"/>
      <c r="B137" s="245"/>
      <c r="C137" s="245"/>
    </row>
    <row r="138" spans="1:3" ht="15" x14ac:dyDescent="0.25">
      <c r="A138" s="245"/>
      <c r="B138" s="245"/>
      <c r="C138" s="245"/>
    </row>
    <row r="139" spans="1:3" ht="15" x14ac:dyDescent="0.25">
      <c r="A139" s="245"/>
      <c r="B139" s="245"/>
      <c r="C139" s="245"/>
    </row>
    <row r="140" spans="1:3" ht="15" x14ac:dyDescent="0.25"/>
    <row r="141" spans="1:3" ht="15" x14ac:dyDescent="0.25">
      <c r="A141" s="250"/>
      <c r="B141" s="250"/>
      <c r="C141" s="230"/>
    </row>
    <row r="142" spans="1:3" ht="15" x14ac:dyDescent="0.25">
      <c r="A142" s="251"/>
      <c r="B142" s="224"/>
    </row>
    <row r="143" spans="1:3" ht="15" x14ac:dyDescent="0.25">
      <c r="A143" s="235"/>
      <c r="B143" s="236"/>
      <c r="C143" s="235"/>
    </row>
    <row r="144" spans="1:3" ht="15" x14ac:dyDescent="0.25">
      <c r="A144" s="233"/>
      <c r="B144" s="253"/>
      <c r="C144" s="233"/>
    </row>
    <row r="145" spans="1:3" ht="15" x14ac:dyDescent="0.25">
      <c r="A145" s="233"/>
      <c r="B145" s="253"/>
      <c r="C145" s="233"/>
    </row>
    <row r="146" spans="1:3" ht="15" x14ac:dyDescent="0.25">
      <c r="A146" s="233"/>
      <c r="B146" s="253"/>
      <c r="C146" s="233"/>
    </row>
    <row r="147" spans="1:3" ht="15" x14ac:dyDescent="0.25">
      <c r="A147" s="235"/>
      <c r="B147" s="236"/>
      <c r="C147" s="233"/>
    </row>
    <row r="148" spans="1:3" ht="15" x14ac:dyDescent="0.25">
      <c r="A148" s="233"/>
      <c r="B148" s="253"/>
      <c r="C148" s="233"/>
    </row>
    <row r="149" spans="1:3" ht="15" x14ac:dyDescent="0.25">
      <c r="A149" s="233"/>
      <c r="B149" s="253"/>
      <c r="C149" s="233"/>
    </row>
    <row r="150" spans="1:3" ht="15" x14ac:dyDescent="0.25">
      <c r="A150" s="233"/>
      <c r="B150" s="253"/>
      <c r="C150" s="233"/>
    </row>
    <row r="151" spans="1:3" ht="15" x14ac:dyDescent="0.25">
      <c r="A151" s="245"/>
      <c r="B151" s="246"/>
      <c r="C151" s="245"/>
    </row>
    <row r="152" spans="1:3" ht="15" x14ac:dyDescent="0.25">
      <c r="A152" s="245"/>
      <c r="B152" s="245"/>
      <c r="C152" s="245"/>
    </row>
    <row r="153" spans="1:3" ht="15" x14ac:dyDescent="0.25">
      <c r="A153" s="245"/>
      <c r="B153" s="245"/>
      <c r="C153" s="245"/>
    </row>
    <row r="154" spans="1:3" ht="15" x14ac:dyDescent="0.25">
      <c r="A154" s="245"/>
      <c r="B154" s="245"/>
      <c r="C154" s="245"/>
    </row>
    <row r="155" spans="1:3" ht="15" x14ac:dyDescent="0.25">
      <c r="A155" s="248"/>
      <c r="B155" s="249"/>
      <c r="C155" s="248"/>
    </row>
    <row r="156" spans="1:3" ht="15" x14ac:dyDescent="0.25">
      <c r="A156" s="248"/>
      <c r="B156" s="248"/>
      <c r="C156" s="248"/>
    </row>
    <row r="157" spans="1:3" ht="15" x14ac:dyDescent="0.25">
      <c r="A157" s="248"/>
      <c r="B157" s="248"/>
      <c r="C157" s="248"/>
    </row>
    <row r="158" spans="1:3" ht="15" x14ac:dyDescent="0.25">
      <c r="A158" s="248"/>
      <c r="B158" s="248"/>
      <c r="C158" s="248"/>
    </row>
    <row r="159" spans="1:3" ht="15" x14ac:dyDescent="0.25">
      <c r="A159" s="248"/>
      <c r="B159" s="249"/>
      <c r="C159" s="248"/>
    </row>
    <row r="160" spans="1:3" ht="15" x14ac:dyDescent="0.25">
      <c r="A160" s="248"/>
      <c r="B160" s="248"/>
      <c r="C160" s="248"/>
    </row>
    <row r="161" spans="1:3" ht="15" x14ac:dyDescent="0.25">
      <c r="A161" s="248"/>
      <c r="B161" s="248"/>
      <c r="C161" s="248"/>
    </row>
    <row r="162" spans="1:3" ht="15" x14ac:dyDescent="0.25">
      <c r="A162" s="248"/>
      <c r="B162" s="248"/>
      <c r="C162" s="248"/>
    </row>
    <row r="163" spans="1:3" ht="15" x14ac:dyDescent="0.25">
      <c r="A163" s="245"/>
      <c r="B163" s="246"/>
      <c r="C163" s="245"/>
    </row>
    <row r="164" spans="1:3" ht="15" x14ac:dyDescent="0.25">
      <c r="A164" s="245"/>
      <c r="B164" s="245"/>
      <c r="C164" s="245"/>
    </row>
    <row r="165" spans="1:3" ht="15" x14ac:dyDescent="0.25">
      <c r="A165" s="245"/>
      <c r="B165" s="245"/>
      <c r="C165" s="245"/>
    </row>
    <row r="166" spans="1:3" ht="15" x14ac:dyDescent="0.25">
      <c r="A166" s="245"/>
      <c r="B166" s="245"/>
      <c r="C166" s="245"/>
    </row>
  </sheetData>
  <mergeCells count="17">
    <mergeCell ref="BN2:BQ2"/>
    <mergeCell ref="BN26:BQ26"/>
    <mergeCell ref="BJ26:BM26"/>
    <mergeCell ref="BJ2:BM2"/>
    <mergeCell ref="BR2:BU2"/>
    <mergeCell ref="BR26:BU26"/>
    <mergeCell ref="AL2:AO2"/>
    <mergeCell ref="AP2:AS2"/>
    <mergeCell ref="AT2:AW2"/>
    <mergeCell ref="AX2:BA2"/>
    <mergeCell ref="BB2:BE2"/>
    <mergeCell ref="BF2:BI2"/>
    <mergeCell ref="AP26:AS26"/>
    <mergeCell ref="AT26:AW26"/>
    <mergeCell ref="AX26:BA26"/>
    <mergeCell ref="BB26:BE26"/>
    <mergeCell ref="BF26:BI26"/>
  </mergeCells>
  <phoneticPr fontId="31" type="noConversion"/>
  <printOptions horizontalCentered="1" gridLines="1" gridLinesSet="0"/>
  <pageMargins left="0" right="0" top="0.78740157480314965" bottom="0.59055118110236227" header="0.51181102362204722" footer="0.31496062992125984"/>
  <pageSetup paperSize="9" scale="53" orientation="landscape" blackAndWhite="1" r:id="rId1"/>
  <headerFooter alignWithMargins="0">
    <oddHeader>&amp;L&amp;F&amp;C&amp;A&amp;R&amp;D</oddHeader>
    <oddFooter>Page &amp;P of &amp;N</oddFooter>
  </headerFooter>
  <rowBreaks count="1" manualBreakCount="1">
    <brk id="25" max="16383" man="1"/>
  </rowBreaks>
  <colBreaks count="1" manualBreakCount="1">
    <brk id="48" max="49"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B63:G68"/>
  <sheetViews>
    <sheetView workbookViewId="0">
      <selection activeCell="Q18" sqref="Q18"/>
    </sheetView>
  </sheetViews>
  <sheetFormatPr defaultRowHeight="15" x14ac:dyDescent="0.25"/>
  <sheetData>
    <row r="63" spans="2:7" x14ac:dyDescent="0.25">
      <c r="G63" s="29"/>
    </row>
    <row r="64" spans="2:7" x14ac:dyDescent="0.25">
      <c r="B64" s="3"/>
      <c r="C64" s="29"/>
    </row>
    <row r="65" spans="2:3" x14ac:dyDescent="0.25">
      <c r="B65" s="3"/>
      <c r="C65" s="29"/>
    </row>
    <row r="66" spans="2:3" x14ac:dyDescent="0.25">
      <c r="B66" s="3"/>
      <c r="C66" s="29"/>
    </row>
    <row r="67" spans="2:3" x14ac:dyDescent="0.25">
      <c r="B67" s="4"/>
      <c r="C67" s="29"/>
    </row>
    <row r="68" spans="2:3" x14ac:dyDescent="0.25">
      <c r="B68" s="2"/>
      <c r="C68" s="30"/>
    </row>
  </sheetData>
  <pageMargins left="0.5" right="0" top="0.5" bottom="0" header="0" footer="0"/>
  <pageSetup paperSize="9"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14</vt:i4>
      </vt:variant>
    </vt:vector>
  </HeadingPairs>
  <TitlesOfParts>
    <vt:vector size="32" baseType="lpstr">
      <vt:lpstr>USE OF DATA</vt:lpstr>
      <vt:lpstr>Summary</vt:lpstr>
      <vt:lpstr>Summary IPD</vt:lpstr>
      <vt:lpstr>Original_VA</vt:lpstr>
      <vt:lpstr>Original_Growth</vt:lpstr>
      <vt:lpstr>Original_IPD</vt:lpstr>
      <vt:lpstr>Deseason_VA</vt:lpstr>
      <vt:lpstr>Deseason_Growth</vt:lpstr>
      <vt:lpstr>Deseason_Growth_Decomp</vt:lpstr>
      <vt:lpstr>Deseason</vt:lpstr>
      <vt:lpstr>Trend_VA</vt:lpstr>
      <vt:lpstr>Trend_Growth</vt:lpstr>
      <vt:lpstr>TS IPD</vt:lpstr>
      <vt:lpstr>Graphs (2)</vt:lpstr>
      <vt:lpstr>Graphs</vt:lpstr>
      <vt:lpstr>Original_Expenditure</vt:lpstr>
      <vt:lpstr>Deseason_Exp</vt:lpstr>
      <vt:lpstr>Graphs Original</vt:lpstr>
      <vt:lpstr>Deseason!Print_Area</vt:lpstr>
      <vt:lpstr>Deseason_Exp!Print_Area</vt:lpstr>
      <vt:lpstr>Deseason_Growth!Print_Area</vt:lpstr>
      <vt:lpstr>Deseason_Growth_Decomp!Print_Area</vt:lpstr>
      <vt:lpstr>Deseason_VA!Print_Area</vt:lpstr>
      <vt:lpstr>Original_Expenditure!Print_Area</vt:lpstr>
      <vt:lpstr>Original_Growth!Print_Area</vt:lpstr>
      <vt:lpstr>Original_IPD!Print_Area</vt:lpstr>
      <vt:lpstr>Original_VA!Print_Area</vt:lpstr>
      <vt:lpstr>Summary!Print_Area</vt:lpstr>
      <vt:lpstr>'Summary IPD'!Print_Area</vt:lpstr>
      <vt:lpstr>Trend_Growth!Print_Area</vt:lpstr>
      <vt:lpstr>Trend_VA!Print_Area</vt:lpstr>
      <vt:lpstr>'TS IPD'!Print_Area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Hajara  Nakasujja</cp:lastModifiedBy>
  <cp:lastPrinted>2023-08-30T08:13:31Z</cp:lastPrinted>
  <dcterms:created xsi:type="dcterms:W3CDTF">2014-11-20T08:31:08Z</dcterms:created>
  <dcterms:modified xsi:type="dcterms:W3CDTF">2026-06-23T12:16:27Z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