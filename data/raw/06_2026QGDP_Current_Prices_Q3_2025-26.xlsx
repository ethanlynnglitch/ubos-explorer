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GDP Q32025_26\"/>
    </mc:Choice>
  </mc:AlternateContent>
  <xr:revisionPtr revIDLastSave="0" documentId="13_ncr:1_{7BDA6FFD-FF5E-464F-98CE-11ED96BEDE6E}" xr6:coauthVersionLast="47" xr6:coauthVersionMax="47" xr10:uidLastSave="{00000000-0000-0000-0000-000000000000}"/>
  <bookViews>
    <workbookView xWindow="-120" yWindow="-120" windowWidth="29040" windowHeight="15720" tabRatio="713" activeTab="8" xr2:uid="{00000000-000D-0000-FFFF-FFFF00000000}"/>
  </bookViews>
  <sheets>
    <sheet name="Summary" sheetId="2" r:id="rId1"/>
    <sheet name="Original_VA" sheetId="4" r:id="rId2"/>
    <sheet name="Original_%share" sheetId="6" r:id="rId3"/>
    <sheet name="Deseason_VA" sheetId="1" r:id="rId4"/>
    <sheet name="Deseason_%share" sheetId="8" r:id="rId5"/>
    <sheet name="Trend_VA" sheetId="9" r:id="rId6"/>
    <sheet name="Trend_%share" sheetId="11" r:id="rId7"/>
    <sheet name="Original_Expenditure" sheetId="15" r:id="rId8"/>
    <sheet name="Deseason_Exp" sheetId="16" r:id="rId9"/>
    <sheet name="OS VA CP Growth" sheetId="5" state="hidden" r:id="rId10"/>
    <sheet name="SA VA CKP growth" sheetId="7" state="hidden" r:id="rId11"/>
  </sheets>
  <externalReferences>
    <externalReference r:id="rId12"/>
  </externalReferences>
  <definedNames>
    <definedName name="_xlnm.Print_Area" localSheetId="4">'Deseason_%share'!$A$1:$AN$37</definedName>
    <definedName name="_xlnm.Print_Area" localSheetId="8">Deseason_Exp!$A$1:$AO$51</definedName>
    <definedName name="_xlnm.Print_Area" localSheetId="3">Deseason_VA!$A$1:$AN$37</definedName>
    <definedName name="_xlnm.Print_Area" localSheetId="2">'Original_%share'!$A$1:$AN$37</definedName>
    <definedName name="_xlnm.Print_Area" localSheetId="7">Original_Expenditure!$A$1:$AO$51</definedName>
    <definedName name="_xlnm.Print_Area" localSheetId="1">Original_VA!$A$1:$AN$37</definedName>
    <definedName name="_xlnm.Print_Area" localSheetId="0">Summary!$A$1:$AN$55</definedName>
    <definedName name="_xlnm.Print_Area" localSheetId="6">'Trend_%share'!$A$1:$AN$37</definedName>
    <definedName name="_xlnm.Print_Area" localSheetId="5">Trend_VA!$A$1:$AN$37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7" l="1"/>
  <c r="E26" i="7" l="1"/>
  <c r="D26" i="7"/>
  <c r="F26" i="7" l="1"/>
  <c r="Q26" i="7" l="1"/>
  <c r="J26" i="7"/>
  <c r="N26" i="7"/>
  <c r="Z26" i="7"/>
  <c r="S26" i="7"/>
  <c r="T26" i="7"/>
  <c r="W26" i="7"/>
  <c r="M26" i="7"/>
  <c r="L26" i="7"/>
  <c r="V26" i="7"/>
  <c r="O26" i="7"/>
  <c r="R26" i="7"/>
  <c r="Y26" i="7"/>
  <c r="P26" i="7"/>
  <c r="AA26" i="7"/>
  <c r="K26" i="7"/>
  <c r="G26" i="7"/>
  <c r="H26" i="7"/>
  <c r="U26" i="7"/>
  <c r="X26" i="7"/>
  <c r="I26" i="7"/>
  <c r="AB26" i="7"/>
  <c r="Y21" i="7" l="1"/>
  <c r="P21" i="7"/>
  <c r="Q21" i="7"/>
  <c r="T21" i="7"/>
  <c r="E21" i="7"/>
  <c r="G20" i="7"/>
  <c r="N20" i="7"/>
  <c r="V20" i="7"/>
  <c r="F11" i="7"/>
  <c r="AB11" i="7"/>
  <c r="O10" i="7"/>
  <c r="T10" i="7"/>
  <c r="F10" i="7"/>
  <c r="L11" i="7"/>
  <c r="W11" i="7"/>
  <c r="H11" i="7"/>
  <c r="AB10" i="7"/>
  <c r="Z21" i="7"/>
  <c r="U20" i="7"/>
  <c r="AA20" i="7"/>
  <c r="P11" i="7"/>
  <c r="Y11" i="7"/>
  <c r="AB21" i="7"/>
  <c r="M21" i="7"/>
  <c r="J21" i="7"/>
  <c r="Y20" i="7"/>
  <c r="I11" i="7"/>
  <c r="D11" i="7"/>
  <c r="S11" i="7"/>
  <c r="C11" i="7"/>
  <c r="U11" i="7"/>
  <c r="Q10" i="7"/>
  <c r="I10" i="7"/>
  <c r="S21" i="7"/>
  <c r="G21" i="7"/>
  <c r="W21" i="7"/>
  <c r="D21" i="7"/>
  <c r="K21" i="7"/>
  <c r="X21" i="7"/>
  <c r="W20" i="7"/>
  <c r="R20" i="7"/>
  <c r="Q20" i="7"/>
  <c r="J11" i="7"/>
  <c r="O11" i="7"/>
  <c r="R10" i="7"/>
  <c r="AB20" i="7"/>
  <c r="D20" i="7"/>
  <c r="D10" i="7"/>
  <c r="J10" i="7"/>
  <c r="E10" i="7"/>
  <c r="C21" i="7"/>
  <c r="N21" i="7"/>
  <c r="L21" i="7"/>
  <c r="H21" i="7"/>
  <c r="AA21" i="7"/>
  <c r="S20" i="7"/>
  <c r="J20" i="7"/>
  <c r="H20" i="7"/>
  <c r="N11" i="7"/>
  <c r="G11" i="7"/>
  <c r="K10" i="7"/>
  <c r="W10" i="7"/>
  <c r="S10" i="7"/>
  <c r="G10" i="7"/>
  <c r="AA10" i="7"/>
  <c r="Q11" i="7"/>
  <c r="K20" i="7"/>
  <c r="T11" i="7"/>
  <c r="Z11" i="7"/>
  <c r="M11" i="7"/>
  <c r="P10" i="7"/>
  <c r="R21" i="7"/>
  <c r="I21" i="7"/>
  <c r="X20" i="7"/>
  <c r="Z20" i="7"/>
  <c r="O20" i="7"/>
  <c r="T20" i="7"/>
  <c r="P20" i="7"/>
  <c r="C20" i="7"/>
  <c r="I20" i="7"/>
  <c r="V11" i="7"/>
  <c r="X11" i="7"/>
  <c r="K11" i="7"/>
  <c r="R11" i="7"/>
  <c r="M10" i="7"/>
  <c r="U10" i="7"/>
  <c r="Z10" i="7"/>
  <c r="V10" i="7"/>
  <c r="O21" i="7"/>
  <c r="U21" i="7"/>
  <c r="F21" i="7"/>
  <c r="V21" i="7"/>
  <c r="L20" i="7"/>
  <c r="F20" i="7"/>
  <c r="E20" i="7"/>
  <c r="N10" i="7"/>
  <c r="L10" i="7"/>
  <c r="M20" i="7"/>
  <c r="AA11" i="7"/>
  <c r="E11" i="7"/>
  <c r="X10" i="7"/>
  <c r="Y10" i="7"/>
  <c r="H10" i="7"/>
  <c r="C10" i="7"/>
  <c r="C12" i="7" l="1"/>
  <c r="AA12" i="7"/>
  <c r="G12" i="7"/>
  <c r="Z12" i="7"/>
  <c r="Q12" i="7"/>
  <c r="N8" i="7"/>
  <c r="Y8" i="7"/>
  <c r="Q8" i="7"/>
  <c r="O8" i="7"/>
  <c r="X19" i="7"/>
  <c r="X14" i="7"/>
  <c r="X18" i="7"/>
  <c r="K18" i="7"/>
  <c r="V18" i="7"/>
  <c r="I12" i="7"/>
  <c r="M12" i="7"/>
  <c r="Z8" i="7"/>
  <c r="U8" i="7"/>
  <c r="R8" i="7"/>
  <c r="C8" i="7"/>
  <c r="AB19" i="7"/>
  <c r="AB14" i="7"/>
  <c r="Y19" i="7"/>
  <c r="Y14" i="7"/>
  <c r="E19" i="7"/>
  <c r="E14" i="7"/>
  <c r="D19" i="7"/>
  <c r="D14" i="7"/>
  <c r="C18" i="7"/>
  <c r="E18" i="7"/>
  <c r="J12" i="7"/>
  <c r="AB12" i="7"/>
  <c r="N12" i="7"/>
  <c r="D12" i="7"/>
  <c r="K12" i="7"/>
  <c r="X12" i="7"/>
  <c r="F8" i="7"/>
  <c r="L8" i="7"/>
  <c r="V8" i="7"/>
  <c r="H8" i="7"/>
  <c r="G19" i="7"/>
  <c r="G14" i="7"/>
  <c r="U18" i="7"/>
  <c r="AA18" i="7"/>
  <c r="U12" i="7"/>
  <c r="H12" i="7"/>
  <c r="P12" i="7"/>
  <c r="E8" i="7"/>
  <c r="D8" i="7"/>
  <c r="N14" i="7"/>
  <c r="N19" i="7"/>
  <c r="C19" i="7"/>
  <c r="C14" i="7"/>
  <c r="C13" i="7" s="1"/>
  <c r="H18" i="7"/>
  <c r="N18" i="7"/>
  <c r="S12" i="7"/>
  <c r="T12" i="7"/>
  <c r="AA8" i="7"/>
  <c r="K8" i="7"/>
  <c r="AB8" i="7"/>
  <c r="J8" i="7"/>
  <c r="L19" i="7"/>
  <c r="L14" i="7"/>
  <c r="P19" i="7"/>
  <c r="P14" i="7"/>
  <c r="R19" i="7"/>
  <c r="R14" i="7"/>
  <c r="AA19" i="7"/>
  <c r="AA14" i="7"/>
  <c r="AA13" i="7" s="1"/>
  <c r="V19" i="7"/>
  <c r="V14" i="7"/>
  <c r="V13" i="7" s="1"/>
  <c r="K19" i="7"/>
  <c r="K14" i="7"/>
  <c r="K13" i="7" s="1"/>
  <c r="J18" i="7"/>
  <c r="R18" i="7"/>
  <c r="M18" i="7"/>
  <c r="W12" i="7"/>
  <c r="Y12" i="7"/>
  <c r="G8" i="7"/>
  <c r="S8" i="7"/>
  <c r="M8" i="7"/>
  <c r="U19" i="7"/>
  <c r="U14" i="7"/>
  <c r="U13" i="7" s="1"/>
  <c r="H19" i="7"/>
  <c r="H14" i="7"/>
  <c r="H13" i="7" s="1"/>
  <c r="Q19" i="7"/>
  <c r="Q14" i="7"/>
  <c r="M19" i="7"/>
  <c r="M14" i="7"/>
  <c r="M13" i="7" s="1"/>
  <c r="S19" i="7"/>
  <c r="S14" i="7"/>
  <c r="W19" i="7"/>
  <c r="W14" i="7"/>
  <c r="L18" i="7"/>
  <c r="T18" i="7"/>
  <c r="G18" i="7"/>
  <c r="S18" i="7"/>
  <c r="R12" i="7"/>
  <c r="O12" i="7"/>
  <c r="V12" i="7"/>
  <c r="F12" i="7"/>
  <c r="I8" i="7"/>
  <c r="W8" i="7"/>
  <c r="T19" i="7"/>
  <c r="T14" i="7"/>
  <c r="O19" i="7"/>
  <c r="O14" i="7"/>
  <c r="F14" i="7"/>
  <c r="F19" i="7"/>
  <c r="Y18" i="7"/>
  <c r="O18" i="7"/>
  <c r="F18" i="7"/>
  <c r="Q18" i="7"/>
  <c r="W18" i="7"/>
  <c r="I18" i="7"/>
  <c r="E12" i="7"/>
  <c r="L12" i="7"/>
  <c r="X8" i="7"/>
  <c r="P8" i="7"/>
  <c r="T8" i="7"/>
  <c r="J14" i="7"/>
  <c r="J13" i="7" s="1"/>
  <c r="J19" i="7"/>
  <c r="Z19" i="7"/>
  <c r="Z14" i="7"/>
  <c r="I19" i="7"/>
  <c r="I14" i="7"/>
  <c r="D18" i="7"/>
  <c r="AB18" i="7"/>
  <c r="P18" i="7"/>
  <c r="Z18" i="7"/>
  <c r="I13" i="7" l="1"/>
  <c r="Z13" i="7"/>
  <c r="O13" i="7"/>
  <c r="T13" i="7"/>
  <c r="W13" i="7"/>
  <c r="S13" i="7"/>
  <c r="Q13" i="7"/>
  <c r="R13" i="7"/>
  <c r="P13" i="7"/>
  <c r="L13" i="7"/>
  <c r="G13" i="7"/>
  <c r="D13" i="7"/>
  <c r="E13" i="7"/>
  <c r="Y13" i="7"/>
  <c r="AB13" i="7"/>
  <c r="X13" i="7"/>
  <c r="F13" i="7"/>
  <c r="N13" i="7"/>
  <c r="Y7" i="7" l="1"/>
  <c r="Y6" i="7" s="1"/>
  <c r="Y5" i="7" s="1"/>
  <c r="W7" i="7"/>
  <c r="W6" i="7" s="1"/>
  <c r="W5" i="7" s="1"/>
  <c r="D7" i="7"/>
  <c r="D6" i="7" s="1"/>
  <c r="D5" i="7" s="1"/>
  <c r="S7" i="7"/>
  <c r="S6" i="7" s="1"/>
  <c r="S5" i="7" s="1"/>
  <c r="K7" i="7"/>
  <c r="K6" i="7" s="1"/>
  <c r="K5" i="7" s="1"/>
  <c r="X7" i="7"/>
  <c r="X6" i="7" s="1"/>
  <c r="X5" i="7" s="1"/>
  <c r="R7" i="7"/>
  <c r="R6" i="7" s="1"/>
  <c r="R5" i="7" s="1"/>
  <c r="G7" i="7"/>
  <c r="G6" i="7" s="1"/>
  <c r="G5" i="7" s="1"/>
  <c r="E7" i="7"/>
  <c r="E6" i="7" s="1"/>
  <c r="E5" i="7" s="1"/>
  <c r="Z7" i="7"/>
  <c r="Z6" i="7" s="1"/>
  <c r="Z5" i="7" s="1"/>
  <c r="P7" i="7"/>
  <c r="P6" i="7" s="1"/>
  <c r="P5" i="7" s="1"/>
  <c r="T7" i="7"/>
  <c r="T6" i="7" s="1"/>
  <c r="T5" i="7" s="1"/>
  <c r="AB7" i="7"/>
  <c r="AB6" i="7" s="1"/>
  <c r="AB5" i="7" s="1"/>
  <c r="U7" i="7"/>
  <c r="U6" i="7" s="1"/>
  <c r="U5" i="7" s="1"/>
  <c r="I7" i="7"/>
  <c r="I6" i="7" s="1"/>
  <c r="I5" i="7" s="1"/>
  <c r="L7" i="7"/>
  <c r="L6" i="7" s="1"/>
  <c r="L5" i="7" s="1"/>
  <c r="N7" i="7"/>
  <c r="N6" i="7" s="1"/>
  <c r="N5" i="7" s="1"/>
  <c r="Q7" i="7"/>
  <c r="Q6" i="7" s="1"/>
  <c r="Q5" i="7" s="1"/>
  <c r="J7" i="7"/>
  <c r="J6" i="7" s="1"/>
  <c r="J5" i="7" s="1"/>
  <c r="M7" i="7"/>
  <c r="M6" i="7" s="1"/>
  <c r="M5" i="7" s="1"/>
  <c r="H7" i="7"/>
  <c r="H6" i="7" s="1"/>
  <c r="H5" i="7" s="1"/>
  <c r="O7" i="7"/>
  <c r="O6" i="7" s="1"/>
  <c r="O5" i="7" s="1"/>
  <c r="V7" i="7"/>
  <c r="V6" i="7" s="1"/>
  <c r="V5" i="7" s="1"/>
  <c r="AA7" i="7"/>
  <c r="AA6" i="7" s="1"/>
  <c r="AA5" i="7" s="1"/>
  <c r="C7" i="7"/>
  <c r="C6" i="7" s="1"/>
  <c r="C5" i="7" s="1"/>
  <c r="F7" i="7"/>
  <c r="F6" i="7" s="1"/>
  <c r="F5" i="7" s="1"/>
  <c r="F28" i="7" l="1"/>
  <c r="I24" i="7"/>
  <c r="J32" i="7"/>
  <c r="F25" i="7"/>
  <c r="G31" i="7"/>
  <c r="I23" i="7"/>
  <c r="M25" i="7"/>
  <c r="P16" i="7"/>
  <c r="Q27" i="7"/>
  <c r="S9" i="7"/>
  <c r="U31" i="7"/>
  <c r="Z9" i="7"/>
  <c r="E22" i="7"/>
  <c r="E9" i="7"/>
  <c r="G22" i="7"/>
  <c r="H30" i="7"/>
  <c r="P15" i="7"/>
  <c r="Q24" i="7"/>
  <c r="X30" i="7"/>
  <c r="U16" i="7"/>
  <c r="X9" i="7"/>
  <c r="Y23" i="7"/>
  <c r="Z29" i="7"/>
  <c r="AB22" i="7"/>
  <c r="N22" i="7"/>
  <c r="R28" i="7"/>
  <c r="T15" i="7"/>
  <c r="U28" i="7"/>
  <c r="AA28" i="7"/>
  <c r="G9" i="7"/>
  <c r="I29" i="7"/>
  <c r="P29" i="7"/>
  <c r="S25" i="7"/>
  <c r="T31" i="7"/>
  <c r="AA31" i="7"/>
  <c r="I17" i="7"/>
  <c r="L17" i="7"/>
  <c r="O15" i="7"/>
  <c r="W30" i="7"/>
  <c r="M16" i="7"/>
  <c r="W9" i="7"/>
  <c r="AB27" i="7"/>
  <c r="G15" i="7"/>
  <c r="R30" i="7"/>
  <c r="AA30" i="7"/>
  <c r="H25" i="7"/>
  <c r="K16" i="7"/>
  <c r="L27" i="7"/>
  <c r="S27" i="7"/>
  <c r="AA22" i="7"/>
  <c r="G32" i="7"/>
  <c r="J30" i="7"/>
  <c r="O17" i="7"/>
  <c r="AB30" i="7"/>
  <c r="F23" i="7"/>
  <c r="G29" i="7"/>
  <c r="I16" i="7"/>
  <c r="N29" i="7"/>
  <c r="Q25" i="7"/>
  <c r="R31" i="7"/>
  <c r="AA16" i="7"/>
  <c r="E16" i="7"/>
  <c r="F15" i="7"/>
  <c r="T28" i="7"/>
  <c r="J16" i="7"/>
  <c r="M9" i="7"/>
  <c r="Q16" i="7"/>
  <c r="V29" i="7"/>
  <c r="Y27" i="7"/>
  <c r="AA9" i="7"/>
  <c r="AB23" i="7"/>
  <c r="K17" i="7"/>
  <c r="L30" i="7"/>
  <c r="N17" i="7"/>
  <c r="R24" i="7"/>
  <c r="X22" i="7"/>
  <c r="H16" i="7"/>
  <c r="L23" i="7"/>
  <c r="P27" i="7"/>
  <c r="R9" i="7"/>
  <c r="S23" i="7"/>
  <c r="T29" i="7"/>
  <c r="F32" i="7"/>
  <c r="I32" i="7"/>
  <c r="O28" i="7"/>
  <c r="Q15" i="7"/>
  <c r="U24" i="7"/>
  <c r="V32" i="7"/>
  <c r="Y32" i="7"/>
  <c r="F31" i="7"/>
  <c r="I27" i="7"/>
  <c r="L25" i="7"/>
  <c r="Y9" i="7"/>
  <c r="AA29" i="7"/>
  <c r="G30" i="7"/>
  <c r="P24" i="7"/>
  <c r="T30" i="7"/>
  <c r="Y17" i="7"/>
  <c r="G27" i="7"/>
  <c r="P9" i="7"/>
  <c r="Q23" i="7"/>
  <c r="X23" i="7"/>
  <c r="AB25" i="7"/>
  <c r="E23" i="7"/>
  <c r="H15" i="7"/>
  <c r="I28" i="7"/>
  <c r="O22" i="7"/>
  <c r="P32" i="7"/>
  <c r="R22" i="7"/>
  <c r="J29" i="7"/>
  <c r="M27" i="7"/>
  <c r="O9" i="7"/>
  <c r="Q29" i="7"/>
  <c r="T25" i="7"/>
  <c r="F30" i="7"/>
  <c r="S30" i="7"/>
  <c r="U17" i="7"/>
  <c r="Y28" i="7"/>
  <c r="G23" i="7"/>
  <c r="H29" i="7"/>
  <c r="K25" i="7"/>
  <c r="V27" i="7"/>
  <c r="K15" i="7"/>
  <c r="O24" i="7"/>
  <c r="S32" i="7"/>
  <c r="V30" i="7"/>
  <c r="X17" i="7"/>
  <c r="AA15" i="7"/>
  <c r="K27" i="7"/>
  <c r="U23" i="7"/>
  <c r="E32" i="7"/>
  <c r="AB24" i="7"/>
  <c r="E27" i="7"/>
  <c r="H17" i="7"/>
  <c r="I30" i="7"/>
  <c r="L28" i="7"/>
  <c r="U22" i="7"/>
  <c r="Y30" i="7"/>
  <c r="AA17" i="7"/>
  <c r="I25" i="7"/>
  <c r="M29" i="7"/>
  <c r="Q31" i="7"/>
  <c r="W25" i="7"/>
  <c r="G17" i="7"/>
  <c r="N24" i="7"/>
  <c r="O32" i="7"/>
  <c r="Q22" i="7"/>
  <c r="AA32" i="7"/>
  <c r="L29" i="7"/>
  <c r="R16" i="7"/>
  <c r="V25" i="7"/>
  <c r="W31" i="7"/>
  <c r="AB9" i="7"/>
  <c r="AA24" i="7"/>
  <c r="E31" i="7"/>
  <c r="M30" i="7"/>
  <c r="R17" i="7"/>
  <c r="U15" i="7"/>
  <c r="Z32" i="7"/>
  <c r="J27" i="7"/>
  <c r="L9" i="7"/>
  <c r="N31" i="7"/>
  <c r="T23" i="7"/>
  <c r="W16" i="7"/>
  <c r="AB29" i="7"/>
  <c r="E24" i="7"/>
  <c r="M15" i="7"/>
  <c r="R32" i="7"/>
  <c r="T22" i="7"/>
  <c r="U32" i="7"/>
  <c r="Z17" i="7"/>
  <c r="G16" i="7"/>
  <c r="O27" i="7"/>
  <c r="Q9" i="7"/>
  <c r="E29" i="7"/>
  <c r="L24" i="7"/>
  <c r="M32" i="7"/>
  <c r="P30" i="7"/>
  <c r="V28" i="7"/>
  <c r="X15" i="7"/>
  <c r="Y24" i="7"/>
  <c r="F27" i="7"/>
  <c r="P23" i="7"/>
  <c r="X27" i="7"/>
  <c r="AA25" i="7"/>
  <c r="AB31" i="7"/>
  <c r="F22" i="7"/>
  <c r="L15" i="7"/>
  <c r="S22" i="7"/>
  <c r="F16" i="7"/>
  <c r="J25" i="7"/>
  <c r="K31" i="7"/>
  <c r="N27" i="7"/>
  <c r="T16" i="7"/>
  <c r="Y29" i="7"/>
  <c r="E28" i="7"/>
  <c r="K24" i="7"/>
  <c r="L32" i="7"/>
  <c r="T17" i="7"/>
  <c r="W15" i="7"/>
  <c r="X24" i="7"/>
  <c r="N9" i="7"/>
  <c r="O23" i="7"/>
  <c r="Z25" i="7"/>
  <c r="I22" i="7"/>
  <c r="M28" i="7"/>
  <c r="P28" i="7"/>
  <c r="S24" i="7"/>
  <c r="T32" i="7"/>
  <c r="V22" i="7"/>
  <c r="W32" i="7"/>
  <c r="Z30" i="7"/>
  <c r="M23" i="7"/>
  <c r="U27" i="7"/>
  <c r="H28" i="7"/>
  <c r="J15" i="7"/>
  <c r="U30" i="7"/>
  <c r="X28" i="7"/>
  <c r="Z15" i="7"/>
  <c r="I31" i="7"/>
  <c r="O25" i="7"/>
  <c r="P31" i="7"/>
  <c r="U9" i="7"/>
  <c r="V23" i="7"/>
  <c r="W29" i="7"/>
  <c r="H22" i="7"/>
  <c r="N15" i="7"/>
  <c r="K9" i="7"/>
  <c r="P25" i="7"/>
  <c r="X31" i="7"/>
  <c r="Z16" i="7"/>
  <c r="E15" i="7"/>
  <c r="F17" i="7"/>
  <c r="G28" i="7"/>
  <c r="J24" i="7"/>
  <c r="Q30" i="7"/>
  <c r="S17" i="7"/>
  <c r="V17" i="7"/>
  <c r="W28" i="7"/>
  <c r="K29" i="7"/>
  <c r="U25" i="7"/>
  <c r="V31" i="7"/>
  <c r="X16" i="7"/>
  <c r="E30" i="7"/>
  <c r="E25" i="7"/>
  <c r="I15" i="7"/>
  <c r="J28" i="7"/>
  <c r="M24" i="7"/>
  <c r="N32" i="7"/>
  <c r="P22" i="7"/>
  <c r="Q32" i="7"/>
  <c r="Y15" i="7"/>
  <c r="Z28" i="7"/>
  <c r="AB28" i="7"/>
  <c r="I9" i="7"/>
  <c r="J23" i="7"/>
  <c r="N25" i="7"/>
  <c r="O31" i="7"/>
  <c r="R29" i="7"/>
  <c r="H24" i="7"/>
  <c r="K22" i="7"/>
  <c r="O30" i="7"/>
  <c r="Q17" i="7"/>
  <c r="H23" i="7"/>
  <c r="M31" i="7"/>
  <c r="O16" i="7"/>
  <c r="V16" i="7"/>
  <c r="W27" i="7"/>
  <c r="Z23" i="7"/>
  <c r="H32" i="7"/>
  <c r="J22" i="7"/>
  <c r="N28" i="7"/>
  <c r="W22" i="7"/>
  <c r="X32" i="7"/>
  <c r="L31" i="7"/>
  <c r="N16" i="7"/>
  <c r="R25" i="7"/>
  <c r="S31" i="7"/>
  <c r="AB16" i="7"/>
  <c r="K30" i="7"/>
  <c r="M17" i="7"/>
  <c r="S15" i="7"/>
  <c r="T24" i="7"/>
  <c r="W24" i="7"/>
  <c r="Z22" i="7"/>
  <c r="H9" i="7"/>
  <c r="W23" i="7"/>
  <c r="E17" i="7"/>
  <c r="K32" i="7"/>
  <c r="N30" i="7"/>
  <c r="Q28" i="7"/>
  <c r="AB15" i="7"/>
  <c r="F29" i="7"/>
  <c r="J31" i="7"/>
  <c r="L16" i="7"/>
  <c r="S16" i="7"/>
  <c r="T27" i="7"/>
  <c r="V9" i="7"/>
  <c r="X29" i="7"/>
  <c r="AA27" i="7"/>
  <c r="G24" i="7"/>
  <c r="M22" i="7"/>
  <c r="P17" i="7"/>
  <c r="V15" i="7"/>
  <c r="Z24" i="7"/>
  <c r="AB17" i="7"/>
  <c r="F9" i="7"/>
  <c r="G25" i="7"/>
  <c r="H31" i="7"/>
  <c r="N23" i="7"/>
  <c r="O29" i="7"/>
  <c r="R27" i="7"/>
  <c r="T9" i="7"/>
  <c r="Y25" i="7"/>
  <c r="Z31" i="7"/>
  <c r="F24" i="7"/>
  <c r="L22" i="7"/>
  <c r="R15" i="7"/>
  <c r="S28" i="7"/>
  <c r="V24" i="7"/>
  <c r="Y22" i="7"/>
  <c r="AB32" i="7"/>
  <c r="U29" i="7"/>
  <c r="X25" i="7"/>
  <c r="Y31" i="7"/>
  <c r="AA23" i="7"/>
  <c r="J17" i="7"/>
  <c r="K28" i="7"/>
  <c r="W17" i="7"/>
  <c r="H27" i="7"/>
  <c r="J9" i="7"/>
  <c r="K23" i="7"/>
  <c r="R23" i="7"/>
  <c r="S29" i="7"/>
  <c r="Y16" i="7"/>
  <c r="Z27" i="7"/>
  <c r="C31" i="7"/>
  <c r="D24" i="7"/>
  <c r="D23" i="7"/>
  <c r="D15" i="7"/>
  <c r="D31" i="7"/>
  <c r="D27" i="7"/>
  <c r="C23" i="7"/>
  <c r="C16" i="7"/>
  <c r="C29" i="7"/>
  <c r="C22" i="7"/>
  <c r="D17" i="7"/>
  <c r="C17" i="7"/>
  <c r="D29" i="7"/>
  <c r="D32" i="7"/>
  <c r="D16" i="7"/>
  <c r="C28" i="7"/>
  <c r="D22" i="7"/>
  <c r="C32" i="7"/>
  <c r="D25" i="7"/>
  <c r="C24" i="7"/>
  <c r="C15" i="7"/>
  <c r="D30" i="7"/>
  <c r="C30" i="7"/>
  <c r="C27" i="7"/>
  <c r="C25" i="7"/>
  <c r="D9" i="7"/>
  <c r="D28" i="7"/>
  <c r="C9" i="7"/>
  <c r="I17" i="5" l="1"/>
  <c r="T20" i="5"/>
  <c r="I22" i="5"/>
  <c r="V27" i="5"/>
  <c r="N31" i="5"/>
  <c r="T14" i="5"/>
  <c r="L16" i="5"/>
  <c r="R7" i="5"/>
  <c r="AB17" i="5"/>
  <c r="G25" i="5"/>
  <c r="P27" i="5"/>
  <c r="P25" i="5"/>
  <c r="I36" i="5"/>
  <c r="AA20" i="5"/>
  <c r="W9" i="5"/>
  <c r="U12" i="5"/>
  <c r="S20" i="5"/>
  <c r="I24" i="5"/>
  <c r="T32" i="5"/>
  <c r="J14" i="5"/>
  <c r="Z25" i="5"/>
  <c r="L17" i="5"/>
  <c r="K7" i="5"/>
  <c r="U21" i="5"/>
  <c r="AB11" i="5"/>
  <c r="L15" i="5"/>
  <c r="V11" i="5"/>
  <c r="K32" i="5"/>
  <c r="V30" i="5"/>
  <c r="T9" i="5"/>
  <c r="Q29" i="5"/>
  <c r="O33" i="5"/>
  <c r="R15" i="5"/>
  <c r="G14" i="5"/>
  <c r="S29" i="5"/>
  <c r="J33" i="5"/>
  <c r="Z18" i="5"/>
  <c r="H22" i="5"/>
  <c r="K10" i="5"/>
  <c r="W27" i="5"/>
  <c r="AA11" i="5"/>
  <c r="H23" i="5"/>
  <c r="U27" i="5"/>
  <c r="Q8" i="5"/>
  <c r="Y36" i="5"/>
  <c r="M25" i="5"/>
  <c r="K33" i="5"/>
  <c r="P7" i="5"/>
  <c r="Q16" i="5"/>
  <c r="N32" i="5"/>
  <c r="M36" i="5"/>
  <c r="AB20" i="5"/>
  <c r="W15" i="5"/>
  <c r="H15" i="5"/>
  <c r="J15" i="5"/>
  <c r="AA10" i="5"/>
  <c r="Q15" i="5"/>
  <c r="R20" i="5"/>
  <c r="R27" i="5"/>
  <c r="Q36" i="5"/>
  <c r="Y14" i="5"/>
  <c r="K9" i="5"/>
  <c r="W18" i="5"/>
  <c r="M27" i="5"/>
  <c r="R17" i="5"/>
  <c r="W14" i="5"/>
  <c r="V24" i="5"/>
  <c r="S27" i="5"/>
  <c r="T10" i="5"/>
  <c r="AA36" i="5"/>
  <c r="S7" i="5"/>
  <c r="M33" i="5"/>
  <c r="Z32" i="5"/>
  <c r="N36" i="5"/>
  <c r="G23" i="5"/>
  <c r="AB28" i="5"/>
  <c r="U29" i="5"/>
  <c r="U10" i="5"/>
  <c r="X21" i="5"/>
  <c r="Q20" i="5"/>
  <c r="K30" i="5"/>
  <c r="V23" i="5"/>
  <c r="Q27" i="5"/>
  <c r="P14" i="5"/>
  <c r="O12" i="5"/>
  <c r="S21" i="5"/>
  <c r="J18" i="5"/>
  <c r="X22" i="5"/>
  <c r="Y27" i="5"/>
  <c r="T31" i="5"/>
  <c r="AA15" i="5"/>
  <c r="G17" i="5"/>
  <c r="S16" i="5"/>
  <c r="Z11" i="5"/>
  <c r="T21" i="5"/>
  <c r="P20" i="5"/>
  <c r="M11" i="5"/>
  <c r="P33" i="5"/>
  <c r="O24" i="5"/>
  <c r="R25" i="5"/>
  <c r="X30" i="5"/>
  <c r="U17" i="5"/>
  <c r="AA22" i="5"/>
  <c r="X7" i="5"/>
  <c r="J32" i="5"/>
  <c r="O9" i="5"/>
  <c r="T7" i="5"/>
  <c r="H33" i="5"/>
  <c r="O15" i="5"/>
  <c r="J28" i="5"/>
  <c r="G22" i="5"/>
  <c r="U15" i="5"/>
  <c r="R24" i="5"/>
  <c r="AB14" i="5"/>
  <c r="U31" i="5"/>
  <c r="Q9" i="5"/>
  <c r="J9" i="5"/>
  <c r="Z27" i="5"/>
  <c r="V7" i="5"/>
  <c r="J27" i="5"/>
  <c r="T23" i="5"/>
  <c r="T17" i="5"/>
  <c r="Q24" i="5"/>
  <c r="G32" i="5"/>
  <c r="I9" i="5"/>
  <c r="Y7" i="5"/>
  <c r="O22" i="5"/>
  <c r="O8" i="5"/>
  <c r="T25" i="5"/>
  <c r="AB21" i="5"/>
  <c r="AB12" i="5"/>
  <c r="K21" i="5"/>
  <c r="AB10" i="5"/>
  <c r="V31" i="5"/>
  <c r="AA25" i="5"/>
  <c r="L9" i="5"/>
  <c r="V17" i="5"/>
  <c r="S9" i="5"/>
  <c r="M24" i="5"/>
  <c r="M28" i="5"/>
  <c r="Q17" i="5"/>
  <c r="V32" i="5"/>
  <c r="Q32" i="5"/>
  <c r="N28" i="5"/>
  <c r="J12" i="5"/>
  <c r="V8" i="5"/>
  <c r="P21" i="5"/>
  <c r="V33" i="5"/>
  <c r="AA8" i="5"/>
  <c r="R8" i="5"/>
  <c r="AB18" i="5"/>
  <c r="Z21" i="5"/>
  <c r="X12" i="5"/>
  <c r="L29" i="5"/>
  <c r="Q11" i="5"/>
  <c r="Y24" i="5"/>
  <c r="U26" i="5"/>
  <c r="L24" i="5"/>
  <c r="Y16" i="5"/>
  <c r="AA33" i="5"/>
  <c r="R22" i="5"/>
  <c r="K11" i="5"/>
  <c r="I31" i="5"/>
  <c r="T27" i="5"/>
  <c r="X31" i="5"/>
  <c r="X29" i="5"/>
  <c r="R30" i="5"/>
  <c r="H9" i="5"/>
  <c r="U16" i="5"/>
  <c r="J7" i="5"/>
  <c r="S12" i="5"/>
  <c r="O29" i="5"/>
  <c r="J31" i="5"/>
  <c r="I26" i="5"/>
  <c r="V26" i="5"/>
  <c r="Y29" i="5"/>
  <c r="H31" i="5"/>
  <c r="O16" i="5"/>
  <c r="P9" i="5"/>
  <c r="H29" i="5"/>
  <c r="X10" i="5"/>
  <c r="U22" i="5"/>
  <c r="N33" i="5"/>
  <c r="G7" i="5"/>
  <c r="G36" i="5"/>
  <c r="U8" i="5"/>
  <c r="AA31" i="5"/>
  <c r="R12" i="5"/>
  <c r="S33" i="5"/>
  <c r="W10" i="5"/>
  <c r="S23" i="5"/>
  <c r="W26" i="5"/>
  <c r="S10" i="5"/>
  <c r="K31" i="5"/>
  <c r="V10" i="5"/>
  <c r="K15" i="5"/>
  <c r="U33" i="5"/>
  <c r="G20" i="5"/>
  <c r="O11" i="5"/>
  <c r="N25" i="5"/>
  <c r="Y8" i="5"/>
  <c r="M14" i="5"/>
  <c r="P18" i="5"/>
  <c r="L28" i="5"/>
  <c r="Z8" i="5"/>
  <c r="Z23" i="5"/>
  <c r="Z9" i="5"/>
  <c r="V22" i="5"/>
  <c r="AB25" i="5"/>
  <c r="L8" i="5"/>
  <c r="S11" i="5"/>
  <c r="I30" i="5"/>
  <c r="R10" i="5"/>
  <c r="Z33" i="5"/>
  <c r="U25" i="5"/>
  <c r="J36" i="5"/>
  <c r="R33" i="5"/>
  <c r="G8" i="5"/>
  <c r="U11" i="5"/>
  <c r="X23" i="5"/>
  <c r="Z22" i="5"/>
  <c r="AA16" i="5"/>
  <c r="M18" i="5"/>
  <c r="Y28" i="5"/>
  <c r="W20" i="5"/>
  <c r="H26" i="5"/>
  <c r="Q25" i="5"/>
  <c r="K22" i="5"/>
  <c r="O21" i="5"/>
  <c r="Q12" i="5"/>
  <c r="N30" i="5"/>
  <c r="J30" i="5"/>
  <c r="Y26" i="5"/>
  <c r="V28" i="5"/>
  <c r="Z14" i="5"/>
  <c r="Y10" i="5"/>
  <c r="S18" i="5"/>
  <c r="Z26" i="5"/>
  <c r="G12" i="5"/>
  <c r="U9" i="5"/>
  <c r="AA18" i="5"/>
  <c r="L21" i="5"/>
  <c r="S14" i="5"/>
  <c r="L36" i="5"/>
  <c r="X11" i="5"/>
  <c r="N24" i="5"/>
  <c r="G15" i="5"/>
  <c r="Z7" i="5"/>
  <c r="Q22" i="5"/>
  <c r="Z16" i="5"/>
  <c r="N10" i="5"/>
  <c r="S17" i="5"/>
  <c r="X26" i="5"/>
  <c r="I12" i="5"/>
  <c r="K23" i="5"/>
  <c r="W33" i="5"/>
  <c r="T12" i="5"/>
  <c r="G31" i="5"/>
  <c r="H12" i="5"/>
  <c r="H32" i="5"/>
  <c r="H28" i="5"/>
  <c r="K12" i="5"/>
  <c r="L18" i="5"/>
  <c r="J8" i="5"/>
  <c r="P11" i="5"/>
  <c r="X28" i="5"/>
  <c r="Q28" i="5"/>
  <c r="Y21" i="5"/>
  <c r="P30" i="5"/>
  <c r="P26" i="5"/>
  <c r="K20" i="5"/>
  <c r="AB29" i="5"/>
  <c r="I23" i="5"/>
  <c r="Y30" i="5"/>
  <c r="P23" i="5"/>
  <c r="O32" i="5"/>
  <c r="Q21" i="5"/>
  <c r="N15" i="5"/>
  <c r="O36" i="5"/>
  <c r="V29" i="5"/>
  <c r="Z24" i="5"/>
  <c r="Y9" i="5"/>
  <c r="U7" i="5"/>
  <c r="AA27" i="5"/>
  <c r="M29" i="5"/>
  <c r="W17" i="5"/>
  <c r="T33" i="5"/>
  <c r="S36" i="5"/>
  <c r="M9" i="5"/>
  <c r="L7" i="5"/>
  <c r="X16" i="5"/>
  <c r="T16" i="5"/>
  <c r="O31" i="5"/>
  <c r="O7" i="5"/>
  <c r="R18" i="5"/>
  <c r="W22" i="5"/>
  <c r="I18" i="5"/>
  <c r="M17" i="5"/>
  <c r="G11" i="5"/>
  <c r="J11" i="5"/>
  <c r="H7" i="5"/>
  <c r="R36" i="5"/>
  <c r="N17" i="5"/>
  <c r="S8" i="5"/>
  <c r="AA7" i="5"/>
  <c r="M30" i="5"/>
  <c r="Y31" i="5"/>
  <c r="G28" i="5"/>
  <c r="K26" i="5"/>
  <c r="V20" i="5"/>
  <c r="J10" i="5"/>
  <c r="I32" i="5"/>
  <c r="X9" i="5"/>
  <c r="O20" i="5"/>
  <c r="K14" i="5"/>
  <c r="H21" i="5"/>
  <c r="Y12" i="5"/>
  <c r="G30" i="5"/>
  <c r="N14" i="5"/>
  <c r="P10" i="5"/>
  <c r="J17" i="5"/>
  <c r="Q30" i="5"/>
  <c r="T29" i="5"/>
  <c r="O26" i="5"/>
  <c r="U24" i="5"/>
  <c r="H36" i="5"/>
  <c r="AB33" i="5"/>
  <c r="Y17" i="5"/>
  <c r="L23" i="5"/>
  <c r="J26" i="5"/>
  <c r="S25" i="5"/>
  <c r="T24" i="5"/>
  <c r="H8" i="5"/>
  <c r="W30" i="5"/>
  <c r="R31" i="5"/>
  <c r="AB26" i="5"/>
  <c r="X18" i="5"/>
  <c r="AA21" i="5"/>
  <c r="Z17" i="5"/>
  <c r="L10" i="5"/>
  <c r="AB9" i="5"/>
  <c r="T8" i="5"/>
  <c r="M21" i="5"/>
  <c r="Y33" i="5"/>
  <c r="K17" i="5"/>
  <c r="L22" i="5"/>
  <c r="T28" i="5"/>
  <c r="H27" i="5"/>
  <c r="X32" i="5"/>
  <c r="R28" i="5"/>
  <c r="N8" i="5"/>
  <c r="T26" i="5"/>
  <c r="R11" i="5"/>
  <c r="O30" i="5"/>
  <c r="AB22" i="5"/>
  <c r="I16" i="5"/>
  <c r="Z12" i="5"/>
  <c r="M16" i="5"/>
  <c r="W8" i="5"/>
  <c r="Q10" i="5"/>
  <c r="M20" i="5"/>
  <c r="Q23" i="5"/>
  <c r="AA28" i="5"/>
  <c r="I14" i="5"/>
  <c r="R16" i="5"/>
  <c r="V15" i="5"/>
  <c r="K29" i="5"/>
  <c r="I10" i="5"/>
  <c r="X14" i="5"/>
  <c r="G9" i="5"/>
  <c r="M32" i="5"/>
  <c r="U32" i="5"/>
  <c r="K36" i="5"/>
  <c r="O18" i="5"/>
  <c r="Y20" i="5"/>
  <c r="L25" i="5"/>
  <c r="U28" i="5"/>
  <c r="K8" i="5"/>
  <c r="W21" i="5"/>
  <c r="N29" i="5"/>
  <c r="X27" i="5"/>
  <c r="P12" i="5"/>
  <c r="H30" i="5"/>
  <c r="S32" i="5"/>
  <c r="AB31" i="5"/>
  <c r="R32" i="5"/>
  <c r="U30" i="5"/>
  <c r="I25" i="5"/>
  <c r="H11" i="5"/>
  <c r="W28" i="5"/>
  <c r="S15" i="5"/>
  <c r="V25" i="5"/>
  <c r="J25" i="5"/>
  <c r="AA23" i="5"/>
  <c r="N26" i="5"/>
  <c r="L26" i="5"/>
  <c r="Z36" i="5"/>
  <c r="I21" i="5"/>
  <c r="I11" i="5"/>
  <c r="N22" i="5"/>
  <c r="W36" i="5"/>
  <c r="K25" i="5"/>
  <c r="AB8" i="5"/>
  <c r="O14" i="5"/>
  <c r="J21" i="5"/>
  <c r="G21" i="5"/>
  <c r="L33" i="5"/>
  <c r="AB16" i="5"/>
  <c r="G33" i="5"/>
  <c r="T18" i="5"/>
  <c r="P16" i="5"/>
  <c r="X36" i="5"/>
  <c r="I8" i="5"/>
  <c r="I27" i="5"/>
  <c r="R26" i="5"/>
  <c r="AB23" i="5"/>
  <c r="G27" i="5"/>
  <c r="U23" i="5"/>
  <c r="Z29" i="5"/>
  <c r="O25" i="5"/>
  <c r="M10" i="5"/>
  <c r="P22" i="5"/>
  <c r="L27" i="5"/>
  <c r="X8" i="5"/>
  <c r="G29" i="5"/>
  <c r="I7" i="5"/>
  <c r="U36" i="5"/>
  <c r="N27" i="5"/>
  <c r="AA24" i="5"/>
  <c r="N20" i="5"/>
  <c r="N7" i="5"/>
  <c r="Y25" i="5"/>
  <c r="AA29" i="5"/>
  <c r="T15" i="5"/>
  <c r="P24" i="5"/>
  <c r="O27" i="5"/>
  <c r="P32" i="5"/>
  <c r="AB30" i="5"/>
  <c r="AB27" i="5"/>
  <c r="U18" i="5"/>
  <c r="L11" i="5"/>
  <c r="Z15" i="5"/>
  <c r="H24" i="5"/>
  <c r="Q33" i="5"/>
  <c r="J24" i="5"/>
  <c r="G16" i="5"/>
  <c r="AA12" i="5"/>
  <c r="N21" i="5"/>
  <c r="S31" i="5"/>
  <c r="K16" i="5"/>
  <c r="M23" i="5"/>
  <c r="N9" i="5"/>
  <c r="Z20" i="5"/>
  <c r="X25" i="5"/>
  <c r="U14" i="5"/>
  <c r="J16" i="5"/>
  <c r="V12" i="5"/>
  <c r="Q26" i="5"/>
  <c r="W7" i="5"/>
  <c r="H18" i="5"/>
  <c r="T30" i="5"/>
  <c r="W23" i="5"/>
  <c r="X33" i="5"/>
  <c r="O10" i="5"/>
  <c r="H20" i="5"/>
  <c r="Z28" i="5"/>
  <c r="V14" i="5"/>
  <c r="Z10" i="5"/>
  <c r="L30" i="5"/>
  <c r="Y11" i="5"/>
  <c r="R9" i="5"/>
  <c r="J29" i="5"/>
  <c r="P29" i="5"/>
  <c r="G18" i="5"/>
  <c r="S26" i="5"/>
  <c r="J23" i="5"/>
  <c r="R14" i="5"/>
  <c r="AB24" i="5"/>
  <c r="W32" i="5"/>
  <c r="AA14" i="5"/>
  <c r="AA32" i="5"/>
  <c r="T36" i="5"/>
  <c r="S24" i="5"/>
  <c r="AB32" i="5"/>
  <c r="K24" i="5"/>
  <c r="L20" i="5"/>
  <c r="V18" i="5"/>
  <c r="H16" i="5"/>
  <c r="AB7" i="5"/>
  <c r="M15" i="5"/>
  <c r="J22" i="5"/>
  <c r="H17" i="5"/>
  <c r="P17" i="5"/>
  <c r="N23" i="5"/>
  <c r="N12" i="5"/>
  <c r="AA30" i="5"/>
  <c r="M7" i="5"/>
  <c r="P31" i="5"/>
  <c r="X20" i="5"/>
  <c r="AA26" i="5"/>
  <c r="U20" i="5"/>
  <c r="V21" i="5"/>
  <c r="G10" i="5"/>
  <c r="R23" i="5"/>
  <c r="M8" i="5"/>
  <c r="W24" i="5"/>
  <c r="X24" i="5"/>
  <c r="K28" i="5"/>
  <c r="AA17" i="5"/>
  <c r="J20" i="5"/>
  <c r="K27" i="5"/>
  <c r="M12" i="5"/>
  <c r="I15" i="5"/>
  <c r="W16" i="5"/>
  <c r="P36" i="5"/>
  <c r="W11" i="5"/>
  <c r="Y23" i="5"/>
  <c r="G24" i="5"/>
  <c r="N16" i="5"/>
  <c r="N11" i="5"/>
  <c r="X17" i="5"/>
  <c r="W29" i="5"/>
  <c r="P28" i="5"/>
  <c r="Q18" i="5"/>
  <c r="M22" i="5"/>
  <c r="Q31" i="5"/>
  <c r="P15" i="5"/>
  <c r="Y22" i="5"/>
  <c r="G26" i="5"/>
  <c r="I33" i="5"/>
  <c r="S22" i="5"/>
  <c r="N18" i="5"/>
  <c r="AB36" i="5"/>
  <c r="W12" i="5"/>
  <c r="Z31" i="5"/>
  <c r="W25" i="5"/>
  <c r="I20" i="5"/>
  <c r="P8" i="5"/>
  <c r="M31" i="5"/>
  <c r="R21" i="5"/>
  <c r="H14" i="5"/>
  <c r="V9" i="5"/>
  <c r="Z30" i="5"/>
  <c r="Q14" i="5"/>
  <c r="AA9" i="5"/>
  <c r="X15" i="5"/>
  <c r="L14" i="5"/>
  <c r="T11" i="5"/>
  <c r="K18" i="5"/>
  <c r="V36" i="5"/>
  <c r="L32" i="5"/>
  <c r="V16" i="5"/>
  <c r="O17" i="5"/>
  <c r="AB15" i="5"/>
  <c r="R29" i="5"/>
  <c r="O23" i="5"/>
  <c r="L12" i="5"/>
  <c r="Y18" i="5"/>
  <c r="O28" i="5"/>
  <c r="H10" i="5"/>
  <c r="I29" i="5"/>
  <c r="W31" i="5"/>
  <c r="Y32" i="5"/>
  <c r="H25" i="5"/>
  <c r="S28" i="5"/>
  <c r="T22" i="5"/>
  <c r="M26" i="5"/>
  <c r="Q7" i="5"/>
  <c r="Y15" i="5"/>
  <c r="S30" i="5"/>
  <c r="L31" i="5"/>
  <c r="I28" i="5"/>
  <c r="R13" i="5" l="1"/>
  <c r="L13" i="5"/>
  <c r="M13" i="5"/>
  <c r="M19" i="5"/>
  <c r="AA13" i="5"/>
  <c r="P13" i="5"/>
  <c r="Q19" i="5"/>
  <c r="S6" i="5"/>
  <c r="Y13" i="5"/>
  <c r="R19" i="5"/>
  <c r="T19" i="5"/>
  <c r="I6" i="5"/>
  <c r="K19" i="5"/>
  <c r="Z19" i="5"/>
  <c r="O13" i="5"/>
  <c r="R6" i="5"/>
  <c r="P19" i="5"/>
  <c r="W13" i="5"/>
  <c r="Z6" i="5"/>
  <c r="H6" i="5"/>
  <c r="O6" i="5"/>
  <c r="M6" i="5"/>
  <c r="V13" i="5"/>
  <c r="U6" i="5"/>
  <c r="S13" i="5"/>
  <c r="S19" i="5"/>
  <c r="H13" i="5"/>
  <c r="L19" i="5"/>
  <c r="X13" i="5"/>
  <c r="N13" i="5"/>
  <c r="AA6" i="5"/>
  <c r="W6" i="5"/>
  <c r="V19" i="5"/>
  <c r="Y6" i="5"/>
  <c r="Q6" i="5"/>
  <c r="I19" i="5"/>
  <c r="V6" i="5"/>
  <c r="G13" i="5"/>
  <c r="N19" i="5"/>
  <c r="L6" i="5"/>
  <c r="K13" i="5"/>
  <c r="K6" i="5"/>
  <c r="Y19" i="5"/>
  <c r="I13" i="5"/>
  <c r="Z13" i="5"/>
  <c r="W19" i="5"/>
  <c r="T13" i="5"/>
  <c r="Q13" i="5"/>
  <c r="T6" i="5"/>
  <c r="J19" i="5"/>
  <c r="H19" i="5"/>
  <c r="AB19" i="5"/>
  <c r="AB6" i="5"/>
  <c r="U13" i="5"/>
  <c r="U19" i="5"/>
  <c r="N6" i="5"/>
  <c r="J6" i="5"/>
  <c r="O19" i="5"/>
  <c r="X6" i="5"/>
  <c r="J13" i="5"/>
  <c r="G6" i="5"/>
  <c r="AB13" i="5"/>
  <c r="X19" i="5"/>
  <c r="G19" i="5"/>
  <c r="AA19" i="5"/>
  <c r="P6" i="5"/>
  <c r="V5" i="5" l="1"/>
  <c r="U5" i="5"/>
  <c r="P5" i="5"/>
  <c r="Z5" i="5"/>
  <c r="R5" i="5"/>
  <c r="AB5" i="5"/>
  <c r="S5" i="5"/>
  <c r="T5" i="5"/>
  <c r="L5" i="5"/>
  <c r="G5" i="5"/>
  <c r="W5" i="5"/>
  <c r="M5" i="5"/>
  <c r="J5" i="5"/>
  <c r="Q5" i="5"/>
  <c r="O5" i="5"/>
  <c r="X5" i="5"/>
  <c r="K5" i="5"/>
  <c r="AA5" i="5"/>
  <c r="I5" i="5"/>
  <c r="H5" i="5"/>
  <c r="N5" i="5"/>
  <c r="Y5" i="5"/>
</calcChain>
</file>

<file path=xl/sharedStrings.xml><?xml version="1.0" encoding="utf-8"?>
<sst xmlns="http://schemas.openxmlformats.org/spreadsheetml/2006/main" count="1123" uniqueCount="134">
  <si>
    <t>GDP at market prices</t>
  </si>
  <si>
    <t>Agriculture, forestry and fishing</t>
  </si>
  <si>
    <t>Cash crops</t>
  </si>
  <si>
    <t>Food crops</t>
  </si>
  <si>
    <t>Livestock</t>
  </si>
  <si>
    <t>Agriculture Support Services</t>
  </si>
  <si>
    <t>Forestry</t>
  </si>
  <si>
    <t>Fishing</t>
  </si>
  <si>
    <t>Industry</t>
  </si>
  <si>
    <t>Mining &amp; quarrying</t>
  </si>
  <si>
    <t>Manufacturing</t>
  </si>
  <si>
    <t>Electricity</t>
  </si>
  <si>
    <t>Water</t>
  </si>
  <si>
    <t>Construction</t>
  </si>
  <si>
    <t>Services</t>
  </si>
  <si>
    <t>Trade and Repairs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</si>
  <si>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</si>
  <si>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</si>
  <si>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</si>
  <si>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</si>
  <si>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</si>
  <si>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</si>
  <si>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</si>
  <si>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 xml:space="preserve">Public Administration 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</si>
  <si>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</si>
  <si>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</si>
  <si>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</si>
  <si>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</si>
  <si>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</si>
  <si>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Adjustments</t>
  </si>
  <si>
    <t>Taxes on products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</si>
  <si>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</si>
  <si>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</si>
  <si>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</si>
  <si>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</si>
  <si>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</si>
  <si>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</si>
  <si>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</si>
  <si>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</si>
  <si>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</si>
  <si>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</si>
  <si>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</si>
  <si>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</si>
  <si>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</si>
  <si>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</si>
  <si>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</si>
  <si>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</si>
  <si>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</si>
  <si>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</si>
  <si>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</si>
  <si>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</si>
  <si>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</si>
  <si>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</si>
  <si>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</si>
  <si>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</si>
  <si>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</si>
  <si>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</si>
  <si>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Q1</t>
  </si>
  <si>
    <t>Q2</t>
  </si>
  <si>
    <t>Q3</t>
  </si>
  <si>
    <t>Q4</t>
  </si>
  <si>
    <t>Y</t>
  </si>
  <si>
    <t>N</t>
  </si>
  <si>
    <t>Uganda Bureau of Statistics</t>
  </si>
  <si>
    <t>Trade &amp; Repairs</t>
  </si>
  <si>
    <t>Transportation &amp; Storage</t>
  </si>
  <si>
    <t xml:space="preserve">Accommodation &amp; Food Service </t>
  </si>
  <si>
    <t>Information &amp; Communication</t>
  </si>
  <si>
    <t xml:space="preserve">Financial and Insurance </t>
  </si>
  <si>
    <t>Activities of Households</t>
  </si>
  <si>
    <t xml:space="preserve">Professional, Scientific &amp; Technical </t>
  </si>
  <si>
    <t xml:space="preserve">Human Health &amp; Social Work </t>
  </si>
  <si>
    <t>Arts, Entertainment &amp; Recreation</t>
  </si>
  <si>
    <t>Agriculture, Forestry &amp; Fishing</t>
  </si>
  <si>
    <t xml:space="preserve">Administrative &amp; Support Service </t>
  </si>
  <si>
    <t>2016/17</t>
  </si>
  <si>
    <t>SEASONALLY ADJUSTED ESTIMATES</t>
  </si>
  <si>
    <t>TREND CYCLE ESTIMATES</t>
  </si>
  <si>
    <t>ORIGINAL ESTIMATES</t>
  </si>
  <si>
    <t>2017/18</t>
  </si>
  <si>
    <t>GDP AT MARKET PRICES</t>
  </si>
  <si>
    <t>AGRICULTURE,FORESTRY&amp;FISHING</t>
  </si>
  <si>
    <t>INDUSTRY</t>
  </si>
  <si>
    <t>SERVICES</t>
  </si>
  <si>
    <t>ADJUSTMENTS</t>
  </si>
  <si>
    <t>2018/19</t>
  </si>
  <si>
    <t>2019/20</t>
  </si>
  <si>
    <t>Construction SA</t>
  </si>
  <si>
    <t>Construction Trend</t>
  </si>
  <si>
    <t>2020/21</t>
  </si>
  <si>
    <t>2021/22</t>
  </si>
  <si>
    <t>Table 16: SEASONALLY ADJUSTED Value Added by activity at current prices, PERCENTAGE SHARE, 2016/17-2021/22</t>
  </si>
  <si>
    <t>Table 17: TREND-CYCLE Value Added by activity at current prices, BILLION SHILLINGS, 2016/17-2021/22</t>
  </si>
  <si>
    <t>Table 18: TREND-CYCLE Value Added by activity at current prices, PERCENTAGE SHARE, 2016/17-2021/22</t>
  </si>
  <si>
    <t>Table 11: Summary of QGDP at current prices, BILLION SHILLINGS, 2016/17-2021/22</t>
  </si>
  <si>
    <t>Table 12: Summary of QGDP at current prices, percentage share, 2016/17-2021/22</t>
  </si>
  <si>
    <t>2022/23</t>
  </si>
  <si>
    <t>2023/24</t>
  </si>
  <si>
    <t>Updated:</t>
  </si>
  <si>
    <t>Accounts for</t>
  </si>
  <si>
    <t>GDP EXPENDITURE (Billions of Shillings)</t>
  </si>
  <si>
    <t>EXPENDITURE  Current prices</t>
  </si>
  <si>
    <t>Final Consumption Expenditure</t>
  </si>
  <si>
    <t xml:space="preserve">   General Government FCE</t>
  </si>
  <si>
    <t xml:space="preserve">   NPISH FCE</t>
  </si>
  <si>
    <t xml:space="preserve">   Household FCE</t>
  </si>
  <si>
    <t>Gross Fixed Capital Formation</t>
  </si>
  <si>
    <t xml:space="preserve">   Dwellings</t>
  </si>
  <si>
    <t xml:space="preserve">   Other Buildings</t>
  </si>
  <si>
    <t xml:space="preserve">   Other Structures</t>
  </si>
  <si>
    <t xml:space="preserve">   Transport Equipment</t>
  </si>
  <si>
    <t xml:space="preserve">   ICT Equipment</t>
  </si>
  <si>
    <t xml:space="preserve">   Other Machinery and Equipment</t>
  </si>
  <si>
    <t xml:space="preserve">   Other Asset Types</t>
  </si>
  <si>
    <t>Changes in Inventories</t>
  </si>
  <si>
    <t>Exports less Imports of Goods and Services</t>
  </si>
  <si>
    <t xml:space="preserve">   Exports</t>
  </si>
  <si>
    <t xml:space="preserve">       Goods</t>
  </si>
  <si>
    <t xml:space="preserve">       Services</t>
  </si>
  <si>
    <t xml:space="preserve">   Less Imports</t>
  </si>
  <si>
    <t>Statistical Discrepancy</t>
  </si>
  <si>
    <t>GDP at Market Prices</t>
  </si>
  <si>
    <t>QUARTERLY Percentage Shares</t>
  </si>
  <si>
    <t>2024/25</t>
  </si>
  <si>
    <t xml:space="preserve">Construction </t>
  </si>
  <si>
    <t>2025/26</t>
  </si>
  <si>
    <t>Table 11: Summary of QGDP at current prices, BILLION SHILLINGS, 2016/17-2025/26</t>
  </si>
  <si>
    <t>Table 12: Summary of QGDP at current prices, percentage share, 2016/17-2025/26</t>
  </si>
  <si>
    <t>Table 13: ORIGINAL UNADJUSTED Value Added by activity at current prices, BILLION SHILLINGS, 2016/17-2025/26</t>
  </si>
  <si>
    <t>Table 14: ORIGINAL UNADJUSTED Value Added by activity at current prices, PERCENTAGE SHARE, 2016/17-2025/26</t>
  </si>
  <si>
    <t>Table 15: SEASONALLY ADJUSTED Value Added at current prices, BILLION SHILLINGS, 2016/17-2025/26</t>
  </si>
  <si>
    <t>Table 16: SEASONALLY ADJUSTED Value Added by activity at current prices, PERCENTAGE SHARE, 2016/17-2025/26</t>
  </si>
  <si>
    <t>Table 17: TREND-CYCLE Value Added by activity at current prices, BILLION SHILLINGS, 2016/17-2025/26</t>
  </si>
  <si>
    <t>Table 18: TREND-CYCLE Value Added by activity at current prices, PERCENTAGE SHARE, 2016/17-2025/26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</si>
</sst>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_(* #,##0.0_);_(* \(#,##0.0\);_(* &quot;-&quot;?_);_(@_)"/>
    <numFmt numFmtId="170" formatCode="#,##0.0_);[Red]\(#,##0.0\)"/>
    <numFmt numFmtId="171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.5"/>
      <color theme="1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sz val="8.5"/>
      <name val="Arial"/>
      <family val="2"/>
    </font>
    <font>
      <i/>
      <sz val="8.5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9"/>
      <color theme="3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4" fillId="0" borderId="0"/>
    <xf numFmtId="40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48">
    <xf numFmtId="0" fontId="0" fillId="0" borderId="0" xfId="0"/>
    <xf numFmtId="165" fontId="3" fillId="0" borderId="0" xfId="0" applyNumberFormat="1" applyFont="1"/>
    <xf numFmtId="3" fontId="4" fillId="0" borderId="0" xfId="0" applyNumberFormat="1" applyFont="1" applyAlignment="1">
      <alignment wrapText="1"/>
    </xf>
    <xf numFmtId="3" fontId="4" fillId="0" borderId="0" xfId="0" applyNumberFormat="1" applyFont="1"/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right"/>
    </xf>
    <xf numFmtId="166" fontId="0" fillId="0" borderId="0" xfId="1" applyNumberFormat="1" applyFont="1"/>
    <xf numFmtId="166" fontId="2" fillId="0" borderId="0" xfId="0" applyNumberFormat="1" applyFont="1"/>
    <xf numFmtId="0" fontId="2" fillId="0" borderId="0" xfId="0" applyFont="1"/>
    <xf numFmtId="166" fontId="2" fillId="0" borderId="0" xfId="1" applyNumberFormat="1" applyFont="1"/>
    <xf numFmtId="167" fontId="2" fillId="0" borderId="0" xfId="0" applyNumberFormat="1" applyFont="1"/>
    <xf numFmtId="165" fontId="2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165" fontId="9" fillId="0" borderId="0" xfId="0" applyNumberFormat="1" applyFont="1"/>
    <xf numFmtId="165" fontId="16" fillId="0" borderId="0" xfId="0" applyNumberFormat="1" applyFont="1"/>
    <xf numFmtId="166" fontId="14" fillId="0" borderId="0" xfId="1" applyNumberFormat="1" applyFont="1" applyFill="1" applyBorder="1"/>
    <xf numFmtId="0" fontId="11" fillId="0" borderId="0" xfId="0" applyFont="1"/>
    <xf numFmtId="0" fontId="10" fillId="0" borderId="0" xfId="0" applyFont="1"/>
    <xf numFmtId="0" fontId="14" fillId="0" borderId="0" xfId="0" applyFont="1"/>
    <xf numFmtId="0" fontId="12" fillId="0" borderId="0" xfId="0" applyFont="1"/>
    <xf numFmtId="165" fontId="13" fillId="0" borderId="0" xfId="0" applyNumberFormat="1" applyFont="1"/>
    <xf numFmtId="166" fontId="12" fillId="0" borderId="0" xfId="1" applyNumberFormat="1" applyFont="1" applyFill="1" applyBorder="1"/>
    <xf numFmtId="165" fontId="15" fillId="0" borderId="0" xfId="0" applyNumberFormat="1" applyFont="1"/>
    <xf numFmtId="3" fontId="15" fillId="0" borderId="0" xfId="0" applyNumberFormat="1" applyFont="1"/>
    <xf numFmtId="3" fontId="15" fillId="0" borderId="1" xfId="0" applyNumberFormat="1" applyFont="1" applyBorder="1"/>
    <xf numFmtId="166" fontId="14" fillId="0" borderId="1" xfId="1" applyNumberFormat="1" applyFont="1" applyFill="1" applyBorder="1"/>
    <xf numFmtId="0" fontId="14" fillId="0" borderId="1" xfId="0" applyFont="1" applyBorder="1"/>
    <xf numFmtId="0" fontId="8" fillId="0" borderId="0" xfId="0" applyFont="1"/>
    <xf numFmtId="0" fontId="7" fillId="0" borderId="0" xfId="0" applyFont="1"/>
    <xf numFmtId="0" fontId="10" fillId="0" borderId="1" xfId="0" applyFont="1" applyBorder="1"/>
    <xf numFmtId="167" fontId="12" fillId="0" borderId="0" xfId="1" applyNumberFormat="1" applyFont="1" applyFill="1"/>
    <xf numFmtId="167" fontId="14" fillId="0" borderId="0" xfId="1" applyNumberFormat="1" applyFont="1" applyFill="1"/>
    <xf numFmtId="167" fontId="14" fillId="0" borderId="0" xfId="1" applyNumberFormat="1" applyFont="1" applyFill="1" applyBorder="1"/>
    <xf numFmtId="167" fontId="14" fillId="0" borderId="1" xfId="1" applyNumberFormat="1" applyFont="1" applyFill="1" applyBorder="1"/>
    <xf numFmtId="167" fontId="14" fillId="0" borderId="0" xfId="0" applyNumberFormat="1" applyFont="1"/>
    <xf numFmtId="169" fontId="12" fillId="0" borderId="0" xfId="0" applyNumberFormat="1" applyFont="1"/>
    <xf numFmtId="3" fontId="15" fillId="0" borderId="0" xfId="0" applyNumberFormat="1" applyFont="1" applyAlignment="1">
      <alignment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166" fontId="7" fillId="0" borderId="0" xfId="1" applyNumberFormat="1" applyFont="1" applyFill="1"/>
    <xf numFmtId="166" fontId="12" fillId="0" borderId="0" xfId="0" applyNumberFormat="1" applyFont="1"/>
    <xf numFmtId="168" fontId="14" fillId="0" borderId="0" xfId="1" applyNumberFormat="1" applyFont="1" applyFill="1" applyBorder="1"/>
    <xf numFmtId="168" fontId="14" fillId="0" borderId="1" xfId="1" applyNumberFormat="1" applyFont="1" applyFill="1" applyBorder="1"/>
    <xf numFmtId="167" fontId="10" fillId="0" borderId="0" xfId="1" applyNumberFormat="1" applyFont="1" applyFill="1"/>
    <xf numFmtId="169" fontId="12" fillId="0" borderId="0" xfId="1" applyNumberFormat="1" applyFont="1" applyFill="1" applyBorder="1"/>
    <xf numFmtId="0" fontId="6" fillId="0" borderId="0" xfId="0" applyFont="1"/>
    <xf numFmtId="0" fontId="12" fillId="2" borderId="2" xfId="0" applyFont="1" applyFill="1" applyBorder="1"/>
    <xf numFmtId="0" fontId="12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right"/>
    </xf>
    <xf numFmtId="0" fontId="12" fillId="2" borderId="3" xfId="0" applyFont="1" applyFill="1" applyBorder="1" applyAlignment="1">
      <alignment horizontal="right"/>
    </xf>
    <xf numFmtId="0" fontId="14" fillId="2" borderId="0" xfId="0" applyFont="1" applyFill="1"/>
    <xf numFmtId="165" fontId="13" fillId="2" borderId="0" xfId="0" applyNumberFormat="1" applyFont="1" applyFill="1"/>
    <xf numFmtId="166" fontId="12" fillId="2" borderId="0" xfId="1" applyNumberFormat="1" applyFont="1" applyFill="1" applyBorder="1"/>
    <xf numFmtId="0" fontId="12" fillId="2" borderId="0" xfId="0" applyFont="1" applyFill="1"/>
    <xf numFmtId="166" fontId="14" fillId="2" borderId="0" xfId="1" applyNumberFormat="1" applyFont="1" applyFill="1" applyBorder="1"/>
    <xf numFmtId="167" fontId="12" fillId="2" borderId="0" xfId="1" applyNumberFormat="1" applyFont="1" applyFill="1" applyBorder="1"/>
    <xf numFmtId="167" fontId="14" fillId="2" borderId="0" xfId="1" applyNumberFormat="1" applyFont="1" applyFill="1" applyBorder="1"/>
    <xf numFmtId="168" fontId="14" fillId="2" borderId="0" xfId="1" applyNumberFormat="1" applyFont="1" applyFill="1" applyBorder="1"/>
    <xf numFmtId="0" fontId="12" fillId="2" borderId="0" xfId="0" applyFont="1" applyFill="1" applyAlignment="1">
      <alignment horizontal="right"/>
    </xf>
    <xf numFmtId="0" fontId="10" fillId="2" borderId="2" xfId="0" applyFont="1" applyFill="1" applyBorder="1"/>
    <xf numFmtId="0" fontId="18" fillId="2" borderId="3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166" fontId="10" fillId="0" borderId="0" xfId="1" applyNumberFormat="1" applyFont="1" applyFill="1" applyBorder="1"/>
    <xf numFmtId="166" fontId="11" fillId="0" borderId="0" xfId="1" applyNumberFormat="1" applyFont="1" applyFill="1" applyBorder="1"/>
    <xf numFmtId="166" fontId="11" fillId="0" borderId="1" xfId="1" applyNumberFormat="1" applyFont="1" applyFill="1" applyBorder="1"/>
    <xf numFmtId="167" fontId="11" fillId="0" borderId="0" xfId="1" applyNumberFormat="1" applyFont="1" applyFill="1"/>
    <xf numFmtId="167" fontId="11" fillId="0" borderId="0" xfId="1" applyNumberFormat="1" applyFont="1" applyFill="1" applyBorder="1"/>
    <xf numFmtId="167" fontId="11" fillId="0" borderId="1" xfId="1" applyNumberFormat="1" applyFont="1" applyFill="1" applyBorder="1"/>
    <xf numFmtId="167" fontId="11" fillId="0" borderId="0" xfId="0" applyNumberFormat="1" applyFont="1"/>
    <xf numFmtId="169" fontId="10" fillId="0" borderId="0" xfId="0" applyNumberFormat="1" applyFont="1"/>
    <xf numFmtId="167" fontId="10" fillId="2" borderId="0" xfId="1" applyNumberFormat="1" applyFont="1" applyFill="1" applyBorder="1"/>
    <xf numFmtId="166" fontId="11" fillId="2" borderId="0" xfId="1" applyNumberFormat="1" applyFont="1" applyFill="1" applyBorder="1"/>
    <xf numFmtId="166" fontId="10" fillId="0" borderId="0" xfId="0" applyNumberFormat="1" applyFont="1"/>
    <xf numFmtId="166" fontId="10" fillId="2" borderId="0" xfId="1" applyNumberFormat="1" applyFont="1" applyFill="1" applyBorder="1"/>
    <xf numFmtId="168" fontId="11" fillId="0" borderId="0" xfId="1" applyNumberFormat="1" applyFont="1" applyFill="1" applyBorder="1"/>
    <xf numFmtId="168" fontId="11" fillId="2" borderId="0" xfId="1" applyNumberFormat="1" applyFont="1" applyFill="1" applyBorder="1"/>
    <xf numFmtId="168" fontId="11" fillId="0" borderId="1" xfId="1" applyNumberFormat="1" applyFont="1" applyFill="1" applyBorder="1"/>
    <xf numFmtId="169" fontId="10" fillId="0" borderId="0" xfId="1" applyNumberFormat="1" applyFont="1" applyFill="1" applyBorder="1"/>
    <xf numFmtId="167" fontId="11" fillId="2" borderId="0" xfId="1" applyNumberFormat="1" applyFont="1" applyFill="1" applyBorder="1"/>
    <xf numFmtId="166" fontId="19" fillId="0" borderId="0" xfId="1" applyNumberFormat="1" applyFont="1" applyFill="1" applyBorder="1"/>
    <xf numFmtId="166" fontId="19" fillId="2" borderId="0" xfId="1" applyNumberFormat="1" applyFont="1" applyFill="1" applyBorder="1"/>
    <xf numFmtId="165" fontId="4" fillId="0" borderId="0" xfId="2"/>
    <xf numFmtId="165" fontId="3" fillId="0" borderId="0" xfId="2" applyFont="1"/>
    <xf numFmtId="38" fontId="4" fillId="0" borderId="0" xfId="3" applyNumberFormat="1" applyFont="1" applyBorder="1" applyProtection="1"/>
    <xf numFmtId="1" fontId="4" fillId="0" borderId="0" xfId="2" applyNumberFormat="1"/>
    <xf numFmtId="14" fontId="3" fillId="0" borderId="4" xfId="2" applyNumberFormat="1" applyFont="1" applyBorder="1"/>
    <xf numFmtId="14" fontId="3" fillId="0" borderId="5" xfId="2" applyNumberFormat="1" applyFont="1" applyBorder="1"/>
    <xf numFmtId="14" fontId="4" fillId="0" borderId="0" xfId="2" applyNumberFormat="1"/>
    <xf numFmtId="165" fontId="3" fillId="0" borderId="6" xfId="2" applyFont="1" applyBorder="1"/>
    <xf numFmtId="165" fontId="3" fillId="0" borderId="3" xfId="2" applyFont="1" applyBorder="1"/>
    <xf numFmtId="17" fontId="18" fillId="0" borderId="3" xfId="2" applyNumberFormat="1" applyFont="1" applyBorder="1" applyAlignment="1">
      <alignment horizontal="center"/>
    </xf>
    <xf numFmtId="3" fontId="3" fillId="0" borderId="5" xfId="2" applyNumberFormat="1" applyFont="1" applyBorder="1"/>
    <xf numFmtId="3" fontId="3" fillId="0" borderId="5" xfId="2" applyNumberFormat="1" applyFont="1" applyBorder="1" applyAlignment="1">
      <alignment wrapText="1"/>
    </xf>
    <xf numFmtId="3" fontId="4" fillId="0" borderId="0" xfId="2" applyNumberFormat="1"/>
    <xf numFmtId="3" fontId="3" fillId="0" borderId="0" xfId="2" applyNumberFormat="1" applyFont="1"/>
    <xf numFmtId="3" fontId="3" fillId="0" borderId="0" xfId="2" applyNumberFormat="1" applyFont="1" applyAlignment="1">
      <alignment wrapText="1"/>
    </xf>
    <xf numFmtId="38" fontId="3" fillId="0" borderId="0" xfId="3" applyNumberFormat="1" applyFont="1" applyBorder="1" applyProtection="1"/>
    <xf numFmtId="3" fontId="4" fillId="0" borderId="0" xfId="2" applyNumberFormat="1" applyAlignment="1">
      <alignment wrapText="1"/>
    </xf>
    <xf numFmtId="3" fontId="4" fillId="0" borderId="0" xfId="2" applyNumberFormat="1" applyAlignment="1">
      <alignment horizontal="left" wrapText="1"/>
    </xf>
    <xf numFmtId="3" fontId="21" fillId="0" borderId="0" xfId="2" applyNumberFormat="1" applyFont="1" applyAlignment="1">
      <alignment wrapText="1"/>
    </xf>
    <xf numFmtId="3" fontId="21" fillId="0" borderId="0" xfId="2" applyNumberFormat="1" applyFont="1"/>
    <xf numFmtId="38" fontId="21" fillId="0" borderId="0" xfId="3" applyNumberFormat="1" applyFont="1" applyBorder="1" applyProtection="1"/>
    <xf numFmtId="3" fontId="4" fillId="0" borderId="3" xfId="2" applyNumberFormat="1" applyBorder="1"/>
    <xf numFmtId="170" fontId="4" fillId="0" borderId="3" xfId="3" applyNumberFormat="1" applyFont="1" applyBorder="1" applyProtection="1"/>
    <xf numFmtId="3" fontId="4" fillId="0" borderId="3" xfId="2" applyNumberFormat="1" applyBorder="1" applyAlignment="1">
      <alignment wrapText="1"/>
    </xf>
    <xf numFmtId="171" fontId="4" fillId="0" borderId="0" xfId="2" applyNumberFormat="1"/>
    <xf numFmtId="171" fontId="3" fillId="0" borderId="0" xfId="2" applyNumberFormat="1" applyFont="1"/>
    <xf numFmtId="40" fontId="4" fillId="0" borderId="0" xfId="3" applyFont="1" applyBorder="1" applyProtection="1"/>
    <xf numFmtId="168" fontId="4" fillId="0" borderId="3" xfId="2" applyNumberFormat="1" applyBorder="1"/>
    <xf numFmtId="168" fontId="4" fillId="0" borderId="0" xfId="2" applyNumberFormat="1"/>
    <xf numFmtId="168" fontId="3" fillId="0" borderId="0" xfId="2" applyNumberFormat="1" applyFont="1"/>
    <xf numFmtId="14" fontId="3" fillId="0" borderId="0" xfId="2" applyNumberFormat="1" applyFont="1"/>
    <xf numFmtId="1" fontId="3" fillId="0" borderId="0" xfId="2" applyNumberFormat="1" applyFont="1" applyAlignment="1">
      <alignment horizontal="left"/>
    </xf>
    <xf numFmtId="165" fontId="4" fillId="0" borderId="0" xfId="0" applyNumberFormat="1" applyFont="1"/>
    <xf numFmtId="1" fontId="0" fillId="0" borderId="0" xfId="0" applyNumberFormat="1"/>
    <xf numFmtId="14" fontId="3" fillId="0" borderId="4" xfId="0" applyNumberFormat="1" applyFont="1" applyBorder="1"/>
    <xf numFmtId="14" fontId="3" fillId="0" borderId="5" xfId="0" applyNumberFormat="1" applyFont="1" applyBorder="1"/>
    <xf numFmtId="14" fontId="4" fillId="0" borderId="0" xfId="0" applyNumberFormat="1" applyFont="1"/>
    <xf numFmtId="165" fontId="3" fillId="0" borderId="6" xfId="0" applyNumberFormat="1" applyFont="1" applyBorder="1"/>
    <xf numFmtId="165" fontId="3" fillId="0" borderId="3" xfId="0" applyNumberFormat="1" applyFont="1" applyBorder="1"/>
    <xf numFmtId="17" fontId="18" fillId="0" borderId="3" xfId="0" applyNumberFormat="1" applyFont="1" applyBorder="1" applyAlignment="1">
      <alignment horizontal="center"/>
    </xf>
    <xf numFmtId="3" fontId="3" fillId="0" borderId="5" xfId="0" applyNumberFormat="1" applyFont="1" applyBorder="1"/>
    <xf numFmtId="3" fontId="3" fillId="0" borderId="5" xfId="0" applyNumberFormat="1" applyFont="1" applyBorder="1" applyAlignment="1">
      <alignment wrapText="1"/>
    </xf>
    <xf numFmtId="3" fontId="0" fillId="0" borderId="0" xfId="0" applyNumberFormat="1"/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3" fontId="21" fillId="0" borderId="0" xfId="0" applyNumberFormat="1" applyFont="1" applyAlignment="1">
      <alignment wrapText="1"/>
    </xf>
    <xf numFmtId="3" fontId="21" fillId="0" borderId="0" xfId="0" applyNumberFormat="1" applyFont="1"/>
    <xf numFmtId="3" fontId="4" fillId="0" borderId="3" xfId="0" applyNumberFormat="1" applyFont="1" applyBorder="1"/>
    <xf numFmtId="3" fontId="0" fillId="0" borderId="3" xfId="0" applyNumberFormat="1" applyBorder="1" applyAlignment="1">
      <alignment wrapText="1"/>
    </xf>
    <xf numFmtId="171" fontId="4" fillId="0" borderId="0" xfId="0" applyNumberFormat="1" applyFont="1"/>
    <xf numFmtId="171" fontId="3" fillId="0" borderId="0" xfId="0" applyNumberFormat="1" applyFont="1"/>
    <xf numFmtId="168" fontId="4" fillId="0" borderId="3" xfId="0" applyNumberFormat="1" applyFont="1" applyBorder="1"/>
    <xf numFmtId="168" fontId="4" fillId="0" borderId="0" xfId="0" applyNumberFormat="1" applyFont="1"/>
    <xf numFmtId="168" fontId="3" fillId="0" borderId="0" xfId="0" applyNumberFormat="1" applyFont="1"/>
    <xf numFmtId="14" fontId="3" fillId="0" borderId="0" xfId="0" applyNumberFormat="1" applyFont="1"/>
    <xf numFmtId="1" fontId="3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4" fontId="4" fillId="0" borderId="0" xfId="2" applyNumberFormat="1" applyAlignment="1">
      <alignment horizontal="center"/>
    </xf>
    <xf numFmtId="3" fontId="4" fillId="0" borderId="0" xfId="2" applyNumberFormat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ational%20Accounts\QGDP%20Q12023_24\Serena_LwezaAAA%20QNA%20Workshop%20Useful%20files\Seasonal%20Adjustment%20Tool%20V8.1%20CP%20(batch%2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ullResults"/>
      <sheetName val="Trend"/>
      <sheetName val="IndResults"/>
      <sheetName val="IndData"/>
      <sheetName val="X12Metafile"/>
      <sheetName val="X12Spec"/>
      <sheetName val="X12Results"/>
      <sheetName val="X12ResultsE18"/>
      <sheetName val="X12ForecastsOriginal"/>
      <sheetName val="X12ForecastsCalendarAdj"/>
      <sheetName val="X12ForecastsSAOnly"/>
      <sheetName val="X12ForecastsARIMA"/>
      <sheetName val="X12ForecastsSA"/>
      <sheetName val="X12ForecastsTrend"/>
      <sheetName val="X12ForecastsTC"/>
      <sheetName val="X12ForecastsFactors"/>
      <sheetName val="X12ForecastsIrregulars"/>
      <sheetName val="X12OriginalInput"/>
      <sheetName val="RawForecast"/>
      <sheetName val="CalcResults"/>
      <sheetName val="Lookups"/>
    </sheetNames>
    <sheetDataSet>
      <sheetData sheetId="0"/>
      <sheetData sheetId="1"/>
      <sheetData sheetId="2"/>
      <sheetData sheetId="3"/>
      <sheetData sheetId="4">
        <row r="1">
          <cell r="C1" t="str">
            <v xml:space="preserve">Enter below series to be seaonally adjusted </v>
          </cell>
          <cell r="F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K2">
            <v>0</v>
          </cell>
          <cell r="L2">
            <v>0</v>
          </cell>
          <cell r="M2">
            <v>0</v>
          </cell>
        </row>
        <row r="3">
          <cell r="C3" t="str">
            <v>Period</v>
          </cell>
          <cell r="F3" t="str">
            <v>LIVESTOCK</v>
          </cell>
          <cell r="K3" t="str">
            <v>MANUFACTURING</v>
          </cell>
          <cell r="L3" t="str">
            <v>ELECTRICITY</v>
          </cell>
          <cell r="M3" t="str">
            <v>WATER</v>
          </cell>
          <cell r="Q3" t="str">
            <v>ACCOMODATION &amp; FOOD SVCS</v>
          </cell>
          <cell r="R3" t="str">
            <v>INFORMATION &amp; COMMUNICATION SVCS</v>
          </cell>
          <cell r="S3" t="str">
            <v>FINANCIAL &amp; INSURANCE SVCS</v>
          </cell>
          <cell r="T3" t="str">
            <v>REAL ESTATE</v>
          </cell>
          <cell r="V3" t="str">
            <v>ADMINISTRATIVE &amp; SUPPROT SVCS</v>
          </cell>
          <cell r="W3" t="str">
            <v>PUBLIC ADMIN</v>
          </cell>
          <cell r="X3" t="str">
            <v>EDUCATION</v>
          </cell>
          <cell r="Y3" t="str">
            <v>HEALTH</v>
          </cell>
          <cell r="Z3" t="str">
            <v>ARTS, ENTER &amp; CREATIVE</v>
          </cell>
          <cell r="AA3" t="str">
            <v>OTHER SERVICES</v>
          </cell>
        </row>
        <row r="4">
          <cell r="C4" t="str">
            <v>2008Q1</v>
          </cell>
          <cell r="F4">
            <v>0</v>
          </cell>
          <cell r="K4">
            <v>0</v>
          </cell>
          <cell r="L4">
            <v>0</v>
          </cell>
          <cell r="M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C5" t="str">
            <v>2008Q2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C6" t="str">
            <v>2008Q3</v>
          </cell>
          <cell r="F6">
            <v>342.82529199109939</v>
          </cell>
          <cell r="K6">
            <v>752.41547388041147</v>
          </cell>
          <cell r="L6">
            <v>75.327796539888496</v>
          </cell>
          <cell r="M6">
            <v>159.83270578582452</v>
          </cell>
          <cell r="Q6">
            <v>177.66202469987914</v>
          </cell>
          <cell r="R6">
            <v>426.20711156149656</v>
          </cell>
          <cell r="S6">
            <v>173.30698809315035</v>
          </cell>
          <cell r="T6">
            <v>351.23723421560982</v>
          </cell>
          <cell r="V6">
            <v>117.30516815591717</v>
          </cell>
          <cell r="W6">
            <v>228.2401466169394</v>
          </cell>
          <cell r="X6">
            <v>427.35886038289578</v>
          </cell>
          <cell r="Y6">
            <v>276.52675107061873</v>
          </cell>
          <cell r="Z6">
            <v>27.281618279555811</v>
          </cell>
          <cell r="AA6">
            <v>80.428160124145421</v>
          </cell>
        </row>
        <row r="7">
          <cell r="C7" t="str">
            <v>2008Q4</v>
          </cell>
          <cell r="F7">
            <v>390.96987687706252</v>
          </cell>
          <cell r="K7">
            <v>822.91804340787758</v>
          </cell>
          <cell r="L7">
            <v>78.585952385041466</v>
          </cell>
          <cell r="M7">
            <v>161.81854975890309</v>
          </cell>
          <cell r="Q7">
            <v>148.49616991801915</v>
          </cell>
          <cell r="R7">
            <v>478.71965334974772</v>
          </cell>
          <cell r="S7">
            <v>203.94879894886557</v>
          </cell>
          <cell r="T7">
            <v>355.87864298430134</v>
          </cell>
          <cell r="V7">
            <v>121.86651038631005</v>
          </cell>
          <cell r="W7">
            <v>241.42887583057151</v>
          </cell>
          <cell r="X7">
            <v>446.46905596545025</v>
          </cell>
          <cell r="Y7">
            <v>280.30311158447995</v>
          </cell>
          <cell r="Z7">
            <v>25.574674096850924</v>
          </cell>
          <cell r="AA7">
            <v>82.394324124943566</v>
          </cell>
        </row>
        <row r="8">
          <cell r="C8" t="str">
            <v>2009Q1</v>
          </cell>
          <cell r="F8">
            <v>453.89294338518329</v>
          </cell>
          <cell r="K8">
            <v>798.91965881145131</v>
          </cell>
          <cell r="L8">
            <v>84.667780427776478</v>
          </cell>
          <cell r="M8">
            <v>164.2317516968977</v>
          </cell>
          <cell r="Q8">
            <v>140.0200279822615</v>
          </cell>
          <cell r="R8">
            <v>523.58677063324774</v>
          </cell>
          <cell r="S8">
            <v>213.58199566443912</v>
          </cell>
          <cell r="T8">
            <v>357.47508187112589</v>
          </cell>
          <cell r="V8">
            <v>123.43591256028597</v>
          </cell>
          <cell r="W8">
            <v>240.33917451980207</v>
          </cell>
          <cell r="X8">
            <v>460.82193650020628</v>
          </cell>
          <cell r="Y8">
            <v>281.03069187159537</v>
          </cell>
          <cell r="Z8">
            <v>22.638937241445866</v>
          </cell>
          <cell r="AA8">
            <v>83.572064259439983</v>
          </cell>
        </row>
        <row r="9">
          <cell r="C9" t="str">
            <v>2009Q2</v>
          </cell>
          <cell r="F9">
            <v>450.23822290134615</v>
          </cell>
          <cell r="K9">
            <v>806.08753997135489</v>
          </cell>
          <cell r="L9">
            <v>87.677184351071972</v>
          </cell>
          <cell r="M9">
            <v>166.52134845499756</v>
          </cell>
          <cell r="Q9">
            <v>168.45740422852867</v>
          </cell>
          <cell r="R9">
            <v>558.89558552334279</v>
          </cell>
          <cell r="S9">
            <v>222.48640568062768</v>
          </cell>
          <cell r="T9">
            <v>372.08328710410086</v>
          </cell>
          <cell r="V9">
            <v>145.48882056739018</v>
          </cell>
          <cell r="W9">
            <v>242.22947661392575</v>
          </cell>
          <cell r="X9">
            <v>477.2926393696867</v>
          </cell>
          <cell r="Y9">
            <v>293.47325954231871</v>
          </cell>
          <cell r="Z9">
            <v>27.46667565772028</v>
          </cell>
          <cell r="AA9">
            <v>84.538668123041489</v>
          </cell>
        </row>
        <row r="10">
          <cell r="C10" t="str">
            <v>2009Q3</v>
          </cell>
          <cell r="F10">
            <v>476.64962188956321</v>
          </cell>
          <cell r="K10">
            <v>803.35796048870498</v>
          </cell>
          <cell r="L10">
            <v>90.727950774238025</v>
          </cell>
          <cell r="M10">
            <v>187.92747118178386</v>
          </cell>
          <cell r="Q10">
            <v>227.36625267847214</v>
          </cell>
          <cell r="R10">
            <v>510.07869955720827</v>
          </cell>
          <cell r="S10">
            <v>223.23991761121059</v>
          </cell>
          <cell r="T10">
            <v>518.5370993034918</v>
          </cell>
          <cell r="V10">
            <v>152.71725681026521</v>
          </cell>
          <cell r="W10">
            <v>291.4395359190811</v>
          </cell>
          <cell r="X10">
            <v>474.18970255901451</v>
          </cell>
          <cell r="Y10">
            <v>300.91330337829601</v>
          </cell>
          <cell r="Z10">
            <v>28.670010792801719</v>
          </cell>
          <cell r="AA10">
            <v>92.290581206247992</v>
          </cell>
        </row>
        <row r="11">
          <cell r="C11" t="str">
            <v>2009Q4</v>
          </cell>
          <cell r="F11">
            <v>459.93276013743554</v>
          </cell>
          <cell r="K11">
            <v>837.95962436742536</v>
          </cell>
          <cell r="L11">
            <v>89.519083255951855</v>
          </cell>
          <cell r="M11">
            <v>190.36471656488655</v>
          </cell>
          <cell r="Q11">
            <v>234.12342262883971</v>
          </cell>
          <cell r="R11">
            <v>491.15210169836035</v>
          </cell>
          <cell r="S11">
            <v>221.32173056184945</v>
          </cell>
          <cell r="T11">
            <v>540.03469559739995</v>
          </cell>
          <cell r="V11">
            <v>154.31279805246425</v>
          </cell>
          <cell r="W11">
            <v>287.62776728589677</v>
          </cell>
          <cell r="X11">
            <v>491.35528793536753</v>
          </cell>
          <cell r="Y11">
            <v>305.08827930239482</v>
          </cell>
          <cell r="Z11">
            <v>29.186034724396436</v>
          </cell>
          <cell r="AA11">
            <v>108.51629101179066</v>
          </cell>
        </row>
        <row r="12">
          <cell r="C12" t="str">
            <v>2010Q1</v>
          </cell>
          <cell r="F12">
            <v>467.27899808519919</v>
          </cell>
          <cell r="K12">
            <v>926.59922308066996</v>
          </cell>
          <cell r="L12">
            <v>83.003098186429924</v>
          </cell>
          <cell r="M12">
            <v>193.83412487923536</v>
          </cell>
          <cell r="Q12">
            <v>225.27988121780697</v>
          </cell>
          <cell r="R12">
            <v>590.63157715392538</v>
          </cell>
          <cell r="S12">
            <v>240.19764227431475</v>
          </cell>
          <cell r="T12">
            <v>559.86086251635948</v>
          </cell>
          <cell r="V12">
            <v>148.52180072567356</v>
          </cell>
          <cell r="W12">
            <v>301.26355723580713</v>
          </cell>
          <cell r="X12">
            <v>523.87017899550733</v>
          </cell>
          <cell r="Y12">
            <v>307.71506217413605</v>
          </cell>
          <cell r="Z12">
            <v>34.779919248479402</v>
          </cell>
          <cell r="AA12">
            <v>100.72571044598443</v>
          </cell>
        </row>
        <row r="13">
          <cell r="C13" t="str">
            <v>2010Q2</v>
          </cell>
          <cell r="F13">
            <v>453.38731933235647</v>
          </cell>
          <cell r="K13">
            <v>913.57510540887586</v>
          </cell>
          <cell r="L13">
            <v>86.103270493089141</v>
          </cell>
          <cell r="M13">
            <v>196.89649493454729</v>
          </cell>
          <cell r="Q13">
            <v>247.25496217531986</v>
          </cell>
          <cell r="R13">
            <v>673.37233239808518</v>
          </cell>
          <cell r="S13">
            <v>255.21404806783806</v>
          </cell>
          <cell r="T13">
            <v>576.05808744929436</v>
          </cell>
          <cell r="V13">
            <v>174.4658709630923</v>
          </cell>
          <cell r="W13">
            <v>320.21599950204387</v>
          </cell>
          <cell r="X13">
            <v>541.10470670799953</v>
          </cell>
          <cell r="Y13">
            <v>316.94332059497657</v>
          </cell>
          <cell r="Z13">
            <v>31.032118794561455</v>
          </cell>
          <cell r="AA13">
            <v>99.92619159393368</v>
          </cell>
        </row>
        <row r="14">
          <cell r="C14" t="str">
            <v>2010Q3</v>
          </cell>
          <cell r="F14">
            <v>487.57911826874869</v>
          </cell>
          <cell r="K14">
            <v>1048.5415869605613</v>
          </cell>
          <cell r="L14">
            <v>87.639278038032643</v>
          </cell>
          <cell r="M14">
            <v>206.27691916163374</v>
          </cell>
          <cell r="Q14">
            <v>289.89785041198581</v>
          </cell>
          <cell r="R14">
            <v>746.90982469702976</v>
          </cell>
          <cell r="S14">
            <v>271.98269639712629</v>
          </cell>
          <cell r="T14">
            <v>440.94393191760565</v>
          </cell>
          <cell r="V14">
            <v>217.26888392449317</v>
          </cell>
          <cell r="W14">
            <v>379.24509001048926</v>
          </cell>
          <cell r="X14">
            <v>566.59302592757365</v>
          </cell>
          <cell r="Y14">
            <v>327.0611546576842</v>
          </cell>
          <cell r="Z14">
            <v>33.7368708910668</v>
          </cell>
          <cell r="AA14">
            <v>101.91197922582997</v>
          </cell>
        </row>
        <row r="15">
          <cell r="C15" t="str">
            <v>2010Q4</v>
          </cell>
          <cell r="F15">
            <v>486.20640963318135</v>
          </cell>
          <cell r="K15">
            <v>1177.9000848634369</v>
          </cell>
          <cell r="L15">
            <v>89.260742104439672</v>
          </cell>
          <cell r="M15">
            <v>208.54774273263394</v>
          </cell>
          <cell r="Q15">
            <v>274.58929202619186</v>
          </cell>
          <cell r="R15">
            <v>392.11113413138389</v>
          </cell>
          <cell r="S15">
            <v>284.64963319700831</v>
          </cell>
          <cell r="T15">
            <v>451.26555902522347</v>
          </cell>
          <cell r="V15">
            <v>214.36636071235762</v>
          </cell>
          <cell r="W15">
            <v>379.50836524312524</v>
          </cell>
          <cell r="X15">
            <v>572.77569660677636</v>
          </cell>
          <cell r="Y15">
            <v>336.92522770403713</v>
          </cell>
          <cell r="Z15">
            <v>32.239069507092474</v>
          </cell>
          <cell r="AA15">
            <v>108.76792737232185</v>
          </cell>
        </row>
        <row r="16">
          <cell r="C16" t="str">
            <v>2011Q1</v>
          </cell>
          <cell r="F16">
            <v>510.94121670511834</v>
          </cell>
          <cell r="K16">
            <v>1278.7660642286191</v>
          </cell>
          <cell r="L16">
            <v>90.78827817844811</v>
          </cell>
          <cell r="M16">
            <v>210.90214214842496</v>
          </cell>
          <cell r="Q16">
            <v>305.53061665006385</v>
          </cell>
          <cell r="R16">
            <v>336.79735031067673</v>
          </cell>
          <cell r="S16">
            <v>285.70552747211616</v>
          </cell>
          <cell r="T16">
            <v>461.18766027483355</v>
          </cell>
          <cell r="V16">
            <v>214.37784916960121</v>
          </cell>
          <cell r="W16">
            <v>381.19684919287641</v>
          </cell>
          <cell r="X16">
            <v>600.10775261729009</v>
          </cell>
          <cell r="Y16">
            <v>344.43834834273389</v>
          </cell>
          <cell r="Z16">
            <v>35.777739498564927</v>
          </cell>
          <cell r="AA16">
            <v>112.18762345560144</v>
          </cell>
        </row>
        <row r="17">
          <cell r="C17" t="str">
            <v>2011Q2</v>
          </cell>
          <cell r="F17">
            <v>495.95921745071462</v>
          </cell>
          <cell r="K17">
            <v>1309.460868148675</v>
          </cell>
          <cell r="L17">
            <v>90.068563419402238</v>
          </cell>
          <cell r="M17">
            <v>213.60917376612073</v>
          </cell>
          <cell r="Q17">
            <v>333.77437113537098</v>
          </cell>
          <cell r="R17">
            <v>299.47552538799579</v>
          </cell>
          <cell r="S17">
            <v>357.55591434663455</v>
          </cell>
          <cell r="T17">
            <v>477.8029047967114</v>
          </cell>
          <cell r="V17">
            <v>234.14019996095521</v>
          </cell>
          <cell r="W17">
            <v>388.85023208993056</v>
          </cell>
          <cell r="X17">
            <v>619.40271758726306</v>
          </cell>
          <cell r="Y17">
            <v>346.73692971948589</v>
          </cell>
          <cell r="Z17">
            <v>35.383740660982092</v>
          </cell>
          <cell r="AA17">
            <v>118.41498778881891</v>
          </cell>
        </row>
        <row r="18">
          <cell r="C18" t="str">
            <v>2011Q3</v>
          </cell>
          <cell r="F18">
            <v>565.00977852217375</v>
          </cell>
          <cell r="K18">
            <v>1673.1499000558911</v>
          </cell>
          <cell r="L18">
            <v>87.208038572256456</v>
          </cell>
          <cell r="M18">
            <v>224.10785103209423</v>
          </cell>
          <cell r="Q18">
            <v>380.90580840342392</v>
          </cell>
          <cell r="R18">
            <v>340.10323069592192</v>
          </cell>
          <cell r="S18">
            <v>377.50352467339144</v>
          </cell>
          <cell r="T18">
            <v>490.67411778311651</v>
          </cell>
          <cell r="V18">
            <v>233.34742646612935</v>
          </cell>
          <cell r="W18">
            <v>410.61063139030011</v>
          </cell>
          <cell r="X18">
            <v>646.58713430134731</v>
          </cell>
          <cell r="Y18">
            <v>351.82130587459596</v>
          </cell>
          <cell r="Z18">
            <v>45.354301675136753</v>
          </cell>
          <cell r="AA18">
            <v>137.81267199198606</v>
          </cell>
        </row>
        <row r="19">
          <cell r="C19" t="str">
            <v>2011Q4</v>
          </cell>
          <cell r="F19">
            <v>687.45207364942883</v>
          </cell>
          <cell r="K19">
            <v>1655.8821305206691</v>
          </cell>
          <cell r="L19">
            <v>82.943577353083597</v>
          </cell>
          <cell r="M19">
            <v>225.83729555338229</v>
          </cell>
          <cell r="Q19">
            <v>352.4747857623334</v>
          </cell>
          <cell r="R19">
            <v>401.29233805005759</v>
          </cell>
          <cell r="S19">
            <v>397.0644072994653</v>
          </cell>
          <cell r="T19">
            <v>516.13095431065176</v>
          </cell>
          <cell r="V19">
            <v>232.80328672442008</v>
          </cell>
          <cell r="W19">
            <v>445.08859753419915</v>
          </cell>
          <cell r="X19">
            <v>647.82164085292231</v>
          </cell>
          <cell r="Y19">
            <v>348.48980793765742</v>
          </cell>
          <cell r="Z19">
            <v>44.576845367094251</v>
          </cell>
          <cell r="AA19">
            <v>148.6662356185989</v>
          </cell>
        </row>
        <row r="20">
          <cell r="C20" t="str">
            <v>2012Q1</v>
          </cell>
          <cell r="F20">
            <v>724.98760593428653</v>
          </cell>
          <cell r="K20">
            <v>1514.823296488433</v>
          </cell>
          <cell r="L20">
            <v>146.53813525267444</v>
          </cell>
          <cell r="M20">
            <v>248.87346771540541</v>
          </cell>
          <cell r="Q20">
            <v>363.26107507649243</v>
          </cell>
          <cell r="R20">
            <v>417.90177956094089</v>
          </cell>
          <cell r="S20">
            <v>422.29140331310293</v>
          </cell>
          <cell r="T20">
            <v>538.19876445995362</v>
          </cell>
          <cell r="V20">
            <v>248.59206913629691</v>
          </cell>
          <cell r="W20">
            <v>434.99997146375449</v>
          </cell>
          <cell r="X20">
            <v>708.90685859457585</v>
          </cell>
          <cell r="Y20">
            <v>381.32963995209445</v>
          </cell>
          <cell r="Z20">
            <v>45.912825025567102</v>
          </cell>
          <cell r="AA20">
            <v>156.93433415741501</v>
          </cell>
        </row>
        <row r="21">
          <cell r="C21" t="str">
            <v>2012Q2</v>
          </cell>
          <cell r="F21">
            <v>725.20658189978394</v>
          </cell>
          <cell r="K21">
            <v>1628.8495195271719</v>
          </cell>
          <cell r="L21">
            <v>146.28504303099044</v>
          </cell>
          <cell r="M21">
            <v>218.51774250574741</v>
          </cell>
          <cell r="Q21">
            <v>392.84694961263915</v>
          </cell>
          <cell r="R21">
            <v>413.56327074356045</v>
          </cell>
          <cell r="S21">
            <v>421.78045372096096</v>
          </cell>
          <cell r="T21">
            <v>561.40489307687699</v>
          </cell>
          <cell r="V21">
            <v>268.89176758284128</v>
          </cell>
          <cell r="W21">
            <v>454.60520777732626</v>
          </cell>
          <cell r="X21">
            <v>766.05849940520238</v>
          </cell>
          <cell r="Y21">
            <v>412.17110964949848</v>
          </cell>
          <cell r="Z21">
            <v>37.310105426504947</v>
          </cell>
          <cell r="AA21">
            <v>160.10185890391423</v>
          </cell>
        </row>
        <row r="22">
          <cell r="C22" t="str">
            <v>2012Q3</v>
          </cell>
          <cell r="F22">
            <v>723.97895259524296</v>
          </cell>
          <cell r="K22">
            <v>1485.3868219696042</v>
          </cell>
          <cell r="L22">
            <v>148.00725181970472</v>
          </cell>
          <cell r="M22">
            <v>267.804374570172</v>
          </cell>
          <cell r="Q22">
            <v>462.27691015813923</v>
          </cell>
          <cell r="R22">
            <v>432.01664442993638</v>
          </cell>
          <cell r="S22">
            <v>415.18082907165427</v>
          </cell>
          <cell r="T22">
            <v>587.07758404270703</v>
          </cell>
          <cell r="V22">
            <v>236.11156911387818</v>
          </cell>
          <cell r="W22">
            <v>451.33491505205683</v>
          </cell>
          <cell r="X22">
            <v>830.40003090143466</v>
          </cell>
          <cell r="Y22">
            <v>439.18923071333779</v>
          </cell>
          <cell r="Z22">
            <v>41.490806326251182</v>
          </cell>
          <cell r="AA22">
            <v>167.65100217626596</v>
          </cell>
        </row>
        <row r="23">
          <cell r="C23" t="str">
            <v>2012Q4</v>
          </cell>
          <cell r="F23">
            <v>739.61799142340419</v>
          </cell>
          <cell r="K23">
            <v>1596.6697306998265</v>
          </cell>
          <cell r="L23">
            <v>147.43204679107262</v>
          </cell>
          <cell r="M23">
            <v>255.45796434375205</v>
          </cell>
          <cell r="Q23">
            <v>397.01240472471812</v>
          </cell>
          <cell r="R23">
            <v>498.87292177959694</v>
          </cell>
          <cell r="S23">
            <v>420.90438127836711</v>
          </cell>
          <cell r="T23">
            <v>601.1087028668702</v>
          </cell>
          <cell r="V23">
            <v>225.24892989771357</v>
          </cell>
          <cell r="W23">
            <v>456.74148349643605</v>
          </cell>
          <cell r="X23">
            <v>858.64666201697571</v>
          </cell>
          <cell r="Y23">
            <v>466.78235373603411</v>
          </cell>
          <cell r="Z23">
            <v>48.478130828113152</v>
          </cell>
          <cell r="AA23">
            <v>176.6261867893318</v>
          </cell>
        </row>
        <row r="24">
          <cell r="C24" t="str">
            <v>2013Q1</v>
          </cell>
          <cell r="F24">
            <v>750.57859780241586</v>
          </cell>
          <cell r="K24">
            <v>1603.4053769212867</v>
          </cell>
          <cell r="L24">
            <v>141.56082827588253</v>
          </cell>
          <cell r="M24">
            <v>228.43200060783849</v>
          </cell>
          <cell r="Q24">
            <v>451.76691249900426</v>
          </cell>
          <cell r="R24">
            <v>492.7837333910187</v>
          </cell>
          <cell r="S24">
            <v>440.51403850743742</v>
          </cell>
          <cell r="T24">
            <v>637.88700458343203</v>
          </cell>
          <cell r="V24">
            <v>256.8962848018835</v>
          </cell>
          <cell r="W24">
            <v>475.38560204719238</v>
          </cell>
          <cell r="X24">
            <v>865.99723230105883</v>
          </cell>
          <cell r="Y24">
            <v>492.24514836303888</v>
          </cell>
          <cell r="Z24">
            <v>48.356997806961978</v>
          </cell>
          <cell r="AA24">
            <v>180.47805661025208</v>
          </cell>
        </row>
        <row r="25">
          <cell r="C25" t="str">
            <v>2013Q2</v>
          </cell>
          <cell r="F25">
            <v>753.74640817495913</v>
          </cell>
          <cell r="K25">
            <v>1714.2725109353553</v>
          </cell>
          <cell r="L25">
            <v>146.92799905434336</v>
          </cell>
          <cell r="M25">
            <v>231.04119437682164</v>
          </cell>
          <cell r="Q25">
            <v>470.34133211531707</v>
          </cell>
          <cell r="R25">
            <v>510.84467885249529</v>
          </cell>
          <cell r="S25">
            <v>417.50477022368159</v>
          </cell>
          <cell r="T25">
            <v>672.56622367163823</v>
          </cell>
          <cell r="V25">
            <v>229.17252739252947</v>
          </cell>
          <cell r="W25">
            <v>482.48058118115938</v>
          </cell>
          <cell r="X25">
            <v>880.6485931574357</v>
          </cell>
          <cell r="Y25">
            <v>511.50021969717488</v>
          </cell>
          <cell r="Z25">
            <v>45.886100975906096</v>
          </cell>
          <cell r="AA25">
            <v>186.26462190149047</v>
          </cell>
        </row>
        <row r="26">
          <cell r="C26" t="str">
            <v>2013Q3</v>
          </cell>
          <cell r="F26">
            <v>789.20195662897402</v>
          </cell>
          <cell r="K26">
            <v>1572.6672504815917</v>
          </cell>
          <cell r="L26">
            <v>148.23561478249383</v>
          </cell>
          <cell r="M26">
            <v>283.87720125294481</v>
          </cell>
          <cell r="Q26">
            <v>544.30226016417657</v>
          </cell>
          <cell r="R26">
            <v>543.53323109951043</v>
          </cell>
          <cell r="S26">
            <v>454.51888085048665</v>
          </cell>
          <cell r="T26">
            <v>687.13454521509789</v>
          </cell>
          <cell r="V26">
            <v>312.10442207967304</v>
          </cell>
          <cell r="W26">
            <v>410.45505433108286</v>
          </cell>
          <cell r="X26">
            <v>942.11227589483951</v>
          </cell>
          <cell r="Y26">
            <v>517.98970863017735</v>
          </cell>
          <cell r="Z26">
            <v>53.267323690708089</v>
          </cell>
          <cell r="AA26">
            <v>189.58902372832165</v>
          </cell>
        </row>
        <row r="27">
          <cell r="C27" t="str">
            <v>2013Q4</v>
          </cell>
          <cell r="F27">
            <v>731.55447001092875</v>
          </cell>
          <cell r="K27">
            <v>1615.2994151393477</v>
          </cell>
          <cell r="L27">
            <v>146.23710231297838</v>
          </cell>
          <cell r="M27">
            <v>287.38168561082432</v>
          </cell>
          <cell r="Q27">
            <v>490.77048070759366</v>
          </cell>
          <cell r="R27">
            <v>558.53527437814728</v>
          </cell>
          <cell r="S27">
            <v>456.00796884349131</v>
          </cell>
          <cell r="T27">
            <v>702.02950731217243</v>
          </cell>
          <cell r="V27">
            <v>177.33917443812012</v>
          </cell>
          <cell r="W27">
            <v>425.04674084905969</v>
          </cell>
          <cell r="X27">
            <v>969.42185566206706</v>
          </cell>
          <cell r="Y27">
            <v>531.84601198886116</v>
          </cell>
          <cell r="Z27">
            <v>51.235144819871309</v>
          </cell>
          <cell r="AA27">
            <v>194.97694168935612</v>
          </cell>
        </row>
        <row r="28">
          <cell r="C28" t="str">
            <v>2014Q1</v>
          </cell>
          <cell r="F28">
            <v>757.63812775532801</v>
          </cell>
          <cell r="K28">
            <v>1592.5084289926961</v>
          </cell>
          <cell r="L28">
            <v>147.55983099265248</v>
          </cell>
          <cell r="M28">
            <v>291.89134263884728</v>
          </cell>
          <cell r="Q28">
            <v>566.62019930865358</v>
          </cell>
          <cell r="R28">
            <v>554.90328115239379</v>
          </cell>
          <cell r="S28">
            <v>499.66811120540729</v>
          </cell>
          <cell r="T28">
            <v>735.49493070592337</v>
          </cell>
          <cell r="V28">
            <v>279.12422184566651</v>
          </cell>
          <cell r="W28">
            <v>450.71230258775734</v>
          </cell>
          <cell r="X28">
            <v>996.11861457470525</v>
          </cell>
          <cell r="Y28">
            <v>582.05293970276375</v>
          </cell>
          <cell r="Z28">
            <v>54.493066169534188</v>
          </cell>
          <cell r="AA28">
            <v>204.02754882184092</v>
          </cell>
        </row>
        <row r="29">
          <cell r="C29" t="str">
            <v>2014Q2</v>
          </cell>
          <cell r="F29">
            <v>746.57869712575018</v>
          </cell>
          <cell r="K29">
            <v>1574.7900623776877</v>
          </cell>
          <cell r="L29">
            <v>153.10989513092233</v>
          </cell>
          <cell r="M29">
            <v>296.10620972295408</v>
          </cell>
          <cell r="Q29">
            <v>537.89477860625198</v>
          </cell>
          <cell r="R29">
            <v>546.53220942638256</v>
          </cell>
          <cell r="S29">
            <v>531.47689851864766</v>
          </cell>
          <cell r="T29">
            <v>762.929393166605</v>
          </cell>
          <cell r="V29">
            <v>325.7004950706845</v>
          </cell>
          <cell r="W29">
            <v>428.86039320425607</v>
          </cell>
          <cell r="X29">
            <v>1026.5988905733041</v>
          </cell>
          <cell r="Y29">
            <v>618.81588973104033</v>
          </cell>
          <cell r="Z29">
            <v>48.934650425725479</v>
          </cell>
          <cell r="AA29">
            <v>206.45905564448074</v>
          </cell>
        </row>
        <row r="30">
          <cell r="C30" t="str">
            <v>2014Q3</v>
          </cell>
          <cell r="F30">
            <v>784.54845054431121</v>
          </cell>
          <cell r="K30">
            <v>1715.2825870853524</v>
          </cell>
          <cell r="L30">
            <v>156.87231779150659</v>
          </cell>
          <cell r="M30">
            <v>313.60964718144589</v>
          </cell>
          <cell r="Q30">
            <v>588.97565723719015</v>
          </cell>
          <cell r="R30">
            <v>573.57654015717901</v>
          </cell>
          <cell r="S30">
            <v>490.99839450568845</v>
          </cell>
          <cell r="T30">
            <v>777.66103835003514</v>
          </cell>
          <cell r="V30">
            <v>313.48834119115588</v>
          </cell>
          <cell r="W30">
            <v>496.12649778011951</v>
          </cell>
          <cell r="X30">
            <v>1075.5477886022322</v>
          </cell>
          <cell r="Y30">
            <v>638.40402762989925</v>
          </cell>
          <cell r="Z30">
            <v>55.589039140661846</v>
          </cell>
          <cell r="AA30">
            <v>207.7692674264494</v>
          </cell>
        </row>
        <row r="31">
          <cell r="C31" t="str">
            <v>2014Q4</v>
          </cell>
          <cell r="F31">
            <v>778.39829553067489</v>
          </cell>
          <cell r="K31">
            <v>1785.2611260830486</v>
          </cell>
          <cell r="L31">
            <v>153.04920119274951</v>
          </cell>
          <cell r="M31">
            <v>324.03343840381689</v>
          </cell>
          <cell r="Q31">
            <v>539.96418744854338</v>
          </cell>
          <cell r="R31">
            <v>653.85924096285055</v>
          </cell>
          <cell r="S31">
            <v>565.0865988940626</v>
          </cell>
          <cell r="T31">
            <v>796.19393168416275</v>
          </cell>
          <cell r="V31">
            <v>317.22559311690196</v>
          </cell>
          <cell r="W31">
            <v>516.40867293408667</v>
          </cell>
          <cell r="X31">
            <v>1090.6399616114179</v>
          </cell>
          <cell r="Y31">
            <v>649.86351297016824</v>
          </cell>
          <cell r="Z31">
            <v>50.012829568452801</v>
          </cell>
          <cell r="AA31">
            <v>212.9231930501717</v>
          </cell>
        </row>
        <row r="32">
          <cell r="C32" t="str">
            <v>2015Q1</v>
          </cell>
          <cell r="F32">
            <v>826.11597414313258</v>
          </cell>
          <cell r="K32">
            <v>1816.4761301824865</v>
          </cell>
          <cell r="L32">
            <v>160.26340235840777</v>
          </cell>
          <cell r="M32">
            <v>329.91760942131145</v>
          </cell>
          <cell r="Q32">
            <v>590.08856979702762</v>
          </cell>
          <cell r="R32">
            <v>700.69981117597183</v>
          </cell>
          <cell r="S32">
            <v>558.68969117681013</v>
          </cell>
          <cell r="T32">
            <v>825.54560474619427</v>
          </cell>
          <cell r="V32">
            <v>349.72341664536958</v>
          </cell>
          <cell r="W32">
            <v>497.71721679003434</v>
          </cell>
          <cell r="X32">
            <v>1139.6666035753087</v>
          </cell>
          <cell r="Y32">
            <v>665.28930221131623</v>
          </cell>
          <cell r="Z32">
            <v>56.31921034597967</v>
          </cell>
          <cell r="AA32">
            <v>223.88637426006844</v>
          </cell>
        </row>
        <row r="33">
          <cell r="C33" t="str">
            <v>2015Q2</v>
          </cell>
          <cell r="F33">
            <v>856.48274279721511</v>
          </cell>
          <cell r="K33">
            <v>1848.3704632267452</v>
          </cell>
          <cell r="L33">
            <v>163.75241033684449</v>
          </cell>
          <cell r="M33">
            <v>333.96734237661161</v>
          </cell>
          <cell r="Q33">
            <v>595.54043274661433</v>
          </cell>
          <cell r="R33">
            <v>735.57280347514131</v>
          </cell>
          <cell r="S33">
            <v>536.78397936642773</v>
          </cell>
          <cell r="T33">
            <v>852.50396737310507</v>
          </cell>
          <cell r="V33">
            <v>404.54337520761879</v>
          </cell>
          <cell r="W33">
            <v>490.77944110474948</v>
          </cell>
          <cell r="X33">
            <v>1198.6580250328211</v>
          </cell>
          <cell r="Y33">
            <v>671.5988743999344</v>
          </cell>
          <cell r="Z33">
            <v>58.018391517749478</v>
          </cell>
          <cell r="AA33">
            <v>229.41200310156015</v>
          </cell>
        </row>
        <row r="34">
          <cell r="C34" t="str">
            <v>2015Q3</v>
          </cell>
          <cell r="F34">
            <v>855.4392290968168</v>
          </cell>
          <cell r="K34">
            <v>2206.1878936638118</v>
          </cell>
          <cell r="L34">
            <v>173.04711027332596</v>
          </cell>
          <cell r="M34">
            <v>367.70885558204907</v>
          </cell>
          <cell r="Q34">
            <v>674.20778273626308</v>
          </cell>
          <cell r="R34">
            <v>770.40615673546745</v>
          </cell>
          <cell r="S34">
            <v>605.15063666746312</v>
          </cell>
          <cell r="T34">
            <v>873.48810990158336</v>
          </cell>
          <cell r="V34">
            <v>314.99316041796641</v>
          </cell>
          <cell r="W34">
            <v>527.60303661931619</v>
          </cell>
          <cell r="X34">
            <v>1214.9587490519389</v>
          </cell>
          <cell r="Y34">
            <v>688.82906603586298</v>
          </cell>
          <cell r="Z34">
            <v>57.409983719188133</v>
          </cell>
          <cell r="AA34">
            <v>234.92099096612688</v>
          </cell>
        </row>
        <row r="35">
          <cell r="C35" t="str">
            <v/>
          </cell>
          <cell r="F35">
            <v>0</v>
          </cell>
          <cell r="K35">
            <v>0</v>
          </cell>
          <cell r="L35">
            <v>0</v>
          </cell>
          <cell r="M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C36" t="str">
            <v/>
          </cell>
          <cell r="F36">
            <v>0</v>
          </cell>
          <cell r="K36">
            <v>0</v>
          </cell>
          <cell r="L36">
            <v>0</v>
          </cell>
          <cell r="M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 t="str">
            <v/>
          </cell>
          <cell r="F37">
            <v>0</v>
          </cell>
          <cell r="K37">
            <v>0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 t="str">
            <v/>
          </cell>
          <cell r="F38">
            <v>0</v>
          </cell>
          <cell r="K38">
            <v>0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C39" t="str">
            <v/>
          </cell>
          <cell r="F39">
            <v>0</v>
          </cell>
          <cell r="K39">
            <v>0</v>
          </cell>
          <cell r="L39">
            <v>0</v>
          </cell>
          <cell r="M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 t="str">
            <v/>
          </cell>
          <cell r="F40">
            <v>0</v>
          </cell>
          <cell r="K40">
            <v>0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 t="str">
            <v/>
          </cell>
          <cell r="F41">
            <v>0</v>
          </cell>
          <cell r="K41">
            <v>0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 t="str">
            <v/>
          </cell>
          <cell r="F42">
            <v>0</v>
          </cell>
          <cell r="K42">
            <v>0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C43" t="str">
            <v/>
          </cell>
          <cell r="F43">
            <v>0</v>
          </cell>
          <cell r="K43">
            <v>0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C44" t="str">
            <v/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 t="str">
            <v/>
          </cell>
          <cell r="F45">
            <v>0</v>
          </cell>
          <cell r="K45">
            <v>0</v>
          </cell>
          <cell r="L45">
            <v>0</v>
          </cell>
          <cell r="M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 t="str">
            <v/>
          </cell>
          <cell r="F46">
            <v>0</v>
          </cell>
          <cell r="K46">
            <v>0</v>
          </cell>
          <cell r="L46">
            <v>0</v>
          </cell>
          <cell r="M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 t="str">
            <v/>
          </cell>
          <cell r="F47">
            <v>0</v>
          </cell>
          <cell r="K47">
            <v>0</v>
          </cell>
          <cell r="L47">
            <v>0</v>
          </cell>
          <cell r="M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C48" t="str">
            <v/>
          </cell>
          <cell r="F48">
            <v>0</v>
          </cell>
          <cell r="K48">
            <v>0</v>
          </cell>
          <cell r="L48">
            <v>0</v>
          </cell>
          <cell r="M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C49" t="str">
            <v/>
          </cell>
          <cell r="F49">
            <v>0</v>
          </cell>
          <cell r="K49">
            <v>0</v>
          </cell>
          <cell r="L49">
            <v>0</v>
          </cell>
          <cell r="M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C50" t="str">
            <v/>
          </cell>
          <cell r="F50">
            <v>0</v>
          </cell>
          <cell r="K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C51" t="str">
            <v/>
          </cell>
          <cell r="F51">
            <v>0</v>
          </cell>
          <cell r="K51">
            <v>0</v>
          </cell>
          <cell r="L51">
            <v>0</v>
          </cell>
          <cell r="M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C52" t="str">
            <v/>
          </cell>
          <cell r="F52">
            <v>0</v>
          </cell>
          <cell r="K52">
            <v>0</v>
          </cell>
          <cell r="L52">
            <v>0</v>
          </cell>
          <cell r="M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C53" t="str">
            <v/>
          </cell>
          <cell r="F53">
            <v>0</v>
          </cell>
          <cell r="K53">
            <v>0</v>
          </cell>
          <cell r="L53">
            <v>0</v>
          </cell>
          <cell r="M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C54" t="str">
            <v/>
          </cell>
          <cell r="F54">
            <v>0</v>
          </cell>
          <cell r="K54">
            <v>0</v>
          </cell>
          <cell r="L54">
            <v>0</v>
          </cell>
          <cell r="M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C55" t="str">
            <v/>
          </cell>
          <cell r="F55">
            <v>0</v>
          </cell>
          <cell r="K55">
            <v>0</v>
          </cell>
          <cell r="L55">
            <v>0</v>
          </cell>
          <cell r="M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C56" t="str">
            <v/>
          </cell>
          <cell r="F56">
            <v>0</v>
          </cell>
          <cell r="K56">
            <v>0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C57" t="str">
            <v/>
          </cell>
          <cell r="F57">
            <v>0</v>
          </cell>
          <cell r="K57">
            <v>0</v>
          </cell>
          <cell r="L57">
            <v>0</v>
          </cell>
          <cell r="M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C58" t="str">
            <v/>
          </cell>
          <cell r="F58">
            <v>0</v>
          </cell>
          <cell r="K58">
            <v>0</v>
          </cell>
          <cell r="L58">
            <v>0</v>
          </cell>
          <cell r="M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C59" t="str">
            <v/>
          </cell>
          <cell r="F59">
            <v>0</v>
          </cell>
          <cell r="K59">
            <v>0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C60" t="str">
            <v/>
          </cell>
          <cell r="F60">
            <v>0</v>
          </cell>
          <cell r="K60">
            <v>0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C61" t="str">
            <v/>
          </cell>
          <cell r="F61">
            <v>0</v>
          </cell>
          <cell r="K61">
            <v>0</v>
          </cell>
          <cell r="L61">
            <v>0</v>
          </cell>
          <cell r="M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C62" t="str">
            <v/>
          </cell>
          <cell r="F62">
            <v>0</v>
          </cell>
          <cell r="K62">
            <v>0</v>
          </cell>
          <cell r="L62">
            <v>0</v>
          </cell>
          <cell r="M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C63" t="str">
            <v/>
          </cell>
          <cell r="F63">
            <v>0</v>
          </cell>
          <cell r="K63">
            <v>0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C64" t="str">
            <v/>
          </cell>
          <cell r="F64">
            <v>0</v>
          </cell>
          <cell r="K64">
            <v>0</v>
          </cell>
          <cell r="L64">
            <v>0</v>
          </cell>
          <cell r="M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C65" t="str">
            <v/>
          </cell>
          <cell r="F65">
            <v>0</v>
          </cell>
          <cell r="K65">
            <v>0</v>
          </cell>
          <cell r="L65">
            <v>0</v>
          </cell>
          <cell r="M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C66" t="str">
            <v/>
          </cell>
          <cell r="F66">
            <v>0</v>
          </cell>
          <cell r="K66">
            <v>0</v>
          </cell>
          <cell r="L66">
            <v>0</v>
          </cell>
          <cell r="M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C67" t="str">
            <v/>
          </cell>
          <cell r="F67">
            <v>0</v>
          </cell>
          <cell r="K67">
            <v>0</v>
          </cell>
          <cell r="L67">
            <v>0</v>
          </cell>
          <cell r="M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C68" t="str">
            <v/>
          </cell>
          <cell r="F68">
            <v>0</v>
          </cell>
          <cell r="K68">
            <v>0</v>
          </cell>
          <cell r="L68">
            <v>0</v>
          </cell>
          <cell r="M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C69" t="str">
            <v/>
          </cell>
          <cell r="F69">
            <v>0</v>
          </cell>
          <cell r="K69">
            <v>0</v>
          </cell>
          <cell r="L69">
            <v>0</v>
          </cell>
          <cell r="M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C70" t="str">
            <v/>
          </cell>
          <cell r="F70">
            <v>0</v>
          </cell>
          <cell r="K70">
            <v>0</v>
          </cell>
          <cell r="L70">
            <v>0</v>
          </cell>
          <cell r="M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C71" t="str">
            <v/>
          </cell>
          <cell r="F71">
            <v>0</v>
          </cell>
          <cell r="K71">
            <v>0</v>
          </cell>
          <cell r="L71">
            <v>0</v>
          </cell>
          <cell r="M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C72" t="str">
            <v/>
          </cell>
          <cell r="F72">
            <v>0</v>
          </cell>
          <cell r="K72">
            <v>0</v>
          </cell>
          <cell r="L72">
            <v>0</v>
          </cell>
          <cell r="M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C73" t="str">
            <v/>
          </cell>
          <cell r="F73">
            <v>0</v>
          </cell>
          <cell r="K73">
            <v>0</v>
          </cell>
          <cell r="L73">
            <v>0</v>
          </cell>
          <cell r="M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C74" t="str">
            <v/>
          </cell>
          <cell r="F74">
            <v>0</v>
          </cell>
          <cell r="K74">
            <v>0</v>
          </cell>
          <cell r="L74">
            <v>0</v>
          </cell>
          <cell r="M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C75" t="str">
            <v/>
          </cell>
          <cell r="F75">
            <v>0</v>
          </cell>
          <cell r="K75">
            <v>0</v>
          </cell>
          <cell r="L75">
            <v>0</v>
          </cell>
          <cell r="M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C76" t="str">
            <v/>
          </cell>
          <cell r="F76">
            <v>0</v>
          </cell>
          <cell r="K76">
            <v>0</v>
          </cell>
          <cell r="L76">
            <v>0</v>
          </cell>
          <cell r="M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C77" t="str">
            <v/>
          </cell>
          <cell r="F77">
            <v>0</v>
          </cell>
          <cell r="K77">
            <v>0</v>
          </cell>
          <cell r="L77">
            <v>0</v>
          </cell>
          <cell r="M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C78" t="str">
            <v/>
          </cell>
          <cell r="F78">
            <v>0</v>
          </cell>
          <cell r="K78">
            <v>0</v>
          </cell>
          <cell r="L78">
            <v>0</v>
          </cell>
          <cell r="M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C79" t="str">
            <v/>
          </cell>
          <cell r="F79">
            <v>0</v>
          </cell>
          <cell r="K79">
            <v>0</v>
          </cell>
          <cell r="L79">
            <v>0</v>
          </cell>
          <cell r="M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C80" t="str">
            <v/>
          </cell>
          <cell r="F80">
            <v>0</v>
          </cell>
          <cell r="K80">
            <v>0</v>
          </cell>
          <cell r="L80">
            <v>0</v>
          </cell>
          <cell r="M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 t="str">
            <v/>
          </cell>
          <cell r="F81">
            <v>0</v>
          </cell>
          <cell r="K81">
            <v>0</v>
          </cell>
          <cell r="L81">
            <v>0</v>
          </cell>
          <cell r="M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 t="str">
            <v/>
          </cell>
          <cell r="F82">
            <v>0</v>
          </cell>
          <cell r="K82">
            <v>0</v>
          </cell>
          <cell r="L82">
            <v>0</v>
          </cell>
          <cell r="M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 t="str">
            <v/>
          </cell>
          <cell r="F83">
            <v>0</v>
          </cell>
          <cell r="K83">
            <v>0</v>
          </cell>
          <cell r="L83">
            <v>0</v>
          </cell>
          <cell r="M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C84" t="str">
            <v/>
          </cell>
          <cell r="F84">
            <v>0</v>
          </cell>
          <cell r="K84">
            <v>0</v>
          </cell>
          <cell r="L84">
            <v>0</v>
          </cell>
          <cell r="M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 t="str">
            <v/>
          </cell>
          <cell r="F85">
            <v>0</v>
          </cell>
          <cell r="K85">
            <v>0</v>
          </cell>
          <cell r="L85">
            <v>0</v>
          </cell>
          <cell r="M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C86" t="str">
            <v/>
          </cell>
          <cell r="F86">
            <v>0</v>
          </cell>
          <cell r="K86">
            <v>0</v>
          </cell>
          <cell r="L86">
            <v>0</v>
          </cell>
          <cell r="M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C87" t="str">
            <v/>
          </cell>
          <cell r="F87">
            <v>0</v>
          </cell>
          <cell r="K87">
            <v>0</v>
          </cell>
          <cell r="L87">
            <v>0</v>
          </cell>
          <cell r="M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C88" t="str">
            <v/>
          </cell>
          <cell r="F88">
            <v>0</v>
          </cell>
          <cell r="K88">
            <v>0</v>
          </cell>
          <cell r="L88">
            <v>0</v>
          </cell>
          <cell r="M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C89" t="str">
            <v/>
          </cell>
          <cell r="F89">
            <v>0</v>
          </cell>
          <cell r="K89">
            <v>0</v>
          </cell>
          <cell r="L89">
            <v>0</v>
          </cell>
          <cell r="M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C90" t="str">
            <v/>
          </cell>
          <cell r="F90">
            <v>0</v>
          </cell>
          <cell r="K90">
            <v>0</v>
          </cell>
          <cell r="L90">
            <v>0</v>
          </cell>
          <cell r="M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C91" t="str">
            <v/>
          </cell>
          <cell r="F91">
            <v>0</v>
          </cell>
          <cell r="K91">
            <v>0</v>
          </cell>
          <cell r="L91">
            <v>0</v>
          </cell>
          <cell r="M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C92" t="str">
            <v/>
          </cell>
          <cell r="F92">
            <v>0</v>
          </cell>
          <cell r="K92">
            <v>0</v>
          </cell>
          <cell r="L92">
            <v>0</v>
          </cell>
          <cell r="M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C93" t="str">
            <v/>
          </cell>
          <cell r="F93">
            <v>0</v>
          </cell>
          <cell r="K93">
            <v>0</v>
          </cell>
          <cell r="L93">
            <v>0</v>
          </cell>
          <cell r="M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C94" t="str">
            <v/>
          </cell>
          <cell r="F94">
            <v>0</v>
          </cell>
          <cell r="K94">
            <v>0</v>
          </cell>
          <cell r="L94">
            <v>0</v>
          </cell>
          <cell r="M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C95" t="str">
            <v/>
          </cell>
          <cell r="F95">
            <v>0</v>
          </cell>
          <cell r="K95">
            <v>0</v>
          </cell>
          <cell r="L95">
            <v>0</v>
          </cell>
          <cell r="M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C96" t="str">
            <v/>
          </cell>
          <cell r="F96">
            <v>0</v>
          </cell>
          <cell r="K96">
            <v>0</v>
          </cell>
          <cell r="L96">
            <v>0</v>
          </cell>
          <cell r="M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C97" t="str">
            <v/>
          </cell>
          <cell r="F97">
            <v>0</v>
          </cell>
          <cell r="K97">
            <v>0</v>
          </cell>
          <cell r="L97">
            <v>0</v>
          </cell>
          <cell r="M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C98" t="str">
            <v/>
          </cell>
          <cell r="F98">
            <v>0</v>
          </cell>
          <cell r="K98">
            <v>0</v>
          </cell>
          <cell r="L98">
            <v>0</v>
          </cell>
          <cell r="M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C99" t="str">
            <v/>
          </cell>
          <cell r="F99">
            <v>0</v>
          </cell>
          <cell r="K99">
            <v>0</v>
          </cell>
          <cell r="L99">
            <v>0</v>
          </cell>
          <cell r="M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C100" t="str">
            <v/>
          </cell>
          <cell r="F100">
            <v>0</v>
          </cell>
          <cell r="K100">
            <v>0</v>
          </cell>
          <cell r="L100">
            <v>0</v>
          </cell>
          <cell r="M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C101" t="str">
            <v/>
          </cell>
          <cell r="F101">
            <v>0</v>
          </cell>
          <cell r="K101">
            <v>0</v>
          </cell>
          <cell r="L101">
            <v>0</v>
          </cell>
          <cell r="M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C102" t="str">
            <v/>
          </cell>
          <cell r="F102">
            <v>0</v>
          </cell>
          <cell r="K102">
            <v>0</v>
          </cell>
          <cell r="L102">
            <v>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C103" t="str">
            <v/>
          </cell>
          <cell r="F103">
            <v>0</v>
          </cell>
          <cell r="K103">
            <v>0</v>
          </cell>
          <cell r="L103">
            <v>0</v>
          </cell>
          <cell r="M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C104" t="str">
            <v/>
          </cell>
          <cell r="F104">
            <v>0</v>
          </cell>
          <cell r="K104">
            <v>0</v>
          </cell>
          <cell r="L104">
            <v>0</v>
          </cell>
          <cell r="M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C105" t="str">
            <v/>
          </cell>
          <cell r="F105">
            <v>0</v>
          </cell>
          <cell r="K105">
            <v>0</v>
          </cell>
          <cell r="L105">
            <v>0</v>
          </cell>
          <cell r="M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C106" t="str">
            <v/>
          </cell>
          <cell r="F106">
            <v>0</v>
          </cell>
          <cell r="K106">
            <v>0</v>
          </cell>
          <cell r="L106">
            <v>0</v>
          </cell>
          <cell r="M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 t="str">
            <v/>
          </cell>
          <cell r="F107">
            <v>0</v>
          </cell>
          <cell r="K107">
            <v>0</v>
          </cell>
          <cell r="L107">
            <v>0</v>
          </cell>
          <cell r="M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 t="str">
            <v/>
          </cell>
          <cell r="F108">
            <v>0</v>
          </cell>
          <cell r="K108">
            <v>0</v>
          </cell>
          <cell r="L108">
            <v>0</v>
          </cell>
          <cell r="M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 t="str">
            <v/>
          </cell>
          <cell r="F109">
            <v>0</v>
          </cell>
          <cell r="K109">
            <v>0</v>
          </cell>
          <cell r="L109">
            <v>0</v>
          </cell>
          <cell r="M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 t="str">
            <v/>
          </cell>
          <cell r="F110">
            <v>0</v>
          </cell>
          <cell r="K110">
            <v>0</v>
          </cell>
          <cell r="L110">
            <v>0</v>
          </cell>
          <cell r="M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C111" t="str">
            <v/>
          </cell>
          <cell r="F111">
            <v>0</v>
          </cell>
          <cell r="K111">
            <v>0</v>
          </cell>
          <cell r="L111">
            <v>0</v>
          </cell>
          <cell r="M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C112" t="str">
            <v/>
          </cell>
          <cell r="F112">
            <v>0</v>
          </cell>
          <cell r="K112">
            <v>0</v>
          </cell>
          <cell r="L112">
            <v>0</v>
          </cell>
          <cell r="M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C113" t="str">
            <v/>
          </cell>
          <cell r="F113">
            <v>0</v>
          </cell>
          <cell r="K113">
            <v>0</v>
          </cell>
          <cell r="L113">
            <v>0</v>
          </cell>
          <cell r="M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C114" t="str">
            <v/>
          </cell>
          <cell r="F114">
            <v>0</v>
          </cell>
          <cell r="K114">
            <v>0</v>
          </cell>
          <cell r="L114">
            <v>0</v>
          </cell>
          <cell r="M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C115" t="str">
            <v/>
          </cell>
          <cell r="F115">
            <v>0</v>
          </cell>
          <cell r="K115">
            <v>0</v>
          </cell>
          <cell r="L115">
            <v>0</v>
          </cell>
          <cell r="M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C116" t="str">
            <v/>
          </cell>
          <cell r="F116">
            <v>0</v>
          </cell>
          <cell r="K116">
            <v>0</v>
          </cell>
          <cell r="L116">
            <v>0</v>
          </cell>
          <cell r="M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C117" t="str">
            <v/>
          </cell>
          <cell r="F117">
            <v>0</v>
          </cell>
          <cell r="K117">
            <v>0</v>
          </cell>
          <cell r="L117">
            <v>0</v>
          </cell>
          <cell r="M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C118" t="str">
            <v/>
          </cell>
          <cell r="F118">
            <v>0</v>
          </cell>
          <cell r="K118">
            <v>0</v>
          </cell>
          <cell r="L118">
            <v>0</v>
          </cell>
          <cell r="M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C119" t="str">
            <v/>
          </cell>
          <cell r="F119">
            <v>0</v>
          </cell>
          <cell r="K119">
            <v>0</v>
          </cell>
          <cell r="L119">
            <v>0</v>
          </cell>
          <cell r="M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C120" t="str">
            <v/>
          </cell>
          <cell r="F120">
            <v>0</v>
          </cell>
          <cell r="K120">
            <v>0</v>
          </cell>
          <cell r="L120">
            <v>0</v>
          </cell>
          <cell r="M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C121" t="str">
            <v/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 t="str">
            <v/>
          </cell>
          <cell r="F122">
            <v>0</v>
          </cell>
          <cell r="K122">
            <v>0</v>
          </cell>
          <cell r="L122">
            <v>0</v>
          </cell>
          <cell r="M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 t="str">
            <v/>
          </cell>
          <cell r="F123">
            <v>0</v>
          </cell>
          <cell r="K123">
            <v>0</v>
          </cell>
          <cell r="L123">
            <v>0</v>
          </cell>
          <cell r="M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 t="str">
            <v/>
          </cell>
          <cell r="F124">
            <v>0</v>
          </cell>
          <cell r="K124">
            <v>0</v>
          </cell>
          <cell r="L124">
            <v>0</v>
          </cell>
          <cell r="M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 t="str">
            <v/>
          </cell>
          <cell r="F125">
            <v>0</v>
          </cell>
          <cell r="K125">
            <v>0</v>
          </cell>
          <cell r="L125">
            <v>0</v>
          </cell>
          <cell r="M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C126" t="str">
            <v/>
          </cell>
          <cell r="F126">
            <v>0</v>
          </cell>
          <cell r="K126">
            <v>0</v>
          </cell>
          <cell r="L126">
            <v>0</v>
          </cell>
          <cell r="M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C127" t="str">
            <v/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C128" t="str">
            <v/>
          </cell>
          <cell r="F128">
            <v>0</v>
          </cell>
          <cell r="K128">
            <v>0</v>
          </cell>
          <cell r="L128">
            <v>0</v>
          </cell>
          <cell r="M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C129" t="str">
            <v/>
          </cell>
          <cell r="F129">
            <v>0</v>
          </cell>
          <cell r="K129">
            <v>0</v>
          </cell>
          <cell r="L129">
            <v>0</v>
          </cell>
          <cell r="M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C130" t="str">
            <v/>
          </cell>
          <cell r="F130">
            <v>0</v>
          </cell>
          <cell r="K130">
            <v>0</v>
          </cell>
          <cell r="L130">
            <v>0</v>
          </cell>
          <cell r="M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C131" t="str">
            <v/>
          </cell>
          <cell r="F131">
            <v>0</v>
          </cell>
          <cell r="K131">
            <v>0</v>
          </cell>
          <cell r="L131">
            <v>0</v>
          </cell>
          <cell r="M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C132" t="str">
            <v/>
          </cell>
          <cell r="F132">
            <v>0</v>
          </cell>
          <cell r="K132">
            <v>0</v>
          </cell>
          <cell r="L132">
            <v>0</v>
          </cell>
          <cell r="M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C133" t="str">
            <v/>
          </cell>
          <cell r="F133">
            <v>0</v>
          </cell>
          <cell r="K133">
            <v>0</v>
          </cell>
          <cell r="L133">
            <v>0</v>
          </cell>
          <cell r="M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C134" t="str">
            <v/>
          </cell>
          <cell r="F134">
            <v>0</v>
          </cell>
          <cell r="K134">
            <v>0</v>
          </cell>
          <cell r="L134">
            <v>0</v>
          </cell>
          <cell r="M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C135" t="str">
            <v/>
          </cell>
          <cell r="F135">
            <v>0</v>
          </cell>
          <cell r="K135">
            <v>0</v>
          </cell>
          <cell r="L135">
            <v>0</v>
          </cell>
          <cell r="M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C136" t="str">
            <v/>
          </cell>
          <cell r="F136">
            <v>0</v>
          </cell>
          <cell r="K136">
            <v>0</v>
          </cell>
          <cell r="L136">
            <v>0</v>
          </cell>
          <cell r="M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 t="str">
            <v/>
          </cell>
          <cell r="F137">
            <v>0</v>
          </cell>
          <cell r="K137">
            <v>0</v>
          </cell>
          <cell r="L137">
            <v>0</v>
          </cell>
          <cell r="M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 t="str">
            <v/>
          </cell>
          <cell r="F138">
            <v>0</v>
          </cell>
          <cell r="K138">
            <v>0</v>
          </cell>
          <cell r="L138">
            <v>0</v>
          </cell>
          <cell r="M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 t="str">
            <v/>
          </cell>
          <cell r="F139">
            <v>0</v>
          </cell>
          <cell r="K139">
            <v>0</v>
          </cell>
          <cell r="L139">
            <v>0</v>
          </cell>
          <cell r="M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 t="str">
            <v/>
          </cell>
          <cell r="F140">
            <v>0</v>
          </cell>
          <cell r="K140">
            <v>0</v>
          </cell>
          <cell r="L140">
            <v>0</v>
          </cell>
          <cell r="M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C141" t="str">
            <v/>
          </cell>
          <cell r="F141">
            <v>0</v>
          </cell>
          <cell r="K141">
            <v>0</v>
          </cell>
          <cell r="L141">
            <v>0</v>
          </cell>
          <cell r="M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 t="str">
            <v/>
          </cell>
          <cell r="F142">
            <v>0</v>
          </cell>
          <cell r="K142">
            <v>0</v>
          </cell>
          <cell r="L142">
            <v>0</v>
          </cell>
          <cell r="M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C143" t="str">
            <v/>
          </cell>
          <cell r="F143">
            <v>0</v>
          </cell>
          <cell r="K143">
            <v>0</v>
          </cell>
          <cell r="L143">
            <v>0</v>
          </cell>
          <cell r="M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C144" t="str">
            <v/>
          </cell>
          <cell r="F144">
            <v>0</v>
          </cell>
          <cell r="K144">
            <v>0</v>
          </cell>
          <cell r="L144">
            <v>0</v>
          </cell>
          <cell r="M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C145" t="str">
            <v/>
          </cell>
          <cell r="F145">
            <v>0</v>
          </cell>
          <cell r="K145">
            <v>0</v>
          </cell>
          <cell r="L145">
            <v>0</v>
          </cell>
          <cell r="M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 t="str">
            <v/>
          </cell>
          <cell r="F146">
            <v>0</v>
          </cell>
          <cell r="K146">
            <v>0</v>
          </cell>
          <cell r="L146">
            <v>0</v>
          </cell>
          <cell r="M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C147" t="str">
            <v/>
          </cell>
          <cell r="F147">
            <v>0</v>
          </cell>
          <cell r="K147">
            <v>0</v>
          </cell>
          <cell r="L147">
            <v>0</v>
          </cell>
          <cell r="M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C148" t="str">
            <v/>
          </cell>
          <cell r="F148">
            <v>0</v>
          </cell>
          <cell r="K148">
            <v>0</v>
          </cell>
          <cell r="L148">
            <v>0</v>
          </cell>
          <cell r="M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C149" t="str">
            <v/>
          </cell>
          <cell r="F149">
            <v>0</v>
          </cell>
          <cell r="K149">
            <v>0</v>
          </cell>
          <cell r="L149">
            <v>0</v>
          </cell>
          <cell r="M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C150" t="str">
            <v/>
          </cell>
          <cell r="F150">
            <v>0</v>
          </cell>
          <cell r="K150">
            <v>0</v>
          </cell>
          <cell r="L150">
            <v>0</v>
          </cell>
          <cell r="M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C151" t="str">
            <v/>
          </cell>
          <cell r="F151">
            <v>0</v>
          </cell>
          <cell r="K151">
            <v>0</v>
          </cell>
          <cell r="L151">
            <v>0</v>
          </cell>
          <cell r="M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 t="str">
            <v/>
          </cell>
          <cell r="F152">
            <v>0</v>
          </cell>
          <cell r="K152">
            <v>0</v>
          </cell>
          <cell r="L152">
            <v>0</v>
          </cell>
          <cell r="M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 t="str">
            <v/>
          </cell>
          <cell r="F153">
            <v>0</v>
          </cell>
          <cell r="K153">
            <v>0</v>
          </cell>
          <cell r="L153">
            <v>0</v>
          </cell>
          <cell r="M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 t="str">
            <v/>
          </cell>
          <cell r="F154">
            <v>0</v>
          </cell>
          <cell r="K154">
            <v>0</v>
          </cell>
          <cell r="L154">
            <v>0</v>
          </cell>
          <cell r="M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 t="str">
            <v/>
          </cell>
          <cell r="F155">
            <v>0</v>
          </cell>
          <cell r="K155">
            <v>0</v>
          </cell>
          <cell r="L155">
            <v>0</v>
          </cell>
          <cell r="M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C156" t="str">
            <v/>
          </cell>
          <cell r="F156">
            <v>0</v>
          </cell>
          <cell r="K156">
            <v>0</v>
          </cell>
          <cell r="L156">
            <v>0</v>
          </cell>
          <cell r="M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C157" t="str">
            <v/>
          </cell>
          <cell r="F157">
            <v>0</v>
          </cell>
          <cell r="K157">
            <v>0</v>
          </cell>
          <cell r="L157">
            <v>0</v>
          </cell>
          <cell r="M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C158" t="str">
            <v/>
          </cell>
          <cell r="F158">
            <v>0</v>
          </cell>
          <cell r="K158">
            <v>0</v>
          </cell>
          <cell r="L158">
            <v>0</v>
          </cell>
          <cell r="M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C159" t="str">
            <v/>
          </cell>
          <cell r="F159">
            <v>0</v>
          </cell>
          <cell r="K159">
            <v>0</v>
          </cell>
          <cell r="L159">
            <v>0</v>
          </cell>
          <cell r="M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 t="str">
            <v/>
          </cell>
          <cell r="F160">
            <v>0</v>
          </cell>
          <cell r="K160">
            <v>0</v>
          </cell>
          <cell r="L160">
            <v>0</v>
          </cell>
          <cell r="M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C161" t="str">
            <v/>
          </cell>
          <cell r="F161">
            <v>0</v>
          </cell>
          <cell r="K161">
            <v>0</v>
          </cell>
          <cell r="L161">
            <v>0</v>
          </cell>
          <cell r="M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C162" t="str">
            <v/>
          </cell>
          <cell r="F162">
            <v>0</v>
          </cell>
          <cell r="K162">
            <v>0</v>
          </cell>
          <cell r="L162">
            <v>0</v>
          </cell>
          <cell r="M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 t="str">
            <v/>
          </cell>
          <cell r="F163">
            <v>0</v>
          </cell>
          <cell r="K163">
            <v>0</v>
          </cell>
          <cell r="L163">
            <v>0</v>
          </cell>
          <cell r="M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C164" t="str">
            <v/>
          </cell>
          <cell r="F164">
            <v>0</v>
          </cell>
          <cell r="K164">
            <v>0</v>
          </cell>
          <cell r="L164">
            <v>0</v>
          </cell>
          <cell r="M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C165" t="str">
            <v/>
          </cell>
          <cell r="F165">
            <v>0</v>
          </cell>
          <cell r="K165">
            <v>0</v>
          </cell>
          <cell r="L165">
            <v>0</v>
          </cell>
          <cell r="M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C166" t="str">
            <v/>
          </cell>
          <cell r="F166">
            <v>0</v>
          </cell>
          <cell r="K166">
            <v>0</v>
          </cell>
          <cell r="L166">
            <v>0</v>
          </cell>
          <cell r="M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 t="str">
            <v/>
          </cell>
          <cell r="F167">
            <v>0</v>
          </cell>
          <cell r="K167">
            <v>0</v>
          </cell>
          <cell r="L167">
            <v>0</v>
          </cell>
          <cell r="M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 t="str">
            <v/>
          </cell>
          <cell r="F168">
            <v>0</v>
          </cell>
          <cell r="K168">
            <v>0</v>
          </cell>
          <cell r="L168">
            <v>0</v>
          </cell>
          <cell r="M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 t="str">
            <v/>
          </cell>
          <cell r="F169">
            <v>0</v>
          </cell>
          <cell r="K169">
            <v>0</v>
          </cell>
          <cell r="L169">
            <v>0</v>
          </cell>
          <cell r="M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 t="str">
            <v/>
          </cell>
          <cell r="F170">
            <v>0</v>
          </cell>
          <cell r="K170">
            <v>0</v>
          </cell>
          <cell r="L170">
            <v>0</v>
          </cell>
          <cell r="M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C171" t="str">
            <v/>
          </cell>
          <cell r="F171">
            <v>0</v>
          </cell>
          <cell r="K171">
            <v>0</v>
          </cell>
          <cell r="L171">
            <v>0</v>
          </cell>
          <cell r="M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C172" t="str">
            <v/>
          </cell>
          <cell r="F172">
            <v>0</v>
          </cell>
          <cell r="K172">
            <v>0</v>
          </cell>
          <cell r="L172">
            <v>0</v>
          </cell>
          <cell r="M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C173" t="str">
            <v/>
          </cell>
          <cell r="F173">
            <v>0</v>
          </cell>
          <cell r="K173">
            <v>0</v>
          </cell>
          <cell r="L173">
            <v>0</v>
          </cell>
          <cell r="M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C174" t="str">
            <v/>
          </cell>
          <cell r="F174">
            <v>0</v>
          </cell>
          <cell r="K174">
            <v>0</v>
          </cell>
          <cell r="L174">
            <v>0</v>
          </cell>
          <cell r="M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C175" t="str">
            <v/>
          </cell>
          <cell r="F175">
            <v>0</v>
          </cell>
          <cell r="K175">
            <v>0</v>
          </cell>
          <cell r="L175">
            <v>0</v>
          </cell>
          <cell r="M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C176" t="str">
            <v/>
          </cell>
          <cell r="F176">
            <v>0</v>
          </cell>
          <cell r="K176">
            <v>0</v>
          </cell>
          <cell r="L176">
            <v>0</v>
          </cell>
          <cell r="M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C177" t="str">
            <v/>
          </cell>
          <cell r="F177">
            <v>0</v>
          </cell>
          <cell r="K177">
            <v>0</v>
          </cell>
          <cell r="L177">
            <v>0</v>
          </cell>
          <cell r="M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C178" t="str">
            <v/>
          </cell>
          <cell r="F178">
            <v>0</v>
          </cell>
          <cell r="K178">
            <v>0</v>
          </cell>
          <cell r="L178">
            <v>0</v>
          </cell>
          <cell r="M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C179" t="str">
            <v/>
          </cell>
          <cell r="F179">
            <v>0</v>
          </cell>
          <cell r="K179">
            <v>0</v>
          </cell>
          <cell r="L179">
            <v>0</v>
          </cell>
          <cell r="M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C180" t="str">
            <v/>
          </cell>
          <cell r="F180">
            <v>0</v>
          </cell>
          <cell r="K180">
            <v>0</v>
          </cell>
          <cell r="L180">
            <v>0</v>
          </cell>
          <cell r="M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C181" t="str">
            <v/>
          </cell>
          <cell r="F181">
            <v>0</v>
          </cell>
          <cell r="K181">
            <v>0</v>
          </cell>
          <cell r="L181">
            <v>0</v>
          </cell>
          <cell r="M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C182" t="str">
            <v/>
          </cell>
          <cell r="F182">
            <v>0</v>
          </cell>
          <cell r="K182">
            <v>0</v>
          </cell>
          <cell r="L182">
            <v>0</v>
          </cell>
          <cell r="M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C183" t="str">
            <v/>
          </cell>
          <cell r="F183">
            <v>0</v>
          </cell>
          <cell r="K183">
            <v>0</v>
          </cell>
          <cell r="L183">
            <v>0</v>
          </cell>
          <cell r="M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C184" t="str">
            <v/>
          </cell>
          <cell r="F184">
            <v>0</v>
          </cell>
          <cell r="K184">
            <v>0</v>
          </cell>
          <cell r="L184">
            <v>0</v>
          </cell>
          <cell r="M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C185" t="str">
            <v/>
          </cell>
          <cell r="F185">
            <v>0</v>
          </cell>
          <cell r="K185">
            <v>0</v>
          </cell>
          <cell r="L185">
            <v>0</v>
          </cell>
          <cell r="M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 t="str">
            <v/>
          </cell>
          <cell r="F186">
            <v>0</v>
          </cell>
          <cell r="K186">
            <v>0</v>
          </cell>
          <cell r="L186">
            <v>0</v>
          </cell>
          <cell r="M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C187" t="str">
            <v/>
          </cell>
          <cell r="F187">
            <v>0</v>
          </cell>
          <cell r="K187">
            <v>0</v>
          </cell>
          <cell r="L187">
            <v>0</v>
          </cell>
          <cell r="M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C188" t="str">
            <v/>
          </cell>
          <cell r="F188">
            <v>0</v>
          </cell>
          <cell r="K188">
            <v>0</v>
          </cell>
          <cell r="L188">
            <v>0</v>
          </cell>
          <cell r="M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C189" t="str">
            <v/>
          </cell>
          <cell r="F189">
            <v>0</v>
          </cell>
          <cell r="K189">
            <v>0</v>
          </cell>
          <cell r="L189">
            <v>0</v>
          </cell>
          <cell r="M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C190" t="str">
            <v/>
          </cell>
          <cell r="F190">
            <v>0</v>
          </cell>
          <cell r="K190">
            <v>0</v>
          </cell>
          <cell r="L190">
            <v>0</v>
          </cell>
          <cell r="M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C191" t="str">
            <v/>
          </cell>
          <cell r="F191">
            <v>0</v>
          </cell>
          <cell r="K191">
            <v>0</v>
          </cell>
          <cell r="L191">
            <v>0</v>
          </cell>
          <cell r="M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C192" t="str">
            <v/>
          </cell>
          <cell r="F192">
            <v>0</v>
          </cell>
          <cell r="K192">
            <v>0</v>
          </cell>
          <cell r="L192">
            <v>0</v>
          </cell>
          <cell r="M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C193" t="str">
            <v/>
          </cell>
          <cell r="F193">
            <v>0</v>
          </cell>
          <cell r="K193">
            <v>0</v>
          </cell>
          <cell r="L193">
            <v>0</v>
          </cell>
          <cell r="M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C194" t="str">
            <v/>
          </cell>
          <cell r="F194">
            <v>0</v>
          </cell>
          <cell r="K194">
            <v>0</v>
          </cell>
          <cell r="L194">
            <v>0</v>
          </cell>
          <cell r="M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C195" t="str">
            <v/>
          </cell>
          <cell r="F195">
            <v>0</v>
          </cell>
          <cell r="K195">
            <v>0</v>
          </cell>
          <cell r="L195">
            <v>0</v>
          </cell>
          <cell r="M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C196" t="str">
            <v/>
          </cell>
          <cell r="F196">
            <v>0</v>
          </cell>
          <cell r="K196">
            <v>0</v>
          </cell>
          <cell r="L196">
            <v>0</v>
          </cell>
          <cell r="M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C197" t="str">
            <v/>
          </cell>
          <cell r="F197">
            <v>0</v>
          </cell>
          <cell r="K197">
            <v>0</v>
          </cell>
          <cell r="L197">
            <v>0</v>
          </cell>
          <cell r="M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C198" t="str">
            <v/>
          </cell>
          <cell r="F198">
            <v>0</v>
          </cell>
          <cell r="K198">
            <v>0</v>
          </cell>
          <cell r="L198">
            <v>0</v>
          </cell>
          <cell r="M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C199" t="str">
            <v/>
          </cell>
          <cell r="F199">
            <v>0</v>
          </cell>
          <cell r="K199">
            <v>0</v>
          </cell>
          <cell r="L199">
            <v>0</v>
          </cell>
          <cell r="M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C200" t="str">
            <v/>
          </cell>
          <cell r="F200">
            <v>0</v>
          </cell>
          <cell r="K200">
            <v>0</v>
          </cell>
          <cell r="L200">
            <v>0</v>
          </cell>
          <cell r="M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C201" t="str">
            <v/>
          </cell>
          <cell r="F201">
            <v>0</v>
          </cell>
          <cell r="K201">
            <v>0</v>
          </cell>
          <cell r="L201">
            <v>0</v>
          </cell>
          <cell r="M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C202" t="str">
            <v/>
          </cell>
          <cell r="F202">
            <v>0</v>
          </cell>
          <cell r="K202">
            <v>0</v>
          </cell>
          <cell r="L202">
            <v>0</v>
          </cell>
          <cell r="M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C203" t="str">
            <v/>
          </cell>
          <cell r="F203">
            <v>0</v>
          </cell>
          <cell r="K203">
            <v>0</v>
          </cell>
          <cell r="L203">
            <v>0</v>
          </cell>
          <cell r="M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C204" t="str">
            <v/>
          </cell>
          <cell r="F204">
            <v>0</v>
          </cell>
          <cell r="K204">
            <v>0</v>
          </cell>
          <cell r="L204">
            <v>0</v>
          </cell>
          <cell r="M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C205" t="str">
            <v/>
          </cell>
          <cell r="F205">
            <v>0</v>
          </cell>
          <cell r="K205">
            <v>0</v>
          </cell>
          <cell r="L205">
            <v>0</v>
          </cell>
          <cell r="M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C206" t="str">
            <v/>
          </cell>
          <cell r="F206">
            <v>0</v>
          </cell>
          <cell r="K206">
            <v>0</v>
          </cell>
          <cell r="L206">
            <v>0</v>
          </cell>
          <cell r="M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C207" t="str">
            <v/>
          </cell>
          <cell r="F207">
            <v>0</v>
          </cell>
          <cell r="K207">
            <v>0</v>
          </cell>
          <cell r="L207">
            <v>0</v>
          </cell>
          <cell r="M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C208" t="str">
            <v/>
          </cell>
          <cell r="F208">
            <v>0</v>
          </cell>
          <cell r="K208">
            <v>0</v>
          </cell>
          <cell r="L208">
            <v>0</v>
          </cell>
          <cell r="M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C209" t="str">
            <v/>
          </cell>
          <cell r="F209">
            <v>0</v>
          </cell>
          <cell r="K209">
            <v>0</v>
          </cell>
          <cell r="L209">
            <v>0</v>
          </cell>
          <cell r="M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C210" t="str">
            <v/>
          </cell>
          <cell r="F210">
            <v>0</v>
          </cell>
          <cell r="K210">
            <v>0</v>
          </cell>
          <cell r="L210">
            <v>0</v>
          </cell>
          <cell r="M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C211" t="str">
            <v/>
          </cell>
          <cell r="F211">
            <v>0</v>
          </cell>
          <cell r="K211">
            <v>0</v>
          </cell>
          <cell r="L211">
            <v>0</v>
          </cell>
          <cell r="M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C212" t="str">
            <v/>
          </cell>
          <cell r="F212">
            <v>0</v>
          </cell>
          <cell r="K212">
            <v>0</v>
          </cell>
          <cell r="L212">
            <v>0</v>
          </cell>
          <cell r="M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C213" t="str">
            <v/>
          </cell>
          <cell r="F213">
            <v>0</v>
          </cell>
          <cell r="K213">
            <v>0</v>
          </cell>
          <cell r="L213">
            <v>0</v>
          </cell>
          <cell r="M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C214" t="str">
            <v/>
          </cell>
          <cell r="F214">
            <v>0</v>
          </cell>
          <cell r="K214">
            <v>0</v>
          </cell>
          <cell r="L214">
            <v>0</v>
          </cell>
          <cell r="M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C215" t="str">
            <v/>
          </cell>
          <cell r="F215">
            <v>0</v>
          </cell>
          <cell r="K215">
            <v>0</v>
          </cell>
          <cell r="L215">
            <v>0</v>
          </cell>
          <cell r="M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C216" t="str">
            <v/>
          </cell>
          <cell r="F216">
            <v>0</v>
          </cell>
          <cell r="K216">
            <v>0</v>
          </cell>
          <cell r="L216">
            <v>0</v>
          </cell>
          <cell r="M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C217" t="str">
            <v/>
          </cell>
          <cell r="F217">
            <v>0</v>
          </cell>
          <cell r="K217">
            <v>0</v>
          </cell>
          <cell r="L217">
            <v>0</v>
          </cell>
          <cell r="M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C218" t="str">
            <v/>
          </cell>
          <cell r="F218">
            <v>0</v>
          </cell>
          <cell r="K218">
            <v>0</v>
          </cell>
          <cell r="L218">
            <v>0</v>
          </cell>
          <cell r="M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C219" t="str">
            <v/>
          </cell>
          <cell r="F219">
            <v>0</v>
          </cell>
          <cell r="K219">
            <v>0</v>
          </cell>
          <cell r="L219">
            <v>0</v>
          </cell>
          <cell r="M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C220" t="str">
            <v/>
          </cell>
          <cell r="F220">
            <v>0</v>
          </cell>
          <cell r="K220">
            <v>0</v>
          </cell>
          <cell r="L220">
            <v>0</v>
          </cell>
          <cell r="M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C221" t="str">
            <v/>
          </cell>
          <cell r="F221">
            <v>0</v>
          </cell>
          <cell r="K221">
            <v>0</v>
          </cell>
          <cell r="L221">
            <v>0</v>
          </cell>
          <cell r="M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C222" t="str">
            <v/>
          </cell>
          <cell r="F222">
            <v>0</v>
          </cell>
          <cell r="K222">
            <v>0</v>
          </cell>
          <cell r="L222">
            <v>0</v>
          </cell>
          <cell r="M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C223" t="str">
            <v/>
          </cell>
          <cell r="F223">
            <v>0</v>
          </cell>
          <cell r="K223">
            <v>0</v>
          </cell>
          <cell r="L223">
            <v>0</v>
          </cell>
          <cell r="M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C224" t="str">
            <v/>
          </cell>
          <cell r="F224">
            <v>0</v>
          </cell>
          <cell r="K224">
            <v>0</v>
          </cell>
          <cell r="L224">
            <v>0</v>
          </cell>
          <cell r="M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C225" t="str">
            <v/>
          </cell>
          <cell r="F225">
            <v>0</v>
          </cell>
          <cell r="K225">
            <v>0</v>
          </cell>
          <cell r="L225">
            <v>0</v>
          </cell>
          <cell r="M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C226" t="str">
            <v/>
          </cell>
          <cell r="F226">
            <v>0</v>
          </cell>
          <cell r="K226">
            <v>0</v>
          </cell>
          <cell r="L226">
            <v>0</v>
          </cell>
          <cell r="M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C227" t="str">
            <v/>
          </cell>
          <cell r="F227">
            <v>0</v>
          </cell>
          <cell r="K227">
            <v>0</v>
          </cell>
          <cell r="L227">
            <v>0</v>
          </cell>
          <cell r="M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C228" t="str">
            <v/>
          </cell>
          <cell r="F228">
            <v>0</v>
          </cell>
          <cell r="K228">
            <v>0</v>
          </cell>
          <cell r="L228">
            <v>0</v>
          </cell>
          <cell r="M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C229" t="str">
            <v/>
          </cell>
          <cell r="F229">
            <v>0</v>
          </cell>
          <cell r="K229">
            <v>0</v>
          </cell>
          <cell r="L229">
            <v>0</v>
          </cell>
          <cell r="M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C230" t="str">
            <v/>
          </cell>
          <cell r="F230">
            <v>0</v>
          </cell>
          <cell r="K230">
            <v>0</v>
          </cell>
          <cell r="L230">
            <v>0</v>
          </cell>
          <cell r="M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C231" t="str">
            <v/>
          </cell>
          <cell r="F231">
            <v>0</v>
          </cell>
          <cell r="K231">
            <v>0</v>
          </cell>
          <cell r="L231">
            <v>0</v>
          </cell>
          <cell r="M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C232" t="str">
            <v/>
          </cell>
          <cell r="F232">
            <v>0</v>
          </cell>
          <cell r="K232">
            <v>0</v>
          </cell>
          <cell r="L232">
            <v>0</v>
          </cell>
          <cell r="M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C233" t="str">
            <v/>
          </cell>
          <cell r="F233">
            <v>0</v>
          </cell>
          <cell r="K233">
            <v>0</v>
          </cell>
          <cell r="L233">
            <v>0</v>
          </cell>
          <cell r="M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C234" t="str">
            <v/>
          </cell>
          <cell r="F234">
            <v>0</v>
          </cell>
          <cell r="K234">
            <v>0</v>
          </cell>
          <cell r="L234">
            <v>0</v>
          </cell>
          <cell r="M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C235" t="str">
            <v/>
          </cell>
          <cell r="F235">
            <v>0</v>
          </cell>
          <cell r="K235">
            <v>0</v>
          </cell>
          <cell r="L235">
            <v>0</v>
          </cell>
          <cell r="M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C236" t="str">
            <v/>
          </cell>
          <cell r="F236">
            <v>0</v>
          </cell>
          <cell r="K236">
            <v>0</v>
          </cell>
          <cell r="L236">
            <v>0</v>
          </cell>
          <cell r="M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C237" t="str">
            <v/>
          </cell>
          <cell r="F237">
            <v>0</v>
          </cell>
          <cell r="K237">
            <v>0</v>
          </cell>
          <cell r="L237">
            <v>0</v>
          </cell>
          <cell r="M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C238" t="str">
            <v/>
          </cell>
          <cell r="F238">
            <v>0</v>
          </cell>
          <cell r="K238">
            <v>0</v>
          </cell>
          <cell r="L238">
            <v>0</v>
          </cell>
          <cell r="M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C239" t="str">
            <v/>
          </cell>
          <cell r="F239">
            <v>0</v>
          </cell>
          <cell r="K239">
            <v>0</v>
          </cell>
          <cell r="L239">
            <v>0</v>
          </cell>
          <cell r="M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C240" t="str">
            <v/>
          </cell>
          <cell r="F240">
            <v>0</v>
          </cell>
          <cell r="K240">
            <v>0</v>
          </cell>
          <cell r="L240">
            <v>0</v>
          </cell>
          <cell r="M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C241" t="str">
            <v/>
          </cell>
          <cell r="F241">
            <v>0</v>
          </cell>
          <cell r="K241">
            <v>0</v>
          </cell>
          <cell r="L241">
            <v>0</v>
          </cell>
          <cell r="M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C242" t="str">
            <v/>
          </cell>
          <cell r="F242">
            <v>0</v>
          </cell>
          <cell r="K242">
            <v>0</v>
          </cell>
          <cell r="L242">
            <v>0</v>
          </cell>
          <cell r="M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C243" t="str">
            <v/>
          </cell>
          <cell r="F243">
            <v>0</v>
          </cell>
          <cell r="K243">
            <v>0</v>
          </cell>
          <cell r="L243">
            <v>0</v>
          </cell>
          <cell r="M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C244" t="str">
            <v/>
          </cell>
          <cell r="F244">
            <v>0</v>
          </cell>
          <cell r="K244">
            <v>0</v>
          </cell>
          <cell r="L244">
            <v>0</v>
          </cell>
          <cell r="M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C245" t="str">
            <v/>
          </cell>
          <cell r="F245">
            <v>0</v>
          </cell>
          <cell r="K245">
            <v>0</v>
          </cell>
          <cell r="L245">
            <v>0</v>
          </cell>
          <cell r="M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C246" t="str">
            <v/>
          </cell>
          <cell r="F246">
            <v>0</v>
          </cell>
          <cell r="K246">
            <v>0</v>
          </cell>
          <cell r="L246">
            <v>0</v>
          </cell>
          <cell r="M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C247" t="str">
            <v/>
          </cell>
          <cell r="F247">
            <v>0</v>
          </cell>
          <cell r="K247">
            <v>0</v>
          </cell>
          <cell r="L247">
            <v>0</v>
          </cell>
          <cell r="M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C248" t="str">
            <v/>
          </cell>
          <cell r="F248">
            <v>0</v>
          </cell>
          <cell r="K248">
            <v>0</v>
          </cell>
          <cell r="L248">
            <v>0</v>
          </cell>
          <cell r="M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C249" t="str">
            <v/>
          </cell>
          <cell r="F249">
            <v>0</v>
          </cell>
          <cell r="K249">
            <v>0</v>
          </cell>
          <cell r="L249">
            <v>0</v>
          </cell>
          <cell r="M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C250" t="str">
            <v/>
          </cell>
          <cell r="F250">
            <v>0</v>
          </cell>
          <cell r="K250">
            <v>0</v>
          </cell>
          <cell r="L250">
            <v>0</v>
          </cell>
          <cell r="M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C251" t="str">
            <v/>
          </cell>
          <cell r="F251">
            <v>0</v>
          </cell>
          <cell r="K251">
            <v>0</v>
          </cell>
          <cell r="L251">
            <v>0</v>
          </cell>
          <cell r="M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C252" t="str">
            <v/>
          </cell>
          <cell r="F252">
            <v>0</v>
          </cell>
          <cell r="K252">
            <v>0</v>
          </cell>
          <cell r="L252">
            <v>0</v>
          </cell>
          <cell r="M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C253" t="str">
            <v/>
          </cell>
          <cell r="F253">
            <v>0</v>
          </cell>
          <cell r="K253">
            <v>0</v>
          </cell>
          <cell r="L253">
            <v>0</v>
          </cell>
          <cell r="M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C254" t="str">
            <v/>
          </cell>
          <cell r="F254">
            <v>0</v>
          </cell>
          <cell r="K254">
            <v>0</v>
          </cell>
          <cell r="L254">
            <v>0</v>
          </cell>
          <cell r="M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C255" t="str">
            <v/>
          </cell>
          <cell r="F255">
            <v>0</v>
          </cell>
          <cell r="K255">
            <v>0</v>
          </cell>
          <cell r="L255">
            <v>0</v>
          </cell>
          <cell r="M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Q55"/>
  <sheetViews>
    <sheetView view="pageBreakPreview" zoomScaleSheetLayoutView="100" workbookViewId="0">
      <pane xSplit="1" ySplit="4" topLeftCell="B5" activePane="bottomRight" state="frozen"/>
      <selection activeCell="B38" sqref="B38"/>
      <selection pane="topRight" activeCell="B38" sqref="B38"/>
      <selection pane="bottomLeft" activeCell="B38" sqref="B38"/>
      <selection pane="bottomRight" activeCell="B38" sqref="B38"/>
    </sheetView>
  </sheetViews>
  <sheetFormatPr defaultColWidth="9.140625" defaultRowHeight="12" x14ac:dyDescent="0.2"/>
  <cols>
    <col min="1" max="1" width="70.28515625" style="29" bestFit="1" customWidth="1"/>
    <col min="2" max="2" width="70.28515625" style="29" customWidth="1"/>
    <col min="3" max="4" width="6.85546875" style="29" bestFit="1" customWidth="1"/>
    <col min="5" max="9" width="6.85546875" style="29" customWidth="1"/>
    <col min="10" max="27" width="7.5703125" style="17" bestFit="1" customWidth="1"/>
    <col min="28" max="40" width="7.5703125" style="29" bestFit="1" customWidth="1"/>
    <col min="41" max="16384" width="9.140625" style="29"/>
  </cols>
  <sheetData>
    <row r="2" spans="1:43" s="17" customFormat="1" ht="12.75" thickBot="1" x14ac:dyDescent="0.25">
      <c r="A2" s="18" t="s">
        <v>126</v>
      </c>
      <c r="B2" s="18" t="s">
        <v>94</v>
      </c>
    </row>
    <row r="3" spans="1:43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144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  <c r="AM3" s="47" t="s">
        <v>125</v>
      </c>
      <c r="AN3" s="47" t="s">
        <v>125</v>
      </c>
    </row>
    <row r="4" spans="1:43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</row>
    <row r="5" spans="1:43" s="19" customFormat="1" ht="12.95" customHeight="1" x14ac:dyDescent="0.2">
      <c r="A5" s="20" t="s">
        <v>78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43" s="20" customFormat="1" ht="12.95" customHeight="1" x14ac:dyDescent="0.2">
      <c r="A6" s="21" t="s">
        <v>0</v>
      </c>
      <c r="B6" s="22">
        <v>27781.609895438083</v>
      </c>
      <c r="C6" s="22">
        <v>26556.251952188679</v>
      </c>
      <c r="D6" s="22">
        <v>26726.92700551969</v>
      </c>
      <c r="E6" s="22">
        <v>27453.252068326685</v>
      </c>
      <c r="F6" s="22">
        <v>31469.715839254717</v>
      </c>
      <c r="G6" s="22">
        <v>28426.190687157312</v>
      </c>
      <c r="H6" s="22">
        <v>29432.327585544579</v>
      </c>
      <c r="I6" s="22">
        <v>31156.543343427078</v>
      </c>
      <c r="J6" s="63">
        <v>34170.142718837444</v>
      </c>
      <c r="K6" s="63">
        <v>32179.517893844299</v>
      </c>
      <c r="L6" s="63">
        <v>32231.229030984829</v>
      </c>
      <c r="M6" s="63">
        <v>33508.885145518492</v>
      </c>
      <c r="N6" s="63">
        <v>37947.730169409697</v>
      </c>
      <c r="O6" s="63">
        <v>36401.187369982457</v>
      </c>
      <c r="P6" s="63">
        <v>33706.780363949714</v>
      </c>
      <c r="Q6" s="63">
        <v>31633.34720487638</v>
      </c>
      <c r="R6" s="63">
        <v>38917.365969581289</v>
      </c>
      <c r="S6" s="63">
        <v>36898.260506459112</v>
      </c>
      <c r="T6" s="63">
        <v>35155.41737628464</v>
      </c>
      <c r="U6" s="63">
        <v>37339.203778033312</v>
      </c>
      <c r="V6" s="63">
        <v>41189.550589505619</v>
      </c>
      <c r="W6" s="63">
        <v>39860.897465433605</v>
      </c>
      <c r="X6" s="63">
        <v>39264.333917807213</v>
      </c>
      <c r="Y6" s="63">
        <v>42435.16530012415</v>
      </c>
      <c r="Z6" s="63">
        <v>48378.617719690337</v>
      </c>
      <c r="AA6" s="63">
        <v>44347.680024115711</v>
      </c>
      <c r="AB6" s="63">
        <v>42069.450198086422</v>
      </c>
      <c r="AC6" s="63">
        <v>48208.638370866283</v>
      </c>
      <c r="AD6" s="63">
        <v>53995.951064710105</v>
      </c>
      <c r="AE6" s="63">
        <v>49627.990831238545</v>
      </c>
      <c r="AF6" s="63">
        <v>47655.302276844079</v>
      </c>
      <c r="AG6" s="63">
        <v>52428.524056354887</v>
      </c>
      <c r="AH6" s="63">
        <v>59750.795737198125</v>
      </c>
      <c r="AI6" s="63">
        <v>55080.750030848409</v>
      </c>
      <c r="AJ6" s="63">
        <v>54731.590211173752</v>
      </c>
      <c r="AK6" s="63">
        <v>58311.460901050625</v>
      </c>
      <c r="AL6" s="63">
        <v>63157.283127666684</v>
      </c>
      <c r="AM6" s="63">
        <v>62002.550482666338</v>
      </c>
      <c r="AN6" s="63">
        <v>59699.382209701784</v>
      </c>
      <c r="AO6" s="41"/>
      <c r="AQ6" s="41"/>
    </row>
    <row r="7" spans="1:43" s="19" customFormat="1" ht="12.95" customHeight="1" x14ac:dyDescent="0.2">
      <c r="A7" s="23" t="s">
        <v>73</v>
      </c>
      <c r="B7" s="16">
        <v>7991.3646471162165</v>
      </c>
      <c r="C7" s="16">
        <v>6125.1035399021548</v>
      </c>
      <c r="D7" s="16">
        <v>5423.5837948148073</v>
      </c>
      <c r="E7" s="16">
        <v>5917.0165982868402</v>
      </c>
      <c r="F7" s="16">
        <v>8972.0686335157898</v>
      </c>
      <c r="G7" s="16">
        <v>5833.1985163523623</v>
      </c>
      <c r="H7" s="16">
        <v>6099.1552522993816</v>
      </c>
      <c r="I7" s="16">
        <v>7108.6420299945612</v>
      </c>
      <c r="J7" s="64">
        <v>9059.0610643144828</v>
      </c>
      <c r="K7" s="64">
        <v>6874.6543731994616</v>
      </c>
      <c r="L7" s="64">
        <v>6663.3074215197375</v>
      </c>
      <c r="M7" s="64">
        <v>7711.648048314978</v>
      </c>
      <c r="N7" s="64">
        <v>10389.43304849762</v>
      </c>
      <c r="O7" s="64">
        <v>8269.9229167158792</v>
      </c>
      <c r="P7" s="64">
        <v>6828.2031533116733</v>
      </c>
      <c r="Q7" s="64">
        <v>7938.6795892379778</v>
      </c>
      <c r="R7" s="64">
        <v>11306.293667278125</v>
      </c>
      <c r="S7" s="64">
        <v>8735.8678872458113</v>
      </c>
      <c r="T7" s="64">
        <v>6678.9226912541289</v>
      </c>
      <c r="U7" s="64">
        <v>8638.7540498874805</v>
      </c>
      <c r="V7" s="64">
        <v>12412.526546856237</v>
      </c>
      <c r="W7" s="64">
        <v>9164.7519999540418</v>
      </c>
      <c r="X7" s="64">
        <v>7613.0954232812492</v>
      </c>
      <c r="Y7" s="64">
        <v>9888.6910103863211</v>
      </c>
      <c r="Z7" s="64">
        <v>14036.752582471041</v>
      </c>
      <c r="AA7" s="64">
        <v>10685.50166783197</v>
      </c>
      <c r="AB7" s="64">
        <v>8475.1112111979528</v>
      </c>
      <c r="AC7" s="64">
        <v>10887.612864827974</v>
      </c>
      <c r="AD7" s="64">
        <v>15360.926870550724</v>
      </c>
      <c r="AE7" s="64">
        <v>11599.13038389332</v>
      </c>
      <c r="AF7" s="64">
        <v>10012.47671290568</v>
      </c>
      <c r="AG7" s="64">
        <v>13178.180858542555</v>
      </c>
      <c r="AH7" s="64">
        <v>17960.237437287986</v>
      </c>
      <c r="AI7" s="64">
        <v>14039.991753709359</v>
      </c>
      <c r="AJ7" s="64">
        <v>12816.086470131642</v>
      </c>
      <c r="AK7" s="64">
        <v>14733.108225939495</v>
      </c>
      <c r="AL7" s="64">
        <v>18404.37903630059</v>
      </c>
      <c r="AM7" s="64">
        <v>15897.612406637558</v>
      </c>
      <c r="AN7" s="64">
        <v>13404.201093471049</v>
      </c>
    </row>
    <row r="8" spans="1:43" s="19" customFormat="1" ht="12.95" customHeight="1" x14ac:dyDescent="0.2">
      <c r="A8" s="23" t="s">
        <v>8</v>
      </c>
      <c r="B8" s="16">
        <v>6561.1346272721585</v>
      </c>
      <c r="C8" s="16">
        <v>6994.9487877034371</v>
      </c>
      <c r="D8" s="16">
        <v>7453.1435710448031</v>
      </c>
      <c r="E8" s="16">
        <v>7239.0986189742198</v>
      </c>
      <c r="F8" s="16">
        <v>7539.6546123911157</v>
      </c>
      <c r="G8" s="16">
        <v>7698.2710981872769</v>
      </c>
      <c r="H8" s="16">
        <v>8027.8719382761346</v>
      </c>
      <c r="I8" s="16">
        <v>8344.6025996332828</v>
      </c>
      <c r="J8" s="64">
        <v>8671.8437230827803</v>
      </c>
      <c r="K8" s="64">
        <v>8751.1539005252598</v>
      </c>
      <c r="L8" s="64">
        <v>8922.9406787596745</v>
      </c>
      <c r="M8" s="64">
        <v>8816.93657668993</v>
      </c>
      <c r="N8" s="64">
        <v>9321.8087764783249</v>
      </c>
      <c r="O8" s="64">
        <v>9805.8538907587154</v>
      </c>
      <c r="P8" s="64">
        <v>9512.1912655597316</v>
      </c>
      <c r="Q8" s="64">
        <v>8364.5069069389101</v>
      </c>
      <c r="R8" s="64">
        <v>9669.772299304941</v>
      </c>
      <c r="S8" s="64">
        <v>10119.775238707325</v>
      </c>
      <c r="T8" s="64">
        <v>10232.130617252133</v>
      </c>
      <c r="U8" s="64">
        <v>10243.726043693581</v>
      </c>
      <c r="V8" s="64">
        <v>9974.8939100686584</v>
      </c>
      <c r="W8" s="64">
        <v>10706.203394707018</v>
      </c>
      <c r="X8" s="64">
        <v>11254.459521204088</v>
      </c>
      <c r="Y8" s="64">
        <v>11626.335961868514</v>
      </c>
      <c r="Z8" s="64">
        <v>11809.44323762229</v>
      </c>
      <c r="AA8" s="64">
        <v>11320.87595456811</v>
      </c>
      <c r="AB8" s="64">
        <v>11389.284129736043</v>
      </c>
      <c r="AC8" s="64">
        <v>12609.903228709665</v>
      </c>
      <c r="AD8" s="64">
        <v>13316.214379423755</v>
      </c>
      <c r="AE8" s="64">
        <v>12450.961856293405</v>
      </c>
      <c r="AF8" s="64">
        <v>12312.100348608132</v>
      </c>
      <c r="AG8" s="64">
        <v>12574.315171792286</v>
      </c>
      <c r="AH8" s="64">
        <v>13811.439953059842</v>
      </c>
      <c r="AI8" s="64">
        <v>13524.98463182637</v>
      </c>
      <c r="AJ8" s="64">
        <v>13728.091210883995</v>
      </c>
      <c r="AK8" s="64">
        <v>14244.257530950594</v>
      </c>
      <c r="AL8" s="64">
        <v>14866.433848605006</v>
      </c>
      <c r="AM8" s="64">
        <v>15240.262460924663</v>
      </c>
      <c r="AN8" s="64">
        <v>15418.180121378142</v>
      </c>
    </row>
    <row r="9" spans="1:43" s="19" customFormat="1" ht="12.95" customHeight="1" x14ac:dyDescent="0.2">
      <c r="A9" s="23" t="s">
        <v>14</v>
      </c>
      <c r="B9" s="16">
        <v>11460.606260530585</v>
      </c>
      <c r="C9" s="16">
        <v>11605.991050827666</v>
      </c>
      <c r="D9" s="16">
        <v>11848.53888485368</v>
      </c>
      <c r="E9" s="16">
        <v>12266.879580205868</v>
      </c>
      <c r="F9" s="16">
        <v>12989.411465428051</v>
      </c>
      <c r="G9" s="16">
        <v>12761.328170284025</v>
      </c>
      <c r="H9" s="16">
        <v>13059.141089437904</v>
      </c>
      <c r="I9" s="16">
        <v>13406.888063383807</v>
      </c>
      <c r="J9" s="64">
        <v>14087.819692645691</v>
      </c>
      <c r="K9" s="64">
        <v>14006.099110040941</v>
      </c>
      <c r="L9" s="64">
        <v>14154.147191196587</v>
      </c>
      <c r="M9" s="64">
        <v>14548.042055274243</v>
      </c>
      <c r="N9" s="64">
        <v>15752.218380531469</v>
      </c>
      <c r="O9" s="64">
        <v>15659.814667697521</v>
      </c>
      <c r="P9" s="64">
        <v>14746.076461910861</v>
      </c>
      <c r="Q9" s="64">
        <v>13681.889346017811</v>
      </c>
      <c r="R9" s="64">
        <v>15432.187151736547</v>
      </c>
      <c r="S9" s="64">
        <v>15321.76180096303</v>
      </c>
      <c r="T9" s="64">
        <v>15613.136217237599</v>
      </c>
      <c r="U9" s="64">
        <v>15695.393278877031</v>
      </c>
      <c r="V9" s="64">
        <v>16108.287518787689</v>
      </c>
      <c r="W9" s="64">
        <v>16788.40499803334</v>
      </c>
      <c r="X9" s="64">
        <v>17167.222437237084</v>
      </c>
      <c r="Y9" s="64">
        <v>17724.92235335441</v>
      </c>
      <c r="Z9" s="64">
        <v>19303.201393717154</v>
      </c>
      <c r="AA9" s="64">
        <v>19146.941782660477</v>
      </c>
      <c r="AB9" s="64">
        <v>18632.010857385896</v>
      </c>
      <c r="AC9" s="64">
        <v>20717.641711210792</v>
      </c>
      <c r="AD9" s="64">
        <v>21697.829472387442</v>
      </c>
      <c r="AE9" s="64">
        <v>21910.735977230976</v>
      </c>
      <c r="AF9" s="64">
        <v>21558.345080026727</v>
      </c>
      <c r="AG9" s="64">
        <v>22715.387267130813</v>
      </c>
      <c r="AH9" s="64">
        <v>23890.887673359641</v>
      </c>
      <c r="AI9" s="64">
        <v>23368.271598461029</v>
      </c>
      <c r="AJ9" s="64">
        <v>24049.515823191829</v>
      </c>
      <c r="AK9" s="64">
        <v>24606.747611870138</v>
      </c>
      <c r="AL9" s="64">
        <v>25687.49693203664</v>
      </c>
      <c r="AM9" s="64">
        <v>26335.363388426747</v>
      </c>
      <c r="AN9" s="64">
        <v>25949.174742922667</v>
      </c>
    </row>
    <row r="10" spans="1:43" s="19" customFormat="1" ht="12.95" customHeight="1" x14ac:dyDescent="0.2">
      <c r="A10" s="21" t="s">
        <v>29</v>
      </c>
      <c r="B10" s="16"/>
      <c r="C10" s="16"/>
      <c r="D10" s="16"/>
      <c r="E10" s="16"/>
      <c r="F10" s="16"/>
      <c r="G10" s="16"/>
      <c r="H10" s="16"/>
      <c r="I10" s="16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</row>
    <row r="11" spans="1:43" s="19" customFormat="1" ht="12.95" customHeight="1" x14ac:dyDescent="0.2">
      <c r="A11" s="24" t="s">
        <v>30</v>
      </c>
      <c r="B11" s="16">
        <v>1768.5043605191229</v>
      </c>
      <c r="C11" s="16">
        <v>1830.2085737554207</v>
      </c>
      <c r="D11" s="16">
        <v>2001.6607548063973</v>
      </c>
      <c r="E11" s="16">
        <v>2030.25727085976</v>
      </c>
      <c r="F11" s="16">
        <v>1968.5811279197617</v>
      </c>
      <c r="G11" s="16">
        <v>2133.39290233365</v>
      </c>
      <c r="H11" s="16">
        <v>2246.1593055311573</v>
      </c>
      <c r="I11" s="16">
        <v>2296.4106504154297</v>
      </c>
      <c r="J11" s="64">
        <v>2351.4182387944902</v>
      </c>
      <c r="K11" s="64">
        <v>2547.6105100786376</v>
      </c>
      <c r="L11" s="64">
        <v>2490.8337395088283</v>
      </c>
      <c r="M11" s="64">
        <v>2432.2584652393448</v>
      </c>
      <c r="N11" s="64">
        <v>2484.2699639022831</v>
      </c>
      <c r="O11" s="64">
        <v>2665.5958948103412</v>
      </c>
      <c r="P11" s="64">
        <v>2620.3094831674484</v>
      </c>
      <c r="Q11" s="64">
        <v>1648.2713626816819</v>
      </c>
      <c r="R11" s="64">
        <v>2509.1128512616792</v>
      </c>
      <c r="S11" s="64">
        <v>2720.8555795429425</v>
      </c>
      <c r="T11" s="64">
        <v>2631.2278505407767</v>
      </c>
      <c r="U11" s="64">
        <v>2761.3304055752183</v>
      </c>
      <c r="V11" s="64">
        <v>2693.8426137930319</v>
      </c>
      <c r="W11" s="64">
        <v>3201.5370727392024</v>
      </c>
      <c r="X11" s="64">
        <v>3229.5565360847891</v>
      </c>
      <c r="Y11" s="64">
        <v>3195.2159745149102</v>
      </c>
      <c r="Z11" s="64">
        <v>3229.2205058798472</v>
      </c>
      <c r="AA11" s="64">
        <v>3194.3606190551614</v>
      </c>
      <c r="AB11" s="64">
        <v>3573.0439997665321</v>
      </c>
      <c r="AC11" s="64">
        <v>3993.4805661178489</v>
      </c>
      <c r="AD11" s="64">
        <v>3620.9803423481872</v>
      </c>
      <c r="AE11" s="64">
        <v>3667.1626138208439</v>
      </c>
      <c r="AF11" s="64">
        <v>3772.3801353035483</v>
      </c>
      <c r="AG11" s="64">
        <v>3960.6407588892357</v>
      </c>
      <c r="AH11" s="64">
        <v>4088.2306734906556</v>
      </c>
      <c r="AI11" s="64">
        <v>4147.5020468516541</v>
      </c>
      <c r="AJ11" s="64">
        <v>4137.8967069662904</v>
      </c>
      <c r="AK11" s="64">
        <v>4727.3475322903951</v>
      </c>
      <c r="AL11" s="64">
        <v>4198.9733107244538</v>
      </c>
      <c r="AM11" s="64">
        <v>4529.3122266773735</v>
      </c>
      <c r="AN11" s="64">
        <v>4927.8262519299205</v>
      </c>
    </row>
    <row r="12" spans="1:43" s="19" customFormat="1" ht="12.95" customHeight="1" x14ac:dyDescent="0.2">
      <c r="B12" s="16"/>
      <c r="C12" s="16"/>
      <c r="D12" s="16"/>
      <c r="E12" s="16"/>
      <c r="F12" s="16"/>
      <c r="G12" s="16"/>
      <c r="H12" s="16"/>
      <c r="I12" s="16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</row>
    <row r="13" spans="1:43" s="19" customFormat="1" ht="12.95" customHeight="1" x14ac:dyDescent="0.2">
      <c r="A13" s="20" t="s">
        <v>76</v>
      </c>
      <c r="B13" s="16"/>
      <c r="C13" s="16"/>
      <c r="D13" s="16"/>
      <c r="E13" s="16"/>
      <c r="F13" s="16"/>
      <c r="G13" s="16"/>
      <c r="H13" s="16"/>
      <c r="I13" s="16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3" s="20" customFormat="1" ht="12.95" customHeight="1" x14ac:dyDescent="0.2">
      <c r="A14" s="21" t="s">
        <v>0</v>
      </c>
      <c r="B14" s="22">
        <v>25585.530173046223</v>
      </c>
      <c r="C14" s="22">
        <v>26815.867901198006</v>
      </c>
      <c r="D14" s="22">
        <v>28087.006277898501</v>
      </c>
      <c r="E14" s="22">
        <v>28218.431811871684</v>
      </c>
      <c r="F14" s="22">
        <v>28920.9421404727</v>
      </c>
      <c r="G14" s="22">
        <v>28715.633574177591</v>
      </c>
      <c r="H14" s="22">
        <v>31088.81644038736</v>
      </c>
      <c r="I14" s="22">
        <v>31950.53136158601</v>
      </c>
      <c r="J14" s="63">
        <v>31709.95285649964</v>
      </c>
      <c r="K14" s="63">
        <v>32491.606148737308</v>
      </c>
      <c r="L14" s="63">
        <v>34099.565181101338</v>
      </c>
      <c r="M14" s="63">
        <v>34250.082446485067</v>
      </c>
      <c r="N14" s="63">
        <v>35252.635784097169</v>
      </c>
      <c r="O14" s="63">
        <v>36760.947778743401</v>
      </c>
      <c r="P14" s="63">
        <v>35648.858549584846</v>
      </c>
      <c r="Q14" s="63">
        <v>32236.736736804804</v>
      </c>
      <c r="R14" s="63">
        <v>35896.332523022204</v>
      </c>
      <c r="S14" s="63">
        <v>37289.22117233598</v>
      </c>
      <c r="T14" s="63">
        <v>37155.753524298671</v>
      </c>
      <c r="U14" s="63">
        <v>37847.717183852787</v>
      </c>
      <c r="V14" s="63">
        <v>37948.267946340988</v>
      </c>
      <c r="W14" s="63">
        <v>40233.574177164599</v>
      </c>
      <c r="X14" s="63">
        <v>41629.028011497678</v>
      </c>
      <c r="Y14" s="63">
        <v>42907.047906055115</v>
      </c>
      <c r="Z14" s="63">
        <v>44419.271393106901</v>
      </c>
      <c r="AA14" s="63">
        <v>44915.774636309878</v>
      </c>
      <c r="AB14" s="63">
        <v>44704.483645576649</v>
      </c>
      <c r="AC14" s="63">
        <v>48556.814797195002</v>
      </c>
      <c r="AD14" s="63">
        <v>49709.912273026486</v>
      </c>
      <c r="AE14" s="63">
        <v>50246.437080620941</v>
      </c>
      <c r="AF14" s="63">
        <v>50555.362693788229</v>
      </c>
      <c r="AG14" s="63">
        <v>52803.113983517258</v>
      </c>
      <c r="AH14" s="63">
        <v>55023.331390004845</v>
      </c>
      <c r="AI14" s="63">
        <v>55769.666817527497</v>
      </c>
      <c r="AJ14" s="63">
        <v>57835.748420225325</v>
      </c>
      <c r="AK14" s="63">
        <v>58933.858282806897</v>
      </c>
      <c r="AL14" s="63">
        <v>58812.062111866187</v>
      </c>
      <c r="AM14" s="63">
        <v>62759.045051931214</v>
      </c>
      <c r="AN14" s="63">
        <v>63215.400221365955</v>
      </c>
    </row>
    <row r="15" spans="1:43" s="19" customFormat="1" ht="12.95" customHeight="1" x14ac:dyDescent="0.2">
      <c r="A15" s="23" t="s">
        <v>73</v>
      </c>
      <c r="B15" s="16">
        <v>6028.4970662892201</v>
      </c>
      <c r="C15" s="16">
        <v>6498.3166224993056</v>
      </c>
      <c r="D15" s="16">
        <v>6730.1849736878085</v>
      </c>
      <c r="E15" s="16">
        <v>6344.2866404989809</v>
      </c>
      <c r="F15" s="16">
        <v>6709.1505501388374</v>
      </c>
      <c r="G15" s="16">
        <v>6257.361467197039</v>
      </c>
      <c r="H15" s="16">
        <v>7684.3635593163663</v>
      </c>
      <c r="I15" s="16">
        <v>7557.1618617269523</v>
      </c>
      <c r="J15" s="64">
        <v>6881.1824288147764</v>
      </c>
      <c r="K15" s="64">
        <v>7346.6645665474543</v>
      </c>
      <c r="L15" s="64">
        <v>8417.3540738599295</v>
      </c>
      <c r="M15" s="64">
        <v>8143.9014745654968</v>
      </c>
      <c r="N15" s="64">
        <v>7975.629954619124</v>
      </c>
      <c r="O15" s="64">
        <v>8780.3122427072067</v>
      </c>
      <c r="P15" s="64">
        <v>8568.3025214804657</v>
      </c>
      <c r="Q15" s="64">
        <v>8316.5587455113855</v>
      </c>
      <c r="R15" s="64">
        <v>8586.1546669820946</v>
      </c>
      <c r="S15" s="64">
        <v>9230.3164821532682</v>
      </c>
      <c r="T15" s="64">
        <v>8366.1431445484177</v>
      </c>
      <c r="U15" s="64">
        <v>9046.0571817350483</v>
      </c>
      <c r="V15" s="64">
        <v>9512.998790224372</v>
      </c>
      <c r="W15" s="64">
        <v>9619.5448661348546</v>
      </c>
      <c r="X15" s="64">
        <v>9543.068360973115</v>
      </c>
      <c r="Y15" s="64">
        <v>10373.095948259092</v>
      </c>
      <c r="Z15" s="64">
        <v>10512.91562127456</v>
      </c>
      <c r="AA15" s="64">
        <v>11253.569541592315</v>
      </c>
      <c r="AB15" s="64">
        <v>10573.445437423206</v>
      </c>
      <c r="AC15" s="64">
        <v>11384.016830174309</v>
      </c>
      <c r="AD15" s="64">
        <v>11702.181405333924</v>
      </c>
      <c r="AE15" s="64">
        <v>12100.620283716993</v>
      </c>
      <c r="AF15" s="64">
        <v>12259.793699688571</v>
      </c>
      <c r="AG15" s="64">
        <v>13842.633726163685</v>
      </c>
      <c r="AH15" s="64">
        <v>13852.13623238973</v>
      </c>
      <c r="AI15" s="64">
        <v>14546.97453903518</v>
      </c>
      <c r="AJ15" s="64">
        <v>15172.437120598503</v>
      </c>
      <c r="AK15" s="64">
        <v>15654.828803419699</v>
      </c>
      <c r="AL15" s="64">
        <v>14739.451742502917</v>
      </c>
      <c r="AM15" s="64">
        <v>16444.469388173489</v>
      </c>
      <c r="AN15" s="64">
        <v>16082.7767936294</v>
      </c>
    </row>
    <row r="16" spans="1:43" s="19" customFormat="1" ht="12.95" customHeight="1" x14ac:dyDescent="0.2">
      <c r="A16" s="23" t="s">
        <v>8</v>
      </c>
      <c r="B16" s="16">
        <v>6555.4403950149208</v>
      </c>
      <c r="C16" s="16">
        <v>6955.0915291304555</v>
      </c>
      <c r="D16" s="16">
        <v>7409.3305241685648</v>
      </c>
      <c r="E16" s="16">
        <v>7348.9382511015774</v>
      </c>
      <c r="F16" s="16">
        <v>7525.0936205585531</v>
      </c>
      <c r="G16" s="16">
        <v>7626.6488945788369</v>
      </c>
      <c r="H16" s="16">
        <v>7995.4940335933316</v>
      </c>
      <c r="I16" s="16">
        <v>8463.5000995605587</v>
      </c>
      <c r="J16" s="64">
        <v>8635.9255185859602</v>
      </c>
      <c r="K16" s="64">
        <v>8693.6325176153678</v>
      </c>
      <c r="L16" s="64">
        <v>8903.8868402390945</v>
      </c>
      <c r="M16" s="64">
        <v>8918.1545818370359</v>
      </c>
      <c r="N16" s="64">
        <v>9274.3328544152664</v>
      </c>
      <c r="O16" s="64">
        <v>9785.5534829959197</v>
      </c>
      <c r="P16" s="64">
        <v>9528.9438690548614</v>
      </c>
      <c r="Q16" s="64">
        <v>8443.9991391582244</v>
      </c>
      <c r="R16" s="64">
        <v>9577.4239708999248</v>
      </c>
      <c r="S16" s="64">
        <v>10134.697452453966</v>
      </c>
      <c r="T16" s="64">
        <v>10296.504281271871</v>
      </c>
      <c r="U16" s="64">
        <v>10290.410901216615</v>
      </c>
      <c r="V16" s="64">
        <v>9859.2249416146587</v>
      </c>
      <c r="W16" s="64">
        <v>10711.880706123267</v>
      </c>
      <c r="X16" s="64">
        <v>11368.212221011814</v>
      </c>
      <c r="Y16" s="64">
        <v>11651.642613359332</v>
      </c>
      <c r="Z16" s="64">
        <v>11624.840636035195</v>
      </c>
      <c r="AA16" s="64">
        <v>11336.222136816748</v>
      </c>
      <c r="AB16" s="64">
        <v>11540.464190293336</v>
      </c>
      <c r="AC16" s="64">
        <v>12637.368200660763</v>
      </c>
      <c r="AD16" s="64">
        <v>12982.120453775326</v>
      </c>
      <c r="AE16" s="64">
        <v>12504.117133605825</v>
      </c>
      <c r="AF16" s="64">
        <v>12498.101678751409</v>
      </c>
      <c r="AG16" s="64">
        <v>12594.978455761659</v>
      </c>
      <c r="AH16" s="64">
        <v>13498.42603370683</v>
      </c>
      <c r="AI16" s="64">
        <v>13573.663934600047</v>
      </c>
      <c r="AJ16" s="64">
        <v>13964.035231572439</v>
      </c>
      <c r="AK16" s="64">
        <v>14273.439813497065</v>
      </c>
      <c r="AL16" s="64">
        <v>14525.954912081681</v>
      </c>
      <c r="AM16" s="64">
        <v>15283.99994572528</v>
      </c>
      <c r="AN16" s="64">
        <v>15695.083912879467</v>
      </c>
    </row>
    <row r="17" spans="1:40" s="19" customFormat="1" ht="12.95" customHeight="1" x14ac:dyDescent="0.2">
      <c r="A17" s="23" t="s">
        <v>14</v>
      </c>
      <c r="B17" s="16">
        <v>11196.911619895101</v>
      </c>
      <c r="C17" s="16">
        <v>11540.925474247566</v>
      </c>
      <c r="D17" s="16">
        <v>11980.248526146441</v>
      </c>
      <c r="E17" s="16">
        <v>12489.032857775683</v>
      </c>
      <c r="F17" s="16">
        <v>12669.987988442108</v>
      </c>
      <c r="G17" s="16">
        <v>12725.535374968234</v>
      </c>
      <c r="H17" s="16">
        <v>13195.6925559478</v>
      </c>
      <c r="I17" s="16">
        <v>13624.607310831099</v>
      </c>
      <c r="J17" s="64">
        <v>13772.445684484852</v>
      </c>
      <c r="K17" s="64">
        <v>13956.270220108803</v>
      </c>
      <c r="L17" s="64">
        <v>14315.927740301944</v>
      </c>
      <c r="M17" s="64">
        <v>14745.588331856947</v>
      </c>
      <c r="N17" s="64">
        <v>15440.431284862982</v>
      </c>
      <c r="O17" s="64">
        <v>15595.432695348147</v>
      </c>
      <c r="P17" s="64">
        <v>14948.290538815927</v>
      </c>
      <c r="Q17" s="64">
        <v>13828.881971556595</v>
      </c>
      <c r="R17" s="64">
        <v>15141.395951568074</v>
      </c>
      <c r="S17" s="64">
        <v>15268.328537212683</v>
      </c>
      <c r="T17" s="64">
        <v>15869.275563606785</v>
      </c>
      <c r="U17" s="64">
        <v>15766.707807570558</v>
      </c>
      <c r="V17" s="64">
        <v>15802.970659231099</v>
      </c>
      <c r="W17" s="64">
        <v>16755.259248028116</v>
      </c>
      <c r="X17" s="64">
        <v>17484.11283248584</v>
      </c>
      <c r="Y17" s="64">
        <v>17738.752742388831</v>
      </c>
      <c r="Z17" s="64">
        <v>18962.569341573588</v>
      </c>
      <c r="AA17" s="64">
        <v>19158.132571692731</v>
      </c>
      <c r="AB17" s="64">
        <v>19007.375774709621</v>
      </c>
      <c r="AC17" s="64">
        <v>20633.724863556392</v>
      </c>
      <c r="AD17" s="64">
        <v>21320.523661119259</v>
      </c>
      <c r="AE17" s="64">
        <v>21970.961297433179</v>
      </c>
      <c r="AF17" s="64">
        <v>22006.388966174491</v>
      </c>
      <c r="AG17" s="64">
        <v>22523.464884655215</v>
      </c>
      <c r="AH17" s="64">
        <v>23498.450983039795</v>
      </c>
      <c r="AI17" s="64">
        <v>23469.49880102012</v>
      </c>
      <c r="AJ17" s="64">
        <v>24539.800486919517</v>
      </c>
      <c r="AK17" s="64">
        <v>24435.016711566263</v>
      </c>
      <c r="AL17" s="64">
        <v>25265.608964836112</v>
      </c>
      <c r="AM17" s="64">
        <v>26452.376656226945</v>
      </c>
      <c r="AN17" s="64">
        <v>26482.400656303962</v>
      </c>
    </row>
    <row r="18" spans="1:40" s="19" customFormat="1" ht="12.95" customHeight="1" x14ac:dyDescent="0.2">
      <c r="A18" s="21" t="s">
        <v>29</v>
      </c>
      <c r="B18" s="22"/>
      <c r="C18" s="22"/>
      <c r="D18" s="22"/>
      <c r="E18" s="22"/>
      <c r="F18" s="22"/>
      <c r="G18" s="22"/>
      <c r="H18" s="22"/>
      <c r="I18" s="22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</row>
    <row r="19" spans="1:40" s="19" customFormat="1" ht="12.95" customHeight="1" x14ac:dyDescent="0.2">
      <c r="A19" s="24" t="s">
        <v>30</v>
      </c>
      <c r="B19" s="22">
        <v>1804.6810918469801</v>
      </c>
      <c r="C19" s="22">
        <v>1821.5342753206801</v>
      </c>
      <c r="D19" s="22">
        <v>1967.2422538956901</v>
      </c>
      <c r="E19" s="22">
        <v>2036.17406249544</v>
      </c>
      <c r="F19" s="22">
        <v>2016.7099813331999</v>
      </c>
      <c r="G19" s="22">
        <v>2106.0878374334802</v>
      </c>
      <c r="H19" s="22">
        <v>2213.2662915298602</v>
      </c>
      <c r="I19" s="22">
        <v>2305.2620894674001</v>
      </c>
      <c r="J19" s="63">
        <v>2420.3992246140501</v>
      </c>
      <c r="K19" s="63">
        <v>2495.0388444656801</v>
      </c>
      <c r="L19" s="63">
        <v>2462.39652670037</v>
      </c>
      <c r="M19" s="63">
        <v>2442.4380582255899</v>
      </c>
      <c r="N19" s="63">
        <v>2562.2416901997999</v>
      </c>
      <c r="O19" s="63">
        <v>2599.6493576921298</v>
      </c>
      <c r="P19" s="63">
        <v>2603.3216202335898</v>
      </c>
      <c r="Q19" s="63">
        <v>1647.2968805785999</v>
      </c>
      <c r="R19" s="63">
        <v>2591.3579335721101</v>
      </c>
      <c r="S19" s="63">
        <v>2655.8787005160598</v>
      </c>
      <c r="T19" s="63">
        <v>2623.8305348715999</v>
      </c>
      <c r="U19" s="63">
        <v>2744.5412933305602</v>
      </c>
      <c r="V19" s="63">
        <v>2773.0735552708602</v>
      </c>
      <c r="W19" s="63">
        <v>3146.8893568783601</v>
      </c>
      <c r="X19" s="63">
        <v>3233.6345970268999</v>
      </c>
      <c r="Y19" s="63">
        <v>3143.55660204786</v>
      </c>
      <c r="Z19" s="63">
        <v>3318.9457942235599</v>
      </c>
      <c r="AA19" s="63">
        <v>3167.8503862080802</v>
      </c>
      <c r="AB19" s="63">
        <v>3583.1982431504898</v>
      </c>
      <c r="AC19" s="63">
        <v>3901.7049028035299</v>
      </c>
      <c r="AD19" s="63">
        <v>3705.0867527979799</v>
      </c>
      <c r="AE19" s="63">
        <v>3670.7383658649401</v>
      </c>
      <c r="AF19" s="63">
        <v>3791.0783491737602</v>
      </c>
      <c r="AG19" s="63">
        <v>3842.0369169367</v>
      </c>
      <c r="AH19" s="63">
        <v>4174.3181408684904</v>
      </c>
      <c r="AI19" s="63">
        <v>4179.5295428721502</v>
      </c>
      <c r="AJ19" s="63">
        <v>4159.4755811348696</v>
      </c>
      <c r="AK19" s="63">
        <v>4570.5729543238704</v>
      </c>
      <c r="AL19" s="63">
        <v>4281.04649244548</v>
      </c>
      <c r="AM19" s="63">
        <v>4578.1990618054997</v>
      </c>
      <c r="AN19" s="63">
        <v>4955.1388585531204</v>
      </c>
    </row>
    <row r="20" spans="1:40" s="19" customFormat="1" ht="12.95" customHeight="1" x14ac:dyDescent="0.2">
      <c r="B20" s="16"/>
      <c r="C20" s="16"/>
      <c r="D20" s="16"/>
      <c r="E20" s="16"/>
      <c r="F20" s="16"/>
      <c r="G20" s="16"/>
      <c r="H20" s="16"/>
      <c r="I20" s="16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</row>
    <row r="21" spans="1:40" s="19" customFormat="1" ht="12.95" customHeight="1" x14ac:dyDescent="0.2">
      <c r="A21" s="20" t="s">
        <v>77</v>
      </c>
      <c r="B21" s="16"/>
      <c r="C21" s="16"/>
      <c r="D21" s="16"/>
      <c r="E21" s="16"/>
      <c r="F21" s="16"/>
      <c r="G21" s="16"/>
      <c r="H21" s="16"/>
      <c r="I21" s="16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</row>
    <row r="22" spans="1:40" s="20" customFormat="1" ht="12.95" customHeight="1" x14ac:dyDescent="0.2">
      <c r="A22" s="21" t="s">
        <v>0</v>
      </c>
      <c r="B22" s="22">
        <v>25615.773380485029</v>
      </c>
      <c r="C22" s="22">
        <v>26812.772118466186</v>
      </c>
      <c r="D22" s="22">
        <v>27857.157481882386</v>
      </c>
      <c r="E22" s="22">
        <v>28435.221171622499</v>
      </c>
      <c r="F22" s="22">
        <v>28642.108204327593</v>
      </c>
      <c r="G22" s="22">
        <v>29014.088784285068</v>
      </c>
      <c r="H22" s="22">
        <v>30634.76356841877</v>
      </c>
      <c r="I22" s="22">
        <v>31643.928852554855</v>
      </c>
      <c r="J22" s="63">
        <v>32223.017605100755</v>
      </c>
      <c r="K22" s="63">
        <v>32708.216196833087</v>
      </c>
      <c r="L22" s="63">
        <v>33398.800475348275</v>
      </c>
      <c r="M22" s="63">
        <v>34305.964891864234</v>
      </c>
      <c r="N22" s="63">
        <v>35421.837407644023</v>
      </c>
      <c r="O22" s="63">
        <v>36044.970722194485</v>
      </c>
      <c r="P22" s="63">
        <v>35723.730148307804</v>
      </c>
      <c r="Q22" s="63">
        <v>35448.358106915308</v>
      </c>
      <c r="R22" s="63">
        <v>35889.465720212494</v>
      </c>
      <c r="S22" s="63">
        <v>36628.967903120625</v>
      </c>
      <c r="T22" s="63">
        <v>37304.088873532237</v>
      </c>
      <c r="U22" s="63">
        <v>37729.862100158978</v>
      </c>
      <c r="V22" s="63">
        <v>38510.709464236599</v>
      </c>
      <c r="W22" s="63">
        <v>40113.7309107115</v>
      </c>
      <c r="X22" s="63">
        <v>41900.788537111308</v>
      </c>
      <c r="Y22" s="63">
        <v>43135.065041361464</v>
      </c>
      <c r="Z22" s="63">
        <v>44052.936650022508</v>
      </c>
      <c r="AA22" s="63">
        <v>44925.49792760847</v>
      </c>
      <c r="AB22" s="63">
        <v>46500.226818045005</v>
      </c>
      <c r="AC22" s="63">
        <v>48202.341167588202</v>
      </c>
      <c r="AD22" s="63">
        <v>49483.55139080446</v>
      </c>
      <c r="AE22" s="63">
        <v>49854.753696865133</v>
      </c>
      <c r="AF22" s="63">
        <v>51095.073220967133</v>
      </c>
      <c r="AG22" s="63">
        <v>52790.693377284886</v>
      </c>
      <c r="AH22" s="63">
        <v>54443.610374723597</v>
      </c>
      <c r="AI22" s="63">
        <v>56022.429465146961</v>
      </c>
      <c r="AJ22" s="63">
        <v>57209.484448448777</v>
      </c>
      <c r="AK22" s="63">
        <v>58489.717551794529</v>
      </c>
      <c r="AL22" s="63">
        <v>60182.112643023473</v>
      </c>
      <c r="AM22" s="63">
        <v>62020.690688955292</v>
      </c>
      <c r="AN22" s="63">
        <v>63369.961788390494</v>
      </c>
    </row>
    <row r="23" spans="1:40" s="19" customFormat="1" ht="12.95" customHeight="1" x14ac:dyDescent="0.2">
      <c r="A23" s="23" t="s">
        <v>73</v>
      </c>
      <c r="B23" s="16">
        <v>6144.4373024006554</v>
      </c>
      <c r="C23" s="16">
        <v>6436.8278595333022</v>
      </c>
      <c r="D23" s="16">
        <v>6592.8993409100494</v>
      </c>
      <c r="E23" s="16">
        <v>6557.3531504310004</v>
      </c>
      <c r="F23" s="16">
        <v>6478.9243543113516</v>
      </c>
      <c r="G23" s="16">
        <v>6446.7901872839648</v>
      </c>
      <c r="H23" s="16">
        <v>7224.0922557204349</v>
      </c>
      <c r="I23" s="16">
        <v>7326.9267798323472</v>
      </c>
      <c r="J23" s="64">
        <v>7396.0398004248518</v>
      </c>
      <c r="K23" s="64">
        <v>7513.8878828235229</v>
      </c>
      <c r="L23" s="64">
        <v>7788.734318542347</v>
      </c>
      <c r="M23" s="64">
        <v>8038.0429236208947</v>
      </c>
      <c r="N23" s="64">
        <v>8163.3564781092682</v>
      </c>
      <c r="O23" s="64">
        <v>8300.8421071806551</v>
      </c>
      <c r="P23" s="64">
        <v>8425.7817082951715</v>
      </c>
      <c r="Q23" s="64">
        <v>8483.97628503552</v>
      </c>
      <c r="R23" s="64">
        <v>8507.7490034112325</v>
      </c>
      <c r="S23" s="64">
        <v>8538.1615370035233</v>
      </c>
      <c r="T23" s="64">
        <v>8643.2490720494789</v>
      </c>
      <c r="U23" s="64">
        <v>8934.4467065595709</v>
      </c>
      <c r="V23" s="64">
        <v>9361.1535346268211</v>
      </c>
      <c r="W23" s="64">
        <v>9680.5195050187649</v>
      </c>
      <c r="X23" s="64">
        <v>9921.4537661120976</v>
      </c>
      <c r="Y23" s="64">
        <v>10319.935044081256</v>
      </c>
      <c r="Z23" s="64">
        <v>10802.387294374637</v>
      </c>
      <c r="AA23" s="64">
        <v>11173.735149950116</v>
      </c>
      <c r="AB23" s="64">
        <v>11442.796832045693</v>
      </c>
      <c r="AC23" s="64">
        <v>11417.935400837227</v>
      </c>
      <c r="AD23" s="64">
        <v>11710.852806437786</v>
      </c>
      <c r="AE23" s="64">
        <v>12201.48497025892</v>
      </c>
      <c r="AF23" s="64">
        <v>12902.064763824685</v>
      </c>
      <c r="AG23" s="64">
        <v>13571.677165304631</v>
      </c>
      <c r="AH23" s="64">
        <v>14077.617315204448</v>
      </c>
      <c r="AI23" s="64">
        <v>14515.686037527721</v>
      </c>
      <c r="AJ23" s="64">
        <v>14836.540207883541</v>
      </c>
      <c r="AK23" s="64">
        <v>15190.076155830571</v>
      </c>
      <c r="AL23" s="64">
        <v>15608.564982025051</v>
      </c>
      <c r="AM23" s="64">
        <v>16119.185921838771</v>
      </c>
      <c r="AN23" s="64">
        <v>16334.725825137393</v>
      </c>
    </row>
    <row r="24" spans="1:40" s="19" customFormat="1" ht="12.95" customHeight="1" x14ac:dyDescent="0.2">
      <c r="A24" s="23" t="s">
        <v>8</v>
      </c>
      <c r="B24" s="16">
        <v>6565.2398572566963</v>
      </c>
      <c r="C24" s="16">
        <v>6974.9183712035847</v>
      </c>
      <c r="D24" s="16">
        <v>7318.1832262846629</v>
      </c>
      <c r="E24" s="16">
        <v>7417.6706775251241</v>
      </c>
      <c r="F24" s="16">
        <v>7474.689728544542</v>
      </c>
      <c r="G24" s="16">
        <v>7665.8575097724206</v>
      </c>
      <c r="H24" s="16">
        <v>8016.9566717799871</v>
      </c>
      <c r="I24" s="16">
        <v>8419.5517832208861</v>
      </c>
      <c r="J24" s="64">
        <v>8625.7544318855216</v>
      </c>
      <c r="K24" s="64">
        <v>8739.816639047498</v>
      </c>
      <c r="L24" s="64">
        <v>8844.0238962735129</v>
      </c>
      <c r="M24" s="64">
        <v>9001.3354700718701</v>
      </c>
      <c r="N24" s="64">
        <v>9355.961124740641</v>
      </c>
      <c r="O24" s="64">
        <v>9617.8017066122884</v>
      </c>
      <c r="P24" s="64">
        <v>9588.255362698399</v>
      </c>
      <c r="Q24" s="64">
        <v>9619.5894794659562</v>
      </c>
      <c r="R24" s="64">
        <v>9885.4222680620242</v>
      </c>
      <c r="S24" s="64">
        <v>10138.686318007718</v>
      </c>
      <c r="T24" s="64">
        <v>10286.588788562605</v>
      </c>
      <c r="U24" s="64">
        <v>10234.261440969947</v>
      </c>
      <c r="V24" s="64">
        <v>10261.421046100862</v>
      </c>
      <c r="W24" s="64">
        <v>10704.379109666621</v>
      </c>
      <c r="X24" s="64">
        <v>11335.032579595423</v>
      </c>
      <c r="Y24" s="64">
        <v>11626.903777268439</v>
      </c>
      <c r="Z24" s="64">
        <v>11511.105078115739</v>
      </c>
      <c r="AA24" s="64">
        <v>11395.260781430385</v>
      </c>
      <c r="AB24" s="64">
        <v>11780.128465012058</v>
      </c>
      <c r="AC24" s="64">
        <v>12466.231133107291</v>
      </c>
      <c r="AD24" s="64">
        <v>12739.628361503492</v>
      </c>
      <c r="AE24" s="64">
        <v>12575.824502924193</v>
      </c>
      <c r="AF24" s="64">
        <v>12472.78255272868</v>
      </c>
      <c r="AG24" s="64">
        <v>12697.117342962129</v>
      </c>
      <c r="AH24" s="64">
        <v>13206.604512090749</v>
      </c>
      <c r="AI24" s="64">
        <v>13712.762970147847</v>
      </c>
      <c r="AJ24" s="64">
        <v>14001.548373538095</v>
      </c>
      <c r="AK24" s="64">
        <v>14279.425546659199</v>
      </c>
      <c r="AL24" s="64">
        <v>14768.156993751898</v>
      </c>
      <c r="AM24" s="64">
        <v>15280.21189611185</v>
      </c>
      <c r="AN24" s="64">
        <v>15736.768682062198</v>
      </c>
    </row>
    <row r="25" spans="1:40" s="19" customFormat="1" ht="12.95" customHeight="1" x14ac:dyDescent="0.2">
      <c r="A25" s="23" t="s">
        <v>14</v>
      </c>
      <c r="B25" s="16">
        <v>11127.117061495286</v>
      </c>
      <c r="C25" s="16">
        <v>11549.179338607386</v>
      </c>
      <c r="D25" s="16">
        <v>11993.078241739831</v>
      </c>
      <c r="E25" s="16">
        <v>12439.358975167564</v>
      </c>
      <c r="F25" s="16">
        <v>12650.616788767487</v>
      </c>
      <c r="G25" s="16">
        <v>12799.616256044643</v>
      </c>
      <c r="H25" s="16">
        <v>13185.684196234581</v>
      </c>
      <c r="I25" s="16">
        <v>13584.70141764501</v>
      </c>
      <c r="J25" s="64">
        <v>13780.593179763133</v>
      </c>
      <c r="K25" s="64">
        <v>13973.1852584468</v>
      </c>
      <c r="L25" s="64">
        <v>14304.167977710611</v>
      </c>
      <c r="M25" s="64">
        <v>14798.505213939317</v>
      </c>
      <c r="N25" s="64">
        <v>15360.163398208641</v>
      </c>
      <c r="O25" s="64">
        <v>15524.527151432414</v>
      </c>
      <c r="P25" s="64">
        <v>15106.694631337812</v>
      </c>
      <c r="Q25" s="64">
        <v>14754.553821960697</v>
      </c>
      <c r="R25" s="64">
        <v>14888.874772785981</v>
      </c>
      <c r="S25" s="64">
        <v>15326.470500274907</v>
      </c>
      <c r="T25" s="64">
        <v>15716.886253015549</v>
      </c>
      <c r="U25" s="64">
        <v>15855.686990544938</v>
      </c>
      <c r="V25" s="64">
        <v>16015.495209220633</v>
      </c>
      <c r="W25" s="64">
        <v>16625.437694812113</v>
      </c>
      <c r="X25" s="64">
        <v>17437.806361786406</v>
      </c>
      <c r="Y25" s="64">
        <v>17979.544556548317</v>
      </c>
      <c r="Z25" s="64">
        <v>18486.264907619956</v>
      </c>
      <c r="AA25" s="64">
        <v>18991.978175062319</v>
      </c>
      <c r="AB25" s="64">
        <v>19668.829650207757</v>
      </c>
      <c r="AC25" s="64">
        <v>20507.737425680858</v>
      </c>
      <c r="AD25" s="64">
        <v>21277.688032034443</v>
      </c>
      <c r="AE25" s="64">
        <v>21390.809856935619</v>
      </c>
      <c r="AF25" s="64">
        <v>21971.35123009159</v>
      </c>
      <c r="AG25" s="64">
        <v>22609.438778843509</v>
      </c>
      <c r="AH25" s="64">
        <v>23051.903048734624</v>
      </c>
      <c r="AI25" s="64">
        <v>23606.222499653813</v>
      </c>
      <c r="AJ25" s="64">
        <v>24173.629046927286</v>
      </c>
      <c r="AK25" s="64">
        <v>24776.456549646864</v>
      </c>
      <c r="AL25" s="64">
        <v>25470.926856005954</v>
      </c>
      <c r="AM25" s="64">
        <v>26037.26667907372</v>
      </c>
      <c r="AN25" s="64">
        <v>26357.974728006335</v>
      </c>
    </row>
    <row r="26" spans="1:40" s="19" customFormat="1" ht="12.95" customHeight="1" x14ac:dyDescent="0.2">
      <c r="A26" s="21" t="s">
        <v>29</v>
      </c>
      <c r="B26" s="16"/>
      <c r="C26" s="16"/>
      <c r="D26" s="16"/>
      <c r="E26" s="16"/>
      <c r="F26" s="16"/>
      <c r="G26" s="16"/>
      <c r="H26" s="16"/>
      <c r="I26" s="16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</row>
    <row r="27" spans="1:40" s="27" customFormat="1" ht="12.95" customHeight="1" thickBot="1" x14ac:dyDescent="0.25">
      <c r="A27" s="25" t="s">
        <v>30</v>
      </c>
      <c r="B27" s="26">
        <v>1778.9791593323901</v>
      </c>
      <c r="C27" s="26">
        <v>1851.8465491219099</v>
      </c>
      <c r="D27" s="26">
        <v>1952.9966729478399</v>
      </c>
      <c r="E27" s="26">
        <v>2020.83836849881</v>
      </c>
      <c r="F27" s="26">
        <v>2037.8773327042099</v>
      </c>
      <c r="G27" s="26">
        <v>2101.8248311840398</v>
      </c>
      <c r="H27" s="26">
        <v>2208.0304446837699</v>
      </c>
      <c r="I27" s="26">
        <v>2312.7488718566101</v>
      </c>
      <c r="J27" s="65">
        <v>2420.6301930272498</v>
      </c>
      <c r="K27" s="65">
        <v>2481.32641651527</v>
      </c>
      <c r="L27" s="65">
        <v>2461.8742828218001</v>
      </c>
      <c r="M27" s="65">
        <v>2468.0812842321502</v>
      </c>
      <c r="N27" s="65">
        <v>2542.3564065854698</v>
      </c>
      <c r="O27" s="65">
        <v>2601.7997569691302</v>
      </c>
      <c r="P27" s="65">
        <v>2602.99844597642</v>
      </c>
      <c r="Q27" s="65">
        <v>2590.2385204531402</v>
      </c>
      <c r="R27" s="65">
        <v>2607.4196759532601</v>
      </c>
      <c r="S27" s="65">
        <v>2625.64954783448</v>
      </c>
      <c r="T27" s="65">
        <v>2657.3647599046099</v>
      </c>
      <c r="U27" s="65">
        <v>2705.4669620845202</v>
      </c>
      <c r="V27" s="65">
        <v>2872.6396742882798</v>
      </c>
      <c r="W27" s="65">
        <v>3103.394601214</v>
      </c>
      <c r="X27" s="65">
        <v>3206.49582961739</v>
      </c>
      <c r="Y27" s="65">
        <v>3208.6816634634501</v>
      </c>
      <c r="Z27" s="65">
        <v>3253.1793699121699</v>
      </c>
      <c r="AA27" s="65">
        <v>3364.5238211656501</v>
      </c>
      <c r="AB27" s="65">
        <v>3608.4718707795</v>
      </c>
      <c r="AC27" s="65">
        <v>3810.4372079628301</v>
      </c>
      <c r="AD27" s="65">
        <v>3755.38219082874</v>
      </c>
      <c r="AE27" s="65">
        <v>3686.6343667463998</v>
      </c>
      <c r="AF27" s="65">
        <v>3748.87467432218</v>
      </c>
      <c r="AG27" s="65">
        <v>3912.4600901746198</v>
      </c>
      <c r="AH27" s="65">
        <v>4107.4854986937798</v>
      </c>
      <c r="AI27" s="65">
        <v>4187.7579578175801</v>
      </c>
      <c r="AJ27" s="65">
        <v>4197.7668200998496</v>
      </c>
      <c r="AK27" s="65">
        <v>4243.7592996578996</v>
      </c>
      <c r="AL27" s="65">
        <v>4334.4638112405701</v>
      </c>
      <c r="AM27" s="65">
        <v>4584.0261919309496</v>
      </c>
      <c r="AN27" s="65">
        <v>4940.4925531845702</v>
      </c>
    </row>
    <row r="28" spans="1:40" x14ac:dyDescent="0.2">
      <c r="A28" s="28" t="s">
        <v>63</v>
      </c>
    </row>
    <row r="29" spans="1:40" ht="12.75" thickBot="1" x14ac:dyDescent="0.25">
      <c r="A29" s="30" t="s">
        <v>127</v>
      </c>
      <c r="B29" s="30" t="s">
        <v>95</v>
      </c>
    </row>
    <row r="30" spans="1:40" s="47" customFormat="1" ht="15" customHeight="1" x14ac:dyDescent="0.2">
      <c r="B30" s="143" t="s">
        <v>75</v>
      </c>
      <c r="C30" s="143"/>
      <c r="D30" s="143"/>
      <c r="E30" s="143"/>
      <c r="F30" s="143" t="s">
        <v>79</v>
      </c>
      <c r="G30" s="143"/>
      <c r="H30" s="143"/>
      <c r="J30" s="144" t="s">
        <v>85</v>
      </c>
      <c r="K30" s="144"/>
      <c r="L30" s="144"/>
      <c r="M30" s="144"/>
      <c r="N30" s="144" t="s">
        <v>86</v>
      </c>
      <c r="O30" s="144"/>
      <c r="P30" s="144"/>
      <c r="Q30" s="144"/>
      <c r="R30" s="144" t="s">
        <v>89</v>
      </c>
      <c r="S30" s="144"/>
      <c r="T30" s="144"/>
      <c r="U30" s="144"/>
      <c r="V30" s="144" t="s">
        <v>90</v>
      </c>
      <c r="W30" s="144"/>
      <c r="X30" s="144"/>
      <c r="Y30" s="144"/>
      <c r="Z30" s="60" t="s">
        <v>96</v>
      </c>
      <c r="AA30" s="60"/>
      <c r="AD30" s="143" t="s">
        <v>97</v>
      </c>
      <c r="AE30" s="143"/>
      <c r="AF30" s="143"/>
      <c r="AG30" s="143"/>
      <c r="AH30" s="143" t="s">
        <v>123</v>
      </c>
      <c r="AI30" s="143"/>
      <c r="AJ30" s="143"/>
      <c r="AK30" s="143"/>
      <c r="AL30" s="47" t="s">
        <v>125</v>
      </c>
      <c r="AM30" s="47" t="s">
        <v>125</v>
      </c>
      <c r="AN30" s="47" t="s">
        <v>125</v>
      </c>
    </row>
    <row r="31" spans="1:40" s="51" customFormat="1" x14ac:dyDescent="0.2">
      <c r="A31" s="48"/>
      <c r="B31" s="49" t="s">
        <v>57</v>
      </c>
      <c r="C31" s="49" t="s">
        <v>58</v>
      </c>
      <c r="D31" s="49" t="s">
        <v>59</v>
      </c>
      <c r="E31" s="49" t="s">
        <v>60</v>
      </c>
      <c r="F31" s="50" t="s">
        <v>57</v>
      </c>
      <c r="G31" s="50" t="s">
        <v>58</v>
      </c>
      <c r="H31" s="50" t="s">
        <v>59</v>
      </c>
      <c r="I31" s="50" t="s">
        <v>60</v>
      </c>
      <c r="J31" s="62" t="s">
        <v>57</v>
      </c>
      <c r="K31" s="62" t="s">
        <v>58</v>
      </c>
      <c r="L31" s="62" t="s">
        <v>59</v>
      </c>
      <c r="M31" s="62" t="s">
        <v>60</v>
      </c>
      <c r="N31" s="61" t="s">
        <v>57</v>
      </c>
      <c r="O31" s="61" t="s">
        <v>58</v>
      </c>
      <c r="P31" s="61" t="s">
        <v>59</v>
      </c>
      <c r="Q31" s="61" t="s">
        <v>60</v>
      </c>
      <c r="R31" s="61" t="s">
        <v>57</v>
      </c>
      <c r="S31" s="61" t="s">
        <v>58</v>
      </c>
      <c r="T31" s="61" t="s">
        <v>59</v>
      </c>
      <c r="U31" s="61" t="s">
        <v>60</v>
      </c>
      <c r="V31" s="61" t="s">
        <v>57</v>
      </c>
      <c r="W31" s="61" t="s">
        <v>58</v>
      </c>
      <c r="X31" s="61" t="s">
        <v>59</v>
      </c>
      <c r="Y31" s="61" t="s">
        <v>60</v>
      </c>
      <c r="Z31" s="61" t="s">
        <v>57</v>
      </c>
      <c r="AA31" s="61" t="s">
        <v>58</v>
      </c>
      <c r="AB31" s="61" t="s">
        <v>59</v>
      </c>
      <c r="AC31" s="61" t="s">
        <v>60</v>
      </c>
      <c r="AD31" s="61" t="s">
        <v>57</v>
      </c>
      <c r="AE31" s="61" t="s">
        <v>58</v>
      </c>
      <c r="AF31" s="61" t="s">
        <v>59</v>
      </c>
      <c r="AG31" s="61" t="s">
        <v>60</v>
      </c>
      <c r="AH31" s="61" t="s">
        <v>57</v>
      </c>
      <c r="AI31" s="61" t="s">
        <v>58</v>
      </c>
      <c r="AJ31" s="61" t="s">
        <v>59</v>
      </c>
      <c r="AK31" s="61" t="s">
        <v>60</v>
      </c>
      <c r="AL31" s="61" t="s">
        <v>57</v>
      </c>
      <c r="AM31" s="61" t="s">
        <v>58</v>
      </c>
      <c r="AN31" s="61" t="s">
        <v>59</v>
      </c>
    </row>
    <row r="32" spans="1:40" s="19" customFormat="1" ht="12.95" customHeight="1" x14ac:dyDescent="0.2">
      <c r="A32" s="20" t="s">
        <v>78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40" s="20" customFormat="1" ht="12.95" customHeight="1" x14ac:dyDescent="0.2">
      <c r="A33" s="21" t="s">
        <v>0</v>
      </c>
      <c r="B33" s="31">
        <v>99.999999999999986</v>
      </c>
      <c r="C33" s="31">
        <v>100.00000000000001</v>
      </c>
      <c r="D33" s="31">
        <v>99.999999999999986</v>
      </c>
      <c r="E33" s="31">
        <v>100.00000000000001</v>
      </c>
      <c r="F33" s="31">
        <v>99.999999999999986</v>
      </c>
      <c r="G33" s="31">
        <v>100.00000000000001</v>
      </c>
      <c r="H33" s="31">
        <v>99.999999999999986</v>
      </c>
      <c r="I33" s="31">
        <v>100.00000000000003</v>
      </c>
      <c r="J33" s="44">
        <v>100</v>
      </c>
      <c r="K33" s="44">
        <v>100.00000000000001</v>
      </c>
      <c r="L33" s="44">
        <v>100</v>
      </c>
      <c r="M33" s="44">
        <v>100</v>
      </c>
      <c r="N33" s="44">
        <v>100</v>
      </c>
      <c r="O33" s="44">
        <v>100</v>
      </c>
      <c r="P33" s="44">
        <v>100</v>
      </c>
      <c r="Q33" s="44">
        <v>100.00000000000001</v>
      </c>
      <c r="R33" s="44">
        <v>100</v>
      </c>
      <c r="S33" s="44">
        <v>99.999999999999986</v>
      </c>
      <c r="T33" s="44">
        <v>100</v>
      </c>
      <c r="U33" s="44">
        <v>100</v>
      </c>
      <c r="V33" s="44">
        <v>99.999999999999986</v>
      </c>
      <c r="W33" s="44">
        <v>100</v>
      </c>
      <c r="X33" s="44">
        <v>99.999999999999986</v>
      </c>
      <c r="Y33" s="44">
        <v>100.00000000000001</v>
      </c>
      <c r="Z33" s="44">
        <v>100</v>
      </c>
      <c r="AA33" s="44">
        <v>100.00000000000001</v>
      </c>
      <c r="AB33" s="44">
        <v>100.00000000000001</v>
      </c>
      <c r="AC33" s="44">
        <v>100</v>
      </c>
      <c r="AD33" s="44">
        <v>100</v>
      </c>
      <c r="AE33" s="44">
        <v>100</v>
      </c>
      <c r="AF33" s="44">
        <v>100.00000000000003</v>
      </c>
      <c r="AG33" s="44">
        <v>100</v>
      </c>
      <c r="AH33" s="44">
        <v>100</v>
      </c>
      <c r="AI33" s="44">
        <v>100.00000000000001</v>
      </c>
      <c r="AJ33" s="44">
        <v>100</v>
      </c>
      <c r="AK33" s="44">
        <v>100</v>
      </c>
      <c r="AL33" s="44">
        <v>100</v>
      </c>
      <c r="AM33" s="44">
        <v>100</v>
      </c>
      <c r="AN33" s="44">
        <v>99.999999999999986</v>
      </c>
    </row>
    <row r="34" spans="1:40" s="19" customFormat="1" ht="12.95" customHeight="1" x14ac:dyDescent="0.2">
      <c r="A34" s="23" t="s">
        <v>73</v>
      </c>
      <c r="B34" s="32">
        <v>28.764944426163186</v>
      </c>
      <c r="C34" s="32">
        <v>23.064638605363676</v>
      </c>
      <c r="D34" s="32">
        <v>20.292582808695965</v>
      </c>
      <c r="E34" s="32">
        <v>21.553062579108467</v>
      </c>
      <c r="F34" s="32">
        <v>28.510167296535304</v>
      </c>
      <c r="G34" s="32">
        <v>20.52050723415342</v>
      </c>
      <c r="H34" s="32">
        <v>20.722639874716965</v>
      </c>
      <c r="I34" s="32">
        <v>22.815887987440146</v>
      </c>
      <c r="J34" s="66">
        <v>26.511627823317134</v>
      </c>
      <c r="K34" s="66">
        <v>21.363447382518221</v>
      </c>
      <c r="L34" s="66">
        <v>20.673451251623398</v>
      </c>
      <c r="M34" s="66">
        <v>23.013741026673163</v>
      </c>
      <c r="N34" s="66">
        <v>27.378272698040622</v>
      </c>
      <c r="O34" s="66">
        <v>22.718827363130227</v>
      </c>
      <c r="P34" s="66">
        <v>20.257654630860607</v>
      </c>
      <c r="Q34" s="66">
        <v>25.095920257260051</v>
      </c>
      <c r="R34" s="66">
        <v>29.052052690604459</v>
      </c>
      <c r="S34" s="66">
        <v>23.675554802147328</v>
      </c>
      <c r="T34" s="66">
        <v>18.998274490006875</v>
      </c>
      <c r="U34" s="66">
        <v>23.135881796627029</v>
      </c>
      <c r="V34" s="66">
        <v>30.135134686365657</v>
      </c>
      <c r="W34" s="66">
        <v>22.991835564920461</v>
      </c>
      <c r="X34" s="66">
        <v>19.389340563417907</v>
      </c>
      <c r="Y34" s="66">
        <v>23.303057594917369</v>
      </c>
      <c r="Z34" s="66">
        <v>29.014372969068962</v>
      </c>
      <c r="AA34" s="66">
        <v>24.094838020887064</v>
      </c>
      <c r="AB34" s="66">
        <v>20.145524059127006</v>
      </c>
      <c r="AC34" s="66">
        <v>22.584360879621187</v>
      </c>
      <c r="AD34" s="66">
        <v>28.448293932524315</v>
      </c>
      <c r="AE34" s="66">
        <v>23.372153878516876</v>
      </c>
      <c r="AF34" s="66">
        <v>21.010205023441404</v>
      </c>
      <c r="AG34" s="66">
        <v>25.135517536937456</v>
      </c>
      <c r="AH34" s="66">
        <v>30.058574477037066</v>
      </c>
      <c r="AI34" s="66">
        <v>25.489834008879964</v>
      </c>
      <c r="AJ34" s="66">
        <v>23.416250872088071</v>
      </c>
      <c r="AK34" s="66">
        <v>25.266230683090367</v>
      </c>
      <c r="AL34" s="66">
        <v>29.14054899907239</v>
      </c>
      <c r="AM34" s="66">
        <v>25.640255574779868</v>
      </c>
      <c r="AN34" s="66">
        <v>22.452830493935537</v>
      </c>
    </row>
    <row r="35" spans="1:40" s="19" customFormat="1" ht="12.95" customHeight="1" x14ac:dyDescent="0.2">
      <c r="A35" s="23" t="s">
        <v>8</v>
      </c>
      <c r="B35" s="33">
        <v>23.616826569685358</v>
      </c>
      <c r="C35" s="33">
        <v>26.340120587411946</v>
      </c>
      <c r="D35" s="33">
        <v>27.88627203383901</v>
      </c>
      <c r="E35" s="33">
        <v>26.368819988820558</v>
      </c>
      <c r="F35" s="33">
        <v>23.958445163290275</v>
      </c>
      <c r="G35" s="33">
        <v>27.081613512377107</v>
      </c>
      <c r="H35" s="33">
        <v>27.275695117700955</v>
      </c>
      <c r="I35" s="33">
        <v>26.782825384876009</v>
      </c>
      <c r="J35" s="67">
        <v>25.37842406582087</v>
      </c>
      <c r="K35" s="67">
        <v>27.194794929476835</v>
      </c>
      <c r="L35" s="67">
        <v>27.684146546759941</v>
      </c>
      <c r="M35" s="67">
        <v>26.312234914413779</v>
      </c>
      <c r="N35" s="67">
        <v>24.564865236637505</v>
      </c>
      <c r="O35" s="67">
        <v>26.938280312374989</v>
      </c>
      <c r="P35" s="67">
        <v>28.220408958825594</v>
      </c>
      <c r="Q35" s="67">
        <v>26.442054496368616</v>
      </c>
      <c r="R35" s="67">
        <v>24.846934160094641</v>
      </c>
      <c r="S35" s="67">
        <v>27.426158035108024</v>
      </c>
      <c r="T35" s="67">
        <v>29.105416407755659</v>
      </c>
      <c r="U35" s="67">
        <v>27.4342380319314</v>
      </c>
      <c r="V35" s="67">
        <v>24.217049633481768</v>
      </c>
      <c r="W35" s="67">
        <v>26.858912055332361</v>
      </c>
      <c r="X35" s="67">
        <v>28.663314510220051</v>
      </c>
      <c r="Y35" s="67">
        <v>27.397880695505382</v>
      </c>
      <c r="Z35" s="67">
        <v>24.410460228622423</v>
      </c>
      <c r="AA35" s="67">
        <v>25.527549464621284</v>
      </c>
      <c r="AB35" s="67">
        <v>27.072576599192395</v>
      </c>
      <c r="AC35" s="67">
        <v>26.156937127538026</v>
      </c>
      <c r="AD35" s="67">
        <v>24.661505384848706</v>
      </c>
      <c r="AE35" s="67">
        <v>25.088587403494273</v>
      </c>
      <c r="AF35" s="67">
        <v>25.835740747343106</v>
      </c>
      <c r="AG35" s="67">
        <v>23.983729082810502</v>
      </c>
      <c r="AH35" s="67">
        <v>23.115072833183152</v>
      </c>
      <c r="AI35" s="67">
        <v>24.5548301797844</v>
      </c>
      <c r="AJ35" s="67">
        <v>25.0825732596407</v>
      </c>
      <c r="AK35" s="67">
        <v>24.427886578115125</v>
      </c>
      <c r="AL35" s="67">
        <v>23.538748205102277</v>
      </c>
      <c r="AM35" s="67">
        <v>24.58005734003682</v>
      </c>
      <c r="AN35" s="67">
        <v>25.826364613321783</v>
      </c>
    </row>
    <row r="36" spans="1:40" s="19" customFormat="1" ht="12.95" customHeight="1" x14ac:dyDescent="0.2">
      <c r="A36" s="23" t="s">
        <v>14</v>
      </c>
      <c r="B36" s="33">
        <v>41.252491499466664</v>
      </c>
      <c r="C36" s="33">
        <v>43.703422725928533</v>
      </c>
      <c r="D36" s="33">
        <v>44.331841376326949</v>
      </c>
      <c r="E36" s="33">
        <v>44.682792223214932</v>
      </c>
      <c r="F36" s="33">
        <v>41.275909613474518</v>
      </c>
      <c r="G36" s="33">
        <v>44.892853603664435</v>
      </c>
      <c r="H36" s="33">
        <v>44.370058913899094</v>
      </c>
      <c r="I36" s="33">
        <v>43.030730064001737</v>
      </c>
      <c r="J36" s="67">
        <v>41.228448498341521</v>
      </c>
      <c r="K36" s="67">
        <v>43.524887962104003</v>
      </c>
      <c r="L36" s="67">
        <v>43.914388674380959</v>
      </c>
      <c r="M36" s="67">
        <v>43.415476200108408</v>
      </c>
      <c r="N36" s="67">
        <v>41.510304595845362</v>
      </c>
      <c r="O36" s="67">
        <v>43.020065550419623</v>
      </c>
      <c r="P36" s="67">
        <v>43.748101428524976</v>
      </c>
      <c r="Q36" s="67">
        <v>43.251475278306003</v>
      </c>
      <c r="R36" s="67">
        <v>39.653729812543581</v>
      </c>
      <c r="S36" s="67">
        <v>41.524347193225886</v>
      </c>
      <c r="T36" s="67">
        <v>44.411750400010916</v>
      </c>
      <c r="U36" s="67">
        <v>42.034622302553345</v>
      </c>
      <c r="V36" s="67">
        <v>39.107703988622298</v>
      </c>
      <c r="W36" s="67">
        <v>42.117478695987302</v>
      </c>
      <c r="X36" s="67">
        <v>43.722179200017912</v>
      </c>
      <c r="Y36" s="67">
        <v>41.769419838462497</v>
      </c>
      <c r="Z36" s="67">
        <v>39.900274756838819</v>
      </c>
      <c r="AA36" s="67">
        <v>43.174618767540061</v>
      </c>
      <c r="AB36" s="67">
        <v>44.28869588182399</v>
      </c>
      <c r="AC36" s="67">
        <v>42.974957209600419</v>
      </c>
      <c r="AD36" s="67">
        <v>40.184178710704103</v>
      </c>
      <c r="AE36" s="67">
        <v>44.149955721034694</v>
      </c>
      <c r="AF36" s="67">
        <v>45.238082752655252</v>
      </c>
      <c r="AG36" s="67">
        <v>43.326390883547042</v>
      </c>
      <c r="AH36" s="67">
        <v>39.984216743219477</v>
      </c>
      <c r="AI36" s="67">
        <v>42.425478203135299</v>
      </c>
      <c r="AJ36" s="67">
        <v>43.940831483975387</v>
      </c>
      <c r="AK36" s="67">
        <v>42.198818605532118</v>
      </c>
      <c r="AL36" s="67">
        <v>40.672264004947309</v>
      </c>
      <c r="AM36" s="67">
        <v>42.47464529025973</v>
      </c>
      <c r="AN36" s="67">
        <v>43.466404144305621</v>
      </c>
    </row>
    <row r="37" spans="1:40" s="19" customFormat="1" ht="12.95" customHeight="1" x14ac:dyDescent="0.2">
      <c r="A37" s="21" t="s">
        <v>29</v>
      </c>
      <c r="B37" s="33"/>
      <c r="C37" s="33"/>
      <c r="D37" s="33"/>
      <c r="E37" s="33"/>
      <c r="F37" s="33"/>
      <c r="G37" s="33"/>
      <c r="H37" s="33"/>
      <c r="I37" s="33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</row>
    <row r="38" spans="1:40" s="19" customFormat="1" ht="12.95" customHeight="1" x14ac:dyDescent="0.2">
      <c r="A38" s="24" t="s">
        <v>30</v>
      </c>
      <c r="B38" s="33">
        <v>6.3657375046847902</v>
      </c>
      <c r="C38" s="33">
        <v>6.8918180812958472</v>
      </c>
      <c r="D38" s="33">
        <v>7.4893037811380667</v>
      </c>
      <c r="E38" s="33">
        <v>7.3953252088560557</v>
      </c>
      <c r="F38" s="33">
        <v>6.2554779266999025</v>
      </c>
      <c r="G38" s="33">
        <v>7.5050256498050469</v>
      </c>
      <c r="H38" s="33">
        <v>7.631606093682981</v>
      </c>
      <c r="I38" s="33">
        <v>7.370556563682122</v>
      </c>
      <c r="J38" s="67">
        <v>6.8814996125204697</v>
      </c>
      <c r="K38" s="67">
        <v>7.9168697259009475</v>
      </c>
      <c r="L38" s="67">
        <v>7.7280135272357029</v>
      </c>
      <c r="M38" s="67">
        <v>7.2585478588046577</v>
      </c>
      <c r="N38" s="67">
        <v>6.5465574694765136</v>
      </c>
      <c r="O38" s="67">
        <v>7.3228267740751614</v>
      </c>
      <c r="P38" s="67">
        <v>7.7738349817888217</v>
      </c>
      <c r="Q38" s="67">
        <v>5.2105499680653322</v>
      </c>
      <c r="R38" s="67">
        <v>6.447283336757323</v>
      </c>
      <c r="S38" s="67">
        <v>7.3739399695187569</v>
      </c>
      <c r="T38" s="67">
        <v>7.4845587022265496</v>
      </c>
      <c r="U38" s="67">
        <v>7.3952578688882262</v>
      </c>
      <c r="V38" s="67">
        <v>6.5401116915302691</v>
      </c>
      <c r="W38" s="67">
        <v>8.031773683759873</v>
      </c>
      <c r="X38" s="67">
        <v>8.2251657263441214</v>
      </c>
      <c r="Y38" s="67">
        <v>7.5296418711147615</v>
      </c>
      <c r="Z38" s="67">
        <v>6.6748920454697869</v>
      </c>
      <c r="AA38" s="67">
        <v>7.2029937469516065</v>
      </c>
      <c r="AB38" s="67">
        <v>8.4932034598566162</v>
      </c>
      <c r="AC38" s="67">
        <v>8.2837447832403655</v>
      </c>
      <c r="AD38" s="67">
        <v>6.7060219719228815</v>
      </c>
      <c r="AE38" s="67">
        <v>7.3893029969541573</v>
      </c>
      <c r="AF38" s="67">
        <v>7.9159714765602569</v>
      </c>
      <c r="AG38" s="67">
        <v>7.5543624967050054</v>
      </c>
      <c r="AH38" s="67">
        <v>6.8421359465603055</v>
      </c>
      <c r="AI38" s="67">
        <v>7.5298576082003477</v>
      </c>
      <c r="AJ38" s="67">
        <v>7.5603443842958473</v>
      </c>
      <c r="AK38" s="67">
        <v>8.1070641332623854</v>
      </c>
      <c r="AL38" s="67">
        <v>6.6484387908780249</v>
      </c>
      <c r="AM38" s="67">
        <v>7.3050417949235893</v>
      </c>
      <c r="AN38" s="67">
        <v>8.2544007484370514</v>
      </c>
    </row>
    <row r="39" spans="1:40" s="19" customFormat="1" ht="12.95" customHeight="1" x14ac:dyDescent="0.2">
      <c r="B39" s="35"/>
      <c r="C39" s="35"/>
      <c r="D39" s="35"/>
      <c r="E39" s="35"/>
      <c r="F39" s="35"/>
      <c r="G39" s="35"/>
      <c r="H39" s="35"/>
      <c r="I39" s="35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</row>
    <row r="40" spans="1:40" s="19" customFormat="1" ht="12.95" customHeight="1" x14ac:dyDescent="0.2">
      <c r="A40" s="20" t="s">
        <v>76</v>
      </c>
      <c r="B40" s="35"/>
      <c r="C40" s="35"/>
      <c r="D40" s="35"/>
      <c r="E40" s="35"/>
      <c r="F40" s="35"/>
      <c r="G40" s="35"/>
      <c r="H40" s="35"/>
      <c r="I40" s="35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</row>
    <row r="41" spans="1:40" s="20" customFormat="1" ht="12.95" customHeight="1" x14ac:dyDescent="0.2">
      <c r="A41" s="21" t="s">
        <v>0</v>
      </c>
      <c r="B41" s="31">
        <v>100</v>
      </c>
      <c r="C41" s="31">
        <v>100.00000000000001</v>
      </c>
      <c r="D41" s="31">
        <v>100</v>
      </c>
      <c r="E41" s="31">
        <v>100</v>
      </c>
      <c r="F41" s="31">
        <v>99.999999999999986</v>
      </c>
      <c r="G41" s="31">
        <v>100.00000000000001</v>
      </c>
      <c r="H41" s="31">
        <v>100</v>
      </c>
      <c r="I41" s="31">
        <v>100</v>
      </c>
      <c r="J41" s="44">
        <v>100</v>
      </c>
      <c r="K41" s="44">
        <v>100</v>
      </c>
      <c r="L41" s="44">
        <v>100</v>
      </c>
      <c r="M41" s="44">
        <v>100</v>
      </c>
      <c r="N41" s="44">
        <v>100.00000000000001</v>
      </c>
      <c r="O41" s="44">
        <v>100</v>
      </c>
      <c r="P41" s="44">
        <v>99.999999999999986</v>
      </c>
      <c r="Q41" s="44">
        <v>100.00000000000001</v>
      </c>
      <c r="R41" s="44">
        <v>99.999999999999986</v>
      </c>
      <c r="S41" s="44">
        <v>99.999999999999986</v>
      </c>
      <c r="T41" s="44">
        <v>100</v>
      </c>
      <c r="U41" s="44">
        <v>99.999999999999986</v>
      </c>
      <c r="V41" s="44">
        <v>100</v>
      </c>
      <c r="W41" s="44">
        <v>100</v>
      </c>
      <c r="X41" s="44">
        <v>99.999999999999986</v>
      </c>
      <c r="Y41" s="44">
        <v>99.999999999999986</v>
      </c>
      <c r="Z41" s="44">
        <v>100</v>
      </c>
      <c r="AA41" s="44">
        <v>99.999999999999986</v>
      </c>
      <c r="AB41" s="44">
        <v>100.00000000000001</v>
      </c>
      <c r="AC41" s="44">
        <v>99.999999999999986</v>
      </c>
      <c r="AD41" s="44">
        <v>100.00000000000001</v>
      </c>
      <c r="AE41" s="44">
        <v>99.999999999999986</v>
      </c>
      <c r="AF41" s="44">
        <v>100</v>
      </c>
      <c r="AG41" s="44">
        <v>100</v>
      </c>
      <c r="AH41" s="44">
        <v>99.999999999999986</v>
      </c>
      <c r="AI41" s="44">
        <v>99.999999999999986</v>
      </c>
      <c r="AJ41" s="44">
        <v>100</v>
      </c>
      <c r="AK41" s="44">
        <v>100.00000000000001</v>
      </c>
      <c r="AL41" s="44">
        <v>100.00000000000001</v>
      </c>
      <c r="AM41" s="44">
        <v>100</v>
      </c>
      <c r="AN41" s="44">
        <v>99.999999999999986</v>
      </c>
    </row>
    <row r="42" spans="1:40" s="19" customFormat="1" ht="12.95" customHeight="1" x14ac:dyDescent="0.2">
      <c r="A42" s="23" t="s">
        <v>73</v>
      </c>
      <c r="B42" s="32">
        <v>23.562134634364956</v>
      </c>
      <c r="C42" s="32">
        <v>24.233102006774846</v>
      </c>
      <c r="D42" s="32">
        <v>23.961916436013158</v>
      </c>
      <c r="E42" s="32">
        <v>22.482775381691823</v>
      </c>
      <c r="F42" s="32">
        <v>23.198243395915799</v>
      </c>
      <c r="G42" s="32">
        <v>21.790783236710279</v>
      </c>
      <c r="H42" s="32">
        <v>24.717452895162776</v>
      </c>
      <c r="I42" s="32">
        <v>23.652695400280248</v>
      </c>
      <c r="J42" s="66">
        <v>21.700386815316026</v>
      </c>
      <c r="K42" s="66">
        <v>22.610961529314739</v>
      </c>
      <c r="L42" s="66">
        <v>24.684637558149849</v>
      </c>
      <c r="M42" s="66">
        <v>23.777757286541274</v>
      </c>
      <c r="N42" s="66">
        <v>22.624208877501903</v>
      </c>
      <c r="O42" s="66">
        <v>23.884890823691769</v>
      </c>
      <c r="P42" s="66">
        <v>24.035278744093898</v>
      </c>
      <c r="Q42" s="66">
        <v>25.798389003860738</v>
      </c>
      <c r="R42" s="66">
        <v>23.919308919582082</v>
      </c>
      <c r="S42" s="66">
        <v>24.753309916274223</v>
      </c>
      <c r="T42" s="66">
        <v>22.516413612974446</v>
      </c>
      <c r="U42" s="66">
        <v>23.90119630674694</v>
      </c>
      <c r="V42" s="66">
        <v>25.068334617210443</v>
      </c>
      <c r="W42" s="66">
        <v>23.909247594499387</v>
      </c>
      <c r="X42" s="66">
        <v>22.924072016135902</v>
      </c>
      <c r="Y42" s="66">
        <v>24.175739078975933</v>
      </c>
      <c r="Z42" s="66">
        <v>23.667465250017543</v>
      </c>
      <c r="AA42" s="66">
        <v>25.054826801305879</v>
      </c>
      <c r="AB42" s="66">
        <v>23.651867945172903</v>
      </c>
      <c r="AC42" s="66">
        <v>23.444735569500192</v>
      </c>
      <c r="AD42" s="66">
        <v>23.540941575315841</v>
      </c>
      <c r="AE42" s="66">
        <v>24.082543931028223</v>
      </c>
      <c r="AF42" s="66">
        <v>24.250233894959159</v>
      </c>
      <c r="AG42" s="66">
        <v>26.215563215617792</v>
      </c>
      <c r="AH42" s="66">
        <v>25.175022817513394</v>
      </c>
      <c r="AI42" s="66">
        <v>26.084026262217698</v>
      </c>
      <c r="AJ42" s="66">
        <v>26.233666088935159</v>
      </c>
      <c r="AK42" s="66">
        <v>26.563386921481719</v>
      </c>
      <c r="AL42" s="66">
        <v>25.061953642208746</v>
      </c>
      <c r="AM42" s="66">
        <v>26.20254877136226</v>
      </c>
      <c r="AN42" s="66">
        <v>25.44123225877108</v>
      </c>
    </row>
    <row r="43" spans="1:40" s="19" customFormat="1" ht="12.95" customHeight="1" x14ac:dyDescent="0.2">
      <c r="A43" s="23" t="s">
        <v>8</v>
      </c>
      <c r="B43" s="32">
        <v>25.62167111909578</v>
      </c>
      <c r="C43" s="32">
        <v>25.936477442222689</v>
      </c>
      <c r="D43" s="32">
        <v>26.379922626353107</v>
      </c>
      <c r="E43" s="32">
        <v>26.043042717950861</v>
      </c>
      <c r="F43" s="32">
        <v>26.019531397034768</v>
      </c>
      <c r="G43" s="32">
        <v>26.559222086734902</v>
      </c>
      <c r="H43" s="32">
        <v>25.718232306863946</v>
      </c>
      <c r="I43" s="32">
        <v>26.489387621691289</v>
      </c>
      <c r="J43" s="66">
        <v>27.234116549043812</v>
      </c>
      <c r="K43" s="66">
        <v>26.756548992433299</v>
      </c>
      <c r="L43" s="66">
        <v>26.11143805779027</v>
      </c>
      <c r="M43" s="66">
        <v>26.038344858793955</v>
      </c>
      <c r="N43" s="66">
        <v>26.308196956435847</v>
      </c>
      <c r="O43" s="66">
        <v>26.619426522659744</v>
      </c>
      <c r="P43" s="66">
        <v>26.730011160948745</v>
      </c>
      <c r="Q43" s="66">
        <v>26.193715598755624</v>
      </c>
      <c r="R43" s="66">
        <v>26.680786859653193</v>
      </c>
      <c r="S43" s="66">
        <v>27.17862463690356</v>
      </c>
      <c r="T43" s="66">
        <v>27.711735881061561</v>
      </c>
      <c r="U43" s="66">
        <v>27.188986990229569</v>
      </c>
      <c r="V43" s="66">
        <v>25.980698132403944</v>
      </c>
      <c r="W43" s="66">
        <v>26.624233429907445</v>
      </c>
      <c r="X43" s="66">
        <v>27.308377745144529</v>
      </c>
      <c r="Y43" s="66">
        <v>27.155544792712323</v>
      </c>
      <c r="Z43" s="66">
        <v>26.170714357640652</v>
      </c>
      <c r="AA43" s="66">
        <v>25.238843654836035</v>
      </c>
      <c r="AB43" s="66">
        <v>25.815003885936228</v>
      </c>
      <c r="AC43" s="66">
        <v>26.025941473802749</v>
      </c>
      <c r="AD43" s="66">
        <v>26.115758125808767</v>
      </c>
      <c r="AE43" s="66">
        <v>24.885579675117732</v>
      </c>
      <c r="AF43" s="66">
        <v>24.721614113327405</v>
      </c>
      <c r="AG43" s="66">
        <v>23.852719102311355</v>
      </c>
      <c r="AH43" s="66">
        <v>24.532186061273016</v>
      </c>
      <c r="AI43" s="66">
        <v>24.338793306783867</v>
      </c>
      <c r="AJ43" s="66">
        <v>24.144297623870941</v>
      </c>
      <c r="AK43" s="66">
        <v>24.219421957752825</v>
      </c>
      <c r="AL43" s="66">
        <v>24.698938262786843</v>
      </c>
      <c r="AM43" s="66">
        <v>24.35346161350644</v>
      </c>
      <c r="AN43" s="66">
        <v>24.827943599057907</v>
      </c>
    </row>
    <row r="44" spans="1:40" s="19" customFormat="1" ht="12.95" customHeight="1" x14ac:dyDescent="0.2">
      <c r="A44" s="23" t="s">
        <v>14</v>
      </c>
      <c r="B44" s="32">
        <v>43.762671885888047</v>
      </c>
      <c r="C44" s="32">
        <v>43.03767275692752</v>
      </c>
      <c r="D44" s="32">
        <v>42.654060057563441</v>
      </c>
      <c r="E44" s="32">
        <v>44.258422796271276</v>
      </c>
      <c r="F44" s="32">
        <v>43.809043034982615</v>
      </c>
      <c r="G44" s="32">
        <v>44.315704691299644</v>
      </c>
      <c r="H44" s="32">
        <v>42.445142873967143</v>
      </c>
      <c r="I44" s="32">
        <v>42.642819165167026</v>
      </c>
      <c r="J44" s="66">
        <v>43.43256436491955</v>
      </c>
      <c r="K44" s="66">
        <v>42.953463599863234</v>
      </c>
      <c r="L44" s="66">
        <v>41.982728120639258</v>
      </c>
      <c r="M44" s="66">
        <v>43.052709011420845</v>
      </c>
      <c r="N44" s="66">
        <v>43.799366888272004</v>
      </c>
      <c r="O44" s="66">
        <v>42.423913521527936</v>
      </c>
      <c r="P44" s="66">
        <v>41.932031338462053</v>
      </c>
      <c r="Q44" s="66">
        <v>42.89789653481926</v>
      </c>
      <c r="R44" s="66">
        <v>42.180899516286523</v>
      </c>
      <c r="S44" s="66">
        <v>40.945689014657958</v>
      </c>
      <c r="T44" s="66">
        <v>42.710143270890164</v>
      </c>
      <c r="U44" s="66">
        <v>41.65827949670161</v>
      </c>
      <c r="V44" s="66">
        <v>41.643457038873464</v>
      </c>
      <c r="W44" s="66">
        <v>41.644968389454974</v>
      </c>
      <c r="X44" s="66">
        <v>41.999810391097384</v>
      </c>
      <c r="Y44" s="66">
        <v>41.342281998117862</v>
      </c>
      <c r="Z44" s="66">
        <v>42.689960341214082</v>
      </c>
      <c r="AA44" s="66">
        <v>42.653461343635186</v>
      </c>
      <c r="AB44" s="66">
        <v>42.517828693432037</v>
      </c>
      <c r="AC44" s="66">
        <v>42.493983490754729</v>
      </c>
      <c r="AD44" s="66">
        <v>42.889883900857676</v>
      </c>
      <c r="AE44" s="66">
        <v>43.726406435904181</v>
      </c>
      <c r="AF44" s="66">
        <v>43.529287089613597</v>
      </c>
      <c r="AG44" s="66">
        <v>42.655561737677104</v>
      </c>
      <c r="AH44" s="66">
        <v>42.706340000540862</v>
      </c>
      <c r="AI44" s="66">
        <v>42.082910191681542</v>
      </c>
      <c r="AJ44" s="66">
        <v>42.430159818486722</v>
      </c>
      <c r="AK44" s="66">
        <v>41.461763107905711</v>
      </c>
      <c r="AL44" s="66">
        <v>42.959910021142427</v>
      </c>
      <c r="AM44" s="66">
        <v>42.149106370784331</v>
      </c>
      <c r="AN44" s="66">
        <v>41.892324597437678</v>
      </c>
    </row>
    <row r="45" spans="1:40" s="19" customFormat="1" ht="12.95" customHeight="1" x14ac:dyDescent="0.2">
      <c r="A45" s="21" t="s">
        <v>29</v>
      </c>
      <c r="B45" s="32"/>
      <c r="C45" s="32"/>
      <c r="D45" s="32"/>
      <c r="E45" s="32"/>
      <c r="F45" s="32"/>
      <c r="G45" s="32"/>
      <c r="H45" s="32"/>
      <c r="I45" s="32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</row>
    <row r="46" spans="1:40" s="19" customFormat="1" ht="12.95" customHeight="1" x14ac:dyDescent="0.2">
      <c r="A46" s="24" t="s">
        <v>30</v>
      </c>
      <c r="B46" s="32">
        <v>7.0535223606512192</v>
      </c>
      <c r="C46" s="32">
        <v>6.7927477940749492</v>
      </c>
      <c r="D46" s="32">
        <v>7.0041008800703022</v>
      </c>
      <c r="E46" s="32">
        <v>7.2157591040860325</v>
      </c>
      <c r="F46" s="32">
        <v>6.973182172066811</v>
      </c>
      <c r="G46" s="32">
        <v>7.3342899852551771</v>
      </c>
      <c r="H46" s="32">
        <v>7.1191719240061344</v>
      </c>
      <c r="I46" s="32">
        <v>7.2150978128614369</v>
      </c>
      <c r="J46" s="66">
        <v>7.6329322707206009</v>
      </c>
      <c r="K46" s="66">
        <v>7.6790258783887246</v>
      </c>
      <c r="L46" s="66">
        <v>7.2211962634206248</v>
      </c>
      <c r="M46" s="66">
        <v>7.131188843243927</v>
      </c>
      <c r="N46" s="66">
        <v>7.2682272777902579</v>
      </c>
      <c r="O46" s="66">
        <v>7.071769132120548</v>
      </c>
      <c r="P46" s="66">
        <v>7.3026787564952969</v>
      </c>
      <c r="Q46" s="66">
        <v>5.1099988625643826</v>
      </c>
      <c r="R46" s="66">
        <v>7.2190047044781975</v>
      </c>
      <c r="S46" s="66">
        <v>7.1223764321642511</v>
      </c>
      <c r="T46" s="66">
        <v>7.0617072350738326</v>
      </c>
      <c r="U46" s="66">
        <v>7.2515372063218688</v>
      </c>
      <c r="V46" s="66">
        <v>7.3075102115121515</v>
      </c>
      <c r="W46" s="66">
        <v>7.8215505861381871</v>
      </c>
      <c r="X46" s="66">
        <v>7.7677398476221695</v>
      </c>
      <c r="Y46" s="66">
        <v>7.3264341301938787</v>
      </c>
      <c r="Z46" s="66">
        <v>7.4718600511277238</v>
      </c>
      <c r="AA46" s="66">
        <v>7.0528682002228944</v>
      </c>
      <c r="AB46" s="66">
        <v>8.0152994754588445</v>
      </c>
      <c r="AC46" s="66">
        <v>8.0353394659423198</v>
      </c>
      <c r="AD46" s="66">
        <v>7.4534163980177217</v>
      </c>
      <c r="AE46" s="66">
        <v>7.3054699579498577</v>
      </c>
      <c r="AF46" s="66">
        <v>7.4988649020998377</v>
      </c>
      <c r="AG46" s="66">
        <v>7.2761559443937527</v>
      </c>
      <c r="AH46" s="66">
        <v>7.5864511206727254</v>
      </c>
      <c r="AI46" s="66">
        <v>7.4942702393168901</v>
      </c>
      <c r="AJ46" s="66">
        <v>7.1918764687071794</v>
      </c>
      <c r="AK46" s="66">
        <v>7.7554280128597473</v>
      </c>
      <c r="AL46" s="66">
        <v>7.2791980738619895</v>
      </c>
      <c r="AM46" s="66">
        <v>7.2948832443469751</v>
      </c>
      <c r="AN46" s="66">
        <v>7.8384995447333266</v>
      </c>
    </row>
    <row r="47" spans="1:40" s="19" customFormat="1" ht="12.95" customHeight="1" x14ac:dyDescent="0.2">
      <c r="B47" s="35"/>
      <c r="C47" s="35"/>
      <c r="D47" s="35"/>
      <c r="E47" s="35"/>
      <c r="F47" s="35"/>
      <c r="G47" s="35"/>
      <c r="H47" s="35"/>
      <c r="I47" s="35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</row>
    <row r="48" spans="1:40" s="19" customFormat="1" ht="12.95" customHeight="1" x14ac:dyDescent="0.2">
      <c r="A48" s="20" t="s">
        <v>77</v>
      </c>
      <c r="B48" s="35"/>
      <c r="C48" s="35"/>
      <c r="D48" s="35"/>
      <c r="E48" s="35"/>
      <c r="F48" s="35"/>
      <c r="G48" s="35"/>
      <c r="H48" s="35"/>
      <c r="I48" s="35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</row>
    <row r="49" spans="1:40" s="20" customFormat="1" ht="12.95" customHeight="1" x14ac:dyDescent="0.2">
      <c r="A49" s="21" t="s">
        <v>0</v>
      </c>
      <c r="B49" s="31">
        <v>99.999999999999986</v>
      </c>
      <c r="C49" s="31">
        <v>99.999999999999986</v>
      </c>
      <c r="D49" s="31">
        <v>99.999999999999986</v>
      </c>
      <c r="E49" s="31">
        <v>100</v>
      </c>
      <c r="F49" s="31">
        <v>100</v>
      </c>
      <c r="G49" s="31">
        <v>100</v>
      </c>
      <c r="H49" s="31">
        <v>100</v>
      </c>
      <c r="I49" s="31">
        <v>100</v>
      </c>
      <c r="J49" s="44">
        <v>100</v>
      </c>
      <c r="K49" s="44">
        <v>100.00000000000001</v>
      </c>
      <c r="L49" s="44">
        <v>100</v>
      </c>
      <c r="M49" s="44">
        <v>100</v>
      </c>
      <c r="N49" s="44">
        <v>99.999999999999986</v>
      </c>
      <c r="O49" s="44">
        <v>100</v>
      </c>
      <c r="P49" s="44">
        <v>100</v>
      </c>
      <c r="Q49" s="44">
        <v>100.00000000000001</v>
      </c>
      <c r="R49" s="44">
        <v>100</v>
      </c>
      <c r="S49" s="44">
        <v>100.00000000000001</v>
      </c>
      <c r="T49" s="44">
        <v>100.00000000000001</v>
      </c>
      <c r="U49" s="44">
        <v>100.00000000000001</v>
      </c>
      <c r="V49" s="44">
        <v>100</v>
      </c>
      <c r="W49" s="44">
        <v>100</v>
      </c>
      <c r="X49" s="44">
        <v>100.00000000000003</v>
      </c>
      <c r="Y49" s="44">
        <v>99.999999999999986</v>
      </c>
      <c r="Z49" s="44">
        <v>99.999999999999972</v>
      </c>
      <c r="AA49" s="44">
        <v>99.999999999999986</v>
      </c>
      <c r="AB49" s="44">
        <v>100</v>
      </c>
      <c r="AC49" s="44">
        <v>100</v>
      </c>
      <c r="AD49" s="44">
        <v>100</v>
      </c>
      <c r="AE49" s="44">
        <v>100</v>
      </c>
      <c r="AF49" s="44">
        <v>100</v>
      </c>
      <c r="AG49" s="44">
        <v>100.00000000000001</v>
      </c>
      <c r="AH49" s="44">
        <v>100.00000000000001</v>
      </c>
      <c r="AI49" s="44">
        <v>99.999999999999986</v>
      </c>
      <c r="AJ49" s="44">
        <v>100</v>
      </c>
      <c r="AK49" s="44">
        <v>100.00000000000001</v>
      </c>
      <c r="AL49" s="44">
        <v>100</v>
      </c>
      <c r="AM49" s="44">
        <v>100</v>
      </c>
      <c r="AN49" s="44">
        <v>100</v>
      </c>
    </row>
    <row r="50" spans="1:40" s="19" customFormat="1" ht="12.95" customHeight="1" x14ac:dyDescent="0.2">
      <c r="A50" s="23" t="s">
        <v>73</v>
      </c>
      <c r="B50" s="32">
        <v>23.986928722135314</v>
      </c>
      <c r="C50" s="32">
        <v>24.006573550446891</v>
      </c>
      <c r="D50" s="32">
        <v>23.666805722004874</v>
      </c>
      <c r="E50" s="32">
        <v>23.060672223555773</v>
      </c>
      <c r="F50" s="32">
        <v>22.620277488276642</v>
      </c>
      <c r="G50" s="32">
        <v>22.219516301941376</v>
      </c>
      <c r="H50" s="32">
        <v>23.581354690681263</v>
      </c>
      <c r="I50" s="32">
        <v>23.154289133856363</v>
      </c>
      <c r="J50" s="66">
        <v>22.952660396567246</v>
      </c>
      <c r="K50" s="66">
        <v>22.972478344909071</v>
      </c>
      <c r="L50" s="66">
        <v>23.320401354806826</v>
      </c>
      <c r="M50" s="66">
        <v>23.430452835119471</v>
      </c>
      <c r="N50" s="66">
        <v>23.046112442342189</v>
      </c>
      <c r="O50" s="66">
        <v>23.02912706229349</v>
      </c>
      <c r="P50" s="66">
        <v>23.585951616237622</v>
      </c>
      <c r="Q50" s="66">
        <v>23.933340606205554</v>
      </c>
      <c r="R50" s="66">
        <v>23.705421166578624</v>
      </c>
      <c r="S50" s="66">
        <v>23.309861090233202</v>
      </c>
      <c r="T50" s="66">
        <v>23.169709629825547</v>
      </c>
      <c r="U50" s="66">
        <v>23.680040713750515</v>
      </c>
      <c r="V50" s="66">
        <v>24.307922821624881</v>
      </c>
      <c r="W50" s="66">
        <v>24.132682962266649</v>
      </c>
      <c r="X50" s="66">
        <v>23.67844165348993</v>
      </c>
      <c r="Y50" s="66">
        <v>23.924700320228219</v>
      </c>
      <c r="Z50" s="66">
        <v>24.52137840479045</v>
      </c>
      <c r="AA50" s="66">
        <v>24.871700182277603</v>
      </c>
      <c r="AB50" s="66">
        <v>24.608045196900353</v>
      </c>
      <c r="AC50" s="66">
        <v>23.687512108882327</v>
      </c>
      <c r="AD50" s="66">
        <v>23.66615264524853</v>
      </c>
      <c r="AE50" s="66">
        <v>24.47406529064078</v>
      </c>
      <c r="AF50" s="66">
        <v>25.251093599627634</v>
      </c>
      <c r="AG50" s="66">
        <v>25.708465445434626</v>
      </c>
      <c r="AH50" s="66">
        <v>25.857244253845863</v>
      </c>
      <c r="AI50" s="66">
        <v>25.910490094968686</v>
      </c>
      <c r="AJ50" s="66">
        <v>25.933707235646715</v>
      </c>
      <c r="AK50" s="66">
        <v>25.970506939752735</v>
      </c>
      <c r="AL50" s="66">
        <v>25.935555095263762</v>
      </c>
      <c r="AM50" s="66">
        <v>25.990013562859744</v>
      </c>
      <c r="AN50" s="66">
        <v>25.776764517680277</v>
      </c>
    </row>
    <row r="51" spans="1:40" s="19" customFormat="1" ht="12.95" customHeight="1" x14ac:dyDescent="0.2">
      <c r="A51" s="23" t="s">
        <v>8</v>
      </c>
      <c r="B51" s="32">
        <v>25.629676526800942</v>
      </c>
      <c r="C51" s="32">
        <v>26.013417562296361</v>
      </c>
      <c r="D51" s="32">
        <v>26.27038753341661</v>
      </c>
      <c r="E51" s="32">
        <v>26.08620707662277</v>
      </c>
      <c r="F51" s="32">
        <v>26.096855982881795</v>
      </c>
      <c r="G51" s="32">
        <v>26.421155483347412</v>
      </c>
      <c r="H51" s="32">
        <v>26.16947460317477</v>
      </c>
      <c r="I51" s="32">
        <v>26.60716317007239</v>
      </c>
      <c r="J51" s="66">
        <v>26.768921947645602</v>
      </c>
      <c r="K51" s="66">
        <v>26.720554207091595</v>
      </c>
      <c r="L51" s="66">
        <v>26.480064464594488</v>
      </c>
      <c r="M51" s="66">
        <v>26.238397603579912</v>
      </c>
      <c r="N51" s="66">
        <v>26.412975185532378</v>
      </c>
      <c r="O51" s="66">
        <v>26.682784071982006</v>
      </c>
      <c r="P51" s="66">
        <v>26.840017329916442</v>
      </c>
      <c r="Q51" s="66">
        <v>27.136911251157088</v>
      </c>
      <c r="R51" s="66">
        <v>27.544077543886864</v>
      </c>
      <c r="S51" s="66">
        <v>27.679421229730984</v>
      </c>
      <c r="T51" s="66">
        <v>27.574963225709769</v>
      </c>
      <c r="U51" s="66">
        <v>27.125096332983485</v>
      </c>
      <c r="V51" s="66">
        <v>26.645629719260938</v>
      </c>
      <c r="W51" s="66">
        <v>26.685074827602858</v>
      </c>
      <c r="X51" s="66">
        <v>27.052074615626971</v>
      </c>
      <c r="Y51" s="66">
        <v>26.95464528944051</v>
      </c>
      <c r="Z51" s="66">
        <v>26.130165100150837</v>
      </c>
      <c r="AA51" s="66">
        <v>25.364795733132102</v>
      </c>
      <c r="AB51" s="66">
        <v>25.333486030310347</v>
      </c>
      <c r="AC51" s="66">
        <v>25.862293886857358</v>
      </c>
      <c r="AD51" s="66">
        <v>25.745177949921555</v>
      </c>
      <c r="AE51" s="66">
        <v>25.22492554950675</v>
      </c>
      <c r="AF51" s="66">
        <v>24.410929990820343</v>
      </c>
      <c r="AG51" s="66">
        <v>24.051810140507694</v>
      </c>
      <c r="AH51" s="66">
        <v>24.257400310509436</v>
      </c>
      <c r="AI51" s="66">
        <v>24.477272944185543</v>
      </c>
      <c r="AJ51" s="66">
        <v>24.474173309767945</v>
      </c>
      <c r="AK51" s="66">
        <v>24.413565570759179</v>
      </c>
      <c r="AL51" s="66">
        <v>24.539113608973441</v>
      </c>
      <c r="AM51" s="66">
        <v>24.637281085347485</v>
      </c>
      <c r="AN51" s="66">
        <v>24.83316738395952</v>
      </c>
    </row>
    <row r="52" spans="1:40" s="19" customFormat="1" ht="12.95" customHeight="1" x14ac:dyDescent="0.2">
      <c r="A52" s="23" t="s">
        <v>14</v>
      </c>
      <c r="B52" s="32">
        <v>43.43853646820714</v>
      </c>
      <c r="C52" s="32">
        <v>43.073425185504661</v>
      </c>
      <c r="D52" s="32">
        <v>43.05205313765353</v>
      </c>
      <c r="E52" s="32">
        <v>43.746306385623171</v>
      </c>
      <c r="F52" s="32">
        <v>44.167896785111935</v>
      </c>
      <c r="G52" s="32">
        <v>44.115175738268618</v>
      </c>
      <c r="H52" s="32">
        <v>43.041573233578468</v>
      </c>
      <c r="I52" s="32">
        <v>42.929882319427016</v>
      </c>
      <c r="J52" s="66">
        <v>42.766302488013189</v>
      </c>
      <c r="K52" s="66">
        <v>42.720719388542285</v>
      </c>
      <c r="L52" s="66">
        <v>42.828388367625806</v>
      </c>
      <c r="M52" s="66">
        <v>43.136828422070792</v>
      </c>
      <c r="N52" s="66">
        <v>43.363542160277433</v>
      </c>
      <c r="O52" s="66">
        <v>43.069884204048684</v>
      </c>
      <c r="P52" s="66">
        <v>42.287562269175297</v>
      </c>
      <c r="Q52" s="66">
        <v>41.622671993607405</v>
      </c>
      <c r="R52" s="66">
        <v>41.485361996906953</v>
      </c>
      <c r="S52" s="66">
        <v>41.842485272344135</v>
      </c>
      <c r="T52" s="66">
        <v>42.131805728585682</v>
      </c>
      <c r="U52" s="66">
        <v>42.024237852907845</v>
      </c>
      <c r="V52" s="66">
        <v>41.587120653005897</v>
      </c>
      <c r="W52" s="66">
        <v>41.445752657159723</v>
      </c>
      <c r="X52" s="66">
        <v>41.616893071933077</v>
      </c>
      <c r="Y52" s="66">
        <v>41.681969273276955</v>
      </c>
      <c r="Z52" s="66">
        <v>41.963751598409068</v>
      </c>
      <c r="AA52" s="66">
        <v>42.274385485199055</v>
      </c>
      <c r="AB52" s="66">
        <v>42.298352064328029</v>
      </c>
      <c r="AC52" s="66">
        <v>42.545106583890352</v>
      </c>
      <c r="AD52" s="66">
        <v>42.999516877821506</v>
      </c>
      <c r="AE52" s="66">
        <v>42.906259224545465</v>
      </c>
      <c r="AF52" s="66">
        <v>43.000919354932108</v>
      </c>
      <c r="AG52" s="66">
        <v>42.828455798559453</v>
      </c>
      <c r="AH52" s="66">
        <v>42.340878736868035</v>
      </c>
      <c r="AI52" s="66">
        <v>42.137091741692259</v>
      </c>
      <c r="AJ52" s="66">
        <v>42.254582924462539</v>
      </c>
      <c r="AK52" s="66">
        <v>42.360362789761318</v>
      </c>
      <c r="AL52" s="66">
        <v>42.323085277995197</v>
      </c>
      <c r="AM52" s="66">
        <v>41.98158129140355</v>
      </c>
      <c r="AN52" s="66">
        <v>41.59379930829494</v>
      </c>
    </row>
    <row r="53" spans="1:40" s="19" customFormat="1" ht="12.95" customHeight="1" x14ac:dyDescent="0.2">
      <c r="A53" s="21" t="s">
        <v>29</v>
      </c>
      <c r="B53" s="32"/>
      <c r="C53" s="32"/>
      <c r="D53" s="32"/>
      <c r="E53" s="32"/>
      <c r="F53" s="32"/>
      <c r="G53" s="32"/>
      <c r="H53" s="32"/>
      <c r="I53" s="32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 spans="1:40" s="27" customFormat="1" ht="12.95" customHeight="1" thickBot="1" x14ac:dyDescent="0.25">
      <c r="A54" s="25" t="s">
        <v>30</v>
      </c>
      <c r="B54" s="34">
        <v>6.9448582828565977</v>
      </c>
      <c r="C54" s="34">
        <v>6.9065837017520737</v>
      </c>
      <c r="D54" s="34">
        <v>7.0107536069249745</v>
      </c>
      <c r="E54" s="34">
        <v>7.1068143141982887</v>
      </c>
      <c r="F54" s="34">
        <v>7.1149697437296293</v>
      </c>
      <c r="G54" s="34">
        <v>7.2441524764425944</v>
      </c>
      <c r="H54" s="34">
        <v>7.2075974725655065</v>
      </c>
      <c r="I54" s="34">
        <v>7.3086653766442282</v>
      </c>
      <c r="J54" s="68">
        <v>7.5121151677739677</v>
      </c>
      <c r="K54" s="68">
        <v>7.58624805945706</v>
      </c>
      <c r="L54" s="68">
        <v>7.3711458129728777</v>
      </c>
      <c r="M54" s="68">
        <v>7.1943211392298227</v>
      </c>
      <c r="N54" s="68">
        <v>7.1773702118479887</v>
      </c>
      <c r="O54" s="68">
        <v>7.2182046616758297</v>
      </c>
      <c r="P54" s="68">
        <v>7.2864687846706326</v>
      </c>
      <c r="Q54" s="68">
        <v>7.30707614902997</v>
      </c>
      <c r="R54" s="68">
        <v>7.2651392926275689</v>
      </c>
      <c r="S54" s="68">
        <v>7.1682324076916908</v>
      </c>
      <c r="T54" s="68">
        <v>7.123521415879015</v>
      </c>
      <c r="U54" s="68">
        <v>7.1706251003581603</v>
      </c>
      <c r="V54" s="68">
        <v>7.4593268061082822</v>
      </c>
      <c r="W54" s="68">
        <v>7.7364895529707658</v>
      </c>
      <c r="X54" s="68">
        <v>7.652590658950043</v>
      </c>
      <c r="Y54" s="68">
        <v>7.4386851170543054</v>
      </c>
      <c r="Z54" s="68">
        <v>7.3847048966496258</v>
      </c>
      <c r="AA54" s="68">
        <v>7.4891185993912357</v>
      </c>
      <c r="AB54" s="68">
        <v>7.7601167084612737</v>
      </c>
      <c r="AC54" s="68">
        <v>7.9050874203699699</v>
      </c>
      <c r="AD54" s="68">
        <v>7.589152527008407</v>
      </c>
      <c r="AE54" s="68">
        <v>7.3947499353070016</v>
      </c>
      <c r="AF54" s="68">
        <v>7.3370570546199154</v>
      </c>
      <c r="AG54" s="68">
        <v>7.4112686154982343</v>
      </c>
      <c r="AH54" s="68">
        <v>7.5444766987766716</v>
      </c>
      <c r="AI54" s="68">
        <v>7.475145219153509</v>
      </c>
      <c r="AJ54" s="68">
        <v>7.3375365301227973</v>
      </c>
      <c r="AK54" s="68">
        <v>7.2555646997267758</v>
      </c>
      <c r="AL54" s="68">
        <v>7.2022460177676013</v>
      </c>
      <c r="AM54" s="68">
        <v>7.3911240603892177</v>
      </c>
      <c r="AN54" s="68">
        <v>7.7962687900652607</v>
      </c>
    </row>
    <row r="55" spans="1:40" s="19" customFormat="1" x14ac:dyDescent="0.2">
      <c r="A55" s="15" t="s">
        <v>63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</sheetData>
  <mergeCells count="17">
    <mergeCell ref="B30:E30"/>
    <mergeCell ref="B3:E3"/>
    <mergeCell ref="AH3:AK3"/>
    <mergeCell ref="AH30:AK30"/>
    <mergeCell ref="AD3:AG3"/>
    <mergeCell ref="Z3:AC3"/>
    <mergeCell ref="F30:H30"/>
    <mergeCell ref="F3:I3"/>
    <mergeCell ref="N30:Q30"/>
    <mergeCell ref="J3:M3"/>
    <mergeCell ref="R3:U3"/>
    <mergeCell ref="R30:U30"/>
    <mergeCell ref="N3:Q3"/>
    <mergeCell ref="V3:Y3"/>
    <mergeCell ref="V30:Y30"/>
    <mergeCell ref="J30:M30"/>
    <mergeCell ref="AD30:AG30"/>
  </mergeCells>
  <phoneticPr fontId="17" type="noConversion"/>
  <pageMargins left="0.23622047244094491" right="0.19685039370078741" top="0.47244094488188981" bottom="0.35433070866141736" header="0.31496062992125984" footer="0.31496062992125984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O37"/>
  <sheetViews>
    <sheetView view="pageBreakPreview" zoomScaleSheetLayoutView="100" workbookViewId="0">
      <pane xSplit="1" ySplit="4" topLeftCell="B5" activePane="bottomRight" state="frozen"/>
      <selection activeCell="B38" sqref="B38"/>
      <selection pane="topRight" activeCell="B38" sqref="B38"/>
      <selection pane="bottomLeft" activeCell="B38" sqref="B38"/>
      <selection pane="bottomRight" activeCell="B38" sqref="B38"/>
    </sheetView>
  </sheetViews>
  <sheetFormatPr defaultColWidth="9.140625" defaultRowHeight="12" x14ac:dyDescent="0.2"/>
  <cols>
    <col min="1" max="1" width="94.28515625" style="29" bestFit="1" customWidth="1"/>
    <col min="2" max="2" width="6.85546875" style="29" customWidth="1"/>
    <col min="3" max="4" width="6.85546875" style="29" bestFit="1" customWidth="1"/>
    <col min="5" max="9" width="6.85546875" style="29" customWidth="1"/>
    <col min="10" max="27" width="7.5703125" style="17" bestFit="1" customWidth="1"/>
    <col min="28" max="40" width="7.5703125" style="29" bestFit="1" customWidth="1"/>
    <col min="41" max="16384" width="9.140625" style="29"/>
  </cols>
  <sheetData>
    <row r="1" spans="1:41" ht="15" customHeight="1" x14ac:dyDescent="0.2">
      <c r="A1" s="18" t="s">
        <v>128</v>
      </c>
      <c r="C1" s="18"/>
    </row>
    <row r="2" spans="1:41" ht="0.75" customHeight="1" thickBot="1" x14ac:dyDescent="0.25"/>
    <row r="3" spans="1:41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60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  <c r="AM3" s="47" t="s">
        <v>125</v>
      </c>
      <c r="AN3" s="47" t="s">
        <v>125</v>
      </c>
    </row>
    <row r="4" spans="1:41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  <c r="AO4" s="61"/>
    </row>
    <row r="5" spans="1:41" s="20" customFormat="1" ht="18.95" customHeight="1" x14ac:dyDescent="0.2">
      <c r="A5" s="21" t="s">
        <v>80</v>
      </c>
      <c r="B5" s="41">
        <v>27781.609895438083</v>
      </c>
      <c r="C5" s="41">
        <v>26556.251952188679</v>
      </c>
      <c r="D5" s="41">
        <v>26726.92700551969</v>
      </c>
      <c r="E5" s="41">
        <v>27453.252068326685</v>
      </c>
      <c r="F5" s="41">
        <v>31469.715839254717</v>
      </c>
      <c r="G5" s="41">
        <v>28426.190687157312</v>
      </c>
      <c r="H5" s="41">
        <v>29432.327585544579</v>
      </c>
      <c r="I5" s="41">
        <v>31156.543343427078</v>
      </c>
      <c r="J5" s="73">
        <v>34170.142718837444</v>
      </c>
      <c r="K5" s="73">
        <v>32179.517893844299</v>
      </c>
      <c r="L5" s="73">
        <v>32231.229030984829</v>
      </c>
      <c r="M5" s="73">
        <v>33508.885145518492</v>
      </c>
      <c r="N5" s="73">
        <v>37947.730169409697</v>
      </c>
      <c r="O5" s="73">
        <v>36401.187369982457</v>
      </c>
      <c r="P5" s="73">
        <v>33706.780363949714</v>
      </c>
      <c r="Q5" s="73">
        <v>31633.34720487638</v>
      </c>
      <c r="R5" s="73">
        <v>38917.365969581289</v>
      </c>
      <c r="S5" s="73">
        <v>36898.260506459112</v>
      </c>
      <c r="T5" s="73">
        <v>35155.41737628464</v>
      </c>
      <c r="U5" s="73">
        <v>37339.203778033312</v>
      </c>
      <c r="V5" s="73">
        <v>41189.550589505619</v>
      </c>
      <c r="W5" s="73">
        <v>39860.897465433605</v>
      </c>
      <c r="X5" s="73">
        <v>39264.333917807213</v>
      </c>
      <c r="Y5" s="73">
        <v>42435.16530012415</v>
      </c>
      <c r="Z5" s="73">
        <v>48378.617719690337</v>
      </c>
      <c r="AA5" s="73">
        <v>44347.680024115711</v>
      </c>
      <c r="AB5" s="73">
        <v>42069.450198086422</v>
      </c>
      <c r="AC5" s="73">
        <v>48208.638370866283</v>
      </c>
      <c r="AD5" s="73">
        <v>53995.951064710105</v>
      </c>
      <c r="AE5" s="73">
        <v>49627.990831238545</v>
      </c>
      <c r="AF5" s="73">
        <v>47655.302276844079</v>
      </c>
      <c r="AG5" s="73">
        <v>52428.524056354887</v>
      </c>
      <c r="AH5" s="73">
        <v>59750.795737198125</v>
      </c>
      <c r="AI5" s="73">
        <v>55080.750030848409</v>
      </c>
      <c r="AJ5" s="73">
        <v>54731.590211173752</v>
      </c>
      <c r="AK5" s="73">
        <v>58311.460901050625</v>
      </c>
      <c r="AL5" s="73">
        <v>63157.283127666684</v>
      </c>
      <c r="AM5" s="73">
        <v>62002.550482666338</v>
      </c>
      <c r="AN5" s="73">
        <v>59699.382209701784</v>
      </c>
      <c r="AO5" s="41"/>
    </row>
    <row r="6" spans="1:41" s="54" customFormat="1" ht="18.95" customHeight="1" x14ac:dyDescent="0.2">
      <c r="A6" s="52" t="s">
        <v>81</v>
      </c>
      <c r="B6" s="53">
        <v>7991.3646471162165</v>
      </c>
      <c r="C6" s="53">
        <v>6125.1035399021548</v>
      </c>
      <c r="D6" s="53">
        <v>5423.5837948148073</v>
      </c>
      <c r="E6" s="53">
        <v>5917.0165982868402</v>
      </c>
      <c r="F6" s="53">
        <v>8972.0686335157898</v>
      </c>
      <c r="G6" s="53">
        <v>5833.1985163523623</v>
      </c>
      <c r="H6" s="53">
        <v>6099.1552522993816</v>
      </c>
      <c r="I6" s="53">
        <v>7108.6420299945612</v>
      </c>
      <c r="J6" s="74">
        <v>9059.0610643144828</v>
      </c>
      <c r="K6" s="74">
        <v>6874.6543731994616</v>
      </c>
      <c r="L6" s="74">
        <v>6663.3074215197375</v>
      </c>
      <c r="M6" s="74">
        <v>7711.648048314978</v>
      </c>
      <c r="N6" s="74">
        <v>10389.43304849762</v>
      </c>
      <c r="O6" s="74">
        <v>8269.9229167158792</v>
      </c>
      <c r="P6" s="74">
        <v>6828.2031533116733</v>
      </c>
      <c r="Q6" s="74">
        <v>7938.6795892379778</v>
      </c>
      <c r="R6" s="74">
        <v>11306.293667278125</v>
      </c>
      <c r="S6" s="74">
        <v>8735.8678872458113</v>
      </c>
      <c r="T6" s="74">
        <v>6678.9226912541289</v>
      </c>
      <c r="U6" s="74">
        <v>8638.7540498874805</v>
      </c>
      <c r="V6" s="74">
        <v>12412.526546856237</v>
      </c>
      <c r="W6" s="74">
        <v>9164.7519999540418</v>
      </c>
      <c r="X6" s="74">
        <v>7613.0954232812492</v>
      </c>
      <c r="Y6" s="74">
        <v>9888.6910103863211</v>
      </c>
      <c r="Z6" s="74">
        <v>14036.752582471041</v>
      </c>
      <c r="AA6" s="74">
        <v>10685.50166783197</v>
      </c>
      <c r="AB6" s="74">
        <v>8475.1112111979528</v>
      </c>
      <c r="AC6" s="74">
        <v>10887.612864827974</v>
      </c>
      <c r="AD6" s="74">
        <v>15360.926870550724</v>
      </c>
      <c r="AE6" s="74">
        <v>11599.13038389332</v>
      </c>
      <c r="AF6" s="74">
        <v>10012.47671290568</v>
      </c>
      <c r="AG6" s="74">
        <v>13178.180858542555</v>
      </c>
      <c r="AH6" s="74">
        <v>17960.237437287986</v>
      </c>
      <c r="AI6" s="74">
        <v>14039.991753709359</v>
      </c>
      <c r="AJ6" s="74">
        <v>12816.086470131642</v>
      </c>
      <c r="AK6" s="74">
        <v>14733.108225939495</v>
      </c>
      <c r="AL6" s="74">
        <v>18404.37903630059</v>
      </c>
      <c r="AM6" s="74">
        <v>15897.612406637558</v>
      </c>
      <c r="AN6" s="74">
        <v>13404.201093471049</v>
      </c>
      <c r="AO6" s="41"/>
    </row>
    <row r="7" spans="1:41" s="19" customFormat="1" ht="18.95" customHeight="1" x14ac:dyDescent="0.2">
      <c r="A7" s="37" t="s">
        <v>2</v>
      </c>
      <c r="B7" s="16">
        <v>502.65666911781847</v>
      </c>
      <c r="C7" s="16">
        <v>751.07718079936365</v>
      </c>
      <c r="D7" s="16">
        <v>754.28278673506895</v>
      </c>
      <c r="E7" s="16">
        <v>543.93306328157337</v>
      </c>
      <c r="F7" s="16">
        <v>752.87565733828467</v>
      </c>
      <c r="G7" s="16">
        <v>713.45308507953007</v>
      </c>
      <c r="H7" s="16">
        <v>741.96056618872524</v>
      </c>
      <c r="I7" s="16">
        <v>496.45531693076708</v>
      </c>
      <c r="J7" s="64">
        <v>704.08437325604666</v>
      </c>
      <c r="K7" s="64">
        <v>708.41614223015699</v>
      </c>
      <c r="L7" s="64">
        <v>716.98630892950109</v>
      </c>
      <c r="M7" s="64">
        <v>479.86679497128864</v>
      </c>
      <c r="N7" s="64">
        <v>635.44023378216241</v>
      </c>
      <c r="O7" s="64">
        <v>762.5782981641554</v>
      </c>
      <c r="P7" s="64">
        <v>883.53663131809287</v>
      </c>
      <c r="Q7" s="64">
        <v>466.1875016416538</v>
      </c>
      <c r="R7" s="64">
        <v>653.31189551991497</v>
      </c>
      <c r="S7" s="64">
        <v>770.17184004488206</v>
      </c>
      <c r="T7" s="64">
        <v>944.07896295479691</v>
      </c>
      <c r="U7" s="64">
        <v>683.12474407196805</v>
      </c>
      <c r="V7" s="64">
        <v>963.67320432667759</v>
      </c>
      <c r="W7" s="64">
        <v>1267.2559485369561</v>
      </c>
      <c r="X7" s="64">
        <v>1335.4338207828507</v>
      </c>
      <c r="Y7" s="64">
        <v>895.36398295620086</v>
      </c>
      <c r="Z7" s="64">
        <v>1178.6561815297207</v>
      </c>
      <c r="AA7" s="64">
        <v>1165.7458616366891</v>
      </c>
      <c r="AB7" s="64">
        <v>1312.0431286869168</v>
      </c>
      <c r="AC7" s="64">
        <v>993.60980975365032</v>
      </c>
      <c r="AD7" s="64">
        <v>1491.8159798139252</v>
      </c>
      <c r="AE7" s="64">
        <v>1726.5313232287649</v>
      </c>
      <c r="AF7" s="64">
        <v>2307.120756331034</v>
      </c>
      <c r="AG7" s="64">
        <v>1703.5454581196357</v>
      </c>
      <c r="AH7" s="64">
        <v>2195.4598054154576</v>
      </c>
      <c r="AI7" s="64">
        <v>2684.2003105056674</v>
      </c>
      <c r="AJ7" s="64">
        <v>3409.6447797326905</v>
      </c>
      <c r="AK7" s="64">
        <v>3084.8111134159553</v>
      </c>
      <c r="AL7" s="64">
        <v>2674.6539357077872</v>
      </c>
      <c r="AM7" s="64">
        <v>3129.8350736218804</v>
      </c>
      <c r="AN7" s="64">
        <v>3673.9815819008077</v>
      </c>
      <c r="AO7" s="41"/>
    </row>
    <row r="8" spans="1:41" s="19" customFormat="1" ht="18.95" customHeight="1" x14ac:dyDescent="0.2">
      <c r="A8" s="37" t="s">
        <v>3</v>
      </c>
      <c r="B8" s="16">
        <v>5300.4842468291254</v>
      </c>
      <c r="C8" s="16">
        <v>2966.9461228406185</v>
      </c>
      <c r="D8" s="16">
        <v>2176.7853271495646</v>
      </c>
      <c r="E8" s="16">
        <v>2950.7293185263079</v>
      </c>
      <c r="F8" s="16">
        <v>6000.2896257883949</v>
      </c>
      <c r="G8" s="16">
        <v>3051.1624763247682</v>
      </c>
      <c r="H8" s="16">
        <v>2504.8736854320455</v>
      </c>
      <c r="I8" s="16">
        <v>3412.2630593253648</v>
      </c>
      <c r="J8" s="64">
        <v>5708.201291946627</v>
      </c>
      <c r="K8" s="64">
        <v>3153.4908444714461</v>
      </c>
      <c r="L8" s="64">
        <v>2581.0563807550884</v>
      </c>
      <c r="M8" s="64">
        <v>3748.3098471528997</v>
      </c>
      <c r="N8" s="64">
        <v>6313.6337814540229</v>
      </c>
      <c r="O8" s="64">
        <v>3564.9344690084399</v>
      </c>
      <c r="P8" s="64">
        <v>2335.0962141693531</v>
      </c>
      <c r="Q8" s="64">
        <v>3963.5343072857627</v>
      </c>
      <c r="R8" s="64">
        <v>7098.6106767931242</v>
      </c>
      <c r="S8" s="64">
        <v>3709.1473077697356</v>
      </c>
      <c r="T8" s="64">
        <v>2043.6216204914899</v>
      </c>
      <c r="U8" s="64">
        <v>4149.9777805625818</v>
      </c>
      <c r="V8" s="64">
        <v>7579.6053802387341</v>
      </c>
      <c r="W8" s="64">
        <v>3988.5494592806376</v>
      </c>
      <c r="X8" s="64">
        <v>2164.6293293861108</v>
      </c>
      <c r="Y8" s="64">
        <v>4810.3333714183555</v>
      </c>
      <c r="Z8" s="64">
        <v>9061.180474492161</v>
      </c>
      <c r="AA8" s="64">
        <v>5177.6250841208139</v>
      </c>
      <c r="AB8" s="64">
        <v>2233.2775489151168</v>
      </c>
      <c r="AC8" s="64">
        <v>5195.8009184111588</v>
      </c>
      <c r="AD8" s="64">
        <v>9529.2305343158005</v>
      </c>
      <c r="AE8" s="64">
        <v>5233.7618576555242</v>
      </c>
      <c r="AF8" s="64">
        <v>2437.5468971220917</v>
      </c>
      <c r="AG8" s="64">
        <v>5804.2440529296236</v>
      </c>
      <c r="AH8" s="64">
        <v>10829.919451285887</v>
      </c>
      <c r="AI8" s="64">
        <v>6027.9999453487262</v>
      </c>
      <c r="AJ8" s="64">
        <v>2753.1022074972802</v>
      </c>
      <c r="AK8" s="64">
        <v>5362.6645462447786</v>
      </c>
      <c r="AL8" s="64">
        <v>9976.2507114858217</v>
      </c>
      <c r="AM8" s="64">
        <v>6691.1199945173557</v>
      </c>
      <c r="AN8" s="64">
        <v>3032.7021614179307</v>
      </c>
      <c r="AO8" s="41"/>
    </row>
    <row r="9" spans="1:41" s="19" customFormat="1" ht="18.95" customHeight="1" x14ac:dyDescent="0.2">
      <c r="A9" s="37" t="s">
        <v>4</v>
      </c>
      <c r="B9" s="16">
        <v>791.93028245145138</v>
      </c>
      <c r="C9" s="16">
        <v>810.3997767440992</v>
      </c>
      <c r="D9" s="16">
        <v>844.63287381764519</v>
      </c>
      <c r="E9" s="16">
        <v>862.12731655761002</v>
      </c>
      <c r="F9" s="16">
        <v>937.18916385244472</v>
      </c>
      <c r="G9" s="16">
        <v>948.23582756842768</v>
      </c>
      <c r="H9" s="16">
        <v>989.46548971612594</v>
      </c>
      <c r="I9" s="16">
        <v>1000.6767127017608</v>
      </c>
      <c r="J9" s="64">
        <v>1060.1873543712907</v>
      </c>
      <c r="K9" s="64">
        <v>1098.1021187427452</v>
      </c>
      <c r="L9" s="64">
        <v>1155.521164871509</v>
      </c>
      <c r="M9" s="64">
        <v>1176.584093298778</v>
      </c>
      <c r="N9" s="64">
        <v>1232.4239024791839</v>
      </c>
      <c r="O9" s="64">
        <v>1287.2703150270545</v>
      </c>
      <c r="P9" s="64">
        <v>1357.4808724651004</v>
      </c>
      <c r="Q9" s="64">
        <v>1390.7075774446821</v>
      </c>
      <c r="R9" s="64">
        <v>1416.1365878863458</v>
      </c>
      <c r="S9" s="64">
        <v>1444.0069267269712</v>
      </c>
      <c r="T9" s="64">
        <v>1446.6104171248776</v>
      </c>
      <c r="U9" s="64">
        <v>1528.6445164772326</v>
      </c>
      <c r="V9" s="64">
        <v>1580.7986224276603</v>
      </c>
      <c r="W9" s="64">
        <v>1620.9030218850296</v>
      </c>
      <c r="X9" s="64">
        <v>1608.505883469491</v>
      </c>
      <c r="Y9" s="64">
        <v>1645.7177096959881</v>
      </c>
      <c r="Z9" s="64">
        <v>1734.7577165988432</v>
      </c>
      <c r="AA9" s="64">
        <v>1796.0093749742052</v>
      </c>
      <c r="AB9" s="64">
        <v>1925.6789195650349</v>
      </c>
      <c r="AC9" s="64">
        <v>1973.1763208531684</v>
      </c>
      <c r="AD9" s="64">
        <v>2019.4244959677467</v>
      </c>
      <c r="AE9" s="64">
        <v>2079.7605485307404</v>
      </c>
      <c r="AF9" s="64">
        <v>2173.7322579593406</v>
      </c>
      <c r="AG9" s="64">
        <v>2249.4310849674848</v>
      </c>
      <c r="AH9" s="64">
        <v>2359.8512586976499</v>
      </c>
      <c r="AI9" s="64">
        <v>2447.5508112483831</v>
      </c>
      <c r="AJ9" s="64">
        <v>2584.3719612851264</v>
      </c>
      <c r="AK9" s="64">
        <v>2680.9484440942019</v>
      </c>
      <c r="AL9" s="64">
        <v>2751.6213786938201</v>
      </c>
      <c r="AM9" s="64">
        <v>2831.8724176148939</v>
      </c>
      <c r="AN9" s="64">
        <v>2894.6774405347751</v>
      </c>
      <c r="AO9" s="41"/>
    </row>
    <row r="10" spans="1:41" s="19" customFormat="1" ht="18.95" customHeight="1" x14ac:dyDescent="0.2">
      <c r="A10" s="37" t="s">
        <v>5</v>
      </c>
      <c r="B10" s="16">
        <v>5.5573175795983989</v>
      </c>
      <c r="C10" s="16">
        <v>3.5699940288971312</v>
      </c>
      <c r="D10" s="16">
        <v>2.8036593782953032</v>
      </c>
      <c r="E10" s="16">
        <v>4.5414687877562496</v>
      </c>
      <c r="F10" s="16">
        <v>4.8728898020449103</v>
      </c>
      <c r="G10" s="16">
        <v>2.9757838849012908</v>
      </c>
      <c r="H10" s="16">
        <v>2.3847567090937773</v>
      </c>
      <c r="I10" s="16">
        <v>4.235900612089802</v>
      </c>
      <c r="J10" s="64">
        <v>5.6741825942261128</v>
      </c>
      <c r="K10" s="64">
        <v>3.8831840105822466</v>
      </c>
      <c r="L10" s="64">
        <v>3.1568801347685569</v>
      </c>
      <c r="M10" s="64">
        <v>5.5620721607463093</v>
      </c>
      <c r="N10" s="64">
        <v>6.7806291860010681</v>
      </c>
      <c r="O10" s="64">
        <v>4.4773858086601921</v>
      </c>
      <c r="P10" s="64">
        <v>3.3189420516925119</v>
      </c>
      <c r="Q10" s="64">
        <v>4.9018182294226476</v>
      </c>
      <c r="R10" s="64">
        <v>6.1901510338824206</v>
      </c>
      <c r="S10" s="64">
        <v>4.3321712924439435</v>
      </c>
      <c r="T10" s="64">
        <v>3.9535118194829413</v>
      </c>
      <c r="U10" s="64">
        <v>5.6552449164358993</v>
      </c>
      <c r="V10" s="64">
        <v>6.9131004155004385</v>
      </c>
      <c r="W10" s="64">
        <v>4.6966076312278959</v>
      </c>
      <c r="X10" s="64">
        <v>4.0230610083362262</v>
      </c>
      <c r="Y10" s="64">
        <v>5.7194254050485878</v>
      </c>
      <c r="Z10" s="64">
        <v>7.0353665507856613</v>
      </c>
      <c r="AA10" s="64">
        <v>4.8088384442864012</v>
      </c>
      <c r="AB10" s="64">
        <v>4.3811022735529246</v>
      </c>
      <c r="AC10" s="64">
        <v>6.0744905511471439</v>
      </c>
      <c r="AD10" s="64">
        <v>7.4361782949579958</v>
      </c>
      <c r="AE10" s="64">
        <v>5.0820609328215145</v>
      </c>
      <c r="AF10" s="64">
        <v>4.6891452937212623</v>
      </c>
      <c r="AG10" s="64">
        <v>6.4557273335047682</v>
      </c>
      <c r="AH10" s="64">
        <v>7.9175862143683329</v>
      </c>
      <c r="AI10" s="64">
        <v>5.1927542012273742</v>
      </c>
      <c r="AJ10" s="64">
        <v>4.5396427909219144</v>
      </c>
      <c r="AK10" s="64">
        <v>6.8605698460533695</v>
      </c>
      <c r="AL10" s="64">
        <v>7.1206399709814105</v>
      </c>
      <c r="AM10" s="64">
        <v>5.3742608779499115</v>
      </c>
      <c r="AN10" s="64">
        <v>5.0490382121978303</v>
      </c>
      <c r="AO10" s="41"/>
    </row>
    <row r="11" spans="1:41" s="19" customFormat="1" ht="18.95" customHeight="1" x14ac:dyDescent="0.2">
      <c r="A11" s="37" t="s">
        <v>6</v>
      </c>
      <c r="B11" s="16">
        <v>844.98571298969625</v>
      </c>
      <c r="C11" s="16">
        <v>1030.3662031192441</v>
      </c>
      <c r="D11" s="16">
        <v>1089.0502178781123</v>
      </c>
      <c r="E11" s="16">
        <v>1038.1723390367249</v>
      </c>
      <c r="F11" s="16">
        <v>814.17001054726313</v>
      </c>
      <c r="G11" s="16">
        <v>636.38664119028454</v>
      </c>
      <c r="H11" s="16">
        <v>1430.2944568161772</v>
      </c>
      <c r="I11" s="16">
        <v>1680.7869129431906</v>
      </c>
      <c r="J11" s="64">
        <v>978.40176459346537</v>
      </c>
      <c r="K11" s="64">
        <v>1210.1623723642206</v>
      </c>
      <c r="L11" s="64">
        <v>1371.7678162075072</v>
      </c>
      <c r="M11" s="64">
        <v>1485.6489752369694</v>
      </c>
      <c r="N11" s="64">
        <v>1379.4535922460161</v>
      </c>
      <c r="O11" s="64">
        <v>1712.9925266605755</v>
      </c>
      <c r="P11" s="64">
        <v>1347.1357092508786</v>
      </c>
      <c r="Q11" s="64">
        <v>1311.8984462107489</v>
      </c>
      <c r="R11" s="64">
        <v>1255.8631985222657</v>
      </c>
      <c r="S11" s="64">
        <v>1934.1619018707897</v>
      </c>
      <c r="T11" s="64">
        <v>1442.5750807371885</v>
      </c>
      <c r="U11" s="64">
        <v>1469.0786259302995</v>
      </c>
      <c r="V11" s="64">
        <v>1453.4756527275604</v>
      </c>
      <c r="W11" s="64">
        <v>1508.4172414652458</v>
      </c>
      <c r="X11" s="64">
        <v>1678.2053095224944</v>
      </c>
      <c r="Y11" s="64">
        <v>1658.8692834936205</v>
      </c>
      <c r="Z11" s="64">
        <v>1573.3056716174881</v>
      </c>
      <c r="AA11" s="64">
        <v>1663.3362705377863</v>
      </c>
      <c r="AB11" s="64">
        <v>1752.361917958166</v>
      </c>
      <c r="AC11" s="64">
        <v>1754.9648339651376</v>
      </c>
      <c r="AD11" s="64">
        <v>1767.7760197485936</v>
      </c>
      <c r="AE11" s="64">
        <v>1783.2600705206992</v>
      </c>
      <c r="AF11" s="64">
        <v>1864.0281659978152</v>
      </c>
      <c r="AG11" s="64">
        <v>2203.5933727484103</v>
      </c>
      <c r="AH11" s="64">
        <v>2003.6504225461126</v>
      </c>
      <c r="AI11" s="64">
        <v>2019.0431791575152</v>
      </c>
      <c r="AJ11" s="64">
        <v>2218.3487726952403</v>
      </c>
      <c r="AK11" s="64">
        <v>2229.0716050728797</v>
      </c>
      <c r="AL11" s="64">
        <v>2269.7363255102059</v>
      </c>
      <c r="AM11" s="64">
        <v>2224.7439533823517</v>
      </c>
      <c r="AN11" s="64">
        <v>2022.9573777443413</v>
      </c>
      <c r="AO11" s="41"/>
    </row>
    <row r="12" spans="1:41" s="19" customFormat="1" ht="18.95" customHeight="1" x14ac:dyDescent="0.2">
      <c r="A12" s="37" t="s">
        <v>7</v>
      </c>
      <c r="B12" s="16">
        <v>545.75041814852659</v>
      </c>
      <c r="C12" s="16">
        <v>562.74426236993122</v>
      </c>
      <c r="D12" s="16">
        <v>556.02892985612107</v>
      </c>
      <c r="E12" s="16">
        <v>517.51309209686713</v>
      </c>
      <c r="F12" s="16">
        <v>462.67128618735899</v>
      </c>
      <c r="G12" s="16">
        <v>480.98470230445139</v>
      </c>
      <c r="H12" s="16">
        <v>430.17629743721443</v>
      </c>
      <c r="I12" s="16">
        <v>514.22412748138856</v>
      </c>
      <c r="J12" s="64">
        <v>602.51209755282594</v>
      </c>
      <c r="K12" s="64">
        <v>700.59971138031074</v>
      </c>
      <c r="L12" s="64">
        <v>834.81887062136377</v>
      </c>
      <c r="M12" s="64">
        <v>815.67626549429656</v>
      </c>
      <c r="N12" s="64">
        <v>821.70090935023381</v>
      </c>
      <c r="O12" s="64">
        <v>937.66992204699375</v>
      </c>
      <c r="P12" s="64">
        <v>901.63478405655496</v>
      </c>
      <c r="Q12" s="64">
        <v>801.44993842570659</v>
      </c>
      <c r="R12" s="64">
        <v>876.18115752259189</v>
      </c>
      <c r="S12" s="64">
        <v>874.04773954099039</v>
      </c>
      <c r="T12" s="64">
        <v>798.08309812629375</v>
      </c>
      <c r="U12" s="64">
        <v>802.27313792896166</v>
      </c>
      <c r="V12" s="64">
        <v>828.0605867201034</v>
      </c>
      <c r="W12" s="64">
        <v>774.92972115494501</v>
      </c>
      <c r="X12" s="64">
        <v>822.29801911196557</v>
      </c>
      <c r="Y12" s="64">
        <v>872.68723741710778</v>
      </c>
      <c r="Z12" s="64">
        <v>481.81717168204028</v>
      </c>
      <c r="AA12" s="64">
        <v>877.97623811818846</v>
      </c>
      <c r="AB12" s="64">
        <v>1247.3685937991645</v>
      </c>
      <c r="AC12" s="64">
        <v>963.98649129371256</v>
      </c>
      <c r="AD12" s="64">
        <v>545.24366240969869</v>
      </c>
      <c r="AE12" s="64">
        <v>770.73452302476767</v>
      </c>
      <c r="AF12" s="64">
        <v>1225.3594902016773</v>
      </c>
      <c r="AG12" s="64">
        <v>1210.911162443896</v>
      </c>
      <c r="AH12" s="64">
        <v>563.43891312851031</v>
      </c>
      <c r="AI12" s="64">
        <v>856.00475324783849</v>
      </c>
      <c r="AJ12" s="64">
        <v>1846.0791061303819</v>
      </c>
      <c r="AK12" s="64">
        <v>1368.7519472656256</v>
      </c>
      <c r="AL12" s="64">
        <v>724.99604493197467</v>
      </c>
      <c r="AM12" s="64">
        <v>1014.6667066231264</v>
      </c>
      <c r="AN12" s="64">
        <v>1774.8334936609954</v>
      </c>
      <c r="AO12" s="41"/>
    </row>
    <row r="13" spans="1:41" s="54" customFormat="1" ht="18.95" customHeight="1" x14ac:dyDescent="0.2">
      <c r="A13" s="52" t="s">
        <v>82</v>
      </c>
      <c r="B13" s="53">
        <v>6561.1346272721585</v>
      </c>
      <c r="C13" s="53">
        <v>6994.9487877034371</v>
      </c>
      <c r="D13" s="53">
        <v>7453.1435710448031</v>
      </c>
      <c r="E13" s="53">
        <v>7239.0986189742198</v>
      </c>
      <c r="F13" s="53">
        <v>7539.6546123911157</v>
      </c>
      <c r="G13" s="53">
        <v>7698.2710981872769</v>
      </c>
      <c r="H13" s="53">
        <v>8027.8719382761346</v>
      </c>
      <c r="I13" s="53">
        <v>8344.6025996332828</v>
      </c>
      <c r="J13" s="74">
        <v>8671.8437230827803</v>
      </c>
      <c r="K13" s="74">
        <v>8751.1539005252598</v>
      </c>
      <c r="L13" s="74">
        <v>8922.9406787596745</v>
      </c>
      <c r="M13" s="74">
        <v>8816.93657668993</v>
      </c>
      <c r="N13" s="74">
        <v>9321.8087764783249</v>
      </c>
      <c r="O13" s="74">
        <v>9805.8538907587154</v>
      </c>
      <c r="P13" s="74">
        <v>9512.1912655597316</v>
      </c>
      <c r="Q13" s="74">
        <v>8364.5069069389101</v>
      </c>
      <c r="R13" s="74">
        <v>9669.772299304941</v>
      </c>
      <c r="S13" s="74">
        <v>10119.775238707325</v>
      </c>
      <c r="T13" s="74">
        <v>10232.130617252133</v>
      </c>
      <c r="U13" s="74">
        <v>10243.726043693581</v>
      </c>
      <c r="V13" s="74">
        <v>9974.8939100686584</v>
      </c>
      <c r="W13" s="74">
        <v>10706.203394707018</v>
      </c>
      <c r="X13" s="74">
        <v>11254.459521204088</v>
      </c>
      <c r="Y13" s="74">
        <v>11626.335961868514</v>
      </c>
      <c r="Z13" s="74">
        <v>11809.44323762229</v>
      </c>
      <c r="AA13" s="74">
        <v>11320.87595456811</v>
      </c>
      <c r="AB13" s="74">
        <v>11389.284129736043</v>
      </c>
      <c r="AC13" s="74">
        <v>12609.903228709665</v>
      </c>
      <c r="AD13" s="74">
        <v>13316.214379423755</v>
      </c>
      <c r="AE13" s="74">
        <v>12450.961856293405</v>
      </c>
      <c r="AF13" s="74">
        <v>12312.100348608132</v>
      </c>
      <c r="AG13" s="74">
        <v>12574.315171792286</v>
      </c>
      <c r="AH13" s="74">
        <v>13811.439953059842</v>
      </c>
      <c r="AI13" s="74">
        <v>13524.98463182637</v>
      </c>
      <c r="AJ13" s="74">
        <v>13728.091210883995</v>
      </c>
      <c r="AK13" s="74">
        <v>14244.257530950594</v>
      </c>
      <c r="AL13" s="74">
        <v>14866.433848605006</v>
      </c>
      <c r="AM13" s="74">
        <v>15240.262460924663</v>
      </c>
      <c r="AN13" s="74">
        <v>15418.180121378142</v>
      </c>
      <c r="AO13" s="41"/>
    </row>
    <row r="14" spans="1:41" s="19" customFormat="1" ht="18.95" customHeight="1" x14ac:dyDescent="0.2">
      <c r="A14" s="37" t="s">
        <v>9</v>
      </c>
      <c r="B14" s="16">
        <v>301.2704454052909</v>
      </c>
      <c r="C14" s="16">
        <v>291.75029279621123</v>
      </c>
      <c r="D14" s="16">
        <v>392.30159743939168</v>
      </c>
      <c r="E14" s="16">
        <v>351.79500461637281</v>
      </c>
      <c r="F14" s="16">
        <v>335.63768158267419</v>
      </c>
      <c r="G14" s="16">
        <v>268.53881050231047</v>
      </c>
      <c r="H14" s="16">
        <v>395.10215847445676</v>
      </c>
      <c r="I14" s="16">
        <v>537.17782078066068</v>
      </c>
      <c r="J14" s="64">
        <v>637.03800438115434</v>
      </c>
      <c r="K14" s="64">
        <v>438.71573867746497</v>
      </c>
      <c r="L14" s="64">
        <v>652.21491336758641</v>
      </c>
      <c r="M14" s="64">
        <v>539.32647735942362</v>
      </c>
      <c r="N14" s="64">
        <v>565.50100003111572</v>
      </c>
      <c r="O14" s="64">
        <v>603.74467534025621</v>
      </c>
      <c r="P14" s="64">
        <v>628.12913818727372</v>
      </c>
      <c r="Q14" s="64">
        <v>468.93375386574581</v>
      </c>
      <c r="R14" s="64">
        <v>864.61045079720088</v>
      </c>
      <c r="S14" s="64">
        <v>696.87361304916737</v>
      </c>
      <c r="T14" s="64">
        <v>663.69113609150304</v>
      </c>
      <c r="U14" s="64">
        <v>570.99640758860426</v>
      </c>
      <c r="V14" s="64">
        <v>383.39045171316019</v>
      </c>
      <c r="W14" s="64">
        <v>458.87634504561714</v>
      </c>
      <c r="X14" s="64">
        <v>751.1282311103264</v>
      </c>
      <c r="Y14" s="64">
        <v>733.69422658308838</v>
      </c>
      <c r="Z14" s="64">
        <v>564.877347055413</v>
      </c>
      <c r="AA14" s="64">
        <v>320.49496792919274</v>
      </c>
      <c r="AB14" s="64">
        <v>446.15520444149189</v>
      </c>
      <c r="AC14" s="64">
        <v>1354.2368919535775</v>
      </c>
      <c r="AD14" s="64">
        <v>1288.3211549812067</v>
      </c>
      <c r="AE14" s="64">
        <v>623.75528998753543</v>
      </c>
      <c r="AF14" s="64">
        <v>423.85763892738538</v>
      </c>
      <c r="AG14" s="64">
        <v>264.33641445123538</v>
      </c>
      <c r="AH14" s="64">
        <v>778.11805339757234</v>
      </c>
      <c r="AI14" s="64">
        <v>922.60717461908689</v>
      </c>
      <c r="AJ14" s="64">
        <v>527.29785132643701</v>
      </c>
      <c r="AK14" s="64">
        <v>393.91160458207855</v>
      </c>
      <c r="AL14" s="64">
        <v>774.22083476668934</v>
      </c>
      <c r="AM14" s="64">
        <v>938.70200468526275</v>
      </c>
      <c r="AN14" s="64">
        <v>617.77258745376912</v>
      </c>
      <c r="AO14" s="20"/>
    </row>
    <row r="15" spans="1:41" s="19" customFormat="1" ht="18.95" customHeight="1" x14ac:dyDescent="0.2">
      <c r="A15" s="24" t="s">
        <v>10</v>
      </c>
      <c r="B15" s="16">
        <v>3861.4137638788129</v>
      </c>
      <c r="C15" s="16">
        <v>4164.1313068362315</v>
      </c>
      <c r="D15" s="16">
        <v>4528.7288330335823</v>
      </c>
      <c r="E15" s="16">
        <v>4290.9773429695988</v>
      </c>
      <c r="F15" s="16">
        <v>4590.8366029516465</v>
      </c>
      <c r="G15" s="16">
        <v>4710.8602208961693</v>
      </c>
      <c r="H15" s="16">
        <v>4845.1857971503623</v>
      </c>
      <c r="I15" s="16">
        <v>4864.8388804598153</v>
      </c>
      <c r="J15" s="64">
        <v>5004.0470033161064</v>
      </c>
      <c r="K15" s="64">
        <v>5179.6301803675378</v>
      </c>
      <c r="L15" s="64">
        <v>5171.4207011618037</v>
      </c>
      <c r="M15" s="64">
        <v>5074.312836750425</v>
      </c>
      <c r="N15" s="64">
        <v>5636.1116405828861</v>
      </c>
      <c r="O15" s="64">
        <v>5973.3991035165436</v>
      </c>
      <c r="P15" s="64">
        <v>5618.4382159255701</v>
      </c>
      <c r="Q15" s="64">
        <v>4836.2943278643816</v>
      </c>
      <c r="R15" s="64">
        <v>5943.6952293869872</v>
      </c>
      <c r="S15" s="64">
        <v>6129.0523718058103</v>
      </c>
      <c r="T15" s="64">
        <v>6166.7243414000004</v>
      </c>
      <c r="U15" s="64">
        <v>6133.4621717656937</v>
      </c>
      <c r="V15" s="64">
        <v>5940.7007128873693</v>
      </c>
      <c r="W15" s="64">
        <v>6600.2001390985952</v>
      </c>
      <c r="X15" s="64">
        <v>6936.98029685456</v>
      </c>
      <c r="Y15" s="64">
        <v>7167.328164719127</v>
      </c>
      <c r="Z15" s="64">
        <v>7346.4138746858816</v>
      </c>
      <c r="AA15" s="64">
        <v>7213.0526586347414</v>
      </c>
      <c r="AB15" s="64">
        <v>7062.8799296246398</v>
      </c>
      <c r="AC15" s="64">
        <v>7016.6480514392251</v>
      </c>
      <c r="AD15" s="64">
        <v>7783.110559867524</v>
      </c>
      <c r="AE15" s="64">
        <v>7496.233987317255</v>
      </c>
      <c r="AF15" s="64">
        <v>7637.2330434501846</v>
      </c>
      <c r="AG15" s="64">
        <v>7862.0185348431687</v>
      </c>
      <c r="AH15" s="64">
        <v>8510.1527013635605</v>
      </c>
      <c r="AI15" s="64">
        <v>7779.2831884015413</v>
      </c>
      <c r="AJ15" s="64">
        <v>8206.7500051739953</v>
      </c>
      <c r="AK15" s="64">
        <v>8485.4942949955821</v>
      </c>
      <c r="AL15" s="64">
        <v>8937.1591334563036</v>
      </c>
      <c r="AM15" s="64">
        <v>8871.1458398545437</v>
      </c>
      <c r="AN15" s="64">
        <v>9194.0582254713136</v>
      </c>
      <c r="AO15" s="20"/>
    </row>
    <row r="16" spans="1:41" s="19" customFormat="1" ht="18.95" customHeight="1" x14ac:dyDescent="0.2">
      <c r="A16" s="24" t="s">
        <v>11</v>
      </c>
      <c r="B16" s="16">
        <v>310.99941013169092</v>
      </c>
      <c r="C16" s="16">
        <v>318.75217513063706</v>
      </c>
      <c r="D16" s="16">
        <v>382.45301823949364</v>
      </c>
      <c r="E16" s="16">
        <v>367.27175540421837</v>
      </c>
      <c r="F16" s="16">
        <v>381.62613249338483</v>
      </c>
      <c r="G16" s="16">
        <v>378.96575824237391</v>
      </c>
      <c r="H16" s="16">
        <v>399.47413823590961</v>
      </c>
      <c r="I16" s="16">
        <v>386.3106946883201</v>
      </c>
      <c r="J16" s="64">
        <v>429.82338726626335</v>
      </c>
      <c r="K16" s="64">
        <v>425.35892603618066</v>
      </c>
      <c r="L16" s="64">
        <v>438.45843444075854</v>
      </c>
      <c r="M16" s="64">
        <v>448.96849141931102</v>
      </c>
      <c r="N16" s="64">
        <v>479.23869340143125</v>
      </c>
      <c r="O16" s="64">
        <v>492.02006049982657</v>
      </c>
      <c r="P16" s="64">
        <v>513.41511310958322</v>
      </c>
      <c r="Q16" s="64">
        <v>447.15501963437077</v>
      </c>
      <c r="R16" s="64">
        <v>520.94565898383246</v>
      </c>
      <c r="S16" s="64">
        <v>531.21854893960256</v>
      </c>
      <c r="T16" s="64">
        <v>543.2640346253504</v>
      </c>
      <c r="U16" s="64">
        <v>538.82997799952943</v>
      </c>
      <c r="V16" s="64">
        <v>535.8361577522611</v>
      </c>
      <c r="W16" s="64">
        <v>540.68732779746551</v>
      </c>
      <c r="X16" s="64">
        <v>551.38207075763648</v>
      </c>
      <c r="Y16" s="64">
        <v>552.35776520625245</v>
      </c>
      <c r="Z16" s="64">
        <v>580.95981044657287</v>
      </c>
      <c r="AA16" s="64">
        <v>533.40420406564931</v>
      </c>
      <c r="AB16" s="64">
        <v>537.67266542310608</v>
      </c>
      <c r="AC16" s="64">
        <v>535.80442856643322</v>
      </c>
      <c r="AD16" s="64">
        <v>553.46383205199072</v>
      </c>
      <c r="AE16" s="64">
        <v>542.66136453666809</v>
      </c>
      <c r="AF16" s="64">
        <v>549.45216033139445</v>
      </c>
      <c r="AG16" s="64">
        <v>557.23549728168973</v>
      </c>
      <c r="AH16" s="64">
        <v>576.0462367886181</v>
      </c>
      <c r="AI16" s="64">
        <v>591.73519858382997</v>
      </c>
      <c r="AJ16" s="64">
        <v>611.26420174598059</v>
      </c>
      <c r="AK16" s="64">
        <v>611.45335685307293</v>
      </c>
      <c r="AL16" s="64">
        <v>690.76711968679513</v>
      </c>
      <c r="AM16" s="64">
        <v>623.63970282438459</v>
      </c>
      <c r="AN16" s="64">
        <v>640.02959031344187</v>
      </c>
      <c r="AO16" s="20"/>
    </row>
    <row r="17" spans="1:41" s="19" customFormat="1" ht="18.95" customHeight="1" x14ac:dyDescent="0.2">
      <c r="A17" s="24" t="s">
        <v>12</v>
      </c>
      <c r="B17" s="16">
        <v>618.27762417253109</v>
      </c>
      <c r="C17" s="16">
        <v>629.0185950378268</v>
      </c>
      <c r="D17" s="16">
        <v>649.90425265227816</v>
      </c>
      <c r="E17" s="16">
        <v>680.76627039234825</v>
      </c>
      <c r="F17" s="16">
        <v>701.03647053009195</v>
      </c>
      <c r="G17" s="16">
        <v>716.88128451939724</v>
      </c>
      <c r="H17" s="16">
        <v>720.56487208580597</v>
      </c>
      <c r="I17" s="16">
        <v>747.20414581579439</v>
      </c>
      <c r="J17" s="64">
        <v>753.79373910727622</v>
      </c>
      <c r="K17" s="64">
        <v>751.1490620653484</v>
      </c>
      <c r="L17" s="64">
        <v>740.39942042261953</v>
      </c>
      <c r="M17" s="64">
        <v>739.22490855066633</v>
      </c>
      <c r="N17" s="64">
        <v>758.75228023344494</v>
      </c>
      <c r="O17" s="64">
        <v>781.25384535194723</v>
      </c>
      <c r="P17" s="64">
        <v>786.56900523857803</v>
      </c>
      <c r="Q17" s="64">
        <v>792.60642314368386</v>
      </c>
      <c r="R17" s="64">
        <v>803.48359534536917</v>
      </c>
      <c r="S17" s="64">
        <v>808.62409708052508</v>
      </c>
      <c r="T17" s="64">
        <v>818.35911120553305</v>
      </c>
      <c r="U17" s="64">
        <v>827.10525392183433</v>
      </c>
      <c r="V17" s="64">
        <v>852.0520682189856</v>
      </c>
      <c r="W17" s="64">
        <v>866.66786055512443</v>
      </c>
      <c r="X17" s="64">
        <v>878.31189794753095</v>
      </c>
      <c r="Y17" s="64">
        <v>889.56696294000494</v>
      </c>
      <c r="Z17" s="64">
        <v>949.18251919659326</v>
      </c>
      <c r="AA17" s="64">
        <v>965.30279770431855</v>
      </c>
      <c r="AB17" s="64">
        <v>985.06873037357036</v>
      </c>
      <c r="AC17" s="64">
        <v>983.02918599847249</v>
      </c>
      <c r="AD17" s="64">
        <v>1055.4397831818005</v>
      </c>
      <c r="AE17" s="64">
        <v>1065.4745583925758</v>
      </c>
      <c r="AF17" s="64">
        <v>1076.4814012935501</v>
      </c>
      <c r="AG17" s="64">
        <v>1108.6377972818468</v>
      </c>
      <c r="AH17" s="64">
        <v>1147.4049004637932</v>
      </c>
      <c r="AI17" s="64">
        <v>1210.6036419735669</v>
      </c>
      <c r="AJ17" s="64">
        <v>1235.4366205669658</v>
      </c>
      <c r="AK17" s="64">
        <v>1253.5204689150548</v>
      </c>
      <c r="AL17" s="64">
        <v>1274.619995058189</v>
      </c>
      <c r="AM17" s="64">
        <v>1283.1649790370184</v>
      </c>
      <c r="AN17" s="64">
        <v>1369.9110898159188</v>
      </c>
      <c r="AO17" s="20"/>
    </row>
    <row r="18" spans="1:41" s="19" customFormat="1" ht="18.95" customHeight="1" x14ac:dyDescent="0.2">
      <c r="A18" s="37" t="s">
        <v>124</v>
      </c>
      <c r="B18" s="16">
        <v>1469.173383683833</v>
      </c>
      <c r="C18" s="16">
        <v>1591.2964179025316</v>
      </c>
      <c r="D18" s="16">
        <v>1499.755869680057</v>
      </c>
      <c r="E18" s="16">
        <v>1548.2882455916827</v>
      </c>
      <c r="F18" s="16">
        <v>1530.517724833318</v>
      </c>
      <c r="G18" s="16">
        <v>1623.0250240270261</v>
      </c>
      <c r="H18" s="16">
        <v>1667.5449723295997</v>
      </c>
      <c r="I18" s="16">
        <v>1809.0710578886919</v>
      </c>
      <c r="J18" s="64">
        <v>1847.1415890119788</v>
      </c>
      <c r="K18" s="64">
        <v>1956.2999933787269</v>
      </c>
      <c r="L18" s="64">
        <v>1920.4472093669071</v>
      </c>
      <c r="M18" s="64">
        <v>2015.1038626101042</v>
      </c>
      <c r="N18" s="64">
        <v>1882.2051622294471</v>
      </c>
      <c r="O18" s="64">
        <v>1955.4362060501419</v>
      </c>
      <c r="P18" s="64">
        <v>1965.6397930987273</v>
      </c>
      <c r="Q18" s="64">
        <v>1819.5173824307276</v>
      </c>
      <c r="R18" s="64">
        <v>1537.0373647915499</v>
      </c>
      <c r="S18" s="64">
        <v>1954.0066078322211</v>
      </c>
      <c r="T18" s="64">
        <v>2040.0919939297448</v>
      </c>
      <c r="U18" s="64">
        <v>2173.3322324179194</v>
      </c>
      <c r="V18" s="64">
        <v>2262.9145194968833</v>
      </c>
      <c r="W18" s="64">
        <v>2239.7717222102142</v>
      </c>
      <c r="X18" s="64">
        <v>2136.6570245340345</v>
      </c>
      <c r="Y18" s="64">
        <v>2283.3888424200391</v>
      </c>
      <c r="Z18" s="64">
        <v>2368.0096862378296</v>
      </c>
      <c r="AA18" s="64">
        <v>2288.6213262342067</v>
      </c>
      <c r="AB18" s="64">
        <v>2357.5075998732364</v>
      </c>
      <c r="AC18" s="64">
        <v>2720.1846707519585</v>
      </c>
      <c r="AD18" s="64">
        <v>2635.8790493412307</v>
      </c>
      <c r="AE18" s="64">
        <v>2722.836656059369</v>
      </c>
      <c r="AF18" s="64">
        <v>2625.0761046056173</v>
      </c>
      <c r="AG18" s="64">
        <v>2782.0869279343465</v>
      </c>
      <c r="AH18" s="64">
        <v>2799.7180610462988</v>
      </c>
      <c r="AI18" s="64">
        <v>3020.7554282483461</v>
      </c>
      <c r="AJ18" s="64">
        <v>3147.3425320706156</v>
      </c>
      <c r="AK18" s="64">
        <v>3499.877805604805</v>
      </c>
      <c r="AL18" s="64">
        <v>3189.6667656370282</v>
      </c>
      <c r="AM18" s="64">
        <v>3523.6099345234534</v>
      </c>
      <c r="AN18" s="64">
        <v>3596.4086283236988</v>
      </c>
      <c r="AO18" s="20"/>
    </row>
    <row r="19" spans="1:41" s="54" customFormat="1" ht="18.95" customHeight="1" x14ac:dyDescent="0.2">
      <c r="A19" s="52" t="s">
        <v>83</v>
      </c>
      <c r="B19" s="53">
        <v>11460.606260530585</v>
      </c>
      <c r="C19" s="53">
        <v>11605.991050827666</v>
      </c>
      <c r="D19" s="53">
        <v>11848.53888485368</v>
      </c>
      <c r="E19" s="53">
        <v>12266.879580205868</v>
      </c>
      <c r="F19" s="53">
        <v>12989.411465428051</v>
      </c>
      <c r="G19" s="53">
        <v>12761.328170284025</v>
      </c>
      <c r="H19" s="53">
        <v>13059.141089437904</v>
      </c>
      <c r="I19" s="53">
        <v>13406.888063383807</v>
      </c>
      <c r="J19" s="74">
        <v>14087.819692645691</v>
      </c>
      <c r="K19" s="74">
        <v>14006.099110040941</v>
      </c>
      <c r="L19" s="74">
        <v>14154.147191196587</v>
      </c>
      <c r="M19" s="74">
        <v>14548.042055274243</v>
      </c>
      <c r="N19" s="74">
        <v>15752.218380531469</v>
      </c>
      <c r="O19" s="74">
        <v>15659.814667697521</v>
      </c>
      <c r="P19" s="74">
        <v>14746.076461910861</v>
      </c>
      <c r="Q19" s="74">
        <v>13681.889346017811</v>
      </c>
      <c r="R19" s="74">
        <v>15432.187151736547</v>
      </c>
      <c r="S19" s="74">
        <v>15321.76180096303</v>
      </c>
      <c r="T19" s="74">
        <v>15613.136217237599</v>
      </c>
      <c r="U19" s="74">
        <v>15695.393278877031</v>
      </c>
      <c r="V19" s="74">
        <v>16108.287518787689</v>
      </c>
      <c r="W19" s="74">
        <v>16788.40499803334</v>
      </c>
      <c r="X19" s="74">
        <v>17167.222437237084</v>
      </c>
      <c r="Y19" s="74">
        <v>17724.92235335441</v>
      </c>
      <c r="Z19" s="74">
        <v>19303.201393717154</v>
      </c>
      <c r="AA19" s="74">
        <v>19146.941782660477</v>
      </c>
      <c r="AB19" s="74">
        <v>18632.010857385896</v>
      </c>
      <c r="AC19" s="74">
        <v>20717.641711210792</v>
      </c>
      <c r="AD19" s="74">
        <v>21697.829472387442</v>
      </c>
      <c r="AE19" s="74">
        <v>21910.735977230976</v>
      </c>
      <c r="AF19" s="74">
        <v>21558.345080026727</v>
      </c>
      <c r="AG19" s="74">
        <v>22715.387267130813</v>
      </c>
      <c r="AH19" s="74">
        <v>23890.887673359641</v>
      </c>
      <c r="AI19" s="74">
        <v>23368.271598461029</v>
      </c>
      <c r="AJ19" s="74">
        <v>24049.515823191829</v>
      </c>
      <c r="AK19" s="74">
        <v>24606.747611870138</v>
      </c>
      <c r="AL19" s="74">
        <v>25687.49693203664</v>
      </c>
      <c r="AM19" s="74">
        <v>26335.363388426747</v>
      </c>
      <c r="AN19" s="74">
        <v>25949.174742922667</v>
      </c>
      <c r="AO19" s="41"/>
    </row>
    <row r="20" spans="1:41" s="19" customFormat="1" ht="18.95" customHeight="1" x14ac:dyDescent="0.2">
      <c r="A20" s="38" t="s">
        <v>64</v>
      </c>
      <c r="B20" s="16">
        <v>2327.1744869818176</v>
      </c>
      <c r="C20" s="16">
        <v>2387.342348613146</v>
      </c>
      <c r="D20" s="16">
        <v>2508.5507502221449</v>
      </c>
      <c r="E20" s="16">
        <v>2608.9355382183044</v>
      </c>
      <c r="F20" s="16">
        <v>2770.246732572044</v>
      </c>
      <c r="G20" s="16">
        <v>2457.9850550171354</v>
      </c>
      <c r="H20" s="16">
        <v>2778.5139575896669</v>
      </c>
      <c r="I20" s="16">
        <v>2918.2321832148477</v>
      </c>
      <c r="J20" s="64">
        <v>2893.7286790815356</v>
      </c>
      <c r="K20" s="64">
        <v>2885.7282559118271</v>
      </c>
      <c r="L20" s="64">
        <v>2846.5686269450675</v>
      </c>
      <c r="M20" s="64">
        <v>2792.2933709180334</v>
      </c>
      <c r="N20" s="64">
        <v>3091.6142518146557</v>
      </c>
      <c r="O20" s="64">
        <v>3104.8931237468096</v>
      </c>
      <c r="P20" s="64">
        <v>2876.5522541137889</v>
      </c>
      <c r="Q20" s="64">
        <v>2685.1103577014087</v>
      </c>
      <c r="R20" s="64">
        <v>3049.8002003603106</v>
      </c>
      <c r="S20" s="64">
        <v>2944.9534483137936</v>
      </c>
      <c r="T20" s="64">
        <v>2858.3003064785289</v>
      </c>
      <c r="U20" s="64">
        <v>2886.1322593750524</v>
      </c>
      <c r="V20" s="64">
        <v>3017.0900693570197</v>
      </c>
      <c r="W20" s="64">
        <v>3162.0376136742525</v>
      </c>
      <c r="X20" s="64">
        <v>3541.8848273226458</v>
      </c>
      <c r="Y20" s="64">
        <v>3925.0985580337128</v>
      </c>
      <c r="Z20" s="64">
        <v>4175.1173175027989</v>
      </c>
      <c r="AA20" s="64">
        <v>3833.0578155126896</v>
      </c>
      <c r="AB20" s="64">
        <v>3975.9867834328547</v>
      </c>
      <c r="AC20" s="64">
        <v>4746.9255460045106</v>
      </c>
      <c r="AD20" s="64">
        <v>5512.3062051602692</v>
      </c>
      <c r="AE20" s="64">
        <v>4615.7358579796955</v>
      </c>
      <c r="AF20" s="64">
        <v>4481.8748351250051</v>
      </c>
      <c r="AG20" s="64">
        <v>4619.5433666803528</v>
      </c>
      <c r="AH20" s="64">
        <v>6102.0370205835416</v>
      </c>
      <c r="AI20" s="64">
        <v>5260.2305588846602</v>
      </c>
      <c r="AJ20" s="64">
        <v>5150.4288013464866</v>
      </c>
      <c r="AK20" s="64">
        <v>5329.141658187873</v>
      </c>
      <c r="AL20" s="64">
        <v>6391.3829461342784</v>
      </c>
      <c r="AM20" s="64">
        <v>6429.6132531701132</v>
      </c>
      <c r="AN20" s="64">
        <v>5597.5795997676059</v>
      </c>
      <c r="AO20" s="20"/>
    </row>
    <row r="21" spans="1:41" s="19" customFormat="1" ht="18.95" customHeight="1" x14ac:dyDescent="0.2">
      <c r="A21" s="38" t="s">
        <v>65</v>
      </c>
      <c r="B21" s="16">
        <v>871.01232516015773</v>
      </c>
      <c r="C21" s="16">
        <v>895.53267687770938</v>
      </c>
      <c r="D21" s="16">
        <v>913.04523622606678</v>
      </c>
      <c r="E21" s="16">
        <v>941.08005327299247</v>
      </c>
      <c r="F21" s="16">
        <v>1021.416199899511</v>
      </c>
      <c r="G21" s="16">
        <v>1003.6358713573256</v>
      </c>
      <c r="H21" s="16">
        <v>1036.0742987687468</v>
      </c>
      <c r="I21" s="16">
        <v>1050.1958644983354</v>
      </c>
      <c r="J21" s="64">
        <v>1120.3575803748156</v>
      </c>
      <c r="K21" s="64">
        <v>1095.3245415507311</v>
      </c>
      <c r="L21" s="64">
        <v>1119.6953883130473</v>
      </c>
      <c r="M21" s="64">
        <v>1182.058659414764</v>
      </c>
      <c r="N21" s="64">
        <v>1325.6253308623047</v>
      </c>
      <c r="O21" s="64">
        <v>1254.1235972790525</v>
      </c>
      <c r="P21" s="64">
        <v>1158.9319252920595</v>
      </c>
      <c r="Q21" s="64">
        <v>1053.420463958623</v>
      </c>
      <c r="R21" s="64">
        <v>1342.0775558334985</v>
      </c>
      <c r="S21" s="64">
        <v>1209.8254817851314</v>
      </c>
      <c r="T21" s="64">
        <v>1111.6213990274266</v>
      </c>
      <c r="U21" s="64">
        <v>1140.9091793350156</v>
      </c>
      <c r="V21" s="64">
        <v>1192.1224674657938</v>
      </c>
      <c r="W21" s="64">
        <v>1344.5459324356166</v>
      </c>
      <c r="X21" s="64">
        <v>1319.5000685156836</v>
      </c>
      <c r="Y21" s="64">
        <v>1327.1092477767031</v>
      </c>
      <c r="Z21" s="64">
        <v>1409.5068067238979</v>
      </c>
      <c r="AA21" s="64">
        <v>1673.5829238111457</v>
      </c>
      <c r="AB21" s="64">
        <v>1725.6384171492448</v>
      </c>
      <c r="AC21" s="64">
        <v>1670.9258284088592</v>
      </c>
      <c r="AD21" s="64">
        <v>1661.4780381700452</v>
      </c>
      <c r="AE21" s="64">
        <v>1885.1757058881867</v>
      </c>
      <c r="AF21" s="64">
        <v>2007.7133089786166</v>
      </c>
      <c r="AG21" s="64">
        <v>2016.9462251862637</v>
      </c>
      <c r="AH21" s="64">
        <v>1999.7236863379953</v>
      </c>
      <c r="AI21" s="64">
        <v>2152.8664821748771</v>
      </c>
      <c r="AJ21" s="64">
        <v>2305.963348459456</v>
      </c>
      <c r="AK21" s="64">
        <v>2202.7114019834116</v>
      </c>
      <c r="AL21" s="64">
        <v>2077.1440230087778</v>
      </c>
      <c r="AM21" s="64">
        <v>2313.6836178587309</v>
      </c>
      <c r="AN21" s="64">
        <v>2429.3262393123559</v>
      </c>
      <c r="AO21" s="20"/>
    </row>
    <row r="22" spans="1:41" s="19" customFormat="1" ht="18.95" customHeight="1" x14ac:dyDescent="0.2">
      <c r="A22" s="38" t="s">
        <v>66</v>
      </c>
      <c r="B22" s="16">
        <v>766.04413828583597</v>
      </c>
      <c r="C22" s="16">
        <v>765.4741406563254</v>
      </c>
      <c r="D22" s="16">
        <v>809.01706794209099</v>
      </c>
      <c r="E22" s="16">
        <v>870.99066357382253</v>
      </c>
      <c r="F22" s="16">
        <v>984.59982638410361</v>
      </c>
      <c r="G22" s="16">
        <v>895.80855544782173</v>
      </c>
      <c r="H22" s="16">
        <v>884.57297251098453</v>
      </c>
      <c r="I22" s="16">
        <v>904.32958694394472</v>
      </c>
      <c r="J22" s="64">
        <v>1001.874155535865</v>
      </c>
      <c r="K22" s="64">
        <v>916.50380408536216</v>
      </c>
      <c r="L22" s="64">
        <v>917.03559623673198</v>
      </c>
      <c r="M22" s="64">
        <v>991.70836667608114</v>
      </c>
      <c r="N22" s="64">
        <v>1119.2391246038928</v>
      </c>
      <c r="O22" s="64">
        <v>1066.9898861326665</v>
      </c>
      <c r="P22" s="64">
        <v>937.27696046621816</v>
      </c>
      <c r="Q22" s="64">
        <v>521.36386275394557</v>
      </c>
      <c r="R22" s="64">
        <v>817.50658435387072</v>
      </c>
      <c r="S22" s="64">
        <v>828.99076974731349</v>
      </c>
      <c r="T22" s="64">
        <v>932.4436582998967</v>
      </c>
      <c r="U22" s="64">
        <v>969.82185034834174</v>
      </c>
      <c r="V22" s="64">
        <v>846.43559328575611</v>
      </c>
      <c r="W22" s="64">
        <v>1007.1058654439146</v>
      </c>
      <c r="X22" s="64">
        <v>784.0532876607889</v>
      </c>
      <c r="Y22" s="64">
        <v>956.52212258090867</v>
      </c>
      <c r="Z22" s="64">
        <v>870.42917854496693</v>
      </c>
      <c r="AA22" s="64">
        <v>992.79083018368851</v>
      </c>
      <c r="AB22" s="64">
        <v>880.41662009524885</v>
      </c>
      <c r="AC22" s="64">
        <v>1284.1446524561568</v>
      </c>
      <c r="AD22" s="64">
        <v>1079.1953554190395</v>
      </c>
      <c r="AE22" s="64">
        <v>991.17664029979733</v>
      </c>
      <c r="AF22" s="64">
        <v>1052.4972121013323</v>
      </c>
      <c r="AG22" s="64">
        <v>1631.1088027372923</v>
      </c>
      <c r="AH22" s="64">
        <v>1305.3750993392621</v>
      </c>
      <c r="AI22" s="64">
        <v>1263.1817613032781</v>
      </c>
      <c r="AJ22" s="64">
        <v>1297.5761494778772</v>
      </c>
      <c r="AK22" s="64">
        <v>1412.2734649638826</v>
      </c>
      <c r="AL22" s="64">
        <v>1620.8842172062302</v>
      </c>
      <c r="AM22" s="64">
        <v>1540.3207360176739</v>
      </c>
      <c r="AN22" s="64">
        <v>1413.6584308756442</v>
      </c>
      <c r="AO22" s="20"/>
    </row>
    <row r="23" spans="1:41" s="19" customFormat="1" ht="18.95" customHeight="1" x14ac:dyDescent="0.2">
      <c r="A23" s="38" t="s">
        <v>67</v>
      </c>
      <c r="B23" s="16">
        <v>561.85310254611784</v>
      </c>
      <c r="C23" s="16">
        <v>562.12507942555362</v>
      </c>
      <c r="D23" s="16">
        <v>528.67032446242342</v>
      </c>
      <c r="E23" s="16">
        <v>477.20916705315153</v>
      </c>
      <c r="F23" s="16">
        <v>461.31412146531403</v>
      </c>
      <c r="G23" s="16">
        <v>479.75544369236928</v>
      </c>
      <c r="H23" s="16">
        <v>496.2982810882587</v>
      </c>
      <c r="I23" s="16">
        <v>527.6847484772743</v>
      </c>
      <c r="J23" s="64">
        <v>566.59690208790721</v>
      </c>
      <c r="K23" s="64">
        <v>605.7850624846875</v>
      </c>
      <c r="L23" s="64">
        <v>605.32924968668397</v>
      </c>
      <c r="M23" s="64">
        <v>620.85616974334698</v>
      </c>
      <c r="N23" s="64">
        <v>677.48117096214241</v>
      </c>
      <c r="O23" s="64">
        <v>696.76655538543412</v>
      </c>
      <c r="P23" s="64">
        <v>611.31898979892651</v>
      </c>
      <c r="Q23" s="64">
        <v>569.66668522987004</v>
      </c>
      <c r="R23" s="64">
        <v>615.84601542653138</v>
      </c>
      <c r="S23" s="64">
        <v>654.70924921127778</v>
      </c>
      <c r="T23" s="64">
        <v>691.43637387196065</v>
      </c>
      <c r="U23" s="64">
        <v>716.15405063821856</v>
      </c>
      <c r="V23" s="64">
        <v>680.12467129416018</v>
      </c>
      <c r="W23" s="64">
        <v>700.26688964933226</v>
      </c>
      <c r="X23" s="64">
        <v>693.6666859224639</v>
      </c>
      <c r="Y23" s="64">
        <v>670.88920633136104</v>
      </c>
      <c r="Z23" s="64">
        <v>628.49629233491669</v>
      </c>
      <c r="AA23" s="64">
        <v>639.68239598925868</v>
      </c>
      <c r="AB23" s="64">
        <v>705.09503226809693</v>
      </c>
      <c r="AC23" s="64">
        <v>850.88999779456742</v>
      </c>
      <c r="AD23" s="64">
        <v>1108.5895623821443</v>
      </c>
      <c r="AE23" s="64">
        <v>1190.9018823773347</v>
      </c>
      <c r="AF23" s="64">
        <v>1137.0548052971719</v>
      </c>
      <c r="AG23" s="64">
        <v>983.92612486638279</v>
      </c>
      <c r="AH23" s="64">
        <v>1225.9921653714744</v>
      </c>
      <c r="AI23" s="64">
        <v>1090.1324425984055</v>
      </c>
      <c r="AJ23" s="64">
        <v>1177.0447401521089</v>
      </c>
      <c r="AK23" s="64">
        <v>997.9718120641221</v>
      </c>
      <c r="AL23" s="64">
        <v>1111.0133936558373</v>
      </c>
      <c r="AM23" s="64">
        <v>1137.3092925318592</v>
      </c>
      <c r="AN23" s="64">
        <v>1372.5156650898609</v>
      </c>
      <c r="AO23" s="20"/>
    </row>
    <row r="24" spans="1:41" s="19" customFormat="1" ht="18.95" customHeight="1" x14ac:dyDescent="0.2">
      <c r="A24" s="38" t="s">
        <v>68</v>
      </c>
      <c r="B24" s="16">
        <v>703.40664224292868</v>
      </c>
      <c r="C24" s="16">
        <v>664.24035977357812</v>
      </c>
      <c r="D24" s="16">
        <v>748.88498728708839</v>
      </c>
      <c r="E24" s="16">
        <v>754.91986565234993</v>
      </c>
      <c r="F24" s="16">
        <v>775.4609060464627</v>
      </c>
      <c r="G24" s="16">
        <v>776.94544785346648</v>
      </c>
      <c r="H24" s="16">
        <v>741.87222584504036</v>
      </c>
      <c r="I24" s="16">
        <v>771.79693782306333</v>
      </c>
      <c r="J24" s="64">
        <v>781.02208447785119</v>
      </c>
      <c r="K24" s="64">
        <v>806.25791426448586</v>
      </c>
      <c r="L24" s="64">
        <v>886.63421767766522</v>
      </c>
      <c r="M24" s="64">
        <v>982.66039171975478</v>
      </c>
      <c r="N24" s="64">
        <v>1092.2248260638405</v>
      </c>
      <c r="O24" s="64">
        <v>1065.4548432758734</v>
      </c>
      <c r="P24" s="64">
        <v>965.33734293925306</v>
      </c>
      <c r="Q24" s="64">
        <v>693.25599475905074</v>
      </c>
      <c r="R24" s="64">
        <v>1125.1598469523774</v>
      </c>
      <c r="S24" s="64">
        <v>965.35063911203099</v>
      </c>
      <c r="T24" s="64">
        <v>1053.8163056941075</v>
      </c>
      <c r="U24" s="64">
        <v>958.65598792753633</v>
      </c>
      <c r="V24" s="64">
        <v>1147.8798264286372</v>
      </c>
      <c r="W24" s="64">
        <v>1089.723162009951</v>
      </c>
      <c r="X24" s="64">
        <v>1243.2884939373128</v>
      </c>
      <c r="Y24" s="64">
        <v>1176.3971886620184</v>
      </c>
      <c r="Z24" s="64">
        <v>1350.9697072534941</v>
      </c>
      <c r="AA24" s="64">
        <v>1506.2108424992743</v>
      </c>
      <c r="AB24" s="64">
        <v>919.27224140417536</v>
      </c>
      <c r="AC24" s="64">
        <v>1349.1542374685582</v>
      </c>
      <c r="AD24" s="64">
        <v>1408.9859082604955</v>
      </c>
      <c r="AE24" s="64">
        <v>1443.0981011453177</v>
      </c>
      <c r="AF24" s="64">
        <v>1345.5179867769957</v>
      </c>
      <c r="AG24" s="64">
        <v>1361.1376123765331</v>
      </c>
      <c r="AH24" s="64">
        <v>1580.6834561012142</v>
      </c>
      <c r="AI24" s="64">
        <v>1494.9652601819089</v>
      </c>
      <c r="AJ24" s="64">
        <v>1465.0511763992818</v>
      </c>
      <c r="AK24" s="64">
        <v>1465.5709336816096</v>
      </c>
      <c r="AL24" s="64">
        <v>1750.4485101832611</v>
      </c>
      <c r="AM24" s="64">
        <v>1676.6692109838707</v>
      </c>
      <c r="AN24" s="64">
        <v>1607.2512202323592</v>
      </c>
      <c r="AO24" s="20"/>
    </row>
    <row r="25" spans="1:41" s="19" customFormat="1" ht="18.95" customHeight="1" x14ac:dyDescent="0.2">
      <c r="A25" s="38" t="s">
        <v>20</v>
      </c>
      <c r="B25" s="16">
        <v>1573.4443129212329</v>
      </c>
      <c r="C25" s="16">
        <v>1600.0700472907006</v>
      </c>
      <c r="D25" s="16">
        <v>1642.1176565174042</v>
      </c>
      <c r="E25" s="16">
        <v>1699.5648603372097</v>
      </c>
      <c r="F25" s="16">
        <v>1770.2425437110542</v>
      </c>
      <c r="G25" s="16">
        <v>1845.1212826128217</v>
      </c>
      <c r="H25" s="16">
        <v>1879.6802171074748</v>
      </c>
      <c r="I25" s="16">
        <v>1928.6969881806433</v>
      </c>
      <c r="J25" s="64">
        <v>2036.3807263694746</v>
      </c>
      <c r="K25" s="64">
        <v>2064.9673290103174</v>
      </c>
      <c r="L25" s="64">
        <v>2103.6247506897562</v>
      </c>
      <c r="M25" s="64">
        <v>2087.566026619395</v>
      </c>
      <c r="N25" s="64">
        <v>2184.5325956182969</v>
      </c>
      <c r="O25" s="64">
        <v>2157.2038766621417</v>
      </c>
      <c r="P25" s="64">
        <v>2277.2326999785887</v>
      </c>
      <c r="Q25" s="64">
        <v>2287.9153500258894</v>
      </c>
      <c r="R25" s="64">
        <v>2281.7697253287211</v>
      </c>
      <c r="S25" s="64">
        <v>2289.9367968874803</v>
      </c>
      <c r="T25" s="64">
        <v>2317.6156170196932</v>
      </c>
      <c r="U25" s="64">
        <v>2384.0511176155405</v>
      </c>
      <c r="V25" s="64">
        <v>2451.9766645256041</v>
      </c>
      <c r="W25" s="64">
        <v>2532.3531740248191</v>
      </c>
      <c r="X25" s="64">
        <v>2578.299020561446</v>
      </c>
      <c r="Y25" s="64">
        <v>2651.5946972363613</v>
      </c>
      <c r="Z25" s="64">
        <v>2722.959359511382</v>
      </c>
      <c r="AA25" s="64">
        <v>2777.4819701979841</v>
      </c>
      <c r="AB25" s="64">
        <v>2806.3893069792598</v>
      </c>
      <c r="AC25" s="64">
        <v>2901.2715096838833</v>
      </c>
      <c r="AD25" s="64">
        <v>2951.7138942486431</v>
      </c>
      <c r="AE25" s="64">
        <v>3031.3157583201778</v>
      </c>
      <c r="AF25" s="64">
        <v>3071.4261682167407</v>
      </c>
      <c r="AG25" s="64">
        <v>3105.1315925949857</v>
      </c>
      <c r="AH25" s="64">
        <v>3117.4849748648153</v>
      </c>
      <c r="AI25" s="64">
        <v>3187.151176881232</v>
      </c>
      <c r="AJ25" s="64">
        <v>3322.8636292017281</v>
      </c>
      <c r="AK25" s="64">
        <v>3342.9467292948129</v>
      </c>
      <c r="AL25" s="64">
        <v>3381.9033656888018</v>
      </c>
      <c r="AM25" s="64">
        <v>3387.7115935621414</v>
      </c>
      <c r="AN25" s="64">
        <v>3536.0346772313451</v>
      </c>
      <c r="AO25" s="20"/>
    </row>
    <row r="26" spans="1:41" s="19" customFormat="1" ht="18.95" customHeight="1" x14ac:dyDescent="0.2">
      <c r="A26" s="38" t="s">
        <v>70</v>
      </c>
      <c r="B26" s="16">
        <v>672.48420241176518</v>
      </c>
      <c r="C26" s="16">
        <v>621.69012936528827</v>
      </c>
      <c r="D26" s="16">
        <v>495.01042390801592</v>
      </c>
      <c r="E26" s="16">
        <v>541.19009430192443</v>
      </c>
      <c r="F26" s="16">
        <v>682.74754396553908</v>
      </c>
      <c r="G26" s="16">
        <v>673.78113218127419</v>
      </c>
      <c r="H26" s="16">
        <v>586.71729500699223</v>
      </c>
      <c r="I26" s="16">
        <v>652.5817573041237</v>
      </c>
      <c r="J26" s="64">
        <v>696.61649113181659</v>
      </c>
      <c r="K26" s="64">
        <v>636.91392680159731</v>
      </c>
      <c r="L26" s="64">
        <v>640.29846307054447</v>
      </c>
      <c r="M26" s="64">
        <v>773.47548625597983</v>
      </c>
      <c r="N26" s="64">
        <v>926.61110234780347</v>
      </c>
      <c r="O26" s="64">
        <v>837.19773200184977</v>
      </c>
      <c r="P26" s="64">
        <v>492.1462891989878</v>
      </c>
      <c r="Q26" s="64">
        <v>645.60681966188633</v>
      </c>
      <c r="R26" s="64">
        <v>654.02280014672635</v>
      </c>
      <c r="S26" s="64">
        <v>775.03913154068573</v>
      </c>
      <c r="T26" s="64">
        <v>774.81133538182337</v>
      </c>
      <c r="U26" s="64">
        <v>759.78790457612354</v>
      </c>
      <c r="V26" s="64">
        <v>837.1138220960861</v>
      </c>
      <c r="W26" s="64">
        <v>833.88999784718817</v>
      </c>
      <c r="X26" s="64">
        <v>718.87982739089807</v>
      </c>
      <c r="Y26" s="64">
        <v>743.44433632240793</v>
      </c>
      <c r="Z26" s="64">
        <v>1323.5281711290265</v>
      </c>
      <c r="AA26" s="64">
        <v>1056.8088201181415</v>
      </c>
      <c r="AB26" s="64">
        <v>992.70365664684834</v>
      </c>
      <c r="AC26" s="64">
        <v>908.60431249245835</v>
      </c>
      <c r="AD26" s="64">
        <v>774.7456426097657</v>
      </c>
      <c r="AE26" s="64">
        <v>1564.7145352281682</v>
      </c>
      <c r="AF26" s="64">
        <v>1140.6573512174398</v>
      </c>
      <c r="AG26" s="64">
        <v>1084.4768150013024</v>
      </c>
      <c r="AH26" s="64">
        <v>844.39357361508428</v>
      </c>
      <c r="AI26" s="64">
        <v>1195.3863686206803</v>
      </c>
      <c r="AJ26" s="64">
        <v>1343.6769444020249</v>
      </c>
      <c r="AK26" s="64">
        <v>1345.8962880976651</v>
      </c>
      <c r="AL26" s="64">
        <v>938.09984521961724</v>
      </c>
      <c r="AM26" s="64">
        <v>982.70180716555728</v>
      </c>
      <c r="AN26" s="64">
        <v>1483.0756509140699</v>
      </c>
      <c r="AO26" s="20"/>
    </row>
    <row r="27" spans="1:41" s="19" customFormat="1" ht="18.95" customHeight="1" x14ac:dyDescent="0.2">
      <c r="A27" s="38" t="s">
        <v>74</v>
      </c>
      <c r="B27" s="16">
        <v>442.57362426511224</v>
      </c>
      <c r="C27" s="16">
        <v>476.22753556221193</v>
      </c>
      <c r="D27" s="16">
        <v>485.14436501136407</v>
      </c>
      <c r="E27" s="16">
        <v>497.09844790550176</v>
      </c>
      <c r="F27" s="16">
        <v>495.90250423062525</v>
      </c>
      <c r="G27" s="16">
        <v>489.99102985559972</v>
      </c>
      <c r="H27" s="16">
        <v>497.92154778575701</v>
      </c>
      <c r="I27" s="16">
        <v>527.7210156331663</v>
      </c>
      <c r="J27" s="64">
        <v>567.58617240549927</v>
      </c>
      <c r="K27" s="64">
        <v>582.98459207727308</v>
      </c>
      <c r="L27" s="64">
        <v>600.86635001846446</v>
      </c>
      <c r="M27" s="64">
        <v>630.75437582248799</v>
      </c>
      <c r="N27" s="64">
        <v>662.49694539282984</v>
      </c>
      <c r="O27" s="64">
        <v>671.03434115828657</v>
      </c>
      <c r="P27" s="64">
        <v>617.66344324981344</v>
      </c>
      <c r="Q27" s="64">
        <v>626.27444167518979</v>
      </c>
      <c r="R27" s="64">
        <v>686.58588274346107</v>
      </c>
      <c r="S27" s="64">
        <v>704.83302801708999</v>
      </c>
      <c r="T27" s="64">
        <v>713.68261336853993</v>
      </c>
      <c r="U27" s="64">
        <v>734.62307906276897</v>
      </c>
      <c r="V27" s="64">
        <v>765.28799035051577</v>
      </c>
      <c r="W27" s="64">
        <v>788.65409562783589</v>
      </c>
      <c r="X27" s="64">
        <v>787.61975302393682</v>
      </c>
      <c r="Y27" s="64">
        <v>818.88806825393442</v>
      </c>
      <c r="Z27" s="64">
        <v>918.61734641924397</v>
      </c>
      <c r="AA27" s="64">
        <v>915.62974761659223</v>
      </c>
      <c r="AB27" s="64">
        <v>955.76974439508831</v>
      </c>
      <c r="AC27" s="64">
        <v>997.56821933231458</v>
      </c>
      <c r="AD27" s="64">
        <v>991.28105482005287</v>
      </c>
      <c r="AE27" s="64">
        <v>1005.4739482236168</v>
      </c>
      <c r="AF27" s="64">
        <v>1047.425804801356</v>
      </c>
      <c r="AG27" s="64">
        <v>1070.1902001866829</v>
      </c>
      <c r="AH27" s="64">
        <v>1021.5470544731328</v>
      </c>
      <c r="AI27" s="64">
        <v>1007.6856803847149</v>
      </c>
      <c r="AJ27" s="64">
        <v>1092.7605743391828</v>
      </c>
      <c r="AK27" s="64">
        <v>1166.694136150835</v>
      </c>
      <c r="AL27" s="64">
        <v>1078.0014917242252</v>
      </c>
      <c r="AM27" s="64">
        <v>1353.151084292924</v>
      </c>
      <c r="AN27" s="64">
        <v>1187.0428938276791</v>
      </c>
      <c r="AO27" s="20"/>
    </row>
    <row r="28" spans="1:41" s="19" customFormat="1" ht="18.95" customHeight="1" x14ac:dyDescent="0.2">
      <c r="A28" s="38" t="s">
        <v>23</v>
      </c>
      <c r="B28" s="16">
        <v>607.40376416104561</v>
      </c>
      <c r="C28" s="16">
        <v>657.17587277747816</v>
      </c>
      <c r="D28" s="16">
        <v>674.10460372801185</v>
      </c>
      <c r="E28" s="16">
        <v>738.95538592558637</v>
      </c>
      <c r="F28" s="16">
        <v>769.0015985317292</v>
      </c>
      <c r="G28" s="16">
        <v>788.50298827756887</v>
      </c>
      <c r="H28" s="16">
        <v>759.23913546377207</v>
      </c>
      <c r="I28" s="16">
        <v>731.81351960727284</v>
      </c>
      <c r="J28" s="64">
        <v>801.72220651785176</v>
      </c>
      <c r="K28" s="64">
        <v>790.20236001428555</v>
      </c>
      <c r="L28" s="64">
        <v>817.07236236479923</v>
      </c>
      <c r="M28" s="64">
        <v>844.99742569162754</v>
      </c>
      <c r="N28" s="64">
        <v>935.42991083835091</v>
      </c>
      <c r="O28" s="64">
        <v>980.88780342148777</v>
      </c>
      <c r="P28" s="64">
        <v>973.77686115630695</v>
      </c>
      <c r="Q28" s="64">
        <v>974.40691192716099</v>
      </c>
      <c r="R28" s="64">
        <v>1079.7147372093254</v>
      </c>
      <c r="S28" s="64">
        <v>1122.4978259194311</v>
      </c>
      <c r="T28" s="64">
        <v>1210.4123391730782</v>
      </c>
      <c r="U28" s="64">
        <v>1042.3545440847297</v>
      </c>
      <c r="V28" s="64">
        <v>1160.5292858778</v>
      </c>
      <c r="W28" s="64">
        <v>1198.6357581275352</v>
      </c>
      <c r="X28" s="64">
        <v>1209.1750191717483</v>
      </c>
      <c r="Y28" s="64">
        <v>1209.9800157218333</v>
      </c>
      <c r="Z28" s="64">
        <v>1363.6578760062966</v>
      </c>
      <c r="AA28" s="64">
        <v>1388.5487196055963</v>
      </c>
      <c r="AB28" s="64">
        <v>1195.0835164978657</v>
      </c>
      <c r="AC28" s="64">
        <v>1311.5825236486344</v>
      </c>
      <c r="AD28" s="64">
        <v>1196.753265297232</v>
      </c>
      <c r="AE28" s="64">
        <v>1497.6967198087527</v>
      </c>
      <c r="AF28" s="64">
        <v>1382.8614752770527</v>
      </c>
      <c r="AG28" s="64">
        <v>1714.449174917188</v>
      </c>
      <c r="AH28" s="64">
        <v>1237.6134639823745</v>
      </c>
      <c r="AI28" s="64">
        <v>1643.2862549288668</v>
      </c>
      <c r="AJ28" s="64">
        <v>1540.8414337246313</v>
      </c>
      <c r="AK28" s="64">
        <v>1807.96328577285</v>
      </c>
      <c r="AL28" s="64">
        <v>1231.5337189725253</v>
      </c>
      <c r="AM28" s="64">
        <v>1851.8036941831965</v>
      </c>
      <c r="AN28" s="64">
        <v>1684.8293000276319</v>
      </c>
      <c r="AO28" s="20"/>
    </row>
    <row r="29" spans="1:41" s="19" customFormat="1" ht="18.95" customHeight="1" x14ac:dyDescent="0.2">
      <c r="A29" s="38" t="s">
        <v>24</v>
      </c>
      <c r="B29" s="16">
        <v>1171.4154908271009</v>
      </c>
      <c r="C29" s="16">
        <v>1180.2771519424809</v>
      </c>
      <c r="D29" s="16">
        <v>1184.4988340452749</v>
      </c>
      <c r="E29" s="16">
        <v>1240.3120625765173</v>
      </c>
      <c r="F29" s="16">
        <v>1274.4869509238672</v>
      </c>
      <c r="G29" s="16">
        <v>1307.6410302229506</v>
      </c>
      <c r="H29" s="16">
        <v>1349.9367078639734</v>
      </c>
      <c r="I29" s="16">
        <v>1358.0815380063145</v>
      </c>
      <c r="J29" s="64">
        <v>1436.0438784481851</v>
      </c>
      <c r="K29" s="64">
        <v>1471.9780319737545</v>
      </c>
      <c r="L29" s="64">
        <v>1461.642183811312</v>
      </c>
      <c r="M29" s="64">
        <v>1436.0384373782706</v>
      </c>
      <c r="N29" s="64">
        <v>1406.5399823801458</v>
      </c>
      <c r="O29" s="64">
        <v>1458.9637320199729</v>
      </c>
      <c r="P29" s="64">
        <v>1499.0108186171326</v>
      </c>
      <c r="Q29" s="64">
        <v>1402.3607237296676</v>
      </c>
      <c r="R29" s="64">
        <v>1251.6232029167386</v>
      </c>
      <c r="S29" s="64">
        <v>1289.1492661990965</v>
      </c>
      <c r="T29" s="64">
        <v>1460.7549888415631</v>
      </c>
      <c r="U29" s="64">
        <v>1563.4578379335273</v>
      </c>
      <c r="V29" s="64">
        <v>1424.9563057367156</v>
      </c>
      <c r="W29" s="64">
        <v>1315.849909380287</v>
      </c>
      <c r="X29" s="64">
        <v>1559.5623079926884</v>
      </c>
      <c r="Y29" s="64">
        <v>1547.3687462787675</v>
      </c>
      <c r="Z29" s="64">
        <v>1759.349056067223</v>
      </c>
      <c r="AA29" s="64">
        <v>1411.7609596189614</v>
      </c>
      <c r="AB29" s="64">
        <v>1630.8357334850009</v>
      </c>
      <c r="AC29" s="64">
        <v>1895.6909687820785</v>
      </c>
      <c r="AD29" s="64">
        <v>2141.6874488118497</v>
      </c>
      <c r="AE29" s="64">
        <v>1451.8502514330848</v>
      </c>
      <c r="AF29" s="64">
        <v>1828.2183308967271</v>
      </c>
      <c r="AG29" s="64">
        <v>1946.0064458737281</v>
      </c>
      <c r="AH29" s="64">
        <v>2201.5631571343511</v>
      </c>
      <c r="AI29" s="64">
        <v>1674.637599541448</v>
      </c>
      <c r="AJ29" s="64">
        <v>2001.9421043210843</v>
      </c>
      <c r="AK29" s="64">
        <v>2252.3129072176444</v>
      </c>
      <c r="AL29" s="64">
        <v>2665.7897377576551</v>
      </c>
      <c r="AM29" s="64">
        <v>2124.5968213691085</v>
      </c>
      <c r="AN29" s="64">
        <v>2112.2409562240628</v>
      </c>
      <c r="AO29" s="20"/>
    </row>
    <row r="30" spans="1:41" s="19" customFormat="1" ht="18.95" customHeight="1" x14ac:dyDescent="0.2">
      <c r="A30" s="38" t="s">
        <v>71</v>
      </c>
      <c r="B30" s="16">
        <v>783.62411611180141</v>
      </c>
      <c r="C30" s="16">
        <v>798.42432376299337</v>
      </c>
      <c r="D30" s="16">
        <v>833.22685751207553</v>
      </c>
      <c r="E30" s="16">
        <v>894.48889903655345</v>
      </c>
      <c r="F30" s="16">
        <v>962.26606580028545</v>
      </c>
      <c r="G30" s="16">
        <v>1000.462875322061</v>
      </c>
      <c r="H30" s="16">
        <v>1020.5581471650333</v>
      </c>
      <c r="I30" s="16">
        <v>1001.9738696207945</v>
      </c>
      <c r="J30" s="64">
        <v>1113.3796191051108</v>
      </c>
      <c r="K30" s="64">
        <v>1072.6582800419371</v>
      </c>
      <c r="L30" s="64">
        <v>1066.0295155519407</v>
      </c>
      <c r="M30" s="64">
        <v>1073.1811828723187</v>
      </c>
      <c r="N30" s="64">
        <v>1145.7703683849218</v>
      </c>
      <c r="O30" s="64">
        <v>1166.6499872842053</v>
      </c>
      <c r="P30" s="64">
        <v>1139.0302023149388</v>
      </c>
      <c r="Q30" s="64">
        <v>1044.9928814290929</v>
      </c>
      <c r="R30" s="64">
        <v>1295.3648885980103</v>
      </c>
      <c r="S30" s="64">
        <v>1289.7114810047988</v>
      </c>
      <c r="T30" s="64">
        <v>1225.8099057347788</v>
      </c>
      <c r="U30" s="64">
        <v>1266.7077734073823</v>
      </c>
      <c r="V30" s="64">
        <v>1315.9037728250341</v>
      </c>
      <c r="W30" s="64">
        <v>1597.1962223019912</v>
      </c>
      <c r="X30" s="64">
        <v>1465.1944225171674</v>
      </c>
      <c r="Y30" s="64">
        <v>1412.7817136866352</v>
      </c>
      <c r="Z30" s="64">
        <v>1497.348101994359</v>
      </c>
      <c r="AA30" s="64">
        <v>1655.0289062951019</v>
      </c>
      <c r="AB30" s="64">
        <v>1544.482980921031</v>
      </c>
      <c r="AC30" s="64">
        <v>1477.2001960603716</v>
      </c>
      <c r="AD30" s="64">
        <v>1422.2870435392131</v>
      </c>
      <c r="AE30" s="64">
        <v>1664.6557076579679</v>
      </c>
      <c r="AF30" s="64">
        <v>1583.4439525906087</v>
      </c>
      <c r="AG30" s="64">
        <v>1800.1724165989569</v>
      </c>
      <c r="AH30" s="64">
        <v>1612.5250950930738</v>
      </c>
      <c r="AI30" s="64">
        <v>1785.4373533500852</v>
      </c>
      <c r="AJ30" s="64">
        <v>1725.7109107959056</v>
      </c>
      <c r="AK30" s="64">
        <v>1652.4396782791412</v>
      </c>
      <c r="AL30" s="64">
        <v>1692.2345475065006</v>
      </c>
      <c r="AM30" s="64">
        <v>1941.641722063815</v>
      </c>
      <c r="AN30" s="64">
        <v>1878.283124731412</v>
      </c>
      <c r="AO30" s="20"/>
    </row>
    <row r="31" spans="1:41" s="19" customFormat="1" ht="18.95" customHeight="1" x14ac:dyDescent="0.2">
      <c r="A31" s="38" t="s">
        <v>72</v>
      </c>
      <c r="B31" s="16">
        <v>25.228420230343538</v>
      </c>
      <c r="C31" s="16">
        <v>26.119569063314227</v>
      </c>
      <c r="D31" s="16">
        <v>33.762629410592616</v>
      </c>
      <c r="E31" s="16">
        <v>45.98560346529964</v>
      </c>
      <c r="F31" s="16">
        <v>42.011468428545193</v>
      </c>
      <c r="G31" s="16">
        <v>53.653354691596661</v>
      </c>
      <c r="H31" s="16">
        <v>60.26671570925474</v>
      </c>
      <c r="I31" s="16">
        <v>57.614838483005506</v>
      </c>
      <c r="J31" s="64">
        <v>65.583151652106253</v>
      </c>
      <c r="K31" s="64">
        <v>59.904789635484839</v>
      </c>
      <c r="L31" s="64">
        <v>65.324591414543406</v>
      </c>
      <c r="M31" s="64">
        <v>58.487514041113315</v>
      </c>
      <c r="N31" s="64">
        <v>71.366950981213705</v>
      </c>
      <c r="O31" s="64">
        <v>67.444262353012292</v>
      </c>
      <c r="P31" s="64">
        <v>66.731027569090699</v>
      </c>
      <c r="Q31" s="64">
        <v>45.933351705784524</v>
      </c>
      <c r="R31" s="64">
        <v>54.685137156068585</v>
      </c>
      <c r="S31" s="64">
        <v>55.387017781436874</v>
      </c>
      <c r="T31" s="64">
        <v>56.375822003541138</v>
      </c>
      <c r="U31" s="64">
        <v>62.324923037709091</v>
      </c>
      <c r="V31" s="64">
        <v>73.607497085494074</v>
      </c>
      <c r="W31" s="64">
        <v>55.195290681866737</v>
      </c>
      <c r="X31" s="64">
        <v>50.643295742530199</v>
      </c>
      <c r="Y31" s="64">
        <v>54.253606217154314</v>
      </c>
      <c r="Z31" s="64">
        <v>53.023315059125167</v>
      </c>
      <c r="AA31" s="64">
        <v>58.885479382977465</v>
      </c>
      <c r="AB31" s="64">
        <v>73.120077540687561</v>
      </c>
      <c r="AC31" s="64">
        <v>77.855045072103763</v>
      </c>
      <c r="AD31" s="64">
        <v>91.028138870342445</v>
      </c>
      <c r="AE31" s="64">
        <v>58.045294706276458</v>
      </c>
      <c r="AF31" s="64">
        <v>89.50173242053738</v>
      </c>
      <c r="AG31" s="64">
        <v>75.359160520702076</v>
      </c>
      <c r="AH31" s="64">
        <v>106.86645855403022</v>
      </c>
      <c r="AI31" s="64">
        <v>71.504475782736037</v>
      </c>
      <c r="AJ31" s="64">
        <v>102.91630544136025</v>
      </c>
      <c r="AK31" s="64">
        <v>71.788143121278509</v>
      </c>
      <c r="AL31" s="64">
        <v>106.38492453196152</v>
      </c>
      <c r="AM31" s="64">
        <v>71.34286884174152</v>
      </c>
      <c r="AN31" s="64">
        <v>102.84843579658934</v>
      </c>
      <c r="AO31" s="20"/>
    </row>
    <row r="32" spans="1:41" s="19" customFormat="1" ht="18.95" customHeight="1" x14ac:dyDescent="0.2">
      <c r="A32" s="38" t="s">
        <v>27</v>
      </c>
      <c r="B32" s="16">
        <v>740.81901887481035</v>
      </c>
      <c r="C32" s="16">
        <v>751.14041954294601</v>
      </c>
      <c r="D32" s="16">
        <v>766.71395411723199</v>
      </c>
      <c r="E32" s="16">
        <v>724.86386464373527</v>
      </c>
      <c r="F32" s="16">
        <v>746.68859043977659</v>
      </c>
      <c r="G32" s="16">
        <v>751.23393992589092</v>
      </c>
      <c r="H32" s="16">
        <v>728.25710148735868</v>
      </c>
      <c r="I32" s="16">
        <v>732.78417228536523</v>
      </c>
      <c r="J32" s="64">
        <v>760.14421719279392</v>
      </c>
      <c r="K32" s="64">
        <v>767.48619361217891</v>
      </c>
      <c r="L32" s="64">
        <v>772.64727697752869</v>
      </c>
      <c r="M32" s="64">
        <v>818.72185085645242</v>
      </c>
      <c r="N32" s="64">
        <v>855.53270128577753</v>
      </c>
      <c r="O32" s="64">
        <v>870.95955495017756</v>
      </c>
      <c r="P32" s="64">
        <v>866.6597712955645</v>
      </c>
      <c r="Q32" s="64">
        <v>862.21156761036912</v>
      </c>
      <c r="R32" s="64">
        <v>905.83978035785947</v>
      </c>
      <c r="S32" s="64">
        <v>916.2407340904756</v>
      </c>
      <c r="T32" s="64">
        <v>928.42315459568465</v>
      </c>
      <c r="U32" s="64">
        <v>928.22009958433534</v>
      </c>
      <c r="V32" s="64">
        <v>909.72372923567514</v>
      </c>
      <c r="W32" s="64">
        <v>873.01411457577933</v>
      </c>
      <c r="X32" s="64">
        <v>920.54934226451087</v>
      </c>
      <c r="Y32" s="64">
        <v>922.83842358663514</v>
      </c>
      <c r="Z32" s="64">
        <v>910.0870008851449</v>
      </c>
      <c r="AA32" s="64">
        <v>907.90802065123535</v>
      </c>
      <c r="AB32" s="64">
        <v>894.96976005298973</v>
      </c>
      <c r="AC32" s="64">
        <v>909.25045373836178</v>
      </c>
      <c r="AD32" s="64">
        <v>1017.891310354128</v>
      </c>
      <c r="AE32" s="64">
        <v>1163.8168905691043</v>
      </c>
      <c r="AF32" s="64">
        <v>1038.2343728363628</v>
      </c>
      <c r="AG32" s="64">
        <v>949.03882323368327</v>
      </c>
      <c r="AH32" s="64">
        <v>1173.8620740358454</v>
      </c>
      <c r="AI32" s="64">
        <v>1174.490155327856</v>
      </c>
      <c r="AJ32" s="64">
        <v>1148.4217049876984</v>
      </c>
      <c r="AK32" s="64">
        <v>1177.5407878919996</v>
      </c>
      <c r="AL32" s="64">
        <v>1257.2654200588188</v>
      </c>
      <c r="AM32" s="64">
        <v>1137.6690405026995</v>
      </c>
      <c r="AN32" s="64">
        <v>1148.5344451236342</v>
      </c>
      <c r="AO32" s="20"/>
    </row>
    <row r="33" spans="1:41" s="19" customFormat="1" ht="18.95" customHeight="1" x14ac:dyDescent="0.2">
      <c r="A33" s="38" t="s">
        <v>69</v>
      </c>
      <c r="B33" s="16">
        <v>214.12261551051591</v>
      </c>
      <c r="C33" s="16">
        <v>220.15139617393936</v>
      </c>
      <c r="D33" s="16">
        <v>225.79119446389421</v>
      </c>
      <c r="E33" s="16">
        <v>231.28507424291772</v>
      </c>
      <c r="F33" s="16">
        <v>233.02641302919054</v>
      </c>
      <c r="G33" s="16">
        <v>236.81016382614408</v>
      </c>
      <c r="H33" s="16">
        <v>239.23248604558964</v>
      </c>
      <c r="I33" s="16">
        <v>243.38104330565662</v>
      </c>
      <c r="J33" s="64">
        <v>246.7838282648751</v>
      </c>
      <c r="K33" s="64">
        <v>249.40402857701673</v>
      </c>
      <c r="L33" s="64">
        <v>251.37861843850234</v>
      </c>
      <c r="M33" s="64">
        <v>255.24279726461839</v>
      </c>
      <c r="N33" s="64">
        <v>257.75311899529163</v>
      </c>
      <c r="O33" s="64">
        <v>261.24537202654892</v>
      </c>
      <c r="P33" s="64">
        <v>264.407875920187</v>
      </c>
      <c r="Q33" s="64">
        <v>269.36993384987125</v>
      </c>
      <c r="R33" s="64">
        <v>272.19079435305025</v>
      </c>
      <c r="S33" s="64">
        <v>275.1369313529878</v>
      </c>
      <c r="T33" s="64">
        <v>277.63239774697496</v>
      </c>
      <c r="U33" s="64">
        <v>282.19267195074644</v>
      </c>
      <c r="V33" s="64">
        <v>285.53582322339798</v>
      </c>
      <c r="W33" s="64">
        <v>289.93697225297092</v>
      </c>
      <c r="X33" s="64">
        <v>294.906085213263</v>
      </c>
      <c r="Y33" s="64">
        <v>307.75642266597293</v>
      </c>
      <c r="Z33" s="64">
        <v>320.11186428527867</v>
      </c>
      <c r="AA33" s="64">
        <v>329.56435117782667</v>
      </c>
      <c r="AB33" s="64">
        <v>332.24698651750879</v>
      </c>
      <c r="AC33" s="64">
        <v>336.57822026793747</v>
      </c>
      <c r="AD33" s="64">
        <v>339.88660444422516</v>
      </c>
      <c r="AE33" s="64">
        <v>347.07868359349567</v>
      </c>
      <c r="AF33" s="64">
        <v>351.91774349077679</v>
      </c>
      <c r="AG33" s="64">
        <v>357.90050635675726</v>
      </c>
      <c r="AH33" s="64">
        <v>361.22039387344222</v>
      </c>
      <c r="AI33" s="64">
        <v>367.31602850027764</v>
      </c>
      <c r="AJ33" s="64">
        <v>374.31800014300092</v>
      </c>
      <c r="AK33" s="64">
        <v>381.4963851630099</v>
      </c>
      <c r="AL33" s="64">
        <v>385.41079038814593</v>
      </c>
      <c r="AM33" s="64">
        <v>387.14864588331466</v>
      </c>
      <c r="AN33" s="64">
        <v>395.95410376841414</v>
      </c>
      <c r="AO33" s="20"/>
    </row>
    <row r="34" spans="1:41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20"/>
    </row>
    <row r="35" spans="1:41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54"/>
    </row>
    <row r="36" spans="1:41" s="27" customFormat="1" ht="17.100000000000001" customHeight="1" thickBot="1" x14ac:dyDescent="0.25">
      <c r="A36" s="25" t="s">
        <v>30</v>
      </c>
      <c r="B36" s="26">
        <v>1768.5043605191229</v>
      </c>
      <c r="C36" s="26">
        <v>1830.2085737554207</v>
      </c>
      <c r="D36" s="26">
        <v>2001.6607548063973</v>
      </c>
      <c r="E36" s="26">
        <v>2030.25727085976</v>
      </c>
      <c r="F36" s="26">
        <v>1968.5811279197617</v>
      </c>
      <c r="G36" s="26">
        <v>2133.39290233365</v>
      </c>
      <c r="H36" s="26">
        <v>2246.1593055311573</v>
      </c>
      <c r="I36" s="26">
        <v>2296.4106504154297</v>
      </c>
      <c r="J36" s="65">
        <v>2351.4182387944902</v>
      </c>
      <c r="K36" s="65">
        <v>2547.6105100786376</v>
      </c>
      <c r="L36" s="65">
        <v>2490.8337395088283</v>
      </c>
      <c r="M36" s="65">
        <v>2432.2584652393448</v>
      </c>
      <c r="N36" s="65">
        <v>2484.2699639022831</v>
      </c>
      <c r="O36" s="65">
        <v>2665.5958948103412</v>
      </c>
      <c r="P36" s="65">
        <v>2620.3094831674484</v>
      </c>
      <c r="Q36" s="65">
        <v>1648.2713626816819</v>
      </c>
      <c r="R36" s="65">
        <v>2509.1128512616792</v>
      </c>
      <c r="S36" s="65">
        <v>2720.8555795429425</v>
      </c>
      <c r="T36" s="65">
        <v>2631.2278505407767</v>
      </c>
      <c r="U36" s="65">
        <v>2761.3304055752183</v>
      </c>
      <c r="V36" s="65">
        <v>2693.8426137930319</v>
      </c>
      <c r="W36" s="65">
        <v>3201.5370727392024</v>
      </c>
      <c r="X36" s="65">
        <v>3229.5565360847891</v>
      </c>
      <c r="Y36" s="65">
        <v>3195.2159745149102</v>
      </c>
      <c r="Z36" s="65">
        <v>3229.2205058798472</v>
      </c>
      <c r="AA36" s="65">
        <v>3194.3606190551614</v>
      </c>
      <c r="AB36" s="65">
        <v>3573.0439997665321</v>
      </c>
      <c r="AC36" s="65">
        <v>3993.4805661178489</v>
      </c>
      <c r="AD36" s="65">
        <v>3620.9803423481872</v>
      </c>
      <c r="AE36" s="65">
        <v>3667.1626138208439</v>
      </c>
      <c r="AF36" s="65">
        <v>3772.3801353035483</v>
      </c>
      <c r="AG36" s="65">
        <v>3960.6407588892357</v>
      </c>
      <c r="AH36" s="65">
        <v>4088.2306734906556</v>
      </c>
      <c r="AI36" s="65">
        <v>4147.5020468516541</v>
      </c>
      <c r="AJ36" s="65">
        <v>4137.8967069662904</v>
      </c>
      <c r="AK36" s="65">
        <v>4727.3475322903951</v>
      </c>
      <c r="AL36" s="65">
        <v>4198.9733107244538</v>
      </c>
      <c r="AM36" s="65">
        <v>4529.3122266773735</v>
      </c>
      <c r="AN36" s="65">
        <v>4927.8262519299205</v>
      </c>
      <c r="AO36" s="41"/>
    </row>
    <row r="37" spans="1:41" x14ac:dyDescent="0.2">
      <c r="A37" s="14" t="s">
        <v>63</v>
      </c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</row>
  </sheetData>
  <mergeCells count="9">
    <mergeCell ref="AH3:AK3"/>
    <mergeCell ref="AD3:AG3"/>
    <mergeCell ref="Z3:AC3"/>
    <mergeCell ref="V3:Y3"/>
    <mergeCell ref="R3:U3"/>
    <mergeCell ref="B3:E3"/>
    <mergeCell ref="F3:I3"/>
    <mergeCell ref="J3:M3"/>
    <mergeCell ref="N3:P3"/>
  </mergeCells>
  <phoneticPr fontId="17" type="noConversion"/>
  <pageMargins left="0.31496062992125984" right="0.27559055118110237" top="0.51181102362204722" bottom="0" header="0.31496062992125984" footer="0"/>
  <pageSetup scale="48" orientation="landscape" r:id="rId1"/>
  <colBreaks count="1" manualBreakCount="1">
    <brk id="10" max="3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AQ37"/>
  <sheetViews>
    <sheetView view="pageBreakPreview" zoomScale="120" zoomScaleSheetLayoutView="120" workbookViewId="0">
      <pane xSplit="1" ySplit="4" topLeftCell="B5" activePane="bottomRight" state="frozen"/>
      <selection activeCell="B38" sqref="B38"/>
      <selection pane="topRight" activeCell="B38" sqref="B38"/>
      <selection pane="bottomLeft" activeCell="B38" sqref="B38"/>
      <selection pane="bottomRight" activeCell="B38" sqref="B38"/>
    </sheetView>
  </sheetViews>
  <sheetFormatPr defaultColWidth="9.140625" defaultRowHeight="12" x14ac:dyDescent="0.2"/>
  <cols>
    <col min="1" max="1" width="98.140625" style="29" bestFit="1" customWidth="1"/>
    <col min="2" max="9" width="6.28515625" style="29" bestFit="1" customWidth="1"/>
    <col min="10" max="11" width="6.5703125" style="17" bestFit="1" customWidth="1"/>
    <col min="12" max="12" width="6.5703125" style="66" bestFit="1" customWidth="1"/>
    <col min="13" max="27" width="6.5703125" style="17" bestFit="1" customWidth="1"/>
    <col min="28" max="37" width="6.5703125" style="29" bestFit="1" customWidth="1"/>
    <col min="38" max="38" width="7" style="29" bestFit="1" customWidth="1"/>
    <col min="39" max="40" width="6.5703125" style="29" bestFit="1" customWidth="1"/>
    <col min="41" max="16384" width="9.140625" style="29"/>
  </cols>
  <sheetData>
    <row r="1" spans="1:40" ht="16.5" customHeight="1" x14ac:dyDescent="0.2">
      <c r="A1" s="44" t="s">
        <v>129</v>
      </c>
      <c r="C1" s="44"/>
    </row>
    <row r="2" spans="1:40" ht="3.75" customHeight="1" thickBot="1" x14ac:dyDescent="0.25"/>
    <row r="3" spans="1:40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60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</row>
    <row r="4" spans="1:40" s="51" customFormat="1" ht="13.5" customHeigh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</row>
    <row r="5" spans="1:40" s="20" customFormat="1" ht="17.100000000000001" customHeight="1" x14ac:dyDescent="0.2">
      <c r="A5" s="21" t="s">
        <v>80</v>
      </c>
      <c r="B5" s="45">
        <v>99.999999999999986</v>
      </c>
      <c r="C5" s="45">
        <v>99.999999999999986</v>
      </c>
      <c r="D5" s="45">
        <v>99.999999999999986</v>
      </c>
      <c r="E5" s="45">
        <v>100.00000000000001</v>
      </c>
      <c r="F5" s="45">
        <v>99.999999999999986</v>
      </c>
      <c r="G5" s="45">
        <v>100.00000000000001</v>
      </c>
      <c r="H5" s="45">
        <v>99.999999999999986</v>
      </c>
      <c r="I5" s="45">
        <v>100.00000000000003</v>
      </c>
      <c r="J5" s="78">
        <v>100</v>
      </c>
      <c r="K5" s="78">
        <v>99.999999999999986</v>
      </c>
      <c r="L5" s="78">
        <v>100</v>
      </c>
      <c r="M5" s="78">
        <v>100.00000000000001</v>
      </c>
      <c r="N5" s="78">
        <v>100</v>
      </c>
      <c r="O5" s="78">
        <v>100</v>
      </c>
      <c r="P5" s="78">
        <v>99.999999999999986</v>
      </c>
      <c r="Q5" s="78">
        <v>99.999999999999986</v>
      </c>
      <c r="R5" s="78">
        <v>100.00000000000001</v>
      </c>
      <c r="S5" s="78">
        <v>100.00000000000001</v>
      </c>
      <c r="T5" s="78">
        <v>99.999999999999986</v>
      </c>
      <c r="U5" s="78">
        <v>99.999999999999972</v>
      </c>
      <c r="V5" s="78">
        <v>100</v>
      </c>
      <c r="W5" s="78">
        <v>100</v>
      </c>
      <c r="X5" s="78">
        <v>100</v>
      </c>
      <c r="Y5" s="78">
        <v>100</v>
      </c>
      <c r="Z5" s="78">
        <v>100</v>
      </c>
      <c r="AA5" s="78">
        <v>100</v>
      </c>
      <c r="AB5" s="78">
        <v>100.00000000000003</v>
      </c>
      <c r="AC5" s="78">
        <v>100.00000000000003</v>
      </c>
      <c r="AD5" s="78">
        <v>100.00000000000001</v>
      </c>
      <c r="AE5" s="78">
        <v>100</v>
      </c>
      <c r="AF5" s="78">
        <v>100</v>
      </c>
      <c r="AG5" s="78">
        <v>100</v>
      </c>
      <c r="AH5" s="78">
        <v>99.999999999999986</v>
      </c>
      <c r="AI5" s="78">
        <v>100</v>
      </c>
      <c r="AJ5" s="78">
        <v>100.00000000000001</v>
      </c>
      <c r="AK5" s="78">
        <v>99.999999999999986</v>
      </c>
      <c r="AL5" s="78">
        <v>100</v>
      </c>
      <c r="AM5" s="78">
        <v>100.00000000000003</v>
      </c>
      <c r="AN5" s="78">
        <v>99.999999999999986</v>
      </c>
    </row>
    <row r="6" spans="1:40" s="54" customFormat="1" ht="17.100000000000001" customHeight="1" x14ac:dyDescent="0.2">
      <c r="A6" s="52" t="s">
        <v>81</v>
      </c>
      <c r="B6" s="56">
        <v>28.764944426163183</v>
      </c>
      <c r="C6" s="56">
        <v>23.064638605363669</v>
      </c>
      <c r="D6" s="56">
        <v>20.292582808695965</v>
      </c>
      <c r="E6" s="56">
        <v>21.553062579108467</v>
      </c>
      <c r="F6" s="56">
        <v>28.510167296535311</v>
      </c>
      <c r="G6" s="56">
        <v>20.520507234153428</v>
      </c>
      <c r="H6" s="56">
        <v>20.722639874716961</v>
      </c>
      <c r="I6" s="56">
        <v>22.815887987440149</v>
      </c>
      <c r="J6" s="71">
        <v>26.511627823317134</v>
      </c>
      <c r="K6" s="71">
        <v>21.363447382518217</v>
      </c>
      <c r="L6" s="71">
        <v>20.673451251623401</v>
      </c>
      <c r="M6" s="71">
        <v>23.013741026673163</v>
      </c>
      <c r="N6" s="71">
        <v>27.378272698040622</v>
      </c>
      <c r="O6" s="71">
        <v>22.718827363130227</v>
      </c>
      <c r="P6" s="71">
        <v>20.257654630860607</v>
      </c>
      <c r="Q6" s="71">
        <v>25.095920257260047</v>
      </c>
      <c r="R6" s="71">
        <v>29.052052690604459</v>
      </c>
      <c r="S6" s="71">
        <v>23.675554802147332</v>
      </c>
      <c r="T6" s="71">
        <v>18.998274490006878</v>
      </c>
      <c r="U6" s="71">
        <v>23.135881796627025</v>
      </c>
      <c r="V6" s="71">
        <v>30.135134686365653</v>
      </c>
      <c r="W6" s="71">
        <v>22.991835564920461</v>
      </c>
      <c r="X6" s="71">
        <v>19.389340563417907</v>
      </c>
      <c r="Y6" s="71">
        <v>23.303057594917369</v>
      </c>
      <c r="Z6" s="71">
        <v>29.014372969068962</v>
      </c>
      <c r="AA6" s="71">
        <v>24.094838020887064</v>
      </c>
      <c r="AB6" s="71">
        <v>20.145524059126998</v>
      </c>
      <c r="AC6" s="71">
        <v>22.584360879621194</v>
      </c>
      <c r="AD6" s="71">
        <v>28.448293932524312</v>
      </c>
      <c r="AE6" s="71">
        <v>23.372153878516873</v>
      </c>
      <c r="AF6" s="71">
        <v>21.010205023441404</v>
      </c>
      <c r="AG6" s="71">
        <v>25.135517536937456</v>
      </c>
      <c r="AH6" s="71">
        <v>30.058574477037062</v>
      </c>
      <c r="AI6" s="71">
        <v>25.489834008879964</v>
      </c>
      <c r="AJ6" s="71">
        <v>23.416250872088071</v>
      </c>
      <c r="AK6" s="71">
        <v>25.26623068309037</v>
      </c>
      <c r="AL6" s="71">
        <v>29.14054899907239</v>
      </c>
      <c r="AM6" s="71">
        <v>25.640255574779871</v>
      </c>
      <c r="AN6" s="71">
        <v>22.452830493935533</v>
      </c>
    </row>
    <row r="7" spans="1:40" s="19" customFormat="1" ht="17.100000000000001" customHeight="1" x14ac:dyDescent="0.2">
      <c r="A7" s="37" t="s">
        <v>2</v>
      </c>
      <c r="B7" s="33">
        <v>1.8093144026198347</v>
      </c>
      <c r="C7" s="33">
        <v>2.8282499433714792</v>
      </c>
      <c r="D7" s="33">
        <v>2.8221829863915637</v>
      </c>
      <c r="E7" s="33">
        <v>1.981306483937904</v>
      </c>
      <c r="F7" s="33">
        <v>2.3923814920475452</v>
      </c>
      <c r="G7" s="33">
        <v>2.5098441536940141</v>
      </c>
      <c r="H7" s="33">
        <v>2.5209034658649712</v>
      </c>
      <c r="I7" s="33">
        <v>1.5934223237106999</v>
      </c>
      <c r="J7" s="67">
        <v>2.0605251170575194</v>
      </c>
      <c r="K7" s="67">
        <v>2.2014504523253646</v>
      </c>
      <c r="L7" s="67">
        <v>2.2245081260793409</v>
      </c>
      <c r="M7" s="67">
        <v>1.43205837164495</v>
      </c>
      <c r="N7" s="67">
        <v>1.674514472790263</v>
      </c>
      <c r="O7" s="67">
        <v>2.0949269879943557</v>
      </c>
      <c r="P7" s="67">
        <v>2.6212430311589725</v>
      </c>
      <c r="Q7" s="67">
        <v>1.4737216982519938</v>
      </c>
      <c r="R7" s="67">
        <v>1.6787156048293677</v>
      </c>
      <c r="S7" s="67">
        <v>2.08728495455785</v>
      </c>
      <c r="T7" s="67">
        <v>2.6854437620520462</v>
      </c>
      <c r="U7" s="67">
        <v>1.8295107419345962</v>
      </c>
      <c r="V7" s="67">
        <v>2.3396060178724181</v>
      </c>
      <c r="W7" s="67">
        <v>3.1791957259263657</v>
      </c>
      <c r="X7" s="67">
        <v>3.4011370817555191</v>
      </c>
      <c r="Y7" s="67">
        <v>2.1099575708582932</v>
      </c>
      <c r="Z7" s="67">
        <v>2.4363163667861509</v>
      </c>
      <c r="AA7" s="67">
        <v>2.6286512868379388</v>
      </c>
      <c r="AB7" s="67">
        <v>3.118755112104119</v>
      </c>
      <c r="AC7" s="67">
        <v>2.0610617584961997</v>
      </c>
      <c r="AD7" s="67">
        <v>2.7628293425669925</v>
      </c>
      <c r="AE7" s="67">
        <v>3.4789466474673252</v>
      </c>
      <c r="AF7" s="67">
        <v>4.8412676997163322</v>
      </c>
      <c r="AG7" s="67">
        <v>3.2492722020717424</v>
      </c>
      <c r="AH7" s="67">
        <v>3.6743607818576121</v>
      </c>
      <c r="AI7" s="67">
        <v>4.8732094406890969</v>
      </c>
      <c r="AJ7" s="67">
        <v>6.2297564652828106</v>
      </c>
      <c r="AK7" s="67">
        <v>5.2902312268433924</v>
      </c>
      <c r="AL7" s="67">
        <v>4.2349097416068684</v>
      </c>
      <c r="AM7" s="67">
        <v>5.0479134313948402</v>
      </c>
      <c r="AN7" s="67">
        <v>6.1541366860304736</v>
      </c>
    </row>
    <row r="8" spans="1:40" s="19" customFormat="1" ht="17.100000000000001" customHeight="1" x14ac:dyDescent="0.2">
      <c r="A8" s="37" t="s">
        <v>3</v>
      </c>
      <c r="B8" s="33">
        <v>19.079111206220986</v>
      </c>
      <c r="C8" s="33">
        <v>11.172307478413167</v>
      </c>
      <c r="D8" s="33">
        <v>8.1445402484917597</v>
      </c>
      <c r="E8" s="33">
        <v>10.748195919311934</v>
      </c>
      <c r="F8" s="33">
        <v>19.066869419595296</v>
      </c>
      <c r="G8" s="33">
        <v>10.733631213215125</v>
      </c>
      <c r="H8" s="33">
        <v>8.5106204330991861</v>
      </c>
      <c r="I8" s="33">
        <v>10.951994968483019</v>
      </c>
      <c r="J8" s="67">
        <v>16.70523105190248</v>
      </c>
      <c r="K8" s="67">
        <v>9.799683310590197</v>
      </c>
      <c r="L8" s="67">
        <v>8.0079365831003315</v>
      </c>
      <c r="M8" s="67">
        <v>11.186017770735061</v>
      </c>
      <c r="N8" s="67">
        <v>16.637711276189975</v>
      </c>
      <c r="O8" s="67">
        <v>9.7934565506733851</v>
      </c>
      <c r="P8" s="67">
        <v>6.9276750521886088</v>
      </c>
      <c r="Q8" s="67">
        <v>12.529607700429409</v>
      </c>
      <c r="R8" s="67">
        <v>18.240213590872418</v>
      </c>
      <c r="S8" s="67">
        <v>10.052363598876003</v>
      </c>
      <c r="T8" s="67">
        <v>5.8131058397562612</v>
      </c>
      <c r="U8" s="67">
        <v>11.114264260246538</v>
      </c>
      <c r="V8" s="67">
        <v>18.401767612802956</v>
      </c>
      <c r="W8" s="67">
        <v>10.006170740985976</v>
      </c>
      <c r="X8" s="67">
        <v>5.5129658736026723</v>
      </c>
      <c r="Y8" s="67">
        <v>11.335724363030305</v>
      </c>
      <c r="Z8" s="67">
        <v>18.729721727465183</v>
      </c>
      <c r="AA8" s="67">
        <v>11.675075407113262</v>
      </c>
      <c r="AB8" s="67">
        <v>5.3085494067538344</v>
      </c>
      <c r="AC8" s="67">
        <v>10.777738376346914</v>
      </c>
      <c r="AD8" s="67">
        <v>17.648046467217014</v>
      </c>
      <c r="AE8" s="67">
        <v>10.545987798404104</v>
      </c>
      <c r="AF8" s="67">
        <v>5.1149542247400799</v>
      </c>
      <c r="AG8" s="67">
        <v>11.070775226650859</v>
      </c>
      <c r="AH8" s="67">
        <v>18.12514681631875</v>
      </c>
      <c r="AI8" s="67">
        <v>10.943932212202444</v>
      </c>
      <c r="AJ8" s="67">
        <v>5.0301885928671952</v>
      </c>
      <c r="AK8" s="67">
        <v>9.1965875376450352</v>
      </c>
      <c r="AL8" s="67">
        <v>15.795883257548843</v>
      </c>
      <c r="AM8" s="67">
        <v>10.791685087838362</v>
      </c>
      <c r="AN8" s="67">
        <v>5.0799556865851194</v>
      </c>
    </row>
    <row r="9" spans="1:40" s="19" customFormat="1" ht="17.100000000000001" customHeight="1" x14ac:dyDescent="0.2">
      <c r="A9" s="37" t="s">
        <v>4</v>
      </c>
      <c r="B9" s="33">
        <v>2.8505557648820465</v>
      </c>
      <c r="C9" s="33">
        <v>3.0516346139625656</v>
      </c>
      <c r="D9" s="33">
        <v>3.1602319026172001</v>
      </c>
      <c r="E9" s="33">
        <v>3.1403467771756697</v>
      </c>
      <c r="F9" s="33">
        <v>2.9780668139475637</v>
      </c>
      <c r="G9" s="33">
        <v>3.3357822650392333</v>
      </c>
      <c r="H9" s="33">
        <v>3.3618322806453569</v>
      </c>
      <c r="I9" s="33">
        <v>3.2117706437189475</v>
      </c>
      <c r="J9" s="67">
        <v>3.1026717186838866</v>
      </c>
      <c r="K9" s="67">
        <v>3.4124256378396645</v>
      </c>
      <c r="L9" s="67">
        <v>3.5850980543145674</v>
      </c>
      <c r="M9" s="67">
        <v>3.5112600380145307</v>
      </c>
      <c r="N9" s="67">
        <v>3.2476880619138102</v>
      </c>
      <c r="O9" s="67">
        <v>3.5363415537609009</v>
      </c>
      <c r="P9" s="67">
        <v>4.0273228644435051</v>
      </c>
      <c r="Q9" s="67">
        <v>4.3963339334204257</v>
      </c>
      <c r="R9" s="67">
        <v>3.6388294855135643</v>
      </c>
      <c r="S9" s="67">
        <v>3.9134823888898365</v>
      </c>
      <c r="T9" s="67">
        <v>4.1149004195886487</v>
      </c>
      <c r="U9" s="67">
        <v>4.0939397785887861</v>
      </c>
      <c r="V9" s="67">
        <v>3.8378632439617353</v>
      </c>
      <c r="W9" s="67">
        <v>4.066398713904114</v>
      </c>
      <c r="X9" s="67">
        <v>4.0966080994436513</v>
      </c>
      <c r="Y9" s="67">
        <v>3.8781932344474059</v>
      </c>
      <c r="Z9" s="67">
        <v>3.5857942999739496</v>
      </c>
      <c r="AA9" s="67">
        <v>4.049838399658241</v>
      </c>
      <c r="AB9" s="67">
        <v>4.577380760855835</v>
      </c>
      <c r="AC9" s="67">
        <v>4.092993263310273</v>
      </c>
      <c r="AD9" s="67">
        <v>3.7399554154488688</v>
      </c>
      <c r="AE9" s="67">
        <v>4.1907006785808196</v>
      </c>
      <c r="AF9" s="67">
        <v>4.5613649564773961</v>
      </c>
      <c r="AG9" s="67">
        <v>4.2904718861618045</v>
      </c>
      <c r="AH9" s="67">
        <v>3.9494892571422509</v>
      </c>
      <c r="AI9" s="67">
        <v>4.4435684152405566</v>
      </c>
      <c r="AJ9" s="67">
        <v>4.7219018327691726</v>
      </c>
      <c r="AK9" s="67">
        <v>4.5976355293919555</v>
      </c>
      <c r="AL9" s="67">
        <v>4.356776039798401</v>
      </c>
      <c r="AM9" s="67">
        <v>4.5673482712724578</v>
      </c>
      <c r="AN9" s="67">
        <v>4.8487561066659737</v>
      </c>
    </row>
    <row r="10" spans="1:40" s="19" customFormat="1" ht="17.100000000000001" customHeight="1" x14ac:dyDescent="0.2">
      <c r="A10" s="37" t="s">
        <v>5</v>
      </c>
      <c r="B10" s="33">
        <v>2.0003583667449545E-2</v>
      </c>
      <c r="C10" s="33">
        <v>1.3443139624237915E-2</v>
      </c>
      <c r="D10" s="33">
        <v>1.0490017717773116E-2</v>
      </c>
      <c r="E10" s="33">
        <v>1.6542553051468262E-2</v>
      </c>
      <c r="F10" s="33">
        <v>1.5484378146073252E-2</v>
      </c>
      <c r="G10" s="33">
        <v>1.0468458182283714E-2</v>
      </c>
      <c r="H10" s="33">
        <v>8.1025080403937504E-3</v>
      </c>
      <c r="I10" s="33">
        <v>1.3595540960365958E-2</v>
      </c>
      <c r="J10" s="67">
        <v>1.6605674260464907E-2</v>
      </c>
      <c r="K10" s="67">
        <v>1.206725353497316E-2</v>
      </c>
      <c r="L10" s="67">
        <v>9.7944764431221517E-3</v>
      </c>
      <c r="M10" s="67">
        <v>1.6598798010115792E-2</v>
      </c>
      <c r="N10" s="67">
        <v>1.7868339307068878E-2</v>
      </c>
      <c r="O10" s="67">
        <v>1.230010923311909E-2</v>
      </c>
      <c r="P10" s="67">
        <v>9.8465116390713103E-3</v>
      </c>
      <c r="Q10" s="67">
        <v>1.5495730495023355E-2</v>
      </c>
      <c r="R10" s="67">
        <v>1.590588386357079E-2</v>
      </c>
      <c r="S10" s="67">
        <v>1.1740855078210499E-2</v>
      </c>
      <c r="T10" s="67">
        <v>1.1245811071354044E-2</v>
      </c>
      <c r="U10" s="67">
        <v>1.5145595899832456E-2</v>
      </c>
      <c r="V10" s="67">
        <v>1.6783626712503576E-2</v>
      </c>
      <c r="W10" s="67">
        <v>1.1782493445614663E-2</v>
      </c>
      <c r="X10" s="67">
        <v>1.0246095137530609E-2</v>
      </c>
      <c r="Y10" s="67">
        <v>1.3478032581227756E-2</v>
      </c>
      <c r="Z10" s="67">
        <v>1.454230584170294E-2</v>
      </c>
      <c r="AA10" s="67">
        <v>1.0843494950967932E-2</v>
      </c>
      <c r="AB10" s="67">
        <v>1.0413975587806004E-2</v>
      </c>
      <c r="AC10" s="67">
        <v>1.2600419253529704E-2</v>
      </c>
      <c r="AD10" s="67">
        <v>1.3771733154669862E-2</v>
      </c>
      <c r="AE10" s="67">
        <v>1.0240311662229514E-2</v>
      </c>
      <c r="AF10" s="67">
        <v>9.8397136723225413E-3</v>
      </c>
      <c r="AG10" s="67">
        <v>1.2313387511282166E-2</v>
      </c>
      <c r="AH10" s="67">
        <v>1.3251013842882102E-2</v>
      </c>
      <c r="AI10" s="67">
        <v>9.4275299416204956E-3</v>
      </c>
      <c r="AJ10" s="67">
        <v>8.2943740048596684E-3</v>
      </c>
      <c r="AK10" s="67">
        <v>1.176538838170278E-2</v>
      </c>
      <c r="AL10" s="67">
        <v>1.1274455800430312E-2</v>
      </c>
      <c r="AM10" s="67">
        <v>8.667806140414111E-3</v>
      </c>
      <c r="AN10" s="67">
        <v>8.4574379588425765E-3</v>
      </c>
    </row>
    <row r="11" spans="1:40" s="19" customFormat="1" ht="17.100000000000001" customHeight="1" x14ac:dyDescent="0.2">
      <c r="A11" s="37" t="s">
        <v>6</v>
      </c>
      <c r="B11" s="33">
        <v>3.0415289688753719</v>
      </c>
      <c r="C11" s="33">
        <v>3.8799383473778377</v>
      </c>
      <c r="D11" s="33">
        <v>4.0747303932592027</v>
      </c>
      <c r="E11" s="33">
        <v>3.7816005785139142</v>
      </c>
      <c r="F11" s="33">
        <v>2.5871539949899489</v>
      </c>
      <c r="G11" s="33">
        <v>2.2387334560370697</v>
      </c>
      <c r="H11" s="33">
        <v>4.8596036200638553</v>
      </c>
      <c r="I11" s="33">
        <v>5.3946514361894922</v>
      </c>
      <c r="J11" s="67">
        <v>2.8633236116221674</v>
      </c>
      <c r="K11" s="67">
        <v>3.7606603565546752</v>
      </c>
      <c r="L11" s="67">
        <v>4.256020814126531</v>
      </c>
      <c r="M11" s="67">
        <v>4.4335971453101637</v>
      </c>
      <c r="N11" s="67">
        <v>3.6351412484692349</v>
      </c>
      <c r="O11" s="67">
        <v>4.7058699191586317</v>
      </c>
      <c r="P11" s="67">
        <v>3.9966312258398773</v>
      </c>
      <c r="Q11" s="67">
        <v>4.1472008564699587</v>
      </c>
      <c r="R11" s="67">
        <v>3.2269994827087665</v>
      </c>
      <c r="S11" s="67">
        <v>5.2418782764358527</v>
      </c>
      <c r="T11" s="67">
        <v>4.1034218575664809</v>
      </c>
      <c r="U11" s="67">
        <v>3.934413370631539</v>
      </c>
      <c r="V11" s="67">
        <v>3.5287485100599292</v>
      </c>
      <c r="W11" s="67">
        <v>3.7842029090622162</v>
      </c>
      <c r="X11" s="67">
        <v>4.274121427949126</v>
      </c>
      <c r="Y11" s="67">
        <v>3.9091853932021028</v>
      </c>
      <c r="Z11" s="67">
        <v>3.2520682602660327</v>
      </c>
      <c r="AA11" s="67">
        <v>3.7506725709964646</v>
      </c>
      <c r="AB11" s="67">
        <v>4.1654024706932686</v>
      </c>
      <c r="AC11" s="67">
        <v>3.6403534579514445</v>
      </c>
      <c r="AD11" s="67">
        <v>3.2739047741376877</v>
      </c>
      <c r="AE11" s="67">
        <v>3.5932546142855708</v>
      </c>
      <c r="AF11" s="67">
        <v>3.9114811509726897</v>
      </c>
      <c r="AG11" s="67">
        <v>4.203042928272767</v>
      </c>
      <c r="AH11" s="67">
        <v>3.3533451694246326</v>
      </c>
      <c r="AI11" s="67">
        <v>3.6656058205938264</v>
      </c>
      <c r="AJ11" s="67">
        <v>4.0531414565812351</v>
      </c>
      <c r="AK11" s="67">
        <v>3.8226989525359625</v>
      </c>
      <c r="AL11" s="67">
        <v>3.593783983586091</v>
      </c>
      <c r="AM11" s="67">
        <v>3.5881490939704315</v>
      </c>
      <c r="AN11" s="67">
        <v>3.3885733869714807</v>
      </c>
    </row>
    <row r="12" spans="1:40" s="19" customFormat="1" ht="17.100000000000001" customHeight="1" x14ac:dyDescent="0.2">
      <c r="A12" s="37" t="s">
        <v>7</v>
      </c>
      <c r="B12" s="33">
        <v>1.9644304998974964</v>
      </c>
      <c r="C12" s="33">
        <v>2.1190650826143851</v>
      </c>
      <c r="D12" s="33">
        <v>2.0804072602184647</v>
      </c>
      <c r="E12" s="33">
        <v>1.8850702671175754</v>
      </c>
      <c r="F12" s="33">
        <v>1.4702111978088843</v>
      </c>
      <c r="G12" s="33">
        <v>1.6920476879856989</v>
      </c>
      <c r="H12" s="33">
        <v>1.461577567003201</v>
      </c>
      <c r="I12" s="33">
        <v>1.650453074377622</v>
      </c>
      <c r="J12" s="67">
        <v>1.7632706497906163</v>
      </c>
      <c r="K12" s="67">
        <v>2.1771603716733439</v>
      </c>
      <c r="L12" s="67">
        <v>2.5900931975595092</v>
      </c>
      <c r="M12" s="67">
        <v>2.4342089029583418</v>
      </c>
      <c r="N12" s="67">
        <v>2.1653492993702712</v>
      </c>
      <c r="O12" s="67">
        <v>2.5759322423098356</v>
      </c>
      <c r="P12" s="67">
        <v>2.6749359455905704</v>
      </c>
      <c r="Q12" s="67">
        <v>2.5335603381932357</v>
      </c>
      <c r="R12" s="67">
        <v>2.2513886428167709</v>
      </c>
      <c r="S12" s="67">
        <v>2.3688047283095814</v>
      </c>
      <c r="T12" s="67">
        <v>2.2701567999720851</v>
      </c>
      <c r="U12" s="67">
        <v>2.1486080493257322</v>
      </c>
      <c r="V12" s="67">
        <v>2.0103656749561107</v>
      </c>
      <c r="W12" s="67">
        <v>1.9440849815961749</v>
      </c>
      <c r="X12" s="67">
        <v>2.0942619855294069</v>
      </c>
      <c r="Y12" s="67">
        <v>2.0565190007980352</v>
      </c>
      <c r="Z12" s="67">
        <v>0.99593000873594262</v>
      </c>
      <c r="AA12" s="67">
        <v>1.979756861330189</v>
      </c>
      <c r="AB12" s="67">
        <v>2.9650223331321368</v>
      </c>
      <c r="AC12" s="67">
        <v>1.9996136042628292</v>
      </c>
      <c r="AD12" s="67">
        <v>1.0097861999990794</v>
      </c>
      <c r="AE12" s="67">
        <v>1.5530238281168249</v>
      </c>
      <c r="AF12" s="67">
        <v>2.5712972778625831</v>
      </c>
      <c r="AG12" s="67">
        <v>2.3096419062689995</v>
      </c>
      <c r="AH12" s="67">
        <v>0.94298143845093407</v>
      </c>
      <c r="AI12" s="67">
        <v>1.5540905902124178</v>
      </c>
      <c r="AJ12" s="67">
        <v>3.3729681505827962</v>
      </c>
      <c r="AK12" s="67">
        <v>2.3473120482923182</v>
      </c>
      <c r="AL12" s="67">
        <v>1.1479215207317599</v>
      </c>
      <c r="AM12" s="67">
        <v>1.6364918841633627</v>
      </c>
      <c r="AN12" s="67">
        <v>2.9729511897236454</v>
      </c>
    </row>
    <row r="13" spans="1:40" s="54" customFormat="1" ht="17.100000000000001" customHeight="1" x14ac:dyDescent="0.2">
      <c r="A13" s="52" t="s">
        <v>82</v>
      </c>
      <c r="B13" s="56">
        <v>23.616826569685358</v>
      </c>
      <c r="C13" s="56">
        <v>26.340120587411949</v>
      </c>
      <c r="D13" s="56">
        <v>27.88627203383901</v>
      </c>
      <c r="E13" s="56">
        <v>26.368819988820558</v>
      </c>
      <c r="F13" s="56">
        <v>23.958445163290275</v>
      </c>
      <c r="G13" s="56">
        <v>27.081613512377103</v>
      </c>
      <c r="H13" s="56">
        <v>27.275695117700955</v>
      </c>
      <c r="I13" s="56">
        <v>26.782825384876006</v>
      </c>
      <c r="J13" s="71">
        <v>25.37842406582087</v>
      </c>
      <c r="K13" s="71">
        <v>27.194794929476828</v>
      </c>
      <c r="L13" s="71">
        <v>27.684146546759944</v>
      </c>
      <c r="M13" s="71">
        <v>26.312234914413779</v>
      </c>
      <c r="N13" s="71">
        <v>24.564865236637502</v>
      </c>
      <c r="O13" s="71">
        <v>26.938280312374992</v>
      </c>
      <c r="P13" s="71">
        <v>28.220408958825598</v>
      </c>
      <c r="Q13" s="71">
        <v>26.442054496368605</v>
      </c>
      <c r="R13" s="71">
        <v>24.846934160094641</v>
      </c>
      <c r="S13" s="71">
        <v>27.426158035108028</v>
      </c>
      <c r="T13" s="71">
        <v>29.105416407755655</v>
      </c>
      <c r="U13" s="71">
        <v>27.4342380319314</v>
      </c>
      <c r="V13" s="71">
        <v>24.217049633481771</v>
      </c>
      <c r="W13" s="71">
        <v>26.858912055332354</v>
      </c>
      <c r="X13" s="71">
        <v>28.663314510220051</v>
      </c>
      <c r="Y13" s="71">
        <v>27.397880695505378</v>
      </c>
      <c r="Z13" s="71">
        <v>24.410460228622423</v>
      </c>
      <c r="AA13" s="71">
        <v>25.527549464621281</v>
      </c>
      <c r="AB13" s="71">
        <v>27.072576599192395</v>
      </c>
      <c r="AC13" s="71">
        <v>26.156937127538029</v>
      </c>
      <c r="AD13" s="71">
        <v>24.661505384848702</v>
      </c>
      <c r="AE13" s="71">
        <v>25.08858740349427</v>
      </c>
      <c r="AF13" s="71">
        <v>25.835740747343106</v>
      </c>
      <c r="AG13" s="71">
        <v>23.983729082810498</v>
      </c>
      <c r="AH13" s="71">
        <v>23.115072833183156</v>
      </c>
      <c r="AI13" s="71">
        <v>24.5548301797844</v>
      </c>
      <c r="AJ13" s="71">
        <v>25.082573259640704</v>
      </c>
      <c r="AK13" s="71">
        <v>24.427886578115121</v>
      </c>
      <c r="AL13" s="71">
        <v>23.538748205102273</v>
      </c>
      <c r="AM13" s="71">
        <v>24.580057340036824</v>
      </c>
      <c r="AN13" s="71">
        <v>25.826364613321786</v>
      </c>
    </row>
    <row r="14" spans="1:40" s="19" customFormat="1" ht="17.100000000000001" customHeight="1" x14ac:dyDescent="0.2">
      <c r="A14" s="37" t="s">
        <v>9</v>
      </c>
      <c r="B14" s="33">
        <v>1.0844240004059715</v>
      </c>
      <c r="C14" s="33">
        <v>1.0986124597758462</v>
      </c>
      <c r="D14" s="33">
        <v>1.46781407888147</v>
      </c>
      <c r="E14" s="33">
        <v>1.2814329017954309</v>
      </c>
      <c r="F14" s="33">
        <v>1.0665418248359466</v>
      </c>
      <c r="G14" s="33">
        <v>0.94468799375089607</v>
      </c>
      <c r="H14" s="33">
        <v>1.3424088099254086</v>
      </c>
      <c r="I14" s="33">
        <v>1.7241252178059288</v>
      </c>
      <c r="J14" s="67">
        <v>1.8643118046737499</v>
      </c>
      <c r="K14" s="67">
        <v>1.3633384444251975</v>
      </c>
      <c r="L14" s="67">
        <v>2.0235496224503042</v>
      </c>
      <c r="M14" s="67">
        <v>1.609502897566718</v>
      </c>
      <c r="N14" s="67">
        <v>1.490210343297359</v>
      </c>
      <c r="O14" s="67">
        <v>1.6585851148309592</v>
      </c>
      <c r="P14" s="67">
        <v>1.8635097490921273</v>
      </c>
      <c r="Q14" s="67">
        <v>1.4824032083252265</v>
      </c>
      <c r="R14" s="67">
        <v>2.2216571683525559</v>
      </c>
      <c r="S14" s="67">
        <v>1.8886354085097816</v>
      </c>
      <c r="T14" s="67">
        <v>1.8878772764598719</v>
      </c>
      <c r="U14" s="67">
        <v>1.5292142033422844</v>
      </c>
      <c r="V14" s="67">
        <v>0.93079542317424901</v>
      </c>
      <c r="W14" s="67">
        <v>1.1511942134357198</v>
      </c>
      <c r="X14" s="67">
        <v>1.9130038795072333</v>
      </c>
      <c r="Y14" s="67">
        <v>1.7289769496454437</v>
      </c>
      <c r="Z14" s="67">
        <v>1.1676177900087152</v>
      </c>
      <c r="AA14" s="67">
        <v>0.72268711182842393</v>
      </c>
      <c r="AB14" s="67">
        <v>1.0605206446500834</v>
      </c>
      <c r="AC14" s="67">
        <v>2.8091166598307775</v>
      </c>
      <c r="AD14" s="67">
        <v>2.3859588164995005</v>
      </c>
      <c r="AE14" s="67">
        <v>1.2568618627109724</v>
      </c>
      <c r="AF14" s="67">
        <v>0.88942388082037127</v>
      </c>
      <c r="AG14" s="67">
        <v>0.50418435233290726</v>
      </c>
      <c r="AH14" s="67">
        <v>1.3022722857448934</v>
      </c>
      <c r="AI14" s="67">
        <v>1.675008372439325</v>
      </c>
      <c r="AJ14" s="67">
        <v>0.96342505176980275</v>
      </c>
      <c r="AK14" s="67">
        <v>0.67553033056488088</v>
      </c>
      <c r="AL14" s="67">
        <v>1.2258615260597461</v>
      </c>
      <c r="AM14" s="67">
        <v>1.513973211388602</v>
      </c>
      <c r="AN14" s="67">
        <v>1.0348056622826736</v>
      </c>
    </row>
    <row r="15" spans="1:40" s="19" customFormat="1" ht="17.100000000000001" customHeight="1" x14ac:dyDescent="0.2">
      <c r="A15" s="24" t="s">
        <v>10</v>
      </c>
      <c r="B15" s="33">
        <v>13.899172072504271</v>
      </c>
      <c r="C15" s="33">
        <v>15.680417983430969</v>
      </c>
      <c r="D15" s="33">
        <v>16.944442704162366</v>
      </c>
      <c r="E15" s="33">
        <v>15.630124009680358</v>
      </c>
      <c r="F15" s="33">
        <v>14.588109490410858</v>
      </c>
      <c r="G15" s="33">
        <v>16.572252936530436</v>
      </c>
      <c r="H15" s="33">
        <v>16.462122416475246</v>
      </c>
      <c r="I15" s="33">
        <v>15.614180388486911</v>
      </c>
      <c r="J15" s="67">
        <v>14.644501325297234</v>
      </c>
      <c r="K15" s="67">
        <v>16.096046551891824</v>
      </c>
      <c r="L15" s="67">
        <v>16.044751803260016</v>
      </c>
      <c r="M15" s="67">
        <v>15.143186097401596</v>
      </c>
      <c r="N15" s="67">
        <v>14.852302404970324</v>
      </c>
      <c r="O15" s="67">
        <v>16.409901805682285</v>
      </c>
      <c r="P15" s="67">
        <v>16.66856981076317</v>
      </c>
      <c r="Q15" s="67">
        <v>15.28859496449004</v>
      </c>
      <c r="R15" s="67">
        <v>15.272604096671694</v>
      </c>
      <c r="S15" s="67">
        <v>16.610681066477127</v>
      </c>
      <c r="T15" s="67">
        <v>17.541320233506848</v>
      </c>
      <c r="U15" s="67">
        <v>16.426333588221866</v>
      </c>
      <c r="V15" s="67">
        <v>14.422834500168003</v>
      </c>
      <c r="W15" s="67">
        <v>16.55808212753395</v>
      </c>
      <c r="X15" s="67">
        <v>17.667383104921313</v>
      </c>
      <c r="Y15" s="67">
        <v>16.890067739875537</v>
      </c>
      <c r="Z15" s="67">
        <v>15.185249643244466</v>
      </c>
      <c r="AA15" s="67">
        <v>16.264780152450758</v>
      </c>
      <c r="AB15" s="67">
        <v>16.788619524069517</v>
      </c>
      <c r="AC15" s="67">
        <v>14.554752609813526</v>
      </c>
      <c r="AD15" s="67">
        <v>14.41424848789134</v>
      </c>
      <c r="AE15" s="67">
        <v>15.104850834700162</v>
      </c>
      <c r="AF15" s="67">
        <v>16.025988040288123</v>
      </c>
      <c r="AG15" s="67">
        <v>14.995689229001307</v>
      </c>
      <c r="AH15" s="67">
        <v>14.242743709713521</v>
      </c>
      <c r="AI15" s="67">
        <v>14.123415501867154</v>
      </c>
      <c r="AJ15" s="67">
        <v>14.994539668059092</v>
      </c>
      <c r="AK15" s="67">
        <v>14.552018014768509</v>
      </c>
      <c r="AL15" s="67">
        <v>14.150638993432715</v>
      </c>
      <c r="AM15" s="67">
        <v>14.307711168002024</v>
      </c>
      <c r="AN15" s="67">
        <v>15.400591907594618</v>
      </c>
    </row>
    <row r="16" spans="1:40" s="19" customFormat="1" ht="17.100000000000001" customHeight="1" x14ac:dyDescent="0.2">
      <c r="A16" s="24" t="s">
        <v>11</v>
      </c>
      <c r="B16" s="33">
        <v>1.1194434422706332</v>
      </c>
      <c r="C16" s="33">
        <v>1.2002905218120081</v>
      </c>
      <c r="D16" s="33">
        <v>1.4309651766568929</v>
      </c>
      <c r="E16" s="33">
        <v>1.337807828705097</v>
      </c>
      <c r="F16" s="33">
        <v>1.2126774021179807</v>
      </c>
      <c r="G16" s="33">
        <v>1.3331570255510425</v>
      </c>
      <c r="H16" s="33">
        <v>1.3572631558779868</v>
      </c>
      <c r="I16" s="33">
        <v>1.239902290925408</v>
      </c>
      <c r="J16" s="67">
        <v>1.2578916945211023</v>
      </c>
      <c r="K16" s="67">
        <v>1.3218312575078965</v>
      </c>
      <c r="L16" s="67">
        <v>1.360352824334609</v>
      </c>
      <c r="M16" s="67">
        <v>1.3398490862038017</v>
      </c>
      <c r="N16" s="67">
        <v>1.2628915913072283</v>
      </c>
      <c r="O16" s="67">
        <v>1.3516593717092908</v>
      </c>
      <c r="P16" s="67">
        <v>1.5231805220373233</v>
      </c>
      <c r="Q16" s="67">
        <v>1.4135558173415188</v>
      </c>
      <c r="R16" s="67">
        <v>1.3385943421531035</v>
      </c>
      <c r="S16" s="67">
        <v>1.4396845315963112</v>
      </c>
      <c r="T16" s="67">
        <v>1.5453209637949821</v>
      </c>
      <c r="U16" s="67">
        <v>1.4430676701159966</v>
      </c>
      <c r="V16" s="67">
        <v>1.3009031418973112</v>
      </c>
      <c r="W16" s="67">
        <v>1.3564354095798679</v>
      </c>
      <c r="X16" s="67">
        <v>1.4042822473745644</v>
      </c>
      <c r="Y16" s="67">
        <v>1.3016510276316431</v>
      </c>
      <c r="Z16" s="67">
        <v>1.2008607062994265</v>
      </c>
      <c r="AA16" s="67">
        <v>1.202778147076895</v>
      </c>
      <c r="AB16" s="67">
        <v>1.2780596439731051</v>
      </c>
      <c r="AC16" s="67">
        <v>1.1114282557505992</v>
      </c>
      <c r="AD16" s="67">
        <v>1.0250098778493701</v>
      </c>
      <c r="AE16" s="67">
        <v>1.0934582590337056</v>
      </c>
      <c r="AF16" s="67">
        <v>1.1529717241944255</v>
      </c>
      <c r="AG16" s="67">
        <v>1.0628479578840004</v>
      </c>
      <c r="AH16" s="67">
        <v>0.96408128072844723</v>
      </c>
      <c r="AI16" s="67">
        <v>1.0743049037139545</v>
      </c>
      <c r="AJ16" s="67">
        <v>1.1168398348878739</v>
      </c>
      <c r="AK16" s="67">
        <v>1.0485989330479217</v>
      </c>
      <c r="AL16" s="67">
        <v>1.093725197599891</v>
      </c>
      <c r="AM16" s="67">
        <v>1.0058291118181204</v>
      </c>
      <c r="AN16" s="67">
        <v>1.0720874599091417</v>
      </c>
    </row>
    <row r="17" spans="1:40" s="19" customFormat="1" ht="17.100000000000001" customHeight="1" x14ac:dyDescent="0.2">
      <c r="A17" s="24" t="s">
        <v>12</v>
      </c>
      <c r="B17" s="33">
        <v>2.2254924264632199</v>
      </c>
      <c r="C17" s="33">
        <v>2.3686271548044457</v>
      </c>
      <c r="D17" s="33">
        <v>2.4316460044885027</v>
      </c>
      <c r="E17" s="33">
        <v>2.4797290634203613</v>
      </c>
      <c r="F17" s="33">
        <v>2.2276542759742131</v>
      </c>
      <c r="G17" s="33">
        <v>2.5219041566595752</v>
      </c>
      <c r="H17" s="33">
        <v>2.4482089294212153</v>
      </c>
      <c r="I17" s="33">
        <v>2.3982254307855619</v>
      </c>
      <c r="J17" s="67">
        <v>2.206001143482851</v>
      </c>
      <c r="K17" s="67">
        <v>2.3342458533508288</v>
      </c>
      <c r="L17" s="67">
        <v>2.2971492018217852</v>
      </c>
      <c r="M17" s="67">
        <v>2.2060564096371644</v>
      </c>
      <c r="N17" s="67">
        <v>1.9994668372684063</v>
      </c>
      <c r="O17" s="67">
        <v>2.1462317627479188</v>
      </c>
      <c r="P17" s="67">
        <v>2.3335631488548643</v>
      </c>
      <c r="Q17" s="67">
        <v>2.5056040323848534</v>
      </c>
      <c r="R17" s="67">
        <v>2.0645888418383462</v>
      </c>
      <c r="S17" s="67">
        <v>2.1914965258022772</v>
      </c>
      <c r="T17" s="67">
        <v>2.3278321586862649</v>
      </c>
      <c r="U17" s="67">
        <v>2.2151121883547531</v>
      </c>
      <c r="V17" s="67">
        <v>2.0686121990271813</v>
      </c>
      <c r="W17" s="67">
        <v>2.1742306763330594</v>
      </c>
      <c r="X17" s="67">
        <v>2.2369204066624895</v>
      </c>
      <c r="Y17" s="67">
        <v>2.0962966837727914</v>
      </c>
      <c r="Z17" s="67">
        <v>1.9619876795493298</v>
      </c>
      <c r="AA17" s="67">
        <v>2.1766703403185894</v>
      </c>
      <c r="AB17" s="67">
        <v>2.3415298410968477</v>
      </c>
      <c r="AC17" s="67">
        <v>2.0391141903575152</v>
      </c>
      <c r="AD17" s="67">
        <v>1.9546646783143704</v>
      </c>
      <c r="AE17" s="67">
        <v>2.146922614731178</v>
      </c>
      <c r="AF17" s="67">
        <v>2.2588911408848982</v>
      </c>
      <c r="AG17" s="67">
        <v>2.1145699163497018</v>
      </c>
      <c r="AH17" s="67">
        <v>1.9203173552874895</v>
      </c>
      <c r="AI17" s="67">
        <v>2.1978706558925918</v>
      </c>
      <c r="AJ17" s="67">
        <v>2.2572642523270678</v>
      </c>
      <c r="AK17" s="67">
        <v>2.1496982746533617</v>
      </c>
      <c r="AL17" s="67">
        <v>2.0181678690669154</v>
      </c>
      <c r="AM17" s="67">
        <v>2.069535799814791</v>
      </c>
      <c r="AN17" s="67">
        <v>2.2946821878389452</v>
      </c>
    </row>
    <row r="18" spans="1:40" s="19" customFormat="1" ht="17.100000000000001" customHeight="1" x14ac:dyDescent="0.2">
      <c r="A18" s="37" t="s">
        <v>13</v>
      </c>
      <c r="B18" s="33">
        <v>5.2882946280412657</v>
      </c>
      <c r="C18" s="33">
        <v>5.9921724675886807</v>
      </c>
      <c r="D18" s="33">
        <v>5.6114040696497769</v>
      </c>
      <c r="E18" s="33">
        <v>5.6397261852193123</v>
      </c>
      <c r="F18" s="33">
        <v>4.8634621699512763</v>
      </c>
      <c r="G18" s="33">
        <v>5.709611399885155</v>
      </c>
      <c r="H18" s="33">
        <v>5.6656918060010968</v>
      </c>
      <c r="I18" s="33">
        <v>5.8063920568721938</v>
      </c>
      <c r="J18" s="67">
        <v>5.4057180978459298</v>
      </c>
      <c r="K18" s="67">
        <v>6.0793328223010841</v>
      </c>
      <c r="L18" s="67">
        <v>5.9583430948932312</v>
      </c>
      <c r="M18" s="67">
        <v>6.0136404236045014</v>
      </c>
      <c r="N18" s="67">
        <v>4.9599940597941856</v>
      </c>
      <c r="O18" s="67">
        <v>5.3719022574045345</v>
      </c>
      <c r="P18" s="67">
        <v>5.8315857280781129</v>
      </c>
      <c r="Q18" s="67">
        <v>5.7518964738269718</v>
      </c>
      <c r="R18" s="67">
        <v>3.94948971107894</v>
      </c>
      <c r="S18" s="67">
        <v>5.2956605027225292</v>
      </c>
      <c r="T18" s="67">
        <v>5.8030657753076849</v>
      </c>
      <c r="U18" s="67">
        <v>5.8205103818965007</v>
      </c>
      <c r="V18" s="67">
        <v>5.4939043692150271</v>
      </c>
      <c r="W18" s="67">
        <v>5.6189696284497597</v>
      </c>
      <c r="X18" s="67">
        <v>5.4417248717544524</v>
      </c>
      <c r="Y18" s="67">
        <v>5.3808882945799645</v>
      </c>
      <c r="Z18" s="67">
        <v>4.8947444095204853</v>
      </c>
      <c r="AA18" s="67">
        <v>5.1606337129466144</v>
      </c>
      <c r="AB18" s="67">
        <v>5.603846945402843</v>
      </c>
      <c r="AC18" s="67">
        <v>5.6425254117856101</v>
      </c>
      <c r="AD18" s="67">
        <v>4.8816235242941213</v>
      </c>
      <c r="AE18" s="67">
        <v>5.4864938323182493</v>
      </c>
      <c r="AF18" s="67">
        <v>5.5084659611552889</v>
      </c>
      <c r="AG18" s="67">
        <v>5.3064376272425857</v>
      </c>
      <c r="AH18" s="67">
        <v>4.6856582017088044</v>
      </c>
      <c r="AI18" s="67">
        <v>5.4842307458713764</v>
      </c>
      <c r="AJ18" s="67">
        <v>5.7505044525968634</v>
      </c>
      <c r="AK18" s="67">
        <v>6.0020410250804508</v>
      </c>
      <c r="AL18" s="67">
        <v>5.0503546189430093</v>
      </c>
      <c r="AM18" s="67">
        <v>5.683008049013285</v>
      </c>
      <c r="AN18" s="67">
        <v>6.0241973956964063</v>
      </c>
    </row>
    <row r="19" spans="1:40" s="54" customFormat="1" ht="17.100000000000001" customHeight="1" x14ac:dyDescent="0.2">
      <c r="A19" s="52" t="s">
        <v>83</v>
      </c>
      <c r="B19" s="56">
        <v>41.252491499466664</v>
      </c>
      <c r="C19" s="56">
        <v>43.703422725928526</v>
      </c>
      <c r="D19" s="56">
        <v>44.331841376326949</v>
      </c>
      <c r="E19" s="56">
        <v>44.682792223214932</v>
      </c>
      <c r="F19" s="56">
        <v>41.275909613474504</v>
      </c>
      <c r="G19" s="56">
        <v>44.892853603664435</v>
      </c>
      <c r="H19" s="56">
        <v>44.370058913899086</v>
      </c>
      <c r="I19" s="56">
        <v>43.030730064001737</v>
      </c>
      <c r="J19" s="71">
        <v>41.228448498341521</v>
      </c>
      <c r="K19" s="71">
        <v>43.524887962103989</v>
      </c>
      <c r="L19" s="71">
        <v>43.914388674380945</v>
      </c>
      <c r="M19" s="71">
        <v>43.415476200108415</v>
      </c>
      <c r="N19" s="71">
        <v>41.510304595845362</v>
      </c>
      <c r="O19" s="71">
        <v>43.020065550419609</v>
      </c>
      <c r="P19" s="71">
        <v>43.748101428524969</v>
      </c>
      <c r="Q19" s="71">
        <v>43.251475278305996</v>
      </c>
      <c r="R19" s="71">
        <v>39.653729812543588</v>
      </c>
      <c r="S19" s="71">
        <v>41.524347193225886</v>
      </c>
      <c r="T19" s="71">
        <v>44.411750400010902</v>
      </c>
      <c r="U19" s="71">
        <v>42.034622302553331</v>
      </c>
      <c r="V19" s="71">
        <v>39.107703988622305</v>
      </c>
      <c r="W19" s="71">
        <v>42.117478695987302</v>
      </c>
      <c r="X19" s="71">
        <v>43.722179200017926</v>
      </c>
      <c r="Y19" s="71">
        <v>41.769419838462497</v>
      </c>
      <c r="Z19" s="71">
        <v>39.900274756838819</v>
      </c>
      <c r="AA19" s="71">
        <v>43.174618767540053</v>
      </c>
      <c r="AB19" s="71">
        <v>44.288695881824019</v>
      </c>
      <c r="AC19" s="71">
        <v>42.974957209600433</v>
      </c>
      <c r="AD19" s="71">
        <v>40.18417871070411</v>
      </c>
      <c r="AE19" s="71">
        <v>44.149955721034701</v>
      </c>
      <c r="AF19" s="71">
        <v>45.238082752655238</v>
      </c>
      <c r="AG19" s="71">
        <v>43.326390883547027</v>
      </c>
      <c r="AH19" s="71">
        <v>39.984216743219463</v>
      </c>
      <c r="AI19" s="71">
        <v>42.425478203135292</v>
      </c>
      <c r="AJ19" s="71">
        <v>43.940831483975387</v>
      </c>
      <c r="AK19" s="71">
        <v>42.198818605532111</v>
      </c>
      <c r="AL19" s="71">
        <v>40.672264004947309</v>
      </c>
      <c r="AM19" s="71">
        <v>42.47464529025973</v>
      </c>
      <c r="AN19" s="71">
        <v>43.466404144305613</v>
      </c>
    </row>
    <row r="20" spans="1:40" s="19" customFormat="1" ht="17.100000000000001" customHeight="1" x14ac:dyDescent="0.2">
      <c r="A20" s="38" t="s">
        <v>64</v>
      </c>
      <c r="B20" s="33">
        <v>8.3766725389227865</v>
      </c>
      <c r="C20" s="33">
        <v>8.9897563591099647</v>
      </c>
      <c r="D20" s="33">
        <v>9.3858555070849512</v>
      </c>
      <c r="E20" s="33">
        <v>9.5031930341989632</v>
      </c>
      <c r="F20" s="33">
        <v>8.8028971939952871</v>
      </c>
      <c r="G20" s="33">
        <v>8.6469027175267286</v>
      </c>
      <c r="H20" s="33">
        <v>9.4403473511021563</v>
      </c>
      <c r="I20" s="33">
        <v>9.3663541267985071</v>
      </c>
      <c r="J20" s="67">
        <v>8.4685882142548667</v>
      </c>
      <c r="K20" s="67">
        <v>8.9675931921399155</v>
      </c>
      <c r="L20" s="67">
        <v>8.8317098432969381</v>
      </c>
      <c r="M20" s="67">
        <v>8.332993947103839</v>
      </c>
      <c r="N20" s="67">
        <v>8.1470334009775858</v>
      </c>
      <c r="O20" s="67">
        <v>8.5296479265596705</v>
      </c>
      <c r="P20" s="67">
        <v>8.5340463344589779</v>
      </c>
      <c r="Q20" s="67">
        <v>8.4882271240885014</v>
      </c>
      <c r="R20" s="67">
        <v>7.8366048790252272</v>
      </c>
      <c r="S20" s="67">
        <v>7.9812798974582391</v>
      </c>
      <c r="T20" s="67">
        <v>8.1304689854335184</v>
      </c>
      <c r="U20" s="67">
        <v>7.7294959917516142</v>
      </c>
      <c r="V20" s="67">
        <v>7.3248919353971331</v>
      </c>
      <c r="W20" s="67">
        <v>7.932680433039156</v>
      </c>
      <c r="X20" s="67">
        <v>9.0206161009554915</v>
      </c>
      <c r="Y20" s="67">
        <v>9.2496365461836199</v>
      </c>
      <c r="Z20" s="67">
        <v>8.6300880725732387</v>
      </c>
      <c r="AA20" s="67">
        <v>8.6431980510103816</v>
      </c>
      <c r="AB20" s="67">
        <v>9.4510072385345971</v>
      </c>
      <c r="AC20" s="67">
        <v>9.8466285429733258</v>
      </c>
      <c r="AD20" s="67">
        <v>10.208739908209381</v>
      </c>
      <c r="AE20" s="67">
        <v>9.300670409317279</v>
      </c>
      <c r="AF20" s="67">
        <v>9.4047768474711102</v>
      </c>
      <c r="AG20" s="67">
        <v>8.8111260994394058</v>
      </c>
      <c r="AH20" s="67">
        <v>10.21247825287905</v>
      </c>
      <c r="AI20" s="67">
        <v>9.5500343694278431</v>
      </c>
      <c r="AJ20" s="67">
        <v>9.4103401371572044</v>
      </c>
      <c r="AK20" s="67">
        <v>9.13909817356652</v>
      </c>
      <c r="AL20" s="67">
        <v>10.119787662833248</v>
      </c>
      <c r="AM20" s="67">
        <v>10.369917371330715</v>
      </c>
      <c r="AN20" s="67">
        <v>9.3762772621421533</v>
      </c>
    </row>
    <row r="21" spans="1:40" s="19" customFormat="1" ht="17.100000000000001" customHeight="1" x14ac:dyDescent="0.2">
      <c r="A21" s="38" t="s">
        <v>65</v>
      </c>
      <c r="B21" s="33">
        <v>3.1352118485515974</v>
      </c>
      <c r="C21" s="33">
        <v>3.372210349901815</v>
      </c>
      <c r="D21" s="33">
        <v>3.416199834861311</v>
      </c>
      <c r="E21" s="33">
        <v>3.427936518889628</v>
      </c>
      <c r="F21" s="33">
        <v>3.2457115441297248</v>
      </c>
      <c r="G21" s="33">
        <v>3.5306731120000503</v>
      </c>
      <c r="H21" s="33">
        <v>3.5201915164793331</v>
      </c>
      <c r="I21" s="33">
        <v>3.370707247342601</v>
      </c>
      <c r="J21" s="67">
        <v>3.2787617821601334</v>
      </c>
      <c r="K21" s="67">
        <v>3.4037941312982141</v>
      </c>
      <c r="L21" s="67">
        <v>3.4739456793181889</v>
      </c>
      <c r="M21" s="67">
        <v>3.527597693213179</v>
      </c>
      <c r="N21" s="67">
        <v>3.4932928134155272</v>
      </c>
      <c r="O21" s="67">
        <v>3.4452821127292172</v>
      </c>
      <c r="P21" s="67">
        <v>3.4382753641210053</v>
      </c>
      <c r="Q21" s="67">
        <v>3.330094843065595</v>
      </c>
      <c r="R21" s="67">
        <v>3.4485313237347492</v>
      </c>
      <c r="S21" s="67">
        <v>3.2788144079945152</v>
      </c>
      <c r="T21" s="67">
        <v>3.1620202005546694</v>
      </c>
      <c r="U21" s="67">
        <v>3.055526267022902</v>
      </c>
      <c r="V21" s="67">
        <v>2.894235189275228</v>
      </c>
      <c r="W21" s="67">
        <v>3.3730949826244481</v>
      </c>
      <c r="X21" s="67">
        <v>3.3605563544712571</v>
      </c>
      <c r="Y21" s="67">
        <v>3.1273808842045927</v>
      </c>
      <c r="Z21" s="67">
        <v>2.9134912760234188</v>
      </c>
      <c r="AA21" s="67">
        <v>3.7737778456529689</v>
      </c>
      <c r="AB21" s="67">
        <v>4.1018801268473375</v>
      </c>
      <c r="AC21" s="67">
        <v>3.4660299167848776</v>
      </c>
      <c r="AD21" s="67">
        <v>3.0770418992692403</v>
      </c>
      <c r="AE21" s="67">
        <v>3.7986137949827201</v>
      </c>
      <c r="AF21" s="67">
        <v>4.2129903978264629</v>
      </c>
      <c r="AG21" s="67">
        <v>3.8470398728338582</v>
      </c>
      <c r="AH21" s="67">
        <v>3.3467733135025988</v>
      </c>
      <c r="AI21" s="67">
        <v>3.9085642097632065</v>
      </c>
      <c r="AJ21" s="67">
        <v>4.2132219063291183</v>
      </c>
      <c r="AK21" s="67">
        <v>3.7774930827427173</v>
      </c>
      <c r="AL21" s="67">
        <v>3.2888432183031382</v>
      </c>
      <c r="AM21" s="67">
        <v>3.7315942648287552</v>
      </c>
      <c r="AN21" s="67">
        <v>4.0692652911868237</v>
      </c>
    </row>
    <row r="22" spans="1:40" s="19" customFormat="1" ht="17.100000000000001" customHeight="1" x14ac:dyDescent="0.2">
      <c r="A22" s="38" t="s">
        <v>66</v>
      </c>
      <c r="B22" s="33">
        <v>2.7573785002705162</v>
      </c>
      <c r="C22" s="33">
        <v>2.8824630148654604</v>
      </c>
      <c r="D22" s="33">
        <v>3.0269737623596287</v>
      </c>
      <c r="E22" s="33">
        <v>3.1726320124336023</v>
      </c>
      <c r="F22" s="33">
        <v>3.1287216936224533</v>
      </c>
      <c r="G22" s="33">
        <v>3.1513492796364715</v>
      </c>
      <c r="H22" s="33">
        <v>3.0054468846882316</v>
      </c>
      <c r="I22" s="33">
        <v>2.9025350372660195</v>
      </c>
      <c r="J22" s="67">
        <v>2.9320163037643625</v>
      </c>
      <c r="K22" s="67">
        <v>2.8480967524397949</v>
      </c>
      <c r="L22" s="67">
        <v>2.8451772514016103</v>
      </c>
      <c r="M22" s="67">
        <v>2.9595385294658572</v>
      </c>
      <c r="N22" s="67">
        <v>2.9494231133384896</v>
      </c>
      <c r="O22" s="67">
        <v>2.931195280219181</v>
      </c>
      <c r="P22" s="67">
        <v>2.780677805313795</v>
      </c>
      <c r="Q22" s="67">
        <v>1.6481463671146872</v>
      </c>
      <c r="R22" s="67">
        <v>2.1006215708248415</v>
      </c>
      <c r="S22" s="67">
        <v>2.2466933626917105</v>
      </c>
      <c r="T22" s="67">
        <v>2.6523470005192151</v>
      </c>
      <c r="U22" s="67">
        <v>2.5973286846541939</v>
      </c>
      <c r="V22" s="67">
        <v>2.0549765199463312</v>
      </c>
      <c r="W22" s="67">
        <v>2.5265509044728662</v>
      </c>
      <c r="X22" s="67">
        <v>1.9968587504936737</v>
      </c>
      <c r="Y22" s="67">
        <v>2.2540789362215827</v>
      </c>
      <c r="Z22" s="67">
        <v>1.7992022500276976</v>
      </c>
      <c r="AA22" s="67">
        <v>2.2386533628000862</v>
      </c>
      <c r="AB22" s="67">
        <v>2.0927694941335262</v>
      </c>
      <c r="AC22" s="67">
        <v>2.6637231331391393</v>
      </c>
      <c r="AD22" s="67">
        <v>1.9986597775186972</v>
      </c>
      <c r="AE22" s="67">
        <v>1.9972129108960364</v>
      </c>
      <c r="AF22" s="67">
        <v>2.2085626610593239</v>
      </c>
      <c r="AG22" s="67">
        <v>3.1111095192838731</v>
      </c>
      <c r="AH22" s="67">
        <v>2.1846991043946802</v>
      </c>
      <c r="AI22" s="67">
        <v>2.2933270890389532</v>
      </c>
      <c r="AJ22" s="67">
        <v>2.3707992851502602</v>
      </c>
      <c r="AK22" s="67">
        <v>2.4219483496741496</v>
      </c>
      <c r="AL22" s="67">
        <v>2.5664248633522768</v>
      </c>
      <c r="AM22" s="67">
        <v>2.4842860882767903</v>
      </c>
      <c r="AN22" s="67">
        <v>2.3679615743928246</v>
      </c>
    </row>
    <row r="23" spans="1:40" s="19" customFormat="1" ht="17.100000000000001" customHeight="1" x14ac:dyDescent="0.2">
      <c r="A23" s="38" t="s">
        <v>67</v>
      </c>
      <c r="B23" s="33">
        <v>2.0223921675553354</v>
      </c>
      <c r="C23" s="33">
        <v>2.1167334925033541</v>
      </c>
      <c r="D23" s="33">
        <v>1.9780438071060003</v>
      </c>
      <c r="E23" s="33">
        <v>1.7382609749309677</v>
      </c>
      <c r="F23" s="33">
        <v>1.4658985922264975</v>
      </c>
      <c r="G23" s="33">
        <v>1.6877233005726591</v>
      </c>
      <c r="H23" s="33">
        <v>1.6862352447178222</v>
      </c>
      <c r="I23" s="33">
        <v>1.6936562655901846</v>
      </c>
      <c r="J23" s="67">
        <v>1.6581636979103149</v>
      </c>
      <c r="K23" s="67">
        <v>1.8825175208748843</v>
      </c>
      <c r="L23" s="67">
        <v>1.8780830513933029</v>
      </c>
      <c r="M23" s="67">
        <v>1.8528105815731111</v>
      </c>
      <c r="N23" s="67">
        <v>1.7853009071627461</v>
      </c>
      <c r="O23" s="67">
        <v>1.9141313944061322</v>
      </c>
      <c r="P23" s="67">
        <v>1.8136380372085263</v>
      </c>
      <c r="Q23" s="67">
        <v>1.8008422616183157</v>
      </c>
      <c r="R23" s="67">
        <v>1.5824452659717281</v>
      </c>
      <c r="S23" s="67">
        <v>1.7743634529781414</v>
      </c>
      <c r="T23" s="67">
        <v>1.9667989330668396</v>
      </c>
      <c r="U23" s="67">
        <v>1.9179681894007945</v>
      </c>
      <c r="V23" s="67">
        <v>1.6512068268776987</v>
      </c>
      <c r="W23" s="67">
        <v>1.7567765258084984</v>
      </c>
      <c r="X23" s="67">
        <v>1.7666584829237897</v>
      </c>
      <c r="Y23" s="67">
        <v>1.5809746505910236</v>
      </c>
      <c r="Z23" s="67">
        <v>1.2991199872151691</v>
      </c>
      <c r="AA23" s="67">
        <v>1.44242583973143</v>
      </c>
      <c r="AB23" s="67">
        <v>1.6760262588365584</v>
      </c>
      <c r="AC23" s="67">
        <v>1.7650156207456424</v>
      </c>
      <c r="AD23" s="67">
        <v>2.0530975758785743</v>
      </c>
      <c r="AE23" s="67">
        <v>2.3996576577662228</v>
      </c>
      <c r="AF23" s="67">
        <v>2.3859985163700701</v>
      </c>
      <c r="AG23" s="67">
        <v>1.8767000265137552</v>
      </c>
      <c r="AH23" s="67">
        <v>2.0518424068589054</v>
      </c>
      <c r="AI23" s="67">
        <v>1.9791532286467926</v>
      </c>
      <c r="AJ23" s="67">
        <v>2.1505765420128591</v>
      </c>
      <c r="AK23" s="67">
        <v>1.711450539298941</v>
      </c>
      <c r="AL23" s="67">
        <v>1.7591215749575944</v>
      </c>
      <c r="AM23" s="67">
        <v>1.8342943696321163</v>
      </c>
      <c r="AN23" s="67">
        <v>2.299045005639627</v>
      </c>
    </row>
    <row r="24" spans="1:40" s="19" customFormat="1" ht="17.100000000000001" customHeight="1" x14ac:dyDescent="0.2">
      <c r="A24" s="38" t="s">
        <v>68</v>
      </c>
      <c r="B24" s="33">
        <v>2.5319146186644588</v>
      </c>
      <c r="C24" s="33">
        <v>2.5012579371873058</v>
      </c>
      <c r="D24" s="33">
        <v>2.8019868768767444</v>
      </c>
      <c r="E24" s="33">
        <v>2.7498376650368304</v>
      </c>
      <c r="F24" s="33">
        <v>2.4641496923819299</v>
      </c>
      <c r="G24" s="33">
        <v>2.7332028283497132</v>
      </c>
      <c r="H24" s="33">
        <v>2.520603318540815</v>
      </c>
      <c r="I24" s="33">
        <v>2.4771584232430106</v>
      </c>
      <c r="J24" s="67">
        <v>2.2856857546787079</v>
      </c>
      <c r="K24" s="67">
        <v>2.5055002903530665</v>
      </c>
      <c r="L24" s="67">
        <v>2.7508545107768545</v>
      </c>
      <c r="M24" s="67">
        <v>2.9325368106171585</v>
      </c>
      <c r="N24" s="67">
        <v>2.878234933124673</v>
      </c>
      <c r="O24" s="67">
        <v>2.9269782670729043</v>
      </c>
      <c r="P24" s="67">
        <v>2.8639262857976986</v>
      </c>
      <c r="Q24" s="67">
        <v>2.1915353764782224</v>
      </c>
      <c r="R24" s="67">
        <v>2.8911510810670698</v>
      </c>
      <c r="S24" s="67">
        <v>2.6162497252222621</v>
      </c>
      <c r="T24" s="67">
        <v>2.9975929297457222</v>
      </c>
      <c r="U24" s="67">
        <v>2.5674248268023181</v>
      </c>
      <c r="V24" s="67">
        <v>2.786822895613474</v>
      </c>
      <c r="W24" s="67">
        <v>2.7338149196337898</v>
      </c>
      <c r="X24" s="67">
        <v>3.1664576216673193</v>
      </c>
      <c r="Y24" s="67">
        <v>2.7722224724280187</v>
      </c>
      <c r="Z24" s="67">
        <v>2.792493400867968</v>
      </c>
      <c r="AA24" s="67">
        <v>3.396368968298265</v>
      </c>
      <c r="AB24" s="67">
        <v>2.1851301528204652</v>
      </c>
      <c r="AC24" s="67">
        <v>2.7985736230291183</v>
      </c>
      <c r="AD24" s="67">
        <v>2.6094288191570723</v>
      </c>
      <c r="AE24" s="67">
        <v>2.9078309981409798</v>
      </c>
      <c r="AF24" s="67">
        <v>2.8234381537661313</v>
      </c>
      <c r="AG24" s="67">
        <v>2.5961776282572062</v>
      </c>
      <c r="AH24" s="67">
        <v>2.6454600923702056</v>
      </c>
      <c r="AI24" s="67">
        <v>2.7141338114398255</v>
      </c>
      <c r="AJ24" s="67">
        <v>2.6767926361112448</v>
      </c>
      <c r="AK24" s="67">
        <v>2.5133497103915015</v>
      </c>
      <c r="AL24" s="67">
        <v>2.7715703138225392</v>
      </c>
      <c r="AM24" s="67">
        <v>2.7041939370745829</v>
      </c>
      <c r="AN24" s="67">
        <v>2.6922409591889607</v>
      </c>
    </row>
    <row r="25" spans="1:40" s="19" customFormat="1" ht="17.100000000000001" customHeight="1" x14ac:dyDescent="0.2">
      <c r="A25" s="38" t="s">
        <v>20</v>
      </c>
      <c r="B25" s="33">
        <v>5.663618195069402</v>
      </c>
      <c r="C25" s="33">
        <v>6.0252103729526034</v>
      </c>
      <c r="D25" s="33">
        <v>6.1440571008341927</v>
      </c>
      <c r="E25" s="33">
        <v>6.1907596816117403</v>
      </c>
      <c r="F25" s="33">
        <v>5.6252257019203453</v>
      </c>
      <c r="G25" s="33">
        <v>6.4909199509677187</v>
      </c>
      <c r="H25" s="33">
        <v>6.3864477304562985</v>
      </c>
      <c r="I25" s="33">
        <v>6.1903432833396455</v>
      </c>
      <c r="J25" s="67">
        <v>5.9595323997486584</v>
      </c>
      <c r="K25" s="67">
        <v>6.417023821868165</v>
      </c>
      <c r="L25" s="67">
        <v>6.5266662610584278</v>
      </c>
      <c r="M25" s="67">
        <v>6.2298880358261872</v>
      </c>
      <c r="N25" s="67">
        <v>5.7566884392450053</v>
      </c>
      <c r="O25" s="67">
        <v>5.9261909638723447</v>
      </c>
      <c r="P25" s="67">
        <v>6.7560077687341185</v>
      </c>
      <c r="Q25" s="67">
        <v>7.2326059433672585</v>
      </c>
      <c r="R25" s="67">
        <v>5.8631144952415459</v>
      </c>
      <c r="S25" s="67">
        <v>6.2060833368733537</v>
      </c>
      <c r="T25" s="67">
        <v>6.5924849994331876</v>
      </c>
      <c r="U25" s="67">
        <v>6.384847228633407</v>
      </c>
      <c r="V25" s="67">
        <v>5.9529094865879042</v>
      </c>
      <c r="W25" s="67">
        <v>6.3529758109957601</v>
      </c>
      <c r="X25" s="67">
        <v>6.5665166406710203</v>
      </c>
      <c r="Y25" s="67">
        <v>6.2485786928903604</v>
      </c>
      <c r="Z25" s="67">
        <v>5.6284356351155607</v>
      </c>
      <c r="AA25" s="67">
        <v>6.262970168197354</v>
      </c>
      <c r="AB25" s="67">
        <v>6.6708485463090552</v>
      </c>
      <c r="AC25" s="67">
        <v>6.0181569273219635</v>
      </c>
      <c r="AD25" s="67">
        <v>5.46654672442242</v>
      </c>
      <c r="AE25" s="67">
        <v>6.1080767275633967</v>
      </c>
      <c r="AF25" s="67">
        <v>6.4450879995973933</v>
      </c>
      <c r="AG25" s="67">
        <v>5.9225996697090144</v>
      </c>
      <c r="AH25" s="67">
        <v>5.2174785898692413</v>
      </c>
      <c r="AI25" s="67">
        <v>5.7863249412839197</v>
      </c>
      <c r="AJ25" s="67">
        <v>6.0711987654313528</v>
      </c>
      <c r="AK25" s="67">
        <v>5.7329154125764354</v>
      </c>
      <c r="AL25" s="67">
        <v>5.3547321832267434</v>
      </c>
      <c r="AM25" s="67">
        <v>5.4638261929389866</v>
      </c>
      <c r="AN25" s="67">
        <v>5.9230674528767606</v>
      </c>
    </row>
    <row r="26" spans="1:40" s="19" customFormat="1" ht="17.100000000000001" customHeight="1" x14ac:dyDescent="0.2">
      <c r="A26" s="38" t="s">
        <v>70</v>
      </c>
      <c r="B26" s="33">
        <v>2.4206091905501537</v>
      </c>
      <c r="C26" s="33">
        <v>2.3410311458279813</v>
      </c>
      <c r="D26" s="33">
        <v>1.8521037746157105</v>
      </c>
      <c r="E26" s="33">
        <v>1.9713150666266794</v>
      </c>
      <c r="F26" s="33">
        <v>2.1695383188490474</v>
      </c>
      <c r="G26" s="33">
        <v>2.3702828831218747</v>
      </c>
      <c r="H26" s="33">
        <v>1.9934451099788424</v>
      </c>
      <c r="I26" s="33">
        <v>2.094525538699707</v>
      </c>
      <c r="J26" s="67">
        <v>2.0386701245698435</v>
      </c>
      <c r="K26" s="67">
        <v>1.9792525447481428</v>
      </c>
      <c r="L26" s="67">
        <v>1.9865778697269247</v>
      </c>
      <c r="M26" s="67">
        <v>2.3082698302167333</v>
      </c>
      <c r="N26" s="67">
        <v>2.4418090310306892</v>
      </c>
      <c r="O26" s="67">
        <v>2.2999187457611034</v>
      </c>
      <c r="P26" s="67">
        <v>1.4600809803992765</v>
      </c>
      <c r="Q26" s="67">
        <v>2.040905805764254</v>
      </c>
      <c r="R26" s="67">
        <v>1.6805423076626655</v>
      </c>
      <c r="S26" s="67">
        <v>2.1004760682553414</v>
      </c>
      <c r="T26" s="67">
        <v>2.2039599959478804</v>
      </c>
      <c r="U26" s="67">
        <v>2.0348262086485827</v>
      </c>
      <c r="V26" s="67">
        <v>2.0323451217973911</v>
      </c>
      <c r="W26" s="67">
        <v>2.0920000573753192</v>
      </c>
      <c r="X26" s="67">
        <v>1.8308723354272176</v>
      </c>
      <c r="Y26" s="67">
        <v>1.7519534354688442</v>
      </c>
      <c r="Z26" s="67">
        <v>2.735770953187743</v>
      </c>
      <c r="AA26" s="67">
        <v>2.3830081292718406</v>
      </c>
      <c r="AB26" s="67">
        <v>2.3596782272471977</v>
      </c>
      <c r="AC26" s="67">
        <v>1.8847334071180721</v>
      </c>
      <c r="AD26" s="67">
        <v>1.4348217363211013</v>
      </c>
      <c r="AE26" s="67">
        <v>3.1528871288564275</v>
      </c>
      <c r="AF26" s="67">
        <v>2.3935581073245866</v>
      </c>
      <c r="AG26" s="67">
        <v>2.0684862572816454</v>
      </c>
      <c r="AH26" s="67">
        <v>1.4131921812873922</v>
      </c>
      <c r="AI26" s="67">
        <v>2.1702434479399693</v>
      </c>
      <c r="AJ26" s="67">
        <v>2.4550299730332079</v>
      </c>
      <c r="AK26" s="67">
        <v>2.3081162215804052</v>
      </c>
      <c r="AL26" s="67">
        <v>1.4853391386759529</v>
      </c>
      <c r="AM26" s="67">
        <v>1.584937715490083</v>
      </c>
      <c r="AN26" s="67">
        <v>2.484239528148843</v>
      </c>
    </row>
    <row r="27" spans="1:40" s="19" customFormat="1" ht="17.100000000000001" customHeight="1" x14ac:dyDescent="0.2">
      <c r="A27" s="38" t="s">
        <v>74</v>
      </c>
      <c r="B27" s="33">
        <v>1.5930452768246006</v>
      </c>
      <c r="C27" s="33">
        <v>1.7932784205376651</v>
      </c>
      <c r="D27" s="33">
        <v>1.81518947131921</v>
      </c>
      <c r="E27" s="33">
        <v>1.8107087884098556</v>
      </c>
      <c r="F27" s="33">
        <v>1.575808649698851</v>
      </c>
      <c r="G27" s="33">
        <v>1.723730890460019</v>
      </c>
      <c r="H27" s="33">
        <v>1.691750495568372</v>
      </c>
      <c r="I27" s="33">
        <v>1.6937726686054109</v>
      </c>
      <c r="J27" s="67">
        <v>1.6610588286849568</v>
      </c>
      <c r="K27" s="67">
        <v>1.8116635370376186</v>
      </c>
      <c r="L27" s="67">
        <v>1.8642365435113688</v>
      </c>
      <c r="M27" s="67">
        <v>1.8823496308018641</v>
      </c>
      <c r="N27" s="67">
        <v>1.7458144200858678</v>
      </c>
      <c r="O27" s="67">
        <v>1.8434408041086106</v>
      </c>
      <c r="P27" s="67">
        <v>1.8324605215347729</v>
      </c>
      <c r="Q27" s="67">
        <v>1.9797918873999132</v>
      </c>
      <c r="R27" s="67">
        <v>1.7642146780440189</v>
      </c>
      <c r="S27" s="67">
        <v>1.9102066556598449</v>
      </c>
      <c r="T27" s="67">
        <v>2.0300786240984312</v>
      </c>
      <c r="U27" s="67">
        <v>1.9674310235156873</v>
      </c>
      <c r="V27" s="67">
        <v>1.857966351653999</v>
      </c>
      <c r="W27" s="67">
        <v>1.9785156526185528</v>
      </c>
      <c r="X27" s="67">
        <v>2.0059419693013929</v>
      </c>
      <c r="Y27" s="67">
        <v>1.9297393151701443</v>
      </c>
      <c r="Z27" s="67">
        <v>1.8988085846970408</v>
      </c>
      <c r="AA27" s="67">
        <v>2.0646621133702694</v>
      </c>
      <c r="AB27" s="67">
        <v>2.271885512871672</v>
      </c>
      <c r="AC27" s="67">
        <v>2.06927275493259</v>
      </c>
      <c r="AD27" s="67">
        <v>1.8358433091253024</v>
      </c>
      <c r="AE27" s="67">
        <v>2.0260218706873721</v>
      </c>
      <c r="AF27" s="67">
        <v>2.1979208078810255</v>
      </c>
      <c r="AG27" s="67">
        <v>2.0412365586266481</v>
      </c>
      <c r="AH27" s="67">
        <v>1.7096794140888136</v>
      </c>
      <c r="AI27" s="67">
        <v>1.8294697872130512</v>
      </c>
      <c r="AJ27" s="67">
        <v>1.9965810789032943</v>
      </c>
      <c r="AK27" s="67">
        <v>2.0007973014612195</v>
      </c>
      <c r="AL27" s="67">
        <v>1.7068522240659776</v>
      </c>
      <c r="AM27" s="67">
        <v>2.1824119713772352</v>
      </c>
      <c r="AN27" s="67">
        <v>1.988367131937878</v>
      </c>
    </row>
    <row r="28" spans="1:40" s="19" customFormat="1" ht="17.100000000000001" customHeight="1" x14ac:dyDescent="0.2">
      <c r="A28" s="38" t="s">
        <v>23</v>
      </c>
      <c r="B28" s="33">
        <v>2.1863519300974175</v>
      </c>
      <c r="C28" s="33">
        <v>2.4746559641045875</v>
      </c>
      <c r="D28" s="33">
        <v>2.5221927069610159</v>
      </c>
      <c r="E28" s="33">
        <v>2.6916861582971898</v>
      </c>
      <c r="F28" s="33">
        <v>2.4436242210121626</v>
      </c>
      <c r="G28" s="33">
        <v>2.7738608980548602</v>
      </c>
      <c r="H28" s="33">
        <v>2.5796095577458358</v>
      </c>
      <c r="I28" s="33">
        <v>2.3488276974141917</v>
      </c>
      <c r="J28" s="67">
        <v>2.3462653144725536</v>
      </c>
      <c r="K28" s="67">
        <v>2.4556065837314653</v>
      </c>
      <c r="L28" s="67">
        <v>2.5350332175646284</v>
      </c>
      <c r="M28" s="67">
        <v>2.5217115461229787</v>
      </c>
      <c r="N28" s="67">
        <v>2.4650483880388099</v>
      </c>
      <c r="O28" s="67">
        <v>2.6946588127791626</v>
      </c>
      <c r="P28" s="67">
        <v>2.8889643289626883</v>
      </c>
      <c r="Q28" s="67">
        <v>3.0803155468067356</v>
      </c>
      <c r="R28" s="67">
        <v>2.7743777368007265</v>
      </c>
      <c r="S28" s="67">
        <v>3.0421429371255475</v>
      </c>
      <c r="T28" s="67">
        <v>3.4430321967663673</v>
      </c>
      <c r="U28" s="67">
        <v>2.791582140532809</v>
      </c>
      <c r="V28" s="67">
        <v>2.817533256052283</v>
      </c>
      <c r="W28" s="67">
        <v>3.0070465903758508</v>
      </c>
      <c r="X28" s="67">
        <v>3.0795760389134266</v>
      </c>
      <c r="Y28" s="67">
        <v>2.8513616175740295</v>
      </c>
      <c r="Z28" s="67">
        <v>2.8187202121140413</v>
      </c>
      <c r="AA28" s="67">
        <v>3.1310515428327275</v>
      </c>
      <c r="AB28" s="67">
        <v>2.8407395648641627</v>
      </c>
      <c r="AC28" s="67">
        <v>2.7206379768677671</v>
      </c>
      <c r="AD28" s="67">
        <v>2.216375935045598</v>
      </c>
      <c r="AE28" s="67">
        <v>3.0178467730070211</v>
      </c>
      <c r="AF28" s="67">
        <v>2.901799819133644</v>
      </c>
      <c r="AG28" s="67">
        <v>3.2700695008586242</v>
      </c>
      <c r="AH28" s="67">
        <v>2.0712920199854219</v>
      </c>
      <c r="AI28" s="67">
        <v>2.9834129963889953</v>
      </c>
      <c r="AJ28" s="67">
        <v>2.8152688927537506</v>
      </c>
      <c r="AK28" s="67">
        <v>3.100528194347254</v>
      </c>
      <c r="AL28" s="67">
        <v>1.9499472712958414</v>
      </c>
      <c r="AM28" s="67">
        <v>2.986657290333393</v>
      </c>
      <c r="AN28" s="67">
        <v>2.8221888362419758</v>
      </c>
    </row>
    <row r="29" spans="1:40" s="19" customFormat="1" ht="17.100000000000001" customHeight="1" x14ac:dyDescent="0.2">
      <c r="A29" s="38" t="s">
        <v>24</v>
      </c>
      <c r="B29" s="33">
        <v>4.216514072568037</v>
      </c>
      <c r="C29" s="33">
        <v>4.4444417610867193</v>
      </c>
      <c r="D29" s="33">
        <v>4.4318556854690039</v>
      </c>
      <c r="E29" s="33">
        <v>4.5179057821258555</v>
      </c>
      <c r="F29" s="33">
        <v>4.0498838865716635</v>
      </c>
      <c r="G29" s="33">
        <v>4.6001275535442412</v>
      </c>
      <c r="H29" s="33">
        <v>4.5865781560782253</v>
      </c>
      <c r="I29" s="33">
        <v>4.3588966947863339</v>
      </c>
      <c r="J29" s="67">
        <v>4.2026276865870908</v>
      </c>
      <c r="K29" s="67">
        <v>4.5742699963051123</v>
      </c>
      <c r="L29" s="67">
        <v>4.5348633227922903</v>
      </c>
      <c r="M29" s="67">
        <v>4.2855452550629769</v>
      </c>
      <c r="N29" s="67">
        <v>3.7065194047204999</v>
      </c>
      <c r="O29" s="67">
        <v>4.0080113793845076</v>
      </c>
      <c r="P29" s="67">
        <v>4.4472085510141577</v>
      </c>
      <c r="Q29" s="67">
        <v>4.4331721036257878</v>
      </c>
      <c r="R29" s="67">
        <v>3.2161046148268002</v>
      </c>
      <c r="S29" s="67">
        <v>3.4937941477578014</v>
      </c>
      <c r="T29" s="67">
        <v>4.1551348209194305</v>
      </c>
      <c r="U29" s="67">
        <v>4.1871750860775219</v>
      </c>
      <c r="V29" s="67">
        <v>3.4595092331494626</v>
      </c>
      <c r="W29" s="67">
        <v>3.3011045737777476</v>
      </c>
      <c r="X29" s="67">
        <v>3.9719566140033096</v>
      </c>
      <c r="Y29" s="67">
        <v>3.6464303492986287</v>
      </c>
      <c r="Z29" s="67">
        <v>3.6366253088524259</v>
      </c>
      <c r="AA29" s="67">
        <v>3.1833930407436499</v>
      </c>
      <c r="AB29" s="67">
        <v>3.876532081608191</v>
      </c>
      <c r="AC29" s="67">
        <v>3.9322640772357786</v>
      </c>
      <c r="AD29" s="67">
        <v>3.966385268860618</v>
      </c>
      <c r="AE29" s="67">
        <v>2.9254665101598505</v>
      </c>
      <c r="AF29" s="67">
        <v>3.8363377075567655</v>
      </c>
      <c r="AG29" s="67">
        <v>3.7117322695981017</v>
      </c>
      <c r="AH29" s="67">
        <v>3.6845754604130874</v>
      </c>
      <c r="AI29" s="67">
        <v>3.0403318738462239</v>
      </c>
      <c r="AJ29" s="67">
        <v>3.6577451826210172</v>
      </c>
      <c r="AK29" s="67">
        <v>3.8625561294710482</v>
      </c>
      <c r="AL29" s="67">
        <v>4.2208746256057346</v>
      </c>
      <c r="AM29" s="67">
        <v>3.426628106150357</v>
      </c>
      <c r="AN29" s="67">
        <v>3.5381286674031966</v>
      </c>
    </row>
    <row r="30" spans="1:40" s="19" customFormat="1" ht="17.100000000000001" customHeight="1" x14ac:dyDescent="0.2">
      <c r="A30" s="38" t="s">
        <v>71</v>
      </c>
      <c r="B30" s="33">
        <v>2.8206576906850795</v>
      </c>
      <c r="C30" s="33">
        <v>3.0065399484854258</v>
      </c>
      <c r="D30" s="33">
        <v>3.117555779383077</v>
      </c>
      <c r="E30" s="33">
        <v>3.2582256441252051</v>
      </c>
      <c r="F30" s="33">
        <v>3.0577526365839418</v>
      </c>
      <c r="G30" s="33">
        <v>3.5195108846366141</v>
      </c>
      <c r="H30" s="33">
        <v>3.4674734582196995</v>
      </c>
      <c r="I30" s="33">
        <v>3.2159339968378595</v>
      </c>
      <c r="J30" s="67">
        <v>3.258340558499695</v>
      </c>
      <c r="K30" s="67">
        <v>3.3333572105725322</v>
      </c>
      <c r="L30" s="67">
        <v>3.3074429601401021</v>
      </c>
      <c r="M30" s="67">
        <v>3.2026764788259361</v>
      </c>
      <c r="N30" s="67">
        <v>3.0193383458506471</v>
      </c>
      <c r="O30" s="67">
        <v>3.2049778360973487</v>
      </c>
      <c r="P30" s="67">
        <v>3.3792316857802338</v>
      </c>
      <c r="Q30" s="67">
        <v>3.3034533925894629</v>
      </c>
      <c r="R30" s="67">
        <v>3.3285009309481466</v>
      </c>
      <c r="S30" s="67">
        <v>3.4953178369452735</v>
      </c>
      <c r="T30" s="67">
        <v>3.486830756734788</v>
      </c>
      <c r="U30" s="67">
        <v>3.3924338101515379</v>
      </c>
      <c r="V30" s="67">
        <v>3.1947514697096584</v>
      </c>
      <c r="W30" s="67">
        <v>4.0069248909587163</v>
      </c>
      <c r="X30" s="67">
        <v>3.7316166513464539</v>
      </c>
      <c r="Y30" s="67">
        <v>3.3292711450389985</v>
      </c>
      <c r="Z30" s="67">
        <v>3.095061770202109</v>
      </c>
      <c r="AA30" s="67">
        <v>3.7319402173802958</v>
      </c>
      <c r="AB30" s="67">
        <v>3.6712697067557198</v>
      </c>
      <c r="AC30" s="67">
        <v>3.0641815367120628</v>
      </c>
      <c r="AD30" s="67">
        <v>2.634062398187428</v>
      </c>
      <c r="AE30" s="67">
        <v>3.3542677827089133</v>
      </c>
      <c r="AF30" s="67">
        <v>3.3227025681043916</v>
      </c>
      <c r="AG30" s="67">
        <v>3.4335744692411518</v>
      </c>
      <c r="AH30" s="67">
        <v>2.6987508286675235</v>
      </c>
      <c r="AI30" s="67">
        <v>3.2414906339331564</v>
      </c>
      <c r="AJ30" s="67">
        <v>3.1530436154650454</v>
      </c>
      <c r="AK30" s="67">
        <v>2.8338162905628188</v>
      </c>
      <c r="AL30" s="67">
        <v>2.6793973136650018</v>
      </c>
      <c r="AM30" s="67">
        <v>3.131551374820666</v>
      </c>
      <c r="AN30" s="67">
        <v>3.1462354470163532</v>
      </c>
    </row>
    <row r="31" spans="1:40" s="19" customFormat="1" ht="17.100000000000001" customHeight="1" x14ac:dyDescent="0.2">
      <c r="A31" s="38" t="s">
        <v>72</v>
      </c>
      <c r="B31" s="33">
        <v>9.0809785053119638E-2</v>
      </c>
      <c r="C31" s="33">
        <v>9.8355630569928909E-2</v>
      </c>
      <c r="D31" s="33">
        <v>0.12632439712810942</v>
      </c>
      <c r="E31" s="33">
        <v>0.16750512234706819</v>
      </c>
      <c r="F31" s="33">
        <v>0.13349808636066837</v>
      </c>
      <c r="G31" s="33">
        <v>0.18874619987628785</v>
      </c>
      <c r="H31" s="33">
        <v>0.20476367536373233</v>
      </c>
      <c r="I31" s="33">
        <v>0.18492050882518771</v>
      </c>
      <c r="J31" s="67">
        <v>0.19193116104824265</v>
      </c>
      <c r="K31" s="67">
        <v>0.18615813273866411</v>
      </c>
      <c r="L31" s="67">
        <v>0.20267483859130833</v>
      </c>
      <c r="M31" s="67">
        <v>0.17454330034294049</v>
      </c>
      <c r="N31" s="67">
        <v>0.1880664552599349</v>
      </c>
      <c r="O31" s="67">
        <v>0.18528039117929684</v>
      </c>
      <c r="P31" s="67">
        <v>0.19797508646201431</v>
      </c>
      <c r="Q31" s="67">
        <v>0.14520547385735949</v>
      </c>
      <c r="R31" s="67">
        <v>0.1405160287538775</v>
      </c>
      <c r="S31" s="67">
        <v>0.15010739536553835</v>
      </c>
      <c r="T31" s="67">
        <v>0.16036169162813435</v>
      </c>
      <c r="U31" s="67">
        <v>0.1669155116649137</v>
      </c>
      <c r="V31" s="67">
        <v>0.17870429764836518</v>
      </c>
      <c r="W31" s="67">
        <v>0.13846976408328676</v>
      </c>
      <c r="X31" s="67">
        <v>0.12898040203239608</v>
      </c>
      <c r="Y31" s="67">
        <v>0.12785058296213492</v>
      </c>
      <c r="Z31" s="67">
        <v>0.10960072353936731</v>
      </c>
      <c r="AA31" s="67">
        <v>0.13278142024781517</v>
      </c>
      <c r="AB31" s="67">
        <v>0.17380801792368922</v>
      </c>
      <c r="AC31" s="67">
        <v>0.16149604656569924</v>
      </c>
      <c r="AD31" s="67">
        <v>0.16858326795883646</v>
      </c>
      <c r="AE31" s="67">
        <v>0.1169607992063616</v>
      </c>
      <c r="AF31" s="67">
        <v>0.18781064885622739</v>
      </c>
      <c r="AG31" s="67">
        <v>0.14373694830642053</v>
      </c>
      <c r="AH31" s="67">
        <v>0.17885361564733107</v>
      </c>
      <c r="AI31" s="67">
        <v>0.12981754195919515</v>
      </c>
      <c r="AJ31" s="67">
        <v>0.18803821530540754</v>
      </c>
      <c r="AK31" s="67">
        <v>0.12311154961988796</v>
      </c>
      <c r="AL31" s="67">
        <v>0.16844442835977302</v>
      </c>
      <c r="AM31" s="67">
        <v>0.11506440990953493</v>
      </c>
      <c r="AN31" s="67">
        <v>0.1722772196122917</v>
      </c>
    </row>
    <row r="32" spans="1:40" s="19" customFormat="1" ht="17.100000000000001" customHeight="1" x14ac:dyDescent="0.2">
      <c r="A32" s="38" t="s">
        <v>27</v>
      </c>
      <c r="B32" s="33">
        <v>2.6665805965278402</v>
      </c>
      <c r="C32" s="33">
        <v>2.8284880746548251</v>
      </c>
      <c r="D32" s="33">
        <v>2.8686947585066136</v>
      </c>
      <c r="E32" s="33">
        <v>2.6403570070302305</v>
      </c>
      <c r="F32" s="33">
        <v>2.3727211082992099</v>
      </c>
      <c r="G32" s="33">
        <v>2.6427527634411154</v>
      </c>
      <c r="H32" s="33">
        <v>2.4743442372020743</v>
      </c>
      <c r="I32" s="33">
        <v>2.3519431029564344</v>
      </c>
      <c r="J32" s="67">
        <v>2.2245860178211627</v>
      </c>
      <c r="K32" s="67">
        <v>2.3850145802184106</v>
      </c>
      <c r="L32" s="67">
        <v>2.3972007900622101</v>
      </c>
      <c r="M32" s="67">
        <v>2.4432977919169865</v>
      </c>
      <c r="N32" s="67">
        <v>2.2545029635934242</v>
      </c>
      <c r="O32" s="67">
        <v>2.3926679811230493</v>
      </c>
      <c r="P32" s="67">
        <v>2.5711734017244789</v>
      </c>
      <c r="Q32" s="67">
        <v>2.7256412735148574</v>
      </c>
      <c r="R32" s="67">
        <v>2.3275978674041937</v>
      </c>
      <c r="S32" s="67">
        <v>2.4831542775033686</v>
      </c>
      <c r="T32" s="67">
        <v>2.6409106302404082</v>
      </c>
      <c r="U32" s="67">
        <v>2.485912943142103</v>
      </c>
      <c r="V32" s="67">
        <v>2.2086274703552045</v>
      </c>
      <c r="W32" s="67">
        <v>2.1901516776756869</v>
      </c>
      <c r="X32" s="67">
        <v>2.344492444954025</v>
      </c>
      <c r="Y32" s="67">
        <v>2.1747020827180217</v>
      </c>
      <c r="Z32" s="67">
        <v>1.8811761141218697</v>
      </c>
      <c r="AA32" s="67">
        <v>2.0472503187484135</v>
      </c>
      <c r="AB32" s="67">
        <v>2.1273626249902797</v>
      </c>
      <c r="AC32" s="67">
        <v>1.8860737089140545</v>
      </c>
      <c r="AD32" s="67">
        <v>1.8851252552886075</v>
      </c>
      <c r="AE32" s="67">
        <v>2.345081618409051</v>
      </c>
      <c r="AF32" s="67">
        <v>2.1786334851155598</v>
      </c>
      <c r="AG32" s="67">
        <v>1.8101574292146219</v>
      </c>
      <c r="AH32" s="67">
        <v>1.9645965539920873</v>
      </c>
      <c r="AI32" s="67">
        <v>2.1323060319078326</v>
      </c>
      <c r="AJ32" s="67">
        <v>2.0982794407337391</v>
      </c>
      <c r="AK32" s="67">
        <v>2.0193985362331803</v>
      </c>
      <c r="AL32" s="67">
        <v>1.9906895258894708</v>
      </c>
      <c r="AM32" s="67">
        <v>1.8348745844265719</v>
      </c>
      <c r="AN32" s="67">
        <v>1.9238632002744327</v>
      </c>
    </row>
    <row r="33" spans="1:40" s="19" customFormat="1" ht="17.100000000000001" customHeight="1" x14ac:dyDescent="0.2">
      <c r="A33" s="38" t="s">
        <v>69</v>
      </c>
      <c r="B33" s="33">
        <v>0.77073508812632274</v>
      </c>
      <c r="C33" s="33">
        <v>0.82900025414089051</v>
      </c>
      <c r="D33" s="33">
        <v>0.8448079138213811</v>
      </c>
      <c r="E33" s="33">
        <v>0.84246876715110741</v>
      </c>
      <c r="F33" s="33">
        <v>0.74047828782272607</v>
      </c>
      <c r="G33" s="33">
        <v>0.8330703414760835</v>
      </c>
      <c r="H33" s="33">
        <v>0.8128221777576522</v>
      </c>
      <c r="I33" s="33">
        <v>0.78115547229664473</v>
      </c>
      <c r="J33" s="67">
        <v>0.72222065414092396</v>
      </c>
      <c r="K33" s="67">
        <v>0.77503966777801192</v>
      </c>
      <c r="L33" s="67">
        <v>0.77992253474679696</v>
      </c>
      <c r="M33" s="67">
        <v>0.76171676901866359</v>
      </c>
      <c r="N33" s="67">
        <v>0.67923198000145679</v>
      </c>
      <c r="O33" s="67">
        <v>0.71768365512708499</v>
      </c>
      <c r="P33" s="67">
        <v>0.78443527701322124</v>
      </c>
      <c r="Q33" s="67">
        <v>0.85153787901505096</v>
      </c>
      <c r="R33" s="67">
        <v>0.69940703223800105</v>
      </c>
      <c r="S33" s="67">
        <v>0.74566369139494948</v>
      </c>
      <c r="T33" s="67">
        <v>0.78972863492231482</v>
      </c>
      <c r="U33" s="67">
        <v>0.75575439055494986</v>
      </c>
      <c r="V33" s="67">
        <v>0.69322393455816811</v>
      </c>
      <c r="W33" s="67">
        <v>0.72737191254762179</v>
      </c>
      <c r="X33" s="67">
        <v>0.75107879285713997</v>
      </c>
      <c r="Y33" s="67">
        <v>0.72523912771248833</v>
      </c>
      <c r="Z33" s="67">
        <v>0.66168046830116767</v>
      </c>
      <c r="AA33" s="67">
        <v>0.74313774925455789</v>
      </c>
      <c r="AB33" s="67">
        <v>0.78975832808155266</v>
      </c>
      <c r="AC33" s="67">
        <v>0.69816993726033194</v>
      </c>
      <c r="AD33" s="67">
        <v>0.62946683546123017</v>
      </c>
      <c r="AE33" s="67">
        <v>0.6993607393330652</v>
      </c>
      <c r="AF33" s="67">
        <v>0.73846503259255403</v>
      </c>
      <c r="AG33" s="67">
        <v>0.68264463438271439</v>
      </c>
      <c r="AH33" s="67">
        <v>0.60454490926312943</v>
      </c>
      <c r="AI33" s="67">
        <v>0.66686824034632686</v>
      </c>
      <c r="AJ33" s="67">
        <v>0.68391581296788606</v>
      </c>
      <c r="AK33" s="67">
        <v>0.65423911400603629</v>
      </c>
      <c r="AL33" s="67">
        <v>0.61023966089401471</v>
      </c>
      <c r="AM33" s="67">
        <v>0.62440761366993669</v>
      </c>
      <c r="AN33" s="67">
        <v>0.66324656824349415</v>
      </c>
    </row>
    <row r="34" spans="1:40" s="19" customFormat="1" ht="17.100000000000001" customHeight="1" x14ac:dyDescent="0.2">
      <c r="A34" s="39"/>
      <c r="B34" s="33"/>
      <c r="C34" s="33"/>
      <c r="D34" s="33"/>
      <c r="E34" s="33"/>
      <c r="F34" s="33"/>
      <c r="G34" s="33"/>
      <c r="H34" s="33"/>
      <c r="I34" s="33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</row>
    <row r="35" spans="1:40" s="51" customFormat="1" ht="17.100000000000001" customHeight="1" x14ac:dyDescent="0.2">
      <c r="A35" s="52" t="s">
        <v>84</v>
      </c>
      <c r="B35" s="57"/>
      <c r="C35" s="57"/>
      <c r="D35" s="57"/>
      <c r="E35" s="57"/>
      <c r="F35" s="57"/>
      <c r="G35" s="57"/>
      <c r="H35" s="57"/>
      <c r="I35" s="57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</row>
    <row r="36" spans="1:40" s="27" customFormat="1" ht="17.100000000000001" customHeight="1" thickBot="1" x14ac:dyDescent="0.25">
      <c r="A36" s="25" t="s">
        <v>30</v>
      </c>
      <c r="B36" s="34">
        <v>6.3657375046847902</v>
      </c>
      <c r="C36" s="34">
        <v>6.8918180812958472</v>
      </c>
      <c r="D36" s="34">
        <v>7.4893037811380667</v>
      </c>
      <c r="E36" s="34">
        <v>7.3953252088560557</v>
      </c>
      <c r="F36" s="34">
        <v>6.2554779266999025</v>
      </c>
      <c r="G36" s="34">
        <v>7.5050256498050469</v>
      </c>
      <c r="H36" s="34">
        <v>7.631606093682981</v>
      </c>
      <c r="I36" s="34">
        <v>7.370556563682122</v>
      </c>
      <c r="J36" s="68">
        <v>6.8814996125204697</v>
      </c>
      <c r="K36" s="68">
        <v>7.9168697259009475</v>
      </c>
      <c r="L36" s="68">
        <v>7.7280135272357029</v>
      </c>
      <c r="M36" s="68">
        <v>7.2585478588046577</v>
      </c>
      <c r="N36" s="68">
        <v>6.5465574694765136</v>
      </c>
      <c r="O36" s="68">
        <v>7.3228267740751614</v>
      </c>
      <c r="P36" s="68">
        <v>7.7738349817888217</v>
      </c>
      <c r="Q36" s="68">
        <v>5.2105499680653322</v>
      </c>
      <c r="R36" s="68">
        <v>6.447283336757323</v>
      </c>
      <c r="S36" s="68">
        <v>7.3739399695187569</v>
      </c>
      <c r="T36" s="68">
        <v>7.4845587022265496</v>
      </c>
      <c r="U36" s="68">
        <v>7.3952578688882262</v>
      </c>
      <c r="V36" s="68">
        <v>6.5401116915302691</v>
      </c>
      <c r="W36" s="68">
        <v>8.031773683759873</v>
      </c>
      <c r="X36" s="68">
        <v>8.2251657263441214</v>
      </c>
      <c r="Y36" s="68">
        <v>7.5296418711147615</v>
      </c>
      <c r="Z36" s="68">
        <v>6.6748920454697869</v>
      </c>
      <c r="AA36" s="68">
        <v>7.2029937469516065</v>
      </c>
      <c r="AB36" s="68">
        <v>8.4932034598566162</v>
      </c>
      <c r="AC36" s="68">
        <v>8.2837447832403655</v>
      </c>
      <c r="AD36" s="68">
        <v>6.7060219719228815</v>
      </c>
      <c r="AE36" s="68">
        <v>7.3893029969541573</v>
      </c>
      <c r="AF36" s="68">
        <v>7.9159714765602569</v>
      </c>
      <c r="AG36" s="68">
        <v>7.5543624967050054</v>
      </c>
      <c r="AH36" s="68">
        <v>6.8421359465603055</v>
      </c>
      <c r="AI36" s="68">
        <v>7.5298576082003477</v>
      </c>
      <c r="AJ36" s="68">
        <v>7.5603443842958473</v>
      </c>
      <c r="AK36" s="68">
        <v>8.1070641332623854</v>
      </c>
      <c r="AL36" s="68">
        <v>6.6484387908780249</v>
      </c>
      <c r="AM36" s="68">
        <v>7.3050417949235893</v>
      </c>
      <c r="AN36" s="68">
        <v>8.2544007484370514</v>
      </c>
    </row>
    <row r="37" spans="1:40" x14ac:dyDescent="0.2">
      <c r="A37" s="14" t="s">
        <v>63</v>
      </c>
    </row>
  </sheetData>
  <mergeCells count="9">
    <mergeCell ref="AH3:AK3"/>
    <mergeCell ref="AD3:AG3"/>
    <mergeCell ref="Z3:AC3"/>
    <mergeCell ref="V3:Y3"/>
    <mergeCell ref="B3:E3"/>
    <mergeCell ref="F3:I3"/>
    <mergeCell ref="J3:M3"/>
    <mergeCell ref="N3:P3"/>
    <mergeCell ref="R3:U3"/>
  </mergeCells>
  <phoneticPr fontId="17" type="noConversion"/>
  <pageMargins left="0" right="0" top="0.47244094488188981" bottom="0" header="0.31496062992125984" footer="0.31496062992125984"/>
  <pageSetup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N37"/>
  <sheetViews>
    <sheetView view="pageBreakPreview" zoomScaleNormal="100" zoomScaleSheetLayoutView="100" workbookViewId="0">
      <selection activeCell="B38" sqref="B38"/>
    </sheetView>
  </sheetViews>
  <sheetFormatPr defaultColWidth="9.140625" defaultRowHeight="12" x14ac:dyDescent="0.2"/>
  <cols>
    <col min="1" max="1" width="86.5703125" style="29" bestFit="1" customWidth="1"/>
    <col min="2" max="4" width="6.85546875" style="29" bestFit="1" customWidth="1"/>
    <col min="5" max="9" width="6.85546875" style="29" customWidth="1"/>
    <col min="10" max="27" width="7.5703125" style="17" bestFit="1" customWidth="1"/>
    <col min="28" max="40" width="7.5703125" style="29" bestFit="1" customWidth="1"/>
    <col min="41" max="16384" width="9.140625" style="29"/>
  </cols>
  <sheetData>
    <row r="1" spans="1:40" ht="26.25" customHeight="1" x14ac:dyDescent="0.2">
      <c r="A1" s="18" t="s">
        <v>130</v>
      </c>
      <c r="B1" s="18"/>
    </row>
    <row r="2" spans="1:40" ht="1.5" customHeight="1" thickBot="1" x14ac:dyDescent="0.25"/>
    <row r="3" spans="1:40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60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</row>
    <row r="4" spans="1:40" s="51" customFormat="1" ht="12" customHeigh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</row>
    <row r="5" spans="1:40" s="20" customFormat="1" ht="17.100000000000001" customHeight="1" x14ac:dyDescent="0.2">
      <c r="A5" s="21" t="s">
        <v>80</v>
      </c>
      <c r="B5" s="41">
        <v>25585.530173046223</v>
      </c>
      <c r="C5" s="41">
        <v>26815.867901198006</v>
      </c>
      <c r="D5" s="41">
        <v>28087.006277898501</v>
      </c>
      <c r="E5" s="41">
        <v>28218.431811871684</v>
      </c>
      <c r="F5" s="41">
        <v>28920.9421404727</v>
      </c>
      <c r="G5" s="41">
        <v>28715.633574177591</v>
      </c>
      <c r="H5" s="41">
        <v>31088.81644038736</v>
      </c>
      <c r="I5" s="41">
        <v>31950.53136158601</v>
      </c>
      <c r="J5" s="73">
        <v>31709.95285649964</v>
      </c>
      <c r="K5" s="73">
        <v>32491.606148737308</v>
      </c>
      <c r="L5" s="73">
        <v>34099.565181101338</v>
      </c>
      <c r="M5" s="73">
        <v>34250.082446485067</v>
      </c>
      <c r="N5" s="73">
        <v>35252.635784097169</v>
      </c>
      <c r="O5" s="73">
        <v>36760.947778743401</v>
      </c>
      <c r="P5" s="73">
        <v>35648.858549584846</v>
      </c>
      <c r="Q5" s="73">
        <v>32236.736736804804</v>
      </c>
      <c r="R5" s="73">
        <v>35896.332523022204</v>
      </c>
      <c r="S5" s="73">
        <v>37289.22117233598</v>
      </c>
      <c r="T5" s="73">
        <v>37155.753524298671</v>
      </c>
      <c r="U5" s="73">
        <v>37847.717183852787</v>
      </c>
      <c r="V5" s="73">
        <v>37948.267946340988</v>
      </c>
      <c r="W5" s="73">
        <v>40233.574177164599</v>
      </c>
      <c r="X5" s="73">
        <v>41629.028011497678</v>
      </c>
      <c r="Y5" s="73">
        <v>42907.047906055115</v>
      </c>
      <c r="Z5" s="73">
        <v>44419.271393106901</v>
      </c>
      <c r="AA5" s="73">
        <v>44915.774636309878</v>
      </c>
      <c r="AB5" s="73">
        <v>44704.483645576649</v>
      </c>
      <c r="AC5" s="73">
        <v>48556.814797195002</v>
      </c>
      <c r="AD5" s="73">
        <v>49709.912273026486</v>
      </c>
      <c r="AE5" s="73">
        <v>50246.437080620941</v>
      </c>
      <c r="AF5" s="73">
        <v>50555.362693788229</v>
      </c>
      <c r="AG5" s="73">
        <v>52803.113983517258</v>
      </c>
      <c r="AH5" s="73">
        <v>55023.331390004845</v>
      </c>
      <c r="AI5" s="73">
        <v>55769.666817527497</v>
      </c>
      <c r="AJ5" s="73">
        <v>57835.748420225325</v>
      </c>
      <c r="AK5" s="73">
        <v>58933.858282806897</v>
      </c>
      <c r="AL5" s="73">
        <v>58812.062111866187</v>
      </c>
      <c r="AM5" s="73">
        <v>62759.045051931214</v>
      </c>
      <c r="AN5" s="73">
        <v>63215.400221365955</v>
      </c>
    </row>
    <row r="6" spans="1:40" s="54" customFormat="1" ht="17.100000000000001" customHeight="1" x14ac:dyDescent="0.2">
      <c r="A6" s="52" t="s">
        <v>81</v>
      </c>
      <c r="B6" s="53">
        <v>6028.4970662892201</v>
      </c>
      <c r="C6" s="53">
        <v>6498.3166224993056</v>
      </c>
      <c r="D6" s="53">
        <v>6730.1849736878085</v>
      </c>
      <c r="E6" s="53">
        <v>6344.2866404989809</v>
      </c>
      <c r="F6" s="53">
        <v>6709.1505501388374</v>
      </c>
      <c r="G6" s="53">
        <v>6257.361467197039</v>
      </c>
      <c r="H6" s="53">
        <v>7684.3635593163663</v>
      </c>
      <c r="I6" s="53">
        <v>7557.1618617269523</v>
      </c>
      <c r="J6" s="74">
        <v>6881.1824288147764</v>
      </c>
      <c r="K6" s="74">
        <v>7346.6645665474543</v>
      </c>
      <c r="L6" s="74">
        <v>8417.3540738599295</v>
      </c>
      <c r="M6" s="74">
        <v>8143.9014745654968</v>
      </c>
      <c r="N6" s="74">
        <v>7975.629954619124</v>
      </c>
      <c r="O6" s="74">
        <v>8780.3122427072067</v>
      </c>
      <c r="P6" s="74">
        <v>8568.3025214804657</v>
      </c>
      <c r="Q6" s="74">
        <v>8316.5587455113855</v>
      </c>
      <c r="R6" s="74">
        <v>8586.1546669820946</v>
      </c>
      <c r="S6" s="74">
        <v>9230.3164821532682</v>
      </c>
      <c r="T6" s="74">
        <v>8366.1431445484177</v>
      </c>
      <c r="U6" s="74">
        <v>9046.0571817350483</v>
      </c>
      <c r="V6" s="74">
        <v>9512.998790224372</v>
      </c>
      <c r="W6" s="74">
        <v>9619.5448661348546</v>
      </c>
      <c r="X6" s="74">
        <v>9543.068360973115</v>
      </c>
      <c r="Y6" s="74">
        <v>10373.095948259092</v>
      </c>
      <c r="Z6" s="74">
        <v>10512.91562127456</v>
      </c>
      <c r="AA6" s="74">
        <v>11253.569541592315</v>
      </c>
      <c r="AB6" s="74">
        <v>10573.445437423206</v>
      </c>
      <c r="AC6" s="74">
        <v>11384.016830174309</v>
      </c>
      <c r="AD6" s="74">
        <v>11702.181405333924</v>
      </c>
      <c r="AE6" s="74">
        <v>12100.620283716993</v>
      </c>
      <c r="AF6" s="74">
        <v>12259.793699688571</v>
      </c>
      <c r="AG6" s="74">
        <v>13842.633726163685</v>
      </c>
      <c r="AH6" s="74">
        <v>13852.13623238973</v>
      </c>
      <c r="AI6" s="74">
        <v>14546.97453903518</v>
      </c>
      <c r="AJ6" s="74">
        <v>15172.437120598503</v>
      </c>
      <c r="AK6" s="74">
        <v>15654.828803419699</v>
      </c>
      <c r="AL6" s="74">
        <v>14739.451742502917</v>
      </c>
      <c r="AM6" s="74">
        <v>16444.469388173489</v>
      </c>
      <c r="AN6" s="74">
        <v>16082.7767936294</v>
      </c>
    </row>
    <row r="7" spans="1:40" s="19" customFormat="1" ht="17.100000000000001" customHeight="1" x14ac:dyDescent="0.2">
      <c r="A7" s="37" t="s">
        <v>2</v>
      </c>
      <c r="B7" s="16">
        <v>488.46670216944898</v>
      </c>
      <c r="C7" s="16">
        <v>704.25368560614595</v>
      </c>
      <c r="D7" s="16">
        <v>666.818369739074</v>
      </c>
      <c r="E7" s="16">
        <v>708.24570403218797</v>
      </c>
      <c r="F7" s="16">
        <v>729.15150757279696</v>
      </c>
      <c r="G7" s="16">
        <v>668.44490881718696</v>
      </c>
      <c r="H7" s="16">
        <v>651.12687522543797</v>
      </c>
      <c r="I7" s="16">
        <v>650.62792219893595</v>
      </c>
      <c r="J7" s="64">
        <v>690.96692836253703</v>
      </c>
      <c r="K7" s="64">
        <v>658.05483203380095</v>
      </c>
      <c r="L7" s="64">
        <v>624.31081767843705</v>
      </c>
      <c r="M7" s="64">
        <v>628.11075468415402</v>
      </c>
      <c r="N7" s="64">
        <v>637.38132966794399</v>
      </c>
      <c r="O7" s="64">
        <v>702.17978643361801</v>
      </c>
      <c r="P7" s="64">
        <v>762.19097089594095</v>
      </c>
      <c r="Q7" s="64">
        <v>609.77851834126102</v>
      </c>
      <c r="R7" s="64">
        <v>663.87523846619501</v>
      </c>
      <c r="S7" s="64">
        <v>708.81295057407306</v>
      </c>
      <c r="T7" s="64">
        <v>810.36305036640204</v>
      </c>
      <c r="U7" s="64">
        <v>889.08499534472401</v>
      </c>
      <c r="V7" s="64">
        <v>979.71015071148497</v>
      </c>
      <c r="W7" s="64">
        <v>1177.7656443721401</v>
      </c>
      <c r="X7" s="64">
        <v>1143.7135108202001</v>
      </c>
      <c r="Y7" s="64">
        <v>1154.34423798534</v>
      </c>
      <c r="Z7" s="64">
        <v>1187.3135771176901</v>
      </c>
      <c r="AA7" s="64">
        <v>1107.748561292</v>
      </c>
      <c r="AB7" s="64">
        <v>1118.74176232482</v>
      </c>
      <c r="AC7" s="64">
        <v>1258.6450431984099</v>
      </c>
      <c r="AD7" s="64">
        <v>1501.2441789703901</v>
      </c>
      <c r="AE7" s="64">
        <v>1674.9646753207101</v>
      </c>
      <c r="AF7" s="64">
        <v>1951.38493676292</v>
      </c>
      <c r="AG7" s="64">
        <v>2122.6323119777699</v>
      </c>
      <c r="AH7" s="64">
        <v>2223.4527217295899</v>
      </c>
      <c r="AI7" s="64">
        <v>2637.5887867760198</v>
      </c>
      <c r="AJ7" s="64">
        <v>2862.8167365301201</v>
      </c>
      <c r="AK7" s="64">
        <v>3807.15826483193</v>
      </c>
      <c r="AL7" s="64">
        <v>2727.0002231726598</v>
      </c>
      <c r="AM7" s="64">
        <v>3086.1486685284799</v>
      </c>
      <c r="AN7" s="64">
        <v>3069.4749785078202</v>
      </c>
    </row>
    <row r="8" spans="1:40" s="19" customFormat="1" ht="17.100000000000001" customHeight="1" x14ac:dyDescent="0.2">
      <c r="A8" s="37" t="s">
        <v>3</v>
      </c>
      <c r="B8" s="16">
        <v>3297.55526698628</v>
      </c>
      <c r="C8" s="16">
        <v>3314.8708894230599</v>
      </c>
      <c r="D8" s="16">
        <v>3623.27706080693</v>
      </c>
      <c r="E8" s="16">
        <v>3285.2942742867199</v>
      </c>
      <c r="F8" s="16">
        <v>3716.8928179723898</v>
      </c>
      <c r="G8" s="16">
        <v>3436.5311264911102</v>
      </c>
      <c r="H8" s="16">
        <v>4236.8500381828198</v>
      </c>
      <c r="I8" s="16">
        <v>3769.3902042065502</v>
      </c>
      <c r="J8" s="64">
        <v>3499.4709778950401</v>
      </c>
      <c r="K8" s="64">
        <v>3596.09357041884</v>
      </c>
      <c r="L8" s="64">
        <v>4503.25822573804</v>
      </c>
      <c r="M8" s="64">
        <v>4081.4427635396601</v>
      </c>
      <c r="N8" s="64">
        <v>3842.87659043857</v>
      </c>
      <c r="O8" s="64">
        <v>4069.0892761219402</v>
      </c>
      <c r="P8" s="64">
        <v>4272.2628409038898</v>
      </c>
      <c r="Q8" s="64">
        <v>4251.57162120264</v>
      </c>
      <c r="R8" s="64">
        <v>4300.5721247909796</v>
      </c>
      <c r="S8" s="64">
        <v>4189.4793584813096</v>
      </c>
      <c r="T8" s="64">
        <v>3945.7326313503099</v>
      </c>
      <c r="U8" s="64">
        <v>4432.1873963569697</v>
      </c>
      <c r="V8" s="64">
        <v>4559.3473541657004</v>
      </c>
      <c r="W8" s="64">
        <v>4433.4642294898003</v>
      </c>
      <c r="X8" s="64">
        <v>4400.1040067712102</v>
      </c>
      <c r="Y8" s="64">
        <v>5155.1436523928696</v>
      </c>
      <c r="Z8" s="64">
        <v>5415.0849522860099</v>
      </c>
      <c r="AA8" s="64">
        <v>5654.0048802873698</v>
      </c>
      <c r="AB8" s="64">
        <v>4731.0972040083998</v>
      </c>
      <c r="AC8" s="64">
        <v>5588.50938594115</v>
      </c>
      <c r="AD8" s="64">
        <v>5688.2472337509998</v>
      </c>
      <c r="AE8" s="64">
        <v>5608.61300430138</v>
      </c>
      <c r="AF8" s="64">
        <v>5297.7379145929099</v>
      </c>
      <c r="AG8" s="64">
        <v>6264.8207589826097</v>
      </c>
      <c r="AH8" s="64">
        <v>6479.5481118931602</v>
      </c>
      <c r="AI8" s="64">
        <v>6358.00842454344</v>
      </c>
      <c r="AJ8" s="64">
        <v>6066.7360427387603</v>
      </c>
      <c r="AK8" s="64">
        <v>5807.4886725098504</v>
      </c>
      <c r="AL8" s="64">
        <v>5972.2934332226696</v>
      </c>
      <c r="AM8" s="64">
        <v>7008.0893082979901</v>
      </c>
      <c r="AN8" s="64">
        <v>6733.7512573532604</v>
      </c>
    </row>
    <row r="9" spans="1:40" s="19" customFormat="1" ht="17.100000000000001" customHeight="1" x14ac:dyDescent="0.2">
      <c r="A9" s="37" t="s">
        <v>4</v>
      </c>
      <c r="B9" s="16">
        <v>786.91309095635802</v>
      </c>
      <c r="C9" s="16">
        <v>813.68905773744598</v>
      </c>
      <c r="D9" s="16">
        <v>840.75490368443798</v>
      </c>
      <c r="E9" s="16">
        <v>868.05157474091595</v>
      </c>
      <c r="F9" s="16">
        <v>932.41282799017699</v>
      </c>
      <c r="G9" s="16">
        <v>951.05500381454704</v>
      </c>
      <c r="H9" s="16">
        <v>984.69466439623397</v>
      </c>
      <c r="I9" s="16">
        <v>1007.4428119133501</v>
      </c>
      <c r="J9" s="64">
        <v>1056.2977858568099</v>
      </c>
      <c r="K9" s="64">
        <v>1099.40123877014</v>
      </c>
      <c r="L9" s="64">
        <v>1151.12253584885</v>
      </c>
      <c r="M9" s="64">
        <v>1183.60079161054</v>
      </c>
      <c r="N9" s="64">
        <v>1228.8870305021601</v>
      </c>
      <c r="O9" s="64">
        <v>1288.0615626373899</v>
      </c>
      <c r="P9" s="64">
        <v>1353.47598738427</v>
      </c>
      <c r="Q9" s="64">
        <v>1396.7504207597599</v>
      </c>
      <c r="R9" s="64">
        <v>1413.5587573038899</v>
      </c>
      <c r="S9" s="64">
        <v>1444.76953696648</v>
      </c>
      <c r="T9" s="64">
        <v>1442.9537357100801</v>
      </c>
      <c r="U9" s="64">
        <v>1533.0717234797901</v>
      </c>
      <c r="V9" s="64">
        <v>1578.8069505383301</v>
      </c>
      <c r="W9" s="64">
        <v>1623.4638070670001</v>
      </c>
      <c r="X9" s="64">
        <v>1603.9813999369201</v>
      </c>
      <c r="Y9" s="64">
        <v>1648.1877789551099</v>
      </c>
      <c r="Z9" s="64">
        <v>1733.9956543327401</v>
      </c>
      <c r="AA9" s="64">
        <v>1800.03737824668</v>
      </c>
      <c r="AB9" s="64">
        <v>1920.1752943353399</v>
      </c>
      <c r="AC9" s="64">
        <v>1974.2962444582499</v>
      </c>
      <c r="AD9" s="64">
        <v>2019.1261784126</v>
      </c>
      <c r="AE9" s="64">
        <v>2086.3907540845898</v>
      </c>
      <c r="AF9" s="64">
        <v>2166.1532544112902</v>
      </c>
      <c r="AG9" s="64">
        <v>2249.2990032183502</v>
      </c>
      <c r="AH9" s="64">
        <v>2360.8952435116198</v>
      </c>
      <c r="AI9" s="64">
        <v>2455.4331023099799</v>
      </c>
      <c r="AJ9" s="64">
        <v>2575.3612326789298</v>
      </c>
      <c r="AK9" s="64">
        <v>2680.31593980242</v>
      </c>
      <c r="AL9" s="64">
        <v>2753.27089167848</v>
      </c>
      <c r="AM9" s="64">
        <v>2840.5571681922302</v>
      </c>
      <c r="AN9" s="64">
        <v>2884.62858464173</v>
      </c>
    </row>
    <row r="10" spans="1:40" s="19" customFormat="1" ht="17.100000000000001" customHeight="1" x14ac:dyDescent="0.2">
      <c r="A10" s="37" t="s">
        <v>5</v>
      </c>
      <c r="B10" s="16">
        <v>4.1963156791941501</v>
      </c>
      <c r="C10" s="16">
        <v>4.1281164295263704</v>
      </c>
      <c r="D10" s="16">
        <v>4.0707518493872996</v>
      </c>
      <c r="E10" s="16">
        <v>4.11007064559083</v>
      </c>
      <c r="F10" s="16">
        <v>3.4459782239838099</v>
      </c>
      <c r="G10" s="16">
        <v>3.5467626461616799</v>
      </c>
      <c r="H10" s="16">
        <v>3.69050152045897</v>
      </c>
      <c r="I10" s="16">
        <v>3.8074978288923398</v>
      </c>
      <c r="J10" s="64">
        <v>4.2098735541679702</v>
      </c>
      <c r="K10" s="64">
        <v>4.4561243303297804</v>
      </c>
      <c r="L10" s="64">
        <v>4.4771263010047697</v>
      </c>
      <c r="M10" s="64">
        <v>5.1618663786451604</v>
      </c>
      <c r="N10" s="64">
        <v>5.26897078129769</v>
      </c>
      <c r="O10" s="64">
        <v>5.0648262307981602</v>
      </c>
      <c r="P10" s="64">
        <v>4.6437476487411899</v>
      </c>
      <c r="Q10" s="64">
        <v>4.5197539473998702</v>
      </c>
      <c r="R10" s="64">
        <v>4.6387194491721599</v>
      </c>
      <c r="S10" s="64">
        <v>4.9466021639223197</v>
      </c>
      <c r="T10" s="64">
        <v>5.2719141281806099</v>
      </c>
      <c r="U10" s="64">
        <v>5.2896919417563204</v>
      </c>
      <c r="V10" s="64">
        <v>5.3176903996674998</v>
      </c>
      <c r="W10" s="64">
        <v>5.3569235518535097</v>
      </c>
      <c r="X10" s="64">
        <v>5.32456367648083</v>
      </c>
      <c r="Y10" s="64">
        <v>5.3574786693708703</v>
      </c>
      <c r="Z10" s="64">
        <v>5.4107588354379201</v>
      </c>
      <c r="AA10" s="64">
        <v>5.5126195605404202</v>
      </c>
      <c r="AB10" s="64">
        <v>5.6660572688042397</v>
      </c>
      <c r="AC10" s="64">
        <v>5.7129922593514904</v>
      </c>
      <c r="AD10" s="64">
        <v>5.7864426962165698</v>
      </c>
      <c r="AE10" s="64">
        <v>5.8248476187694296</v>
      </c>
      <c r="AF10" s="64">
        <v>5.9619748718007797</v>
      </c>
      <c r="AG10" s="64">
        <v>6.0891317971477301</v>
      </c>
      <c r="AH10" s="64">
        <v>6.2540216023356896</v>
      </c>
      <c r="AI10" s="64">
        <v>5.9579994945406396</v>
      </c>
      <c r="AJ10" s="64">
        <v>5.8088758873533699</v>
      </c>
      <c r="AK10" s="64">
        <v>6.4901853146088104</v>
      </c>
      <c r="AL10" s="64">
        <v>5.4484570194264004</v>
      </c>
      <c r="AM10" s="64">
        <v>6.1518809442710696</v>
      </c>
      <c r="AN10" s="64">
        <v>6.3142052116313598</v>
      </c>
    </row>
    <row r="11" spans="1:40" s="19" customFormat="1" ht="17.100000000000001" customHeight="1" x14ac:dyDescent="0.2">
      <c r="A11" s="37" t="s">
        <v>6</v>
      </c>
      <c r="B11" s="16">
        <v>891.35333360299296</v>
      </c>
      <c r="C11" s="16">
        <v>1102.5317421106299</v>
      </c>
      <c r="D11" s="16">
        <v>1060.9695180164999</v>
      </c>
      <c r="E11" s="16">
        <v>951.15867978468202</v>
      </c>
      <c r="F11" s="16">
        <v>848.06300251161895</v>
      </c>
      <c r="G11" s="16">
        <v>721.58166459370398</v>
      </c>
      <c r="H11" s="16">
        <v>1398.5726516114501</v>
      </c>
      <c r="I11" s="16">
        <v>1596.03797830451</v>
      </c>
      <c r="J11" s="64">
        <v>1006.5887265365</v>
      </c>
      <c r="K11" s="64">
        <v>1299.34103245195</v>
      </c>
      <c r="L11" s="64">
        <v>1335.5807780146599</v>
      </c>
      <c r="M11" s="64">
        <v>1407.205204548</v>
      </c>
      <c r="N11" s="64">
        <v>1410.29653959339</v>
      </c>
      <c r="O11" s="64">
        <v>1793.5197987193301</v>
      </c>
      <c r="P11" s="64">
        <v>1305.7447312470999</v>
      </c>
      <c r="Q11" s="64">
        <v>1247.4119477946299</v>
      </c>
      <c r="R11" s="64">
        <v>1288.83310818476</v>
      </c>
      <c r="S11" s="64">
        <v>2003.51158800657</v>
      </c>
      <c r="T11" s="64">
        <v>1395.3012734921499</v>
      </c>
      <c r="U11" s="64">
        <v>1417.7837187083601</v>
      </c>
      <c r="V11" s="64">
        <v>1492.0771976276801</v>
      </c>
      <c r="W11" s="64">
        <v>1564.3361145501401</v>
      </c>
      <c r="X11" s="64">
        <v>1627.09984859323</v>
      </c>
      <c r="Y11" s="64">
        <v>1620.3337261235999</v>
      </c>
      <c r="Z11" s="64">
        <v>1612.30180565161</v>
      </c>
      <c r="AA11" s="64">
        <v>1708.8511141127401</v>
      </c>
      <c r="AB11" s="64">
        <v>1704.0035948586101</v>
      </c>
      <c r="AC11" s="64">
        <v>1722.3214134638999</v>
      </c>
      <c r="AD11" s="64">
        <v>1805.0133737911899</v>
      </c>
      <c r="AE11" s="64">
        <v>1822.3643684492399</v>
      </c>
      <c r="AF11" s="64">
        <v>1821.17693783092</v>
      </c>
      <c r="AG11" s="64">
        <v>2173.9127995137901</v>
      </c>
      <c r="AH11" s="64">
        <v>2035.8083909123</v>
      </c>
      <c r="AI11" s="64">
        <v>2055.0942287989501</v>
      </c>
      <c r="AJ11" s="64">
        <v>2182.3019098617701</v>
      </c>
      <c r="AK11" s="64">
        <v>2198.9947721007902</v>
      </c>
      <c r="AL11" s="64">
        <v>2298.3067650432899</v>
      </c>
      <c r="AM11" s="64">
        <v>2261.2246897535902</v>
      </c>
      <c r="AN11" s="64">
        <v>1989.9940835095299</v>
      </c>
    </row>
    <row r="12" spans="1:40" s="19" customFormat="1" ht="17.100000000000001" customHeight="1" x14ac:dyDescent="0.2">
      <c r="A12" s="37" t="s">
        <v>7</v>
      </c>
      <c r="B12" s="16">
        <v>560.01235689494604</v>
      </c>
      <c r="C12" s="16">
        <v>558.84313119249805</v>
      </c>
      <c r="D12" s="16">
        <v>534.29436959147995</v>
      </c>
      <c r="E12" s="16">
        <v>527.42633700888405</v>
      </c>
      <c r="F12" s="16">
        <v>479.184415867871</v>
      </c>
      <c r="G12" s="16">
        <v>476.202000834329</v>
      </c>
      <c r="H12" s="16">
        <v>409.42882837996501</v>
      </c>
      <c r="I12" s="16">
        <v>529.85544727471404</v>
      </c>
      <c r="J12" s="64">
        <v>623.64813660972095</v>
      </c>
      <c r="K12" s="64">
        <v>689.31776854239399</v>
      </c>
      <c r="L12" s="64">
        <v>798.60459027893899</v>
      </c>
      <c r="M12" s="64">
        <v>838.38009380449705</v>
      </c>
      <c r="N12" s="64">
        <v>850.91949363576305</v>
      </c>
      <c r="O12" s="64">
        <v>922.39699256412996</v>
      </c>
      <c r="P12" s="64">
        <v>869.98424340052395</v>
      </c>
      <c r="Q12" s="64">
        <v>806.52648346569504</v>
      </c>
      <c r="R12" s="64">
        <v>914.67671878709803</v>
      </c>
      <c r="S12" s="64">
        <v>878.79644596091202</v>
      </c>
      <c r="T12" s="64">
        <v>766.52053950129596</v>
      </c>
      <c r="U12" s="64">
        <v>768.63965590344696</v>
      </c>
      <c r="V12" s="64">
        <v>897.73944678150895</v>
      </c>
      <c r="W12" s="64">
        <v>815.15814710391999</v>
      </c>
      <c r="X12" s="64">
        <v>762.84503117507404</v>
      </c>
      <c r="Y12" s="64">
        <v>789.72907413280097</v>
      </c>
      <c r="Z12" s="64">
        <v>558.80887305107103</v>
      </c>
      <c r="AA12" s="64">
        <v>977.414988092984</v>
      </c>
      <c r="AB12" s="64">
        <v>1093.7615246272301</v>
      </c>
      <c r="AC12" s="64">
        <v>834.53175085324699</v>
      </c>
      <c r="AD12" s="64">
        <v>682.76399771252898</v>
      </c>
      <c r="AE12" s="64">
        <v>902.46263394230402</v>
      </c>
      <c r="AF12" s="64">
        <v>1017.37868121873</v>
      </c>
      <c r="AG12" s="64">
        <v>1025.8797206740201</v>
      </c>
      <c r="AH12" s="64">
        <v>746.17774274072599</v>
      </c>
      <c r="AI12" s="64">
        <v>1034.89199711225</v>
      </c>
      <c r="AJ12" s="64">
        <v>1479.41232290157</v>
      </c>
      <c r="AK12" s="64">
        <v>1154.3809688601</v>
      </c>
      <c r="AL12" s="64">
        <v>983.13197236639098</v>
      </c>
      <c r="AM12" s="64">
        <v>1242.2976724569301</v>
      </c>
      <c r="AN12" s="64">
        <v>1398.6136844054299</v>
      </c>
    </row>
    <row r="13" spans="1:40" s="54" customFormat="1" ht="17.100000000000001" customHeight="1" x14ac:dyDescent="0.2">
      <c r="A13" s="52" t="s">
        <v>82</v>
      </c>
      <c r="B13" s="53">
        <v>6555.4403950149208</v>
      </c>
      <c r="C13" s="53">
        <v>6955.0915291304555</v>
      </c>
      <c r="D13" s="53">
        <v>7409.3305241685648</v>
      </c>
      <c r="E13" s="53">
        <v>7348.9382511015774</v>
      </c>
      <c r="F13" s="53">
        <v>7525.0936205585531</v>
      </c>
      <c r="G13" s="53">
        <v>7626.6488945788369</v>
      </c>
      <c r="H13" s="53">
        <v>7995.4940335933316</v>
      </c>
      <c r="I13" s="53">
        <v>8463.5000995605587</v>
      </c>
      <c r="J13" s="74">
        <v>8635.9255185859602</v>
      </c>
      <c r="K13" s="74">
        <v>8693.6325176153678</v>
      </c>
      <c r="L13" s="74">
        <v>8903.8868402390945</v>
      </c>
      <c r="M13" s="74">
        <v>8918.1545818370359</v>
      </c>
      <c r="N13" s="74">
        <v>9274.3328544152664</v>
      </c>
      <c r="O13" s="74">
        <v>9785.5534829959197</v>
      </c>
      <c r="P13" s="74">
        <v>9528.9438690548614</v>
      </c>
      <c r="Q13" s="74">
        <v>8443.9991391582244</v>
      </c>
      <c r="R13" s="74">
        <v>9577.4239708999248</v>
      </c>
      <c r="S13" s="74">
        <v>10134.697452453966</v>
      </c>
      <c r="T13" s="74">
        <v>10296.504281271871</v>
      </c>
      <c r="U13" s="74">
        <v>10290.410901216615</v>
      </c>
      <c r="V13" s="74">
        <v>9859.2249416146587</v>
      </c>
      <c r="W13" s="74">
        <v>10711.880706123267</v>
      </c>
      <c r="X13" s="74">
        <v>11368.212221011814</v>
      </c>
      <c r="Y13" s="74">
        <v>11651.642613359332</v>
      </c>
      <c r="Z13" s="74">
        <v>11624.840636035195</v>
      </c>
      <c r="AA13" s="74">
        <v>11336.222136816748</v>
      </c>
      <c r="AB13" s="74">
        <v>11540.464190293336</v>
      </c>
      <c r="AC13" s="74">
        <v>12637.368200660763</v>
      </c>
      <c r="AD13" s="74">
        <v>12982.120453775326</v>
      </c>
      <c r="AE13" s="74">
        <v>12504.117133605825</v>
      </c>
      <c r="AF13" s="74">
        <v>12498.101678751409</v>
      </c>
      <c r="AG13" s="74">
        <v>12594.978455761659</v>
      </c>
      <c r="AH13" s="74">
        <v>13498.42603370683</v>
      </c>
      <c r="AI13" s="74">
        <v>13573.663934600047</v>
      </c>
      <c r="AJ13" s="74">
        <v>13964.035231572439</v>
      </c>
      <c r="AK13" s="74">
        <v>14273.439813497065</v>
      </c>
      <c r="AL13" s="74">
        <v>14525.954912081681</v>
      </c>
      <c r="AM13" s="74">
        <v>15283.99994572528</v>
      </c>
      <c r="AN13" s="74">
        <v>15695.083912879467</v>
      </c>
    </row>
    <row r="14" spans="1:40" s="19" customFormat="1" ht="17.100000000000001" customHeight="1" x14ac:dyDescent="0.2">
      <c r="A14" s="37" t="s">
        <v>9</v>
      </c>
      <c r="B14" s="16">
        <v>295.18193500946097</v>
      </c>
      <c r="C14" s="16">
        <v>357.22754136553101</v>
      </c>
      <c r="D14" s="16">
        <v>356.02452324426997</v>
      </c>
      <c r="E14" s="16">
        <v>338.34534813113902</v>
      </c>
      <c r="F14" s="16">
        <v>323.74010756800601</v>
      </c>
      <c r="G14" s="16">
        <v>319.58934755473899</v>
      </c>
      <c r="H14" s="16">
        <v>364.51651803079301</v>
      </c>
      <c r="I14" s="16">
        <v>521.14252240282099</v>
      </c>
      <c r="J14" s="64">
        <v>612.48103635339703</v>
      </c>
      <c r="K14" s="64">
        <v>511.742154688776</v>
      </c>
      <c r="L14" s="64">
        <v>613.16358896189399</v>
      </c>
      <c r="M14" s="64">
        <v>519.33515370187104</v>
      </c>
      <c r="N14" s="64">
        <v>540.65676403891803</v>
      </c>
      <c r="O14" s="64">
        <v>705.40149395762398</v>
      </c>
      <c r="P14" s="64">
        <v>601.96095784261695</v>
      </c>
      <c r="Q14" s="64">
        <v>442.90245946553699</v>
      </c>
      <c r="R14" s="64">
        <v>823.80232986539704</v>
      </c>
      <c r="S14" s="64">
        <v>812.85650595078005</v>
      </c>
      <c r="T14" s="64">
        <v>650.69630887354003</v>
      </c>
      <c r="U14" s="64">
        <v>540.16443331253697</v>
      </c>
      <c r="V14" s="64">
        <v>356.55217927892198</v>
      </c>
      <c r="W14" s="64">
        <v>525.81512285045301</v>
      </c>
      <c r="X14" s="64">
        <v>764.29761455916503</v>
      </c>
      <c r="Y14" s="64">
        <v>705.95541021342206</v>
      </c>
      <c r="Z14" s="64">
        <v>511.46303837525898</v>
      </c>
      <c r="AA14" s="64">
        <v>350.47496702334098</v>
      </c>
      <c r="AB14" s="64">
        <v>476.52269098441201</v>
      </c>
      <c r="AC14" s="64">
        <v>1356.3430409684499</v>
      </c>
      <c r="AD14" s="64">
        <v>1119.35077035995</v>
      </c>
      <c r="AE14" s="64">
        <v>649.64812972092398</v>
      </c>
      <c r="AF14" s="64">
        <v>478.95540586503103</v>
      </c>
      <c r="AG14" s="64">
        <v>274.58355234864501</v>
      </c>
      <c r="AH14" s="64">
        <v>656.54709312842101</v>
      </c>
      <c r="AI14" s="64">
        <v>918.351569471316</v>
      </c>
      <c r="AJ14" s="64">
        <v>624.29958332429305</v>
      </c>
      <c r="AK14" s="64">
        <v>419.729402336188</v>
      </c>
      <c r="AL14" s="64">
        <v>640.21231511785095</v>
      </c>
      <c r="AM14" s="64">
        <v>916.94033630957199</v>
      </c>
      <c r="AN14" s="64">
        <v>752.65675083218605</v>
      </c>
    </row>
    <row r="15" spans="1:40" s="19" customFormat="1" ht="17.100000000000001" customHeight="1" x14ac:dyDescent="0.2">
      <c r="A15" s="24" t="s">
        <v>10</v>
      </c>
      <c r="B15" s="16">
        <v>3847.1477466564902</v>
      </c>
      <c r="C15" s="16">
        <v>4097.7089050076002</v>
      </c>
      <c r="D15" s="16">
        <v>4482.7859256301699</v>
      </c>
      <c r="E15" s="16">
        <v>4428.0630193431398</v>
      </c>
      <c r="F15" s="16">
        <v>4573.73071582598</v>
      </c>
      <c r="G15" s="16">
        <v>4624.5067629628202</v>
      </c>
      <c r="H15" s="16">
        <v>4810.3586654541105</v>
      </c>
      <c r="I15" s="16">
        <v>5008.5690680790003</v>
      </c>
      <c r="J15" s="64">
        <v>4984.7899850866697</v>
      </c>
      <c r="K15" s="64">
        <v>5078.9826163896196</v>
      </c>
      <c r="L15" s="64">
        <v>5159.7227532081097</v>
      </c>
      <c r="M15" s="64">
        <v>5201.8383781647999</v>
      </c>
      <c r="N15" s="64">
        <v>5616.9335207718304</v>
      </c>
      <c r="O15" s="64">
        <v>5872.3090202289504</v>
      </c>
      <c r="P15" s="64">
        <v>5624.5657467072097</v>
      </c>
      <c r="Q15" s="64">
        <v>4953.39367951861</v>
      </c>
      <c r="R15" s="64">
        <v>5904.1090749079103</v>
      </c>
      <c r="S15" s="64">
        <v>6041.8928964750203</v>
      </c>
      <c r="T15" s="64">
        <v>6198.74184299432</v>
      </c>
      <c r="U15" s="64">
        <v>6231.5905367424202</v>
      </c>
      <c r="V15" s="64">
        <v>5868.3548110250704</v>
      </c>
      <c r="W15" s="64">
        <v>6548.07008374415</v>
      </c>
      <c r="X15" s="64">
        <v>6982.2114206583801</v>
      </c>
      <c r="Y15" s="64">
        <v>7254.8929086055496</v>
      </c>
      <c r="Z15" s="64">
        <v>7229.9648319998796</v>
      </c>
      <c r="AA15" s="64">
        <v>7204.5804421189596</v>
      </c>
      <c r="AB15" s="64">
        <v>7120.5449861040097</v>
      </c>
      <c r="AC15" s="64">
        <v>7090.40809773808</v>
      </c>
      <c r="AD15" s="64">
        <v>7627.9952061275799</v>
      </c>
      <c r="AE15" s="64">
        <v>7526.8050444537002</v>
      </c>
      <c r="AF15" s="64">
        <v>7700.49467445749</v>
      </c>
      <c r="AG15" s="64">
        <v>7934.0226550862399</v>
      </c>
      <c r="AH15" s="64">
        <v>8320.2621591697607</v>
      </c>
      <c r="AI15" s="64">
        <v>7835.03060036443</v>
      </c>
      <c r="AJ15" s="64">
        <v>8277.8551238168493</v>
      </c>
      <c r="AK15" s="64">
        <v>8556.7744759256402</v>
      </c>
      <c r="AL15" s="64">
        <v>8725.7217159898501</v>
      </c>
      <c r="AM15" s="64">
        <v>8941.1411459161991</v>
      </c>
      <c r="AN15" s="64">
        <v>9269.2394480740695</v>
      </c>
    </row>
    <row r="16" spans="1:40" s="19" customFormat="1" ht="17.100000000000001" customHeight="1" x14ac:dyDescent="0.2">
      <c r="A16" s="24" t="s">
        <v>11</v>
      </c>
      <c r="B16" s="16">
        <v>309.79080762201198</v>
      </c>
      <c r="C16" s="16">
        <v>321.18572686807198</v>
      </c>
      <c r="D16" s="16">
        <v>377.20117309708502</v>
      </c>
      <c r="E16" s="16">
        <v>371.24632613713402</v>
      </c>
      <c r="F16" s="16">
        <v>380.75482564808601</v>
      </c>
      <c r="G16" s="16">
        <v>381.23681230885899</v>
      </c>
      <c r="H16" s="16">
        <v>393.870381947743</v>
      </c>
      <c r="I16" s="16">
        <v>390.48777002379001</v>
      </c>
      <c r="J16" s="64">
        <v>428.997436724696</v>
      </c>
      <c r="K16" s="64">
        <v>427.55921106790498</v>
      </c>
      <c r="L16" s="64">
        <v>433.31422504310802</v>
      </c>
      <c r="M16" s="64">
        <v>452.431950044828</v>
      </c>
      <c r="N16" s="64">
        <v>478.56974274847198</v>
      </c>
      <c r="O16" s="64">
        <v>494.25493903329499</v>
      </c>
      <c r="P16" s="64">
        <v>509.09208469389</v>
      </c>
      <c r="Q16" s="64">
        <v>449.509887541382</v>
      </c>
      <c r="R16" s="64">
        <v>520.420602288841</v>
      </c>
      <c r="S16" s="64">
        <v>533.64276583768401</v>
      </c>
      <c r="T16" s="64">
        <v>539.78664745425704</v>
      </c>
      <c r="U16" s="64">
        <v>539.90444264423502</v>
      </c>
      <c r="V16" s="64">
        <v>535.66682028225398</v>
      </c>
      <c r="W16" s="64">
        <v>543.25081136484096</v>
      </c>
      <c r="X16" s="64">
        <v>548.34002535330603</v>
      </c>
      <c r="Y16" s="64">
        <v>552.76820821450997</v>
      </c>
      <c r="Z16" s="64">
        <v>580.88815331031799</v>
      </c>
      <c r="AA16" s="64">
        <v>536.12365976105605</v>
      </c>
      <c r="AB16" s="64">
        <v>534.82886472642099</v>
      </c>
      <c r="AC16" s="64">
        <v>535.976526178119</v>
      </c>
      <c r="AD16" s="64">
        <v>553.30273637162497</v>
      </c>
      <c r="AE16" s="64">
        <v>545.43278700858002</v>
      </c>
      <c r="AF16" s="64">
        <v>546.70978960709795</v>
      </c>
      <c r="AG16" s="64">
        <v>557.521061946283</v>
      </c>
      <c r="AH16" s="64">
        <v>575.66957842305806</v>
      </c>
      <c r="AI16" s="64">
        <v>594.49922948211997</v>
      </c>
      <c r="AJ16" s="64">
        <v>608.56927093999798</v>
      </c>
      <c r="AK16" s="64">
        <v>611.88830007321701</v>
      </c>
      <c r="AL16" s="64">
        <v>690.25407087494898</v>
      </c>
      <c r="AM16" s="64">
        <v>626.37388626846996</v>
      </c>
      <c r="AN16" s="64">
        <v>637.333355457881</v>
      </c>
    </row>
    <row r="17" spans="1:40" s="19" customFormat="1" ht="17.100000000000001" customHeight="1" x14ac:dyDescent="0.2">
      <c r="A17" s="24" t="s">
        <v>12</v>
      </c>
      <c r="B17" s="16">
        <v>613.32428193670796</v>
      </c>
      <c r="C17" s="16">
        <v>624.96666535225199</v>
      </c>
      <c r="D17" s="16">
        <v>651.32316365218003</v>
      </c>
      <c r="E17" s="16">
        <v>687.29735775385495</v>
      </c>
      <c r="F17" s="16">
        <v>697.26490715819102</v>
      </c>
      <c r="G17" s="16">
        <v>712.82640604397898</v>
      </c>
      <c r="H17" s="16">
        <v>722.29755277279503</v>
      </c>
      <c r="I17" s="16">
        <v>752.95843761665697</v>
      </c>
      <c r="J17" s="64">
        <v>750.31274067750701</v>
      </c>
      <c r="K17" s="64">
        <v>746.98386650815701</v>
      </c>
      <c r="L17" s="64">
        <v>742.44040457701306</v>
      </c>
      <c r="M17" s="64">
        <v>745.22945659542802</v>
      </c>
      <c r="N17" s="64">
        <v>754.579273441326</v>
      </c>
      <c r="O17" s="64">
        <v>777.21494219289104</v>
      </c>
      <c r="P17" s="64">
        <v>788.45396383472496</v>
      </c>
      <c r="Q17" s="64">
        <v>799.626640491486</v>
      </c>
      <c r="R17" s="64">
        <v>798.71667569434703</v>
      </c>
      <c r="S17" s="64">
        <v>804.10943539323102</v>
      </c>
      <c r="T17" s="64">
        <v>820.13368913785496</v>
      </c>
      <c r="U17" s="64">
        <v>835.12764826431305</v>
      </c>
      <c r="V17" s="64">
        <v>847.19384080908299</v>
      </c>
      <c r="W17" s="64">
        <v>861.478455777514</v>
      </c>
      <c r="X17" s="64">
        <v>879.77190501423297</v>
      </c>
      <c r="Y17" s="64">
        <v>898.02444141748094</v>
      </c>
      <c r="Z17" s="64">
        <v>945.46880525861798</v>
      </c>
      <c r="AA17" s="64">
        <v>958.88689091647302</v>
      </c>
      <c r="AB17" s="64">
        <v>986.185648870764</v>
      </c>
      <c r="AC17" s="64">
        <v>991.681301679635</v>
      </c>
      <c r="AD17" s="64">
        <v>1053.14740401418</v>
      </c>
      <c r="AE17" s="64">
        <v>1057.91777077035</v>
      </c>
      <c r="AF17" s="64">
        <v>1077.1853502501999</v>
      </c>
      <c r="AG17" s="64">
        <v>1117.2098080492499</v>
      </c>
      <c r="AH17" s="64">
        <v>1146.7354278601699</v>
      </c>
      <c r="AI17" s="64">
        <v>1201.9035993268001</v>
      </c>
      <c r="AJ17" s="64">
        <v>1235.9899412688701</v>
      </c>
      <c r="AK17" s="64">
        <v>1261.9433808766701</v>
      </c>
      <c r="AL17" s="64">
        <v>1274.9354440095799</v>
      </c>
      <c r="AM17" s="64">
        <v>1273.7511991802301</v>
      </c>
      <c r="AN17" s="64">
        <v>1370.5208760104899</v>
      </c>
    </row>
    <row r="18" spans="1:40" s="19" customFormat="1" ht="17.100000000000001" customHeight="1" x14ac:dyDescent="0.2">
      <c r="A18" s="37" t="s">
        <v>87</v>
      </c>
      <c r="B18" s="16">
        <v>1489.99562379025</v>
      </c>
      <c r="C18" s="16">
        <v>1554.002690537</v>
      </c>
      <c r="D18" s="16">
        <v>1541.9957385448599</v>
      </c>
      <c r="E18" s="16">
        <v>1523.98619973631</v>
      </c>
      <c r="F18" s="16">
        <v>1549.6030643582901</v>
      </c>
      <c r="G18" s="16">
        <v>1588.4895657084401</v>
      </c>
      <c r="H18" s="16">
        <v>1704.4509153878901</v>
      </c>
      <c r="I18" s="16">
        <v>1790.34230143829</v>
      </c>
      <c r="J18" s="64">
        <v>1859.34431974369</v>
      </c>
      <c r="K18" s="64">
        <v>1928.36466896091</v>
      </c>
      <c r="L18" s="64">
        <v>1955.24586844897</v>
      </c>
      <c r="M18" s="64">
        <v>1999.31964333011</v>
      </c>
      <c r="N18" s="64">
        <v>1883.59355341472</v>
      </c>
      <c r="O18" s="64">
        <v>1936.37308758316</v>
      </c>
      <c r="P18" s="64">
        <v>2004.87111597642</v>
      </c>
      <c r="Q18" s="64">
        <v>1798.5664721412099</v>
      </c>
      <c r="R18" s="64">
        <v>1530.37528814343</v>
      </c>
      <c r="S18" s="64">
        <v>1942.1958487972499</v>
      </c>
      <c r="T18" s="64">
        <v>2087.1457928118998</v>
      </c>
      <c r="U18" s="64">
        <v>2143.6238402531098</v>
      </c>
      <c r="V18" s="64">
        <v>2251.4572902193299</v>
      </c>
      <c r="W18" s="64">
        <v>2233.2662323863101</v>
      </c>
      <c r="X18" s="64">
        <v>2193.5912554267302</v>
      </c>
      <c r="Y18" s="64">
        <v>2240.0016449083701</v>
      </c>
      <c r="Z18" s="64">
        <v>2357.0558070911202</v>
      </c>
      <c r="AA18" s="64">
        <v>2286.1561769969198</v>
      </c>
      <c r="AB18" s="64">
        <v>2422.38199960773</v>
      </c>
      <c r="AC18" s="64">
        <v>2662.95923409648</v>
      </c>
      <c r="AD18" s="64">
        <v>2628.3243369019901</v>
      </c>
      <c r="AE18" s="64">
        <v>2724.3134016522699</v>
      </c>
      <c r="AF18" s="64">
        <v>2694.75645857159</v>
      </c>
      <c r="AG18" s="64">
        <v>2711.64137833124</v>
      </c>
      <c r="AH18" s="64">
        <v>2799.21177512542</v>
      </c>
      <c r="AI18" s="64">
        <v>3023.8789359553798</v>
      </c>
      <c r="AJ18" s="64">
        <v>3217.3213122224302</v>
      </c>
      <c r="AK18" s="64">
        <v>3423.1042542853502</v>
      </c>
      <c r="AL18" s="64">
        <v>3194.8313660894501</v>
      </c>
      <c r="AM18" s="64">
        <v>3525.7933780508101</v>
      </c>
      <c r="AN18" s="64">
        <v>3665.33348250484</v>
      </c>
    </row>
    <row r="19" spans="1:40" s="54" customFormat="1" ht="17.100000000000001" customHeight="1" x14ac:dyDescent="0.2">
      <c r="A19" s="52" t="s">
        <v>83</v>
      </c>
      <c r="B19" s="53">
        <v>11196.911619895101</v>
      </c>
      <c r="C19" s="53">
        <v>11540.925474247566</v>
      </c>
      <c r="D19" s="53">
        <v>11980.248526146441</v>
      </c>
      <c r="E19" s="53">
        <v>12489.032857775683</v>
      </c>
      <c r="F19" s="53">
        <v>12669.987988442108</v>
      </c>
      <c r="G19" s="53">
        <v>12725.535374968234</v>
      </c>
      <c r="H19" s="53">
        <v>13195.6925559478</v>
      </c>
      <c r="I19" s="53">
        <v>13624.607310831099</v>
      </c>
      <c r="J19" s="74">
        <v>13772.445684484852</v>
      </c>
      <c r="K19" s="74">
        <v>13956.270220108803</v>
      </c>
      <c r="L19" s="74">
        <v>14315.927740301944</v>
      </c>
      <c r="M19" s="74">
        <v>14745.588331856947</v>
      </c>
      <c r="N19" s="74">
        <v>15440.431284862982</v>
      </c>
      <c r="O19" s="74">
        <v>15595.432695348147</v>
      </c>
      <c r="P19" s="74">
        <v>14948.290538815927</v>
      </c>
      <c r="Q19" s="74">
        <v>13828.881971556595</v>
      </c>
      <c r="R19" s="74">
        <v>15141.395951568074</v>
      </c>
      <c r="S19" s="74">
        <v>15268.328537212683</v>
      </c>
      <c r="T19" s="74">
        <v>15869.275563606785</v>
      </c>
      <c r="U19" s="74">
        <v>15766.707807570558</v>
      </c>
      <c r="V19" s="74">
        <v>15802.970659231099</v>
      </c>
      <c r="W19" s="74">
        <v>16755.259248028116</v>
      </c>
      <c r="X19" s="74">
        <v>17484.11283248584</v>
      </c>
      <c r="Y19" s="74">
        <v>17738.752742388831</v>
      </c>
      <c r="Z19" s="74">
        <v>18962.569341573588</v>
      </c>
      <c r="AA19" s="74">
        <v>19158.132571692731</v>
      </c>
      <c r="AB19" s="74">
        <v>19007.375774709621</v>
      </c>
      <c r="AC19" s="74">
        <v>20633.724863556392</v>
      </c>
      <c r="AD19" s="74">
        <v>21320.523661119259</v>
      </c>
      <c r="AE19" s="74">
        <v>21970.961297433179</v>
      </c>
      <c r="AF19" s="74">
        <v>22006.388966174491</v>
      </c>
      <c r="AG19" s="74">
        <v>22523.464884655215</v>
      </c>
      <c r="AH19" s="74">
        <v>23498.450983039795</v>
      </c>
      <c r="AI19" s="74">
        <v>23469.49880102012</v>
      </c>
      <c r="AJ19" s="74">
        <v>24539.800486919517</v>
      </c>
      <c r="AK19" s="74">
        <v>24435.016711566263</v>
      </c>
      <c r="AL19" s="74">
        <v>25265.608964836112</v>
      </c>
      <c r="AM19" s="74">
        <v>26452.376656226945</v>
      </c>
      <c r="AN19" s="74">
        <v>26482.400656303962</v>
      </c>
    </row>
    <row r="20" spans="1:40" s="19" customFormat="1" ht="17.100000000000001" customHeight="1" x14ac:dyDescent="0.2">
      <c r="A20" s="38" t="s">
        <v>64</v>
      </c>
      <c r="B20" s="16">
        <v>2206.6959100142399</v>
      </c>
      <c r="C20" s="16">
        <v>2382.3972503264599</v>
      </c>
      <c r="D20" s="16">
        <v>2519.4045967187199</v>
      </c>
      <c r="E20" s="16">
        <v>2711.3285264508299</v>
      </c>
      <c r="F20" s="16">
        <v>2643.06345872062</v>
      </c>
      <c r="G20" s="16">
        <v>2490.2805205989398</v>
      </c>
      <c r="H20" s="16">
        <v>2780.3062058875798</v>
      </c>
      <c r="I20" s="16">
        <v>2998.5456881168702</v>
      </c>
      <c r="J20" s="64">
        <v>2779.9116547277899</v>
      </c>
      <c r="K20" s="64">
        <v>2909.74196485414</v>
      </c>
      <c r="L20" s="64">
        <v>2871.7449506330199</v>
      </c>
      <c r="M20" s="64">
        <v>2858.94449815082</v>
      </c>
      <c r="N20" s="64">
        <v>2965.4972303303898</v>
      </c>
      <c r="O20" s="64">
        <v>3120.3753093974401</v>
      </c>
      <c r="P20" s="64">
        <v>2949.69220503412</v>
      </c>
      <c r="Q20" s="64">
        <v>2736.54421077285</v>
      </c>
      <c r="R20" s="64">
        <v>2878.2937045611998</v>
      </c>
      <c r="S20" s="64">
        <v>2976.0205149332801</v>
      </c>
      <c r="T20" s="64">
        <v>2974.43528690724</v>
      </c>
      <c r="U20" s="64">
        <v>2944.7980942266699</v>
      </c>
      <c r="V20" s="64">
        <v>2765.0875840723202</v>
      </c>
      <c r="W20" s="64">
        <v>3216.60653229134</v>
      </c>
      <c r="X20" s="64">
        <v>3711.5666346882899</v>
      </c>
      <c r="Y20" s="64">
        <v>3998.4534565319</v>
      </c>
      <c r="Z20" s="64">
        <v>3824.2164006614798</v>
      </c>
      <c r="AA20" s="64">
        <v>3918.3382284386098</v>
      </c>
      <c r="AB20" s="64">
        <v>4195.5453743999497</v>
      </c>
      <c r="AC20" s="64">
        <v>4836.8564467166598</v>
      </c>
      <c r="AD20" s="64">
        <v>5074.9138463619602</v>
      </c>
      <c r="AE20" s="64">
        <v>4718.2516088975699</v>
      </c>
      <c r="AF20" s="64">
        <v>4747.88563184334</v>
      </c>
      <c r="AG20" s="64">
        <v>4726.5122633101</v>
      </c>
      <c r="AH20" s="64">
        <v>5597.5342358621501</v>
      </c>
      <c r="AI20" s="64">
        <v>5372.4737380381002</v>
      </c>
      <c r="AJ20" s="64">
        <v>5446.9730379969496</v>
      </c>
      <c r="AK20" s="64">
        <v>5448.3185003488898</v>
      </c>
      <c r="AL20" s="64">
        <v>5847.9294004450703</v>
      </c>
      <c r="AM20" s="64">
        <v>6550.9034295370902</v>
      </c>
      <c r="AN20" s="64">
        <v>5907.8436194796304</v>
      </c>
    </row>
    <row r="21" spans="1:40" s="19" customFormat="1" ht="17.100000000000001" customHeight="1" x14ac:dyDescent="0.2">
      <c r="A21" s="38" t="s">
        <v>65</v>
      </c>
      <c r="B21" s="16">
        <v>849.33629303323903</v>
      </c>
      <c r="C21" s="16">
        <v>895.661798833288</v>
      </c>
      <c r="D21" s="16">
        <v>922.98139323010798</v>
      </c>
      <c r="E21" s="16">
        <v>957.85395399633501</v>
      </c>
      <c r="F21" s="16">
        <v>995.72853821416004</v>
      </c>
      <c r="G21" s="16">
        <v>997.715353129047</v>
      </c>
      <c r="H21" s="16">
        <v>1048.13117018202</v>
      </c>
      <c r="I21" s="16">
        <v>1074.84694503899</v>
      </c>
      <c r="J21" s="64">
        <v>1094.3945448654699</v>
      </c>
      <c r="K21" s="64">
        <v>1080.2295890990699</v>
      </c>
      <c r="L21" s="64">
        <v>1131.4483982857</v>
      </c>
      <c r="M21" s="64">
        <v>1215.68613194626</v>
      </c>
      <c r="N21" s="64">
        <v>1304.4959507168601</v>
      </c>
      <c r="O21" s="64">
        <v>1225.2959104623901</v>
      </c>
      <c r="P21" s="64">
        <v>1166.8773974170699</v>
      </c>
      <c r="Q21" s="64">
        <v>1085.57621308904</v>
      </c>
      <c r="R21" s="64">
        <v>1338.0368722579301</v>
      </c>
      <c r="S21" s="64">
        <v>1171.9281898832401</v>
      </c>
      <c r="T21" s="64">
        <v>1111.43522637111</v>
      </c>
      <c r="U21" s="64">
        <v>1174.9244826444899</v>
      </c>
      <c r="V21" s="64">
        <v>1208.24890657274</v>
      </c>
      <c r="W21" s="64">
        <v>1295.6766483930701</v>
      </c>
      <c r="X21" s="64">
        <v>1307.08522658431</v>
      </c>
      <c r="Y21" s="64">
        <v>1360.8999058729601</v>
      </c>
      <c r="Z21" s="64">
        <v>1452.6531154986201</v>
      </c>
      <c r="AA21" s="64">
        <v>1612.92419148317</v>
      </c>
      <c r="AB21" s="64">
        <v>1690.0633412842899</v>
      </c>
      <c r="AC21" s="64">
        <v>1705.75867240357</v>
      </c>
      <c r="AD21" s="64">
        <v>1734.8959197751001</v>
      </c>
      <c r="AE21" s="64">
        <v>1823.5300729368901</v>
      </c>
      <c r="AF21" s="64">
        <v>1946.3412787416401</v>
      </c>
      <c r="AG21" s="64">
        <v>2050.9678249496901</v>
      </c>
      <c r="AH21" s="64">
        <v>2105.12071910756</v>
      </c>
      <c r="AI21" s="64">
        <v>2092.2915507000198</v>
      </c>
      <c r="AJ21" s="64">
        <v>2218.14591925175</v>
      </c>
      <c r="AK21" s="64">
        <v>2237.8088330036899</v>
      </c>
      <c r="AL21" s="64">
        <v>2192.9005979804801</v>
      </c>
      <c r="AM21" s="64">
        <v>2254.1238934124899</v>
      </c>
      <c r="AN21" s="64">
        <v>2354.1323586365502</v>
      </c>
    </row>
    <row r="22" spans="1:40" s="19" customFormat="1" ht="17.100000000000001" customHeight="1" x14ac:dyDescent="0.2">
      <c r="A22" s="38" t="s">
        <v>66</v>
      </c>
      <c r="B22" s="16">
        <v>718.49072509804898</v>
      </c>
      <c r="C22" s="16">
        <v>784.51820051046298</v>
      </c>
      <c r="D22" s="16">
        <v>825.02442477206205</v>
      </c>
      <c r="E22" s="16">
        <v>892.44200939806694</v>
      </c>
      <c r="F22" s="16">
        <v>921.26529600864797</v>
      </c>
      <c r="G22" s="16">
        <v>913.62362235102398</v>
      </c>
      <c r="H22" s="16">
        <v>914.35544013776996</v>
      </c>
      <c r="I22" s="16">
        <v>914.407514825406</v>
      </c>
      <c r="J22" s="64">
        <v>944.47113746399395</v>
      </c>
      <c r="K22" s="64">
        <v>931.52290310067497</v>
      </c>
      <c r="L22" s="64">
        <v>957.116456430212</v>
      </c>
      <c r="M22" s="64">
        <v>979.237843019411</v>
      </c>
      <c r="N22" s="64">
        <v>1078.7876057051401</v>
      </c>
      <c r="O22" s="64">
        <v>1075.7192513967</v>
      </c>
      <c r="P22" s="64">
        <v>991.05725588398798</v>
      </c>
      <c r="Q22" s="64">
        <v>497.27800554647501</v>
      </c>
      <c r="R22" s="64">
        <v>813.29581806338899</v>
      </c>
      <c r="S22" s="64">
        <v>827.91053453191705</v>
      </c>
      <c r="T22" s="64">
        <v>1006.71615901106</v>
      </c>
      <c r="U22" s="64">
        <v>889.94806229655296</v>
      </c>
      <c r="V22" s="64">
        <v>860.388665569301</v>
      </c>
      <c r="W22" s="64">
        <v>1006.54433283529</v>
      </c>
      <c r="X22" s="64">
        <v>871.17776200404705</v>
      </c>
      <c r="Y22" s="64">
        <v>842.383890131106</v>
      </c>
      <c r="Z22" s="64">
        <v>891.74925454785205</v>
      </c>
      <c r="AA22" s="64">
        <v>1009.9839751201</v>
      </c>
      <c r="AB22" s="64">
        <v>995.76025855551995</v>
      </c>
      <c r="AC22" s="64">
        <v>1101.88873988465</v>
      </c>
      <c r="AD22" s="64">
        <v>1093.1361324959901</v>
      </c>
      <c r="AE22" s="64">
        <v>1038.9709696069001</v>
      </c>
      <c r="AF22" s="64">
        <v>1194.2181526648301</v>
      </c>
      <c r="AG22" s="64">
        <v>1381.86063576023</v>
      </c>
      <c r="AH22" s="64">
        <v>1309.2911828153301</v>
      </c>
      <c r="AI22" s="64">
        <v>1353.38290514768</v>
      </c>
      <c r="AJ22" s="64">
        <v>1460.5041102630801</v>
      </c>
      <c r="AK22" s="64">
        <v>1198.45715557224</v>
      </c>
      <c r="AL22" s="64">
        <v>1611.7020277888601</v>
      </c>
      <c r="AM22" s="64">
        <v>1665.9728266380801</v>
      </c>
      <c r="AN22" s="64">
        <v>1583.94510482243</v>
      </c>
    </row>
    <row r="23" spans="1:40" s="19" customFormat="1" ht="17.100000000000001" customHeight="1" x14ac:dyDescent="0.2">
      <c r="A23" s="38" t="s">
        <v>67</v>
      </c>
      <c r="B23" s="16">
        <v>555.54787948763999</v>
      </c>
      <c r="C23" s="16">
        <v>540.17442723072497</v>
      </c>
      <c r="D23" s="16">
        <v>535.62560967720799</v>
      </c>
      <c r="E23" s="16">
        <v>497.81272713231402</v>
      </c>
      <c r="F23" s="16">
        <v>455.41301492719498</v>
      </c>
      <c r="G23" s="16">
        <v>459.340017156275</v>
      </c>
      <c r="H23" s="16">
        <v>502.21666339313703</v>
      </c>
      <c r="I23" s="16">
        <v>546.67514567746196</v>
      </c>
      <c r="J23" s="64">
        <v>561.74306626499902</v>
      </c>
      <c r="K23" s="64">
        <v>587.21900669317995</v>
      </c>
      <c r="L23" s="64">
        <v>610.84273615371899</v>
      </c>
      <c r="M23" s="64">
        <v>636.43453473319596</v>
      </c>
      <c r="N23" s="64">
        <v>674.00216480074096</v>
      </c>
      <c r="O23" s="64">
        <v>681.021618024791</v>
      </c>
      <c r="P23" s="64">
        <v>616.39409743943702</v>
      </c>
      <c r="Q23" s="64">
        <v>582.14839775816802</v>
      </c>
      <c r="R23" s="64">
        <v>613.390225602437</v>
      </c>
      <c r="S23" s="64">
        <v>639.56027272680501</v>
      </c>
      <c r="T23" s="64">
        <v>697.966310883083</v>
      </c>
      <c r="U23" s="64">
        <v>727.42762728795901</v>
      </c>
      <c r="V23" s="64">
        <v>676.51576424410905</v>
      </c>
      <c r="W23" s="64">
        <v>684.70304108180596</v>
      </c>
      <c r="X23" s="64">
        <v>702.73501863401896</v>
      </c>
      <c r="Y23" s="64">
        <v>682.86672549384298</v>
      </c>
      <c r="Z23" s="64">
        <v>622.70944203768295</v>
      </c>
      <c r="AA23" s="64">
        <v>621.28030855308702</v>
      </c>
      <c r="AB23" s="64">
        <v>718.09954524697798</v>
      </c>
      <c r="AC23" s="64">
        <v>864.96667819106699</v>
      </c>
      <c r="AD23" s="64">
        <v>1099.7512183205399</v>
      </c>
      <c r="AE23" s="64">
        <v>1168.8645963449401</v>
      </c>
      <c r="AF23" s="64">
        <v>1154.4798568763399</v>
      </c>
      <c r="AG23" s="64">
        <v>1000.75961064795</v>
      </c>
      <c r="AH23" s="64">
        <v>1214.1659131639401</v>
      </c>
      <c r="AI23" s="64">
        <v>1063.8906706395001</v>
      </c>
      <c r="AJ23" s="64">
        <v>1198.57769474363</v>
      </c>
      <c r="AK23" s="64">
        <v>1016.90740893236</v>
      </c>
      <c r="AL23" s="64">
        <v>1097.0257086588999</v>
      </c>
      <c r="AM23" s="64">
        <v>1109.0650171892601</v>
      </c>
      <c r="AN23" s="64">
        <v>1396.6453493342101</v>
      </c>
    </row>
    <row r="24" spans="1:40" s="19" customFormat="1" ht="17.100000000000001" customHeight="1" x14ac:dyDescent="0.2">
      <c r="A24" s="38" t="s">
        <v>68</v>
      </c>
      <c r="B24" s="16">
        <v>682.60412361610304</v>
      </c>
      <c r="C24" s="16">
        <v>671.11250970020296</v>
      </c>
      <c r="D24" s="16">
        <v>757.93050700921697</v>
      </c>
      <c r="E24" s="16">
        <v>761.16457771019998</v>
      </c>
      <c r="F24" s="16">
        <v>751.73433936582205</v>
      </c>
      <c r="G24" s="16">
        <v>784.81572929145898</v>
      </c>
      <c r="H24" s="16">
        <v>752.22081963366998</v>
      </c>
      <c r="I24" s="16">
        <v>780.70370155815499</v>
      </c>
      <c r="J24" s="64">
        <v>753.34326976360205</v>
      </c>
      <c r="K24" s="64">
        <v>814.29523053909804</v>
      </c>
      <c r="L24" s="64">
        <v>898.25693916743899</v>
      </c>
      <c r="M24" s="64">
        <v>1002.08096220706</v>
      </c>
      <c r="N24" s="64">
        <v>1048.41696582752</v>
      </c>
      <c r="O24" s="64">
        <v>1073.4049549871299</v>
      </c>
      <c r="P24" s="64">
        <v>974.49993671667198</v>
      </c>
      <c r="Q24" s="64">
        <v>715.94916065798895</v>
      </c>
      <c r="R24" s="64">
        <v>1076.5529135592101</v>
      </c>
      <c r="S24" s="64">
        <v>964.56333649633405</v>
      </c>
      <c r="T24" s="64">
        <v>1063.73138556046</v>
      </c>
      <c r="U24" s="64">
        <v>1001.66693007018</v>
      </c>
      <c r="V24" s="64">
        <v>1095.2552561862601</v>
      </c>
      <c r="W24" s="64">
        <v>1080.29460554757</v>
      </c>
      <c r="X24" s="64">
        <v>1255.5013385775201</v>
      </c>
      <c r="Y24" s="64">
        <v>1242.02873334171</v>
      </c>
      <c r="Z24" s="64">
        <v>1285.2605214945199</v>
      </c>
      <c r="AA24" s="64">
        <v>1481.26609682771</v>
      </c>
      <c r="AB24" s="64">
        <v>932.22365510782902</v>
      </c>
      <c r="AC24" s="64">
        <v>1431.5138183788199</v>
      </c>
      <c r="AD24" s="64">
        <v>1339.5760061855899</v>
      </c>
      <c r="AE24" s="64">
        <v>1406.9263028732</v>
      </c>
      <c r="AF24" s="64">
        <v>1375.0289229095599</v>
      </c>
      <c r="AG24" s="64">
        <v>1445.24877533413</v>
      </c>
      <c r="AH24" s="64">
        <v>1501.97598385074</v>
      </c>
      <c r="AI24" s="64">
        <v>1447.51022716292</v>
      </c>
      <c r="AJ24" s="64">
        <v>1510.3844896937701</v>
      </c>
      <c r="AK24" s="64">
        <v>1551.9634893934999</v>
      </c>
      <c r="AL24" s="64">
        <v>1662.9805721729799</v>
      </c>
      <c r="AM24" s="64">
        <v>1619.7725890730101</v>
      </c>
      <c r="AN24" s="64">
        <v>1664.18315527035</v>
      </c>
    </row>
    <row r="25" spans="1:40" s="19" customFormat="1" ht="17.100000000000001" customHeight="1" x14ac:dyDescent="0.2">
      <c r="A25" s="38" t="s">
        <v>20</v>
      </c>
      <c r="B25" s="16">
        <v>1566.9542218358199</v>
      </c>
      <c r="C25" s="16">
        <v>1600.59870946656</v>
      </c>
      <c r="D25" s="16">
        <v>1642.8219788909901</v>
      </c>
      <c r="E25" s="16">
        <v>1705.6226482551699</v>
      </c>
      <c r="F25" s="16">
        <v>1763.66473492502</v>
      </c>
      <c r="G25" s="16">
        <v>1845.07793131787</v>
      </c>
      <c r="H25" s="16">
        <v>1878.6310659231899</v>
      </c>
      <c r="I25" s="16">
        <v>1936.6025291795099</v>
      </c>
      <c r="J25" s="64">
        <v>2030.73105386778</v>
      </c>
      <c r="K25" s="64">
        <v>2063.7892157566698</v>
      </c>
      <c r="L25" s="64">
        <v>2101.3268461818502</v>
      </c>
      <c r="M25" s="64">
        <v>2096.0839741234299</v>
      </c>
      <c r="N25" s="64">
        <v>2180.0490828111601</v>
      </c>
      <c r="O25" s="64">
        <v>2155.3569751802102</v>
      </c>
      <c r="P25" s="64">
        <v>2275.3867844403699</v>
      </c>
      <c r="Q25" s="64">
        <v>2294.93013747953</v>
      </c>
      <c r="R25" s="64">
        <v>2278.9365043520402</v>
      </c>
      <c r="S25" s="64">
        <v>2287.83765085188</v>
      </c>
      <c r="T25" s="64">
        <v>2317.28559553384</v>
      </c>
      <c r="U25" s="64">
        <v>2386.9737352809602</v>
      </c>
      <c r="V25" s="64">
        <v>2451.92436477295</v>
      </c>
      <c r="W25" s="64">
        <v>2530.1000355622</v>
      </c>
      <c r="X25" s="64">
        <v>2579.3512281226099</v>
      </c>
      <c r="Y25" s="64">
        <v>2649.9962540025799</v>
      </c>
      <c r="Z25" s="64">
        <v>2726.7026349044099</v>
      </c>
      <c r="AA25" s="64">
        <v>2775.1791549282698</v>
      </c>
      <c r="AB25" s="64">
        <v>2807.15499512922</v>
      </c>
      <c r="AC25" s="64">
        <v>2897.00053955884</v>
      </c>
      <c r="AD25" s="64">
        <v>2957.77494567032</v>
      </c>
      <c r="AE25" s="64">
        <v>3030.6896002426001</v>
      </c>
      <c r="AF25" s="64">
        <v>3069.60572196874</v>
      </c>
      <c r="AG25" s="64">
        <v>3099.9639665147001</v>
      </c>
      <c r="AH25" s="64">
        <v>3125.1618751894998</v>
      </c>
      <c r="AI25" s="64">
        <v>3189.2045418072198</v>
      </c>
      <c r="AJ25" s="64">
        <v>3316.81456314259</v>
      </c>
      <c r="AK25" s="64">
        <v>3337.4246019378602</v>
      </c>
      <c r="AL25" s="64">
        <v>3391.6562025840399</v>
      </c>
      <c r="AM25" s="64">
        <v>3391.0961710633401</v>
      </c>
      <c r="AN25" s="64">
        <v>3526.6695969523198</v>
      </c>
    </row>
    <row r="26" spans="1:40" s="19" customFormat="1" ht="17.100000000000001" customHeight="1" x14ac:dyDescent="0.2">
      <c r="A26" s="38" t="s">
        <v>70</v>
      </c>
      <c r="B26" s="16">
        <v>637.73287963254302</v>
      </c>
      <c r="C26" s="16">
        <v>578.36441423769702</v>
      </c>
      <c r="D26" s="16">
        <v>550.965588370163</v>
      </c>
      <c r="E26" s="16">
        <v>566.99292026142905</v>
      </c>
      <c r="F26" s="16">
        <v>638.21553682636795</v>
      </c>
      <c r="G26" s="16">
        <v>635.79288662966201</v>
      </c>
      <c r="H26" s="16">
        <v>646.20205809580102</v>
      </c>
      <c r="I26" s="16">
        <v>675.59983510032998</v>
      </c>
      <c r="J26" s="64">
        <v>651.81185243417201</v>
      </c>
      <c r="K26" s="64">
        <v>601.10456936697005</v>
      </c>
      <c r="L26" s="64">
        <v>696.45292122060903</v>
      </c>
      <c r="M26" s="64">
        <v>790.36320106131404</v>
      </c>
      <c r="N26" s="64">
        <v>897.966202396825</v>
      </c>
      <c r="O26" s="64">
        <v>799.57181511462204</v>
      </c>
      <c r="P26" s="64">
        <v>532.94986822644705</v>
      </c>
      <c r="Q26" s="64">
        <v>658.24349052315404</v>
      </c>
      <c r="R26" s="64">
        <v>653.24345957407797</v>
      </c>
      <c r="S26" s="64">
        <v>734.27617828563803</v>
      </c>
      <c r="T26" s="64">
        <v>791.16129735784398</v>
      </c>
      <c r="U26" s="64">
        <v>763.86846923199198</v>
      </c>
      <c r="V26" s="64">
        <v>877.81623996519602</v>
      </c>
      <c r="W26" s="64">
        <v>790.414212188031</v>
      </c>
      <c r="X26" s="64">
        <v>703.39999608816402</v>
      </c>
      <c r="Y26" s="64">
        <v>735.37059324756103</v>
      </c>
      <c r="Z26" s="64">
        <v>1409.76310655459</v>
      </c>
      <c r="AA26" s="64">
        <v>1016.06017040926</v>
      </c>
      <c r="AB26" s="64">
        <v>942.72377518731105</v>
      </c>
      <c r="AC26" s="64">
        <v>885.77146987170295</v>
      </c>
      <c r="AD26" s="64">
        <v>905.309208390148</v>
      </c>
      <c r="AE26" s="64">
        <v>1526.7030777520599</v>
      </c>
      <c r="AF26" s="64">
        <v>1061.80601484116</v>
      </c>
      <c r="AG26" s="64">
        <v>1049.53797950848</v>
      </c>
      <c r="AH26" s="64">
        <v>1005.6255810651299</v>
      </c>
      <c r="AI26" s="64">
        <v>1163.6876285261401</v>
      </c>
      <c r="AJ26" s="64">
        <v>1242.8593755795</v>
      </c>
      <c r="AK26" s="64">
        <v>1305.8016875576</v>
      </c>
      <c r="AL26" s="64">
        <v>1114.64161715052</v>
      </c>
      <c r="AM26" s="64">
        <v>953.76391595843097</v>
      </c>
      <c r="AN26" s="64">
        <v>1369.1712402256901</v>
      </c>
    </row>
    <row r="27" spans="1:40" s="19" customFormat="1" ht="17.100000000000001" customHeight="1" x14ac:dyDescent="0.2">
      <c r="A27" s="38" t="s">
        <v>74</v>
      </c>
      <c r="B27" s="16">
        <v>437.499726098748</v>
      </c>
      <c r="C27" s="16">
        <v>472.74451277157698</v>
      </c>
      <c r="D27" s="16">
        <v>492.19448845056201</v>
      </c>
      <c r="E27" s="16">
        <v>500.33669205678399</v>
      </c>
      <c r="F27" s="16">
        <v>488.02377479740699</v>
      </c>
      <c r="G27" s="16">
        <v>486.38839374893001</v>
      </c>
      <c r="H27" s="16">
        <v>506.61535947789503</v>
      </c>
      <c r="I27" s="16">
        <v>532.11647527873799</v>
      </c>
      <c r="J27" s="64">
        <v>557.24940638600106</v>
      </c>
      <c r="K27" s="64">
        <v>579.01040387764601</v>
      </c>
      <c r="L27" s="64">
        <v>611.365002212847</v>
      </c>
      <c r="M27" s="64">
        <v>635.55989901722705</v>
      </c>
      <c r="N27" s="64">
        <v>650.45273163277102</v>
      </c>
      <c r="O27" s="64">
        <v>667.86023254453005</v>
      </c>
      <c r="P27" s="64">
        <v>628.73526969792204</v>
      </c>
      <c r="Q27" s="64">
        <v>629.24614146004797</v>
      </c>
      <c r="R27" s="64">
        <v>675.28367682206294</v>
      </c>
      <c r="S27" s="64">
        <v>703.692965568359</v>
      </c>
      <c r="T27" s="64">
        <v>724.282612733581</v>
      </c>
      <c r="U27" s="64">
        <v>733.29572704994303</v>
      </c>
      <c r="V27" s="64">
        <v>756.24948115679001</v>
      </c>
      <c r="W27" s="64">
        <v>792.34329294595102</v>
      </c>
      <c r="X27" s="64">
        <v>795.69370976732205</v>
      </c>
      <c r="Y27" s="64">
        <v>811.11200593576302</v>
      </c>
      <c r="Z27" s="64">
        <v>913.805631256943</v>
      </c>
      <c r="AA27" s="64">
        <v>924.514135262634</v>
      </c>
      <c r="AB27" s="64">
        <v>961.09799227675001</v>
      </c>
      <c r="AC27" s="64">
        <v>983.23140332526805</v>
      </c>
      <c r="AD27" s="64">
        <v>990.19531826509296</v>
      </c>
      <c r="AE27" s="64">
        <v>1019.96271805991</v>
      </c>
      <c r="AF27" s="64">
        <v>1049.5923253798601</v>
      </c>
      <c r="AG27" s="64">
        <v>1050.69391719035</v>
      </c>
      <c r="AH27" s="64">
        <v>1023.63991036475</v>
      </c>
      <c r="AI27" s="64">
        <v>1025.63925553638</v>
      </c>
      <c r="AJ27" s="64">
        <v>1092.8901890766299</v>
      </c>
      <c r="AK27" s="64">
        <v>1144.51801525612</v>
      </c>
      <c r="AL27" s="64">
        <v>1081.54654925264</v>
      </c>
      <c r="AM27" s="64">
        <v>1373.0275191032199</v>
      </c>
      <c r="AN27" s="64">
        <v>1185.3023241097801</v>
      </c>
    </row>
    <row r="28" spans="1:40" s="19" customFormat="1" ht="17.100000000000001" customHeight="1" x14ac:dyDescent="0.2">
      <c r="A28" s="38" t="s">
        <v>23</v>
      </c>
      <c r="B28" s="16">
        <v>608.38895554372596</v>
      </c>
      <c r="C28" s="16">
        <v>643.05542202190804</v>
      </c>
      <c r="D28" s="16">
        <v>682.61213965019704</v>
      </c>
      <c r="E28" s="16">
        <v>748.92422538829601</v>
      </c>
      <c r="F28" s="16">
        <v>763.20267758901196</v>
      </c>
      <c r="G28" s="16">
        <v>774.26379112280404</v>
      </c>
      <c r="H28" s="16">
        <v>766.66466854401597</v>
      </c>
      <c r="I28" s="16">
        <v>748.31308733736103</v>
      </c>
      <c r="J28" s="64">
        <v>788.93111666090294</v>
      </c>
      <c r="K28" s="64">
        <v>779.77700702320203</v>
      </c>
      <c r="L28" s="64">
        <v>820.28970794784595</v>
      </c>
      <c r="M28" s="64">
        <v>868.503246418716</v>
      </c>
      <c r="N28" s="64">
        <v>919.75112492132496</v>
      </c>
      <c r="O28" s="64">
        <v>969.19513876695203</v>
      </c>
      <c r="P28" s="64">
        <v>973.25301518094295</v>
      </c>
      <c r="Q28" s="64">
        <v>1003.52495185089</v>
      </c>
      <c r="R28" s="64">
        <v>1063.51897156002</v>
      </c>
      <c r="S28" s="64">
        <v>1108.2829712048101</v>
      </c>
      <c r="T28" s="64">
        <v>1213.30573494636</v>
      </c>
      <c r="U28" s="64">
        <v>1060.35027021466</v>
      </c>
      <c r="V28" s="64">
        <v>1161.4526362193401</v>
      </c>
      <c r="W28" s="64">
        <v>1169.71764713895</v>
      </c>
      <c r="X28" s="64">
        <v>1230.5998501814599</v>
      </c>
      <c r="Y28" s="64">
        <v>1198.1716104616501</v>
      </c>
      <c r="Z28" s="64">
        <v>1403.01949494571</v>
      </c>
      <c r="AA28" s="64">
        <v>1334.6354432937001</v>
      </c>
      <c r="AB28" s="64">
        <v>1240.9206528750999</v>
      </c>
      <c r="AC28" s="64">
        <v>1248.1788598964699</v>
      </c>
      <c r="AD28" s="64">
        <v>1287.1284573882599</v>
      </c>
      <c r="AE28" s="64">
        <v>1414.3973139735499</v>
      </c>
      <c r="AF28" s="64">
        <v>1456.9308145775301</v>
      </c>
      <c r="AG28" s="64">
        <v>1580.1432149162399</v>
      </c>
      <c r="AH28" s="64">
        <v>1382.423374878</v>
      </c>
      <c r="AI28" s="64">
        <v>1537.7000801420299</v>
      </c>
      <c r="AJ28" s="64">
        <v>1627.3959335499101</v>
      </c>
      <c r="AK28" s="64">
        <v>1639.5733591309299</v>
      </c>
      <c r="AL28" s="64">
        <v>1406.9910612845699</v>
      </c>
      <c r="AM28" s="64">
        <v>1724.68671656898</v>
      </c>
      <c r="AN28" s="64">
        <v>1774.1886396386899</v>
      </c>
    </row>
    <row r="29" spans="1:40" s="19" customFormat="1" ht="17.100000000000001" customHeight="1" x14ac:dyDescent="0.2">
      <c r="A29" s="38" t="s">
        <v>24</v>
      </c>
      <c r="B29" s="16">
        <v>1165.91252947064</v>
      </c>
      <c r="C29" s="16">
        <v>1183.77920437221</v>
      </c>
      <c r="D29" s="16">
        <v>1194.60731126671</v>
      </c>
      <c r="E29" s="16">
        <v>1231.7226248296099</v>
      </c>
      <c r="F29" s="16">
        <v>1275.22960151191</v>
      </c>
      <c r="G29" s="16">
        <v>1310.8407005962999</v>
      </c>
      <c r="H29" s="16">
        <v>1347.6121832669801</v>
      </c>
      <c r="I29" s="16">
        <v>1351.68833167816</v>
      </c>
      <c r="J29" s="64">
        <v>1441.0811140603701</v>
      </c>
      <c r="K29" s="64">
        <v>1486.45759415918</v>
      </c>
      <c r="L29" s="64">
        <v>1451.53624895901</v>
      </c>
      <c r="M29" s="64">
        <v>1416.1420226371999</v>
      </c>
      <c r="N29" s="64">
        <v>1409.35006554957</v>
      </c>
      <c r="O29" s="64">
        <v>1501.9887844802799</v>
      </c>
      <c r="P29" s="64">
        <v>1487.7049478228801</v>
      </c>
      <c r="Q29" s="64">
        <v>1359.5605910734801</v>
      </c>
      <c r="R29" s="64">
        <v>1232.01368563341</v>
      </c>
      <c r="S29" s="64">
        <v>1377.8321528650399</v>
      </c>
      <c r="T29" s="64">
        <v>1462.1137771993999</v>
      </c>
      <c r="U29" s="64">
        <v>1492.1834104970601</v>
      </c>
      <c r="V29" s="64">
        <v>1362.2417057637599</v>
      </c>
      <c r="W29" s="64">
        <v>1460.01690260597</v>
      </c>
      <c r="X29" s="64">
        <v>1575.9894354419</v>
      </c>
      <c r="Y29" s="64">
        <v>1465.22570905973</v>
      </c>
      <c r="Z29" s="64">
        <v>1630.97118934272</v>
      </c>
      <c r="AA29" s="64">
        <v>1610.51370213223</v>
      </c>
      <c r="AB29" s="64">
        <v>1662.94229366995</v>
      </c>
      <c r="AC29" s="64">
        <v>1820.26264064816</v>
      </c>
      <c r="AD29" s="64">
        <v>1944.96467028709</v>
      </c>
      <c r="AE29" s="64">
        <v>1688.28770359337</v>
      </c>
      <c r="AF29" s="64">
        <v>1874.38028143921</v>
      </c>
      <c r="AG29" s="64">
        <v>1887.1832500376099</v>
      </c>
      <c r="AH29" s="64">
        <v>1951.76368858827</v>
      </c>
      <c r="AI29" s="64">
        <v>1929.0223881755801</v>
      </c>
      <c r="AJ29" s="64">
        <v>2062.7337078852602</v>
      </c>
      <c r="AK29" s="64">
        <v>2203.1707939309799</v>
      </c>
      <c r="AL29" s="64">
        <v>2389.67153786584</v>
      </c>
      <c r="AM29" s="64">
        <v>2383.2783729887001</v>
      </c>
      <c r="AN29" s="64">
        <v>2185.4757307529899</v>
      </c>
    </row>
    <row r="30" spans="1:40" s="19" customFormat="1" ht="17.100000000000001" customHeight="1" x14ac:dyDescent="0.2">
      <c r="A30" s="38" t="s">
        <v>71</v>
      </c>
      <c r="B30" s="16">
        <v>789.40158887117502</v>
      </c>
      <c r="C30" s="16">
        <v>797.16834803270899</v>
      </c>
      <c r="D30" s="16">
        <v>832.57490070639597</v>
      </c>
      <c r="E30" s="16">
        <v>899.98751645714799</v>
      </c>
      <c r="F30" s="16">
        <v>958.64452730509504</v>
      </c>
      <c r="G30" s="16">
        <v>991.61917372246205</v>
      </c>
      <c r="H30" s="16">
        <v>1024.15375288113</v>
      </c>
      <c r="I30" s="16">
        <v>1019.24443196883</v>
      </c>
      <c r="J30" s="64">
        <v>1105.04209816206</v>
      </c>
      <c r="K30" s="64">
        <v>1051.6911712860201</v>
      </c>
      <c r="L30" s="64">
        <v>1072.3812430759999</v>
      </c>
      <c r="M30" s="64">
        <v>1102.57879649079</v>
      </c>
      <c r="N30" s="64">
        <v>1139.1468718830899</v>
      </c>
      <c r="O30" s="64">
        <v>1129.8934080654501</v>
      </c>
      <c r="P30" s="64">
        <v>1147.6512204533799</v>
      </c>
      <c r="Q30" s="64">
        <v>1078.0559177197399</v>
      </c>
      <c r="R30" s="64">
        <v>1301.29920610308</v>
      </c>
      <c r="S30" s="64">
        <v>1231.6312279758899</v>
      </c>
      <c r="T30" s="64">
        <v>1235.95932661649</v>
      </c>
      <c r="U30" s="64">
        <v>1307.81226047365</v>
      </c>
      <c r="V30" s="64">
        <v>1338.4920836053</v>
      </c>
      <c r="W30" s="64">
        <v>1509.5608637405901</v>
      </c>
      <c r="X30" s="64">
        <v>1475.45560163701</v>
      </c>
      <c r="Y30" s="64">
        <v>1455.0305760661499</v>
      </c>
      <c r="Z30" s="64">
        <v>1544.2226173279701</v>
      </c>
      <c r="AA30" s="64">
        <v>1552.47936708102</v>
      </c>
      <c r="AB30" s="64">
        <v>1550.5543827487199</v>
      </c>
      <c r="AC30" s="64">
        <v>1520.3134940427401</v>
      </c>
      <c r="AD30" s="64">
        <v>1477.8673073657601</v>
      </c>
      <c r="AE30" s="64">
        <v>1559.1406962843801</v>
      </c>
      <c r="AF30" s="64">
        <v>1583.2570067951799</v>
      </c>
      <c r="AG30" s="64">
        <v>1851.2314353991601</v>
      </c>
      <c r="AH30" s="64">
        <v>1683.1329251252901</v>
      </c>
      <c r="AI30" s="64">
        <v>1672.35143661241</v>
      </c>
      <c r="AJ30" s="64">
        <v>1721.2887314713601</v>
      </c>
      <c r="AK30" s="64">
        <v>1698.1785700522901</v>
      </c>
      <c r="AL30" s="64">
        <v>1768.9749199554601</v>
      </c>
      <c r="AM30" s="64">
        <v>1819.8754310151801</v>
      </c>
      <c r="AN30" s="64">
        <v>1871.35179817417</v>
      </c>
    </row>
    <row r="31" spans="1:40" s="19" customFormat="1" ht="17.100000000000001" customHeight="1" x14ac:dyDescent="0.2">
      <c r="A31" s="38" t="s">
        <v>72</v>
      </c>
      <c r="B31" s="16">
        <v>24.8264985760275</v>
      </c>
      <c r="C31" s="16">
        <v>26.137038060110701</v>
      </c>
      <c r="D31" s="16">
        <v>31.719878957314499</v>
      </c>
      <c r="E31" s="16">
        <v>49.255962142247199</v>
      </c>
      <c r="F31" s="16">
        <v>40.413216174453602</v>
      </c>
      <c r="G31" s="16">
        <v>53.813004663429098</v>
      </c>
      <c r="H31" s="16">
        <v>58.286973031150602</v>
      </c>
      <c r="I31" s="16">
        <v>61.812948180894502</v>
      </c>
      <c r="J31" s="64">
        <v>62.7358157717983</v>
      </c>
      <c r="K31" s="64">
        <v>60.259075078896103</v>
      </c>
      <c r="L31" s="64">
        <v>63.773074217959604</v>
      </c>
      <c r="M31" s="64">
        <v>63.131640793830201</v>
      </c>
      <c r="N31" s="64">
        <v>67.235408440497096</v>
      </c>
      <c r="O31" s="64">
        <v>68.285165738469104</v>
      </c>
      <c r="P31" s="64">
        <v>66.019715784969506</v>
      </c>
      <c r="Q31" s="64">
        <v>50.247442378501098</v>
      </c>
      <c r="R31" s="64">
        <v>49.071032110699797</v>
      </c>
      <c r="S31" s="64">
        <v>57.850015843812002</v>
      </c>
      <c r="T31" s="64">
        <v>55.652503165426303</v>
      </c>
      <c r="U31" s="64">
        <v>66.548671873698495</v>
      </c>
      <c r="V31" s="64">
        <v>66.039584695281306</v>
      </c>
      <c r="W31" s="64">
        <v>60.337837105902402</v>
      </c>
      <c r="X31" s="64">
        <v>48.965295514135903</v>
      </c>
      <c r="Y31" s="64">
        <v>58.964848681333898</v>
      </c>
      <c r="Z31" s="64">
        <v>42.788313980238101</v>
      </c>
      <c r="AA31" s="64">
        <v>67.783575623124506</v>
      </c>
      <c r="AB31" s="64">
        <v>69.375695699680307</v>
      </c>
      <c r="AC31" s="64">
        <v>83.543298957531903</v>
      </c>
      <c r="AD31" s="64">
        <v>78.404466764613005</v>
      </c>
      <c r="AE31" s="64">
        <v>70.402073173635401</v>
      </c>
      <c r="AF31" s="64">
        <v>83.492311862442307</v>
      </c>
      <c r="AG31" s="64">
        <v>82.209637117378193</v>
      </c>
      <c r="AH31" s="64">
        <v>92.255934504136604</v>
      </c>
      <c r="AI31" s="64">
        <v>86.799656866237001</v>
      </c>
      <c r="AJ31" s="64">
        <v>94.764279732117998</v>
      </c>
      <c r="AK31" s="64">
        <v>79.437032950185596</v>
      </c>
      <c r="AL31" s="64">
        <v>90.910506858876602</v>
      </c>
      <c r="AM31" s="64">
        <v>88.062893168137293</v>
      </c>
      <c r="AN31" s="64">
        <v>93.302908419657598</v>
      </c>
    </row>
    <row r="32" spans="1:40" s="19" customFormat="1" ht="17.100000000000001" customHeight="1" x14ac:dyDescent="0.2">
      <c r="A32" s="38" t="s">
        <v>27</v>
      </c>
      <c r="B32" s="16">
        <v>739.25603794861399</v>
      </c>
      <c r="C32" s="16">
        <v>745.14322452828299</v>
      </c>
      <c r="D32" s="16">
        <v>765.62630401409001</v>
      </c>
      <c r="E32" s="16">
        <v>734.746141019589</v>
      </c>
      <c r="F32" s="16">
        <v>742.20203702602203</v>
      </c>
      <c r="G32" s="16">
        <v>745.26116780158304</v>
      </c>
      <c r="H32" s="16">
        <v>730.63450508443304</v>
      </c>
      <c r="I32" s="16">
        <v>741.15013302428997</v>
      </c>
      <c r="J32" s="64">
        <v>754.095550581005</v>
      </c>
      <c r="K32" s="64">
        <v>761.88901246175897</v>
      </c>
      <c r="L32" s="64">
        <v>777.47860874581295</v>
      </c>
      <c r="M32" s="64">
        <v>826.04376379047801</v>
      </c>
      <c r="N32" s="64">
        <v>847.57635403809002</v>
      </c>
      <c r="O32" s="64">
        <v>866.33150988524505</v>
      </c>
      <c r="P32" s="64">
        <v>872.99805967162899</v>
      </c>
      <c r="Q32" s="64">
        <v>868.63690328108498</v>
      </c>
      <c r="R32" s="64">
        <v>896.41465444088203</v>
      </c>
      <c r="S32" s="64">
        <v>911.97188850591601</v>
      </c>
      <c r="T32" s="64">
        <v>936.85218470528901</v>
      </c>
      <c r="U32" s="64">
        <v>935.09845206094803</v>
      </c>
      <c r="V32" s="64">
        <v>897.89443559051699</v>
      </c>
      <c r="W32" s="64">
        <v>869.21873431754102</v>
      </c>
      <c r="X32" s="64">
        <v>930.95468113743505</v>
      </c>
      <c r="Y32" s="64">
        <v>930.88320302861905</v>
      </c>
      <c r="Z32" s="64">
        <v>894.65096285316895</v>
      </c>
      <c r="AA32" s="64">
        <v>903.88955464628305</v>
      </c>
      <c r="AB32" s="64">
        <v>908.00535863533503</v>
      </c>
      <c r="AC32" s="64">
        <v>918.24372598387299</v>
      </c>
      <c r="AD32" s="64">
        <v>996.62892894960203</v>
      </c>
      <c r="AE32" s="64">
        <v>1158.0402005670901</v>
      </c>
      <c r="AF32" s="64">
        <v>1056.96784157563</v>
      </c>
      <c r="AG32" s="64">
        <v>959.64412470180901</v>
      </c>
      <c r="AH32" s="64">
        <v>1144.85780791815</v>
      </c>
      <c r="AI32" s="64">
        <v>1168.5088075833301</v>
      </c>
      <c r="AJ32" s="64">
        <v>1171.8297434875999</v>
      </c>
      <c r="AK32" s="64">
        <v>1192.37397703484</v>
      </c>
      <c r="AL32" s="64">
        <v>1222.8290642038701</v>
      </c>
      <c r="AM32" s="64">
        <v>1131.8957565880701</v>
      </c>
      <c r="AN32" s="64">
        <v>1174.0289055374301</v>
      </c>
    </row>
    <row r="33" spans="1:40" s="19" customFormat="1" ht="17.100000000000001" customHeight="1" x14ac:dyDescent="0.2">
      <c r="A33" s="38" t="s">
        <v>69</v>
      </c>
      <c r="B33" s="16">
        <v>214.26425066853699</v>
      </c>
      <c r="C33" s="16">
        <v>220.07041415537401</v>
      </c>
      <c r="D33" s="16">
        <v>226.15940443270401</v>
      </c>
      <c r="E33" s="16">
        <v>230.842332677662</v>
      </c>
      <c r="F33" s="16">
        <v>233.187235050379</v>
      </c>
      <c r="G33" s="16">
        <v>236.70308283844901</v>
      </c>
      <c r="H33" s="16">
        <v>239.66169040902801</v>
      </c>
      <c r="I33" s="16">
        <v>242.900543866102</v>
      </c>
      <c r="J33" s="64">
        <v>246.904003474908</v>
      </c>
      <c r="K33" s="64">
        <v>249.28347681229701</v>
      </c>
      <c r="L33" s="64">
        <v>251.914607069921</v>
      </c>
      <c r="M33" s="64">
        <v>254.79781746721599</v>
      </c>
      <c r="N33" s="64">
        <v>257.70352580900197</v>
      </c>
      <c r="O33" s="64">
        <v>261.13262130393503</v>
      </c>
      <c r="P33" s="64">
        <v>265.070765046102</v>
      </c>
      <c r="Q33" s="64">
        <v>268.94040796564502</v>
      </c>
      <c r="R33" s="64">
        <v>272.04522692763697</v>
      </c>
      <c r="S33" s="64">
        <v>274.97063753976198</v>
      </c>
      <c r="T33" s="64">
        <v>278.37816261560198</v>
      </c>
      <c r="U33" s="64">
        <v>281.81161436179502</v>
      </c>
      <c r="V33" s="64">
        <v>285.36395081723401</v>
      </c>
      <c r="W33" s="64">
        <v>289.72456227390501</v>
      </c>
      <c r="X33" s="64">
        <v>295.63705410761901</v>
      </c>
      <c r="Y33" s="64">
        <v>307.36523053392602</v>
      </c>
      <c r="Z33" s="64">
        <v>320.05665616768101</v>
      </c>
      <c r="AA33" s="64">
        <v>329.28466789353098</v>
      </c>
      <c r="AB33" s="64">
        <v>332.90845389299</v>
      </c>
      <c r="AC33" s="64">
        <v>336.19507569704001</v>
      </c>
      <c r="AD33" s="64">
        <v>339.97723489919701</v>
      </c>
      <c r="AE33" s="64">
        <v>346.79436312708401</v>
      </c>
      <c r="AF33" s="64">
        <v>352.402804699027</v>
      </c>
      <c r="AG33" s="64">
        <v>357.50824926738801</v>
      </c>
      <c r="AH33" s="64">
        <v>361.50185060684697</v>
      </c>
      <c r="AI33" s="64">
        <v>367.03591408257302</v>
      </c>
      <c r="AJ33" s="64">
        <v>374.63871104537202</v>
      </c>
      <c r="AK33" s="64">
        <v>381.08328646477901</v>
      </c>
      <c r="AL33" s="64">
        <v>385.84919863401001</v>
      </c>
      <c r="AM33" s="64">
        <v>386.85212392295398</v>
      </c>
      <c r="AN33" s="64">
        <v>396.15992495006202</v>
      </c>
    </row>
    <row r="34" spans="1:40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</row>
    <row r="35" spans="1:40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</row>
    <row r="36" spans="1:40" s="27" customFormat="1" ht="17.100000000000001" customHeight="1" thickBot="1" x14ac:dyDescent="0.25">
      <c r="A36" s="25" t="s">
        <v>30</v>
      </c>
      <c r="B36" s="26">
        <v>1804.6810918469801</v>
      </c>
      <c r="C36" s="26">
        <v>1821.5342753206801</v>
      </c>
      <c r="D36" s="26">
        <v>1967.2422538956901</v>
      </c>
      <c r="E36" s="26">
        <v>2036.17406249544</v>
      </c>
      <c r="F36" s="26">
        <v>2016.7099813331999</v>
      </c>
      <c r="G36" s="26">
        <v>2106.0878374334802</v>
      </c>
      <c r="H36" s="26">
        <v>2213.2662915298602</v>
      </c>
      <c r="I36" s="26">
        <v>2305.2620894674001</v>
      </c>
      <c r="J36" s="65">
        <v>2420.3992246140501</v>
      </c>
      <c r="K36" s="65">
        <v>2495.0388444656801</v>
      </c>
      <c r="L36" s="65">
        <v>2462.39652670037</v>
      </c>
      <c r="M36" s="65">
        <v>2442.4380582255899</v>
      </c>
      <c r="N36" s="65">
        <v>2562.2416901997999</v>
      </c>
      <c r="O36" s="65">
        <v>2599.6493576921298</v>
      </c>
      <c r="P36" s="65">
        <v>2603.3216202335898</v>
      </c>
      <c r="Q36" s="65">
        <v>1647.2968805785999</v>
      </c>
      <c r="R36" s="65">
        <v>2591.3579335721101</v>
      </c>
      <c r="S36" s="65">
        <v>2655.8787005160598</v>
      </c>
      <c r="T36" s="65">
        <v>2623.8305348715999</v>
      </c>
      <c r="U36" s="65">
        <v>2744.5412933305602</v>
      </c>
      <c r="V36" s="65">
        <v>2773.0735552708602</v>
      </c>
      <c r="W36" s="65">
        <v>3146.8893568783601</v>
      </c>
      <c r="X36" s="65">
        <v>3233.6345970268999</v>
      </c>
      <c r="Y36" s="65">
        <v>3143.55660204786</v>
      </c>
      <c r="Z36" s="65">
        <v>3318.9457942235599</v>
      </c>
      <c r="AA36" s="65">
        <v>3167.8503862080802</v>
      </c>
      <c r="AB36" s="65">
        <v>3583.1982431504898</v>
      </c>
      <c r="AC36" s="65">
        <v>3901.7049028035299</v>
      </c>
      <c r="AD36" s="65">
        <v>3705.0867527979799</v>
      </c>
      <c r="AE36" s="65">
        <v>3670.7383658649401</v>
      </c>
      <c r="AF36" s="65">
        <v>3791.0783491737602</v>
      </c>
      <c r="AG36" s="65">
        <v>3842.0369169367</v>
      </c>
      <c r="AH36" s="65">
        <v>4174.3181408684904</v>
      </c>
      <c r="AI36" s="65">
        <v>4179.5295428721502</v>
      </c>
      <c r="AJ36" s="65">
        <v>4159.4755811348696</v>
      </c>
      <c r="AK36" s="65">
        <v>4570.5729543238704</v>
      </c>
      <c r="AL36" s="65">
        <v>4281.04649244548</v>
      </c>
      <c r="AM36" s="65">
        <v>4578.1990618054997</v>
      </c>
      <c r="AN36" s="65">
        <v>4955.1388585531204</v>
      </c>
    </row>
    <row r="37" spans="1:40" x14ac:dyDescent="0.2">
      <c r="A37" s="14" t="s">
        <v>63</v>
      </c>
      <c r="H37" s="40"/>
    </row>
  </sheetData>
  <mergeCells count="9">
    <mergeCell ref="AH3:AK3"/>
    <mergeCell ref="AD3:AG3"/>
    <mergeCell ref="F3:I3"/>
    <mergeCell ref="V3:Y3"/>
    <mergeCell ref="B3:E3"/>
    <mergeCell ref="Z3:AC3"/>
    <mergeCell ref="R3:U3"/>
    <mergeCell ref="N3:P3"/>
    <mergeCell ref="J3:M3"/>
  </mergeCells>
  <phoneticPr fontId="17" type="noConversion"/>
  <pageMargins left="3.937007874015748E-2" right="0" top="0.51181102362204722" bottom="0.15748031496062992" header="0.31496062992125984" footer="0.31496062992125984"/>
  <pageSetup scale="45" orientation="landscape" r:id="rId1"/>
  <colBreaks count="1" manualBreakCount="1">
    <brk id="5" max="3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Q37"/>
  <sheetViews>
    <sheetView view="pageBreakPreview" zoomScale="120" zoomScaleSheetLayoutView="120" workbookViewId="0">
      <pane xSplit="1" ySplit="4" topLeftCell="B5" activePane="bottomRight" state="frozen"/>
      <selection activeCell="B38" sqref="B38"/>
      <selection pane="topRight" activeCell="B38" sqref="B38"/>
      <selection pane="bottomLeft" activeCell="B38" sqref="B38"/>
      <selection pane="bottomRight" activeCell="B38" sqref="B38"/>
    </sheetView>
  </sheetViews>
  <sheetFormatPr defaultColWidth="9.140625" defaultRowHeight="12" x14ac:dyDescent="0.2"/>
  <cols>
    <col min="1" max="2" width="97.5703125" style="29" bestFit="1" customWidth="1"/>
    <col min="3" max="9" width="6.28515625" style="29" bestFit="1" customWidth="1"/>
    <col min="10" max="27" width="6.5703125" style="17" bestFit="1" customWidth="1"/>
    <col min="28" max="37" width="6.5703125" style="29" bestFit="1" customWidth="1"/>
    <col min="38" max="38" width="7" style="29" bestFit="1" customWidth="1"/>
    <col min="39" max="40" width="6.5703125" style="29" bestFit="1" customWidth="1"/>
    <col min="41" max="16384" width="9.140625" style="29"/>
  </cols>
  <sheetData>
    <row r="1" spans="1:40" ht="18" customHeight="1" thickBot="1" x14ac:dyDescent="0.25">
      <c r="A1" s="18" t="s">
        <v>131</v>
      </c>
      <c r="B1" s="18" t="s">
        <v>91</v>
      </c>
    </row>
    <row r="2" spans="1:40" ht="9" hidden="1" customHeight="1" thickBot="1" x14ac:dyDescent="0.25"/>
    <row r="3" spans="1:40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60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</row>
    <row r="4" spans="1:40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</row>
    <row r="5" spans="1:40" s="20" customFormat="1" ht="17.100000000000001" customHeight="1" x14ac:dyDescent="0.2">
      <c r="A5" s="21" t="s">
        <v>80</v>
      </c>
      <c r="B5" s="36">
        <v>99.999999999999986</v>
      </c>
      <c r="C5" s="36">
        <v>100.00000000000003</v>
      </c>
      <c r="D5" s="36">
        <v>100</v>
      </c>
      <c r="E5" s="36">
        <v>99.999999999999972</v>
      </c>
      <c r="F5" s="36">
        <v>100</v>
      </c>
      <c r="G5" s="36">
        <v>100.00000000000001</v>
      </c>
      <c r="H5" s="36">
        <v>100.00000000000001</v>
      </c>
      <c r="I5" s="36">
        <v>100</v>
      </c>
      <c r="J5" s="70">
        <v>100</v>
      </c>
      <c r="K5" s="70">
        <v>100</v>
      </c>
      <c r="L5" s="70">
        <v>100</v>
      </c>
      <c r="M5" s="70">
        <v>100.00000000000001</v>
      </c>
      <c r="N5" s="70">
        <v>100</v>
      </c>
      <c r="O5" s="70">
        <v>100</v>
      </c>
      <c r="P5" s="70">
        <v>99.999999999999986</v>
      </c>
      <c r="Q5" s="70">
        <v>100</v>
      </c>
      <c r="R5" s="70">
        <v>100</v>
      </c>
      <c r="S5" s="70">
        <v>99.999999999999986</v>
      </c>
      <c r="T5" s="70">
        <v>100.00000000000003</v>
      </c>
      <c r="U5" s="70">
        <v>100</v>
      </c>
      <c r="V5" s="70">
        <v>100</v>
      </c>
      <c r="W5" s="70">
        <v>100</v>
      </c>
      <c r="X5" s="70">
        <v>99.999999999999972</v>
      </c>
      <c r="Y5" s="70">
        <v>100</v>
      </c>
      <c r="Z5" s="70">
        <v>99.999999999999972</v>
      </c>
      <c r="AA5" s="70">
        <v>99.999999999999986</v>
      </c>
      <c r="AB5" s="70">
        <v>100.00000000000003</v>
      </c>
      <c r="AC5" s="70">
        <v>99.999999999999972</v>
      </c>
      <c r="AD5" s="70">
        <v>100.00000000000003</v>
      </c>
      <c r="AE5" s="70">
        <v>99.999999999999972</v>
      </c>
      <c r="AF5" s="70">
        <v>100.00000000000001</v>
      </c>
      <c r="AG5" s="70">
        <v>100.00000000000001</v>
      </c>
      <c r="AH5" s="70">
        <v>100</v>
      </c>
      <c r="AI5" s="70">
        <v>99.999999999999986</v>
      </c>
      <c r="AJ5" s="70">
        <v>100.00000000000001</v>
      </c>
      <c r="AK5" s="70">
        <v>100.00000000000001</v>
      </c>
      <c r="AL5" s="70">
        <v>100.00000000000001</v>
      </c>
      <c r="AM5" s="70">
        <v>100</v>
      </c>
      <c r="AN5" s="70">
        <v>99.999999999999986</v>
      </c>
    </row>
    <row r="6" spans="1:40" s="54" customFormat="1" ht="17.100000000000001" customHeight="1" x14ac:dyDescent="0.2">
      <c r="A6" s="52" t="s">
        <v>81</v>
      </c>
      <c r="B6" s="56">
        <v>23.562134634364952</v>
      </c>
      <c r="C6" s="56">
        <v>24.23310200677485</v>
      </c>
      <c r="D6" s="56">
        <v>23.961916436013158</v>
      </c>
      <c r="E6" s="56">
        <v>22.48277538169182</v>
      </c>
      <c r="F6" s="56">
        <v>23.198243395915799</v>
      </c>
      <c r="G6" s="56">
        <v>21.790783236710276</v>
      </c>
      <c r="H6" s="56">
        <v>24.717452895162779</v>
      </c>
      <c r="I6" s="56">
        <v>23.652695400280251</v>
      </c>
      <c r="J6" s="71">
        <v>21.70038681531603</v>
      </c>
      <c r="K6" s="71">
        <v>22.610961529314736</v>
      </c>
      <c r="L6" s="71">
        <v>24.684637558149856</v>
      </c>
      <c r="M6" s="71">
        <v>23.777757286541267</v>
      </c>
      <c r="N6" s="71">
        <v>22.624208877501903</v>
      </c>
      <c r="O6" s="71">
        <v>23.884890823691769</v>
      </c>
      <c r="P6" s="71">
        <v>24.035278744093894</v>
      </c>
      <c r="Q6" s="71">
        <v>25.798389003860738</v>
      </c>
      <c r="R6" s="71">
        <v>23.919308919582082</v>
      </c>
      <c r="S6" s="71">
        <v>24.753309916274219</v>
      </c>
      <c r="T6" s="71">
        <v>22.516413612974446</v>
      </c>
      <c r="U6" s="71">
        <v>23.901196306746936</v>
      </c>
      <c r="V6" s="71">
        <v>25.068334617210443</v>
      </c>
      <c r="W6" s="71">
        <v>23.909247594499391</v>
      </c>
      <c r="X6" s="71">
        <v>22.924072016135902</v>
      </c>
      <c r="Y6" s="71">
        <v>24.175739078975933</v>
      </c>
      <c r="Z6" s="71">
        <v>23.667465250017543</v>
      </c>
      <c r="AA6" s="71">
        <v>25.054826801305875</v>
      </c>
      <c r="AB6" s="71">
        <v>23.651867945172899</v>
      </c>
      <c r="AC6" s="71">
        <v>23.444735569500189</v>
      </c>
      <c r="AD6" s="71">
        <v>23.540941575315845</v>
      </c>
      <c r="AE6" s="71">
        <v>24.082543931028226</v>
      </c>
      <c r="AF6" s="71">
        <v>24.250233894959162</v>
      </c>
      <c r="AG6" s="71">
        <v>26.215563215617799</v>
      </c>
      <c r="AH6" s="71">
        <v>25.175022817513394</v>
      </c>
      <c r="AI6" s="71">
        <v>26.084026262217698</v>
      </c>
      <c r="AJ6" s="71">
        <v>26.233666088935159</v>
      </c>
      <c r="AK6" s="71">
        <v>26.563386921481719</v>
      </c>
      <c r="AL6" s="71">
        <v>25.061953642208742</v>
      </c>
      <c r="AM6" s="71">
        <v>26.20254877136226</v>
      </c>
      <c r="AN6" s="71">
        <v>25.441232258771088</v>
      </c>
    </row>
    <row r="7" spans="1:40" s="19" customFormat="1" ht="17.100000000000001" customHeight="1" x14ac:dyDescent="0.2">
      <c r="A7" s="37" t="s">
        <v>2</v>
      </c>
      <c r="B7" s="42">
        <v>1.9091521608727013</v>
      </c>
      <c r="C7" s="42">
        <v>2.6262572899036516</v>
      </c>
      <c r="D7" s="42">
        <v>2.3741169248920251</v>
      </c>
      <c r="E7" s="42">
        <v>2.5098691123375048</v>
      </c>
      <c r="F7" s="42">
        <v>2.5211886391225269</v>
      </c>
      <c r="G7" s="42">
        <v>2.3278083246551913</v>
      </c>
      <c r="H7" s="42">
        <v>2.0944086966899182</v>
      </c>
      <c r="I7" s="42">
        <v>2.0363602559085545</v>
      </c>
      <c r="J7" s="75">
        <v>2.179022250488488</v>
      </c>
      <c r="K7" s="75">
        <v>2.0253071794032391</v>
      </c>
      <c r="L7" s="75">
        <v>1.8308468579078616</v>
      </c>
      <c r="M7" s="75">
        <v>1.83389559912903</v>
      </c>
      <c r="N7" s="75">
        <v>1.8080387905504456</v>
      </c>
      <c r="O7" s="75">
        <v>1.9101242728013816</v>
      </c>
      <c r="P7" s="75">
        <v>2.1380515447241919</v>
      </c>
      <c r="Q7" s="75">
        <v>1.8915640355280583</v>
      </c>
      <c r="R7" s="75">
        <v>1.8494235811984887</v>
      </c>
      <c r="S7" s="75">
        <v>1.9008521183594072</v>
      </c>
      <c r="T7" s="75">
        <v>2.18098941214165</v>
      </c>
      <c r="U7" s="75">
        <v>2.3491112846405438</v>
      </c>
      <c r="V7" s="75">
        <v>2.5816992546189441</v>
      </c>
      <c r="W7" s="75">
        <v>2.9273204492992955</v>
      </c>
      <c r="X7" s="75">
        <v>2.7473942233393336</v>
      </c>
      <c r="Y7" s="75">
        <v>2.690337122499721</v>
      </c>
      <c r="Z7" s="75">
        <v>2.6729695014807033</v>
      </c>
      <c r="AA7" s="75">
        <v>2.4662795426809736</v>
      </c>
      <c r="AB7" s="75">
        <v>2.5025269751337698</v>
      </c>
      <c r="AC7" s="75">
        <v>2.5921079223489727</v>
      </c>
      <c r="AD7" s="75">
        <v>3.0200097130024366</v>
      </c>
      <c r="AE7" s="75">
        <v>3.3334993934658721</v>
      </c>
      <c r="AF7" s="75">
        <v>3.8598970174190601</v>
      </c>
      <c r="AG7" s="75">
        <v>4.0198998730271089</v>
      </c>
      <c r="AH7" s="75">
        <v>4.0409271222961376</v>
      </c>
      <c r="AI7" s="75">
        <v>4.7294325702284246</v>
      </c>
      <c r="AJ7" s="75">
        <v>4.9499086892234025</v>
      </c>
      <c r="AK7" s="75">
        <v>6.4600526348749394</v>
      </c>
      <c r="AL7" s="75">
        <v>4.6368042970260825</v>
      </c>
      <c r="AM7" s="75">
        <v>4.9174563857285989</v>
      </c>
      <c r="AN7" s="75">
        <v>4.8555810257614711</v>
      </c>
    </row>
    <row r="8" spans="1:40" s="19" customFormat="1" ht="17.100000000000001" customHeight="1" x14ac:dyDescent="0.2">
      <c r="A8" s="37" t="s">
        <v>3</v>
      </c>
      <c r="B8" s="42">
        <v>12.888360118721245</v>
      </c>
      <c r="C8" s="42">
        <v>12.361602099311384</v>
      </c>
      <c r="D8" s="42">
        <v>12.900189592858336</v>
      </c>
      <c r="E8" s="42">
        <v>11.642370122440946</v>
      </c>
      <c r="F8" s="42">
        <v>12.85190779719059</v>
      </c>
      <c r="G8" s="42">
        <v>11.967457091322533</v>
      </c>
      <c r="H8" s="42">
        <v>13.62821272500662</v>
      </c>
      <c r="I8" s="42">
        <v>11.797582210912687</v>
      </c>
      <c r="J8" s="75">
        <v>11.035875687773999</v>
      </c>
      <c r="K8" s="75">
        <v>11.067761790405033</v>
      </c>
      <c r="L8" s="75">
        <v>13.20620424870941</v>
      </c>
      <c r="M8" s="75">
        <v>11.916592521833536</v>
      </c>
      <c r="N8" s="75">
        <v>10.900962452776742</v>
      </c>
      <c r="O8" s="75">
        <v>11.069054314412547</v>
      </c>
      <c r="P8" s="75">
        <v>11.984290703057148</v>
      </c>
      <c r="Q8" s="75">
        <v>13.188591810375783</v>
      </c>
      <c r="R8" s="75">
        <v>11.980533448738242</v>
      </c>
      <c r="S8" s="75">
        <v>11.235094825711696</v>
      </c>
      <c r="T8" s="75">
        <v>10.619439136848422</v>
      </c>
      <c r="U8" s="75">
        <v>11.710580521479647</v>
      </c>
      <c r="V8" s="75">
        <v>12.014638877886698</v>
      </c>
      <c r="W8" s="75">
        <v>11.019314888524384</v>
      </c>
      <c r="X8" s="75">
        <v>10.569797607467388</v>
      </c>
      <c r="Y8" s="75">
        <v>12.014678016721273</v>
      </c>
      <c r="Z8" s="75">
        <v>12.190845960445756</v>
      </c>
      <c r="AA8" s="75">
        <v>12.588015961137797</v>
      </c>
      <c r="AB8" s="75">
        <v>10.583048540538337</v>
      </c>
      <c r="AC8" s="75">
        <v>11.509217417333526</v>
      </c>
      <c r="AD8" s="75">
        <v>11.442883267443518</v>
      </c>
      <c r="AE8" s="75">
        <v>11.162210357925083</v>
      </c>
      <c r="AF8" s="75">
        <v>10.479082004971643</v>
      </c>
      <c r="AG8" s="75">
        <v>11.864491099782871</v>
      </c>
      <c r="AH8" s="75">
        <v>11.776001103906605</v>
      </c>
      <c r="AI8" s="75">
        <v>11.400477692194535</v>
      </c>
      <c r="AJ8" s="75">
        <v>10.489595463793126</v>
      </c>
      <c r="AK8" s="75">
        <v>9.854248205914768</v>
      </c>
      <c r="AL8" s="75">
        <v>10.154878470104983</v>
      </c>
      <c r="AM8" s="75">
        <v>11.166660204117203</v>
      </c>
      <c r="AN8" s="75">
        <v>10.652074073363762</v>
      </c>
    </row>
    <row r="9" spans="1:40" s="19" customFormat="1" ht="17.100000000000001" customHeight="1" x14ac:dyDescent="0.2">
      <c r="A9" s="37" t="s">
        <v>4</v>
      </c>
      <c r="B9" s="42">
        <v>3.0756176855985307</v>
      </c>
      <c r="C9" s="42">
        <v>3.0343566008583083</v>
      </c>
      <c r="D9" s="42">
        <v>2.9933945090688536</v>
      </c>
      <c r="E9" s="42">
        <v>3.0761864462493653</v>
      </c>
      <c r="F9" s="42">
        <v>3.2240057168999856</v>
      </c>
      <c r="G9" s="42">
        <v>3.3119763886031031</v>
      </c>
      <c r="H9" s="42">
        <v>3.1673597683732373</v>
      </c>
      <c r="I9" s="42">
        <v>3.153133199921033</v>
      </c>
      <c r="J9" s="75">
        <v>3.3311237977457253</v>
      </c>
      <c r="K9" s="75">
        <v>3.3836469448059745</v>
      </c>
      <c r="L9" s="75">
        <v>3.3757689569802061</v>
      </c>
      <c r="M9" s="75">
        <v>3.4557604159344368</v>
      </c>
      <c r="N9" s="75">
        <v>3.4859436838380291</v>
      </c>
      <c r="O9" s="75">
        <v>3.5038856190269305</v>
      </c>
      <c r="P9" s="75">
        <v>3.796688147817378</v>
      </c>
      <c r="Q9" s="75">
        <v>4.3327909774598394</v>
      </c>
      <c r="R9" s="75">
        <v>3.9378918623435988</v>
      </c>
      <c r="S9" s="75">
        <v>3.8744964135596414</v>
      </c>
      <c r="T9" s="75">
        <v>3.8835270418252579</v>
      </c>
      <c r="U9" s="75">
        <v>4.0506319470540069</v>
      </c>
      <c r="V9" s="75">
        <v>4.1604190019180054</v>
      </c>
      <c r="W9" s="75">
        <v>4.0350971552222443</v>
      </c>
      <c r="X9" s="75">
        <v>3.8530359140115169</v>
      </c>
      <c r="Y9" s="75">
        <v>3.841298479829732</v>
      </c>
      <c r="Z9" s="75">
        <v>3.9037012538702425</v>
      </c>
      <c r="AA9" s="75">
        <v>4.0075839564648881</v>
      </c>
      <c r="AB9" s="75">
        <v>4.2952633332234775</v>
      </c>
      <c r="AC9" s="75">
        <v>4.0659508921748708</v>
      </c>
      <c r="AD9" s="75">
        <v>4.0618180280076954</v>
      </c>
      <c r="AE9" s="75">
        <v>4.152315816416901</v>
      </c>
      <c r="AF9" s="75">
        <v>4.2847150905267801</v>
      </c>
      <c r="AG9" s="75">
        <v>4.2597847617859799</v>
      </c>
      <c r="AH9" s="75">
        <v>4.2907166539546964</v>
      </c>
      <c r="AI9" s="75">
        <v>4.4028111380760073</v>
      </c>
      <c r="AJ9" s="75">
        <v>4.4528882274795958</v>
      </c>
      <c r="AK9" s="75">
        <v>4.5480068977332904</v>
      </c>
      <c r="AL9" s="75">
        <v>4.6814731414135666</v>
      </c>
      <c r="AM9" s="75">
        <v>4.5261319158724529</v>
      </c>
      <c r="AN9" s="75">
        <v>4.5631738066047465</v>
      </c>
    </row>
    <row r="10" spans="1:40" s="19" customFormat="1" ht="17.100000000000001" customHeight="1" x14ac:dyDescent="0.2">
      <c r="A10" s="37" t="s">
        <v>5</v>
      </c>
      <c r="B10" s="42">
        <v>1.6401128492599594E-2</v>
      </c>
      <c r="C10" s="42">
        <v>1.539430476289729E-2</v>
      </c>
      <c r="D10" s="42">
        <v>1.449336326239422E-2</v>
      </c>
      <c r="E10" s="42">
        <v>1.4565198636806229E-2</v>
      </c>
      <c r="F10" s="42">
        <v>1.1915165858865368E-2</v>
      </c>
      <c r="G10" s="42">
        <v>1.2351329936704205E-2</v>
      </c>
      <c r="H10" s="42">
        <v>1.1870833125910363E-2</v>
      </c>
      <c r="I10" s="42">
        <v>1.1916852918039662E-2</v>
      </c>
      <c r="J10" s="75">
        <v>1.3276189886561327E-2</v>
      </c>
      <c r="K10" s="75">
        <v>1.3714693911808835E-2</v>
      </c>
      <c r="L10" s="75">
        <v>1.312957006116337E-2</v>
      </c>
      <c r="M10" s="75">
        <v>1.5071106432255902E-2</v>
      </c>
      <c r="N10" s="75">
        <v>1.4946317244381987E-2</v>
      </c>
      <c r="O10" s="75">
        <v>1.3777735713677214E-2</v>
      </c>
      <c r="P10" s="75">
        <v>1.3026357189759922E-2</v>
      </c>
      <c r="Q10" s="75">
        <v>1.4020507051632341E-2</v>
      </c>
      <c r="R10" s="75">
        <v>1.2922544235395371E-2</v>
      </c>
      <c r="S10" s="75">
        <v>1.3265501419461371E-2</v>
      </c>
      <c r="T10" s="75">
        <v>1.4188688502126453E-2</v>
      </c>
      <c r="U10" s="75">
        <v>1.3976250974558369E-2</v>
      </c>
      <c r="V10" s="75">
        <v>1.4012998978469153E-2</v>
      </c>
      <c r="W10" s="75">
        <v>1.3314560442144218E-2</v>
      </c>
      <c r="X10" s="75">
        <v>1.2790506842989989E-2</v>
      </c>
      <c r="Y10" s="75">
        <v>1.2486243940858056E-2</v>
      </c>
      <c r="Z10" s="75">
        <v>1.2181106681271625E-2</v>
      </c>
      <c r="AA10" s="75">
        <v>1.2273237198238196E-2</v>
      </c>
      <c r="AB10" s="75">
        <v>1.2674472014318582E-2</v>
      </c>
      <c r="AC10" s="75">
        <v>1.1765582819245208E-2</v>
      </c>
      <c r="AD10" s="75">
        <v>1.164042025348011E-2</v>
      </c>
      <c r="AE10" s="75">
        <v>1.1592558512006334E-2</v>
      </c>
      <c r="AF10" s="75">
        <v>1.1792962317197127E-2</v>
      </c>
      <c r="AG10" s="75">
        <v>1.1531766476970432E-2</v>
      </c>
      <c r="AH10" s="75">
        <v>1.1366126776307389E-2</v>
      </c>
      <c r="AI10" s="75">
        <v>1.0683225908511503E-2</v>
      </c>
      <c r="AJ10" s="75">
        <v>1.0043746378359288E-2</v>
      </c>
      <c r="AK10" s="75">
        <v>1.1012659791361783E-2</v>
      </c>
      <c r="AL10" s="75">
        <v>9.2641829308125808E-3</v>
      </c>
      <c r="AM10" s="75">
        <v>9.8023813765499047E-3</v>
      </c>
      <c r="AN10" s="75">
        <v>9.9883971145012917E-3</v>
      </c>
    </row>
    <row r="11" spans="1:40" s="19" customFormat="1" ht="17.100000000000001" customHeight="1" x14ac:dyDescent="0.2">
      <c r="A11" s="37" t="s">
        <v>6</v>
      </c>
      <c r="B11" s="42">
        <v>3.4838181095891985</v>
      </c>
      <c r="C11" s="42">
        <v>4.1114900557120286</v>
      </c>
      <c r="D11" s="42">
        <v>3.777438960632022</v>
      </c>
      <c r="E11" s="42">
        <v>3.3706999953998973</v>
      </c>
      <c r="F11" s="42">
        <v>2.9323491551294176</v>
      </c>
      <c r="G11" s="42">
        <v>2.5128530169105625</v>
      </c>
      <c r="H11" s="42">
        <v>4.4986358817911434</v>
      </c>
      <c r="I11" s="42">
        <v>4.9953409545589587</v>
      </c>
      <c r="J11" s="75">
        <v>3.1743621035695666</v>
      </c>
      <c r="K11" s="75">
        <v>3.9990052400116425</v>
      </c>
      <c r="L11" s="75">
        <v>3.9167091161469285</v>
      </c>
      <c r="M11" s="75">
        <v>4.1086184441941835</v>
      </c>
      <c r="N11" s="75">
        <v>4.0005421104699055</v>
      </c>
      <c r="O11" s="75">
        <v>4.8788725729112254</v>
      </c>
      <c r="P11" s="75">
        <v>3.6627953442910623</v>
      </c>
      <c r="Q11" s="75">
        <v>3.8695354246897296</v>
      </c>
      <c r="R11" s="75">
        <v>3.5904311599469487</v>
      </c>
      <c r="S11" s="75">
        <v>5.3728973816512138</v>
      </c>
      <c r="T11" s="75">
        <v>3.7552764811502679</v>
      </c>
      <c r="U11" s="75">
        <v>3.7460217529664859</v>
      </c>
      <c r="V11" s="75">
        <v>3.9318716726083087</v>
      </c>
      <c r="W11" s="75">
        <v>3.8881360817255248</v>
      </c>
      <c r="X11" s="75">
        <v>3.9085703565882803</v>
      </c>
      <c r="Y11" s="75">
        <v>3.7763812827937198</v>
      </c>
      <c r="Z11" s="75">
        <v>3.6297349215453614</v>
      </c>
      <c r="AA11" s="75">
        <v>3.8045678337946467</v>
      </c>
      <c r="AB11" s="75">
        <v>3.8117062448773305</v>
      </c>
      <c r="AC11" s="75">
        <v>3.5470230505387139</v>
      </c>
      <c r="AD11" s="75">
        <v>3.6310934605503684</v>
      </c>
      <c r="AE11" s="75">
        <v>3.6268529160092227</v>
      </c>
      <c r="AF11" s="75">
        <v>3.6023417512830722</v>
      </c>
      <c r="AG11" s="75">
        <v>4.1170162808814403</v>
      </c>
      <c r="AH11" s="75">
        <v>3.6999002777249337</v>
      </c>
      <c r="AI11" s="75">
        <v>3.6849677361763749</v>
      </c>
      <c r="AJ11" s="75">
        <v>3.7732751273581049</v>
      </c>
      <c r="AK11" s="75">
        <v>3.7312927342181417</v>
      </c>
      <c r="AL11" s="75">
        <v>3.907883319363449</v>
      </c>
      <c r="AM11" s="75">
        <v>3.6030259668267659</v>
      </c>
      <c r="AN11" s="75">
        <v>3.1479577390019253</v>
      </c>
    </row>
    <row r="12" spans="1:40" s="19" customFormat="1" ht="17.100000000000001" customHeight="1" x14ac:dyDescent="0.2">
      <c r="A12" s="37" t="s">
        <v>7</v>
      </c>
      <c r="B12" s="42">
        <v>2.1887854310906807</v>
      </c>
      <c r="C12" s="42">
        <v>2.0840016562265791</v>
      </c>
      <c r="D12" s="42">
        <v>1.9022830852995287</v>
      </c>
      <c r="E12" s="42">
        <v>1.8690845066273041</v>
      </c>
      <c r="F12" s="42">
        <v>1.6568769217144146</v>
      </c>
      <c r="G12" s="42">
        <v>1.6583370852821844</v>
      </c>
      <c r="H12" s="42">
        <v>1.3169649901759453</v>
      </c>
      <c r="I12" s="42">
        <v>1.6583619260609763</v>
      </c>
      <c r="J12" s="75">
        <v>1.9667267858516881</v>
      </c>
      <c r="K12" s="75">
        <v>2.1215256807770406</v>
      </c>
      <c r="L12" s="75">
        <v>2.3419788083442827</v>
      </c>
      <c r="M12" s="75">
        <v>2.4478191990178297</v>
      </c>
      <c r="N12" s="75">
        <v>2.4137755226224011</v>
      </c>
      <c r="O12" s="75">
        <v>2.509176308826008</v>
      </c>
      <c r="P12" s="75">
        <v>2.4404266470143559</v>
      </c>
      <c r="Q12" s="75">
        <v>2.5018862487556959</v>
      </c>
      <c r="R12" s="75">
        <v>2.5481063231194101</v>
      </c>
      <c r="S12" s="75">
        <v>2.3567036755727981</v>
      </c>
      <c r="T12" s="75">
        <v>2.0629928525067216</v>
      </c>
      <c r="U12" s="75">
        <v>2.0308745496316924</v>
      </c>
      <c r="V12" s="75">
        <v>2.3656928112000166</v>
      </c>
      <c r="W12" s="75">
        <v>2.0260644592857968</v>
      </c>
      <c r="X12" s="75">
        <v>1.8324834078863939</v>
      </c>
      <c r="Y12" s="75">
        <v>1.840557933190629</v>
      </c>
      <c r="Z12" s="75">
        <v>1.2580325059942079</v>
      </c>
      <c r="AA12" s="75">
        <v>2.176106270029333</v>
      </c>
      <c r="AB12" s="75">
        <v>2.4466483793856635</v>
      </c>
      <c r="AC12" s="75">
        <v>1.7186707042848612</v>
      </c>
      <c r="AD12" s="75">
        <v>1.3734966860583442</v>
      </c>
      <c r="AE12" s="75">
        <v>1.7960728886991393</v>
      </c>
      <c r="AF12" s="75">
        <v>2.0124050684414057</v>
      </c>
      <c r="AG12" s="75">
        <v>1.942839433663426</v>
      </c>
      <c r="AH12" s="75">
        <v>1.3561115328547182</v>
      </c>
      <c r="AI12" s="75">
        <v>1.8556538996338423</v>
      </c>
      <c r="AJ12" s="75">
        <v>2.5579548347025716</v>
      </c>
      <c r="AK12" s="75">
        <v>1.9587737889492192</v>
      </c>
      <c r="AL12" s="75">
        <v>1.6716502313698498</v>
      </c>
      <c r="AM12" s="75">
        <v>1.9794719174406912</v>
      </c>
      <c r="AN12" s="75">
        <v>2.2124572169246779</v>
      </c>
    </row>
    <row r="13" spans="1:40" s="54" customFormat="1" ht="17.100000000000001" customHeight="1" x14ac:dyDescent="0.2">
      <c r="A13" s="52" t="s">
        <v>82</v>
      </c>
      <c r="B13" s="56">
        <v>25.62167111909578</v>
      </c>
      <c r="C13" s="56">
        <v>25.936477442222689</v>
      </c>
      <c r="D13" s="56">
        <v>26.37992262635311</v>
      </c>
      <c r="E13" s="56">
        <v>26.043042717950861</v>
      </c>
      <c r="F13" s="56">
        <v>26.019531397034768</v>
      </c>
      <c r="G13" s="56">
        <v>26.559222086734902</v>
      </c>
      <c r="H13" s="56">
        <v>25.718232306863946</v>
      </c>
      <c r="I13" s="56">
        <v>26.489387621691289</v>
      </c>
      <c r="J13" s="71">
        <v>27.234116549043815</v>
      </c>
      <c r="K13" s="71">
        <v>26.756548992433299</v>
      </c>
      <c r="L13" s="71">
        <v>26.111438057790266</v>
      </c>
      <c r="M13" s="71">
        <v>26.038344858793959</v>
      </c>
      <c r="N13" s="71">
        <v>26.30819695643585</v>
      </c>
      <c r="O13" s="71">
        <v>26.619426522659744</v>
      </c>
      <c r="P13" s="71">
        <v>26.730011160948749</v>
      </c>
      <c r="Q13" s="71">
        <v>26.193715598755624</v>
      </c>
      <c r="R13" s="71">
        <v>26.680786859653196</v>
      </c>
      <c r="S13" s="71">
        <v>27.17862463690356</v>
      </c>
      <c r="T13" s="71">
        <v>27.711735881061564</v>
      </c>
      <c r="U13" s="71">
        <v>27.188986990229569</v>
      </c>
      <c r="V13" s="71">
        <v>25.980698132403948</v>
      </c>
      <c r="W13" s="71">
        <v>26.624233429907449</v>
      </c>
      <c r="X13" s="71">
        <v>27.308377745144533</v>
      </c>
      <c r="Y13" s="71">
        <v>27.155544792712327</v>
      </c>
      <c r="Z13" s="71">
        <v>26.170714357640648</v>
      </c>
      <c r="AA13" s="71">
        <v>25.238843654836039</v>
      </c>
      <c r="AB13" s="71">
        <v>25.815003885936228</v>
      </c>
      <c r="AC13" s="71">
        <v>26.025941473802753</v>
      </c>
      <c r="AD13" s="71">
        <v>26.115758125808771</v>
      </c>
      <c r="AE13" s="71">
        <v>24.885579675117729</v>
      </c>
      <c r="AF13" s="71">
        <v>24.721614113327405</v>
      </c>
      <c r="AG13" s="71">
        <v>23.852719102311355</v>
      </c>
      <c r="AH13" s="71">
        <v>24.532186061273016</v>
      </c>
      <c r="AI13" s="71">
        <v>24.338793306783867</v>
      </c>
      <c r="AJ13" s="71">
        <v>24.144297623870944</v>
      </c>
      <c r="AK13" s="71">
        <v>24.219421957752829</v>
      </c>
      <c r="AL13" s="71">
        <v>24.698938262786839</v>
      </c>
      <c r="AM13" s="71">
        <v>24.35346161350644</v>
      </c>
      <c r="AN13" s="71">
        <v>24.827943599057903</v>
      </c>
    </row>
    <row r="14" spans="1:40" s="19" customFormat="1" ht="17.100000000000001" customHeight="1" x14ac:dyDescent="0.2">
      <c r="A14" s="37" t="s">
        <v>9</v>
      </c>
      <c r="B14" s="42">
        <v>1.1537065404274032</v>
      </c>
      <c r="C14" s="42">
        <v>1.3321498400936402</v>
      </c>
      <c r="D14" s="42">
        <v>1.2675773264038595</v>
      </c>
      <c r="E14" s="42">
        <v>1.1990225055270252</v>
      </c>
      <c r="F14" s="42">
        <v>1.1193968232278155</v>
      </c>
      <c r="G14" s="42">
        <v>1.1129454857027021</v>
      </c>
      <c r="H14" s="42">
        <v>1.1725004672652992</v>
      </c>
      <c r="I14" s="42">
        <v>1.6310918792085831</v>
      </c>
      <c r="J14" s="75">
        <v>1.9315103971460361</v>
      </c>
      <c r="K14" s="75">
        <v>1.5749980236315999</v>
      </c>
      <c r="L14" s="75">
        <v>1.7981566207821369</v>
      </c>
      <c r="M14" s="75">
        <v>1.5163033680672733</v>
      </c>
      <c r="N14" s="75">
        <v>1.5336633758398681</v>
      </c>
      <c r="O14" s="75">
        <v>1.9188882131203222</v>
      </c>
      <c r="P14" s="75">
        <v>1.6885841015227321</v>
      </c>
      <c r="Q14" s="75">
        <v>1.3739059976249817</v>
      </c>
      <c r="R14" s="75">
        <v>2.2949484584171636</v>
      </c>
      <c r="S14" s="75">
        <v>2.1798698937531573</v>
      </c>
      <c r="T14" s="75">
        <v>1.7512666199812246</v>
      </c>
      <c r="U14" s="75">
        <v>1.4272047920052382</v>
      </c>
      <c r="V14" s="75">
        <v>0.93957431675956404</v>
      </c>
      <c r="W14" s="75">
        <v>1.306906317930089</v>
      </c>
      <c r="X14" s="75">
        <v>1.8359727600367484</v>
      </c>
      <c r="Y14" s="75">
        <v>1.6453134034275902</v>
      </c>
      <c r="Z14" s="75">
        <v>1.1514440069240512</v>
      </c>
      <c r="AA14" s="75">
        <v>0.78029371609683262</v>
      </c>
      <c r="AB14" s="75">
        <v>1.065939369219316</v>
      </c>
      <c r="AC14" s="75">
        <v>2.7933113953899675</v>
      </c>
      <c r="AD14" s="75">
        <v>2.251765732781891</v>
      </c>
      <c r="AE14" s="75">
        <v>1.292923772243904</v>
      </c>
      <c r="AF14" s="75">
        <v>0.9473879334345684</v>
      </c>
      <c r="AG14" s="75">
        <v>0.52001393787941663</v>
      </c>
      <c r="AH14" s="75">
        <v>1.1932158168956031</v>
      </c>
      <c r="AI14" s="75">
        <v>1.6466864908410983</v>
      </c>
      <c r="AJ14" s="75">
        <v>1.0794354709274823</v>
      </c>
      <c r="AK14" s="75">
        <v>0.71220418035762312</v>
      </c>
      <c r="AL14" s="75">
        <v>1.0885731466108188</v>
      </c>
      <c r="AM14" s="75">
        <v>1.4610488982916032</v>
      </c>
      <c r="AN14" s="75">
        <v>1.1906224562314773</v>
      </c>
    </row>
    <row r="15" spans="1:40" s="19" customFormat="1" ht="17.100000000000001" customHeight="1" x14ac:dyDescent="0.2">
      <c r="A15" s="24" t="s">
        <v>10</v>
      </c>
      <c r="B15" s="42">
        <v>15.036419885132467</v>
      </c>
      <c r="C15" s="42">
        <v>15.280910989364374</v>
      </c>
      <c r="D15" s="42">
        <v>15.960355052712213</v>
      </c>
      <c r="E15" s="42">
        <v>15.692094616966715</v>
      </c>
      <c r="F15" s="42">
        <v>15.814597925651203</v>
      </c>
      <c r="G15" s="42">
        <v>16.104491482024578</v>
      </c>
      <c r="H15" s="42">
        <v>15.472955281774551</v>
      </c>
      <c r="I15" s="42">
        <v>15.67601180523959</v>
      </c>
      <c r="J15" s="75">
        <v>15.719953945200929</v>
      </c>
      <c r="K15" s="75">
        <v>15.631676049314045</v>
      </c>
      <c r="L15" s="75">
        <v>15.131344713063177</v>
      </c>
      <c r="M15" s="75">
        <v>15.187812719261473</v>
      </c>
      <c r="N15" s="75">
        <v>15.933371777283353</v>
      </c>
      <c r="O15" s="75">
        <v>15.974313436022305</v>
      </c>
      <c r="P15" s="75">
        <v>15.777688194094258</v>
      </c>
      <c r="Q15" s="75">
        <v>15.365679597039678</v>
      </c>
      <c r="R15" s="75">
        <v>16.447666543988291</v>
      </c>
      <c r="S15" s="75">
        <v>16.202786506459304</v>
      </c>
      <c r="T15" s="75">
        <v>16.683127793224653</v>
      </c>
      <c r="U15" s="75">
        <v>16.464904624158002</v>
      </c>
      <c r="V15" s="75">
        <v>15.464091323806791</v>
      </c>
      <c r="W15" s="75">
        <v>16.275138904911518</v>
      </c>
      <c r="X15" s="75">
        <v>16.772458436286183</v>
      </c>
      <c r="Y15" s="75">
        <v>16.908394454193449</v>
      </c>
      <c r="Z15" s="75">
        <v>16.276639857541301</v>
      </c>
      <c r="AA15" s="75">
        <v>16.040200799063548</v>
      </c>
      <c r="AB15" s="75">
        <v>15.928033175725009</v>
      </c>
      <c r="AC15" s="75">
        <v>14.602292443094258</v>
      </c>
      <c r="AD15" s="75">
        <v>15.345018442663136</v>
      </c>
      <c r="AE15" s="75">
        <v>14.979778630625812</v>
      </c>
      <c r="AF15" s="75">
        <v>15.231805814744268</v>
      </c>
      <c r="AG15" s="75">
        <v>15.025671890417074</v>
      </c>
      <c r="AH15" s="75">
        <v>15.121334802859939</v>
      </c>
      <c r="AI15" s="75">
        <v>14.048910541280135</v>
      </c>
      <c r="AJ15" s="75">
        <v>14.312696472208286</v>
      </c>
      <c r="AK15" s="75">
        <v>14.519284372769389</v>
      </c>
      <c r="AL15" s="75">
        <v>14.8366192285397</v>
      </c>
      <c r="AM15" s="75">
        <v>14.246776920390797</v>
      </c>
      <c r="AN15" s="75">
        <v>14.662945129850163</v>
      </c>
    </row>
    <row r="16" spans="1:40" s="19" customFormat="1" ht="17.100000000000001" customHeight="1" x14ac:dyDescent="0.2">
      <c r="A16" s="24" t="s">
        <v>11</v>
      </c>
      <c r="B16" s="42">
        <v>1.2108047225394984</v>
      </c>
      <c r="C16" s="42">
        <v>1.1977450368247187</v>
      </c>
      <c r="D16" s="42">
        <v>1.3429739338004933</v>
      </c>
      <c r="E16" s="42">
        <v>1.3156164333021092</v>
      </c>
      <c r="F16" s="42">
        <v>1.3165367289859069</v>
      </c>
      <c r="G16" s="42">
        <v>1.3276280717402822</v>
      </c>
      <c r="H16" s="42">
        <v>1.2669198349927131</v>
      </c>
      <c r="I16" s="42">
        <v>1.2221636178898476</v>
      </c>
      <c r="J16" s="75">
        <v>1.3528794529152499</v>
      </c>
      <c r="K16" s="75">
        <v>1.3159066655882163</v>
      </c>
      <c r="L16" s="75">
        <v>1.2707324059465117</v>
      </c>
      <c r="M16" s="75">
        <v>1.3209660173862123</v>
      </c>
      <c r="N16" s="75">
        <v>1.3575431513247578</v>
      </c>
      <c r="O16" s="75">
        <v>1.3445108706340054</v>
      </c>
      <c r="P16" s="75">
        <v>1.4280740124842475</v>
      </c>
      <c r="Q16" s="75">
        <v>1.3944025762017496</v>
      </c>
      <c r="R16" s="75">
        <v>1.4497876682947148</v>
      </c>
      <c r="S16" s="75">
        <v>1.4310912082915299</v>
      </c>
      <c r="T16" s="75">
        <v>1.45276732741069</v>
      </c>
      <c r="U16" s="75">
        <v>1.4265178531681111</v>
      </c>
      <c r="V16" s="75">
        <v>1.4115711975041632</v>
      </c>
      <c r="W16" s="75">
        <v>1.3502424839828779</v>
      </c>
      <c r="X16" s="75">
        <v>1.3172059294823264</v>
      </c>
      <c r="Y16" s="75">
        <v>1.2882923323571331</v>
      </c>
      <c r="Z16" s="75">
        <v>1.3077390400430156</v>
      </c>
      <c r="AA16" s="75">
        <v>1.1936199789542405</v>
      </c>
      <c r="AB16" s="75">
        <v>1.1963651542574978</v>
      </c>
      <c r="AC16" s="75">
        <v>1.1038131895938961</v>
      </c>
      <c r="AD16" s="75">
        <v>1.1130631921711462</v>
      </c>
      <c r="AE16" s="75">
        <v>1.0855153493439291</v>
      </c>
      <c r="AF16" s="75">
        <v>1.0814081048503141</v>
      </c>
      <c r="AG16" s="75">
        <v>1.055848831416109</v>
      </c>
      <c r="AH16" s="75">
        <v>1.0462281433719771</v>
      </c>
      <c r="AI16" s="75">
        <v>1.065990283620053</v>
      </c>
      <c r="AJ16" s="75">
        <v>1.0522372193028966</v>
      </c>
      <c r="AK16" s="75">
        <v>1.0382627540469833</v>
      </c>
      <c r="AL16" s="75">
        <v>1.1736607187179042</v>
      </c>
      <c r="AM16" s="75">
        <v>0.99806153160897293</v>
      </c>
      <c r="AN16" s="75">
        <v>1.0081931827151052</v>
      </c>
    </row>
    <row r="17" spans="1:40" s="19" customFormat="1" ht="17.100000000000001" customHeight="1" x14ac:dyDescent="0.2">
      <c r="A17" s="24" t="s">
        <v>12</v>
      </c>
      <c r="B17" s="42">
        <v>2.3971529133401783</v>
      </c>
      <c r="C17" s="42">
        <v>2.3305852626322472</v>
      </c>
      <c r="D17" s="42">
        <v>2.318948332221161</v>
      </c>
      <c r="E17" s="42">
        <v>2.4356327181324948</v>
      </c>
      <c r="F17" s="42">
        <v>2.4109342765235189</v>
      </c>
      <c r="G17" s="42">
        <v>2.4823634979274321</v>
      </c>
      <c r="H17" s="42">
        <v>2.3233356411550656</v>
      </c>
      <c r="I17" s="42">
        <v>2.3566382326959849</v>
      </c>
      <c r="J17" s="75">
        <v>2.3661742547299758</v>
      </c>
      <c r="K17" s="75">
        <v>2.2990056665363903</v>
      </c>
      <c r="L17" s="75">
        <v>2.1772723512277761</v>
      </c>
      <c r="M17" s="75">
        <v>2.1758471903237933</v>
      </c>
      <c r="N17" s="75">
        <v>2.1404903680471024</v>
      </c>
      <c r="O17" s="75">
        <v>2.1142407613394196</v>
      </c>
      <c r="P17" s="75">
        <v>2.2117228879517858</v>
      </c>
      <c r="Q17" s="75">
        <v>2.4804825842640246</v>
      </c>
      <c r="R17" s="75">
        <v>2.2250648452236397</v>
      </c>
      <c r="S17" s="75">
        <v>2.1564125238147409</v>
      </c>
      <c r="T17" s="75">
        <v>2.2072858476723232</v>
      </c>
      <c r="U17" s="75">
        <v>2.2065469476204207</v>
      </c>
      <c r="V17" s="75">
        <v>2.2324967295135014</v>
      </c>
      <c r="W17" s="75">
        <v>2.1411929548791218</v>
      </c>
      <c r="X17" s="75">
        <v>2.1133616301856613</v>
      </c>
      <c r="Y17" s="75">
        <v>2.0929532215399749</v>
      </c>
      <c r="Z17" s="75">
        <v>2.1285103866096695</v>
      </c>
      <c r="AA17" s="75">
        <v>2.1348555127474294</v>
      </c>
      <c r="AB17" s="75">
        <v>2.2060106021789241</v>
      </c>
      <c r="AC17" s="75">
        <v>2.0423112714899947</v>
      </c>
      <c r="AD17" s="75">
        <v>2.1185863258616875</v>
      </c>
      <c r="AE17" s="75">
        <v>2.1054582816945002</v>
      </c>
      <c r="AF17" s="75">
        <v>2.1307044255120227</v>
      </c>
      <c r="AG17" s="75">
        <v>2.1158028831367641</v>
      </c>
      <c r="AH17" s="75">
        <v>2.084089419690204</v>
      </c>
      <c r="AI17" s="75">
        <v>2.1551206379971797</v>
      </c>
      <c r="AJ17" s="75">
        <v>2.1370691571039493</v>
      </c>
      <c r="AK17" s="75">
        <v>2.1412875682107235</v>
      </c>
      <c r="AL17" s="75">
        <v>2.1678128571389492</v>
      </c>
      <c r="AM17" s="75">
        <v>2.029589835419324</v>
      </c>
      <c r="AN17" s="75">
        <v>2.1680173995754792</v>
      </c>
    </row>
    <row r="18" spans="1:40" s="19" customFormat="1" ht="17.100000000000001" customHeight="1" x14ac:dyDescent="0.2">
      <c r="A18" s="37" t="s">
        <v>13</v>
      </c>
      <c r="B18" s="42">
        <v>5.8235870576562316</v>
      </c>
      <c r="C18" s="42">
        <v>5.7950863133077064</v>
      </c>
      <c r="D18" s="42">
        <v>5.4900679812153825</v>
      </c>
      <c r="E18" s="42">
        <v>5.4006764440225163</v>
      </c>
      <c r="F18" s="42">
        <v>5.3580656426463236</v>
      </c>
      <c r="G18" s="42">
        <v>5.5317935493399046</v>
      </c>
      <c r="H18" s="42">
        <v>5.4825210816763175</v>
      </c>
      <c r="I18" s="42">
        <v>5.6034820866572845</v>
      </c>
      <c r="J18" s="75">
        <v>5.8635984990516228</v>
      </c>
      <c r="K18" s="75">
        <v>5.9349625873630449</v>
      </c>
      <c r="L18" s="75">
        <v>5.7339319667706681</v>
      </c>
      <c r="M18" s="75">
        <v>5.8374155637552088</v>
      </c>
      <c r="N18" s="75">
        <v>5.343128283940767</v>
      </c>
      <c r="O18" s="75">
        <v>5.2674732415436951</v>
      </c>
      <c r="P18" s="75">
        <v>5.6239419648957263</v>
      </c>
      <c r="Q18" s="75">
        <v>5.579244843625192</v>
      </c>
      <c r="R18" s="75">
        <v>4.2633193437293908</v>
      </c>
      <c r="S18" s="75">
        <v>5.2084645045848283</v>
      </c>
      <c r="T18" s="75">
        <v>5.6172882927726748</v>
      </c>
      <c r="U18" s="75">
        <v>5.6638127732777974</v>
      </c>
      <c r="V18" s="75">
        <v>5.9329645648199287</v>
      </c>
      <c r="W18" s="75">
        <v>5.550752768203842</v>
      </c>
      <c r="X18" s="75">
        <v>5.2693789891536111</v>
      </c>
      <c r="Y18" s="75">
        <v>5.2205913811941773</v>
      </c>
      <c r="Z18" s="75">
        <v>5.3063810665226132</v>
      </c>
      <c r="AA18" s="75">
        <v>5.0898736479739863</v>
      </c>
      <c r="AB18" s="75">
        <v>5.4186555845554789</v>
      </c>
      <c r="AC18" s="75">
        <v>5.4842131742346334</v>
      </c>
      <c r="AD18" s="75">
        <v>5.2873244323309079</v>
      </c>
      <c r="AE18" s="75">
        <v>5.4219036412095845</v>
      </c>
      <c r="AF18" s="75">
        <v>5.3303078347862325</v>
      </c>
      <c r="AG18" s="75">
        <v>5.1353815594619885</v>
      </c>
      <c r="AH18" s="75">
        <v>5.087317878455293</v>
      </c>
      <c r="AI18" s="75">
        <v>5.422085353045401</v>
      </c>
      <c r="AJ18" s="75">
        <v>5.562859304328331</v>
      </c>
      <c r="AK18" s="75">
        <v>5.8083830823681053</v>
      </c>
      <c r="AL18" s="75">
        <v>5.4322723117794682</v>
      </c>
      <c r="AM18" s="75">
        <v>5.6179844277957427</v>
      </c>
      <c r="AN18" s="75">
        <v>5.79816543068568</v>
      </c>
    </row>
    <row r="19" spans="1:40" s="54" customFormat="1" ht="17.100000000000001" customHeight="1" x14ac:dyDescent="0.2">
      <c r="A19" s="52" t="s">
        <v>83</v>
      </c>
      <c r="B19" s="56">
        <v>43.762671885888039</v>
      </c>
      <c r="C19" s="56">
        <v>43.037672756927527</v>
      </c>
      <c r="D19" s="56">
        <v>42.654060057563441</v>
      </c>
      <c r="E19" s="56">
        <v>44.258422796271269</v>
      </c>
      <c r="F19" s="56">
        <v>43.809043034982622</v>
      </c>
      <c r="G19" s="56">
        <v>44.315704691299651</v>
      </c>
      <c r="H19" s="56">
        <v>42.44514287396715</v>
      </c>
      <c r="I19" s="56">
        <v>42.642819165167026</v>
      </c>
      <c r="J19" s="71">
        <v>43.43256436491955</v>
      </c>
      <c r="K19" s="71">
        <v>42.953463599863234</v>
      </c>
      <c r="L19" s="71">
        <v>41.982728120639251</v>
      </c>
      <c r="M19" s="71">
        <v>43.052709011420859</v>
      </c>
      <c r="N19" s="71">
        <v>43.799366888271997</v>
      </c>
      <c r="O19" s="71">
        <v>42.423913521527936</v>
      </c>
      <c r="P19" s="71">
        <v>41.932031338462053</v>
      </c>
      <c r="Q19" s="71">
        <v>42.897896534819253</v>
      </c>
      <c r="R19" s="71">
        <v>42.18089951628653</v>
      </c>
      <c r="S19" s="71">
        <v>40.945689014657965</v>
      </c>
      <c r="T19" s="71">
        <v>42.710143270890178</v>
      </c>
      <c r="U19" s="71">
        <v>41.658279496701617</v>
      </c>
      <c r="V19" s="71">
        <v>41.643457038873464</v>
      </c>
      <c r="W19" s="71">
        <v>41.644968389454974</v>
      </c>
      <c r="X19" s="71">
        <v>41.99981039109737</v>
      </c>
      <c r="Y19" s="71">
        <v>41.342281998117869</v>
      </c>
      <c r="Z19" s="71">
        <v>42.689960341214061</v>
      </c>
      <c r="AA19" s="71">
        <v>42.653461343635186</v>
      </c>
      <c r="AB19" s="71">
        <v>42.517828693432051</v>
      </c>
      <c r="AC19" s="71">
        <v>42.493983490754722</v>
      </c>
      <c r="AD19" s="71">
        <v>42.88988390085769</v>
      </c>
      <c r="AE19" s="71">
        <v>43.726406435904167</v>
      </c>
      <c r="AF19" s="71">
        <v>43.529287089613597</v>
      </c>
      <c r="AG19" s="71">
        <v>42.655561737677104</v>
      </c>
      <c r="AH19" s="71">
        <v>42.70634000054087</v>
      </c>
      <c r="AI19" s="71">
        <v>42.082910191681542</v>
      </c>
      <c r="AJ19" s="71">
        <v>42.430159818486729</v>
      </c>
      <c r="AK19" s="71">
        <v>41.461763107905711</v>
      </c>
      <c r="AL19" s="71">
        <v>42.959910021142434</v>
      </c>
      <c r="AM19" s="71">
        <v>42.149106370784331</v>
      </c>
      <c r="AN19" s="71">
        <v>41.892324597437678</v>
      </c>
    </row>
    <row r="20" spans="1:40" s="19" customFormat="1" ht="17.100000000000001" customHeight="1" x14ac:dyDescent="0.2">
      <c r="A20" s="38" t="s">
        <v>64</v>
      </c>
      <c r="B20" s="42">
        <v>8.6247808628134042</v>
      </c>
      <c r="C20" s="42">
        <v>8.8842817211969702</v>
      </c>
      <c r="D20" s="42">
        <v>8.9700004756335474</v>
      </c>
      <c r="E20" s="42">
        <v>9.6083600411492593</v>
      </c>
      <c r="F20" s="42">
        <v>9.1389258547765291</v>
      </c>
      <c r="G20" s="42">
        <v>8.6722116514201293</v>
      </c>
      <c r="H20" s="42">
        <v>8.9431072785250674</v>
      </c>
      <c r="I20" s="42">
        <v>9.3849634429617321</v>
      </c>
      <c r="J20" s="75">
        <v>8.7666849184797417</v>
      </c>
      <c r="K20" s="75">
        <v>8.9553651227156053</v>
      </c>
      <c r="L20" s="75">
        <v>8.4216468315103281</v>
      </c>
      <c r="M20" s="75">
        <v>8.3472631127760124</v>
      </c>
      <c r="N20" s="75">
        <v>8.4121290915448554</v>
      </c>
      <c r="O20" s="75">
        <v>8.488288517962971</v>
      </c>
      <c r="P20" s="75">
        <v>8.2742963591143397</v>
      </c>
      <c r="Q20" s="75">
        <v>8.4888995840839154</v>
      </c>
      <c r="R20" s="75">
        <v>8.0183503501790856</v>
      </c>
      <c r="S20" s="75">
        <v>7.9809135760151557</v>
      </c>
      <c r="T20" s="75">
        <v>8.0053154754674942</v>
      </c>
      <c r="U20" s="75">
        <v>7.7806491734276326</v>
      </c>
      <c r="V20" s="75">
        <v>7.2864658486710532</v>
      </c>
      <c r="W20" s="75">
        <v>7.9948316749770445</v>
      </c>
      <c r="X20" s="75">
        <v>8.9158138250625942</v>
      </c>
      <c r="Y20" s="75">
        <v>9.3188733591891584</v>
      </c>
      <c r="Z20" s="75">
        <v>8.6093631901736494</v>
      </c>
      <c r="AA20" s="75">
        <v>8.7237463010846721</v>
      </c>
      <c r="AB20" s="75">
        <v>9.3850661773946786</v>
      </c>
      <c r="AC20" s="75">
        <v>9.961230914586416</v>
      </c>
      <c r="AD20" s="75">
        <v>10.209058142143819</v>
      </c>
      <c r="AE20" s="75">
        <v>9.3902212436019781</v>
      </c>
      <c r="AF20" s="75">
        <v>9.3914579559068532</v>
      </c>
      <c r="AG20" s="75">
        <v>8.9511998568597733</v>
      </c>
      <c r="AH20" s="75">
        <v>10.173019507282977</v>
      </c>
      <c r="AI20" s="75">
        <v>9.6333258644278281</v>
      </c>
      <c r="AJ20" s="75">
        <v>9.4180038934053592</v>
      </c>
      <c r="AK20" s="75">
        <v>9.2448019849709357</v>
      </c>
      <c r="AL20" s="75">
        <v>9.9434183914887182</v>
      </c>
      <c r="AM20" s="75">
        <v>10.438182136322208</v>
      </c>
      <c r="AN20" s="75">
        <v>9.3455765506375119</v>
      </c>
    </row>
    <row r="21" spans="1:40" s="19" customFormat="1" ht="17.100000000000001" customHeight="1" x14ac:dyDescent="0.2">
      <c r="A21" s="38" t="s">
        <v>65</v>
      </c>
      <c r="B21" s="42">
        <v>3.319596222117748</v>
      </c>
      <c r="C21" s="42">
        <v>3.3400440445683808</v>
      </c>
      <c r="D21" s="42">
        <v>3.2861508417733956</v>
      </c>
      <c r="E21" s="42">
        <v>3.3944265945826211</v>
      </c>
      <c r="F21" s="42">
        <v>3.4429325759091101</v>
      </c>
      <c r="G21" s="42">
        <v>3.474467490162704</v>
      </c>
      <c r="H21" s="42">
        <v>3.3714090473395983</v>
      </c>
      <c r="I21" s="42">
        <v>3.3640972441894159</v>
      </c>
      <c r="J21" s="75">
        <v>3.4512651274445214</v>
      </c>
      <c r="K21" s="75">
        <v>3.3246420141684809</v>
      </c>
      <c r="L21" s="75">
        <v>3.3180728032062166</v>
      </c>
      <c r="M21" s="75">
        <v>3.5494400162269404</v>
      </c>
      <c r="N21" s="75">
        <v>3.7004210371847766</v>
      </c>
      <c r="O21" s="75">
        <v>3.3331455919939676</v>
      </c>
      <c r="P21" s="75">
        <v>3.273253183672157</v>
      </c>
      <c r="Q21" s="75">
        <v>3.3675127291951781</v>
      </c>
      <c r="R21" s="75">
        <v>3.7275030015943185</v>
      </c>
      <c r="S21" s="75">
        <v>3.1428068300677374</v>
      </c>
      <c r="T21" s="75">
        <v>2.9912870038936692</v>
      </c>
      <c r="U21" s="75">
        <v>3.104347025573726</v>
      </c>
      <c r="V21" s="75">
        <v>3.1839369013658518</v>
      </c>
      <c r="W21" s="75">
        <v>3.2203866419813583</v>
      </c>
      <c r="X21" s="75">
        <v>3.1398408490904499</v>
      </c>
      <c r="Y21" s="75">
        <v>3.1717397776995693</v>
      </c>
      <c r="Z21" s="75">
        <v>3.2703217993891873</v>
      </c>
      <c r="AA21" s="75">
        <v>3.5909971597802155</v>
      </c>
      <c r="AB21" s="75">
        <v>3.7805231231018048</v>
      </c>
      <c r="AC21" s="75">
        <v>3.5129130267871429</v>
      </c>
      <c r="AD21" s="75">
        <v>3.4900401961008618</v>
      </c>
      <c r="AE21" s="75">
        <v>3.6291728904300555</v>
      </c>
      <c r="AF21" s="75">
        <v>3.8499205129444922</v>
      </c>
      <c r="AG21" s="75">
        <v>3.884179682262507</v>
      </c>
      <c r="AH21" s="75">
        <v>3.8258692556917073</v>
      </c>
      <c r="AI21" s="75">
        <v>3.7516658608447107</v>
      </c>
      <c r="AJ21" s="75">
        <v>3.8352506535145969</v>
      </c>
      <c r="AK21" s="75">
        <v>3.7971531106364682</v>
      </c>
      <c r="AL21" s="75">
        <v>3.7286578964182091</v>
      </c>
      <c r="AM21" s="75">
        <v>3.5917115876241752</v>
      </c>
      <c r="AN21" s="75">
        <v>3.7239855326279896</v>
      </c>
    </row>
    <row r="22" spans="1:40" s="19" customFormat="1" ht="17.100000000000001" customHeight="1" x14ac:dyDescent="0.2">
      <c r="A22" s="38" t="s">
        <v>66</v>
      </c>
      <c r="B22" s="42">
        <v>2.8081916623911227</v>
      </c>
      <c r="C22" s="42">
        <v>2.9255745269964368</v>
      </c>
      <c r="D22" s="42">
        <v>2.9373882592153255</v>
      </c>
      <c r="E22" s="42">
        <v>3.1626208548648358</v>
      </c>
      <c r="F22" s="42">
        <v>3.1854608730723397</v>
      </c>
      <c r="G22" s="42">
        <v>3.1816244624760639</v>
      </c>
      <c r="H22" s="42">
        <v>2.9411072688824986</v>
      </c>
      <c r="I22" s="42">
        <v>2.8619477544113532</v>
      </c>
      <c r="J22" s="75">
        <v>2.9784690684912332</v>
      </c>
      <c r="K22" s="75">
        <v>2.8669647749527334</v>
      </c>
      <c r="L22" s="75">
        <v>2.8068289180434038</v>
      </c>
      <c r="M22" s="75">
        <v>2.8590817103855053</v>
      </c>
      <c r="N22" s="75">
        <v>3.0601615502231252</v>
      </c>
      <c r="O22" s="75">
        <v>2.9262554868585906</v>
      </c>
      <c r="P22" s="75">
        <v>2.7800532645540472</v>
      </c>
      <c r="Q22" s="75">
        <v>1.5425817123069123</v>
      </c>
      <c r="R22" s="75">
        <v>2.2656794187589488</v>
      </c>
      <c r="S22" s="75">
        <v>2.220240885980544</v>
      </c>
      <c r="T22" s="75">
        <v>2.7094489103893427</v>
      </c>
      <c r="U22" s="75">
        <v>2.3513916519018938</v>
      </c>
      <c r="V22" s="75">
        <v>2.2672672881563245</v>
      </c>
      <c r="W22" s="75">
        <v>2.501752214215597</v>
      </c>
      <c r="X22" s="75">
        <v>2.0927170381288587</v>
      </c>
      <c r="Y22" s="75">
        <v>1.9632762710114751</v>
      </c>
      <c r="Z22" s="75">
        <v>2.0075728992849622</v>
      </c>
      <c r="AA22" s="75">
        <v>2.2486175142210052</v>
      </c>
      <c r="AB22" s="75">
        <v>2.2274281623517798</v>
      </c>
      <c r="AC22" s="75">
        <v>2.2692772260430543</v>
      </c>
      <c r="AD22" s="75">
        <v>2.1990305001788264</v>
      </c>
      <c r="AE22" s="75">
        <v>2.0677505311269337</v>
      </c>
      <c r="AF22" s="75">
        <v>2.3621987639534123</v>
      </c>
      <c r="AG22" s="75">
        <v>2.6170059519436379</v>
      </c>
      <c r="AH22" s="75">
        <v>2.3795200140374759</v>
      </c>
      <c r="AI22" s="75">
        <v>2.4267365798971099</v>
      </c>
      <c r="AJ22" s="75">
        <v>2.5252618841400478</v>
      </c>
      <c r="AK22" s="75">
        <v>2.0335630323424327</v>
      </c>
      <c r="AL22" s="75">
        <v>2.7404276774435283</v>
      </c>
      <c r="AM22" s="75">
        <v>2.65455413679341</v>
      </c>
      <c r="AN22" s="75">
        <v>2.5056316961939884</v>
      </c>
    </row>
    <row r="23" spans="1:40" s="19" customFormat="1" ht="17.100000000000001" customHeight="1" x14ac:dyDescent="0.2">
      <c r="A23" s="38" t="s">
        <v>67</v>
      </c>
      <c r="B23" s="42">
        <v>2.1713362034330523</v>
      </c>
      <c r="C23" s="42">
        <v>2.0143835329923911</v>
      </c>
      <c r="D23" s="42">
        <v>1.9070227861866809</v>
      </c>
      <c r="E23" s="42">
        <v>1.7641402982673222</v>
      </c>
      <c r="F23" s="42">
        <v>1.5746825007124456</v>
      </c>
      <c r="G23" s="42">
        <v>1.5996165154069055</v>
      </c>
      <c r="H23" s="42">
        <v>1.615425483810665</v>
      </c>
      <c r="I23" s="42">
        <v>1.7110048640215327</v>
      </c>
      <c r="J23" s="75">
        <v>1.7715039464332019</v>
      </c>
      <c r="K23" s="75">
        <v>1.8072944870901695</v>
      </c>
      <c r="L23" s="75">
        <v>1.7913505140301915</v>
      </c>
      <c r="M23" s="75">
        <v>1.8581985480695111</v>
      </c>
      <c r="N23" s="75">
        <v>1.9119199169350916</v>
      </c>
      <c r="O23" s="75">
        <v>1.8525681713206101</v>
      </c>
      <c r="P23" s="75">
        <v>1.7290710629123784</v>
      </c>
      <c r="Q23" s="75">
        <v>1.8058539935697864</v>
      </c>
      <c r="R23" s="75">
        <v>1.7087824367824695</v>
      </c>
      <c r="S23" s="75">
        <v>1.7151344346158675</v>
      </c>
      <c r="T23" s="75">
        <v>1.8784878374936884</v>
      </c>
      <c r="U23" s="75">
        <v>1.9219854760442623</v>
      </c>
      <c r="V23" s="75">
        <v>1.7827315997681508</v>
      </c>
      <c r="W23" s="75">
        <v>1.7018200721287731</v>
      </c>
      <c r="X23" s="75">
        <v>1.6880889422638643</v>
      </c>
      <c r="Y23" s="75">
        <v>1.591502465956125</v>
      </c>
      <c r="Z23" s="75">
        <v>1.4018902663367787</v>
      </c>
      <c r="AA23" s="75">
        <v>1.3832118305510521</v>
      </c>
      <c r="AB23" s="75">
        <v>1.6063255554860465</v>
      </c>
      <c r="AC23" s="75">
        <v>1.781349707149724</v>
      </c>
      <c r="AD23" s="75">
        <v>2.2123378779674194</v>
      </c>
      <c r="AE23" s="75">
        <v>2.3262636402845529</v>
      </c>
      <c r="AF23" s="75">
        <v>2.2835952416541394</v>
      </c>
      <c r="AG23" s="75">
        <v>1.8952662734253549</v>
      </c>
      <c r="AH23" s="75">
        <v>2.2066383159499083</v>
      </c>
      <c r="AI23" s="75">
        <v>1.9076511145753099</v>
      </c>
      <c r="AJ23" s="75">
        <v>2.0723820949544138</v>
      </c>
      <c r="AK23" s="75">
        <v>1.7255062515210005</v>
      </c>
      <c r="AL23" s="75">
        <v>1.8653073353766303</v>
      </c>
      <c r="AM23" s="75">
        <v>1.76717956156207</v>
      </c>
      <c r="AN23" s="75">
        <v>2.2093435214259114</v>
      </c>
    </row>
    <row r="24" spans="1:40" s="19" customFormat="1" ht="17.100000000000001" customHeight="1" x14ac:dyDescent="0.2">
      <c r="A24" s="38" t="s">
        <v>68</v>
      </c>
      <c r="B24" s="42">
        <v>2.6679303457827541</v>
      </c>
      <c r="C24" s="42">
        <v>2.5026693604431904</v>
      </c>
      <c r="D24" s="42">
        <v>2.6985094086215518</v>
      </c>
      <c r="E24" s="42">
        <v>2.6974021192416968</v>
      </c>
      <c r="F24" s="42">
        <v>2.5992733421841949</v>
      </c>
      <c r="G24" s="42">
        <v>2.7330608160329817</v>
      </c>
      <c r="H24" s="42">
        <v>2.4195865451360921</v>
      </c>
      <c r="I24" s="42">
        <v>2.4434764252365198</v>
      </c>
      <c r="J24" s="75">
        <v>2.3757312827703814</v>
      </c>
      <c r="K24" s="75">
        <v>2.5061710609549022</v>
      </c>
      <c r="L24" s="75">
        <v>2.6342181620112592</v>
      </c>
      <c r="M24" s="75">
        <v>2.9257767883414223</v>
      </c>
      <c r="N24" s="75">
        <v>2.9740101484850441</v>
      </c>
      <c r="O24" s="75">
        <v>2.9199599570928747</v>
      </c>
      <c r="P24" s="75">
        <v>2.7336076844121582</v>
      </c>
      <c r="Q24" s="75">
        <v>2.2209107779838866</v>
      </c>
      <c r="R24" s="75">
        <v>2.9990610123436987</v>
      </c>
      <c r="S24" s="75">
        <v>2.586708185828031</v>
      </c>
      <c r="T24" s="75">
        <v>2.8628981642501583</v>
      </c>
      <c r="U24" s="75">
        <v>2.6465715889927641</v>
      </c>
      <c r="V24" s="75">
        <v>2.8861798323310981</v>
      </c>
      <c r="W24" s="75">
        <v>2.6850575113973187</v>
      </c>
      <c r="X24" s="75">
        <v>3.0159275835860462</v>
      </c>
      <c r="Y24" s="75">
        <v>2.8946963120397586</v>
      </c>
      <c r="Z24" s="75">
        <v>2.8934750192547507</v>
      </c>
      <c r="AA24" s="75">
        <v>3.2978749867318453</v>
      </c>
      <c r="AB24" s="75">
        <v>2.0853023658625109</v>
      </c>
      <c r="AC24" s="75">
        <v>2.9481213385963585</v>
      </c>
      <c r="AD24" s="75">
        <v>2.6947865021931823</v>
      </c>
      <c r="AE24" s="75">
        <v>2.8000518735602524</v>
      </c>
      <c r="AF24" s="75">
        <v>2.7198478057373539</v>
      </c>
      <c r="AG24" s="75">
        <v>2.7370521666303071</v>
      </c>
      <c r="AH24" s="75">
        <v>2.7297074639206205</v>
      </c>
      <c r="AI24" s="75">
        <v>2.5955152859331609</v>
      </c>
      <c r="AJ24" s="75">
        <v>2.6115067772955185</v>
      </c>
      <c r="AK24" s="75">
        <v>2.6333987534738803</v>
      </c>
      <c r="AL24" s="75">
        <v>2.8276182001743644</v>
      </c>
      <c r="AM24" s="75">
        <v>2.580938871413192</v>
      </c>
      <c r="AN24" s="75">
        <v>2.6325597076705347</v>
      </c>
    </row>
    <row r="25" spans="1:40" s="19" customFormat="1" ht="17.100000000000001" customHeight="1" x14ac:dyDescent="0.2">
      <c r="A25" s="38" t="s">
        <v>20</v>
      </c>
      <c r="B25" s="42">
        <v>6.1243765958251304</v>
      </c>
      <c r="C25" s="42">
        <v>5.968849173048965</v>
      </c>
      <c r="D25" s="42">
        <v>5.8490462195813189</v>
      </c>
      <c r="E25" s="42">
        <v>6.0443566092769307</v>
      </c>
      <c r="F25" s="42">
        <v>6.0982271129297088</v>
      </c>
      <c r="G25" s="42">
        <v>6.4253429287976713</v>
      </c>
      <c r="H25" s="42">
        <v>6.0427873461360457</v>
      </c>
      <c r="I25" s="42">
        <v>6.0612529640363944</v>
      </c>
      <c r="J25" s="75">
        <v>6.4040809617650938</v>
      </c>
      <c r="K25" s="75">
        <v>6.3517611481230922</v>
      </c>
      <c r="L25" s="75">
        <v>6.1623273933898952</v>
      </c>
      <c r="M25" s="75">
        <v>6.1199384772241379</v>
      </c>
      <c r="N25" s="75">
        <v>6.1840739970842211</v>
      </c>
      <c r="O25" s="75">
        <v>5.8631703082109343</v>
      </c>
      <c r="P25" s="75">
        <v>6.3827759906407113</v>
      </c>
      <c r="Q25" s="75">
        <v>7.118990226015649</v>
      </c>
      <c r="R25" s="75">
        <v>6.3486611143086513</v>
      </c>
      <c r="S25" s="75">
        <v>6.1353859880269486</v>
      </c>
      <c r="T25" s="75">
        <v>6.2366803946484621</v>
      </c>
      <c r="U25" s="75">
        <v>6.306783903731267</v>
      </c>
      <c r="V25" s="75">
        <v>6.4612286606597733</v>
      </c>
      <c r="W25" s="75">
        <v>6.288529138428399</v>
      </c>
      <c r="X25" s="75">
        <v>6.1960400022076163</v>
      </c>
      <c r="Y25" s="75">
        <v>6.1761327877992001</v>
      </c>
      <c r="Z25" s="75">
        <v>6.1385577687065496</v>
      </c>
      <c r="AA25" s="75">
        <v>6.1786291729338609</v>
      </c>
      <c r="AB25" s="75">
        <v>6.2793589506250305</v>
      </c>
      <c r="AC25" s="75">
        <v>5.9662079394182017</v>
      </c>
      <c r="AD25" s="75">
        <v>5.9500707412739953</v>
      </c>
      <c r="AE25" s="75">
        <v>6.0316507524301208</v>
      </c>
      <c r="AF25" s="75">
        <v>6.0717707447995508</v>
      </c>
      <c r="AG25" s="75">
        <v>5.8707976341743189</v>
      </c>
      <c r="AH25" s="75">
        <v>5.6797031300020393</v>
      </c>
      <c r="AI25" s="75">
        <v>5.7185289491543179</v>
      </c>
      <c r="AJ25" s="75">
        <v>5.7348865602000068</v>
      </c>
      <c r="AK25" s="75">
        <v>5.6630003518902576</v>
      </c>
      <c r="AL25" s="75">
        <v>5.7669397752671623</v>
      </c>
      <c r="AM25" s="75">
        <v>5.4033584613298533</v>
      </c>
      <c r="AN25" s="75">
        <v>5.5788139988083998</v>
      </c>
    </row>
    <row r="26" spans="1:40" s="19" customFormat="1" ht="17.100000000000001" customHeight="1" x14ac:dyDescent="0.2">
      <c r="A26" s="38" t="s">
        <v>70</v>
      </c>
      <c r="B26" s="42">
        <v>2.4925529208082629</v>
      </c>
      <c r="C26" s="42">
        <v>2.1567991622298317</v>
      </c>
      <c r="D26" s="42">
        <v>1.9616387126445534</v>
      </c>
      <c r="E26" s="42">
        <v>2.0092998932098394</v>
      </c>
      <c r="F26" s="42">
        <v>2.2067591495687582</v>
      </c>
      <c r="G26" s="42">
        <v>2.2141001520558334</v>
      </c>
      <c r="H26" s="42">
        <v>2.0785675753687505</v>
      </c>
      <c r="I26" s="42">
        <v>2.1145183078632641</v>
      </c>
      <c r="J26" s="75">
        <v>2.0555434294837469</v>
      </c>
      <c r="K26" s="75">
        <v>1.8500303328043703</v>
      </c>
      <c r="L26" s="75">
        <v>2.0424099765547661</v>
      </c>
      <c r="M26" s="75">
        <v>2.3076242292153242</v>
      </c>
      <c r="N26" s="75">
        <v>2.5472313840484713</v>
      </c>
      <c r="O26" s="75">
        <v>2.1750576724166111</v>
      </c>
      <c r="P26" s="75">
        <v>1.4949984092342099</v>
      </c>
      <c r="Q26" s="75">
        <v>2.0419048487982807</v>
      </c>
      <c r="R26" s="75">
        <v>1.8198055724916149</v>
      </c>
      <c r="S26" s="75">
        <v>1.9691378773831318</v>
      </c>
      <c r="T26" s="75">
        <v>2.1293103283195425</v>
      </c>
      <c r="U26" s="75">
        <v>2.0182682763172992</v>
      </c>
      <c r="V26" s="75">
        <v>2.3131918463483814</v>
      </c>
      <c r="W26" s="75">
        <v>1.9645637464559316</v>
      </c>
      <c r="X26" s="75">
        <v>1.6896863311194519</v>
      </c>
      <c r="Y26" s="75">
        <v>1.7138690008635722</v>
      </c>
      <c r="Z26" s="75">
        <v>3.1737645898742963</v>
      </c>
      <c r="AA26" s="75">
        <v>2.2621454903905356</v>
      </c>
      <c r="AB26" s="75">
        <v>2.1087902114279093</v>
      </c>
      <c r="AC26" s="75">
        <v>1.8241959930264446</v>
      </c>
      <c r="AD26" s="75">
        <v>1.821184482116629</v>
      </c>
      <c r="AE26" s="75">
        <v>3.0384305165806058</v>
      </c>
      <c r="AF26" s="75">
        <v>2.1002836460149159</v>
      </c>
      <c r="AG26" s="75">
        <v>1.9876440996190077</v>
      </c>
      <c r="AH26" s="75">
        <v>1.8276348517272889</v>
      </c>
      <c r="AI26" s="75">
        <v>2.0865959847556628</v>
      </c>
      <c r="AJ26" s="75">
        <v>2.148946645505617</v>
      </c>
      <c r="AK26" s="75">
        <v>2.2157071089617575</v>
      </c>
      <c r="AL26" s="75">
        <v>1.8952602189502634</v>
      </c>
      <c r="AM26" s="75">
        <v>1.5197234361504708</v>
      </c>
      <c r="AN26" s="75">
        <v>2.1658824201557909</v>
      </c>
    </row>
    <row r="27" spans="1:40" s="19" customFormat="1" ht="17.100000000000001" customHeight="1" x14ac:dyDescent="0.2">
      <c r="A27" s="38" t="s">
        <v>74</v>
      </c>
      <c r="B27" s="42">
        <v>1.7099498159301154</v>
      </c>
      <c r="C27" s="42">
        <v>1.7629282576770786</v>
      </c>
      <c r="D27" s="42">
        <v>1.7523921331475862</v>
      </c>
      <c r="E27" s="42">
        <v>1.7730846823539252</v>
      </c>
      <c r="F27" s="42">
        <v>1.6874407909224165</v>
      </c>
      <c r="G27" s="42">
        <v>1.6938104203499542</v>
      </c>
      <c r="H27" s="42">
        <v>1.6295742890351819</v>
      </c>
      <c r="I27" s="42">
        <v>1.6654385783345671</v>
      </c>
      <c r="J27" s="75">
        <v>1.7573328125329608</v>
      </c>
      <c r="K27" s="75">
        <v>1.7820307227260528</v>
      </c>
      <c r="L27" s="75">
        <v>1.7928821055808588</v>
      </c>
      <c r="M27" s="75">
        <v>1.8556448732941715</v>
      </c>
      <c r="N27" s="75">
        <v>1.8451180093778889</v>
      </c>
      <c r="O27" s="75">
        <v>1.816765543054667</v>
      </c>
      <c r="P27" s="75">
        <v>1.7636897653354011</v>
      </c>
      <c r="Q27" s="75">
        <v>1.9519535944270541</v>
      </c>
      <c r="R27" s="75">
        <v>1.8812052077714847</v>
      </c>
      <c r="S27" s="75">
        <v>1.8871216492191387</v>
      </c>
      <c r="T27" s="75">
        <v>1.9493148275405676</v>
      </c>
      <c r="U27" s="75">
        <v>1.937489977236444</v>
      </c>
      <c r="V27" s="75">
        <v>1.9928432101990265</v>
      </c>
      <c r="W27" s="75">
        <v>1.9693584503751644</v>
      </c>
      <c r="X27" s="75">
        <v>1.9113915163898529</v>
      </c>
      <c r="Y27" s="75">
        <v>1.8903934097533135</v>
      </c>
      <c r="Z27" s="75">
        <v>2.05722787114142</v>
      </c>
      <c r="AA27" s="75">
        <v>2.0583283773876127</v>
      </c>
      <c r="AB27" s="75">
        <v>2.1498917198025778</v>
      </c>
      <c r="AC27" s="75">
        <v>2.0249091861397521</v>
      </c>
      <c r="AD27" s="75">
        <v>1.9919474265545851</v>
      </c>
      <c r="AE27" s="75">
        <v>2.0299204825674884</v>
      </c>
      <c r="AF27" s="75">
        <v>2.0761246076646667</v>
      </c>
      <c r="AG27" s="75">
        <v>1.9898332464224158</v>
      </c>
      <c r="AH27" s="75">
        <v>1.8603742894249715</v>
      </c>
      <c r="AI27" s="75">
        <v>1.8390629065297524</v>
      </c>
      <c r="AJ27" s="75">
        <v>1.8896447593897532</v>
      </c>
      <c r="AK27" s="75">
        <v>1.9420381570198615</v>
      </c>
      <c r="AL27" s="75">
        <v>1.838987633515442</v>
      </c>
      <c r="AM27" s="75">
        <v>2.1877763085258564</v>
      </c>
      <c r="AN27" s="75">
        <v>1.8750214662236115</v>
      </c>
    </row>
    <row r="28" spans="1:40" s="19" customFormat="1" ht="17.100000000000001" customHeight="1" x14ac:dyDescent="0.2">
      <c r="A28" s="38" t="s">
        <v>23</v>
      </c>
      <c r="B28" s="42">
        <v>2.3778633916472445</v>
      </c>
      <c r="C28" s="42">
        <v>2.3980406839384059</v>
      </c>
      <c r="D28" s="42">
        <v>2.4303485138155874</v>
      </c>
      <c r="E28" s="42">
        <v>2.6540249663102067</v>
      </c>
      <c r="F28" s="42">
        <v>2.6389274384010011</v>
      </c>
      <c r="G28" s="42">
        <v>2.6963144975462332</v>
      </c>
      <c r="H28" s="42">
        <v>2.4660464962186364</v>
      </c>
      <c r="I28" s="42">
        <v>2.3420990370039814</v>
      </c>
      <c r="J28" s="75">
        <v>2.4879605473749371</v>
      </c>
      <c r="K28" s="75">
        <v>2.3999337042730517</v>
      </c>
      <c r="L28" s="75">
        <v>2.4055723396803517</v>
      </c>
      <c r="M28" s="75">
        <v>2.5357697978559073</v>
      </c>
      <c r="N28" s="75">
        <v>2.609027961921174</v>
      </c>
      <c r="O28" s="75">
        <v>2.6364802795628082</v>
      </c>
      <c r="P28" s="75">
        <v>2.7301098963020713</v>
      </c>
      <c r="Q28" s="75">
        <v>3.1129855358627596</v>
      </c>
      <c r="R28" s="75">
        <v>2.9627510578634446</v>
      </c>
      <c r="S28" s="75">
        <v>2.9721268944791475</v>
      </c>
      <c r="T28" s="75">
        <v>3.2654585625693122</v>
      </c>
      <c r="U28" s="75">
        <v>2.8016227902565389</v>
      </c>
      <c r="V28" s="75">
        <v>3.0606209428626334</v>
      </c>
      <c r="W28" s="75">
        <v>2.9073172619171568</v>
      </c>
      <c r="X28" s="75">
        <v>2.9561099765326637</v>
      </c>
      <c r="Y28" s="75">
        <v>2.7924820488350632</v>
      </c>
      <c r="Z28" s="75">
        <v>3.1585828649216303</v>
      </c>
      <c r="AA28" s="75">
        <v>2.9714180688198168</v>
      </c>
      <c r="AB28" s="75">
        <v>2.7758304127015339</v>
      </c>
      <c r="AC28" s="75">
        <v>2.5705534127592196</v>
      </c>
      <c r="AD28" s="75">
        <v>2.5892792775791711</v>
      </c>
      <c r="AE28" s="75">
        <v>2.8149206115930854</v>
      </c>
      <c r="AF28" s="75">
        <v>2.8818521655202054</v>
      </c>
      <c r="AG28" s="75">
        <v>2.9925189931212941</v>
      </c>
      <c r="AH28" s="75">
        <v>2.5124312540791038</v>
      </c>
      <c r="AI28" s="75">
        <v>2.7572337578655857</v>
      </c>
      <c r="AJ28" s="75">
        <v>2.8138235918129921</v>
      </c>
      <c r="AK28" s="75">
        <v>2.7820567105297633</v>
      </c>
      <c r="AL28" s="75">
        <v>2.3923511789271013</v>
      </c>
      <c r="AM28" s="75">
        <v>2.7481086035357194</v>
      </c>
      <c r="AN28" s="75">
        <v>2.8065766149164362</v>
      </c>
    </row>
    <row r="29" spans="1:40" s="19" customFormat="1" ht="17.100000000000001" customHeight="1" x14ac:dyDescent="0.2">
      <c r="A29" s="38" t="s">
        <v>24</v>
      </c>
      <c r="B29" s="42">
        <v>4.5569215161267298</v>
      </c>
      <c r="C29" s="42">
        <v>4.4144728365078363</v>
      </c>
      <c r="D29" s="42">
        <v>4.2532383104380171</v>
      </c>
      <c r="E29" s="42">
        <v>4.3649577447865688</v>
      </c>
      <c r="F29" s="42">
        <v>4.4093639664916768</v>
      </c>
      <c r="G29" s="42">
        <v>4.5649025894210729</v>
      </c>
      <c r="H29" s="42">
        <v>4.3347169096997282</v>
      </c>
      <c r="I29" s="42">
        <v>4.2305660471840829</v>
      </c>
      <c r="J29" s="75">
        <v>4.5445703454112492</v>
      </c>
      <c r="K29" s="75">
        <v>4.5748972437822895</v>
      </c>
      <c r="L29" s="75">
        <v>4.2567588215567049</v>
      </c>
      <c r="M29" s="75">
        <v>4.1347112809141056</v>
      </c>
      <c r="N29" s="75">
        <v>3.9978572784771531</v>
      </c>
      <c r="O29" s="75">
        <v>4.085827148746116</v>
      </c>
      <c r="P29" s="75">
        <v>4.1732190267848148</v>
      </c>
      <c r="Q29" s="75">
        <v>4.2174262307427188</v>
      </c>
      <c r="R29" s="75">
        <v>3.4321436175777977</v>
      </c>
      <c r="S29" s="75">
        <v>3.6949877459152245</v>
      </c>
      <c r="T29" s="75">
        <v>3.9350938643815265</v>
      </c>
      <c r="U29" s="75">
        <v>3.9425981843197664</v>
      </c>
      <c r="V29" s="75">
        <v>3.5897335490778537</v>
      </c>
      <c r="W29" s="75">
        <v>3.6288521029151646</v>
      </c>
      <c r="X29" s="75">
        <v>3.7857944581521856</v>
      </c>
      <c r="Y29" s="75">
        <v>3.4148835227905643</v>
      </c>
      <c r="Z29" s="75">
        <v>3.6717648403296823</v>
      </c>
      <c r="AA29" s="75">
        <v>3.585630472084282</v>
      </c>
      <c r="AB29" s="75">
        <v>3.7198557237658472</v>
      </c>
      <c r="AC29" s="75">
        <v>3.748727440732607</v>
      </c>
      <c r="AD29" s="75">
        <v>3.9126294562834376</v>
      </c>
      <c r="AE29" s="75">
        <v>3.3600147626079324</v>
      </c>
      <c r="AF29" s="75">
        <v>3.7075795357106922</v>
      </c>
      <c r="AG29" s="75">
        <v>3.5739999171766708</v>
      </c>
      <c r="AH29" s="75">
        <v>3.5471565230287272</v>
      </c>
      <c r="AI29" s="75">
        <v>3.4589096515264095</v>
      </c>
      <c r="AJ29" s="75">
        <v>3.5665375900347414</v>
      </c>
      <c r="AK29" s="75">
        <v>3.7383786809928292</v>
      </c>
      <c r="AL29" s="75">
        <v>4.063233717805125</v>
      </c>
      <c r="AM29" s="75">
        <v>3.7975057954062383</v>
      </c>
      <c r="AN29" s="75">
        <v>3.4571887911805521</v>
      </c>
    </row>
    <row r="30" spans="1:40" s="19" customFormat="1" ht="17.100000000000001" customHeight="1" x14ac:dyDescent="0.2">
      <c r="A30" s="38" t="s">
        <v>71</v>
      </c>
      <c r="B30" s="42">
        <v>3.0853438780908737</v>
      </c>
      <c r="C30" s="42">
        <v>2.9727486388650326</v>
      </c>
      <c r="D30" s="42">
        <v>2.9642707110495583</v>
      </c>
      <c r="E30" s="42">
        <v>3.1893604947902077</v>
      </c>
      <c r="F30" s="42">
        <v>3.3147071165553195</v>
      </c>
      <c r="G30" s="42">
        <v>3.4532380111374987</v>
      </c>
      <c r="H30" s="42">
        <v>3.2942835081706612</v>
      </c>
      <c r="I30" s="42">
        <v>3.1900703635691743</v>
      </c>
      <c r="J30" s="75">
        <v>3.4848430811702005</v>
      </c>
      <c r="K30" s="75">
        <v>3.2368088129336474</v>
      </c>
      <c r="L30" s="75">
        <v>3.1448531304743295</v>
      </c>
      <c r="M30" s="75">
        <v>3.2192004156881753</v>
      </c>
      <c r="N30" s="75">
        <v>3.2313807082674111</v>
      </c>
      <c r="O30" s="75">
        <v>3.0736242570949113</v>
      </c>
      <c r="P30" s="75">
        <v>3.2193210866964632</v>
      </c>
      <c r="Q30" s="75">
        <v>3.3441843897584067</v>
      </c>
      <c r="R30" s="75">
        <v>3.6251592144364291</v>
      </c>
      <c r="S30" s="75">
        <v>3.302914861867936</v>
      </c>
      <c r="T30" s="75">
        <v>3.3264278325245438</v>
      </c>
      <c r="U30" s="75">
        <v>3.455458764185678</v>
      </c>
      <c r="V30" s="75">
        <v>3.5271493431477117</v>
      </c>
      <c r="W30" s="75">
        <v>3.751992942743259</v>
      </c>
      <c r="X30" s="75">
        <v>3.5442951039584649</v>
      </c>
      <c r="Y30" s="75">
        <v>3.3911225476335169</v>
      </c>
      <c r="Z30" s="75">
        <v>3.476469939503795</v>
      </c>
      <c r="AA30" s="75">
        <v>3.4564234495601838</v>
      </c>
      <c r="AB30" s="75">
        <v>3.4684538469155139</v>
      </c>
      <c r="AC30" s="75">
        <v>3.1309992230597556</v>
      </c>
      <c r="AD30" s="75">
        <v>2.9729831331198673</v>
      </c>
      <c r="AE30" s="75">
        <v>3.1029875686165016</v>
      </c>
      <c r="AF30" s="75">
        <v>3.1317291033691186</v>
      </c>
      <c r="AG30" s="75">
        <v>3.5059133746866347</v>
      </c>
      <c r="AH30" s="75">
        <v>3.0589440562863413</v>
      </c>
      <c r="AI30" s="75">
        <v>2.9986756816822462</v>
      </c>
      <c r="AJ30" s="75">
        <v>2.9761674716556801</v>
      </c>
      <c r="AK30" s="75">
        <v>2.881499055947113</v>
      </c>
      <c r="AL30" s="75">
        <v>3.0078437253070636</v>
      </c>
      <c r="AM30" s="75">
        <v>2.8997819031651741</v>
      </c>
      <c r="AN30" s="75">
        <v>2.9602783366412639</v>
      </c>
    </row>
    <row r="31" spans="1:40" s="19" customFormat="1" ht="17.100000000000001" customHeight="1" x14ac:dyDescent="0.2">
      <c r="A31" s="38" t="s">
        <v>72</v>
      </c>
      <c r="B31" s="42">
        <v>9.7033355995029005E-2</v>
      </c>
      <c r="C31" s="42">
        <v>9.7468551666541517E-2</v>
      </c>
      <c r="D31" s="42">
        <v>0.11293435349952081</v>
      </c>
      <c r="E31" s="42">
        <v>0.1745524431358545</v>
      </c>
      <c r="F31" s="42">
        <v>0.13973685911807943</v>
      </c>
      <c r="G31" s="42">
        <v>0.18739967733750512</v>
      </c>
      <c r="H31" s="42">
        <v>0.18748533944003806</v>
      </c>
      <c r="I31" s="42">
        <v>0.19346453891909901</v>
      </c>
      <c r="J31" s="75">
        <v>0.19784266490619914</v>
      </c>
      <c r="K31" s="75">
        <v>0.18546043800681086</v>
      </c>
      <c r="L31" s="75">
        <v>0.18702019770417461</v>
      </c>
      <c r="M31" s="75">
        <v>0.18432551481437126</v>
      </c>
      <c r="N31" s="75">
        <v>0.19072448611297227</v>
      </c>
      <c r="O31" s="75">
        <v>0.18575463872548525</v>
      </c>
      <c r="P31" s="75">
        <v>0.1851944731782677</v>
      </c>
      <c r="Q31" s="75">
        <v>0.15587012664694874</v>
      </c>
      <c r="R31" s="75">
        <v>0.13670207695793982</v>
      </c>
      <c r="S31" s="75">
        <v>0.15513870771516569</v>
      </c>
      <c r="T31" s="75">
        <v>0.14978165663907569</v>
      </c>
      <c r="U31" s="75">
        <v>0.17583272341215489</v>
      </c>
      <c r="V31" s="75">
        <v>0.17402529356191318</v>
      </c>
      <c r="W31" s="75">
        <v>0.14996887137148357</v>
      </c>
      <c r="X31" s="75">
        <v>0.11762296131586833</v>
      </c>
      <c r="Y31" s="75">
        <v>0.13742462266441005</v>
      </c>
      <c r="Z31" s="75">
        <v>9.6328266174303123E-2</v>
      </c>
      <c r="AA31" s="75">
        <v>0.15091262740535774</v>
      </c>
      <c r="AB31" s="75">
        <v>0.15518733254968439</v>
      </c>
      <c r="AC31" s="75">
        <v>0.17205267542046021</v>
      </c>
      <c r="AD31" s="75">
        <v>0.15772400951742721</v>
      </c>
      <c r="AE31" s="75">
        <v>0.140113562799835</v>
      </c>
      <c r="AF31" s="75">
        <v>0.16515025788293092</v>
      </c>
      <c r="AG31" s="75">
        <v>0.15569088812269732</v>
      </c>
      <c r="AH31" s="75">
        <v>0.1676669372310946</v>
      </c>
      <c r="AI31" s="75">
        <v>0.15563954712198008</v>
      </c>
      <c r="AJ31" s="75">
        <v>0.16385070189388032</v>
      </c>
      <c r="AK31" s="75">
        <v>0.13479014485864776</v>
      </c>
      <c r="AL31" s="75">
        <v>0.15457799572808056</v>
      </c>
      <c r="AM31" s="75">
        <v>0.14031904579693319</v>
      </c>
      <c r="AN31" s="75">
        <v>0.14759521903354569</v>
      </c>
    </row>
    <row r="32" spans="1:40" s="19" customFormat="1" ht="17.100000000000001" customHeight="1" x14ac:dyDescent="0.2">
      <c r="A32" s="38" t="s">
        <v>27</v>
      </c>
      <c r="B32" s="42">
        <v>2.8893520398002286</v>
      </c>
      <c r="C32" s="42">
        <v>2.7787399135233417</v>
      </c>
      <c r="D32" s="42">
        <v>2.7259092565395866</v>
      </c>
      <c r="E32" s="42">
        <v>2.6037809114200186</v>
      </c>
      <c r="F32" s="42">
        <v>2.5663134811482009</v>
      </c>
      <c r="G32" s="42">
        <v>2.5953150776786482</v>
      </c>
      <c r="H32" s="42">
        <v>2.350152205007292</v>
      </c>
      <c r="I32" s="42">
        <v>2.3196801475275985</v>
      </c>
      <c r="J32" s="75">
        <v>2.3781036635203852</v>
      </c>
      <c r="K32" s="75">
        <v>2.3448795020290727</v>
      </c>
      <c r="L32" s="75">
        <v>2.2800249933295547</v>
      </c>
      <c r="M32" s="75">
        <v>2.4118008039284331</v>
      </c>
      <c r="N32" s="75">
        <v>2.4042921477674035</v>
      </c>
      <c r="O32" s="75">
        <v>2.356662605924952</v>
      </c>
      <c r="P32" s="75">
        <v>2.4488808202858872</v>
      </c>
      <c r="Q32" s="75">
        <v>2.694555935897069</v>
      </c>
      <c r="R32" s="75">
        <v>2.4972318658625206</v>
      </c>
      <c r="S32" s="75">
        <v>2.4456715904339861</v>
      </c>
      <c r="T32" s="75">
        <v>2.5214188809079534</v>
      </c>
      <c r="U32" s="75">
        <v>2.4706865344573412</v>
      </c>
      <c r="V32" s="75">
        <v>2.3661012324993158</v>
      </c>
      <c r="W32" s="75">
        <v>2.1604313116453975</v>
      </c>
      <c r="X32" s="75">
        <v>2.2363113567780424</v>
      </c>
      <c r="Y32" s="75">
        <v>2.1695344901536591</v>
      </c>
      <c r="Z32" s="75">
        <v>2.0141054429632161</v>
      </c>
      <c r="AA32" s="75">
        <v>2.0124100318100258</v>
      </c>
      <c r="AB32" s="75">
        <v>2.0311281656536457</v>
      </c>
      <c r="AC32" s="75">
        <v>1.8910707586958886</v>
      </c>
      <c r="AD32" s="75">
        <v>2.0048897360263322</v>
      </c>
      <c r="AE32" s="75">
        <v>2.3047210267048435</v>
      </c>
      <c r="AF32" s="75">
        <v>2.0907135964539334</v>
      </c>
      <c r="AG32" s="75">
        <v>1.8174006271701446</v>
      </c>
      <c r="AH32" s="75">
        <v>2.0806770128173611</v>
      </c>
      <c r="AI32" s="75">
        <v>2.0952407899558882</v>
      </c>
      <c r="AJ32" s="75">
        <v>2.0261339664410873</v>
      </c>
      <c r="AK32" s="75">
        <v>2.0232409887589151</v>
      </c>
      <c r="AL32" s="75">
        <v>2.0792147397891472</v>
      </c>
      <c r="AM32" s="75">
        <v>1.8035579662683849</v>
      </c>
      <c r="AN32" s="75">
        <v>1.8571881241378647</v>
      </c>
    </row>
    <row r="33" spans="1:40" s="19" customFormat="1" ht="17.100000000000001" customHeight="1" x14ac:dyDescent="0.2">
      <c r="A33" s="38" t="s">
        <v>69</v>
      </c>
      <c r="B33" s="42">
        <v>0.83744307512634442</v>
      </c>
      <c r="C33" s="42">
        <v>0.82067235327312416</v>
      </c>
      <c r="D33" s="42">
        <v>0.80521007541721357</v>
      </c>
      <c r="E33" s="42">
        <v>0.81805514288198355</v>
      </c>
      <c r="F33" s="42">
        <v>0.80629197319284729</v>
      </c>
      <c r="G33" s="42">
        <v>0.82430040147643913</v>
      </c>
      <c r="H33" s="42">
        <v>0.77089358119688478</v>
      </c>
      <c r="I33" s="42">
        <v>0.76023944990830516</v>
      </c>
      <c r="J33" s="75">
        <v>0.77863251513570031</v>
      </c>
      <c r="K33" s="75">
        <v>0.76722423530295281</v>
      </c>
      <c r="L33" s="75">
        <v>0.73876193356722664</v>
      </c>
      <c r="M33" s="75">
        <v>0.74393344268683581</v>
      </c>
      <c r="N33" s="75">
        <v>0.73101917084241042</v>
      </c>
      <c r="O33" s="75">
        <v>0.71035334256243521</v>
      </c>
      <c r="P33" s="75">
        <v>0.7435603153391539</v>
      </c>
      <c r="Q33" s="75">
        <v>0.83426684953069319</v>
      </c>
      <c r="R33" s="75">
        <v>0.75786356935812338</v>
      </c>
      <c r="S33" s="75">
        <v>0.7373997871099448</v>
      </c>
      <c r="T33" s="75">
        <v>0.74921953186483381</v>
      </c>
      <c r="U33" s="75">
        <v>0.74459342684484575</v>
      </c>
      <c r="V33" s="75">
        <v>0.75198149022437555</v>
      </c>
      <c r="W33" s="75">
        <v>0.72010644890292697</v>
      </c>
      <c r="X33" s="75">
        <v>0.71017044651142447</v>
      </c>
      <c r="Y33" s="75">
        <v>0.71635138172847845</v>
      </c>
      <c r="Z33" s="75">
        <v>0.720535583159854</v>
      </c>
      <c r="AA33" s="75">
        <v>0.73311586087471703</v>
      </c>
      <c r="AB33" s="75">
        <v>0.74468694579347883</v>
      </c>
      <c r="AC33" s="75">
        <v>0.69237464833970352</v>
      </c>
      <c r="AD33" s="75">
        <v>0.68392241980212654</v>
      </c>
      <c r="AE33" s="75">
        <v>0.69018697299999365</v>
      </c>
      <c r="AF33" s="75">
        <v>0.69706315200133451</v>
      </c>
      <c r="AG33" s="75">
        <v>0.6770590260623377</v>
      </c>
      <c r="AH33" s="75">
        <v>0.65699738906124261</v>
      </c>
      <c r="AI33" s="75">
        <v>0.65812821741158334</v>
      </c>
      <c r="AJ33" s="75">
        <v>0.64776322824303556</v>
      </c>
      <c r="AK33" s="75">
        <v>0.64662877600184976</v>
      </c>
      <c r="AL33" s="75">
        <v>0.65607153495160198</v>
      </c>
      <c r="AM33" s="75">
        <v>0.616408556890637</v>
      </c>
      <c r="AN33" s="75">
        <v>0.62668261778427414</v>
      </c>
    </row>
    <row r="34" spans="1:40" s="19" customFormat="1" ht="17.100000000000001" customHeight="1" x14ac:dyDescent="0.2">
      <c r="A34" s="39"/>
      <c r="B34" s="42"/>
      <c r="C34" s="42"/>
      <c r="D34" s="42"/>
      <c r="E34" s="42"/>
      <c r="F34" s="42"/>
      <c r="G34" s="42"/>
      <c r="H34" s="42"/>
      <c r="I34" s="42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</row>
    <row r="35" spans="1:40" s="51" customFormat="1" ht="17.100000000000001" customHeight="1" x14ac:dyDescent="0.2">
      <c r="A35" s="52" t="s">
        <v>84</v>
      </c>
      <c r="B35" s="58"/>
      <c r="C35" s="58"/>
      <c r="D35" s="58"/>
      <c r="E35" s="58"/>
      <c r="F35" s="58"/>
      <c r="G35" s="58"/>
      <c r="H35" s="58"/>
      <c r="I35" s="58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</row>
    <row r="36" spans="1:40" s="27" customFormat="1" ht="17.100000000000001" customHeight="1" thickBot="1" x14ac:dyDescent="0.25">
      <c r="A36" s="25" t="s">
        <v>30</v>
      </c>
      <c r="B36" s="43">
        <v>7.0535223606512192</v>
      </c>
      <c r="C36" s="43">
        <v>6.7927477940749492</v>
      </c>
      <c r="D36" s="43">
        <v>7.0041008800703022</v>
      </c>
      <c r="E36" s="43">
        <v>7.2157591040860325</v>
      </c>
      <c r="F36" s="43">
        <v>6.973182172066811</v>
      </c>
      <c r="G36" s="43">
        <v>7.3342899852551771</v>
      </c>
      <c r="H36" s="43">
        <v>7.1191719240061344</v>
      </c>
      <c r="I36" s="43">
        <v>7.2150978128614369</v>
      </c>
      <c r="J36" s="77">
        <v>7.6329322707206009</v>
      </c>
      <c r="K36" s="77">
        <v>7.6790258783887246</v>
      </c>
      <c r="L36" s="77">
        <v>7.2211962634206248</v>
      </c>
      <c r="M36" s="77">
        <v>7.131188843243927</v>
      </c>
      <c r="N36" s="77">
        <v>7.2682272777902579</v>
      </c>
      <c r="O36" s="77">
        <v>7.071769132120548</v>
      </c>
      <c r="P36" s="77">
        <v>7.3026787564952969</v>
      </c>
      <c r="Q36" s="77">
        <v>5.1099988625643826</v>
      </c>
      <c r="R36" s="77">
        <v>7.2190047044781975</v>
      </c>
      <c r="S36" s="77">
        <v>7.1223764321642511</v>
      </c>
      <c r="T36" s="77">
        <v>7.0617072350738326</v>
      </c>
      <c r="U36" s="77">
        <v>7.2515372063218688</v>
      </c>
      <c r="V36" s="77">
        <v>7.3075102115121515</v>
      </c>
      <c r="W36" s="77">
        <v>7.8215505861381871</v>
      </c>
      <c r="X36" s="77">
        <v>7.7677398476221695</v>
      </c>
      <c r="Y36" s="77">
        <v>7.3264341301938787</v>
      </c>
      <c r="Z36" s="77">
        <v>7.4718600511277238</v>
      </c>
      <c r="AA36" s="77">
        <v>7.0528682002228944</v>
      </c>
      <c r="AB36" s="77">
        <v>8.0152994754588445</v>
      </c>
      <c r="AC36" s="77">
        <v>8.0353394659423198</v>
      </c>
      <c r="AD36" s="77">
        <v>7.4534163980177217</v>
      </c>
      <c r="AE36" s="77">
        <v>7.3054699579498577</v>
      </c>
      <c r="AF36" s="77">
        <v>7.4988649020998377</v>
      </c>
      <c r="AG36" s="77">
        <v>7.2761559443937527</v>
      </c>
      <c r="AH36" s="77">
        <v>7.5864511206727254</v>
      </c>
      <c r="AI36" s="77">
        <v>7.4942702393168901</v>
      </c>
      <c r="AJ36" s="77">
        <v>7.1918764687071794</v>
      </c>
      <c r="AK36" s="77">
        <v>7.7554280128597473</v>
      </c>
      <c r="AL36" s="77">
        <v>7.2791980738619895</v>
      </c>
      <c r="AM36" s="77">
        <v>7.2948832443469751</v>
      </c>
      <c r="AN36" s="77">
        <v>7.8384995447333266</v>
      </c>
    </row>
    <row r="37" spans="1:40" x14ac:dyDescent="0.2">
      <c r="A37" s="14" t="s">
        <v>63</v>
      </c>
    </row>
  </sheetData>
  <mergeCells count="9">
    <mergeCell ref="AH3:AK3"/>
    <mergeCell ref="AD3:AG3"/>
    <mergeCell ref="Z3:AC3"/>
    <mergeCell ref="V3:Y3"/>
    <mergeCell ref="B3:E3"/>
    <mergeCell ref="F3:I3"/>
    <mergeCell ref="J3:M3"/>
    <mergeCell ref="N3:P3"/>
    <mergeCell ref="R3:U3"/>
  </mergeCells>
  <phoneticPr fontId="17" type="noConversion"/>
  <pageMargins left="0.11811023622047245" right="0" top="0.47244094488188981" bottom="0" header="0.31496062992125984" footer="0.31496062992125984"/>
  <pageSetup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37"/>
  <sheetViews>
    <sheetView view="pageBreakPreview" zoomScaleSheetLayoutView="100" workbookViewId="0">
      <selection activeCell="B38" sqref="B38"/>
    </sheetView>
  </sheetViews>
  <sheetFormatPr defaultColWidth="9.140625" defaultRowHeight="12" x14ac:dyDescent="0.2"/>
  <cols>
    <col min="1" max="2" width="86.140625" style="29" bestFit="1" customWidth="1"/>
    <col min="3" max="3" width="6.85546875" style="29" customWidth="1"/>
    <col min="4" max="9" width="6.85546875" style="29" bestFit="1" customWidth="1"/>
    <col min="10" max="27" width="7.5703125" style="17" bestFit="1" customWidth="1"/>
    <col min="28" max="40" width="7.5703125" style="29" bestFit="1" customWidth="1"/>
    <col min="41" max="16384" width="9.140625" style="29"/>
  </cols>
  <sheetData>
    <row r="1" spans="1:40" ht="16.5" customHeight="1" x14ac:dyDescent="0.2">
      <c r="A1" s="18" t="s">
        <v>132</v>
      </c>
      <c r="B1" s="18" t="s">
        <v>92</v>
      </c>
    </row>
    <row r="2" spans="1:40" ht="3" customHeight="1" thickBot="1" x14ac:dyDescent="0.25"/>
    <row r="3" spans="1:40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144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</row>
    <row r="4" spans="1:40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1" t="s">
        <v>57</v>
      </c>
      <c r="K4" s="61" t="s">
        <v>58</v>
      </c>
      <c r="L4" s="61" t="s">
        <v>59</v>
      </c>
      <c r="M4" s="61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</row>
    <row r="5" spans="1:40" s="20" customFormat="1" ht="17.100000000000001" customHeight="1" x14ac:dyDescent="0.2">
      <c r="A5" s="21" t="s">
        <v>80</v>
      </c>
      <c r="B5" s="41">
        <v>25615.773380485029</v>
      </c>
      <c r="C5" s="41">
        <v>26812.772118466186</v>
      </c>
      <c r="D5" s="41">
        <v>27857.157481882386</v>
      </c>
      <c r="E5" s="41">
        <v>28435.221171622499</v>
      </c>
      <c r="F5" s="41">
        <v>28642.108204327593</v>
      </c>
      <c r="G5" s="41">
        <v>29014.088784285068</v>
      </c>
      <c r="H5" s="41">
        <v>30634.76356841877</v>
      </c>
      <c r="I5" s="41">
        <v>31643.928852554855</v>
      </c>
      <c r="J5" s="73">
        <v>32223.017605100755</v>
      </c>
      <c r="K5" s="73">
        <v>32708.216196833087</v>
      </c>
      <c r="L5" s="73">
        <v>33398.800475348275</v>
      </c>
      <c r="M5" s="73">
        <v>34305.964891864234</v>
      </c>
      <c r="N5" s="73">
        <v>35421.837407644023</v>
      </c>
      <c r="O5" s="73">
        <v>36044.970722194485</v>
      </c>
      <c r="P5" s="73">
        <v>35723.730148307804</v>
      </c>
      <c r="Q5" s="73">
        <v>35448.358106915308</v>
      </c>
      <c r="R5" s="73">
        <v>35889.465720212494</v>
      </c>
      <c r="S5" s="73">
        <v>36628.967903120625</v>
      </c>
      <c r="T5" s="73">
        <v>37304.088873532237</v>
      </c>
      <c r="U5" s="73">
        <v>37729.862100158978</v>
      </c>
      <c r="V5" s="73">
        <v>38510.709464236599</v>
      </c>
      <c r="W5" s="73">
        <v>40113.7309107115</v>
      </c>
      <c r="X5" s="73">
        <v>41900.788537111308</v>
      </c>
      <c r="Y5" s="73">
        <v>43135.065041361464</v>
      </c>
      <c r="Z5" s="73">
        <v>44052.936650022508</v>
      </c>
      <c r="AA5" s="73">
        <v>44925.49792760847</v>
      </c>
      <c r="AB5" s="73">
        <v>46500.226818045005</v>
      </c>
      <c r="AC5" s="73">
        <v>48202.341167588202</v>
      </c>
      <c r="AD5" s="73">
        <v>49483.55139080446</v>
      </c>
      <c r="AE5" s="73">
        <v>49854.753696865133</v>
      </c>
      <c r="AF5" s="73">
        <v>51095.073220967133</v>
      </c>
      <c r="AG5" s="73">
        <v>52790.693377284886</v>
      </c>
      <c r="AH5" s="73">
        <v>54443.610374723597</v>
      </c>
      <c r="AI5" s="73">
        <v>56022.429465146961</v>
      </c>
      <c r="AJ5" s="73">
        <v>57209.484448448777</v>
      </c>
      <c r="AK5" s="73">
        <v>58489.717551794529</v>
      </c>
      <c r="AL5" s="73">
        <v>60182.112643023473</v>
      </c>
      <c r="AM5" s="73">
        <v>62020.690688955292</v>
      </c>
      <c r="AN5" s="73">
        <v>63369.961788390494</v>
      </c>
    </row>
    <row r="6" spans="1:40" s="54" customFormat="1" ht="17.100000000000001" customHeight="1" x14ac:dyDescent="0.2">
      <c r="A6" s="52" t="s">
        <v>81</v>
      </c>
      <c r="B6" s="53">
        <v>6144.4373024006554</v>
      </c>
      <c r="C6" s="53">
        <v>6436.8278595333022</v>
      </c>
      <c r="D6" s="53">
        <v>6592.8993409100494</v>
      </c>
      <c r="E6" s="53">
        <v>6557.3531504310004</v>
      </c>
      <c r="F6" s="53">
        <v>6478.9243543113516</v>
      </c>
      <c r="G6" s="53">
        <v>6446.7901872839648</v>
      </c>
      <c r="H6" s="53">
        <v>7224.0922557204349</v>
      </c>
      <c r="I6" s="53">
        <v>7326.9267798323472</v>
      </c>
      <c r="J6" s="74">
        <v>7396.0398004248518</v>
      </c>
      <c r="K6" s="74">
        <v>7513.8878828235229</v>
      </c>
      <c r="L6" s="74">
        <v>7788.734318542347</v>
      </c>
      <c r="M6" s="74">
        <v>8038.0429236208947</v>
      </c>
      <c r="N6" s="74">
        <v>8163.3564781092682</v>
      </c>
      <c r="O6" s="74">
        <v>8300.8421071806551</v>
      </c>
      <c r="P6" s="74">
        <v>8425.7817082951715</v>
      </c>
      <c r="Q6" s="74">
        <v>8483.97628503552</v>
      </c>
      <c r="R6" s="74">
        <v>8507.7490034112325</v>
      </c>
      <c r="S6" s="74">
        <v>8538.1615370035233</v>
      </c>
      <c r="T6" s="74">
        <v>8643.2490720494789</v>
      </c>
      <c r="U6" s="74">
        <v>8934.4467065595709</v>
      </c>
      <c r="V6" s="74">
        <v>9361.1535346268211</v>
      </c>
      <c r="W6" s="74">
        <v>9680.5195050187649</v>
      </c>
      <c r="X6" s="74">
        <v>9921.4537661120976</v>
      </c>
      <c r="Y6" s="74">
        <v>10319.935044081256</v>
      </c>
      <c r="Z6" s="74">
        <v>10802.387294374637</v>
      </c>
      <c r="AA6" s="74">
        <v>11173.735149950116</v>
      </c>
      <c r="AB6" s="74">
        <v>11442.796832045693</v>
      </c>
      <c r="AC6" s="74">
        <v>11417.935400837227</v>
      </c>
      <c r="AD6" s="74">
        <v>11710.852806437786</v>
      </c>
      <c r="AE6" s="74">
        <v>12201.48497025892</v>
      </c>
      <c r="AF6" s="74">
        <v>12902.064763824685</v>
      </c>
      <c r="AG6" s="74">
        <v>13571.677165304631</v>
      </c>
      <c r="AH6" s="74">
        <v>14077.617315204448</v>
      </c>
      <c r="AI6" s="74">
        <v>14515.686037527721</v>
      </c>
      <c r="AJ6" s="74">
        <v>14836.540207883541</v>
      </c>
      <c r="AK6" s="74">
        <v>15190.076155830571</v>
      </c>
      <c r="AL6" s="74">
        <v>15608.564982025051</v>
      </c>
      <c r="AM6" s="74">
        <v>16119.185921838771</v>
      </c>
      <c r="AN6" s="74">
        <v>16334.725825137393</v>
      </c>
    </row>
    <row r="7" spans="1:40" s="19" customFormat="1" ht="17.100000000000001" customHeight="1" x14ac:dyDescent="0.2">
      <c r="A7" s="37" t="s">
        <v>2</v>
      </c>
      <c r="B7" s="16">
        <v>563.18062878811998</v>
      </c>
      <c r="C7" s="16">
        <v>618.85074001781697</v>
      </c>
      <c r="D7" s="16">
        <v>671.62438524489903</v>
      </c>
      <c r="E7" s="16">
        <v>709.23342407315704</v>
      </c>
      <c r="F7" s="16">
        <v>712.03286533237497</v>
      </c>
      <c r="G7" s="16">
        <v>677.76056576071801</v>
      </c>
      <c r="H7" s="16">
        <v>647.86575555464401</v>
      </c>
      <c r="I7" s="16">
        <v>660.76871501870301</v>
      </c>
      <c r="J7" s="64">
        <v>677.27226693207899</v>
      </c>
      <c r="K7" s="64">
        <v>660.55451600805895</v>
      </c>
      <c r="L7" s="64">
        <v>629.48365976999298</v>
      </c>
      <c r="M7" s="64">
        <v>622.08018929630998</v>
      </c>
      <c r="N7" s="64">
        <v>649.58148066437695</v>
      </c>
      <c r="O7" s="64">
        <v>691.80481678846104</v>
      </c>
      <c r="P7" s="64">
        <v>704.21230906629103</v>
      </c>
      <c r="Q7" s="64">
        <v>676.62946523052403</v>
      </c>
      <c r="R7" s="64">
        <v>666.540879804783</v>
      </c>
      <c r="S7" s="64">
        <v>714.66664035633596</v>
      </c>
      <c r="T7" s="64">
        <v>801.97979840234996</v>
      </c>
      <c r="U7" s="64">
        <v>886.97984776073395</v>
      </c>
      <c r="V7" s="64">
        <v>1002.21998193765</v>
      </c>
      <c r="W7" s="64">
        <v>1114.53836212039</v>
      </c>
      <c r="X7" s="64">
        <v>1156.2424417268601</v>
      </c>
      <c r="Y7" s="64">
        <v>1164.96571312319</v>
      </c>
      <c r="Z7" s="64">
        <v>1162.4979256716099</v>
      </c>
      <c r="AA7" s="64">
        <v>1119.8449070455699</v>
      </c>
      <c r="AB7" s="64">
        <v>1123.4826289206801</v>
      </c>
      <c r="AC7" s="64">
        <v>1269.3183496911799</v>
      </c>
      <c r="AD7" s="64">
        <v>1476.04763744764</v>
      </c>
      <c r="AE7" s="64">
        <v>1702.82646613361</v>
      </c>
      <c r="AF7" s="64">
        <v>1933.57028636517</v>
      </c>
      <c r="AG7" s="64">
        <v>2097.0066801600801</v>
      </c>
      <c r="AH7" s="64">
        <v>2283.3608006392501</v>
      </c>
      <c r="AI7" s="64">
        <v>2599.1560749913001</v>
      </c>
      <c r="AJ7" s="64">
        <v>2953.8286903062499</v>
      </c>
      <c r="AK7" s="64">
        <v>3185.3439698987199</v>
      </c>
      <c r="AL7" s="64">
        <v>3222.2031518704998</v>
      </c>
      <c r="AM7" s="64">
        <v>3125.4979731949202</v>
      </c>
      <c r="AN7" s="64">
        <v>3043.0199594576602</v>
      </c>
    </row>
    <row r="8" spans="1:40" s="19" customFormat="1" ht="17.100000000000001" customHeight="1" x14ac:dyDescent="0.2">
      <c r="A8" s="37" t="s">
        <v>3</v>
      </c>
      <c r="B8" s="16">
        <v>3171.9541303911601</v>
      </c>
      <c r="C8" s="16">
        <v>3365.5595857113199</v>
      </c>
      <c r="D8" s="16">
        <v>3477.5201930911799</v>
      </c>
      <c r="E8" s="16">
        <v>3494.7333105609</v>
      </c>
      <c r="F8" s="16">
        <v>3523.9582069214198</v>
      </c>
      <c r="G8" s="16">
        <v>3602.92190751212</v>
      </c>
      <c r="H8" s="16">
        <v>3677.6530007973101</v>
      </c>
      <c r="I8" s="16">
        <v>3638.4474308866702</v>
      </c>
      <c r="J8" s="64">
        <v>3621.7046998215401</v>
      </c>
      <c r="K8" s="64">
        <v>3711.0677598909401</v>
      </c>
      <c r="L8" s="64">
        <v>3888.4607556241799</v>
      </c>
      <c r="M8" s="64">
        <v>3989.96092602406</v>
      </c>
      <c r="N8" s="64">
        <v>4006.0796147123401</v>
      </c>
      <c r="O8" s="64">
        <v>4062.4750926079701</v>
      </c>
      <c r="P8" s="64">
        <v>4199.0243963910098</v>
      </c>
      <c r="Q8" s="64">
        <v>4299.3358679745697</v>
      </c>
      <c r="R8" s="64">
        <v>4237.2220880064597</v>
      </c>
      <c r="S8" s="64">
        <v>4143.3863832470897</v>
      </c>
      <c r="T8" s="64">
        <v>4172.6522954562997</v>
      </c>
      <c r="U8" s="64">
        <v>4305.07147859632</v>
      </c>
      <c r="V8" s="64">
        <v>4445.2436543078202</v>
      </c>
      <c r="W8" s="64">
        <v>4566.5135974873901</v>
      </c>
      <c r="X8" s="64">
        <v>4755.5710678752803</v>
      </c>
      <c r="Y8" s="64">
        <v>5101.8355930096704</v>
      </c>
      <c r="Z8" s="64">
        <v>5422.7542735198203</v>
      </c>
      <c r="AA8" s="64">
        <v>5570.6489288632602</v>
      </c>
      <c r="AB8" s="64">
        <v>5608.2165664173299</v>
      </c>
      <c r="AC8" s="64">
        <v>5609.3829068468904</v>
      </c>
      <c r="AD8" s="64">
        <v>5598.9879119819898</v>
      </c>
      <c r="AE8" s="64">
        <v>5665.1118678061202</v>
      </c>
      <c r="AF8" s="64">
        <v>5874.6783333073699</v>
      </c>
      <c r="AG8" s="64">
        <v>6190.53731760148</v>
      </c>
      <c r="AH8" s="64">
        <v>6404.6029305953098</v>
      </c>
      <c r="AI8" s="64">
        <v>6328.4324464092397</v>
      </c>
      <c r="AJ8" s="64">
        <v>6027.9113916898004</v>
      </c>
      <c r="AK8" s="64">
        <v>5941.0110204381799</v>
      </c>
      <c r="AL8" s="64">
        <v>6165.2631692362002</v>
      </c>
      <c r="AM8" s="64">
        <v>6687.5164380381902</v>
      </c>
      <c r="AN8" s="64">
        <v>6974.2478147564498</v>
      </c>
    </row>
    <row r="9" spans="1:40" s="19" customFormat="1" ht="17.100000000000001" customHeight="1" x14ac:dyDescent="0.2">
      <c r="A9" s="37" t="s">
        <v>4</v>
      </c>
      <c r="B9" s="16">
        <v>790.15842859816098</v>
      </c>
      <c r="C9" s="16">
        <v>812.773997707636</v>
      </c>
      <c r="D9" s="16">
        <v>838.81027170506195</v>
      </c>
      <c r="E9" s="16">
        <v>873.950030144788</v>
      </c>
      <c r="F9" s="16">
        <v>916.304774196376</v>
      </c>
      <c r="G9" s="16">
        <v>954.46656994125203</v>
      </c>
      <c r="H9" s="16">
        <v>980.81213289274399</v>
      </c>
      <c r="I9" s="16">
        <v>1012.4987224934</v>
      </c>
      <c r="J9" s="64">
        <v>1052.9034433194299</v>
      </c>
      <c r="K9" s="64">
        <v>1102.50206137236</v>
      </c>
      <c r="L9" s="64">
        <v>1146.7234095952999</v>
      </c>
      <c r="M9" s="64">
        <v>1185.8748650406001</v>
      </c>
      <c r="N9" s="64">
        <v>1229.52794982264</v>
      </c>
      <c r="O9" s="64">
        <v>1289.5838044219099</v>
      </c>
      <c r="P9" s="64">
        <v>1351.7098008493599</v>
      </c>
      <c r="Q9" s="64">
        <v>1393.4319328101001</v>
      </c>
      <c r="R9" s="64">
        <v>1418.03134680469</v>
      </c>
      <c r="S9" s="64">
        <v>1440.1547667300599</v>
      </c>
      <c r="T9" s="64">
        <v>1477.4587708450599</v>
      </c>
      <c r="U9" s="64">
        <v>1528.34951802</v>
      </c>
      <c r="V9" s="64">
        <v>1582.9119810975101</v>
      </c>
      <c r="W9" s="64">
        <v>1606.2204200609899</v>
      </c>
      <c r="X9" s="64">
        <v>1613.29495996639</v>
      </c>
      <c r="Y9" s="64">
        <v>1650.80635642641</v>
      </c>
      <c r="Z9" s="64">
        <v>1726.84683093388</v>
      </c>
      <c r="AA9" s="64">
        <v>1819.4359063219899</v>
      </c>
      <c r="AB9" s="64">
        <v>1909.76557674897</v>
      </c>
      <c r="AC9" s="64">
        <v>1975.3472797945301</v>
      </c>
      <c r="AD9" s="64">
        <v>2022.2091671949199</v>
      </c>
      <c r="AE9" s="64">
        <v>2086.3303944389199</v>
      </c>
      <c r="AF9" s="64">
        <v>2163.6433932127402</v>
      </c>
      <c r="AG9" s="64">
        <v>2254.4811655810299</v>
      </c>
      <c r="AH9" s="64">
        <v>2354.4368237669401</v>
      </c>
      <c r="AI9" s="64">
        <v>2461.51372925233</v>
      </c>
      <c r="AJ9" s="64">
        <v>2573.6476500946801</v>
      </c>
      <c r="AK9" s="64">
        <v>2675.66382214637</v>
      </c>
      <c r="AL9" s="64">
        <v>2760.8982432740299</v>
      </c>
      <c r="AM9" s="64">
        <v>2830.51166289401</v>
      </c>
      <c r="AN9" s="64">
        <v>2892.5613729116999</v>
      </c>
    </row>
    <row r="10" spans="1:40" s="19" customFormat="1" ht="17.100000000000001" customHeight="1" x14ac:dyDescent="0.2">
      <c r="A10" s="37" t="s">
        <v>5</v>
      </c>
      <c r="B10" s="16">
        <v>4.1443780610254999</v>
      </c>
      <c r="C10" s="16">
        <v>4.1614449473278903</v>
      </c>
      <c r="D10" s="16">
        <v>4.0784190212038798</v>
      </c>
      <c r="E10" s="16">
        <v>3.8342070627710201</v>
      </c>
      <c r="F10" s="16">
        <v>3.5494132636261599</v>
      </c>
      <c r="G10" s="16">
        <v>3.5132181241262499</v>
      </c>
      <c r="H10" s="16">
        <v>3.6624658595691799</v>
      </c>
      <c r="I10" s="16">
        <v>3.8628340293185901</v>
      </c>
      <c r="J10" s="64">
        <v>4.1651894968785896</v>
      </c>
      <c r="K10" s="64">
        <v>4.4551392694512302</v>
      </c>
      <c r="L10" s="64">
        <v>4.7656765866516997</v>
      </c>
      <c r="M10" s="64">
        <v>5.1205224211433897</v>
      </c>
      <c r="N10" s="64">
        <v>5.2642639915128902</v>
      </c>
      <c r="O10" s="64">
        <v>5.0340088049091802</v>
      </c>
      <c r="P10" s="64">
        <v>4.6854645591865696</v>
      </c>
      <c r="Q10" s="64">
        <v>4.5197478025159796</v>
      </c>
      <c r="R10" s="64">
        <v>4.6488050440346802</v>
      </c>
      <c r="S10" s="64">
        <v>4.9520235814344904</v>
      </c>
      <c r="T10" s="64">
        <v>5.21358294692961</v>
      </c>
      <c r="U10" s="64">
        <v>5.3071013714206199</v>
      </c>
      <c r="V10" s="64">
        <v>5.3253085531566402</v>
      </c>
      <c r="W10" s="64">
        <v>5.3407920554522699</v>
      </c>
      <c r="X10" s="64">
        <v>5.3379109821068802</v>
      </c>
      <c r="Y10" s="64">
        <v>5.3521093452455997</v>
      </c>
      <c r="Z10" s="64">
        <v>5.4126105773833197</v>
      </c>
      <c r="AA10" s="64">
        <v>5.5244468284602801</v>
      </c>
      <c r="AB10" s="64">
        <v>5.6446829500519398</v>
      </c>
      <c r="AC10" s="64">
        <v>5.7272795377359396</v>
      </c>
      <c r="AD10" s="64">
        <v>5.7721003713430203</v>
      </c>
      <c r="AE10" s="64">
        <v>5.8426506626926002</v>
      </c>
      <c r="AF10" s="64">
        <v>5.9537970878840802</v>
      </c>
      <c r="AG10" s="64">
        <v>6.1144589124414201</v>
      </c>
      <c r="AH10" s="64">
        <v>6.1400772631492</v>
      </c>
      <c r="AI10" s="64">
        <v>6.0448648705320203</v>
      </c>
      <c r="AJ10" s="64">
        <v>5.9712232891501396</v>
      </c>
      <c r="AK10" s="64">
        <v>5.9492820308410996</v>
      </c>
      <c r="AL10" s="64">
        <v>5.9729505334018098</v>
      </c>
      <c r="AM10" s="64">
        <v>6.1297558451802896</v>
      </c>
      <c r="AN10" s="64">
        <v>6.3248855215725204</v>
      </c>
    </row>
    <row r="11" spans="1:40" s="19" customFormat="1" ht="17.100000000000001" customHeight="1" x14ac:dyDescent="0.2">
      <c r="A11" s="37" t="s">
        <v>6</v>
      </c>
      <c r="B11" s="16">
        <v>1053.46555789797</v>
      </c>
      <c r="C11" s="16">
        <v>1081.4181544339499</v>
      </c>
      <c r="D11" s="16">
        <v>1059.2206094856999</v>
      </c>
      <c r="E11" s="16">
        <v>958.87321310881202</v>
      </c>
      <c r="F11" s="16">
        <v>836.57645957661202</v>
      </c>
      <c r="G11" s="16">
        <v>730.16184287738304</v>
      </c>
      <c r="H11" s="16">
        <v>1416.8241038685301</v>
      </c>
      <c r="I11" s="16">
        <v>1468.88472060924</v>
      </c>
      <c r="J11" s="64">
        <v>1428.7732076729101</v>
      </c>
      <c r="K11" s="64">
        <v>1332.4163585107999</v>
      </c>
      <c r="L11" s="64">
        <v>1332.10698953051</v>
      </c>
      <c r="M11" s="64">
        <v>1399.84967932019</v>
      </c>
      <c r="N11" s="64">
        <v>1402.2317397945601</v>
      </c>
      <c r="O11" s="64">
        <v>1353.0715664219399</v>
      </c>
      <c r="P11" s="64">
        <v>1292.56457262136</v>
      </c>
      <c r="Q11" s="64">
        <v>1259.0095864090599</v>
      </c>
      <c r="R11" s="64">
        <v>1298.7249610200099</v>
      </c>
      <c r="S11" s="64">
        <v>1372.9467068644201</v>
      </c>
      <c r="T11" s="64">
        <v>1402.46267040252</v>
      </c>
      <c r="U11" s="64">
        <v>1423.9292907521501</v>
      </c>
      <c r="V11" s="64">
        <v>1488.6713078683599</v>
      </c>
      <c r="W11" s="64">
        <v>1568.1964470947801</v>
      </c>
      <c r="X11" s="64">
        <v>1617.67931231695</v>
      </c>
      <c r="Y11" s="64">
        <v>1617.5741375329501</v>
      </c>
      <c r="Z11" s="64">
        <v>1635.1980530476301</v>
      </c>
      <c r="AA11" s="64">
        <v>1684.5806782152399</v>
      </c>
      <c r="AB11" s="64">
        <v>1710.1239465927099</v>
      </c>
      <c r="AC11" s="64">
        <v>1734.8717705839299</v>
      </c>
      <c r="AD11" s="64">
        <v>1784.7859832587301</v>
      </c>
      <c r="AE11" s="64">
        <v>1839.11930582898</v>
      </c>
      <c r="AF11" s="64">
        <v>1919.50891193034</v>
      </c>
      <c r="AG11" s="64">
        <v>2004.95824031798</v>
      </c>
      <c r="AH11" s="64">
        <v>2033.36470003156</v>
      </c>
      <c r="AI11" s="64">
        <v>2079.1027458921699</v>
      </c>
      <c r="AJ11" s="64">
        <v>2152.08169013425</v>
      </c>
      <c r="AK11" s="64">
        <v>2229.25732495996</v>
      </c>
      <c r="AL11" s="64">
        <v>2289.4031515450902</v>
      </c>
      <c r="AM11" s="64">
        <v>2214.6539894692</v>
      </c>
      <c r="AN11" s="64">
        <v>2032.9759164867801</v>
      </c>
    </row>
    <row r="12" spans="1:40" s="19" customFormat="1" ht="17.100000000000001" customHeight="1" x14ac:dyDescent="0.2">
      <c r="A12" s="37" t="s">
        <v>7</v>
      </c>
      <c r="B12" s="16">
        <v>561.53417866421898</v>
      </c>
      <c r="C12" s="16">
        <v>554.063936715252</v>
      </c>
      <c r="D12" s="16">
        <v>541.64546236200601</v>
      </c>
      <c r="E12" s="16">
        <v>516.72896548057201</v>
      </c>
      <c r="F12" s="16">
        <v>486.50263502094202</v>
      </c>
      <c r="G12" s="16">
        <v>477.966083068366</v>
      </c>
      <c r="H12" s="16">
        <v>497.27479674763799</v>
      </c>
      <c r="I12" s="16">
        <v>542.46435679501496</v>
      </c>
      <c r="J12" s="64">
        <v>611.22099318201401</v>
      </c>
      <c r="K12" s="64">
        <v>702.89204777191298</v>
      </c>
      <c r="L12" s="64">
        <v>787.19382743571305</v>
      </c>
      <c r="M12" s="64">
        <v>835.15674151859196</v>
      </c>
      <c r="N12" s="64">
        <v>870.67142912383895</v>
      </c>
      <c r="O12" s="64">
        <v>898.87281813546599</v>
      </c>
      <c r="P12" s="64">
        <v>873.58516480796504</v>
      </c>
      <c r="Q12" s="64">
        <v>851.04968480875095</v>
      </c>
      <c r="R12" s="64">
        <v>882.58092273125499</v>
      </c>
      <c r="S12" s="64">
        <v>862.05501622418296</v>
      </c>
      <c r="T12" s="64">
        <v>783.48195399631902</v>
      </c>
      <c r="U12" s="64">
        <v>784.809470058947</v>
      </c>
      <c r="V12" s="64">
        <v>836.78130086232397</v>
      </c>
      <c r="W12" s="64">
        <v>819.70988619976299</v>
      </c>
      <c r="X12" s="64">
        <v>773.32807324451096</v>
      </c>
      <c r="Y12" s="64">
        <v>779.40113464378896</v>
      </c>
      <c r="Z12" s="64">
        <v>849.67760062431501</v>
      </c>
      <c r="AA12" s="64">
        <v>973.70028267559701</v>
      </c>
      <c r="AB12" s="64">
        <v>1085.5634304159501</v>
      </c>
      <c r="AC12" s="64">
        <v>823.28781438296096</v>
      </c>
      <c r="AD12" s="64">
        <v>823.05000618316205</v>
      </c>
      <c r="AE12" s="64">
        <v>902.25428538859796</v>
      </c>
      <c r="AF12" s="64">
        <v>1004.71004192118</v>
      </c>
      <c r="AG12" s="64">
        <v>1018.57930273162</v>
      </c>
      <c r="AH12" s="64">
        <v>995.71198290823895</v>
      </c>
      <c r="AI12" s="64">
        <v>1041.43617611215</v>
      </c>
      <c r="AJ12" s="64">
        <v>1123.09956236941</v>
      </c>
      <c r="AK12" s="64">
        <v>1152.8507363565</v>
      </c>
      <c r="AL12" s="64">
        <v>1164.8243155658299</v>
      </c>
      <c r="AM12" s="64">
        <v>1254.87610239727</v>
      </c>
      <c r="AN12" s="64">
        <v>1385.5958760032299</v>
      </c>
    </row>
    <row r="13" spans="1:40" s="54" customFormat="1" ht="17.100000000000001" customHeight="1" x14ac:dyDescent="0.2">
      <c r="A13" s="52" t="s">
        <v>8</v>
      </c>
      <c r="B13" s="53">
        <v>6565.2398572566963</v>
      </c>
      <c r="C13" s="53">
        <v>6974.9183712035847</v>
      </c>
      <c r="D13" s="53">
        <v>7318.1832262846629</v>
      </c>
      <c r="E13" s="53">
        <v>7417.6706775251241</v>
      </c>
      <c r="F13" s="53">
        <v>7474.689728544542</v>
      </c>
      <c r="G13" s="53">
        <v>7665.8575097724206</v>
      </c>
      <c r="H13" s="53">
        <v>8016.9566717799871</v>
      </c>
      <c r="I13" s="53">
        <v>8419.5517832208861</v>
      </c>
      <c r="J13" s="74">
        <v>8625.7544318855216</v>
      </c>
      <c r="K13" s="74">
        <v>8739.816639047498</v>
      </c>
      <c r="L13" s="74">
        <v>8844.0238962735129</v>
      </c>
      <c r="M13" s="74">
        <v>9001.3354700718701</v>
      </c>
      <c r="N13" s="74">
        <v>9355.961124740641</v>
      </c>
      <c r="O13" s="74">
        <v>9617.8017066122884</v>
      </c>
      <c r="P13" s="74">
        <v>9588.255362698399</v>
      </c>
      <c r="Q13" s="74">
        <v>9619.5894794659562</v>
      </c>
      <c r="R13" s="74">
        <v>9885.4222680620242</v>
      </c>
      <c r="S13" s="74">
        <v>10138.686318007718</v>
      </c>
      <c r="T13" s="74">
        <v>10286.588788562605</v>
      </c>
      <c r="U13" s="74">
        <v>10234.261440969947</v>
      </c>
      <c r="V13" s="74">
        <v>10261.421046100862</v>
      </c>
      <c r="W13" s="74">
        <v>10704.379109666621</v>
      </c>
      <c r="X13" s="74">
        <v>11335.032579595423</v>
      </c>
      <c r="Y13" s="74">
        <v>11626.903777268439</v>
      </c>
      <c r="Z13" s="74">
        <v>11511.105078115739</v>
      </c>
      <c r="AA13" s="74">
        <v>11395.260781430385</v>
      </c>
      <c r="AB13" s="74">
        <v>11780.128465012058</v>
      </c>
      <c r="AC13" s="74">
        <v>12466.231133107291</v>
      </c>
      <c r="AD13" s="74">
        <v>12739.628361503492</v>
      </c>
      <c r="AE13" s="74">
        <v>12575.824502924193</v>
      </c>
      <c r="AF13" s="74">
        <v>12472.78255272868</v>
      </c>
      <c r="AG13" s="74">
        <v>12697.117342962129</v>
      </c>
      <c r="AH13" s="74">
        <v>13206.604512090749</v>
      </c>
      <c r="AI13" s="74">
        <v>13712.762970147847</v>
      </c>
      <c r="AJ13" s="74">
        <v>14001.548373538095</v>
      </c>
      <c r="AK13" s="74">
        <v>14279.425546659199</v>
      </c>
      <c r="AL13" s="74">
        <v>14768.156993751898</v>
      </c>
      <c r="AM13" s="74">
        <v>15280.21189611185</v>
      </c>
      <c r="AN13" s="74">
        <v>15736.768682062198</v>
      </c>
    </row>
    <row r="14" spans="1:40" s="19" customFormat="1" ht="17.100000000000001" customHeight="1" x14ac:dyDescent="0.2">
      <c r="A14" s="37" t="s">
        <v>9</v>
      </c>
      <c r="B14" s="16">
        <v>300.06925573540599</v>
      </c>
      <c r="C14" s="16">
        <v>347.45798921611498</v>
      </c>
      <c r="D14" s="16">
        <v>358.02336903033802</v>
      </c>
      <c r="E14" s="16">
        <v>339.23891616044699</v>
      </c>
      <c r="F14" s="16">
        <v>321.44604818782699</v>
      </c>
      <c r="G14" s="16">
        <v>317.82729677567897</v>
      </c>
      <c r="H14" s="16">
        <v>382.29096955187703</v>
      </c>
      <c r="I14" s="16">
        <v>515.84949018732402</v>
      </c>
      <c r="J14" s="64">
        <v>576.37987628425503</v>
      </c>
      <c r="K14" s="64">
        <v>575.87887947535705</v>
      </c>
      <c r="L14" s="64">
        <v>564.90693596591598</v>
      </c>
      <c r="M14" s="64">
        <v>540.78628228959201</v>
      </c>
      <c r="N14" s="64">
        <v>566.47916334146703</v>
      </c>
      <c r="O14" s="64">
        <v>633.67774102055705</v>
      </c>
      <c r="P14" s="64">
        <v>621.58657186406401</v>
      </c>
      <c r="Q14" s="64">
        <v>659.95809342031396</v>
      </c>
      <c r="R14" s="64">
        <v>791.93966051123698</v>
      </c>
      <c r="S14" s="64">
        <v>802.07488443846603</v>
      </c>
      <c r="T14" s="64">
        <v>674.74728540508499</v>
      </c>
      <c r="U14" s="64">
        <v>499.73104241254202</v>
      </c>
      <c r="V14" s="64">
        <v>408.65650003577599</v>
      </c>
      <c r="W14" s="64">
        <v>531.86463505044298</v>
      </c>
      <c r="X14" s="64">
        <v>725.62245991641305</v>
      </c>
      <c r="Y14" s="64">
        <v>705.29604403248004</v>
      </c>
      <c r="Z14" s="64">
        <v>492.42680389782799</v>
      </c>
      <c r="AA14" s="64">
        <v>389.11967975793101</v>
      </c>
      <c r="AB14" s="64">
        <v>735.09831723273805</v>
      </c>
      <c r="AC14" s="64">
        <v>1184.32895007244</v>
      </c>
      <c r="AD14" s="64">
        <v>1121.1878476577899</v>
      </c>
      <c r="AE14" s="64">
        <v>711.385733176386</v>
      </c>
      <c r="AF14" s="64">
        <v>427.09338592431197</v>
      </c>
      <c r="AG14" s="64">
        <v>406.44501628147299</v>
      </c>
      <c r="AH14" s="64">
        <v>654.75513159373702</v>
      </c>
      <c r="AI14" s="64">
        <v>834.451890105654</v>
      </c>
      <c r="AJ14" s="64">
        <v>647.04471115575302</v>
      </c>
      <c r="AK14" s="64">
        <v>471.44955881654403</v>
      </c>
      <c r="AL14" s="64">
        <v>649.64386520214703</v>
      </c>
      <c r="AM14" s="64">
        <v>817.72948383898802</v>
      </c>
      <c r="AN14" s="64">
        <v>833.61167052412895</v>
      </c>
    </row>
    <row r="15" spans="1:40" s="19" customFormat="1" ht="17.100000000000001" customHeight="1" x14ac:dyDescent="0.2">
      <c r="A15" s="24" t="s">
        <v>10</v>
      </c>
      <c r="B15" s="16">
        <v>3850.79118763727</v>
      </c>
      <c r="C15" s="16">
        <v>4135.2136922683503</v>
      </c>
      <c r="D15" s="16">
        <v>4391.3167351149305</v>
      </c>
      <c r="E15" s="16">
        <v>4495.5481998580899</v>
      </c>
      <c r="F15" s="16">
        <v>4535.46427108634</v>
      </c>
      <c r="G15" s="16">
        <v>4650.4032037262696</v>
      </c>
      <c r="H15" s="16">
        <v>4818.5553201433704</v>
      </c>
      <c r="I15" s="16">
        <v>4966.3995124883404</v>
      </c>
      <c r="J15" s="64">
        <v>5019.4022004102299</v>
      </c>
      <c r="K15" s="64">
        <v>5069.9112126276596</v>
      </c>
      <c r="L15" s="64">
        <v>5132.7304624430999</v>
      </c>
      <c r="M15" s="64">
        <v>5282.6183654371598</v>
      </c>
      <c r="N15" s="64">
        <v>5596.0851504461898</v>
      </c>
      <c r="O15" s="64">
        <v>5779.14063657313</v>
      </c>
      <c r="P15" s="64">
        <v>5779.4788891360104</v>
      </c>
      <c r="Q15" s="64">
        <v>5815.5544130736598</v>
      </c>
      <c r="R15" s="64">
        <v>5927.8941764869696</v>
      </c>
      <c r="S15" s="64">
        <v>6046.3368359173901</v>
      </c>
      <c r="T15" s="64">
        <v>6186.1875905941197</v>
      </c>
      <c r="U15" s="64">
        <v>6194.05952885031</v>
      </c>
      <c r="V15" s="64">
        <v>6236.4600118359604</v>
      </c>
      <c r="W15" s="64">
        <v>6535.3925438025999</v>
      </c>
      <c r="X15" s="64">
        <v>6976.3569769382802</v>
      </c>
      <c r="Y15" s="64">
        <v>7223.0769564931998</v>
      </c>
      <c r="Z15" s="64">
        <v>7256.0568183175801</v>
      </c>
      <c r="AA15" s="64">
        <v>7192.0432668760304</v>
      </c>
      <c r="AB15" s="64">
        <v>7102.7167968335598</v>
      </c>
      <c r="AC15" s="64">
        <v>7170.1813226774502</v>
      </c>
      <c r="AD15" s="64">
        <v>7383.6631125268996</v>
      </c>
      <c r="AE15" s="64">
        <v>7563.1370384288703</v>
      </c>
      <c r="AF15" s="64">
        <v>7711.6238202198601</v>
      </c>
      <c r="AG15" s="64">
        <v>7912.0176293711002</v>
      </c>
      <c r="AH15" s="64">
        <v>8007.00166180831</v>
      </c>
      <c r="AI15" s="64">
        <v>8077.9286178112798</v>
      </c>
      <c r="AJ15" s="64">
        <v>8278.2902898337597</v>
      </c>
      <c r="AK15" s="64">
        <v>8533.6293977598507</v>
      </c>
      <c r="AL15" s="64">
        <v>8732.3475551866504</v>
      </c>
      <c r="AM15" s="64">
        <v>8964.2558763264296</v>
      </c>
      <c r="AN15" s="64">
        <v>9248.5553501800405</v>
      </c>
    </row>
    <row r="16" spans="1:40" s="19" customFormat="1" ht="17.100000000000001" customHeight="1" x14ac:dyDescent="0.2">
      <c r="A16" s="24" t="s">
        <v>11</v>
      </c>
      <c r="B16" s="16">
        <v>312.45627710459303</v>
      </c>
      <c r="C16" s="16">
        <v>320.836108617138</v>
      </c>
      <c r="D16" s="16">
        <v>374.21232470756701</v>
      </c>
      <c r="E16" s="16">
        <v>375.28450299903398</v>
      </c>
      <c r="F16" s="16">
        <v>377.42932918691997</v>
      </c>
      <c r="G16" s="16">
        <v>383.878072781725</v>
      </c>
      <c r="H16" s="16">
        <v>392.32737959505403</v>
      </c>
      <c r="I16" s="16">
        <v>404.67086388038598</v>
      </c>
      <c r="J16" s="64">
        <v>416.74621673575399</v>
      </c>
      <c r="K16" s="64">
        <v>426.085010931792</v>
      </c>
      <c r="L16" s="64">
        <v>435.10982376940098</v>
      </c>
      <c r="M16" s="64">
        <v>453.24918933405598</v>
      </c>
      <c r="N16" s="64">
        <v>476.58155600643698</v>
      </c>
      <c r="O16" s="64">
        <v>495.33911174553702</v>
      </c>
      <c r="P16" s="64">
        <v>508.64429130516498</v>
      </c>
      <c r="Q16" s="64">
        <v>517.01409422778704</v>
      </c>
      <c r="R16" s="64">
        <v>523.68258299437196</v>
      </c>
      <c r="S16" s="64">
        <v>532.62760945720595</v>
      </c>
      <c r="T16" s="64">
        <v>539.62249692787702</v>
      </c>
      <c r="U16" s="64">
        <v>538.94513462488601</v>
      </c>
      <c r="V16" s="64">
        <v>538.10745620267801</v>
      </c>
      <c r="W16" s="64">
        <v>542.17080662501303</v>
      </c>
      <c r="X16" s="64">
        <v>549.11918729231104</v>
      </c>
      <c r="Y16" s="64">
        <v>551.81113174123902</v>
      </c>
      <c r="Z16" s="64">
        <v>546.51725935552702</v>
      </c>
      <c r="AA16" s="64">
        <v>537.55056124884004</v>
      </c>
      <c r="AB16" s="64">
        <v>535.043151564553</v>
      </c>
      <c r="AC16" s="64">
        <v>539.82895143388998</v>
      </c>
      <c r="AD16" s="64">
        <v>544.29728028930106</v>
      </c>
      <c r="AE16" s="64">
        <v>545.20997582498705</v>
      </c>
      <c r="AF16" s="64">
        <v>547.50541733796899</v>
      </c>
      <c r="AG16" s="64">
        <v>557.84847720151595</v>
      </c>
      <c r="AH16" s="64">
        <v>575.58033830834302</v>
      </c>
      <c r="AI16" s="64">
        <v>594.53966245184097</v>
      </c>
      <c r="AJ16" s="64">
        <v>607.32390181479298</v>
      </c>
      <c r="AK16" s="64">
        <v>612.165616812743</v>
      </c>
      <c r="AL16" s="64">
        <v>616.49710975800099</v>
      </c>
      <c r="AM16" s="64">
        <v>626.10428454799296</v>
      </c>
      <c r="AN16" s="64">
        <v>637.33129086750898</v>
      </c>
    </row>
    <row r="17" spans="1:40" s="19" customFormat="1" ht="17.100000000000001" customHeight="1" x14ac:dyDescent="0.2">
      <c r="A17" s="24" t="s">
        <v>12</v>
      </c>
      <c r="B17" s="16">
        <v>612.83780603388698</v>
      </c>
      <c r="C17" s="16">
        <v>626.82109333769097</v>
      </c>
      <c r="D17" s="16">
        <v>651.13844603666701</v>
      </c>
      <c r="E17" s="16">
        <v>677.73977871552302</v>
      </c>
      <c r="F17" s="16">
        <v>697.66100713905496</v>
      </c>
      <c r="G17" s="16">
        <v>712.70709632314697</v>
      </c>
      <c r="H17" s="16">
        <v>728.16716949581598</v>
      </c>
      <c r="I17" s="16">
        <v>742.56328361195699</v>
      </c>
      <c r="J17" s="64">
        <v>749.54486498693097</v>
      </c>
      <c r="K17" s="64">
        <v>747.02887167076005</v>
      </c>
      <c r="L17" s="64">
        <v>743.12465586198505</v>
      </c>
      <c r="M17" s="64">
        <v>744.67898960170305</v>
      </c>
      <c r="N17" s="64">
        <v>756.88542486777806</v>
      </c>
      <c r="O17" s="64">
        <v>774.57064560568404</v>
      </c>
      <c r="P17" s="64">
        <v>790.16822457061005</v>
      </c>
      <c r="Q17" s="64">
        <v>797.39435059360596</v>
      </c>
      <c r="R17" s="64">
        <v>799.74880340205505</v>
      </c>
      <c r="S17" s="64">
        <v>805.28356729003599</v>
      </c>
      <c r="T17" s="64">
        <v>819.41672882069395</v>
      </c>
      <c r="U17" s="64">
        <v>834.61045637499001</v>
      </c>
      <c r="V17" s="64">
        <v>847.44024402717798</v>
      </c>
      <c r="W17" s="64">
        <v>861.90727863721395</v>
      </c>
      <c r="X17" s="64">
        <v>877.48873435615894</v>
      </c>
      <c r="Y17" s="64">
        <v>904.17019686236904</v>
      </c>
      <c r="Z17" s="64">
        <v>936.08528577798302</v>
      </c>
      <c r="AA17" s="64">
        <v>963.04380009355305</v>
      </c>
      <c r="AB17" s="64">
        <v>984.38376673288803</v>
      </c>
      <c r="AC17" s="64">
        <v>1011.80048434551</v>
      </c>
      <c r="AD17" s="64">
        <v>1037.26597063504</v>
      </c>
      <c r="AE17" s="64">
        <v>1057.28676111871</v>
      </c>
      <c r="AF17" s="64">
        <v>1080.95511617838</v>
      </c>
      <c r="AG17" s="64">
        <v>1112.26106950039</v>
      </c>
      <c r="AH17" s="64">
        <v>1152.81997746614</v>
      </c>
      <c r="AI17" s="64">
        <v>1197.5219927681201</v>
      </c>
      <c r="AJ17" s="64">
        <v>1236.9251565044001</v>
      </c>
      <c r="AK17" s="64">
        <v>1259.4551709186901</v>
      </c>
      <c r="AL17" s="64">
        <v>1284.2462616175001</v>
      </c>
      <c r="AM17" s="64">
        <v>1323.6937460372501</v>
      </c>
      <c r="AN17" s="64">
        <v>1370.1312894467301</v>
      </c>
    </row>
    <row r="18" spans="1:40" s="19" customFormat="1" ht="17.100000000000001" customHeight="1" x14ac:dyDescent="0.2">
      <c r="A18" s="37" t="s">
        <v>88</v>
      </c>
      <c r="B18" s="16">
        <v>1489.08533074554</v>
      </c>
      <c r="C18" s="16">
        <v>1544.58948776429</v>
      </c>
      <c r="D18" s="16">
        <v>1543.4923513951601</v>
      </c>
      <c r="E18" s="16">
        <v>1529.8592797920301</v>
      </c>
      <c r="F18" s="16">
        <v>1542.6890729444001</v>
      </c>
      <c r="G18" s="16">
        <v>1601.0418401656</v>
      </c>
      <c r="H18" s="16">
        <v>1695.6158329938701</v>
      </c>
      <c r="I18" s="16">
        <v>1790.0686330528799</v>
      </c>
      <c r="J18" s="64">
        <v>1863.6812734683499</v>
      </c>
      <c r="K18" s="64">
        <v>1920.9126643419299</v>
      </c>
      <c r="L18" s="64">
        <v>1968.1520182331101</v>
      </c>
      <c r="M18" s="64">
        <v>1980.00264340936</v>
      </c>
      <c r="N18" s="64">
        <v>1959.92983007877</v>
      </c>
      <c r="O18" s="64">
        <v>1935.0735716673801</v>
      </c>
      <c r="P18" s="64">
        <v>1888.37738582255</v>
      </c>
      <c r="Q18" s="64">
        <v>1829.66852815059</v>
      </c>
      <c r="R18" s="64">
        <v>1842.15704466739</v>
      </c>
      <c r="S18" s="64">
        <v>1952.3634209046199</v>
      </c>
      <c r="T18" s="64">
        <v>2066.6146868148298</v>
      </c>
      <c r="U18" s="64">
        <v>2166.9152787072198</v>
      </c>
      <c r="V18" s="64">
        <v>2230.7568339992699</v>
      </c>
      <c r="W18" s="64">
        <v>2233.0438455513499</v>
      </c>
      <c r="X18" s="64">
        <v>2206.44522109226</v>
      </c>
      <c r="Y18" s="64">
        <v>2242.5494481391502</v>
      </c>
      <c r="Z18" s="64">
        <v>2280.0189107668202</v>
      </c>
      <c r="AA18" s="64">
        <v>2313.50347345403</v>
      </c>
      <c r="AB18" s="64">
        <v>2422.8864326483199</v>
      </c>
      <c r="AC18" s="64">
        <v>2560.091424578</v>
      </c>
      <c r="AD18" s="64">
        <v>2653.2141503944599</v>
      </c>
      <c r="AE18" s="64">
        <v>2698.8049943752399</v>
      </c>
      <c r="AF18" s="64">
        <v>2705.6048130681602</v>
      </c>
      <c r="AG18" s="64">
        <v>2708.5451506076502</v>
      </c>
      <c r="AH18" s="64">
        <v>2816.4474029142202</v>
      </c>
      <c r="AI18" s="64">
        <v>3008.3208070109499</v>
      </c>
      <c r="AJ18" s="64">
        <v>3231.9643142293899</v>
      </c>
      <c r="AK18" s="64">
        <v>3402.72580235137</v>
      </c>
      <c r="AL18" s="64">
        <v>3485.4222019876001</v>
      </c>
      <c r="AM18" s="64">
        <v>3548.4285053611902</v>
      </c>
      <c r="AN18" s="64">
        <v>3647.1390810437902</v>
      </c>
    </row>
    <row r="19" spans="1:40" s="54" customFormat="1" ht="17.100000000000001" customHeight="1" x14ac:dyDescent="0.2">
      <c r="A19" s="52" t="s">
        <v>14</v>
      </c>
      <c r="B19" s="53">
        <v>11127.117061495286</v>
      </c>
      <c r="C19" s="53">
        <v>11549.179338607386</v>
      </c>
      <c r="D19" s="53">
        <v>11993.078241739831</v>
      </c>
      <c r="E19" s="53">
        <v>12439.358975167564</v>
      </c>
      <c r="F19" s="53">
        <v>12650.616788767487</v>
      </c>
      <c r="G19" s="53">
        <v>12799.616256044643</v>
      </c>
      <c r="H19" s="53">
        <v>13185.684196234581</v>
      </c>
      <c r="I19" s="53">
        <v>13584.70141764501</v>
      </c>
      <c r="J19" s="74">
        <v>13780.593179763133</v>
      </c>
      <c r="K19" s="74">
        <v>13973.1852584468</v>
      </c>
      <c r="L19" s="74">
        <v>14304.167977710611</v>
      </c>
      <c r="M19" s="74">
        <v>14798.505213939317</v>
      </c>
      <c r="N19" s="74">
        <v>15360.163398208641</v>
      </c>
      <c r="O19" s="74">
        <v>15524.527151432414</v>
      </c>
      <c r="P19" s="74">
        <v>15106.694631337812</v>
      </c>
      <c r="Q19" s="74">
        <v>14754.553821960697</v>
      </c>
      <c r="R19" s="74">
        <v>14888.874772785981</v>
      </c>
      <c r="S19" s="74">
        <v>15326.470500274907</v>
      </c>
      <c r="T19" s="74">
        <v>15716.886253015549</v>
      </c>
      <c r="U19" s="74">
        <v>15855.686990544938</v>
      </c>
      <c r="V19" s="74">
        <v>16015.495209220633</v>
      </c>
      <c r="W19" s="74">
        <v>16625.437694812113</v>
      </c>
      <c r="X19" s="74">
        <v>17437.806361786406</v>
      </c>
      <c r="Y19" s="74">
        <v>17979.544556548317</v>
      </c>
      <c r="Z19" s="74">
        <v>18486.264907619956</v>
      </c>
      <c r="AA19" s="74">
        <v>18991.978175062319</v>
      </c>
      <c r="AB19" s="74">
        <v>19668.829650207757</v>
      </c>
      <c r="AC19" s="74">
        <v>20507.737425680858</v>
      </c>
      <c r="AD19" s="74">
        <v>21277.688032034443</v>
      </c>
      <c r="AE19" s="74">
        <v>21390.809856935619</v>
      </c>
      <c r="AF19" s="74">
        <v>21971.35123009159</v>
      </c>
      <c r="AG19" s="74">
        <v>22609.438778843509</v>
      </c>
      <c r="AH19" s="74">
        <v>23051.903048734624</v>
      </c>
      <c r="AI19" s="74">
        <v>23606.222499653813</v>
      </c>
      <c r="AJ19" s="74">
        <v>24173.629046927286</v>
      </c>
      <c r="AK19" s="74">
        <v>24776.456549646864</v>
      </c>
      <c r="AL19" s="74">
        <v>25470.926856005954</v>
      </c>
      <c r="AM19" s="74">
        <v>26037.26667907372</v>
      </c>
      <c r="AN19" s="74">
        <v>26357.974728006335</v>
      </c>
    </row>
    <row r="20" spans="1:40" s="19" customFormat="1" ht="17.100000000000001" customHeight="1" x14ac:dyDescent="0.2">
      <c r="A20" s="38" t="s">
        <v>64</v>
      </c>
      <c r="B20" s="16">
        <v>2140.5094004266398</v>
      </c>
      <c r="C20" s="16">
        <v>2382.63842447765</v>
      </c>
      <c r="D20" s="16">
        <v>2549.4152237092899</v>
      </c>
      <c r="E20" s="16">
        <v>2675.2924744741399</v>
      </c>
      <c r="F20" s="16">
        <v>2617.2426101145002</v>
      </c>
      <c r="G20" s="16">
        <v>2566.7852329265602</v>
      </c>
      <c r="H20" s="16">
        <v>2769.3283814396</v>
      </c>
      <c r="I20" s="16">
        <v>2914.0739097757901</v>
      </c>
      <c r="J20" s="64">
        <v>2875.4858507660101</v>
      </c>
      <c r="K20" s="64">
        <v>2857.6593542494702</v>
      </c>
      <c r="L20" s="64">
        <v>2879.00443499118</v>
      </c>
      <c r="M20" s="64">
        <v>2871.0734270831299</v>
      </c>
      <c r="N20" s="64">
        <v>2987.7351063563101</v>
      </c>
      <c r="O20" s="64">
        <v>3072.1353118420002</v>
      </c>
      <c r="P20" s="64">
        <v>2941.3020379966501</v>
      </c>
      <c r="Q20" s="64">
        <v>2795.01250985566</v>
      </c>
      <c r="R20" s="64">
        <v>2853.0620711830002</v>
      </c>
      <c r="S20" s="64">
        <v>2966.7284240128802</v>
      </c>
      <c r="T20" s="64">
        <v>2983.2851227628298</v>
      </c>
      <c r="U20" s="64">
        <v>2899.8387267808498</v>
      </c>
      <c r="V20" s="64">
        <v>2906.31739939007</v>
      </c>
      <c r="W20" s="64">
        <v>3213.2837223393899</v>
      </c>
      <c r="X20" s="64">
        <v>3706.33727282779</v>
      </c>
      <c r="Y20" s="64">
        <v>3926.3093987383099</v>
      </c>
      <c r="Z20" s="64">
        <v>3884.0411659178599</v>
      </c>
      <c r="AA20" s="64">
        <v>3898.7853065983199</v>
      </c>
      <c r="AB20" s="64">
        <v>4265.1813896137801</v>
      </c>
      <c r="AC20" s="64">
        <v>4794.5706973238002</v>
      </c>
      <c r="AD20" s="64">
        <v>4988.8225208335698</v>
      </c>
      <c r="AE20" s="64">
        <v>4822.3939534346</v>
      </c>
      <c r="AF20" s="64">
        <v>4676.0585508163404</v>
      </c>
      <c r="AG20" s="64">
        <v>4823.5763745875101</v>
      </c>
      <c r="AH20" s="64">
        <v>5123.8806928916902</v>
      </c>
      <c r="AI20" s="64">
        <v>5384.1042218679104</v>
      </c>
      <c r="AJ20" s="64">
        <v>5414.5447085362503</v>
      </c>
      <c r="AK20" s="64">
        <v>5520.3899100259296</v>
      </c>
      <c r="AL20" s="64">
        <v>5819.2612853023802</v>
      </c>
      <c r="AM20" s="64">
        <v>6088.7816799582697</v>
      </c>
      <c r="AN20" s="64">
        <v>6234.3862586307596</v>
      </c>
    </row>
    <row r="21" spans="1:40" s="19" customFormat="1" ht="17.100000000000001" customHeight="1" x14ac:dyDescent="0.2">
      <c r="A21" s="38" t="s">
        <v>65</v>
      </c>
      <c r="B21" s="16">
        <v>859.55294539725799</v>
      </c>
      <c r="C21" s="16">
        <v>888.60641380703805</v>
      </c>
      <c r="D21" s="16">
        <v>925.25448476135</v>
      </c>
      <c r="E21" s="16">
        <v>960.37533807525597</v>
      </c>
      <c r="F21" s="16">
        <v>986.68190238161901</v>
      </c>
      <c r="G21" s="16">
        <v>1009.20263330834</v>
      </c>
      <c r="H21" s="16">
        <v>1041.6211032537301</v>
      </c>
      <c r="I21" s="16">
        <v>1078.0098863057301</v>
      </c>
      <c r="J21" s="64">
        <v>1085.1691787001801</v>
      </c>
      <c r="K21" s="64">
        <v>1089.8823316918199</v>
      </c>
      <c r="L21" s="64">
        <v>1132.75698552216</v>
      </c>
      <c r="M21" s="64">
        <v>1219.88438826795</v>
      </c>
      <c r="N21" s="64">
        <v>1265.7994681360201</v>
      </c>
      <c r="O21" s="64">
        <v>1235.4221760753901</v>
      </c>
      <c r="P21" s="64">
        <v>1156.3629274539701</v>
      </c>
      <c r="Q21" s="64">
        <v>1112.0353382158401</v>
      </c>
      <c r="R21" s="64">
        <v>1126.7282698731301</v>
      </c>
      <c r="S21" s="64">
        <v>1145.0138721613901</v>
      </c>
      <c r="T21" s="64">
        <v>1143.4604916117401</v>
      </c>
      <c r="U21" s="64">
        <v>1162.78981471312</v>
      </c>
      <c r="V21" s="64">
        <v>1222.8989925102901</v>
      </c>
      <c r="W21" s="64">
        <v>1277.42663905321</v>
      </c>
      <c r="X21" s="64">
        <v>1316.10882639279</v>
      </c>
      <c r="Y21" s="64">
        <v>1358.3265315987401</v>
      </c>
      <c r="Z21" s="64">
        <v>1466.0335759876</v>
      </c>
      <c r="AA21" s="64">
        <v>1600.1965834379901</v>
      </c>
      <c r="AB21" s="64">
        <v>1686.1572217875</v>
      </c>
      <c r="AC21" s="64">
        <v>1707.87561524734</v>
      </c>
      <c r="AD21" s="64">
        <v>1740.13672990235</v>
      </c>
      <c r="AE21" s="64">
        <v>1825.51566398913</v>
      </c>
      <c r="AF21" s="64">
        <v>1944.8674077083899</v>
      </c>
      <c r="AG21" s="64">
        <v>2047.6766254491499</v>
      </c>
      <c r="AH21" s="64">
        <v>2097.3371846144501</v>
      </c>
      <c r="AI21" s="64">
        <v>2141.6207106381498</v>
      </c>
      <c r="AJ21" s="64">
        <v>2205.6394930012302</v>
      </c>
      <c r="AK21" s="64">
        <v>2226.19827120729</v>
      </c>
      <c r="AL21" s="64">
        <v>2210.3797232873499</v>
      </c>
      <c r="AM21" s="64">
        <v>2258.7710436411398</v>
      </c>
      <c r="AN21" s="64">
        <v>2347.01269171995</v>
      </c>
    </row>
    <row r="22" spans="1:40" s="19" customFormat="1" ht="17.100000000000001" customHeight="1" x14ac:dyDescent="0.2">
      <c r="A22" s="38" t="s">
        <v>66</v>
      </c>
      <c r="B22" s="16">
        <v>721.10399892009298</v>
      </c>
      <c r="C22" s="16">
        <v>777.60874526972702</v>
      </c>
      <c r="D22" s="16">
        <v>833.68422780631397</v>
      </c>
      <c r="E22" s="16">
        <v>887.47580338873797</v>
      </c>
      <c r="F22" s="16">
        <v>918.12931211608702</v>
      </c>
      <c r="G22" s="16">
        <v>917.58070420898503</v>
      </c>
      <c r="H22" s="16">
        <v>911.43713581097097</v>
      </c>
      <c r="I22" s="16">
        <v>922.02292956687904</v>
      </c>
      <c r="J22" s="64">
        <v>933.12107437797999</v>
      </c>
      <c r="K22" s="64">
        <v>940.59604849119</v>
      </c>
      <c r="L22" s="64">
        <v>948.09126607122198</v>
      </c>
      <c r="M22" s="64">
        <v>998.39828971339296</v>
      </c>
      <c r="N22" s="64">
        <v>1064.0236534446799</v>
      </c>
      <c r="O22" s="64">
        <v>1071.3333332713601</v>
      </c>
      <c r="P22" s="64">
        <v>997.42205759226999</v>
      </c>
      <c r="Q22" s="64">
        <v>896.77878443545501</v>
      </c>
      <c r="R22" s="64">
        <v>824.63233305102301</v>
      </c>
      <c r="S22" s="64">
        <v>837.07516874824705</v>
      </c>
      <c r="T22" s="64">
        <v>889.98858870344202</v>
      </c>
      <c r="U22" s="64">
        <v>890.42717618990605</v>
      </c>
      <c r="V22" s="64">
        <v>876.96501715934301</v>
      </c>
      <c r="W22" s="64">
        <v>886.005143806609</v>
      </c>
      <c r="X22" s="64">
        <v>871.06414346605902</v>
      </c>
      <c r="Y22" s="64">
        <v>848.65381177724203</v>
      </c>
      <c r="Z22" s="64">
        <v>905.84994047904297</v>
      </c>
      <c r="AA22" s="64">
        <v>976.63814646701996</v>
      </c>
      <c r="AB22" s="64">
        <v>1031.5956514033601</v>
      </c>
      <c r="AC22" s="64">
        <v>1079.51552933777</v>
      </c>
      <c r="AD22" s="64">
        <v>1079.5260495140601</v>
      </c>
      <c r="AE22" s="64">
        <v>1070.6796440631799</v>
      </c>
      <c r="AF22" s="64">
        <v>1202.70554425061</v>
      </c>
      <c r="AG22" s="64">
        <v>1332.70298787456</v>
      </c>
      <c r="AH22" s="64">
        <v>1341.00588361871</v>
      </c>
      <c r="AI22" s="64">
        <v>1368.87073692896</v>
      </c>
      <c r="AJ22" s="64">
        <v>1398.8527766084701</v>
      </c>
      <c r="AK22" s="64">
        <v>1441.28079129862</v>
      </c>
      <c r="AL22" s="64">
        <v>1567.0818756625499</v>
      </c>
      <c r="AM22" s="64">
        <v>1643.18207885627</v>
      </c>
      <c r="AN22" s="64">
        <v>1608.96494016216</v>
      </c>
    </row>
    <row r="23" spans="1:40" s="19" customFormat="1" ht="17.100000000000001" customHeight="1" x14ac:dyDescent="0.2">
      <c r="A23" s="38" t="s">
        <v>67</v>
      </c>
      <c r="B23" s="16">
        <v>549.27148456125701</v>
      </c>
      <c r="C23" s="16">
        <v>546.53371424798297</v>
      </c>
      <c r="D23" s="16">
        <v>530.28265640607401</v>
      </c>
      <c r="E23" s="16">
        <v>496.17999117417202</v>
      </c>
      <c r="F23" s="16">
        <v>459.69309501439</v>
      </c>
      <c r="G23" s="16">
        <v>461.54213424792499</v>
      </c>
      <c r="H23" s="16">
        <v>501.74707033531399</v>
      </c>
      <c r="I23" s="16">
        <v>541.47867517076497</v>
      </c>
      <c r="J23" s="64">
        <v>565.56556647220202</v>
      </c>
      <c r="K23" s="64">
        <v>586.03826987922105</v>
      </c>
      <c r="L23" s="64">
        <v>610.38841053157398</v>
      </c>
      <c r="M23" s="64">
        <v>640.34823088624705</v>
      </c>
      <c r="N23" s="64">
        <v>673.671643475878</v>
      </c>
      <c r="O23" s="64">
        <v>670.08201523759499</v>
      </c>
      <c r="P23" s="64">
        <v>621.08215754328501</v>
      </c>
      <c r="Q23" s="64">
        <v>589.96348596537996</v>
      </c>
      <c r="R23" s="64">
        <v>605.46991553270902</v>
      </c>
      <c r="S23" s="64">
        <v>647.51019317459202</v>
      </c>
      <c r="T23" s="64">
        <v>693.40751821984099</v>
      </c>
      <c r="U23" s="64">
        <v>711.81696364783795</v>
      </c>
      <c r="V23" s="64">
        <v>694.88870246418503</v>
      </c>
      <c r="W23" s="64">
        <v>689.18935039691303</v>
      </c>
      <c r="X23" s="64">
        <v>698.43494051858897</v>
      </c>
      <c r="Y23" s="64">
        <v>675.42084067519295</v>
      </c>
      <c r="Z23" s="64">
        <v>627.078097008638</v>
      </c>
      <c r="AA23" s="64">
        <v>627.72133854203605</v>
      </c>
      <c r="AB23" s="64">
        <v>720.57562305103897</v>
      </c>
      <c r="AC23" s="64">
        <v>859.97974071713395</v>
      </c>
      <c r="AD23" s="64">
        <v>1101.48509912589</v>
      </c>
      <c r="AE23" s="64">
        <v>1162.39562855695</v>
      </c>
      <c r="AF23" s="64">
        <v>1153.4538831458101</v>
      </c>
      <c r="AG23" s="64">
        <v>1114.94792677638</v>
      </c>
      <c r="AH23" s="64">
        <v>1087.82047756162</v>
      </c>
      <c r="AI23" s="64">
        <v>1060.7273285845299</v>
      </c>
      <c r="AJ23" s="64">
        <v>1029.5818312240799</v>
      </c>
      <c r="AK23" s="64">
        <v>1034.9383834095599</v>
      </c>
      <c r="AL23" s="64">
        <v>1074.89701119549</v>
      </c>
      <c r="AM23" s="64">
        <v>1107.52363814043</v>
      </c>
      <c r="AN23" s="64">
        <v>1126.5541981220399</v>
      </c>
    </row>
    <row r="24" spans="1:40" s="19" customFormat="1" ht="17.100000000000001" customHeight="1" x14ac:dyDescent="0.2">
      <c r="A24" s="38" t="s">
        <v>68</v>
      </c>
      <c r="B24" s="16">
        <v>676.83116041256301</v>
      </c>
      <c r="C24" s="16">
        <v>685.00816787974895</v>
      </c>
      <c r="D24" s="16">
        <v>726.75347877468505</v>
      </c>
      <c r="E24" s="16">
        <v>755.69832433263002</v>
      </c>
      <c r="F24" s="16">
        <v>765.385152674702</v>
      </c>
      <c r="G24" s="16">
        <v>767.56474188096195</v>
      </c>
      <c r="H24" s="16">
        <v>770.11305433928896</v>
      </c>
      <c r="I24" s="16">
        <v>761.53372588193702</v>
      </c>
      <c r="J24" s="64">
        <v>768.72307875357399</v>
      </c>
      <c r="K24" s="64">
        <v>809.73138635452199</v>
      </c>
      <c r="L24" s="64">
        <v>903.70540388130905</v>
      </c>
      <c r="M24" s="64">
        <v>993.74775551278196</v>
      </c>
      <c r="N24" s="64">
        <v>1058.6001300110099</v>
      </c>
      <c r="O24" s="64">
        <v>1045.1482500900199</v>
      </c>
      <c r="P24" s="64">
        <v>1008.09961589058</v>
      </c>
      <c r="Q24" s="64">
        <v>1029.50209115708</v>
      </c>
      <c r="R24" s="64">
        <v>1046.46524046423</v>
      </c>
      <c r="S24" s="64">
        <v>1031.8485466417501</v>
      </c>
      <c r="T24" s="64">
        <v>1019.99185700625</v>
      </c>
      <c r="U24" s="64">
        <v>1042.61625974908</v>
      </c>
      <c r="V24" s="64">
        <v>1053.9221076041799</v>
      </c>
      <c r="W24" s="64">
        <v>1130.04574096545</v>
      </c>
      <c r="X24" s="64">
        <v>1209.6662353419799</v>
      </c>
      <c r="Y24" s="64">
        <v>1252.99237353442</v>
      </c>
      <c r="Z24" s="64">
        <v>1324.7853071326799</v>
      </c>
      <c r="AA24" s="64">
        <v>1417.4732818355301</v>
      </c>
      <c r="AB24" s="64">
        <v>1439.17458831871</v>
      </c>
      <c r="AC24" s="64">
        <v>1389.83163622239</v>
      </c>
      <c r="AD24" s="64">
        <v>1380.21398800868</v>
      </c>
      <c r="AE24" s="64">
        <v>1373.15737075431</v>
      </c>
      <c r="AF24" s="64">
        <v>1398.3032952593801</v>
      </c>
      <c r="AG24" s="64">
        <v>1443.93373807891</v>
      </c>
      <c r="AH24" s="64">
        <v>1478.02179007413</v>
      </c>
      <c r="AI24" s="64">
        <v>1474.4701348409999</v>
      </c>
      <c r="AJ24" s="64">
        <v>1493.5427372910599</v>
      </c>
      <c r="AK24" s="64">
        <v>1575.0485467091401</v>
      </c>
      <c r="AL24" s="64">
        <v>1628.8000055755899</v>
      </c>
      <c r="AM24" s="64">
        <v>1644.7352885117</v>
      </c>
      <c r="AN24" s="64">
        <v>1648.09933057488</v>
      </c>
    </row>
    <row r="25" spans="1:40" s="19" customFormat="1" ht="17.100000000000001" customHeight="1" x14ac:dyDescent="0.2">
      <c r="A25" s="38" t="s">
        <v>20</v>
      </c>
      <c r="B25" s="16">
        <v>1573.5760841281699</v>
      </c>
      <c r="C25" s="16">
        <v>1597.5506893466199</v>
      </c>
      <c r="D25" s="16">
        <v>1645.5633306965301</v>
      </c>
      <c r="E25" s="16">
        <v>1701.69684694021</v>
      </c>
      <c r="F25" s="16">
        <v>1770.9604626959499</v>
      </c>
      <c r="G25" s="16">
        <v>1834.5405159300001</v>
      </c>
      <c r="H25" s="16">
        <v>1883.0762855414</v>
      </c>
      <c r="I25" s="16">
        <v>1944.60354070838</v>
      </c>
      <c r="J25" s="64">
        <v>2018.77887775972</v>
      </c>
      <c r="K25" s="64">
        <v>2072.0103493317702</v>
      </c>
      <c r="L25" s="64">
        <v>2091.1194834195298</v>
      </c>
      <c r="M25" s="64">
        <v>2107.0376140359899</v>
      </c>
      <c r="N25" s="64">
        <v>2138.2134500643001</v>
      </c>
      <c r="O25" s="64">
        <v>2203.3003296339998</v>
      </c>
      <c r="P25" s="64">
        <v>2266.9838463149399</v>
      </c>
      <c r="Q25" s="64">
        <v>2292.34559023872</v>
      </c>
      <c r="R25" s="64">
        <v>2283.6930592192598</v>
      </c>
      <c r="S25" s="64">
        <v>2286.0723748207902</v>
      </c>
      <c r="T25" s="64">
        <v>2322.03417296835</v>
      </c>
      <c r="U25" s="64">
        <v>2382.3522478882101</v>
      </c>
      <c r="V25" s="64">
        <v>2456.3381881738201</v>
      </c>
      <c r="W25" s="64">
        <v>2523.3104395742098</v>
      </c>
      <c r="X25" s="64">
        <v>2584.1717406637499</v>
      </c>
      <c r="Y25" s="64">
        <v>2651.3883291411998</v>
      </c>
      <c r="Z25" s="64">
        <v>2723.0826639245702</v>
      </c>
      <c r="AA25" s="64">
        <v>2771.5430297317698</v>
      </c>
      <c r="AB25" s="64">
        <v>2820.8345804104401</v>
      </c>
      <c r="AC25" s="64">
        <v>2888.5541641773302</v>
      </c>
      <c r="AD25" s="64">
        <v>2963.9479182773898</v>
      </c>
      <c r="AE25" s="64">
        <v>3025.4337674578801</v>
      </c>
      <c r="AF25" s="64">
        <v>3071.22427232362</v>
      </c>
      <c r="AG25" s="64">
        <v>3096.9822930790201</v>
      </c>
      <c r="AH25" s="64">
        <v>3128.88099686339</v>
      </c>
      <c r="AI25" s="64">
        <v>3194.3309165311898</v>
      </c>
      <c r="AJ25" s="64">
        <v>3276.4162756713799</v>
      </c>
      <c r="AK25" s="64">
        <v>3341.8363685571999</v>
      </c>
      <c r="AL25" s="64">
        <v>3386.4383340159202</v>
      </c>
      <c r="AM25" s="64">
        <v>3445.1612025342401</v>
      </c>
      <c r="AN25" s="64">
        <v>3515.1933227228801</v>
      </c>
    </row>
    <row r="26" spans="1:40" s="19" customFormat="1" ht="17.100000000000001" customHeight="1" x14ac:dyDescent="0.2">
      <c r="A26" s="38" t="s">
        <v>70</v>
      </c>
      <c r="B26" s="16">
        <v>628.03442893909698</v>
      </c>
      <c r="C26" s="16">
        <v>583.32135968869602</v>
      </c>
      <c r="D26" s="16">
        <v>550.942634585718</v>
      </c>
      <c r="E26" s="16">
        <v>577.317407133296</v>
      </c>
      <c r="F26" s="16">
        <v>622.40550033316595</v>
      </c>
      <c r="G26" s="16">
        <v>641.69053136927005</v>
      </c>
      <c r="H26" s="16">
        <v>651.95364596565105</v>
      </c>
      <c r="I26" s="16">
        <v>667.45052005749301</v>
      </c>
      <c r="J26" s="64">
        <v>644.72412220933302</v>
      </c>
      <c r="K26" s="64">
        <v>631.65371311430204</v>
      </c>
      <c r="L26" s="64">
        <v>688.57335624848599</v>
      </c>
      <c r="M26" s="64">
        <v>805.17685522222996</v>
      </c>
      <c r="N26" s="64">
        <v>865.72972782718296</v>
      </c>
      <c r="O26" s="64">
        <v>801.55255812837004</v>
      </c>
      <c r="P26" s="64">
        <v>692.503206547476</v>
      </c>
      <c r="Q26" s="64">
        <v>645.85947221203401</v>
      </c>
      <c r="R26" s="64">
        <v>666.75670108652605</v>
      </c>
      <c r="S26" s="64">
        <v>728.62365817458499</v>
      </c>
      <c r="T26" s="64">
        <v>780.65022822632704</v>
      </c>
      <c r="U26" s="64">
        <v>810.31527164036095</v>
      </c>
      <c r="V26" s="64">
        <v>826.16495581217498</v>
      </c>
      <c r="W26" s="64">
        <v>784.27774201795603</v>
      </c>
      <c r="X26" s="64">
        <v>717.71325984618204</v>
      </c>
      <c r="Y26" s="64">
        <v>733.98854041906395</v>
      </c>
      <c r="Z26" s="64">
        <v>864.352340479296</v>
      </c>
      <c r="AA26" s="64">
        <v>970.84488100508997</v>
      </c>
      <c r="AB26" s="64">
        <v>955.57176768624504</v>
      </c>
      <c r="AC26" s="64">
        <v>898.06156876600301</v>
      </c>
      <c r="AD26" s="64">
        <v>883.91944233717004</v>
      </c>
      <c r="AE26" s="64">
        <v>939.42593374935495</v>
      </c>
      <c r="AF26" s="64">
        <v>1024.22653685094</v>
      </c>
      <c r="AG26" s="64">
        <v>1051.66645296362</v>
      </c>
      <c r="AH26" s="64">
        <v>1060.27991665277</v>
      </c>
      <c r="AI26" s="64">
        <v>1147.3244447725399</v>
      </c>
      <c r="AJ26" s="64">
        <v>1262.54673326336</v>
      </c>
      <c r="AK26" s="64">
        <v>1255.46934134356</v>
      </c>
      <c r="AL26" s="64">
        <v>1161.8098615098199</v>
      </c>
      <c r="AM26" s="64">
        <v>1126.6109457206201</v>
      </c>
      <c r="AN26" s="64">
        <v>1164.4011166575499</v>
      </c>
    </row>
    <row r="27" spans="1:40" s="19" customFormat="1" ht="17.100000000000001" customHeight="1" x14ac:dyDescent="0.2">
      <c r="A27" s="38" t="s">
        <v>74</v>
      </c>
      <c r="B27" s="16">
        <v>436.90019214591399</v>
      </c>
      <c r="C27" s="16">
        <v>471.062872329009</v>
      </c>
      <c r="D27" s="16">
        <v>493.19561482116399</v>
      </c>
      <c r="E27" s="16">
        <v>497.379069248196</v>
      </c>
      <c r="F27" s="16">
        <v>489.48847681387201</v>
      </c>
      <c r="G27" s="16">
        <v>488.42767050667197</v>
      </c>
      <c r="H27" s="16">
        <v>505.811642342433</v>
      </c>
      <c r="I27" s="16">
        <v>531.92273296156395</v>
      </c>
      <c r="J27" s="64">
        <v>556.00341005381404</v>
      </c>
      <c r="K27" s="64">
        <v>581.41283595283699</v>
      </c>
      <c r="L27" s="64">
        <v>610.07189125465197</v>
      </c>
      <c r="M27" s="64">
        <v>636.10719390044301</v>
      </c>
      <c r="N27" s="64">
        <v>649.66067504855801</v>
      </c>
      <c r="O27" s="64">
        <v>645.043586132168</v>
      </c>
      <c r="P27" s="64">
        <v>629.36868759469803</v>
      </c>
      <c r="Q27" s="64">
        <v>635.81477033398596</v>
      </c>
      <c r="R27" s="64">
        <v>669.92621591207899</v>
      </c>
      <c r="S27" s="64">
        <v>704.68903347867695</v>
      </c>
      <c r="T27" s="64">
        <v>722.13311853060998</v>
      </c>
      <c r="U27" s="64">
        <v>735.27688732173795</v>
      </c>
      <c r="V27" s="64">
        <v>759.36481097930505</v>
      </c>
      <c r="W27" s="64">
        <v>783.59485330719804</v>
      </c>
      <c r="X27" s="64">
        <v>802.02974197733204</v>
      </c>
      <c r="Y27" s="64">
        <v>835.36444502859399</v>
      </c>
      <c r="Z27" s="64">
        <v>884.44414270881896</v>
      </c>
      <c r="AA27" s="64">
        <v>926.84325482018005</v>
      </c>
      <c r="AB27" s="64">
        <v>960.08186813967302</v>
      </c>
      <c r="AC27" s="64">
        <v>980.39038006218198</v>
      </c>
      <c r="AD27" s="64">
        <v>994.66804352440897</v>
      </c>
      <c r="AE27" s="64">
        <v>1020.3628154718</v>
      </c>
      <c r="AF27" s="64">
        <v>1047.4803832887201</v>
      </c>
      <c r="AG27" s="64">
        <v>1046.36873655159</v>
      </c>
      <c r="AH27" s="64">
        <v>1025.7901299955499</v>
      </c>
      <c r="AI27" s="64">
        <v>1035.3926147859299</v>
      </c>
      <c r="AJ27" s="64">
        <v>1086.98130833405</v>
      </c>
      <c r="AK27" s="64">
        <v>1146.3064572324099</v>
      </c>
      <c r="AL27" s="64">
        <v>1187.9083950306101</v>
      </c>
      <c r="AM27" s="64">
        <v>1198.5096553923099</v>
      </c>
      <c r="AN27" s="64">
        <v>1192.32122513165</v>
      </c>
    </row>
    <row r="28" spans="1:40" s="19" customFormat="1" ht="17.100000000000001" customHeight="1" x14ac:dyDescent="0.2">
      <c r="A28" s="38" t="s">
        <v>23</v>
      </c>
      <c r="B28" s="16">
        <v>610.05594484674805</v>
      </c>
      <c r="C28" s="16">
        <v>641.263360967018</v>
      </c>
      <c r="D28" s="16">
        <v>690.00282668077398</v>
      </c>
      <c r="E28" s="16">
        <v>739.55460571392302</v>
      </c>
      <c r="F28" s="16">
        <v>767.92100989194398</v>
      </c>
      <c r="G28" s="16">
        <v>772.54923107546904</v>
      </c>
      <c r="H28" s="16">
        <v>762.95192602140503</v>
      </c>
      <c r="I28" s="16">
        <v>758.11279760639798</v>
      </c>
      <c r="J28" s="64">
        <v>767.35126144055198</v>
      </c>
      <c r="K28" s="64">
        <v>786.85560953592505</v>
      </c>
      <c r="L28" s="64">
        <v>818.37700437490696</v>
      </c>
      <c r="M28" s="64">
        <v>868.51585428815304</v>
      </c>
      <c r="N28" s="64">
        <v>922.59596908148001</v>
      </c>
      <c r="O28" s="64">
        <v>960.73768464210104</v>
      </c>
      <c r="P28" s="64">
        <v>978.25279026133398</v>
      </c>
      <c r="Q28" s="64">
        <v>1007.08321284257</v>
      </c>
      <c r="R28" s="64">
        <v>1055.60349609837</v>
      </c>
      <c r="S28" s="64">
        <v>1124.7739589519001</v>
      </c>
      <c r="T28" s="64">
        <v>1180.09690544612</v>
      </c>
      <c r="U28" s="64">
        <v>1186.0423199294601</v>
      </c>
      <c r="V28" s="64">
        <v>1161.05557716768</v>
      </c>
      <c r="W28" s="64">
        <v>1178.9328949321</v>
      </c>
      <c r="X28" s="64">
        <v>1209.7617805991899</v>
      </c>
      <c r="Y28" s="64">
        <v>1285.3644719373301</v>
      </c>
      <c r="Z28" s="64">
        <v>1359.2646871013601</v>
      </c>
      <c r="AA28" s="64">
        <v>1339.06116516109</v>
      </c>
      <c r="AB28" s="64">
        <v>1255.5391688852401</v>
      </c>
      <c r="AC28" s="64">
        <v>1238.93375854177</v>
      </c>
      <c r="AD28" s="64">
        <v>1303.9932551423001</v>
      </c>
      <c r="AE28" s="64">
        <v>1391.18987047767</v>
      </c>
      <c r="AF28" s="64">
        <v>1486.3485960344999</v>
      </c>
      <c r="AG28" s="64">
        <v>1511.18055351714</v>
      </c>
      <c r="AH28" s="64">
        <v>1499.0048343629701</v>
      </c>
      <c r="AI28" s="64">
        <v>1532.03222460352</v>
      </c>
      <c r="AJ28" s="64">
        <v>1615.5645638006799</v>
      </c>
      <c r="AK28" s="64">
        <v>1639.3105231608099</v>
      </c>
      <c r="AL28" s="64">
        <v>1659.5493566083601</v>
      </c>
      <c r="AM28" s="64">
        <v>1715.8005770160401</v>
      </c>
      <c r="AN28" s="64">
        <v>1779.4237401011001</v>
      </c>
    </row>
    <row r="29" spans="1:40" s="19" customFormat="1" ht="17.100000000000001" customHeight="1" x14ac:dyDescent="0.2">
      <c r="A29" s="38" t="s">
        <v>24</v>
      </c>
      <c r="B29" s="16">
        <v>1167.8212654515701</v>
      </c>
      <c r="C29" s="16">
        <v>1179.3722505473199</v>
      </c>
      <c r="D29" s="16">
        <v>1198.51517029718</v>
      </c>
      <c r="E29" s="16">
        <v>1231.3108483979199</v>
      </c>
      <c r="F29" s="16">
        <v>1273.5155461275399</v>
      </c>
      <c r="G29" s="16">
        <v>1312.8329209087501</v>
      </c>
      <c r="H29" s="16">
        <v>1341.0956965308901</v>
      </c>
      <c r="I29" s="16">
        <v>1378.67790059609</v>
      </c>
      <c r="J29" s="64">
        <v>1438.88330470046</v>
      </c>
      <c r="K29" s="64">
        <v>1476.7736348538599</v>
      </c>
      <c r="L29" s="64">
        <v>1455.26263242143</v>
      </c>
      <c r="M29" s="64">
        <v>1413.07622408827</v>
      </c>
      <c r="N29" s="64">
        <v>1429.70256347335</v>
      </c>
      <c r="O29" s="64">
        <v>1487.3464047279899</v>
      </c>
      <c r="P29" s="64">
        <v>1472.2139805025199</v>
      </c>
      <c r="Q29" s="64">
        <v>1374.2455527842001</v>
      </c>
      <c r="R29" s="64">
        <v>1326.7454289442001</v>
      </c>
      <c r="S29" s="64">
        <v>1379.0127108455599</v>
      </c>
      <c r="T29" s="64">
        <v>1460.2704472400101</v>
      </c>
      <c r="U29" s="64">
        <v>1470.23486105751</v>
      </c>
      <c r="V29" s="64">
        <v>1433.3136420348601</v>
      </c>
      <c r="W29" s="64">
        <v>1461.5342758904401</v>
      </c>
      <c r="X29" s="64">
        <v>1578.97062893628</v>
      </c>
      <c r="Y29" s="64">
        <v>1653.2760796796199</v>
      </c>
      <c r="Z29" s="64">
        <v>1639.46158982771</v>
      </c>
      <c r="AA29" s="64">
        <v>1611.81520814188</v>
      </c>
      <c r="AB29" s="64">
        <v>1675.38925429552</v>
      </c>
      <c r="AC29" s="64">
        <v>1811.6481967055699</v>
      </c>
      <c r="AD29" s="64">
        <v>1935.4494938998801</v>
      </c>
      <c r="AE29" s="64">
        <v>1766.5779405844501</v>
      </c>
      <c r="AF29" s="64">
        <v>1849.43503330658</v>
      </c>
      <c r="AG29" s="64">
        <v>1909.69276043684</v>
      </c>
      <c r="AH29" s="64">
        <v>1923.6505944343301</v>
      </c>
      <c r="AI29" s="64">
        <v>1957.9158338759701</v>
      </c>
      <c r="AJ29" s="64">
        <v>2048.8513314792199</v>
      </c>
      <c r="AK29" s="64">
        <v>2223.6050758307701</v>
      </c>
      <c r="AL29" s="64">
        <v>2372.0167058335101</v>
      </c>
      <c r="AM29" s="64">
        <v>2348.1965160652298</v>
      </c>
      <c r="AN29" s="64">
        <v>2220.6121005822502</v>
      </c>
    </row>
    <row r="30" spans="1:40" s="19" customFormat="1" ht="17.100000000000001" customHeight="1" x14ac:dyDescent="0.2">
      <c r="A30" s="38" t="s">
        <v>71</v>
      </c>
      <c r="B30" s="16">
        <v>787.67327954426105</v>
      </c>
      <c r="C30" s="16">
        <v>798.64217769506797</v>
      </c>
      <c r="D30" s="16">
        <v>835.88849052611795</v>
      </c>
      <c r="E30" s="16">
        <v>898.23740080157495</v>
      </c>
      <c r="F30" s="16">
        <v>955.54819796700895</v>
      </c>
      <c r="G30" s="16">
        <v>996.18969375626295</v>
      </c>
      <c r="H30" s="16">
        <v>1012.92871725823</v>
      </c>
      <c r="I30" s="16">
        <v>1041.92478192659</v>
      </c>
      <c r="J30" s="64">
        <v>1065.64064130713</v>
      </c>
      <c r="K30" s="64">
        <v>1068.4765893204501</v>
      </c>
      <c r="L30" s="64">
        <v>1068.77481379748</v>
      </c>
      <c r="M30" s="64">
        <v>1106.1807445059801</v>
      </c>
      <c r="N30" s="64">
        <v>1129.96672360106</v>
      </c>
      <c r="O30" s="64">
        <v>1136.66727914234</v>
      </c>
      <c r="P30" s="64">
        <v>1144.9095596898401</v>
      </c>
      <c r="Q30" s="64">
        <v>1179.35141916677</v>
      </c>
      <c r="R30" s="64">
        <v>1215.90952474613</v>
      </c>
      <c r="S30" s="64">
        <v>1229.3302181978599</v>
      </c>
      <c r="T30" s="64">
        <v>1249.1518686035199</v>
      </c>
      <c r="U30" s="64">
        <v>1288.43531582691</v>
      </c>
      <c r="V30" s="64">
        <v>1369.45365680072</v>
      </c>
      <c r="W30" s="64">
        <v>1453.3682765769599</v>
      </c>
      <c r="X30" s="64">
        <v>1476.73759445306</v>
      </c>
      <c r="Y30" s="64">
        <v>1478.0023490717399</v>
      </c>
      <c r="Z30" s="64">
        <v>1525.0358193172599</v>
      </c>
      <c r="AA30" s="64">
        <v>1559.0060883465701</v>
      </c>
      <c r="AB30" s="64">
        <v>1548.0399061385399</v>
      </c>
      <c r="AC30" s="64">
        <v>1511.51594295728</v>
      </c>
      <c r="AD30" s="64">
        <v>1500.00044387247</v>
      </c>
      <c r="AE30" s="64">
        <v>1538.59245527762</v>
      </c>
      <c r="AF30" s="64">
        <v>1622.5972522684201</v>
      </c>
      <c r="AG30" s="64">
        <v>1683.6108842102301</v>
      </c>
      <c r="AH30" s="64">
        <v>1691.45582729226</v>
      </c>
      <c r="AI30" s="64">
        <v>1685.1816457275099</v>
      </c>
      <c r="AJ30" s="64">
        <v>1699.42815681313</v>
      </c>
      <c r="AK30" s="64">
        <v>1718.72011786028</v>
      </c>
      <c r="AL30" s="64">
        <v>1759.11563692302</v>
      </c>
      <c r="AM30" s="64">
        <v>1820.7327237162899</v>
      </c>
      <c r="AN30" s="64">
        <v>1871.2460829438</v>
      </c>
    </row>
    <row r="31" spans="1:40" s="19" customFormat="1" ht="17.100000000000001" customHeight="1" x14ac:dyDescent="0.2">
      <c r="A31" s="38" t="s">
        <v>72</v>
      </c>
      <c r="B31" s="16">
        <v>24.3977171928079</v>
      </c>
      <c r="C31" s="16">
        <v>26.405206922199401</v>
      </c>
      <c r="D31" s="16">
        <v>32.107695375520599</v>
      </c>
      <c r="E31" s="16">
        <v>40.197364511148002</v>
      </c>
      <c r="F31" s="16">
        <v>47.6934292589481</v>
      </c>
      <c r="G31" s="16">
        <v>53.606036374313902</v>
      </c>
      <c r="H31" s="16">
        <v>58.482363878057797</v>
      </c>
      <c r="I31" s="16">
        <v>61.749903125181802</v>
      </c>
      <c r="J31" s="64">
        <v>61.987830367408499</v>
      </c>
      <c r="K31" s="64">
        <v>61.693574836691703</v>
      </c>
      <c r="L31" s="64">
        <v>62.374532516518698</v>
      </c>
      <c r="M31" s="64">
        <v>64.357853192861995</v>
      </c>
      <c r="N31" s="64">
        <v>66.681917864094999</v>
      </c>
      <c r="O31" s="64">
        <v>69.014322400263296</v>
      </c>
      <c r="P31" s="64">
        <v>63.207896349110101</v>
      </c>
      <c r="Q31" s="64">
        <v>52.651660106882801</v>
      </c>
      <c r="R31" s="64">
        <v>50.267255351146702</v>
      </c>
      <c r="S31" s="64">
        <v>54.545668178001101</v>
      </c>
      <c r="T31" s="64">
        <v>59.218766859487701</v>
      </c>
      <c r="U31" s="64">
        <v>64.293629259255894</v>
      </c>
      <c r="V31" s="64">
        <v>66.530862004407993</v>
      </c>
      <c r="W31" s="64">
        <v>58.685526017800399</v>
      </c>
      <c r="X31" s="64">
        <v>52.400256613504702</v>
      </c>
      <c r="Y31" s="64">
        <v>49.993695149749698</v>
      </c>
      <c r="Z31" s="64">
        <v>55.329883046138796</v>
      </c>
      <c r="AA31" s="64">
        <v>63.041345588094103</v>
      </c>
      <c r="AB31" s="64">
        <v>73.790310311837004</v>
      </c>
      <c r="AC31" s="64">
        <v>79.994975019139105</v>
      </c>
      <c r="AD31" s="64">
        <v>77.852789449480994</v>
      </c>
      <c r="AE31" s="64">
        <v>74.765207884199995</v>
      </c>
      <c r="AF31" s="64">
        <v>79.000996978294296</v>
      </c>
      <c r="AG31" s="64">
        <v>86.066987072502798</v>
      </c>
      <c r="AH31" s="64">
        <v>88.162034237062102</v>
      </c>
      <c r="AI31" s="64">
        <v>91.587429196034407</v>
      </c>
      <c r="AJ31" s="64">
        <v>88.517148688565001</v>
      </c>
      <c r="AK31" s="64">
        <v>86.375906321571506</v>
      </c>
      <c r="AL31" s="64">
        <v>86.372367244778303</v>
      </c>
      <c r="AM31" s="64">
        <v>90.354371970814896</v>
      </c>
      <c r="AN31" s="64">
        <v>91.818291046258807</v>
      </c>
    </row>
    <row r="32" spans="1:40" s="19" customFormat="1" ht="17.100000000000001" customHeight="1" x14ac:dyDescent="0.2">
      <c r="A32" s="38" t="s">
        <v>27</v>
      </c>
      <c r="B32" s="16">
        <v>737.08657130429697</v>
      </c>
      <c r="C32" s="16">
        <v>751.07419722668806</v>
      </c>
      <c r="D32" s="16">
        <v>755.36858127425296</v>
      </c>
      <c r="E32" s="16">
        <v>748.12725094791801</v>
      </c>
      <c r="F32" s="16">
        <v>742.38031184021395</v>
      </c>
      <c r="G32" s="16">
        <v>740.58951519685695</v>
      </c>
      <c r="H32" s="16">
        <v>735.44692567529705</v>
      </c>
      <c r="I32" s="16">
        <v>740.03913347640901</v>
      </c>
      <c r="J32" s="64">
        <v>752.58811511662202</v>
      </c>
      <c r="K32" s="64">
        <v>760.99090749728703</v>
      </c>
      <c r="L32" s="64">
        <v>783.73363848782196</v>
      </c>
      <c r="M32" s="64">
        <v>819.85660178684395</v>
      </c>
      <c r="N32" s="64">
        <v>850.04101258073001</v>
      </c>
      <c r="O32" s="64">
        <v>865.56992421242205</v>
      </c>
      <c r="P32" s="64">
        <v>869.90638138242605</v>
      </c>
      <c r="Q32" s="64">
        <v>875.06364036437105</v>
      </c>
      <c r="R32" s="64">
        <v>891.57562268788104</v>
      </c>
      <c r="S32" s="64">
        <v>916.193965688959</v>
      </c>
      <c r="T32" s="64">
        <v>934.85932611819396</v>
      </c>
      <c r="U32" s="64">
        <v>929.47969615553302</v>
      </c>
      <c r="V32" s="64">
        <v>902.99874040825296</v>
      </c>
      <c r="W32" s="64">
        <v>896.00735068632696</v>
      </c>
      <c r="X32" s="64">
        <v>917.50849258242204</v>
      </c>
      <c r="Y32" s="64">
        <v>922.777572787601</v>
      </c>
      <c r="Z32" s="64">
        <v>907.98718760501197</v>
      </c>
      <c r="AA32" s="64">
        <v>900.77100027708195</v>
      </c>
      <c r="AB32" s="64">
        <v>903.92131911437502</v>
      </c>
      <c r="AC32" s="64">
        <v>930.69611009760501</v>
      </c>
      <c r="AD32" s="64">
        <v>987.128311630844</v>
      </c>
      <c r="AE32" s="64">
        <v>1033.8526128778201</v>
      </c>
      <c r="AF32" s="64">
        <v>1063.1591619703499</v>
      </c>
      <c r="AG32" s="64">
        <v>1103.7636641653801</v>
      </c>
      <c r="AH32" s="64">
        <v>1144.9548749893299</v>
      </c>
      <c r="AI32" s="64">
        <v>1165.35260981238</v>
      </c>
      <c r="AJ32" s="64">
        <v>1178.72200116973</v>
      </c>
      <c r="AK32" s="64">
        <v>1185.9786530213601</v>
      </c>
      <c r="AL32" s="64">
        <v>1171.5221299038201</v>
      </c>
      <c r="AM32" s="64">
        <v>1159.1574819897501</v>
      </c>
      <c r="AN32" s="64">
        <v>1164.1351035114999</v>
      </c>
    </row>
    <row r="33" spans="1:40" s="19" customFormat="1" ht="17.100000000000001" customHeight="1" x14ac:dyDescent="0.2">
      <c r="A33" s="39" t="s">
        <v>69</v>
      </c>
      <c r="B33" s="16">
        <v>214.30258822461201</v>
      </c>
      <c r="C33" s="16">
        <v>220.09175820262101</v>
      </c>
      <c r="D33" s="16">
        <v>226.10382602486101</v>
      </c>
      <c r="E33" s="16">
        <v>230.51625002844301</v>
      </c>
      <c r="F33" s="16">
        <v>233.57178153754401</v>
      </c>
      <c r="G33" s="16">
        <v>236.514694354276</v>
      </c>
      <c r="H33" s="16">
        <v>239.69024784231101</v>
      </c>
      <c r="I33" s="16">
        <v>243.100980485804</v>
      </c>
      <c r="J33" s="64">
        <v>246.570867738147</v>
      </c>
      <c r="K33" s="64">
        <v>249.41065333745499</v>
      </c>
      <c r="L33" s="64">
        <v>251.93412419234201</v>
      </c>
      <c r="M33" s="64">
        <v>254.744181455046</v>
      </c>
      <c r="N33" s="64">
        <v>257.74135724398798</v>
      </c>
      <c r="O33" s="64">
        <v>261.17397589639199</v>
      </c>
      <c r="P33" s="64">
        <v>265.07948621871202</v>
      </c>
      <c r="Q33" s="64">
        <v>268.84629428174702</v>
      </c>
      <c r="R33" s="64">
        <v>272.03963863629502</v>
      </c>
      <c r="S33" s="64">
        <v>275.05270719971298</v>
      </c>
      <c r="T33" s="64">
        <v>278.33784071882798</v>
      </c>
      <c r="U33" s="64">
        <v>281.76782038516899</v>
      </c>
      <c r="V33" s="64">
        <v>285.282556711344</v>
      </c>
      <c r="W33" s="64">
        <v>289.77573924754898</v>
      </c>
      <c r="X33" s="64">
        <v>296.90144756747702</v>
      </c>
      <c r="Y33" s="64">
        <v>307.68611700951402</v>
      </c>
      <c r="Z33" s="64">
        <v>319.51850708396802</v>
      </c>
      <c r="AA33" s="64">
        <v>328.23754510966398</v>
      </c>
      <c r="AB33" s="64">
        <v>332.97700105150102</v>
      </c>
      <c r="AC33" s="64">
        <v>336.16911050554103</v>
      </c>
      <c r="AD33" s="64">
        <v>340.54394651594998</v>
      </c>
      <c r="AE33" s="64">
        <v>346.46699235664897</v>
      </c>
      <c r="AF33" s="64">
        <v>352.49031588963402</v>
      </c>
      <c r="AG33" s="64">
        <v>357.26879408067401</v>
      </c>
      <c r="AH33" s="64">
        <v>361.65781114636297</v>
      </c>
      <c r="AI33" s="64">
        <v>367.311647488191</v>
      </c>
      <c r="AJ33" s="64">
        <v>374.43998104607999</v>
      </c>
      <c r="AK33" s="64">
        <v>380.99820366835598</v>
      </c>
      <c r="AL33" s="64">
        <v>385.77416791275698</v>
      </c>
      <c r="AM33" s="64">
        <v>389.74947556061602</v>
      </c>
      <c r="AN33" s="64">
        <v>393.80632609955501</v>
      </c>
    </row>
    <row r="34" spans="1:40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</row>
    <row r="35" spans="1:40" s="51" customFormat="1" ht="17.100000000000001" customHeight="1" x14ac:dyDescent="0.2">
      <c r="A35" s="52" t="s">
        <v>29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</row>
    <row r="36" spans="1:40" s="27" customFormat="1" ht="17.100000000000001" customHeight="1" thickBot="1" x14ac:dyDescent="0.25">
      <c r="A36" s="25" t="s">
        <v>30</v>
      </c>
      <c r="B36" s="26">
        <v>1778.9791593323901</v>
      </c>
      <c r="C36" s="26">
        <v>1851.8465491219099</v>
      </c>
      <c r="D36" s="26">
        <v>1952.9966729478399</v>
      </c>
      <c r="E36" s="26">
        <v>2020.83836849881</v>
      </c>
      <c r="F36" s="26">
        <v>2037.8773327042099</v>
      </c>
      <c r="G36" s="26">
        <v>2101.8248311840398</v>
      </c>
      <c r="H36" s="26">
        <v>2208.0304446837699</v>
      </c>
      <c r="I36" s="26">
        <v>2312.7488718566101</v>
      </c>
      <c r="J36" s="65">
        <v>2420.6301930272498</v>
      </c>
      <c r="K36" s="65">
        <v>2481.32641651527</v>
      </c>
      <c r="L36" s="65">
        <v>2461.8742828218001</v>
      </c>
      <c r="M36" s="65">
        <v>2468.0812842321502</v>
      </c>
      <c r="N36" s="65">
        <v>2542.3564065854698</v>
      </c>
      <c r="O36" s="65">
        <v>2601.7997569691302</v>
      </c>
      <c r="P36" s="65">
        <v>2602.99844597642</v>
      </c>
      <c r="Q36" s="65">
        <v>2590.2385204531402</v>
      </c>
      <c r="R36" s="65">
        <v>2607.4196759532601</v>
      </c>
      <c r="S36" s="65">
        <v>2625.64954783448</v>
      </c>
      <c r="T36" s="65">
        <v>2657.3647599046099</v>
      </c>
      <c r="U36" s="65">
        <v>2705.4669620845202</v>
      </c>
      <c r="V36" s="65">
        <v>2872.6396742882798</v>
      </c>
      <c r="W36" s="65">
        <v>3103.394601214</v>
      </c>
      <c r="X36" s="65">
        <v>3206.49582961739</v>
      </c>
      <c r="Y36" s="65">
        <v>3208.6816634634501</v>
      </c>
      <c r="Z36" s="65">
        <v>3253.1793699121699</v>
      </c>
      <c r="AA36" s="65">
        <v>3364.5238211656501</v>
      </c>
      <c r="AB36" s="65">
        <v>3608.4718707795</v>
      </c>
      <c r="AC36" s="65">
        <v>3810.4372079628301</v>
      </c>
      <c r="AD36" s="65">
        <v>3755.38219082874</v>
      </c>
      <c r="AE36" s="65">
        <v>3686.6343667463998</v>
      </c>
      <c r="AF36" s="65">
        <v>3748.87467432218</v>
      </c>
      <c r="AG36" s="65">
        <v>3912.4600901746198</v>
      </c>
      <c r="AH36" s="65">
        <v>4107.4854986937798</v>
      </c>
      <c r="AI36" s="65">
        <v>4187.7579578175801</v>
      </c>
      <c r="AJ36" s="65">
        <v>4197.7668200998496</v>
      </c>
      <c r="AK36" s="65">
        <v>4243.7592996578996</v>
      </c>
      <c r="AL36" s="65">
        <v>4334.4638112405701</v>
      </c>
      <c r="AM36" s="65">
        <v>4584.0261919309496</v>
      </c>
      <c r="AN36" s="65">
        <v>4940.4925531845702</v>
      </c>
    </row>
    <row r="37" spans="1:40" x14ac:dyDescent="0.2">
      <c r="A37" s="14" t="s">
        <v>63</v>
      </c>
    </row>
  </sheetData>
  <mergeCells count="9">
    <mergeCell ref="AH3:AK3"/>
    <mergeCell ref="AD3:AG3"/>
    <mergeCell ref="Z3:AC3"/>
    <mergeCell ref="V3:Y3"/>
    <mergeCell ref="B3:E3"/>
    <mergeCell ref="F3:I3"/>
    <mergeCell ref="J3:M3"/>
    <mergeCell ref="N3:Q3"/>
    <mergeCell ref="R3:U3"/>
  </mergeCells>
  <phoneticPr fontId="17" type="noConversion"/>
  <pageMargins left="0.31496062992125984" right="0.27559055118110237" top="0.51181102362204722" bottom="0.47244094488188981" header="0.31496062992125984" footer="0.31496062992125984"/>
  <pageSetup scale="64" orientation="landscape" r:id="rId1"/>
  <colBreaks count="1" manualBreakCount="1">
    <brk id="17" max="3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Q37"/>
  <sheetViews>
    <sheetView view="pageBreakPreview" zoomScaleSheetLayoutView="100" workbookViewId="0">
      <pane xSplit="1" ySplit="4" topLeftCell="B5" activePane="bottomRight" state="frozen"/>
      <selection activeCell="B1" sqref="B1:AI1048576"/>
      <selection pane="topRight" activeCell="B1" sqref="B1:AI1048576"/>
      <selection pane="bottomLeft" activeCell="B1" sqref="B1:AI1048576"/>
      <selection pane="bottomRight" activeCell="B38" sqref="B38"/>
    </sheetView>
  </sheetViews>
  <sheetFormatPr defaultColWidth="9.140625" defaultRowHeight="12" x14ac:dyDescent="0.2"/>
  <cols>
    <col min="1" max="2" width="87.7109375" style="29" bestFit="1" customWidth="1"/>
    <col min="3" max="9" width="6" style="29" bestFit="1" customWidth="1"/>
    <col min="10" max="27" width="6.5703125" style="17" bestFit="1" customWidth="1"/>
    <col min="28" max="40" width="6.5703125" style="29" bestFit="1" customWidth="1"/>
    <col min="41" max="16384" width="9.140625" style="29"/>
  </cols>
  <sheetData>
    <row r="1" spans="1:41" ht="15.75" customHeight="1" x14ac:dyDescent="0.2">
      <c r="A1" s="18" t="s">
        <v>133</v>
      </c>
      <c r="B1" s="18" t="s">
        <v>93</v>
      </c>
    </row>
    <row r="2" spans="1:41" ht="3" customHeight="1" thickBot="1" x14ac:dyDescent="0.25"/>
    <row r="3" spans="1:41" s="47" customFormat="1" ht="15" customHeight="1" x14ac:dyDescent="0.2">
      <c r="B3" s="143" t="s">
        <v>75</v>
      </c>
      <c r="C3" s="143"/>
      <c r="D3" s="143"/>
      <c r="E3" s="143"/>
      <c r="F3" s="143" t="s">
        <v>79</v>
      </c>
      <c r="G3" s="143"/>
      <c r="H3" s="143"/>
      <c r="I3" s="143"/>
      <c r="J3" s="144" t="s">
        <v>85</v>
      </c>
      <c r="K3" s="144"/>
      <c r="L3" s="144"/>
      <c r="M3" s="144"/>
      <c r="N3" s="144" t="s">
        <v>86</v>
      </c>
      <c r="O3" s="144"/>
      <c r="P3" s="144"/>
      <c r="Q3" s="144"/>
      <c r="R3" s="144" t="s">
        <v>89</v>
      </c>
      <c r="S3" s="144"/>
      <c r="T3" s="144"/>
      <c r="U3" s="144"/>
      <c r="V3" s="144" t="s">
        <v>90</v>
      </c>
      <c r="W3" s="144"/>
      <c r="X3" s="144"/>
      <c r="Y3" s="144"/>
      <c r="Z3" s="144" t="s">
        <v>96</v>
      </c>
      <c r="AA3" s="144"/>
      <c r="AB3" s="144"/>
      <c r="AC3" s="144"/>
      <c r="AD3" s="143" t="s">
        <v>97</v>
      </c>
      <c r="AE3" s="143"/>
      <c r="AF3" s="143"/>
      <c r="AG3" s="143"/>
      <c r="AH3" s="143" t="s">
        <v>123</v>
      </c>
      <c r="AI3" s="143"/>
      <c r="AJ3" s="143"/>
      <c r="AK3" s="143"/>
      <c r="AL3" s="47" t="s">
        <v>125</v>
      </c>
    </row>
    <row r="4" spans="1:41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9" t="s">
        <v>57</v>
      </c>
      <c r="G4" s="49" t="s">
        <v>58</v>
      </c>
      <c r="H4" s="59" t="s">
        <v>59</v>
      </c>
      <c r="I4" s="59" t="s">
        <v>60</v>
      </c>
      <c r="J4" s="61" t="s">
        <v>57</v>
      </c>
      <c r="K4" s="61" t="s">
        <v>58</v>
      </c>
      <c r="L4" s="61" t="s">
        <v>59</v>
      </c>
      <c r="M4" s="61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  <c r="AN4" s="61" t="s">
        <v>59</v>
      </c>
      <c r="AO4" s="61"/>
    </row>
    <row r="5" spans="1:41" s="20" customFormat="1" ht="17.100000000000001" customHeight="1" x14ac:dyDescent="0.2">
      <c r="A5" s="21" t="s">
        <v>80</v>
      </c>
      <c r="B5" s="36">
        <v>100.00000000000001</v>
      </c>
      <c r="C5" s="36">
        <v>99.999999999999986</v>
      </c>
      <c r="D5" s="36">
        <v>100</v>
      </c>
      <c r="E5" s="36">
        <v>100</v>
      </c>
      <c r="F5" s="36">
        <v>100</v>
      </c>
      <c r="G5" s="36">
        <v>100</v>
      </c>
      <c r="H5" s="36">
        <v>100.00000000000003</v>
      </c>
      <c r="I5" s="36">
        <v>100</v>
      </c>
      <c r="J5" s="70">
        <v>100</v>
      </c>
      <c r="K5" s="70">
        <v>100.00000000000003</v>
      </c>
      <c r="L5" s="70">
        <v>100</v>
      </c>
      <c r="M5" s="70">
        <v>100</v>
      </c>
      <c r="N5" s="70">
        <v>100</v>
      </c>
      <c r="O5" s="70">
        <v>100</v>
      </c>
      <c r="P5" s="70">
        <v>100</v>
      </c>
      <c r="Q5" s="70">
        <v>100</v>
      </c>
      <c r="R5" s="70">
        <v>100</v>
      </c>
      <c r="S5" s="70">
        <v>99.999999999999986</v>
      </c>
      <c r="T5" s="70">
        <v>100.00000000000001</v>
      </c>
      <c r="U5" s="70">
        <v>100.00000000000001</v>
      </c>
      <c r="V5" s="70">
        <v>99.999999999999986</v>
      </c>
      <c r="W5" s="70">
        <v>99.999999999999986</v>
      </c>
      <c r="X5" s="70">
        <v>100.00000000000003</v>
      </c>
      <c r="Y5" s="70">
        <v>100</v>
      </c>
      <c r="Z5" s="70">
        <v>99.999999999999972</v>
      </c>
      <c r="AA5" s="70">
        <v>100</v>
      </c>
      <c r="AB5" s="70">
        <v>100.00000000000001</v>
      </c>
      <c r="AC5" s="70">
        <v>100</v>
      </c>
      <c r="AD5" s="70">
        <v>100</v>
      </c>
      <c r="AE5" s="70">
        <v>99.999999999999972</v>
      </c>
      <c r="AF5" s="70">
        <v>100</v>
      </c>
      <c r="AG5" s="70">
        <v>100.00000000000001</v>
      </c>
      <c r="AH5" s="70">
        <v>100.00000000000001</v>
      </c>
      <c r="AI5" s="70">
        <v>100</v>
      </c>
      <c r="AJ5" s="70">
        <v>100</v>
      </c>
      <c r="AK5" s="70">
        <v>100</v>
      </c>
      <c r="AL5" s="70">
        <v>100</v>
      </c>
      <c r="AM5" s="70">
        <v>100</v>
      </c>
      <c r="AN5" s="70">
        <v>100</v>
      </c>
    </row>
    <row r="6" spans="1:41" s="54" customFormat="1" ht="17.100000000000001" customHeight="1" x14ac:dyDescent="0.2">
      <c r="A6" s="52" t="s">
        <v>81</v>
      </c>
      <c r="B6" s="56">
        <v>23.986928722135318</v>
      </c>
      <c r="C6" s="56">
        <v>24.006573550446895</v>
      </c>
      <c r="D6" s="56">
        <v>23.666805722004881</v>
      </c>
      <c r="E6" s="56">
        <v>23.060672223555773</v>
      </c>
      <c r="F6" s="56">
        <v>22.620277488276638</v>
      </c>
      <c r="G6" s="56">
        <v>22.219516301941379</v>
      </c>
      <c r="H6" s="56">
        <v>23.581354690681266</v>
      </c>
      <c r="I6" s="56">
        <v>23.154289133856363</v>
      </c>
      <c r="J6" s="71">
        <v>22.952660396567246</v>
      </c>
      <c r="K6" s="71">
        <v>22.972478344909074</v>
      </c>
      <c r="L6" s="71">
        <v>23.320401354806823</v>
      </c>
      <c r="M6" s="71">
        <v>23.430452835119475</v>
      </c>
      <c r="N6" s="71">
        <v>23.046112442342189</v>
      </c>
      <c r="O6" s="71">
        <v>23.02912706229349</v>
      </c>
      <c r="P6" s="71">
        <v>23.585951616237626</v>
      </c>
      <c r="Q6" s="71">
        <v>23.933340606205554</v>
      </c>
      <c r="R6" s="71">
        <v>23.705421166578624</v>
      </c>
      <c r="S6" s="71">
        <v>23.309861090233202</v>
      </c>
      <c r="T6" s="71">
        <v>23.169709629825547</v>
      </c>
      <c r="U6" s="71">
        <v>23.680040713750518</v>
      </c>
      <c r="V6" s="71">
        <v>24.307922821624878</v>
      </c>
      <c r="W6" s="71">
        <v>24.132682962266653</v>
      </c>
      <c r="X6" s="71">
        <v>23.67844165348993</v>
      </c>
      <c r="Y6" s="71">
        <v>23.924700320228212</v>
      </c>
      <c r="Z6" s="71">
        <v>24.521378404790457</v>
      </c>
      <c r="AA6" s="71">
        <v>24.871700182277607</v>
      </c>
      <c r="AB6" s="71">
        <v>24.608045196900353</v>
      </c>
      <c r="AC6" s="71">
        <v>23.687512108882327</v>
      </c>
      <c r="AD6" s="71">
        <v>23.66615264524853</v>
      </c>
      <c r="AE6" s="71">
        <v>24.47406529064078</v>
      </c>
      <c r="AF6" s="71">
        <v>25.251093599627634</v>
      </c>
      <c r="AG6" s="71">
        <v>25.708465445434626</v>
      </c>
      <c r="AH6" s="71">
        <v>25.857244253845863</v>
      </c>
      <c r="AI6" s="71">
        <v>25.910490094968686</v>
      </c>
      <c r="AJ6" s="71">
        <v>25.933707235646711</v>
      </c>
      <c r="AK6" s="71">
        <v>25.970506939752731</v>
      </c>
      <c r="AL6" s="71">
        <v>25.935555095263759</v>
      </c>
      <c r="AM6" s="71">
        <v>25.990013562859744</v>
      </c>
      <c r="AN6" s="71">
        <v>25.776764517680277</v>
      </c>
    </row>
    <row r="7" spans="1:41" s="19" customFormat="1" ht="17.100000000000001" customHeight="1" x14ac:dyDescent="0.2">
      <c r="A7" s="37" t="s">
        <v>2</v>
      </c>
      <c r="B7" s="33">
        <v>2.1985696876018204</v>
      </c>
      <c r="C7" s="33">
        <v>2.3080446038312061</v>
      </c>
      <c r="D7" s="33">
        <v>2.4109580659179142</v>
      </c>
      <c r="E7" s="33">
        <v>2.4942075174746692</v>
      </c>
      <c r="F7" s="33">
        <v>2.4859652796954119</v>
      </c>
      <c r="G7" s="33">
        <v>2.3359705376231363</v>
      </c>
      <c r="H7" s="33">
        <v>2.1148057960614577</v>
      </c>
      <c r="I7" s="33">
        <v>2.0881374057486992</v>
      </c>
      <c r="J7" s="67">
        <v>2.1018275669652673</v>
      </c>
      <c r="K7" s="67">
        <v>2.0195369629237558</v>
      </c>
      <c r="L7" s="67">
        <v>1.884749304797986</v>
      </c>
      <c r="M7" s="67">
        <v>1.8133295223065953</v>
      </c>
      <c r="N7" s="67">
        <v>1.8338446794524481</v>
      </c>
      <c r="O7" s="67">
        <v>1.9192825044035511</v>
      </c>
      <c r="P7" s="67">
        <v>1.9712731737216105</v>
      </c>
      <c r="Q7" s="67">
        <v>1.9087751911943316</v>
      </c>
      <c r="R7" s="67">
        <v>1.8572047993163507</v>
      </c>
      <c r="S7" s="67">
        <v>1.9510968538522473</v>
      </c>
      <c r="T7" s="67">
        <v>2.1498442198151788</v>
      </c>
      <c r="U7" s="67">
        <v>2.3508695722399593</v>
      </c>
      <c r="V7" s="67">
        <v>2.6024448676240897</v>
      </c>
      <c r="W7" s="67">
        <v>2.7784460253802443</v>
      </c>
      <c r="X7" s="67">
        <v>2.7594765685681124</v>
      </c>
      <c r="Y7" s="67">
        <v>2.7007394378706153</v>
      </c>
      <c r="Z7" s="67">
        <v>2.6388659055968202</v>
      </c>
      <c r="AA7" s="67">
        <v>2.4926711081757014</v>
      </c>
      <c r="AB7" s="67">
        <v>2.416079889925824</v>
      </c>
      <c r="AC7" s="67">
        <v>2.6333126544166365</v>
      </c>
      <c r="AD7" s="67">
        <v>2.9829056241139842</v>
      </c>
      <c r="AE7" s="67">
        <v>3.4155749248856155</v>
      </c>
      <c r="AF7" s="67">
        <v>3.7842597426237155</v>
      </c>
      <c r="AG7" s="67">
        <v>3.9723037262897427</v>
      </c>
      <c r="AH7" s="67">
        <v>4.1939922516588659</v>
      </c>
      <c r="AI7" s="67">
        <v>4.6394918960240812</v>
      </c>
      <c r="AJ7" s="67">
        <v>5.163180054467948</v>
      </c>
      <c r="AK7" s="67">
        <v>5.4459896597688218</v>
      </c>
      <c r="AL7" s="67">
        <v>5.354087801774817</v>
      </c>
      <c r="AM7" s="67">
        <v>5.0394439959881199</v>
      </c>
      <c r="AN7" s="67">
        <v>4.8019911541356608</v>
      </c>
    </row>
    <row r="8" spans="1:41" s="19" customFormat="1" ht="17.100000000000001" customHeight="1" x14ac:dyDescent="0.2">
      <c r="A8" s="37" t="s">
        <v>3</v>
      </c>
      <c r="B8" s="33">
        <v>12.382816178439739</v>
      </c>
      <c r="C8" s="33">
        <v>12.552076192798545</v>
      </c>
      <c r="D8" s="33">
        <v>12.48339926768506</v>
      </c>
      <c r="E8" s="33">
        <v>12.290156948202462</v>
      </c>
      <c r="F8" s="33">
        <v>12.303417687630192</v>
      </c>
      <c r="G8" s="33">
        <v>12.417835811764574</v>
      </c>
      <c r="H8" s="33">
        <v>12.004835593340713</v>
      </c>
      <c r="I8" s="33">
        <v>11.498090037555215</v>
      </c>
      <c r="J8" s="67">
        <v>11.23949576729971</v>
      </c>
      <c r="K8" s="67">
        <v>11.345980280790297</v>
      </c>
      <c r="L8" s="67">
        <v>11.642516199030146</v>
      </c>
      <c r="M8" s="67">
        <v>11.630516554776431</v>
      </c>
      <c r="N8" s="67">
        <v>11.309632441167011</v>
      </c>
      <c r="O8" s="67">
        <v>11.270573983589129</v>
      </c>
      <c r="P8" s="67">
        <v>11.754159991016261</v>
      </c>
      <c r="Q8" s="67">
        <v>12.128448530697533</v>
      </c>
      <c r="R8" s="67">
        <v>11.806311414717188</v>
      </c>
      <c r="S8" s="67">
        <v>11.31177486137711</v>
      </c>
      <c r="T8" s="67">
        <v>11.185509206785248</v>
      </c>
      <c r="U8" s="67">
        <v>11.4102497039823</v>
      </c>
      <c r="V8" s="67">
        <v>11.542876556029032</v>
      </c>
      <c r="W8" s="67">
        <v>11.383916414187247</v>
      </c>
      <c r="X8" s="67">
        <v>11.349598024064143</v>
      </c>
      <c r="Y8" s="67">
        <v>11.827582937727367</v>
      </c>
      <c r="Z8" s="67">
        <v>12.30963174282968</v>
      </c>
      <c r="AA8" s="67">
        <v>12.399748886121703</v>
      </c>
      <c r="AB8" s="67">
        <v>12.060621958602985</v>
      </c>
      <c r="AC8" s="67">
        <v>11.637158633736036</v>
      </c>
      <c r="AD8" s="67">
        <v>11.314846559340626</v>
      </c>
      <c r="AE8" s="67">
        <v>11.363233087564813</v>
      </c>
      <c r="AF8" s="67">
        <v>11.497543624023352</v>
      </c>
      <c r="AG8" s="67">
        <v>11.726569441622798</v>
      </c>
      <c r="AH8" s="67">
        <v>11.76373661943764</v>
      </c>
      <c r="AI8" s="67">
        <v>11.29624778294616</v>
      </c>
      <c r="AJ8" s="67">
        <v>10.536559540440408</v>
      </c>
      <c r="AK8" s="67">
        <v>10.157359736225812</v>
      </c>
      <c r="AL8" s="67">
        <v>10.244344870054839</v>
      </c>
      <c r="AM8" s="67">
        <v>10.782718418240881</v>
      </c>
      <c r="AN8" s="67">
        <v>11.005605207788125</v>
      </c>
    </row>
    <row r="9" spans="1:41" s="19" customFormat="1" ht="17.100000000000001" customHeight="1" x14ac:dyDescent="0.2">
      <c r="A9" s="37" t="s">
        <v>4</v>
      </c>
      <c r="B9" s="33">
        <v>3.0846557582373473</v>
      </c>
      <c r="C9" s="33">
        <v>3.0312941687512853</v>
      </c>
      <c r="D9" s="33">
        <v>3.0111122150585667</v>
      </c>
      <c r="E9" s="33">
        <v>3.0734771671723937</v>
      </c>
      <c r="F9" s="33">
        <v>3.1991526868749474</v>
      </c>
      <c r="G9" s="33">
        <v>3.289665848331659</v>
      </c>
      <c r="H9" s="33">
        <v>3.20163114920808</v>
      </c>
      <c r="I9" s="33">
        <v>3.1996618599768252</v>
      </c>
      <c r="J9" s="67">
        <v>3.2675507186290345</v>
      </c>
      <c r="K9" s="67">
        <v>3.3707190105925364</v>
      </c>
      <c r="L9" s="67">
        <v>3.4334269293344799</v>
      </c>
      <c r="M9" s="67">
        <v>3.4567599797253741</v>
      </c>
      <c r="N9" s="67">
        <v>3.4711015571352268</v>
      </c>
      <c r="O9" s="67">
        <v>3.5777080091449656</v>
      </c>
      <c r="P9" s="67">
        <v>3.7837868420730669</v>
      </c>
      <c r="Q9" s="67">
        <v>3.9308786280238679</v>
      </c>
      <c r="R9" s="67">
        <v>3.9511074304070029</v>
      </c>
      <c r="S9" s="67">
        <v>3.9317372265009003</v>
      </c>
      <c r="T9" s="67">
        <v>3.9605813074644938</v>
      </c>
      <c r="U9" s="67">
        <v>4.050768894841946</v>
      </c>
      <c r="V9" s="67">
        <v>4.1103163330904069</v>
      </c>
      <c r="W9" s="67">
        <v>4.0041661136837403</v>
      </c>
      <c r="X9" s="67">
        <v>3.8502735062790125</v>
      </c>
      <c r="Y9" s="67">
        <v>3.827063561498008</v>
      </c>
      <c r="Z9" s="67">
        <v>3.9199357914610164</v>
      </c>
      <c r="AA9" s="67">
        <v>4.0498959171332318</v>
      </c>
      <c r="AB9" s="67">
        <v>4.1070027125284074</v>
      </c>
      <c r="AC9" s="67">
        <v>4.0980318215804337</v>
      </c>
      <c r="AD9" s="67">
        <v>4.0866290117784621</v>
      </c>
      <c r="AE9" s="67">
        <v>4.1848173739350125</v>
      </c>
      <c r="AF9" s="67">
        <v>4.2345440701411459</v>
      </c>
      <c r="AG9" s="67">
        <v>4.2706034366108598</v>
      </c>
      <c r="AH9" s="67">
        <v>4.3245420492172739</v>
      </c>
      <c r="AI9" s="67">
        <v>4.3938003987915284</v>
      </c>
      <c r="AJ9" s="67">
        <v>4.4986380753243518</v>
      </c>
      <c r="AK9" s="67">
        <v>4.5745883791915789</v>
      </c>
      <c r="AL9" s="67">
        <v>4.5875728219289806</v>
      </c>
      <c r="AM9" s="67">
        <v>4.5638183507009389</v>
      </c>
      <c r="AN9" s="67">
        <v>4.5645622804235666</v>
      </c>
    </row>
    <row r="10" spans="1:41" s="19" customFormat="1" ht="17.100000000000001" customHeight="1" x14ac:dyDescent="0.2">
      <c r="A10" s="37" t="s">
        <v>5</v>
      </c>
      <c r="B10" s="33">
        <v>1.6179008142626794E-2</v>
      </c>
      <c r="C10" s="33">
        <v>1.5520383080650835E-2</v>
      </c>
      <c r="D10" s="33">
        <v>1.4640470851544646E-2</v>
      </c>
      <c r="E10" s="33">
        <v>1.3484006470811081E-2</v>
      </c>
      <c r="F10" s="33">
        <v>1.2392290533592329E-2</v>
      </c>
      <c r="G10" s="33">
        <v>1.2108662623342897E-2</v>
      </c>
      <c r="H10" s="33">
        <v>1.1955260733086899E-2</v>
      </c>
      <c r="I10" s="33">
        <v>1.2207188454118631E-2</v>
      </c>
      <c r="J10" s="67">
        <v>1.2926131090277713E-2</v>
      </c>
      <c r="K10" s="67">
        <v>1.3620856737160097E-2</v>
      </c>
      <c r="L10" s="67">
        <v>1.4269005230200575E-2</v>
      </c>
      <c r="M10" s="67">
        <v>1.4926041104757667E-2</v>
      </c>
      <c r="N10" s="67">
        <v>1.4861634451455259E-2</v>
      </c>
      <c r="O10" s="67">
        <v>1.3965911759804866E-2</v>
      </c>
      <c r="P10" s="67">
        <v>1.3115832360547922E-2</v>
      </c>
      <c r="Q10" s="67">
        <v>1.2750231728318786E-2</v>
      </c>
      <c r="R10" s="67">
        <v>1.2953118556503147E-2</v>
      </c>
      <c r="S10" s="67">
        <v>1.351941882318939E-2</v>
      </c>
      <c r="T10" s="67">
        <v>1.3975902117874049E-2</v>
      </c>
      <c r="U10" s="67">
        <v>1.4066050274268715E-2</v>
      </c>
      <c r="V10" s="67">
        <v>1.3828123727769927E-2</v>
      </c>
      <c r="W10" s="67">
        <v>1.3314124451151781E-2</v>
      </c>
      <c r="X10" s="67">
        <v>1.2739404599460271E-2</v>
      </c>
      <c r="Y10" s="67">
        <v>1.2407792454036072E-2</v>
      </c>
      <c r="Z10" s="67">
        <v>1.2286605590868265E-2</v>
      </c>
      <c r="AA10" s="67">
        <v>1.2296907287176202E-2</v>
      </c>
      <c r="AB10" s="67">
        <v>1.2139043906472836E-2</v>
      </c>
      <c r="AC10" s="67">
        <v>1.1881745572945381E-2</v>
      </c>
      <c r="AD10" s="67">
        <v>1.1664684949058953E-2</v>
      </c>
      <c r="AE10" s="67">
        <v>1.1719345156568263E-2</v>
      </c>
      <c r="AF10" s="67">
        <v>1.1652389775695455E-2</v>
      </c>
      <c r="AG10" s="67">
        <v>1.1582456151395026E-2</v>
      </c>
      <c r="AH10" s="67">
        <v>1.1277865705246908E-2</v>
      </c>
      <c r="AI10" s="67">
        <v>1.0790079845238934E-2</v>
      </c>
      <c r="AJ10" s="67">
        <v>1.0437470896160204E-2</v>
      </c>
      <c r="AK10" s="67">
        <v>1.0171500701081039E-2</v>
      </c>
      <c r="AL10" s="67">
        <v>9.9247937154200508E-3</v>
      </c>
      <c r="AM10" s="67">
        <v>9.8834046784839862E-3</v>
      </c>
      <c r="AN10" s="67">
        <v>9.980888962333654E-3</v>
      </c>
    </row>
    <row r="11" spans="1:41" s="19" customFormat="1" ht="17.100000000000001" customHeight="1" x14ac:dyDescent="0.2">
      <c r="A11" s="37" t="s">
        <v>6</v>
      </c>
      <c r="B11" s="33">
        <v>4.1125658876281914</v>
      </c>
      <c r="C11" s="33">
        <v>4.033220249125856</v>
      </c>
      <c r="D11" s="33">
        <v>3.802328396838734</v>
      </c>
      <c r="E11" s="33">
        <v>3.3721320728313477</v>
      </c>
      <c r="F11" s="33">
        <v>2.9207921903256131</v>
      </c>
      <c r="G11" s="33">
        <v>2.5165768544585876</v>
      </c>
      <c r="H11" s="33">
        <v>4.6248899577900682</v>
      </c>
      <c r="I11" s="33">
        <v>4.6419163924098061</v>
      </c>
      <c r="J11" s="67">
        <v>4.4340142974280035</v>
      </c>
      <c r="K11" s="67">
        <v>4.0736442198269707</v>
      </c>
      <c r="L11" s="67">
        <v>3.9884875222202694</v>
      </c>
      <c r="M11" s="67">
        <v>4.0804847895479792</v>
      </c>
      <c r="N11" s="67">
        <v>3.9586646047106488</v>
      </c>
      <c r="O11" s="67">
        <v>3.7538428782487365</v>
      </c>
      <c r="P11" s="67">
        <v>3.6182239851640672</v>
      </c>
      <c r="Q11" s="67">
        <v>3.5516724995041473</v>
      </c>
      <c r="R11" s="67">
        <v>3.6186801195220477</v>
      </c>
      <c r="S11" s="67">
        <v>3.748253869712368</v>
      </c>
      <c r="T11" s="67">
        <v>3.7595414142324395</v>
      </c>
      <c r="U11" s="67">
        <v>3.7740113838002873</v>
      </c>
      <c r="V11" s="67">
        <v>3.8656034349375759</v>
      </c>
      <c r="W11" s="67">
        <v>3.9093756962806654</v>
      </c>
      <c r="X11" s="67">
        <v>3.8607371574503424</v>
      </c>
      <c r="Y11" s="67">
        <v>3.7500213248360383</v>
      </c>
      <c r="Z11" s="67">
        <v>3.7118934114164093</v>
      </c>
      <c r="AA11" s="67">
        <v>3.7497206618159695</v>
      </c>
      <c r="AB11" s="67">
        <v>3.67766796769489</v>
      </c>
      <c r="AC11" s="67">
        <v>3.5991442086851939</v>
      </c>
      <c r="AD11" s="67">
        <v>3.6068267800002678</v>
      </c>
      <c r="AE11" s="67">
        <v>3.6889547524624997</v>
      </c>
      <c r="AF11" s="67">
        <v>3.7567397224957091</v>
      </c>
      <c r="AG11" s="67">
        <v>3.7979388260520297</v>
      </c>
      <c r="AH11" s="67">
        <v>3.7348087058083594</v>
      </c>
      <c r="AI11" s="67">
        <v>3.7111970432943022</v>
      </c>
      <c r="AJ11" s="67">
        <v>3.7617568325991146</v>
      </c>
      <c r="AK11" s="67">
        <v>3.8113661995134116</v>
      </c>
      <c r="AL11" s="67">
        <v>3.8041255964624003</v>
      </c>
      <c r="AM11" s="67">
        <v>3.5708309031514665</v>
      </c>
      <c r="AN11" s="67">
        <v>3.2081065841185743</v>
      </c>
    </row>
    <row r="12" spans="1:41" s="19" customFormat="1" ht="17.100000000000001" customHeight="1" x14ac:dyDescent="0.2">
      <c r="A12" s="37" t="s">
        <v>7</v>
      </c>
      <c r="B12" s="33">
        <v>2.1921422020855905</v>
      </c>
      <c r="C12" s="33">
        <v>2.0664179528593518</v>
      </c>
      <c r="D12" s="33">
        <v>1.9443673056530588</v>
      </c>
      <c r="E12" s="33">
        <v>1.8172145114040896</v>
      </c>
      <c r="F12" s="33">
        <v>1.6985573532168816</v>
      </c>
      <c r="G12" s="33">
        <v>1.6473585871400771</v>
      </c>
      <c r="H12" s="33">
        <v>1.6232369335478607</v>
      </c>
      <c r="I12" s="33">
        <v>1.7142762497116968</v>
      </c>
      <c r="J12" s="67">
        <v>1.8968459151549499</v>
      </c>
      <c r="K12" s="67">
        <v>2.1489770140383539</v>
      </c>
      <c r="L12" s="67">
        <v>2.3569523941937449</v>
      </c>
      <c r="M12" s="67">
        <v>2.4344359476583382</v>
      </c>
      <c r="N12" s="67">
        <v>2.4580075254253986</v>
      </c>
      <c r="O12" s="67">
        <v>2.4937537751473058</v>
      </c>
      <c r="P12" s="67">
        <v>2.4453917919020722</v>
      </c>
      <c r="Q12" s="67">
        <v>2.4008155250573573</v>
      </c>
      <c r="R12" s="67">
        <v>2.4591642840595327</v>
      </c>
      <c r="S12" s="67">
        <v>2.3534788599673861</v>
      </c>
      <c r="T12" s="67">
        <v>2.10025757941031</v>
      </c>
      <c r="U12" s="67">
        <v>2.0800751086117542</v>
      </c>
      <c r="V12" s="67">
        <v>2.1728535062160055</v>
      </c>
      <c r="W12" s="67">
        <v>2.0434645882836029</v>
      </c>
      <c r="X12" s="67">
        <v>1.8456169925288597</v>
      </c>
      <c r="Y12" s="67">
        <v>1.8068852658421513</v>
      </c>
      <c r="Z12" s="67">
        <v>1.9287649478956608</v>
      </c>
      <c r="AA12" s="67">
        <v>2.1673667017438225</v>
      </c>
      <c r="AB12" s="67">
        <v>2.3345336242417711</v>
      </c>
      <c r="AC12" s="67">
        <v>1.7079830448910829</v>
      </c>
      <c r="AD12" s="67">
        <v>1.6632799850661277</v>
      </c>
      <c r="AE12" s="67">
        <v>1.8097658066362721</v>
      </c>
      <c r="AF12" s="67">
        <v>1.9663540505680144</v>
      </c>
      <c r="AG12" s="67">
        <v>1.9294675587078018</v>
      </c>
      <c r="AH12" s="67">
        <v>1.8288867620184786</v>
      </c>
      <c r="AI12" s="67">
        <v>1.8589628940673755</v>
      </c>
      <c r="AJ12" s="67">
        <v>1.9631352619187299</v>
      </c>
      <c r="AK12" s="67">
        <v>1.9710314643520264</v>
      </c>
      <c r="AL12" s="67">
        <v>1.9354992113273055</v>
      </c>
      <c r="AM12" s="67">
        <v>2.0233184900998524</v>
      </c>
      <c r="AN12" s="67">
        <v>2.1865184022520174</v>
      </c>
    </row>
    <row r="13" spans="1:41" s="54" customFormat="1" ht="17.100000000000001" customHeight="1" x14ac:dyDescent="0.2">
      <c r="A13" s="52" t="s">
        <v>82</v>
      </c>
      <c r="B13" s="56">
        <v>25.629676526800946</v>
      </c>
      <c r="C13" s="56">
        <v>26.013417562296357</v>
      </c>
      <c r="D13" s="56">
        <v>26.27038753341661</v>
      </c>
      <c r="E13" s="56">
        <v>26.086207076622763</v>
      </c>
      <c r="F13" s="56">
        <v>26.096855982881792</v>
      </c>
      <c r="G13" s="56">
        <v>26.421155483347405</v>
      </c>
      <c r="H13" s="56">
        <v>26.169474603174773</v>
      </c>
      <c r="I13" s="56">
        <v>26.607163170072397</v>
      </c>
      <c r="J13" s="71">
        <v>26.768921947645595</v>
      </c>
      <c r="K13" s="71">
        <v>26.720554207091595</v>
      </c>
      <c r="L13" s="71">
        <v>26.480064464594488</v>
      </c>
      <c r="M13" s="71">
        <v>26.238397603579909</v>
      </c>
      <c r="N13" s="71">
        <v>26.412975185532378</v>
      </c>
      <c r="O13" s="71">
        <v>26.68278407198201</v>
      </c>
      <c r="P13" s="71">
        <v>26.840017329916439</v>
      </c>
      <c r="Q13" s="71">
        <v>27.136911251157088</v>
      </c>
      <c r="R13" s="71">
        <v>27.544077543886861</v>
      </c>
      <c r="S13" s="71">
        <v>27.679421229730981</v>
      </c>
      <c r="T13" s="71">
        <v>27.574963225709769</v>
      </c>
      <c r="U13" s="71">
        <v>27.125096332983485</v>
      </c>
      <c r="V13" s="71">
        <v>26.645629719260935</v>
      </c>
      <c r="W13" s="71">
        <v>26.685074827602854</v>
      </c>
      <c r="X13" s="71">
        <v>27.052074615626971</v>
      </c>
      <c r="Y13" s="71">
        <v>26.954645289440514</v>
      </c>
      <c r="Z13" s="71">
        <v>26.130165100150833</v>
      </c>
      <c r="AA13" s="71">
        <v>25.364795733132105</v>
      </c>
      <c r="AB13" s="71">
        <v>25.33348603031035</v>
      </c>
      <c r="AC13" s="71">
        <v>25.862293886857358</v>
      </c>
      <c r="AD13" s="71">
        <v>25.745177949921555</v>
      </c>
      <c r="AE13" s="71">
        <v>25.224925549506747</v>
      </c>
      <c r="AF13" s="71">
        <v>24.410929990820346</v>
      </c>
      <c r="AG13" s="71">
        <v>24.051810140507691</v>
      </c>
      <c r="AH13" s="71">
        <v>24.257400310509436</v>
      </c>
      <c r="AI13" s="71">
        <v>24.47727294418554</v>
      </c>
      <c r="AJ13" s="71">
        <v>24.474173309767945</v>
      </c>
      <c r="AK13" s="71">
        <v>24.413565570759179</v>
      </c>
      <c r="AL13" s="71">
        <v>24.539113608973437</v>
      </c>
      <c r="AM13" s="71">
        <v>24.637281085347485</v>
      </c>
      <c r="AN13" s="71">
        <v>24.83316738395952</v>
      </c>
    </row>
    <row r="14" spans="1:41" s="19" customFormat="1" ht="17.100000000000001" customHeight="1" x14ac:dyDescent="0.2">
      <c r="A14" s="37" t="s">
        <v>9</v>
      </c>
      <c r="B14" s="33">
        <v>1.1714237601899187</v>
      </c>
      <c r="C14" s="33">
        <v>1.2958674607793266</v>
      </c>
      <c r="D14" s="33">
        <v>1.2852114192310815</v>
      </c>
      <c r="E14" s="33">
        <v>1.1930236593306238</v>
      </c>
      <c r="F14" s="33">
        <v>1.1222848747539438</v>
      </c>
      <c r="G14" s="33">
        <v>1.0954240167205391</v>
      </c>
      <c r="H14" s="33">
        <v>1.2478992001948366</v>
      </c>
      <c r="I14" s="33">
        <v>1.6301689104122594</v>
      </c>
      <c r="J14" s="67">
        <v>1.7887209799774206</v>
      </c>
      <c r="K14" s="67">
        <v>1.7606551088258842</v>
      </c>
      <c r="L14" s="67">
        <v>1.6913988763844228</v>
      </c>
      <c r="M14" s="67">
        <v>1.5763622565177906</v>
      </c>
      <c r="N14" s="67">
        <v>1.5992370944010403</v>
      </c>
      <c r="O14" s="67">
        <v>1.7580198522130399</v>
      </c>
      <c r="P14" s="67">
        <v>1.7399822730816028</v>
      </c>
      <c r="Q14" s="67">
        <v>1.8617451658263646</v>
      </c>
      <c r="R14" s="67">
        <v>2.2066075507644758</v>
      </c>
      <c r="S14" s="67">
        <v>2.1897283225666122</v>
      </c>
      <c r="T14" s="67">
        <v>1.8087756752151303</v>
      </c>
      <c r="U14" s="67">
        <v>1.3244973996616762</v>
      </c>
      <c r="V14" s="67">
        <v>1.0611502766919405</v>
      </c>
      <c r="W14" s="67">
        <v>1.3258917158174885</v>
      </c>
      <c r="X14" s="67">
        <v>1.7317632561347458</v>
      </c>
      <c r="Y14" s="67">
        <v>1.6350874708457814</v>
      </c>
      <c r="Z14" s="67">
        <v>1.1178069871025871</v>
      </c>
      <c r="AA14" s="67">
        <v>0.86614438950670325</v>
      </c>
      <c r="AB14" s="67">
        <v>1.5808488851230158</v>
      </c>
      <c r="AC14" s="67">
        <v>2.4569946632982136</v>
      </c>
      <c r="AD14" s="67">
        <v>2.2657788621576995</v>
      </c>
      <c r="AE14" s="67">
        <v>1.4269165534381487</v>
      </c>
      <c r="AF14" s="67">
        <v>0.83587978057550161</v>
      </c>
      <c r="AG14" s="67">
        <v>0.76991793492214433</v>
      </c>
      <c r="AH14" s="67">
        <v>1.2026298900590888</v>
      </c>
      <c r="AI14" s="67">
        <v>1.4894960787532228</v>
      </c>
      <c r="AJ14" s="67">
        <v>1.1310095124852984</v>
      </c>
      <c r="AK14" s="67">
        <v>0.80603835776614974</v>
      </c>
      <c r="AL14" s="67">
        <v>1.079463376527803</v>
      </c>
      <c r="AM14" s="67">
        <v>1.318478518628639</v>
      </c>
      <c r="AN14" s="67">
        <v>1.3154681603056424</v>
      </c>
    </row>
    <row r="15" spans="1:41" s="19" customFormat="1" ht="17.100000000000001" customHeight="1" x14ac:dyDescent="0.2">
      <c r="A15" s="24" t="s">
        <v>10</v>
      </c>
      <c r="B15" s="33">
        <v>15.032890596115807</v>
      </c>
      <c r="C15" s="33">
        <v>15.422551886831549</v>
      </c>
      <c r="D15" s="33">
        <v>15.763692824621231</v>
      </c>
      <c r="E15" s="33">
        <v>15.809788053783496</v>
      </c>
      <c r="F15" s="33">
        <v>15.834952646401455</v>
      </c>
      <c r="G15" s="33">
        <v>16.028086349019073</v>
      </c>
      <c r="H15" s="33">
        <v>15.729043605581458</v>
      </c>
      <c r="I15" s="33">
        <v>15.694636199029899</v>
      </c>
      <c r="J15" s="67">
        <v>15.577070595696419</v>
      </c>
      <c r="K15" s="67">
        <v>15.500421001615319</v>
      </c>
      <c r="L15" s="67">
        <v>15.368008399677644</v>
      </c>
      <c r="M15" s="67">
        <v>15.398541863167209</v>
      </c>
      <c r="N15" s="67">
        <v>15.798404487166881</v>
      </c>
      <c r="O15" s="67">
        <v>16.033140049173788</v>
      </c>
      <c r="P15" s="67">
        <v>16.178262642625459</v>
      </c>
      <c r="Q15" s="67">
        <v>16.405708821642587</v>
      </c>
      <c r="R15" s="67">
        <v>16.517086720375595</v>
      </c>
      <c r="S15" s="67">
        <v>16.506981173778222</v>
      </c>
      <c r="T15" s="67">
        <v>16.583135461548036</v>
      </c>
      <c r="U15" s="67">
        <v>16.416862358010608</v>
      </c>
      <c r="V15" s="67">
        <v>16.194092756529241</v>
      </c>
      <c r="W15" s="67">
        <v>16.292158309456738</v>
      </c>
      <c r="X15" s="67">
        <v>16.649703312288164</v>
      </c>
      <c r="Y15" s="67">
        <v>16.745255743945481</v>
      </c>
      <c r="Z15" s="67">
        <v>16.471221603143391</v>
      </c>
      <c r="AA15" s="67">
        <v>16.008822603291033</v>
      </c>
      <c r="AB15" s="67">
        <v>15.27458527165132</v>
      </c>
      <c r="AC15" s="67">
        <v>14.875172344323312</v>
      </c>
      <c r="AD15" s="67">
        <v>14.921449461485109</v>
      </c>
      <c r="AE15" s="67">
        <v>15.170342801040537</v>
      </c>
      <c r="AF15" s="67">
        <v>15.092695506805448</v>
      </c>
      <c r="AG15" s="67">
        <v>14.987523601604243</v>
      </c>
      <c r="AH15" s="67">
        <v>14.706963051674657</v>
      </c>
      <c r="AI15" s="67">
        <v>14.419097306083046</v>
      </c>
      <c r="AJ15" s="67">
        <v>14.470136149003915</v>
      </c>
      <c r="AK15" s="67">
        <v>14.589965133962302</v>
      </c>
      <c r="AL15" s="67">
        <v>14.509872072759372</v>
      </c>
      <c r="AM15" s="67">
        <v>14.45365373514422</v>
      </c>
      <c r="AN15" s="67">
        <v>14.594541465976384</v>
      </c>
    </row>
    <row r="16" spans="1:41" s="19" customFormat="1" ht="17.100000000000001" customHeight="1" x14ac:dyDescent="0.2">
      <c r="A16" s="24" t="s">
        <v>11</v>
      </c>
      <c r="B16" s="33">
        <v>1.2197807673557608</v>
      </c>
      <c r="C16" s="33">
        <v>1.196579403276901</v>
      </c>
      <c r="D16" s="33">
        <v>1.3433255885886617</v>
      </c>
      <c r="E16" s="33">
        <v>1.3197875294655934</v>
      </c>
      <c r="F16" s="33">
        <v>1.3177428368554707</v>
      </c>
      <c r="G16" s="33">
        <v>1.3230747159967515</v>
      </c>
      <c r="H16" s="33">
        <v>1.2806607066473412</v>
      </c>
      <c r="I16" s="33">
        <v>1.2788262347761974</v>
      </c>
      <c r="J16" s="67">
        <v>1.2933184031460325</v>
      </c>
      <c r="K16" s="67">
        <v>1.3026849534308964</v>
      </c>
      <c r="L16" s="67">
        <v>1.3027708108575831</v>
      </c>
      <c r="M16" s="67">
        <v>1.3211964472147684</v>
      </c>
      <c r="N16" s="67">
        <v>1.3454456089383744</v>
      </c>
      <c r="O16" s="67">
        <v>1.3742253130491096</v>
      </c>
      <c r="P16" s="67">
        <v>1.4238274927996537</v>
      </c>
      <c r="Q16" s="67">
        <v>1.4584994110825329</v>
      </c>
      <c r="R16" s="67">
        <v>1.4591540232916884</v>
      </c>
      <c r="S16" s="67">
        <v>1.4541157994567149</v>
      </c>
      <c r="T16" s="67">
        <v>1.4465505343323011</v>
      </c>
      <c r="U16" s="67">
        <v>1.4284312335788132</v>
      </c>
      <c r="V16" s="67">
        <v>1.3972930223536846</v>
      </c>
      <c r="W16" s="67">
        <v>1.3515840943137953</v>
      </c>
      <c r="X16" s="67">
        <v>1.3105223230010554</v>
      </c>
      <c r="Y16" s="67">
        <v>1.2792634744195168</v>
      </c>
      <c r="Z16" s="67">
        <v>1.2405921169281409</v>
      </c>
      <c r="AA16" s="67">
        <v>1.196537792669615</v>
      </c>
      <c r="AB16" s="67">
        <v>1.1506248209458683</v>
      </c>
      <c r="AC16" s="67">
        <v>1.1199226808445502</v>
      </c>
      <c r="AD16" s="67">
        <v>1.099955975250491</v>
      </c>
      <c r="AE16" s="67">
        <v>1.0935967694075077</v>
      </c>
      <c r="AF16" s="67">
        <v>1.0715424850654627</v>
      </c>
      <c r="AG16" s="67">
        <v>1.0567174657371532</v>
      </c>
      <c r="AH16" s="67">
        <v>1.0572045724865562</v>
      </c>
      <c r="AI16" s="67">
        <v>1.0612529091079848</v>
      </c>
      <c r="AJ16" s="67">
        <v>1.0615790505192368</v>
      </c>
      <c r="AK16" s="67">
        <v>1.0466209146430749</v>
      </c>
      <c r="AL16" s="67">
        <v>1.0243859556988608</v>
      </c>
      <c r="AM16" s="67">
        <v>1.0095087261894848</v>
      </c>
      <c r="AN16" s="67">
        <v>1.0057309060651343</v>
      </c>
    </row>
    <row r="17" spans="1:40" s="19" customFormat="1" ht="17.100000000000001" customHeight="1" x14ac:dyDescent="0.2">
      <c r="A17" s="24" t="s">
        <v>12</v>
      </c>
      <c r="B17" s="33">
        <v>2.3924235935845988</v>
      </c>
      <c r="C17" s="33">
        <v>2.3377705616122917</v>
      </c>
      <c r="D17" s="33">
        <v>2.3374188355726946</v>
      </c>
      <c r="E17" s="33">
        <v>2.3834517573293472</v>
      </c>
      <c r="F17" s="33">
        <v>2.4357879041656716</v>
      </c>
      <c r="G17" s="33">
        <v>2.456417299960739</v>
      </c>
      <c r="H17" s="33">
        <v>2.3769309264279093</v>
      </c>
      <c r="I17" s="33">
        <v>2.3466216444612069</v>
      </c>
      <c r="J17" s="67">
        <v>2.3261163003811336</v>
      </c>
      <c r="K17" s="67">
        <v>2.2839181053936222</v>
      </c>
      <c r="L17" s="67">
        <v>2.2250040279455154</v>
      </c>
      <c r="M17" s="67">
        <v>2.1706982792905087</v>
      </c>
      <c r="N17" s="67">
        <v>2.1367762946832407</v>
      </c>
      <c r="O17" s="67">
        <v>2.1489007483885865</v>
      </c>
      <c r="P17" s="67">
        <v>2.2118861084500705</v>
      </c>
      <c r="Q17" s="67">
        <v>2.2494535520900456</v>
      </c>
      <c r="R17" s="67">
        <v>2.228366422717869</v>
      </c>
      <c r="S17" s="67">
        <v>2.1984882823341287</v>
      </c>
      <c r="T17" s="67">
        <v>2.1965868985533148</v>
      </c>
      <c r="U17" s="67">
        <v>2.212068663700399</v>
      </c>
      <c r="V17" s="67">
        <v>2.2005313737836039</v>
      </c>
      <c r="W17" s="67">
        <v>2.1486589730477061</v>
      </c>
      <c r="X17" s="67">
        <v>2.0942057774854805</v>
      </c>
      <c r="Y17" s="67">
        <v>2.0961373212150627</v>
      </c>
      <c r="Z17" s="67">
        <v>2.124910067210025</v>
      </c>
      <c r="AA17" s="67">
        <v>2.1436463578998532</v>
      </c>
      <c r="AB17" s="67">
        <v>2.1169440110147706</v>
      </c>
      <c r="AC17" s="67">
        <v>2.0990691734820879</v>
      </c>
      <c r="AD17" s="67">
        <v>2.0961833608971636</v>
      </c>
      <c r="AE17" s="67">
        <v>2.1207340979907245</v>
      </c>
      <c r="AF17" s="67">
        <v>2.1155760194405677</v>
      </c>
      <c r="AG17" s="67">
        <v>2.1069264265033896</v>
      </c>
      <c r="AH17" s="67">
        <v>2.1174568871012216</v>
      </c>
      <c r="AI17" s="67">
        <v>2.1375759748390246</v>
      </c>
      <c r="AJ17" s="67">
        <v>2.1620980654335176</v>
      </c>
      <c r="AK17" s="67">
        <v>2.153293302884224</v>
      </c>
      <c r="AL17" s="67">
        <v>2.1339334982059235</v>
      </c>
      <c r="AM17" s="67">
        <v>2.1342776601373368</v>
      </c>
      <c r="AN17" s="67">
        <v>2.1621147477127578</v>
      </c>
    </row>
    <row r="18" spans="1:40" s="19" customFormat="1" ht="17.100000000000001" customHeight="1" x14ac:dyDescent="0.2">
      <c r="A18" s="37" t="s">
        <v>13</v>
      </c>
      <c r="B18" s="33">
        <v>5.8131578095548591</v>
      </c>
      <c r="C18" s="33">
        <v>5.7606482497962901</v>
      </c>
      <c r="D18" s="33">
        <v>5.5407388654029388</v>
      </c>
      <c r="E18" s="33">
        <v>5.3801560767137051</v>
      </c>
      <c r="F18" s="33">
        <v>5.3860877207052527</v>
      </c>
      <c r="G18" s="33">
        <v>5.5181531016503058</v>
      </c>
      <c r="H18" s="33">
        <v>5.5349401643232277</v>
      </c>
      <c r="I18" s="33">
        <v>5.6569101813928331</v>
      </c>
      <c r="J18" s="67">
        <v>5.7836956684445902</v>
      </c>
      <c r="K18" s="67">
        <v>5.8728750378258736</v>
      </c>
      <c r="L18" s="67">
        <v>5.8928823497293186</v>
      </c>
      <c r="M18" s="67">
        <v>5.7715987573896328</v>
      </c>
      <c r="N18" s="67">
        <v>5.5331117003428441</v>
      </c>
      <c r="O18" s="67">
        <v>5.3684981091574855</v>
      </c>
      <c r="P18" s="67">
        <v>5.2860588129596549</v>
      </c>
      <c r="Q18" s="67">
        <v>5.1615043005155608</v>
      </c>
      <c r="R18" s="67">
        <v>5.1328628267372345</v>
      </c>
      <c r="S18" s="67">
        <v>5.330107651595303</v>
      </c>
      <c r="T18" s="67">
        <v>5.5399146560609909</v>
      </c>
      <c r="U18" s="67">
        <v>5.7432366780319866</v>
      </c>
      <c r="V18" s="67">
        <v>5.7925622899024676</v>
      </c>
      <c r="W18" s="67">
        <v>5.566781734967126</v>
      </c>
      <c r="X18" s="67">
        <v>5.2658799467175257</v>
      </c>
      <c r="Y18" s="67">
        <v>5.1989012790146685</v>
      </c>
      <c r="Z18" s="67">
        <v>5.1756343257666915</v>
      </c>
      <c r="AA18" s="67">
        <v>5.1496445897648959</v>
      </c>
      <c r="AB18" s="67">
        <v>5.210483041575376</v>
      </c>
      <c r="AC18" s="67">
        <v>5.311135024909194</v>
      </c>
      <c r="AD18" s="67">
        <v>5.3618102901310909</v>
      </c>
      <c r="AE18" s="67">
        <v>5.4133353276298317</v>
      </c>
      <c r="AF18" s="67">
        <v>5.2952361989333658</v>
      </c>
      <c r="AG18" s="67">
        <v>5.1307247117407631</v>
      </c>
      <c r="AH18" s="67">
        <v>5.1731459091879133</v>
      </c>
      <c r="AI18" s="67">
        <v>5.3698506754022626</v>
      </c>
      <c r="AJ18" s="67">
        <v>5.6493505323259798</v>
      </c>
      <c r="AK18" s="67">
        <v>5.8176478615034286</v>
      </c>
      <c r="AL18" s="67">
        <v>5.7914587057814808</v>
      </c>
      <c r="AM18" s="67">
        <v>5.7213624452478049</v>
      </c>
      <c r="AN18" s="67">
        <v>5.7553121038996018</v>
      </c>
    </row>
    <row r="19" spans="1:40" s="54" customFormat="1" ht="17.100000000000001" customHeight="1" x14ac:dyDescent="0.2">
      <c r="A19" s="52" t="s">
        <v>83</v>
      </c>
      <c r="B19" s="56">
        <v>43.438536468207147</v>
      </c>
      <c r="C19" s="56">
        <v>43.073425185504661</v>
      </c>
      <c r="D19" s="56">
        <v>43.05205313765353</v>
      </c>
      <c r="E19" s="56">
        <v>43.746306385623171</v>
      </c>
      <c r="F19" s="56">
        <v>44.167896785111928</v>
      </c>
      <c r="G19" s="56">
        <v>44.115175738268626</v>
      </c>
      <c r="H19" s="56">
        <v>43.041573233578468</v>
      </c>
      <c r="I19" s="56">
        <v>42.929882319427008</v>
      </c>
      <c r="J19" s="71">
        <v>42.766302488013196</v>
      </c>
      <c r="K19" s="71">
        <v>42.720719388542292</v>
      </c>
      <c r="L19" s="71">
        <v>42.828388367625806</v>
      </c>
      <c r="M19" s="71">
        <v>43.136828422070792</v>
      </c>
      <c r="N19" s="71">
        <v>43.363542160277447</v>
      </c>
      <c r="O19" s="71">
        <v>43.069884204048677</v>
      </c>
      <c r="P19" s="71">
        <v>42.287562269175297</v>
      </c>
      <c r="Q19" s="71">
        <v>41.622671993607398</v>
      </c>
      <c r="R19" s="71">
        <v>41.485361996906946</v>
      </c>
      <c r="S19" s="71">
        <v>41.842485272344121</v>
      </c>
      <c r="T19" s="71">
        <v>42.13180572858569</v>
      </c>
      <c r="U19" s="71">
        <v>42.024237852907845</v>
      </c>
      <c r="V19" s="71">
        <v>41.58712065300589</v>
      </c>
      <c r="W19" s="71">
        <v>41.445752657159716</v>
      </c>
      <c r="X19" s="71">
        <v>41.616893071933077</v>
      </c>
      <c r="Y19" s="71">
        <v>41.68196927327697</v>
      </c>
      <c r="Z19" s="71">
        <v>41.963751598409068</v>
      </c>
      <c r="AA19" s="71">
        <v>42.274385485199055</v>
      </c>
      <c r="AB19" s="71">
        <v>42.298352064328043</v>
      </c>
      <c r="AC19" s="71">
        <v>42.545106583890345</v>
      </c>
      <c r="AD19" s="71">
        <v>42.999516877821506</v>
      </c>
      <c r="AE19" s="71">
        <v>42.906259224545444</v>
      </c>
      <c r="AF19" s="71">
        <v>43.000919354932108</v>
      </c>
      <c r="AG19" s="71">
        <v>42.82845579855946</v>
      </c>
      <c r="AH19" s="71">
        <v>42.340878736868042</v>
      </c>
      <c r="AI19" s="71">
        <v>42.137091741692274</v>
      </c>
      <c r="AJ19" s="71">
        <v>42.254582924462539</v>
      </c>
      <c r="AK19" s="71">
        <v>42.360362789761311</v>
      </c>
      <c r="AL19" s="71">
        <v>42.323085277995197</v>
      </c>
      <c r="AM19" s="71">
        <v>41.98158129140355</v>
      </c>
      <c r="AN19" s="71">
        <v>41.59379930829494</v>
      </c>
    </row>
    <row r="20" spans="1:40" s="19" customFormat="1" ht="17.100000000000001" customHeight="1" x14ac:dyDescent="0.2">
      <c r="A20" s="38" t="s">
        <v>64</v>
      </c>
      <c r="B20" s="33">
        <v>8.3562161822424343</v>
      </c>
      <c r="C20" s="33">
        <v>8.8862069686435241</v>
      </c>
      <c r="D20" s="33">
        <v>9.1517421523260847</v>
      </c>
      <c r="E20" s="33">
        <v>9.4083758249223735</v>
      </c>
      <c r="F20" s="33">
        <v>9.1377443009556671</v>
      </c>
      <c r="G20" s="33">
        <v>8.846685663679402</v>
      </c>
      <c r="H20" s="33">
        <v>9.0398229294463608</v>
      </c>
      <c r="I20" s="33">
        <v>9.2089510229717089</v>
      </c>
      <c r="J20" s="67">
        <v>8.9237013305384352</v>
      </c>
      <c r="K20" s="67">
        <v>8.7368242188828305</v>
      </c>
      <c r="L20" s="67">
        <v>8.620083338370728</v>
      </c>
      <c r="M20" s="67">
        <v>8.3690210613024139</v>
      </c>
      <c r="N20" s="67">
        <v>8.4347264992853184</v>
      </c>
      <c r="O20" s="67">
        <v>8.5230623032531696</v>
      </c>
      <c r="P20" s="67">
        <v>8.2334684138128189</v>
      </c>
      <c r="Q20" s="67">
        <v>7.8847446232224954</v>
      </c>
      <c r="R20" s="67">
        <v>7.9495807862533647</v>
      </c>
      <c r="S20" s="67">
        <v>8.0994049077755434</v>
      </c>
      <c r="T20" s="67">
        <v>7.9972067750447362</v>
      </c>
      <c r="U20" s="67">
        <v>7.6857920102724977</v>
      </c>
      <c r="V20" s="67">
        <v>7.5467770909000116</v>
      </c>
      <c r="W20" s="67">
        <v>8.0104334585376407</v>
      </c>
      <c r="X20" s="67">
        <v>8.8455072141306044</v>
      </c>
      <c r="Y20" s="67">
        <v>9.1023611416221115</v>
      </c>
      <c r="Z20" s="67">
        <v>8.8167587935726761</v>
      </c>
      <c r="AA20" s="67">
        <v>8.6783352137369736</v>
      </c>
      <c r="AB20" s="67">
        <v>9.1723883547996419</v>
      </c>
      <c r="AC20" s="67">
        <v>9.9467589772335039</v>
      </c>
      <c r="AD20" s="67">
        <v>10.081779461287098</v>
      </c>
      <c r="AE20" s="67">
        <v>9.6728869282084773</v>
      </c>
      <c r="AF20" s="67">
        <v>9.1516818668487492</v>
      </c>
      <c r="AG20" s="67">
        <v>9.1371718498075829</v>
      </c>
      <c r="AH20" s="67">
        <v>9.411353614547469</v>
      </c>
      <c r="AI20" s="67">
        <v>9.6106225189992962</v>
      </c>
      <c r="AJ20" s="67">
        <v>9.4644179382795759</v>
      </c>
      <c r="AK20" s="67">
        <v>9.438222889583022</v>
      </c>
      <c r="AL20" s="67">
        <v>9.6694200813785649</v>
      </c>
      <c r="AM20" s="67">
        <v>9.8173393625920493</v>
      </c>
      <c r="AN20" s="67">
        <v>9.8380779831445491</v>
      </c>
    </row>
    <row r="21" spans="1:40" s="19" customFormat="1" ht="17.100000000000001" customHeight="1" x14ac:dyDescent="0.2">
      <c r="A21" s="38" t="s">
        <v>65</v>
      </c>
      <c r="B21" s="33">
        <v>3.3555611717430898</v>
      </c>
      <c r="C21" s="33">
        <v>3.3141161603169231</v>
      </c>
      <c r="D21" s="33">
        <v>3.3214246118366995</v>
      </c>
      <c r="E21" s="33">
        <v>3.3774146938363954</v>
      </c>
      <c r="F21" s="33">
        <v>3.4448647960646248</v>
      </c>
      <c r="G21" s="33">
        <v>3.4783192428050871</v>
      </c>
      <c r="H21" s="33">
        <v>3.4001277696411938</v>
      </c>
      <c r="I21" s="33">
        <v>3.4066878715621121</v>
      </c>
      <c r="J21" s="67">
        <v>3.3676832877638461</v>
      </c>
      <c r="K21" s="67">
        <v>3.3321362593822701</v>
      </c>
      <c r="L21" s="67">
        <v>3.3916097865797612</v>
      </c>
      <c r="M21" s="67">
        <v>3.5558958685847935</v>
      </c>
      <c r="N21" s="67">
        <v>3.5735003059521153</v>
      </c>
      <c r="O21" s="67">
        <v>3.4274467458914755</v>
      </c>
      <c r="P21" s="67">
        <v>3.2369602016735248</v>
      </c>
      <c r="Q21" s="67">
        <v>3.1370573916621063</v>
      </c>
      <c r="R21" s="67">
        <v>3.1394400759735217</v>
      </c>
      <c r="S21" s="67">
        <v>3.1259790753313581</v>
      </c>
      <c r="T21" s="67">
        <v>3.0652417097983085</v>
      </c>
      <c r="U21" s="67">
        <v>3.0818819629563938</v>
      </c>
      <c r="V21" s="67">
        <v>3.1754777035358153</v>
      </c>
      <c r="W21" s="67">
        <v>3.1845121609271727</v>
      </c>
      <c r="X21" s="67">
        <v>3.1410120724270367</v>
      </c>
      <c r="Y21" s="67">
        <v>3.1490077279268371</v>
      </c>
      <c r="Z21" s="67">
        <v>3.3278906866855853</v>
      </c>
      <c r="AA21" s="67">
        <v>3.5618894775890886</v>
      </c>
      <c r="AB21" s="67">
        <v>3.6261268754352942</v>
      </c>
      <c r="AC21" s="67">
        <v>3.5431383079702665</v>
      </c>
      <c r="AD21" s="67">
        <v>3.5165962850146606</v>
      </c>
      <c r="AE21" s="67">
        <v>3.6616682033751942</v>
      </c>
      <c r="AF21" s="67">
        <v>3.8063697439038084</v>
      </c>
      <c r="AG21" s="67">
        <v>3.8788591216538881</v>
      </c>
      <c r="AH21" s="67">
        <v>3.8523109877888913</v>
      </c>
      <c r="AI21" s="67">
        <v>3.8227915695275385</v>
      </c>
      <c r="AJ21" s="67">
        <v>3.8553738322685334</v>
      </c>
      <c r="AK21" s="67">
        <v>3.8061361285185202</v>
      </c>
      <c r="AL21" s="67">
        <v>3.6728184276255793</v>
      </c>
      <c r="AM21" s="67">
        <v>3.6419637036441195</v>
      </c>
      <c r="AN21" s="67">
        <v>3.703667519253464</v>
      </c>
    </row>
    <row r="22" spans="1:40" s="19" customFormat="1" ht="17.100000000000001" customHeight="1" x14ac:dyDescent="0.2">
      <c r="A22" s="38" t="s">
        <v>66</v>
      </c>
      <c r="B22" s="33">
        <v>2.8150779920213327</v>
      </c>
      <c r="C22" s="33">
        <v>2.9001430431513691</v>
      </c>
      <c r="D22" s="33">
        <v>2.9927110414927358</v>
      </c>
      <c r="E22" s="33">
        <v>3.1210441375937399</v>
      </c>
      <c r="F22" s="33">
        <v>3.2055228112620746</v>
      </c>
      <c r="G22" s="33">
        <v>3.1625349706173616</v>
      </c>
      <c r="H22" s="33">
        <v>2.9751727437863016</v>
      </c>
      <c r="I22" s="33">
        <v>2.9137435299613159</v>
      </c>
      <c r="J22" s="67">
        <v>2.8958215081329666</v>
      </c>
      <c r="K22" s="67">
        <v>2.8757179628226304</v>
      </c>
      <c r="L22" s="67">
        <v>2.8386985537729421</v>
      </c>
      <c r="M22" s="67">
        <v>2.9102760784033976</v>
      </c>
      <c r="N22" s="67">
        <v>3.0038635240730449</v>
      </c>
      <c r="O22" s="67">
        <v>2.9722130766267836</v>
      </c>
      <c r="P22" s="67">
        <v>2.7920434217016297</v>
      </c>
      <c r="Q22" s="67">
        <v>2.5298175496046751</v>
      </c>
      <c r="R22" s="67">
        <v>2.2977002206711608</v>
      </c>
      <c r="S22" s="67">
        <v>2.2852818866264912</v>
      </c>
      <c r="T22" s="67">
        <v>2.3857668571417681</v>
      </c>
      <c r="U22" s="67">
        <v>2.3600064421813887</v>
      </c>
      <c r="V22" s="67">
        <v>2.2771977700741823</v>
      </c>
      <c r="W22" s="67">
        <v>2.208732829610772</v>
      </c>
      <c r="X22" s="67">
        <v>2.0788729135599966</v>
      </c>
      <c r="Y22" s="67">
        <v>1.967433713067275</v>
      </c>
      <c r="Z22" s="67">
        <v>2.0562759474482846</v>
      </c>
      <c r="AA22" s="67">
        <v>2.1739061146094452</v>
      </c>
      <c r="AB22" s="67">
        <v>2.2184744505440483</v>
      </c>
      <c r="AC22" s="67">
        <v>2.2395499952679652</v>
      </c>
      <c r="AD22" s="67">
        <v>2.181585636383141</v>
      </c>
      <c r="AE22" s="67">
        <v>2.1475979012418716</v>
      </c>
      <c r="AF22" s="67">
        <v>2.3538581480240905</v>
      </c>
      <c r="AG22" s="67">
        <v>2.524503662700524</v>
      </c>
      <c r="AH22" s="67">
        <v>2.46310976511083</v>
      </c>
      <c r="AI22" s="67">
        <v>2.4434333712367309</v>
      </c>
      <c r="AJ22" s="67">
        <v>2.445141378382758</v>
      </c>
      <c r="AK22" s="67">
        <v>2.4641609698701648</v>
      </c>
      <c r="AL22" s="67">
        <v>2.6038997417020915</v>
      </c>
      <c r="AM22" s="67">
        <v>2.6494095125401262</v>
      </c>
      <c r="AN22" s="67">
        <v>2.5390025411959862</v>
      </c>
    </row>
    <row r="23" spans="1:40" s="19" customFormat="1" ht="17.100000000000001" customHeight="1" x14ac:dyDescent="0.2">
      <c r="A23" s="38" t="s">
        <v>67</v>
      </c>
      <c r="B23" s="33">
        <v>2.1442705492534953</v>
      </c>
      <c r="C23" s="33">
        <v>2.0383334920881997</v>
      </c>
      <c r="D23" s="33">
        <v>1.9035777672253777</v>
      </c>
      <c r="E23" s="33">
        <v>1.7449485909726097</v>
      </c>
      <c r="F23" s="33">
        <v>1.6049555142206118</v>
      </c>
      <c r="G23" s="33">
        <v>1.5907517815893311</v>
      </c>
      <c r="H23" s="33">
        <v>1.6378356216614078</v>
      </c>
      <c r="I23" s="33">
        <v>1.7111613342761238</v>
      </c>
      <c r="J23" s="67">
        <v>1.7551601572618565</v>
      </c>
      <c r="K23" s="67">
        <v>1.7917157767104497</v>
      </c>
      <c r="L23" s="67">
        <v>1.8275758465700076</v>
      </c>
      <c r="M23" s="67">
        <v>1.8665798583560833</v>
      </c>
      <c r="N23" s="67">
        <v>1.9018540334965792</v>
      </c>
      <c r="O23" s="67">
        <v>1.8590166722621191</v>
      </c>
      <c r="P23" s="67">
        <v>1.7385702863750498</v>
      </c>
      <c r="Q23" s="67">
        <v>1.6642900192612564</v>
      </c>
      <c r="R23" s="67">
        <v>1.6870407607982751</v>
      </c>
      <c r="S23" s="67">
        <v>1.76775440380188</v>
      </c>
      <c r="T23" s="67">
        <v>1.8587976255649099</v>
      </c>
      <c r="U23" s="67">
        <v>1.886614273220041</v>
      </c>
      <c r="V23" s="67">
        <v>1.8044037934681549</v>
      </c>
      <c r="W23" s="67">
        <v>1.7180883820828541</v>
      </c>
      <c r="X23" s="67">
        <v>1.6668777961063641</v>
      </c>
      <c r="Y23" s="67">
        <v>1.5658278016447722</v>
      </c>
      <c r="Z23" s="67">
        <v>1.4234649144742491</v>
      </c>
      <c r="AA23" s="67">
        <v>1.3972495965509975</v>
      </c>
      <c r="AB23" s="67">
        <v>1.5496174370732541</v>
      </c>
      <c r="AC23" s="67">
        <v>1.7841036760583615</v>
      </c>
      <c r="AD23" s="67">
        <v>2.2259620988532753</v>
      </c>
      <c r="AE23" s="67">
        <v>2.3315642789546893</v>
      </c>
      <c r="AF23" s="67">
        <v>2.2574659559788715</v>
      </c>
      <c r="AG23" s="67">
        <v>2.1120160684536997</v>
      </c>
      <c r="AH23" s="67">
        <v>1.9980682215495755</v>
      </c>
      <c r="AI23" s="67">
        <v>1.8933975886290981</v>
      </c>
      <c r="AJ23" s="67">
        <v>1.7996698294875071</v>
      </c>
      <c r="AK23" s="67">
        <v>1.769436452643302</v>
      </c>
      <c r="AL23" s="67">
        <v>1.7860739079921548</v>
      </c>
      <c r="AM23" s="67">
        <v>1.7857325125494916</v>
      </c>
      <c r="AN23" s="67">
        <v>1.7777416402489088</v>
      </c>
    </row>
    <row r="24" spans="1:40" s="19" customFormat="1" ht="17.100000000000001" customHeight="1" x14ac:dyDescent="0.2">
      <c r="A24" s="38" t="s">
        <v>68</v>
      </c>
      <c r="B24" s="33">
        <v>2.6422437080435608</v>
      </c>
      <c r="C24" s="33">
        <v>2.5547830893918571</v>
      </c>
      <c r="D24" s="33">
        <v>2.6088572721296051</v>
      </c>
      <c r="E24" s="33">
        <v>2.6576136678226172</v>
      </c>
      <c r="F24" s="33">
        <v>2.6722374875989696</v>
      </c>
      <c r="G24" s="33">
        <v>2.6454897397870334</v>
      </c>
      <c r="H24" s="33">
        <v>2.513853428701486</v>
      </c>
      <c r="I24" s="33">
        <v>2.4065713503222361</v>
      </c>
      <c r="J24" s="67">
        <v>2.3856334256909841</v>
      </c>
      <c r="K24" s="67">
        <v>2.4756207476484842</v>
      </c>
      <c r="L24" s="67">
        <v>2.7058019779732385</v>
      </c>
      <c r="M24" s="67">
        <v>2.8967200271007458</v>
      </c>
      <c r="N24" s="67">
        <v>2.9885522815441647</v>
      </c>
      <c r="O24" s="67">
        <v>2.8995674823685622</v>
      </c>
      <c r="P24" s="67">
        <v>2.8219326808970777</v>
      </c>
      <c r="Q24" s="67">
        <v>2.9042306784760323</v>
      </c>
      <c r="R24" s="67">
        <v>2.9158005544642975</v>
      </c>
      <c r="S24" s="67">
        <v>2.8170287226516177</v>
      </c>
      <c r="T24" s="67">
        <v>2.7342628859378153</v>
      </c>
      <c r="U24" s="67">
        <v>2.7633715092340259</v>
      </c>
      <c r="V24" s="67">
        <v>2.736698757998516</v>
      </c>
      <c r="W24" s="67">
        <v>2.8171045557462615</v>
      </c>
      <c r="X24" s="67">
        <v>2.8869772564556513</v>
      </c>
      <c r="Y24" s="67">
        <v>2.9048116012644174</v>
      </c>
      <c r="Z24" s="67">
        <v>3.0072576492627605</v>
      </c>
      <c r="AA24" s="67">
        <v>3.1551643214274483</v>
      </c>
      <c r="AB24" s="67">
        <v>3.0949840179278869</v>
      </c>
      <c r="AC24" s="67">
        <v>2.8833280760996076</v>
      </c>
      <c r="AD24" s="67">
        <v>2.7892379370838074</v>
      </c>
      <c r="AE24" s="67">
        <v>2.7543158253345341</v>
      </c>
      <c r="AF24" s="67">
        <v>2.7366695203904294</v>
      </c>
      <c r="AG24" s="67">
        <v>2.7352051009434457</v>
      </c>
      <c r="AH24" s="67">
        <v>2.7147754895408762</v>
      </c>
      <c r="AI24" s="67">
        <v>2.6319282275294875</v>
      </c>
      <c r="AJ24" s="67">
        <v>2.6106558234008994</v>
      </c>
      <c r="AK24" s="67">
        <v>2.6928639983846456</v>
      </c>
      <c r="AL24" s="67">
        <v>2.7064520237715621</v>
      </c>
      <c r="AM24" s="67">
        <v>2.6519138536530296</v>
      </c>
      <c r="AN24" s="67">
        <v>2.600757968070631</v>
      </c>
    </row>
    <row r="25" spans="1:40" s="19" customFormat="1" ht="17.100000000000001" customHeight="1" x14ac:dyDescent="0.2">
      <c r="A25" s="38" t="s">
        <v>20</v>
      </c>
      <c r="B25" s="33">
        <v>6.1429965855607307</v>
      </c>
      <c r="C25" s="33">
        <v>5.9581705401000784</v>
      </c>
      <c r="D25" s="33">
        <v>5.9071473166878716</v>
      </c>
      <c r="E25" s="33">
        <v>5.98446847544992</v>
      </c>
      <c r="F25" s="33">
        <v>6.1830660301338147</v>
      </c>
      <c r="G25" s="33">
        <v>6.3229299722955439</v>
      </c>
      <c r="H25" s="33">
        <v>6.1468608410696346</v>
      </c>
      <c r="I25" s="33">
        <v>6.1452658099734583</v>
      </c>
      <c r="J25" s="67">
        <v>6.2650211798914723</v>
      </c>
      <c r="K25" s="67">
        <v>6.3348313979054254</v>
      </c>
      <c r="L25" s="67">
        <v>6.2610616359200968</v>
      </c>
      <c r="M25" s="67">
        <v>6.1418987067630342</v>
      </c>
      <c r="N25" s="67">
        <v>6.0364272622483277</v>
      </c>
      <c r="O25" s="67">
        <v>6.1126428610949883</v>
      </c>
      <c r="P25" s="67">
        <v>6.3458766397112214</v>
      </c>
      <c r="Q25" s="67">
        <v>6.4667186652899629</v>
      </c>
      <c r="R25" s="67">
        <v>6.3631291616946886</v>
      </c>
      <c r="S25" s="67">
        <v>6.2411596768633686</v>
      </c>
      <c r="T25" s="67">
        <v>6.2246103392056451</v>
      </c>
      <c r="U25" s="67">
        <v>6.3142352377645494</v>
      </c>
      <c r="V25" s="67">
        <v>6.3783249447921131</v>
      </c>
      <c r="W25" s="67">
        <v>6.2903908020692594</v>
      </c>
      <c r="X25" s="67">
        <v>6.1673582547854977</v>
      </c>
      <c r="Y25" s="67">
        <v>6.1467122550964737</v>
      </c>
      <c r="Z25" s="67">
        <v>6.1813873739179632</v>
      </c>
      <c r="AA25" s="67">
        <v>6.1691982450539484</v>
      </c>
      <c r="AB25" s="67">
        <v>6.0662813354617429</v>
      </c>
      <c r="AC25" s="67">
        <v>5.9925598927539783</v>
      </c>
      <c r="AD25" s="67">
        <v>5.9897639416967579</v>
      </c>
      <c r="AE25" s="67">
        <v>6.0684960673030455</v>
      </c>
      <c r="AF25" s="67">
        <v>6.010803153254562</v>
      </c>
      <c r="AG25" s="67">
        <v>5.8665308124397724</v>
      </c>
      <c r="AH25" s="67">
        <v>5.7470123221586134</v>
      </c>
      <c r="AI25" s="67">
        <v>5.7018785993893175</v>
      </c>
      <c r="AJ25" s="67">
        <v>5.7270508679793206</v>
      </c>
      <c r="AK25" s="67">
        <v>5.7135450613142318</v>
      </c>
      <c r="AL25" s="67">
        <v>5.6269848054403395</v>
      </c>
      <c r="AM25" s="67">
        <v>5.5548578454444035</v>
      </c>
      <c r="AN25" s="67">
        <v>5.547097115919156</v>
      </c>
    </row>
    <row r="26" spans="1:40" s="19" customFormat="1" ht="17.100000000000001" customHeight="1" x14ac:dyDescent="0.2">
      <c r="A26" s="38" t="s">
        <v>70</v>
      </c>
      <c r="B26" s="33">
        <v>2.4517488486900616</v>
      </c>
      <c r="C26" s="33">
        <v>2.1755354392728292</v>
      </c>
      <c r="D26" s="33">
        <v>1.9777417525245984</v>
      </c>
      <c r="E26" s="33">
        <v>2.030289842476912</v>
      </c>
      <c r="F26" s="33">
        <v>2.1730436038193779</v>
      </c>
      <c r="G26" s="33">
        <v>2.2116515053777239</v>
      </c>
      <c r="H26" s="33">
        <v>2.1281497554554227</v>
      </c>
      <c r="I26" s="33">
        <v>2.1092530044783131</v>
      </c>
      <c r="J26" s="67">
        <v>2.0008185766787907</v>
      </c>
      <c r="K26" s="67">
        <v>1.9311775038819166</v>
      </c>
      <c r="L26" s="67">
        <v>2.0616709176628167</v>
      </c>
      <c r="M26" s="67">
        <v>2.3470462287250231</v>
      </c>
      <c r="N26" s="67">
        <v>2.4440565232800675</v>
      </c>
      <c r="O26" s="67">
        <v>2.2237569959650947</v>
      </c>
      <c r="P26" s="67">
        <v>1.9384963543071638</v>
      </c>
      <c r="Q26" s="67">
        <v>1.8219728830995954</v>
      </c>
      <c r="R26" s="67">
        <v>1.8578061492596061</v>
      </c>
      <c r="S26" s="67">
        <v>1.9892006242209996</v>
      </c>
      <c r="T26" s="67">
        <v>2.0926666534407952</v>
      </c>
      <c r="U26" s="67">
        <v>2.1476762080107008</v>
      </c>
      <c r="V26" s="67">
        <v>2.1452862523330096</v>
      </c>
      <c r="W26" s="67">
        <v>1.9551353718846722</v>
      </c>
      <c r="X26" s="67">
        <v>1.7128872388893281</v>
      </c>
      <c r="Y26" s="67">
        <v>1.7016052710602267</v>
      </c>
      <c r="Z26" s="67">
        <v>1.9620765520040635</v>
      </c>
      <c r="AA26" s="67">
        <v>2.161010841926513</v>
      </c>
      <c r="AB26" s="67">
        <v>2.0549830249761776</v>
      </c>
      <c r="AC26" s="67">
        <v>1.8631077806857017</v>
      </c>
      <c r="AD26" s="67">
        <v>1.7862894183892974</v>
      </c>
      <c r="AE26" s="67">
        <v>1.8843256943187467</v>
      </c>
      <c r="AF26" s="67">
        <v>2.0045504826297877</v>
      </c>
      <c r="AG26" s="67">
        <v>1.9921436633680165</v>
      </c>
      <c r="AH26" s="67">
        <v>1.9474827428877191</v>
      </c>
      <c r="AI26" s="67">
        <v>2.0479733844572396</v>
      </c>
      <c r="AJ26" s="67">
        <v>2.2068836058137102</v>
      </c>
      <c r="AK26" s="67">
        <v>2.1464787212073668</v>
      </c>
      <c r="AL26" s="67">
        <v>1.9304903242616578</v>
      </c>
      <c r="AM26" s="67">
        <v>1.8165082220234738</v>
      </c>
      <c r="AN26" s="67">
        <v>1.8374653917984065</v>
      </c>
    </row>
    <row r="27" spans="1:40" s="19" customFormat="1" ht="17.100000000000001" customHeight="1" x14ac:dyDescent="0.2">
      <c r="A27" s="38" t="s">
        <v>74</v>
      </c>
      <c r="B27" s="33">
        <v>1.7055904799609116</v>
      </c>
      <c r="C27" s="33">
        <v>1.7568600152484195</v>
      </c>
      <c r="D27" s="33">
        <v>1.7704448673269209</v>
      </c>
      <c r="E27" s="33">
        <v>1.749165467172682</v>
      </c>
      <c r="F27" s="33">
        <v>1.7089820111073886</v>
      </c>
      <c r="G27" s="33">
        <v>1.6834155094032095</v>
      </c>
      <c r="H27" s="33">
        <v>1.6511034635954289</v>
      </c>
      <c r="I27" s="33">
        <v>1.6809629911635255</v>
      </c>
      <c r="J27" s="67">
        <v>1.7254852319163345</v>
      </c>
      <c r="K27" s="67">
        <v>1.7775742720238323</v>
      </c>
      <c r="L27" s="67">
        <v>1.8266281500287633</v>
      </c>
      <c r="M27" s="67">
        <v>1.8542174689023183</v>
      </c>
      <c r="N27" s="67">
        <v>1.8340682544840585</v>
      </c>
      <c r="O27" s="67">
        <v>1.7895522543315205</v>
      </c>
      <c r="P27" s="67">
        <v>1.7617664364327601</v>
      </c>
      <c r="Q27" s="67">
        <v>1.7936367275920473</v>
      </c>
      <c r="R27" s="67">
        <v>1.8666374727745947</v>
      </c>
      <c r="S27" s="67">
        <v>1.923857192325205</v>
      </c>
      <c r="T27" s="67">
        <v>1.9358015175729795</v>
      </c>
      <c r="U27" s="67">
        <v>1.9487929358709206</v>
      </c>
      <c r="V27" s="67">
        <v>1.9718276332574387</v>
      </c>
      <c r="W27" s="67">
        <v>1.9534329904425722</v>
      </c>
      <c r="X27" s="67">
        <v>1.9141161061133216</v>
      </c>
      <c r="Y27" s="67">
        <v>1.9366249806916429</v>
      </c>
      <c r="Z27" s="67">
        <v>2.0076848672660899</v>
      </c>
      <c r="AA27" s="67">
        <v>2.0630672949104896</v>
      </c>
      <c r="AB27" s="67">
        <v>2.0646821184259276</v>
      </c>
      <c r="AC27" s="67">
        <v>2.0339061471176167</v>
      </c>
      <c r="AD27" s="67">
        <v>2.010098336857141</v>
      </c>
      <c r="AE27" s="67">
        <v>2.0466710590447876</v>
      </c>
      <c r="AF27" s="67">
        <v>2.0500614193442059</v>
      </c>
      <c r="AG27" s="67">
        <v>1.9821083407133806</v>
      </c>
      <c r="AH27" s="67">
        <v>1.8841331846570393</v>
      </c>
      <c r="AI27" s="67">
        <v>1.8481751410478819</v>
      </c>
      <c r="AJ27" s="67">
        <v>1.900001929424</v>
      </c>
      <c r="AK27" s="67">
        <v>1.9598426957991695</v>
      </c>
      <c r="AL27" s="67">
        <v>1.9738562553907231</v>
      </c>
      <c r="AM27" s="67">
        <v>1.9324351955431252</v>
      </c>
      <c r="AN27" s="67">
        <v>1.8815242923976097</v>
      </c>
    </row>
    <row r="28" spans="1:40" s="19" customFormat="1" ht="17.100000000000001" customHeight="1" x14ac:dyDescent="0.2">
      <c r="A28" s="38" t="s">
        <v>23</v>
      </c>
      <c r="B28" s="33">
        <v>2.3815636396577022</v>
      </c>
      <c r="C28" s="33">
        <v>2.3916339501702413</v>
      </c>
      <c r="D28" s="33">
        <v>2.4769319236161653</v>
      </c>
      <c r="E28" s="33">
        <v>2.600839997868476</v>
      </c>
      <c r="F28" s="33">
        <v>2.6810910859414925</v>
      </c>
      <c r="G28" s="33">
        <v>2.6626692873908406</v>
      </c>
      <c r="H28" s="33">
        <v>2.490477605017094</v>
      </c>
      <c r="I28" s="33">
        <v>2.3957606564558742</v>
      </c>
      <c r="J28" s="67">
        <v>2.38137616670353</v>
      </c>
      <c r="K28" s="67">
        <v>2.4056818164608771</v>
      </c>
      <c r="L28" s="67">
        <v>2.4503185525448821</v>
      </c>
      <c r="M28" s="67">
        <v>2.5316759258216468</v>
      </c>
      <c r="N28" s="67">
        <v>2.6045965895670449</v>
      </c>
      <c r="O28" s="67">
        <v>2.6653862255755207</v>
      </c>
      <c r="P28" s="67">
        <v>2.7383836631843801</v>
      </c>
      <c r="Q28" s="67">
        <v>2.8409869077860255</v>
      </c>
      <c r="R28" s="67">
        <v>2.9412627770155613</v>
      </c>
      <c r="S28" s="67">
        <v>3.070722500090084</v>
      </c>
      <c r="T28" s="67">
        <v>3.1634518924905706</v>
      </c>
      <c r="U28" s="67">
        <v>3.143510879475127</v>
      </c>
      <c r="V28" s="67">
        <v>3.0148901262021863</v>
      </c>
      <c r="W28" s="67">
        <v>2.9389759271115108</v>
      </c>
      <c r="X28" s="67">
        <v>2.8872052838044091</v>
      </c>
      <c r="Y28" s="67">
        <v>2.9798598210175791</v>
      </c>
      <c r="Z28" s="67">
        <v>3.0855257117136268</v>
      </c>
      <c r="AA28" s="67">
        <v>2.980626207680126</v>
      </c>
      <c r="AB28" s="67">
        <v>2.7000710637351388</v>
      </c>
      <c r="AC28" s="67">
        <v>2.5702771453243085</v>
      </c>
      <c r="AD28" s="67">
        <v>2.6352054743278215</v>
      </c>
      <c r="AE28" s="67">
        <v>2.7904858961626919</v>
      </c>
      <c r="AF28" s="67">
        <v>2.9089861357211424</v>
      </c>
      <c r="AG28" s="67">
        <v>2.8625889467240455</v>
      </c>
      <c r="AH28" s="67">
        <v>2.7533163654020076</v>
      </c>
      <c r="AI28" s="67">
        <v>2.7346765201545531</v>
      </c>
      <c r="AJ28" s="67">
        <v>2.8239453289540797</v>
      </c>
      <c r="AK28" s="67">
        <v>2.802732842245558</v>
      </c>
      <c r="AL28" s="67">
        <v>2.7575458615953741</v>
      </c>
      <c r="AM28" s="67">
        <v>2.7664970479304767</v>
      </c>
      <c r="AN28" s="67">
        <v>2.8079924460789152</v>
      </c>
    </row>
    <row r="29" spans="1:40" s="19" customFormat="1" ht="17.100000000000001" customHeight="1" x14ac:dyDescent="0.2">
      <c r="A29" s="38" t="s">
        <v>24</v>
      </c>
      <c r="B29" s="33">
        <v>4.5589928053519406</v>
      </c>
      <c r="C29" s="33">
        <v>4.3985465036458358</v>
      </c>
      <c r="D29" s="33">
        <v>4.3023598910860343</v>
      </c>
      <c r="E29" s="33">
        <v>4.3302313035171025</v>
      </c>
      <c r="F29" s="33">
        <v>4.4463051987741666</v>
      </c>
      <c r="G29" s="33">
        <v>4.5248118273485858</v>
      </c>
      <c r="H29" s="33">
        <v>4.3776923348395584</v>
      </c>
      <c r="I29" s="33">
        <v>4.3568480608714895</v>
      </c>
      <c r="J29" s="67">
        <v>4.4653896861375619</v>
      </c>
      <c r="K29" s="67">
        <v>4.5149928873126557</v>
      </c>
      <c r="L29" s="67">
        <v>4.3572302349467984</v>
      </c>
      <c r="M29" s="67">
        <v>4.119039439766305</v>
      </c>
      <c r="N29" s="67">
        <v>4.0362179607453701</v>
      </c>
      <c r="O29" s="67">
        <v>4.1263631927773066</v>
      </c>
      <c r="P29" s="67">
        <v>4.1211093421392251</v>
      </c>
      <c r="Q29" s="67">
        <v>3.8767537515823918</v>
      </c>
      <c r="R29" s="67">
        <v>3.6967544718755558</v>
      </c>
      <c r="S29" s="67">
        <v>3.7648145437591602</v>
      </c>
      <c r="T29" s="67">
        <v>3.9145050618729678</v>
      </c>
      <c r="U29" s="67">
        <v>3.8967406166356353</v>
      </c>
      <c r="V29" s="67">
        <v>3.7218572754831301</v>
      </c>
      <c r="W29" s="67">
        <v>3.6434762928026951</v>
      </c>
      <c r="X29" s="67">
        <v>3.7683554034735987</v>
      </c>
      <c r="Y29" s="67">
        <v>3.8327891196972166</v>
      </c>
      <c r="Z29" s="67">
        <v>3.7215716238224319</v>
      </c>
      <c r="AA29" s="67">
        <v>3.5877514607386392</v>
      </c>
      <c r="AB29" s="67">
        <v>3.6029700690521445</v>
      </c>
      <c r="AC29" s="67">
        <v>3.7584236632965506</v>
      </c>
      <c r="AD29" s="67">
        <v>3.9112986831004717</v>
      </c>
      <c r="AE29" s="67">
        <v>3.5434493395070819</v>
      </c>
      <c r="AF29" s="67">
        <v>3.6195956218879721</v>
      </c>
      <c r="AG29" s="67">
        <v>3.6174799728214113</v>
      </c>
      <c r="AH29" s="67">
        <v>3.5332899144532464</v>
      </c>
      <c r="AI29" s="67">
        <v>3.4948784845077836</v>
      </c>
      <c r="AJ29" s="67">
        <v>3.5813140971851114</v>
      </c>
      <c r="AK29" s="67">
        <v>3.8017025366239734</v>
      </c>
      <c r="AL29" s="67">
        <v>3.9413982023252929</v>
      </c>
      <c r="AM29" s="67">
        <v>3.7861502185485967</v>
      </c>
      <c r="AN29" s="67">
        <v>3.5042029976244531</v>
      </c>
    </row>
    <row r="30" spans="1:40" s="19" customFormat="1" ht="17.100000000000001" customHeight="1" x14ac:dyDescent="0.2">
      <c r="A30" s="38" t="s">
        <v>71</v>
      </c>
      <c r="B30" s="33">
        <v>3.0749541223859258</v>
      </c>
      <c r="C30" s="33">
        <v>2.9785886150318497</v>
      </c>
      <c r="D30" s="33">
        <v>3.0006237753071519</v>
      </c>
      <c r="E30" s="33">
        <v>3.1588901502830198</v>
      </c>
      <c r="F30" s="33">
        <v>3.3361657289690476</v>
      </c>
      <c r="G30" s="33">
        <v>3.4334688266888818</v>
      </c>
      <c r="H30" s="33">
        <v>3.3064682056252375</v>
      </c>
      <c r="I30" s="33">
        <v>3.2926530292159577</v>
      </c>
      <c r="J30" s="67">
        <v>3.3070789780360115</v>
      </c>
      <c r="K30" s="67">
        <v>3.2666917171224505</v>
      </c>
      <c r="L30" s="67">
        <v>3.200039518144806</v>
      </c>
      <c r="M30" s="67">
        <v>3.2244560034756939</v>
      </c>
      <c r="N30" s="67">
        <v>3.1900285425544115</v>
      </c>
      <c r="O30" s="67">
        <v>3.1534698360635471</v>
      </c>
      <c r="P30" s="67">
        <v>3.2048992502650884</v>
      </c>
      <c r="Q30" s="67">
        <v>3.3269564012238435</v>
      </c>
      <c r="R30" s="67">
        <v>3.387928742726714</v>
      </c>
      <c r="S30" s="67">
        <v>3.3561694161006552</v>
      </c>
      <c r="T30" s="67">
        <v>3.3485655495792321</v>
      </c>
      <c r="U30" s="67">
        <v>3.4148953749329531</v>
      </c>
      <c r="V30" s="67">
        <v>3.5560333108702618</v>
      </c>
      <c r="W30" s="67">
        <v>3.6231191753566594</v>
      </c>
      <c r="X30" s="67">
        <v>3.5243670728180243</v>
      </c>
      <c r="Y30" s="67">
        <v>3.4264521165193775</v>
      </c>
      <c r="Z30" s="67">
        <v>3.4618255564501181</v>
      </c>
      <c r="AA30" s="67">
        <v>3.4702032481837</v>
      </c>
      <c r="AB30" s="67">
        <v>3.3291018389996396</v>
      </c>
      <c r="AC30" s="67">
        <v>3.1357728822799178</v>
      </c>
      <c r="AD30" s="67">
        <v>3.0313112169859648</v>
      </c>
      <c r="AE30" s="67">
        <v>3.0861499479724976</v>
      </c>
      <c r="AF30" s="67">
        <v>3.1756432665264853</v>
      </c>
      <c r="AG30" s="67">
        <v>3.1892191151530977</v>
      </c>
      <c r="AH30" s="67">
        <v>3.1068031962802158</v>
      </c>
      <c r="AI30" s="67">
        <v>3.0080481368197467</v>
      </c>
      <c r="AJ30" s="67">
        <v>2.9705356956056432</v>
      </c>
      <c r="AK30" s="67">
        <v>2.9384996026665675</v>
      </c>
      <c r="AL30" s="67">
        <v>2.9229875118499069</v>
      </c>
      <c r="AM30" s="67">
        <v>2.9356859839687788</v>
      </c>
      <c r="AN30" s="67">
        <v>2.9528912912909728</v>
      </c>
    </row>
    <row r="31" spans="1:40" s="19" customFormat="1" ht="17.100000000000001" customHeight="1" x14ac:dyDescent="0.2">
      <c r="A31" s="38" t="s">
        <v>72</v>
      </c>
      <c r="B31" s="33">
        <v>9.5244897862013858E-2</v>
      </c>
      <c r="C31" s="33">
        <v>9.8479958750754867E-2</v>
      </c>
      <c r="D31" s="33">
        <v>0.11525833314616775</v>
      </c>
      <c r="E31" s="33">
        <v>0.14136469791648315</v>
      </c>
      <c r="F31" s="33">
        <v>0.16651507954202199</v>
      </c>
      <c r="G31" s="33">
        <v>0.18475864182006846</v>
      </c>
      <c r="H31" s="33">
        <v>0.19090195929681333</v>
      </c>
      <c r="I31" s="33">
        <v>0.1951398115351162</v>
      </c>
      <c r="J31" s="67">
        <v>0.19237127672858334</v>
      </c>
      <c r="K31" s="67">
        <v>0.18861797435063143</v>
      </c>
      <c r="L31" s="67">
        <v>0.1867568045222387</v>
      </c>
      <c r="M31" s="67">
        <v>0.18759960081497273</v>
      </c>
      <c r="N31" s="67">
        <v>0.1882508721857129</v>
      </c>
      <c r="O31" s="67">
        <v>0.19146727273596623</v>
      </c>
      <c r="P31" s="67">
        <v>0.17693532026667208</v>
      </c>
      <c r="Q31" s="67">
        <v>0.14853060316102892</v>
      </c>
      <c r="R31" s="67">
        <v>0.14006130863864272</v>
      </c>
      <c r="S31" s="67">
        <v>0.14891401887781297</v>
      </c>
      <c r="T31" s="67">
        <v>0.15874604808135184</v>
      </c>
      <c r="U31" s="67">
        <v>0.17040515305510481</v>
      </c>
      <c r="V31" s="67">
        <v>0.1727593776640044</v>
      </c>
      <c r="W31" s="67">
        <v>0.14629785035061324</v>
      </c>
      <c r="X31" s="67">
        <v>0.12505792478605521</v>
      </c>
      <c r="Y31" s="67">
        <v>0.11590035879582333</v>
      </c>
      <c r="Z31" s="67">
        <v>0.12559862577540681</v>
      </c>
      <c r="AA31" s="67">
        <v>0.14032420005600593</v>
      </c>
      <c r="AB31" s="67">
        <v>0.15868806533047219</v>
      </c>
      <c r="AC31" s="67">
        <v>0.16595661762779404</v>
      </c>
      <c r="AD31" s="67">
        <v>0.15733064273141156</v>
      </c>
      <c r="AE31" s="67">
        <v>0.14996605607320698</v>
      </c>
      <c r="AF31" s="67">
        <v>0.154615684053616</v>
      </c>
      <c r="AG31" s="67">
        <v>0.16303439406904294</v>
      </c>
      <c r="AH31" s="67">
        <v>0.16193274771871646</v>
      </c>
      <c r="AI31" s="67">
        <v>0.1634835012876644</v>
      </c>
      <c r="AJ31" s="67">
        <v>0.1547246047433401</v>
      </c>
      <c r="AK31" s="67">
        <v>0.14767707887302217</v>
      </c>
      <c r="AL31" s="67">
        <v>0.14351833701336655</v>
      </c>
      <c r="AM31" s="67">
        <v>0.14568424015778544</v>
      </c>
      <c r="AN31" s="67">
        <v>0.14489245133658912</v>
      </c>
    </row>
    <row r="32" spans="1:40" s="19" customFormat="1" ht="17.100000000000001" customHeight="1" x14ac:dyDescent="0.2">
      <c r="A32" s="38" t="s">
        <v>27</v>
      </c>
      <c r="B32" s="33">
        <v>2.8774714717996166</v>
      </c>
      <c r="C32" s="33">
        <v>2.8011806981696488</v>
      </c>
      <c r="D32" s="33">
        <v>2.7115780989698113</v>
      </c>
      <c r="E32" s="33">
        <v>2.6309879794236544</v>
      </c>
      <c r="F32" s="33">
        <v>2.5919192349397178</v>
      </c>
      <c r="G32" s="33">
        <v>2.5525168848245312</v>
      </c>
      <c r="H32" s="33">
        <v>2.4006939829412155</v>
      </c>
      <c r="I32" s="33">
        <v>2.3386449164534131</v>
      </c>
      <c r="J32" s="67">
        <v>2.3355606366223465</v>
      </c>
      <c r="K32" s="67">
        <v>2.3266047372249195</v>
      </c>
      <c r="L32" s="67">
        <v>2.346592174968372</v>
      </c>
      <c r="M32" s="67">
        <v>2.3898368822189155</v>
      </c>
      <c r="N32" s="67">
        <v>2.3997654407314606</v>
      </c>
      <c r="O32" s="67">
        <v>2.4013611521106113</v>
      </c>
      <c r="P32" s="67">
        <v>2.4350939215221694</v>
      </c>
      <c r="Q32" s="67">
        <v>2.4685590168241465</v>
      </c>
      <c r="R32" s="67">
        <v>2.4842265126999563</v>
      </c>
      <c r="S32" s="67">
        <v>2.5012825043615368</v>
      </c>
      <c r="T32" s="67">
        <v>2.506050554639037</v>
      </c>
      <c r="U32" s="67">
        <v>2.4635120417034773</v>
      </c>
      <c r="V32" s="67">
        <v>2.344799025961422</v>
      </c>
      <c r="W32" s="67">
        <v>2.2336674508804357</v>
      </c>
      <c r="X32" s="67">
        <v>2.1897165294867649</v>
      </c>
      <c r="Y32" s="67">
        <v>2.1392747916405499</v>
      </c>
      <c r="Z32" s="67">
        <v>2.0611274903611858</v>
      </c>
      <c r="AA32" s="67">
        <v>2.0050328695934678</v>
      </c>
      <c r="AB32" s="67">
        <v>1.9439073332941184</v>
      </c>
      <c r="AC32" s="67">
        <v>1.9308110094939033</v>
      </c>
      <c r="AD32" s="67">
        <v>1.994861492124598</v>
      </c>
      <c r="AE32" s="67">
        <v>2.0737292559181348</v>
      </c>
      <c r="AF32" s="67">
        <v>2.0807469193215229</v>
      </c>
      <c r="AG32" s="67">
        <v>2.0908300186114137</v>
      </c>
      <c r="AH32" s="67">
        <v>2.1030105591985047</v>
      </c>
      <c r="AI32" s="67">
        <v>2.0801536472768944</v>
      </c>
      <c r="AJ32" s="67">
        <v>2.0603611665682311</v>
      </c>
      <c r="AK32" s="67">
        <v>2.0276703370487947</v>
      </c>
      <c r="AL32" s="67">
        <v>1.9466284556223985</v>
      </c>
      <c r="AM32" s="67">
        <v>1.8689851227280414</v>
      </c>
      <c r="AN32" s="67">
        <v>1.8370456138175735</v>
      </c>
    </row>
    <row r="33" spans="1:40" s="19" customFormat="1" ht="17.100000000000001" customHeight="1" x14ac:dyDescent="0.2">
      <c r="A33" s="38" t="s">
        <v>69</v>
      </c>
      <c r="B33" s="33">
        <v>0.8366040136343299</v>
      </c>
      <c r="C33" s="33">
        <v>0.82084671152313238</v>
      </c>
      <c r="D33" s="33">
        <v>0.81165433397830844</v>
      </c>
      <c r="E33" s="33">
        <v>0.81067155636718358</v>
      </c>
      <c r="F33" s="33">
        <v>0.81548390178294627</v>
      </c>
      <c r="G33" s="33">
        <v>0.81517188464102197</v>
      </c>
      <c r="H33" s="33">
        <v>0.78241259250130635</v>
      </c>
      <c r="I33" s="33">
        <v>0.76823893018637168</v>
      </c>
      <c r="J33" s="67">
        <v>0.76520104591047355</v>
      </c>
      <c r="K33" s="67">
        <v>0.76253211681291178</v>
      </c>
      <c r="L33" s="67">
        <v>0.75432087562035377</v>
      </c>
      <c r="M33" s="67">
        <v>0.74256527183545096</v>
      </c>
      <c r="N33" s="67">
        <v>0.72763407012976533</v>
      </c>
      <c r="O33" s="67">
        <v>0.72457813299200602</v>
      </c>
      <c r="P33" s="67">
        <v>0.74202633688651509</v>
      </c>
      <c r="Q33" s="67">
        <v>0.75841677482179404</v>
      </c>
      <c r="R33" s="67">
        <v>0.75799300206100795</v>
      </c>
      <c r="S33" s="67">
        <v>0.7509157995584137</v>
      </c>
      <c r="T33" s="67">
        <v>0.7461322582155665</v>
      </c>
      <c r="U33" s="67">
        <v>0.74680320759503049</v>
      </c>
      <c r="V33" s="67">
        <v>0.74078759046564657</v>
      </c>
      <c r="W33" s="67">
        <v>0.72238540935660178</v>
      </c>
      <c r="X33" s="67">
        <v>0.70858200509642666</v>
      </c>
      <c r="Y33" s="67">
        <v>0.71330857323265695</v>
      </c>
      <c r="Z33" s="67">
        <v>0.72530580565462655</v>
      </c>
      <c r="AA33" s="67">
        <v>0.73062639314220978</v>
      </c>
      <c r="AB33" s="67">
        <v>0.71607607927255323</v>
      </c>
      <c r="AC33" s="67">
        <v>0.69741241268086984</v>
      </c>
      <c r="AD33" s="67">
        <v>0.68819625298606468</v>
      </c>
      <c r="AE33" s="67">
        <v>0.69495277113049869</v>
      </c>
      <c r="AF33" s="67">
        <v>0.68987143704686538</v>
      </c>
      <c r="AG33" s="67">
        <v>0.6767647311001258</v>
      </c>
      <c r="AH33" s="67">
        <v>0.66427962557433362</v>
      </c>
      <c r="AI33" s="67">
        <v>0.65565105082903508</v>
      </c>
      <c r="AJ33" s="67">
        <v>0.65450682636982382</v>
      </c>
      <c r="AK33" s="67">
        <v>0.65139347498296563</v>
      </c>
      <c r="AL33" s="67">
        <v>0.64101134202618815</v>
      </c>
      <c r="AM33" s="67">
        <v>0.62841847008005514</v>
      </c>
      <c r="AN33" s="67">
        <v>0.62144005611772546</v>
      </c>
    </row>
    <row r="34" spans="1:40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</row>
    <row r="35" spans="1:40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</row>
    <row r="36" spans="1:40" s="27" customFormat="1" ht="17.100000000000001" customHeight="1" thickBot="1" x14ac:dyDescent="0.25">
      <c r="A36" s="25" t="s">
        <v>30</v>
      </c>
      <c r="B36" s="34">
        <v>6.9448582828565977</v>
      </c>
      <c r="C36" s="34">
        <v>6.9065837017520737</v>
      </c>
      <c r="D36" s="34">
        <v>7.0107536069249745</v>
      </c>
      <c r="E36" s="34">
        <v>7.1068143141982887</v>
      </c>
      <c r="F36" s="34">
        <v>7.1149697437296293</v>
      </c>
      <c r="G36" s="34">
        <v>7.2441524764425944</v>
      </c>
      <c r="H36" s="34">
        <v>7.2075974725655065</v>
      </c>
      <c r="I36" s="34">
        <v>7.3086653766442282</v>
      </c>
      <c r="J36" s="68">
        <v>7.5121151677739677</v>
      </c>
      <c r="K36" s="68">
        <v>7.58624805945706</v>
      </c>
      <c r="L36" s="68">
        <v>7.3711458129728777</v>
      </c>
      <c r="M36" s="68">
        <v>7.1943211392298227</v>
      </c>
      <c r="N36" s="68">
        <v>7.1773702118479887</v>
      </c>
      <c r="O36" s="68">
        <v>7.2182046616758297</v>
      </c>
      <c r="P36" s="68">
        <v>7.2864687846706326</v>
      </c>
      <c r="Q36" s="68">
        <v>7.30707614902997</v>
      </c>
      <c r="R36" s="68">
        <v>7.2651392926275689</v>
      </c>
      <c r="S36" s="68">
        <v>7.1682324076916908</v>
      </c>
      <c r="T36" s="68">
        <v>7.123521415879015</v>
      </c>
      <c r="U36" s="68">
        <v>7.1706251003581603</v>
      </c>
      <c r="V36" s="68">
        <v>7.4593268061082822</v>
      </c>
      <c r="W36" s="68">
        <v>7.7364895529707658</v>
      </c>
      <c r="X36" s="68">
        <v>7.652590658950043</v>
      </c>
      <c r="Y36" s="68">
        <v>7.4386851170543054</v>
      </c>
      <c r="Z36" s="68">
        <v>7.3847048966496258</v>
      </c>
      <c r="AA36" s="68">
        <v>7.4891185993912357</v>
      </c>
      <c r="AB36" s="68">
        <v>7.7601167084612737</v>
      </c>
      <c r="AC36" s="68">
        <v>7.9050874203699699</v>
      </c>
      <c r="AD36" s="68">
        <v>7.589152527008407</v>
      </c>
      <c r="AE36" s="68">
        <v>7.3947499353070016</v>
      </c>
      <c r="AF36" s="68">
        <v>7.3370570546199154</v>
      </c>
      <c r="AG36" s="68">
        <v>7.4112686154982343</v>
      </c>
      <c r="AH36" s="68">
        <v>7.5444766987766716</v>
      </c>
      <c r="AI36" s="68">
        <v>7.475145219153509</v>
      </c>
      <c r="AJ36" s="68">
        <v>7.3375365301227973</v>
      </c>
      <c r="AK36" s="68">
        <v>7.2555646997267758</v>
      </c>
      <c r="AL36" s="68">
        <v>7.2022460177676013</v>
      </c>
      <c r="AM36" s="68">
        <v>7.3911240603892177</v>
      </c>
      <c r="AN36" s="68">
        <v>7.7962687900652607</v>
      </c>
    </row>
    <row r="37" spans="1:40" x14ac:dyDescent="0.2">
      <c r="A37" s="14" t="s">
        <v>63</v>
      </c>
    </row>
  </sheetData>
  <mergeCells count="9">
    <mergeCell ref="AH3:AK3"/>
    <mergeCell ref="AD3:AG3"/>
    <mergeCell ref="Z3:AC3"/>
    <mergeCell ref="V3:Y3"/>
    <mergeCell ref="R3:U3"/>
    <mergeCell ref="B3:E3"/>
    <mergeCell ref="F3:I3"/>
    <mergeCell ref="J3:M3"/>
    <mergeCell ref="N3:Q3"/>
  </mergeCells>
  <phoneticPr fontId="17" type="noConversion"/>
  <pageMargins left="0.31496062992125984" right="0.31496062992125984" top="0.47244094488188981" bottom="0.74803149606299213" header="0.31496062992125984" footer="0.31496062992125984"/>
  <pageSetup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AO167"/>
  <sheetViews>
    <sheetView view="pageBreakPreview" zoomScale="96" zoomScaleNormal="100" zoomScaleSheetLayoutView="96" workbookViewId="0">
      <pane xSplit="2" ySplit="3" topLeftCell="C4" activePane="bottomRight" state="frozen"/>
      <selection activeCell="N36" sqref="N36"/>
      <selection pane="topRight" activeCell="N36" sqref="N36"/>
      <selection pane="bottomLeft" activeCell="N36" sqref="N36"/>
      <selection pane="bottomRight" activeCell="C1" sqref="C1:AK1048576"/>
    </sheetView>
  </sheetViews>
  <sheetFormatPr defaultColWidth="9.140625" defaultRowHeight="17.100000000000001" customHeight="1" x14ac:dyDescent="0.2"/>
  <cols>
    <col min="1" max="1" width="6.28515625" style="82" customWidth="1"/>
    <col min="2" max="2" width="41.28515625" style="82" customWidth="1"/>
    <col min="3" max="13" width="9.7109375" style="82" customWidth="1"/>
    <col min="14" max="14" width="10.42578125" style="82" customWidth="1"/>
    <col min="15" max="15" width="9.85546875" style="82" bestFit="1" customWidth="1"/>
    <col min="16" max="16" width="8.42578125" style="82" customWidth="1"/>
    <col min="17" max="17" width="10.28515625" style="82" bestFit="1" customWidth="1"/>
    <col min="18" max="18" width="9.85546875" style="82" bestFit="1" customWidth="1"/>
    <col min="19" max="19" width="10.28515625" style="82" bestFit="1" customWidth="1"/>
    <col min="20" max="20" width="9.85546875" style="82" bestFit="1" customWidth="1"/>
    <col min="21" max="21" width="10.5703125" style="82" bestFit="1" customWidth="1"/>
    <col min="22" max="22" width="10.28515625" style="82" bestFit="1" customWidth="1"/>
    <col min="23" max="25" width="9.85546875" style="82" bestFit="1" customWidth="1"/>
    <col min="26" max="26" width="9.28515625" style="82" bestFit="1" customWidth="1"/>
    <col min="27" max="27" width="11.7109375" style="82" bestFit="1" customWidth="1"/>
    <col min="28" max="28" width="10.7109375" style="82" bestFit="1" customWidth="1"/>
    <col min="29" max="29" width="9.85546875" style="82" bestFit="1" customWidth="1"/>
    <col min="30" max="30" width="11.28515625" style="82" bestFit="1" customWidth="1"/>
    <col min="31" max="31" width="10.7109375" style="82" customWidth="1"/>
    <col min="32" max="36" width="9.140625" style="82"/>
    <col min="37" max="37" width="9.85546875" style="82" bestFit="1" customWidth="1"/>
    <col min="38" max="16384" width="9.140625" style="82"/>
  </cols>
  <sheetData>
    <row r="1" spans="1:41" ht="17.100000000000001" customHeight="1" x14ac:dyDescent="0.2">
      <c r="A1" s="82" t="s">
        <v>98</v>
      </c>
      <c r="B1" s="83"/>
      <c r="C1" s="85">
        <v>2016</v>
      </c>
      <c r="D1" s="85">
        <v>2016</v>
      </c>
      <c r="E1" s="85">
        <v>2017</v>
      </c>
      <c r="F1" s="85">
        <v>2017</v>
      </c>
      <c r="G1" s="85">
        <v>2017</v>
      </c>
      <c r="H1" s="85">
        <v>2017</v>
      </c>
      <c r="I1" s="85">
        <v>2018</v>
      </c>
      <c r="J1" s="85">
        <v>2018</v>
      </c>
      <c r="K1" s="85">
        <v>2018</v>
      </c>
      <c r="L1" s="85">
        <v>2018</v>
      </c>
      <c r="M1" s="85">
        <v>2019</v>
      </c>
      <c r="N1" s="85">
        <v>2019</v>
      </c>
      <c r="O1" s="85">
        <v>2019</v>
      </c>
      <c r="P1" s="85">
        <v>2019</v>
      </c>
      <c r="Q1" s="85">
        <v>2020</v>
      </c>
      <c r="R1" s="85">
        <v>2020</v>
      </c>
      <c r="S1" s="85">
        <v>2020</v>
      </c>
      <c r="T1" s="85">
        <v>2020</v>
      </c>
      <c r="U1" s="85">
        <v>2021</v>
      </c>
      <c r="V1" s="85">
        <v>2021</v>
      </c>
      <c r="W1" s="85">
        <v>2021</v>
      </c>
      <c r="X1" s="85">
        <v>2021</v>
      </c>
      <c r="Y1" s="85">
        <v>2022</v>
      </c>
      <c r="Z1" s="85">
        <v>2022</v>
      </c>
      <c r="AA1" s="85">
        <v>2022</v>
      </c>
      <c r="AB1" s="85">
        <v>2022</v>
      </c>
      <c r="AC1" s="85">
        <v>2023</v>
      </c>
      <c r="AD1" s="85">
        <v>2023</v>
      </c>
      <c r="AE1" s="85">
        <v>2023</v>
      </c>
      <c r="AF1" s="85">
        <v>2023</v>
      </c>
      <c r="AG1" s="85">
        <v>2024</v>
      </c>
      <c r="AH1" s="85">
        <v>2024</v>
      </c>
      <c r="AI1" s="85">
        <v>2024</v>
      </c>
      <c r="AJ1" s="85">
        <v>2024</v>
      </c>
      <c r="AK1" s="85">
        <v>2025</v>
      </c>
      <c r="AL1" s="85">
        <v>2025</v>
      </c>
      <c r="AM1" s="85">
        <v>2025</v>
      </c>
      <c r="AN1" s="85">
        <v>2026</v>
      </c>
      <c r="AO1" s="85">
        <v>2026</v>
      </c>
    </row>
    <row r="2" spans="1:41" s="88" customFormat="1" ht="17.100000000000001" customHeight="1" x14ac:dyDescent="0.2">
      <c r="A2" s="86"/>
      <c r="B2" s="87" t="s">
        <v>99</v>
      </c>
      <c r="C2" s="145" t="s">
        <v>75</v>
      </c>
      <c r="D2" s="145"/>
      <c r="E2" s="145"/>
      <c r="F2" s="145"/>
      <c r="G2" s="145" t="s">
        <v>79</v>
      </c>
      <c r="H2" s="145"/>
      <c r="I2" s="145"/>
      <c r="J2" s="145"/>
      <c r="K2" s="145" t="s">
        <v>85</v>
      </c>
      <c r="L2" s="145"/>
      <c r="M2" s="145"/>
      <c r="N2" s="145"/>
      <c r="O2" s="145" t="s">
        <v>86</v>
      </c>
      <c r="P2" s="145"/>
      <c r="Q2" s="145"/>
      <c r="R2" s="145"/>
      <c r="S2" s="145" t="s">
        <v>89</v>
      </c>
      <c r="T2" s="145"/>
      <c r="U2" s="145"/>
      <c r="V2" s="145"/>
      <c r="W2" s="145" t="s">
        <v>90</v>
      </c>
      <c r="X2" s="145"/>
      <c r="Y2" s="145"/>
      <c r="Z2" s="145"/>
      <c r="AA2" s="145" t="s">
        <v>96</v>
      </c>
      <c r="AB2" s="145"/>
      <c r="AC2" s="145"/>
      <c r="AD2" s="145"/>
      <c r="AE2" s="145" t="s">
        <v>97</v>
      </c>
      <c r="AF2" s="145"/>
      <c r="AG2" s="145"/>
      <c r="AH2" s="145"/>
      <c r="AI2" s="145" t="s">
        <v>123</v>
      </c>
      <c r="AJ2" s="145"/>
      <c r="AK2" s="145"/>
      <c r="AL2" s="145"/>
      <c r="AM2" s="88" t="s">
        <v>125</v>
      </c>
    </row>
    <row r="3" spans="1:41" ht="17.100000000000001" customHeight="1" x14ac:dyDescent="0.2">
      <c r="A3" s="89"/>
      <c r="B3" s="90" t="s">
        <v>100</v>
      </c>
      <c r="C3" s="91" t="s">
        <v>57</v>
      </c>
      <c r="D3" s="91" t="s">
        <v>58</v>
      </c>
      <c r="E3" s="91" t="s">
        <v>59</v>
      </c>
      <c r="F3" s="91" t="s">
        <v>60</v>
      </c>
      <c r="G3" s="91" t="s">
        <v>57</v>
      </c>
      <c r="H3" s="91" t="s">
        <v>58</v>
      </c>
      <c r="I3" s="91" t="s">
        <v>59</v>
      </c>
      <c r="J3" s="91" t="s">
        <v>60</v>
      </c>
      <c r="K3" s="91" t="s">
        <v>57</v>
      </c>
      <c r="L3" s="91" t="s">
        <v>58</v>
      </c>
      <c r="M3" s="91" t="s">
        <v>59</v>
      </c>
      <c r="N3" s="91" t="s">
        <v>60</v>
      </c>
      <c r="O3" s="91" t="s">
        <v>57</v>
      </c>
      <c r="P3" s="91" t="s">
        <v>58</v>
      </c>
      <c r="Q3" s="91" t="s">
        <v>59</v>
      </c>
      <c r="R3" s="91" t="s">
        <v>60</v>
      </c>
      <c r="S3" s="91" t="s">
        <v>57</v>
      </c>
      <c r="T3" s="91" t="s">
        <v>58</v>
      </c>
      <c r="U3" s="91" t="s">
        <v>59</v>
      </c>
      <c r="V3" s="91" t="s">
        <v>60</v>
      </c>
      <c r="W3" s="91" t="s">
        <v>57</v>
      </c>
      <c r="X3" s="91" t="s">
        <v>58</v>
      </c>
      <c r="Y3" s="91" t="s">
        <v>59</v>
      </c>
      <c r="Z3" s="91" t="s">
        <v>60</v>
      </c>
      <c r="AA3" s="91" t="s">
        <v>57</v>
      </c>
      <c r="AB3" s="91" t="s">
        <v>58</v>
      </c>
      <c r="AC3" s="91" t="s">
        <v>59</v>
      </c>
      <c r="AD3" s="91" t="s">
        <v>60</v>
      </c>
      <c r="AE3" s="91" t="s">
        <v>57</v>
      </c>
      <c r="AF3" s="91" t="s">
        <v>58</v>
      </c>
      <c r="AG3" s="91" t="s">
        <v>59</v>
      </c>
      <c r="AH3" s="91" t="s">
        <v>60</v>
      </c>
      <c r="AI3" s="91" t="s">
        <v>57</v>
      </c>
      <c r="AJ3" s="91" t="s">
        <v>58</v>
      </c>
      <c r="AK3" s="91" t="s">
        <v>59</v>
      </c>
      <c r="AL3" s="91" t="s">
        <v>60</v>
      </c>
      <c r="AM3" s="91" t="s">
        <v>57</v>
      </c>
      <c r="AN3" s="91" t="s">
        <v>58</v>
      </c>
      <c r="AO3" s="91" t="s">
        <v>59</v>
      </c>
    </row>
    <row r="4" spans="1:41" s="94" customFormat="1" ht="17.100000000000001" customHeight="1" x14ac:dyDescent="0.2">
      <c r="A4" s="92"/>
      <c r="B4" s="93" t="s">
        <v>101</v>
      </c>
    </row>
    <row r="5" spans="1:41" s="95" customFormat="1" ht="17.100000000000001" customHeight="1" x14ac:dyDescent="0.2">
      <c r="B5" s="96" t="s">
        <v>102</v>
      </c>
      <c r="C5" s="97">
        <v>19902.808725783278</v>
      </c>
      <c r="D5" s="97">
        <v>21342.568945319865</v>
      </c>
      <c r="E5" s="97">
        <v>21320.575540529426</v>
      </c>
      <c r="F5" s="97">
        <v>23055.596481632685</v>
      </c>
      <c r="G5" s="97">
        <v>23582.326906639035</v>
      </c>
      <c r="H5" s="97">
        <v>23660.207966835194</v>
      </c>
      <c r="I5" s="97">
        <v>24267.188019516179</v>
      </c>
      <c r="J5" s="97">
        <v>25999.327881047677</v>
      </c>
      <c r="K5" s="97">
        <v>25835.619931773006</v>
      </c>
      <c r="L5" s="97">
        <v>26221.055675906784</v>
      </c>
      <c r="M5" s="97">
        <v>25520.83299516992</v>
      </c>
      <c r="N5" s="97">
        <v>28016.963660897687</v>
      </c>
      <c r="O5" s="97">
        <v>29354.945897737161</v>
      </c>
      <c r="P5" s="97">
        <v>30061.640844588863</v>
      </c>
      <c r="Q5" s="97">
        <v>26817.74005853746</v>
      </c>
      <c r="R5" s="97">
        <v>26597.526244038228</v>
      </c>
      <c r="S5" s="97">
        <v>30310.742352020898</v>
      </c>
      <c r="T5" s="97">
        <v>31033.606952789225</v>
      </c>
      <c r="U5" s="97">
        <v>29316.967971923452</v>
      </c>
      <c r="V5" s="97">
        <v>31036.591680818368</v>
      </c>
      <c r="W5" s="97">
        <v>31338.660046674879</v>
      </c>
      <c r="X5" s="97">
        <v>32108.575575365736</v>
      </c>
      <c r="Y5" s="97">
        <v>32252.008289712427</v>
      </c>
      <c r="Z5" s="97">
        <v>35670.937166516851</v>
      </c>
      <c r="AA5" s="97">
        <v>38019.16258169619</v>
      </c>
      <c r="AB5" s="97">
        <v>37592.342507169757</v>
      </c>
      <c r="AC5" s="97">
        <v>34637.717640792391</v>
      </c>
      <c r="AD5" s="97">
        <v>38313.645028843501</v>
      </c>
      <c r="AE5" s="97">
        <v>41025.667820022391</v>
      </c>
      <c r="AF5" s="97">
        <v>36214.717310620123</v>
      </c>
      <c r="AG5" s="97">
        <v>36708.849734420422</v>
      </c>
      <c r="AH5" s="97">
        <v>41057.279508178035</v>
      </c>
      <c r="AI5" s="97">
        <v>46147.852751966195</v>
      </c>
      <c r="AJ5" s="97">
        <v>42263.523727687752</v>
      </c>
      <c r="AK5" s="97">
        <v>43242.379066641137</v>
      </c>
      <c r="AL5" s="97">
        <v>43537.474813421693</v>
      </c>
      <c r="AM5" s="97">
        <v>52546.36822141656</v>
      </c>
      <c r="AN5" s="97">
        <v>50834.025278716101</v>
      </c>
      <c r="AO5" s="97">
        <v>45762.31552329089</v>
      </c>
    </row>
    <row r="6" spans="1:41" s="94" customFormat="1" ht="17.100000000000001" customHeight="1" x14ac:dyDescent="0.2">
      <c r="A6" s="95"/>
      <c r="B6" s="98" t="s">
        <v>103</v>
      </c>
      <c r="C6" s="84">
        <v>1898.6260526211358</v>
      </c>
      <c r="D6" s="84">
        <v>2098.8534282979977</v>
      </c>
      <c r="E6" s="84">
        <v>2093.5553382746616</v>
      </c>
      <c r="F6" s="84">
        <v>2600.6471638626981</v>
      </c>
      <c r="G6" s="84">
        <v>2399.9686100268395</v>
      </c>
      <c r="H6" s="84">
        <v>2655.5437610147474</v>
      </c>
      <c r="I6" s="84">
        <v>2543.5357637040956</v>
      </c>
      <c r="J6" s="84">
        <v>2806.1048750748637</v>
      </c>
      <c r="K6" s="84">
        <v>2555.7587769818524</v>
      </c>
      <c r="L6" s="84">
        <v>2826.6875124388821</v>
      </c>
      <c r="M6" s="84">
        <v>2644.8063722148313</v>
      </c>
      <c r="N6" s="84">
        <v>3563.045614072269</v>
      </c>
      <c r="O6" s="84">
        <v>2874.457111814218</v>
      </c>
      <c r="P6" s="84">
        <v>3530.1734048409571</v>
      </c>
      <c r="Q6" s="84">
        <v>3256.8658553735363</v>
      </c>
      <c r="R6" s="84">
        <v>3624.9076704539734</v>
      </c>
      <c r="S6" s="84">
        <v>3213.2246697283299</v>
      </c>
      <c r="T6" s="84">
        <v>3799.7810781158605</v>
      </c>
      <c r="U6" s="84">
        <v>3771.174190627939</v>
      </c>
      <c r="V6" s="84">
        <v>3945.3948705338476</v>
      </c>
      <c r="W6" s="84">
        <v>3523.6917919908942</v>
      </c>
      <c r="X6" s="84">
        <v>3542.0028229915938</v>
      </c>
      <c r="Y6" s="84">
        <v>4151.1743911791573</v>
      </c>
      <c r="Z6" s="84">
        <v>4711.9025574886336</v>
      </c>
      <c r="AA6" s="84">
        <v>4384.282512434801</v>
      </c>
      <c r="AB6" s="84">
        <v>4355.1036466085188</v>
      </c>
      <c r="AC6" s="84">
        <v>4222.0564838531009</v>
      </c>
      <c r="AD6" s="84">
        <v>4545.0508345971384</v>
      </c>
      <c r="AE6" s="84">
        <v>4264.822773994918</v>
      </c>
      <c r="AF6" s="84">
        <v>4378.444453669701</v>
      </c>
      <c r="AG6" s="84">
        <v>5181.4212727622844</v>
      </c>
      <c r="AH6" s="84">
        <v>6590.2982013481214</v>
      </c>
      <c r="AI6" s="84">
        <v>6130.7321896240646</v>
      </c>
      <c r="AJ6" s="84">
        <v>6050.6376802473997</v>
      </c>
      <c r="AK6" s="84">
        <v>6966.3114396352476</v>
      </c>
      <c r="AL6" s="84">
        <v>7439.2974632486148</v>
      </c>
      <c r="AM6" s="84">
        <v>7297.2239611868936</v>
      </c>
      <c r="AN6" s="84">
        <v>6672.0040690178612</v>
      </c>
      <c r="AO6" s="84">
        <v>7495.2275047047269</v>
      </c>
    </row>
    <row r="7" spans="1:41" s="94" customFormat="1" ht="17.100000000000001" customHeight="1" x14ac:dyDescent="0.2">
      <c r="B7" s="98" t="s">
        <v>104</v>
      </c>
      <c r="C7" s="84">
        <v>1015.6527547434912</v>
      </c>
      <c r="D7" s="84">
        <v>1047.9057959366589</v>
      </c>
      <c r="E7" s="84">
        <v>1084.6269817837565</v>
      </c>
      <c r="F7" s="84">
        <v>1113.9345529237658</v>
      </c>
      <c r="G7" s="84">
        <v>1161.6336613676522</v>
      </c>
      <c r="H7" s="84">
        <v>1219.4802015385928</v>
      </c>
      <c r="I7" s="84">
        <v>1265.5951490754837</v>
      </c>
      <c r="J7" s="84">
        <v>1315.9206612561661</v>
      </c>
      <c r="K7" s="84">
        <v>1379.6737919166078</v>
      </c>
      <c r="L7" s="84">
        <v>1414.822680201311</v>
      </c>
      <c r="M7" s="84">
        <v>1436.3551132609869</v>
      </c>
      <c r="N7" s="84">
        <v>1465.2732915249437</v>
      </c>
      <c r="O7" s="84">
        <v>1517.8338128038376</v>
      </c>
      <c r="P7" s="84">
        <v>1541.163294317786</v>
      </c>
      <c r="Q7" s="84">
        <v>1539.0640371764619</v>
      </c>
      <c r="R7" s="84">
        <v>1515.1318640823092</v>
      </c>
      <c r="S7" s="84">
        <v>1488.3597255286372</v>
      </c>
      <c r="T7" s="84">
        <v>1484.5331977617684</v>
      </c>
      <c r="U7" s="84">
        <v>1552.4944959233933</v>
      </c>
      <c r="V7" s="84">
        <v>1615.7391455929003</v>
      </c>
      <c r="W7" s="84">
        <v>1678.1833874344416</v>
      </c>
      <c r="X7" s="84">
        <v>1743.3570882545168</v>
      </c>
      <c r="Y7" s="84">
        <v>1806.4673521984903</v>
      </c>
      <c r="Z7" s="84">
        <v>1869.9794891531019</v>
      </c>
      <c r="AA7" s="84">
        <v>1974.4732430484783</v>
      </c>
      <c r="AB7" s="84">
        <v>1988.7675918149059</v>
      </c>
      <c r="AC7" s="84">
        <v>2011.0460324868568</v>
      </c>
      <c r="AD7" s="84">
        <v>2030.9279245609475</v>
      </c>
      <c r="AE7" s="84">
        <v>2044.8521443006421</v>
      </c>
      <c r="AF7" s="84">
        <v>2143.0424856966274</v>
      </c>
      <c r="AG7" s="84">
        <v>1994.4365173214346</v>
      </c>
      <c r="AH7" s="84">
        <v>2071.6697785381348</v>
      </c>
      <c r="AI7" s="84">
        <v>2058.2166715698759</v>
      </c>
      <c r="AJ7" s="84">
        <v>2063.8198784313172</v>
      </c>
      <c r="AK7" s="84">
        <v>1747.2752331656395</v>
      </c>
      <c r="AL7" s="84">
        <v>1993.1448926684309</v>
      </c>
      <c r="AM7" s="84">
        <v>2146.7005494959585</v>
      </c>
      <c r="AN7" s="84">
        <v>2072.4765995689563</v>
      </c>
      <c r="AO7" s="84">
        <v>2165.2702223099309</v>
      </c>
    </row>
    <row r="8" spans="1:41" s="94" customFormat="1" ht="17.100000000000001" customHeight="1" x14ac:dyDescent="0.2">
      <c r="B8" s="98" t="s">
        <v>105</v>
      </c>
      <c r="C8" s="84">
        <v>16988.529918418652</v>
      </c>
      <c r="D8" s="84">
        <v>18195.809721085207</v>
      </c>
      <c r="E8" s="84">
        <v>18142.393220471007</v>
      </c>
      <c r="F8" s="84">
        <v>19341.014764846223</v>
      </c>
      <c r="G8" s="84">
        <v>20020.724635244544</v>
      </c>
      <c r="H8" s="84">
        <v>19785.184004281855</v>
      </c>
      <c r="I8" s="84">
        <v>20458.0571067366</v>
      </c>
      <c r="J8" s="84">
        <v>21877.302344716645</v>
      </c>
      <c r="K8" s="84">
        <v>21900.187362874545</v>
      </c>
      <c r="L8" s="84">
        <v>21979.545483266593</v>
      </c>
      <c r="M8" s="84">
        <v>21439.671509694101</v>
      </c>
      <c r="N8" s="84">
        <v>22988.644755300473</v>
      </c>
      <c r="O8" s="84">
        <v>24962.654973119104</v>
      </c>
      <c r="P8" s="84">
        <v>24990.30414543012</v>
      </c>
      <c r="Q8" s="84">
        <v>22021.810165987463</v>
      </c>
      <c r="R8" s="84">
        <v>21457.486709501944</v>
      </c>
      <c r="S8" s="84">
        <v>25609.157956763931</v>
      </c>
      <c r="T8" s="84">
        <v>25749.292676911595</v>
      </c>
      <c r="U8" s="84">
        <v>23993.299285372119</v>
      </c>
      <c r="V8" s="84">
        <v>25475.457664691621</v>
      </c>
      <c r="W8" s="84">
        <v>26136.784867249542</v>
      </c>
      <c r="X8" s="84">
        <v>26823.215664119627</v>
      </c>
      <c r="Y8" s="84">
        <v>26294.366546334779</v>
      </c>
      <c r="Z8" s="84">
        <v>29089.055119875113</v>
      </c>
      <c r="AA8" s="84">
        <v>31660.406826212911</v>
      </c>
      <c r="AB8" s="84">
        <v>31248.471268746332</v>
      </c>
      <c r="AC8" s="84">
        <v>28404.615124452434</v>
      </c>
      <c r="AD8" s="84">
        <v>31737.666269685411</v>
      </c>
      <c r="AE8" s="84">
        <v>34715.99290172683</v>
      </c>
      <c r="AF8" s="84">
        <v>29693.230371253798</v>
      </c>
      <c r="AG8" s="84">
        <v>29532.991944336707</v>
      </c>
      <c r="AH8" s="84">
        <v>32395.311528291779</v>
      </c>
      <c r="AI8" s="84">
        <v>37958.903890772257</v>
      </c>
      <c r="AJ8" s="84">
        <v>34149.066169009035</v>
      </c>
      <c r="AK8" s="84">
        <v>34528.792393840253</v>
      </c>
      <c r="AL8" s="84">
        <v>34105.032457504647</v>
      </c>
      <c r="AM8" s="84">
        <v>43102.443710733707</v>
      </c>
      <c r="AN8" s="84">
        <v>42089.544610129284</v>
      </c>
      <c r="AO8" s="84">
        <v>36101.817796276235</v>
      </c>
    </row>
    <row r="9" spans="1:41" s="95" customFormat="1" ht="17.100000000000001" customHeight="1" x14ac:dyDescent="0.2">
      <c r="B9" s="96" t="s">
        <v>106</v>
      </c>
      <c r="C9" s="97">
        <v>6291.9806731826411</v>
      </c>
      <c r="D9" s="97">
        <v>6768.4858229047513</v>
      </c>
      <c r="E9" s="97">
        <v>6323.838321425028</v>
      </c>
      <c r="F9" s="97">
        <v>6716.9132929419111</v>
      </c>
      <c r="G9" s="97">
        <v>6884.3245271853175</v>
      </c>
      <c r="H9" s="97">
        <v>7234.9304191700412</v>
      </c>
      <c r="I9" s="97">
        <v>7175.1057692874911</v>
      </c>
      <c r="J9" s="97">
        <v>7321.3100741597073</v>
      </c>
      <c r="K9" s="97">
        <v>8083.3126593655725</v>
      </c>
      <c r="L9" s="97">
        <v>8194.333538193494</v>
      </c>
      <c r="M9" s="97">
        <v>8014.1633337985513</v>
      </c>
      <c r="N9" s="97">
        <v>8601.7888488095523</v>
      </c>
      <c r="O9" s="97">
        <v>8373.1993638551212</v>
      </c>
      <c r="P9" s="97">
        <v>8518.9189004883065</v>
      </c>
      <c r="Q9" s="97">
        <v>8734.3043557514393</v>
      </c>
      <c r="R9" s="97">
        <v>7225.4659775945374</v>
      </c>
      <c r="S9" s="97">
        <v>7454.2662514311633</v>
      </c>
      <c r="T9" s="97">
        <v>9054.6248960995872</v>
      </c>
      <c r="U9" s="97">
        <v>9010.1172577079597</v>
      </c>
      <c r="V9" s="97">
        <v>9095.9841063798267</v>
      </c>
      <c r="W9" s="97">
        <v>9459.0818484523315</v>
      </c>
      <c r="X9" s="97">
        <v>9897.3781445370169</v>
      </c>
      <c r="Y9" s="97">
        <v>9255.7397460971843</v>
      </c>
      <c r="Z9" s="97">
        <v>9548.7267609080918</v>
      </c>
      <c r="AA9" s="97">
        <v>9931.0114164860806</v>
      </c>
      <c r="AB9" s="97">
        <v>9954.132866828988</v>
      </c>
      <c r="AC9" s="97">
        <v>9597.9619288354024</v>
      </c>
      <c r="AD9" s="97">
        <v>10932.255869838282</v>
      </c>
      <c r="AE9" s="97">
        <v>11024.35651291919</v>
      </c>
      <c r="AF9" s="97">
        <v>11211.252203742282</v>
      </c>
      <c r="AG9" s="97">
        <v>10975.771032784</v>
      </c>
      <c r="AH9" s="97">
        <v>10879.704245322735</v>
      </c>
      <c r="AI9" s="97">
        <v>11419.429879362464</v>
      </c>
      <c r="AJ9" s="97">
        <v>12658.635995556297</v>
      </c>
      <c r="AK9" s="97">
        <v>12391.678463141856</v>
      </c>
      <c r="AL9" s="97">
        <v>13335.511999637116</v>
      </c>
      <c r="AM9" s="97">
        <v>13327.148445418234</v>
      </c>
      <c r="AN9" s="97">
        <v>14736.234004956628</v>
      </c>
      <c r="AO9" s="97">
        <v>14459.365727339926</v>
      </c>
    </row>
    <row r="10" spans="1:41" s="94" customFormat="1" ht="17.100000000000001" customHeight="1" x14ac:dyDescent="0.2">
      <c r="B10" s="98" t="s">
        <v>107</v>
      </c>
      <c r="C10" s="84">
        <v>82.301822912262821</v>
      </c>
      <c r="D10" s="84">
        <v>79.050913813133036</v>
      </c>
      <c r="E10" s="84">
        <v>80.994847145209363</v>
      </c>
      <c r="F10" s="84">
        <v>87.787034594758524</v>
      </c>
      <c r="G10" s="84">
        <v>91.254895937774123</v>
      </c>
      <c r="H10" s="84">
        <v>97.634213279448673</v>
      </c>
      <c r="I10" s="84">
        <v>101.33750542139927</v>
      </c>
      <c r="J10" s="84">
        <v>106.82366195108639</v>
      </c>
      <c r="K10" s="84">
        <v>112.38760632749305</v>
      </c>
      <c r="L10" s="84">
        <v>112.16033867608448</v>
      </c>
      <c r="M10" s="84">
        <v>112.37580442683416</v>
      </c>
      <c r="N10" s="84">
        <v>111.5121833595513</v>
      </c>
      <c r="O10" s="84">
        <v>112.06469113878359</v>
      </c>
      <c r="P10" s="84">
        <v>113.00757846802536</v>
      </c>
      <c r="Q10" s="84">
        <v>112.45758099304368</v>
      </c>
      <c r="R10" s="84">
        <v>111.94437743906037</v>
      </c>
      <c r="S10" s="84">
        <v>113.6775910106888</v>
      </c>
      <c r="T10" s="84">
        <v>115.41063292026998</v>
      </c>
      <c r="U10" s="84">
        <v>115.50714764058077</v>
      </c>
      <c r="V10" s="84">
        <v>115.28857436411791</v>
      </c>
      <c r="W10" s="84">
        <v>115.78638343900472</v>
      </c>
      <c r="X10" s="84">
        <v>117.93060953863829</v>
      </c>
      <c r="Y10" s="84">
        <v>125.87571906262944</v>
      </c>
      <c r="Z10" s="84">
        <v>136.58063115257065</v>
      </c>
      <c r="AA10" s="84">
        <v>153.7120680563209</v>
      </c>
      <c r="AB10" s="84">
        <v>162.30970580820798</v>
      </c>
      <c r="AC10" s="84">
        <v>163.07648200047359</v>
      </c>
      <c r="AD10" s="84">
        <v>166.04852359701229</v>
      </c>
      <c r="AE10" s="84">
        <v>154.65640643650664</v>
      </c>
      <c r="AF10" s="84">
        <v>162.88414200186486</v>
      </c>
      <c r="AG10" s="84">
        <v>143.62690599207497</v>
      </c>
      <c r="AH10" s="84">
        <v>146.57608607918471</v>
      </c>
      <c r="AI10" s="84">
        <v>158.93788737757188</v>
      </c>
      <c r="AJ10" s="84">
        <v>192.42077139740158</v>
      </c>
      <c r="AK10" s="84">
        <v>154.87642639770311</v>
      </c>
      <c r="AL10" s="84">
        <v>155.83203571921294</v>
      </c>
      <c r="AM10" s="84">
        <v>155.76137071215157</v>
      </c>
      <c r="AN10" s="84">
        <v>166.2828401957936</v>
      </c>
      <c r="AO10" s="84">
        <v>166.34820814359375</v>
      </c>
    </row>
    <row r="11" spans="1:41" s="94" customFormat="1" ht="17.100000000000001" customHeight="1" x14ac:dyDescent="0.2">
      <c r="B11" s="98" t="s">
        <v>108</v>
      </c>
      <c r="C11" s="84">
        <v>1397.5383004367266</v>
      </c>
      <c r="D11" s="84">
        <v>1530.1783532908485</v>
      </c>
      <c r="E11" s="84">
        <v>1479.9311898484978</v>
      </c>
      <c r="F11" s="84">
        <v>1571.9393898862597</v>
      </c>
      <c r="G11" s="84">
        <v>1526.3284125061755</v>
      </c>
      <c r="H11" s="84">
        <v>1555.3923542649952</v>
      </c>
      <c r="I11" s="84">
        <v>1649.4536546286117</v>
      </c>
      <c r="J11" s="84">
        <v>1786.8686972849503</v>
      </c>
      <c r="K11" s="84">
        <v>1823.414414695387</v>
      </c>
      <c r="L11" s="84">
        <v>1848.4177565008736</v>
      </c>
      <c r="M11" s="84">
        <v>1839.72321543678</v>
      </c>
      <c r="N11" s="84">
        <v>1976.4266715758581</v>
      </c>
      <c r="O11" s="84">
        <v>1897.7328764605675</v>
      </c>
      <c r="P11" s="84">
        <v>1990.7758216682187</v>
      </c>
      <c r="Q11" s="84">
        <v>1971.8194119971615</v>
      </c>
      <c r="R11" s="84">
        <v>1840.2237935724759</v>
      </c>
      <c r="S11" s="84">
        <v>1568.1638117621196</v>
      </c>
      <c r="T11" s="84">
        <v>1965.7470838734014</v>
      </c>
      <c r="U11" s="84">
        <v>2051.0418215462414</v>
      </c>
      <c r="V11" s="84">
        <v>2238.7315550169315</v>
      </c>
      <c r="W11" s="84">
        <v>2472.0356441162803</v>
      </c>
      <c r="X11" s="84">
        <v>2358.627837661159</v>
      </c>
      <c r="Y11" s="84">
        <v>2197.2243922303824</v>
      </c>
      <c r="Z11" s="84">
        <v>2327.9203825572285</v>
      </c>
      <c r="AA11" s="84">
        <v>2424.3808887721466</v>
      </c>
      <c r="AB11" s="84">
        <v>2259.6800969103015</v>
      </c>
      <c r="AC11" s="84">
        <v>2299.6793636395764</v>
      </c>
      <c r="AD11" s="84">
        <v>2662.7853692883177</v>
      </c>
      <c r="AE11" s="84">
        <v>2575.3537745086337</v>
      </c>
      <c r="AF11" s="84">
        <v>2651.2751259699289</v>
      </c>
      <c r="AG11" s="84">
        <v>2430.5878750968427</v>
      </c>
      <c r="AH11" s="84">
        <v>2615.0060912541426</v>
      </c>
      <c r="AI11" s="84">
        <v>2775.7283902577369</v>
      </c>
      <c r="AJ11" s="84">
        <v>3158.7840227016291</v>
      </c>
      <c r="AK11" s="84">
        <v>3128.1317949369368</v>
      </c>
      <c r="AL11" s="84">
        <v>3477.1844225128152</v>
      </c>
      <c r="AM11" s="84">
        <v>3313.5732934987145</v>
      </c>
      <c r="AN11" s="84">
        <v>3629.7069778625182</v>
      </c>
      <c r="AO11" s="84">
        <v>3654.3755291710804</v>
      </c>
    </row>
    <row r="12" spans="1:41" s="94" customFormat="1" ht="17.100000000000001" customHeight="1" x14ac:dyDescent="0.2">
      <c r="B12" s="98" t="s">
        <v>109</v>
      </c>
      <c r="C12" s="84">
        <v>2275.2551741419297</v>
      </c>
      <c r="D12" s="84">
        <v>2462.2997221708133</v>
      </c>
      <c r="E12" s="84">
        <v>2306.8822363512168</v>
      </c>
      <c r="F12" s="84">
        <v>2332.8554561180426</v>
      </c>
      <c r="G12" s="84">
        <v>2314.247545959563</v>
      </c>
      <c r="H12" s="84">
        <v>2504.0325125420782</v>
      </c>
      <c r="I12" s="84">
        <v>2516.8262826776422</v>
      </c>
      <c r="J12" s="84">
        <v>2732.4131074044499</v>
      </c>
      <c r="K12" s="84">
        <v>2811.0133439428664</v>
      </c>
      <c r="L12" s="84">
        <v>3064.1473777264941</v>
      </c>
      <c r="M12" s="84">
        <v>2991.909838785351</v>
      </c>
      <c r="N12" s="84">
        <v>3136.5402457149785</v>
      </c>
      <c r="O12" s="84">
        <v>2929.0182265691383</v>
      </c>
      <c r="P12" s="84">
        <v>3087.9811235883722</v>
      </c>
      <c r="Q12" s="84">
        <v>3181.4944489375061</v>
      </c>
      <c r="R12" s="84">
        <v>2976.5023304869756</v>
      </c>
      <c r="S12" s="84">
        <v>2518.7114012857542</v>
      </c>
      <c r="T12" s="84">
        <v>3299.0858692867473</v>
      </c>
      <c r="U12" s="84">
        <v>3415.9342363944479</v>
      </c>
      <c r="V12" s="84">
        <v>3513.8474374782868</v>
      </c>
      <c r="W12" s="84">
        <v>3407.6466549423212</v>
      </c>
      <c r="X12" s="84">
        <v>3353.138993435839</v>
      </c>
      <c r="Y12" s="84">
        <v>3157.8757977017676</v>
      </c>
      <c r="Z12" s="84">
        <v>3361.573292401702</v>
      </c>
      <c r="AA12" s="84">
        <v>3485.8341222102931</v>
      </c>
      <c r="AB12" s="84">
        <v>3421.2956429148494</v>
      </c>
      <c r="AC12" s="84">
        <v>3506.0560624651953</v>
      </c>
      <c r="AD12" s="84">
        <v>4226.7343293672166</v>
      </c>
      <c r="AE12" s="84">
        <v>4108.1207442167843</v>
      </c>
      <c r="AF12" s="84">
        <v>4289.3299704845731</v>
      </c>
      <c r="AG12" s="84">
        <v>3980.9360613261592</v>
      </c>
      <c r="AH12" s="84">
        <v>4179.3845902898656</v>
      </c>
      <c r="AI12" s="84">
        <v>4223.8311706539498</v>
      </c>
      <c r="AJ12" s="84">
        <v>4594.8789887389667</v>
      </c>
      <c r="AK12" s="84">
        <v>4668.6059841938377</v>
      </c>
      <c r="AL12" s="84">
        <v>5361.010008433881</v>
      </c>
      <c r="AM12" s="84">
        <v>4687.0881598090591</v>
      </c>
      <c r="AN12" s="84">
        <v>5364.6247696273131</v>
      </c>
      <c r="AO12" s="84">
        <v>5421.8734231965118</v>
      </c>
    </row>
    <row r="13" spans="1:41" s="94" customFormat="1" ht="17.100000000000001" customHeight="1" x14ac:dyDescent="0.2">
      <c r="B13" s="98" t="s">
        <v>110</v>
      </c>
      <c r="C13" s="84">
        <v>471.71282815441117</v>
      </c>
      <c r="D13" s="84">
        <v>547.20602600445545</v>
      </c>
      <c r="E13" s="84">
        <v>438.81047781709742</v>
      </c>
      <c r="F13" s="84">
        <v>422.66160096633814</v>
      </c>
      <c r="G13" s="84">
        <v>609.72159379483082</v>
      </c>
      <c r="H13" s="84">
        <v>619.00716270611633</v>
      </c>
      <c r="I13" s="84">
        <v>562.47876203274757</v>
      </c>
      <c r="J13" s="84">
        <v>621.29157130718863</v>
      </c>
      <c r="K13" s="84">
        <v>653.57418111983679</v>
      </c>
      <c r="L13" s="84">
        <v>672.46143033778583</v>
      </c>
      <c r="M13" s="84">
        <v>633.30838738930197</v>
      </c>
      <c r="N13" s="84">
        <v>732.14249574698977</v>
      </c>
      <c r="O13" s="84">
        <v>727.00084327814011</v>
      </c>
      <c r="P13" s="84">
        <v>641.62984588756922</v>
      </c>
      <c r="Q13" s="84">
        <v>627.77075002657955</v>
      </c>
      <c r="R13" s="84">
        <v>293.2300548721002</v>
      </c>
      <c r="S13" s="84">
        <v>692.54256950932154</v>
      </c>
      <c r="T13" s="84">
        <v>649.24972182093393</v>
      </c>
      <c r="U13" s="84">
        <v>804.38983084764425</v>
      </c>
      <c r="V13" s="84">
        <v>745.35988553249581</v>
      </c>
      <c r="W13" s="84">
        <v>740.35383610963834</v>
      </c>
      <c r="X13" s="84">
        <v>793.46305964293072</v>
      </c>
      <c r="Y13" s="84">
        <v>683.50493560528366</v>
      </c>
      <c r="Z13" s="84">
        <v>770.04498134982555</v>
      </c>
      <c r="AA13" s="84">
        <v>720.88596548626833</v>
      </c>
      <c r="AB13" s="84">
        <v>606.68271708908264</v>
      </c>
      <c r="AC13" s="84">
        <v>693.42418079286779</v>
      </c>
      <c r="AD13" s="84">
        <v>735.13008269893828</v>
      </c>
      <c r="AE13" s="84">
        <v>701.82969126480111</v>
      </c>
      <c r="AF13" s="84">
        <v>681.72396063103054</v>
      </c>
      <c r="AG13" s="84">
        <v>793.73084454815455</v>
      </c>
      <c r="AH13" s="84">
        <v>792.89704179418538</v>
      </c>
      <c r="AI13" s="84">
        <v>835.26212755550466</v>
      </c>
      <c r="AJ13" s="84">
        <v>1197.2967603236532</v>
      </c>
      <c r="AK13" s="84">
        <v>933.26369038702717</v>
      </c>
      <c r="AL13" s="84">
        <v>1130.6507268021719</v>
      </c>
      <c r="AM13" s="84">
        <v>1364.897332688319</v>
      </c>
      <c r="AN13" s="84">
        <v>1264.4585847321023</v>
      </c>
      <c r="AO13" s="84">
        <v>1176.1734827527594</v>
      </c>
    </row>
    <row r="14" spans="1:41" s="94" customFormat="1" ht="17.100000000000001" customHeight="1" x14ac:dyDescent="0.2">
      <c r="B14" s="98" t="s">
        <v>111</v>
      </c>
      <c r="C14" s="84">
        <v>46.47902317313963</v>
      </c>
      <c r="D14" s="84">
        <v>176.27920437184224</v>
      </c>
      <c r="E14" s="84">
        <v>354.81350731529142</v>
      </c>
      <c r="F14" s="84">
        <v>168.46053653749414</v>
      </c>
      <c r="G14" s="84">
        <v>161.24944941299694</v>
      </c>
      <c r="H14" s="84">
        <v>185.65906895814831</v>
      </c>
      <c r="I14" s="84">
        <v>142.00947327801376</v>
      </c>
      <c r="J14" s="84">
        <v>105.88702806673733</v>
      </c>
      <c r="K14" s="84">
        <v>132.67586533664888</v>
      </c>
      <c r="L14" s="84">
        <v>145.74704258185784</v>
      </c>
      <c r="M14" s="84">
        <v>185.91396810697773</v>
      </c>
      <c r="N14" s="84">
        <v>161.00766322098352</v>
      </c>
      <c r="O14" s="84">
        <v>137.50455040133917</v>
      </c>
      <c r="P14" s="84">
        <v>132.25464671723438</v>
      </c>
      <c r="Q14" s="84">
        <v>137.08393457244588</v>
      </c>
      <c r="R14" s="84">
        <v>130.55232549337308</v>
      </c>
      <c r="S14" s="84">
        <v>110.57092418362788</v>
      </c>
      <c r="T14" s="84">
        <v>143.81745499296193</v>
      </c>
      <c r="U14" s="84">
        <v>120.46051128963482</v>
      </c>
      <c r="V14" s="84">
        <v>137.83335078431506</v>
      </c>
      <c r="W14" s="84">
        <v>97.457406732006191</v>
      </c>
      <c r="X14" s="84">
        <v>146.47184178003062</v>
      </c>
      <c r="Y14" s="84">
        <v>128.75217383154805</v>
      </c>
      <c r="Z14" s="84">
        <v>187.46757604694113</v>
      </c>
      <c r="AA14" s="84">
        <v>144.40016984748345</v>
      </c>
      <c r="AB14" s="84">
        <v>143.94696647499498</v>
      </c>
      <c r="AC14" s="84">
        <v>171.39983044664055</v>
      </c>
      <c r="AD14" s="84">
        <v>134.23497139771567</v>
      </c>
      <c r="AE14" s="84">
        <v>116.9285892007247</v>
      </c>
      <c r="AF14" s="84">
        <v>93.481166379929732</v>
      </c>
      <c r="AG14" s="84">
        <v>170.64702095618006</v>
      </c>
      <c r="AH14" s="84">
        <v>148.18799443337358</v>
      </c>
      <c r="AI14" s="84">
        <v>93.104279530710187</v>
      </c>
      <c r="AJ14" s="84">
        <v>179.89112715012172</v>
      </c>
      <c r="AK14" s="84">
        <v>151.5433756039005</v>
      </c>
      <c r="AL14" s="84">
        <v>115.58316380092947</v>
      </c>
      <c r="AM14" s="84">
        <v>153.70546765791326</v>
      </c>
      <c r="AN14" s="84">
        <v>360.26010278218922</v>
      </c>
      <c r="AO14" s="84">
        <v>176.50066387468112</v>
      </c>
    </row>
    <row r="15" spans="1:41" s="94" customFormat="1" ht="17.100000000000001" customHeight="1" x14ac:dyDescent="0.2">
      <c r="B15" s="98" t="s">
        <v>112</v>
      </c>
      <c r="C15" s="84">
        <v>1409.4018421305138</v>
      </c>
      <c r="D15" s="84">
        <v>1413.3245349100234</v>
      </c>
      <c r="E15" s="84">
        <v>1201.8898747506557</v>
      </c>
      <c r="F15" s="84">
        <v>1676.353765454048</v>
      </c>
      <c r="G15" s="84">
        <v>1589.2980721794465</v>
      </c>
      <c r="H15" s="84">
        <v>1675.2461253299505</v>
      </c>
      <c r="I15" s="84">
        <v>1621.1299671693901</v>
      </c>
      <c r="J15" s="84">
        <v>1363.1825568798301</v>
      </c>
      <c r="K15" s="84">
        <v>1930.4933202893731</v>
      </c>
      <c r="L15" s="84">
        <v>1791.0870320889921</v>
      </c>
      <c r="M15" s="84">
        <v>1594.6062124702053</v>
      </c>
      <c r="N15" s="84">
        <v>1852.6592023614651</v>
      </c>
      <c r="O15" s="84">
        <v>1906.5619850165058</v>
      </c>
      <c r="P15" s="84">
        <v>1843.8484960247165</v>
      </c>
      <c r="Q15" s="84">
        <v>2025.306516189632</v>
      </c>
      <c r="R15" s="84">
        <v>1270.3332853801271</v>
      </c>
      <c r="S15" s="84">
        <v>1720.4007608232243</v>
      </c>
      <c r="T15" s="84">
        <v>2115.22067741105</v>
      </c>
      <c r="U15" s="84">
        <v>1794.4947493572847</v>
      </c>
      <c r="V15" s="84">
        <v>1683.5763329291672</v>
      </c>
      <c r="W15" s="84">
        <v>1876.7122243009285</v>
      </c>
      <c r="X15" s="84">
        <v>2292.972751569399</v>
      </c>
      <c r="Y15" s="84">
        <v>2146.9989474713966</v>
      </c>
      <c r="Z15" s="84">
        <v>1948.1703556543098</v>
      </c>
      <c r="AA15" s="84">
        <v>2076.3736603100419</v>
      </c>
      <c r="AB15" s="84">
        <v>2400.1939242024628</v>
      </c>
      <c r="AC15" s="84">
        <v>1685.4495985779556</v>
      </c>
      <c r="AD15" s="84">
        <v>1768.8291953679031</v>
      </c>
      <c r="AE15" s="84">
        <v>2114.2277659935403</v>
      </c>
      <c r="AF15" s="84">
        <v>2078.826514278684</v>
      </c>
      <c r="AG15" s="84">
        <v>2084.5297728103501</v>
      </c>
      <c r="AH15" s="84">
        <v>2003.3340846426115</v>
      </c>
      <c r="AI15" s="84">
        <v>2069.4781211944546</v>
      </c>
      <c r="AJ15" s="84">
        <v>1935.0918105557414</v>
      </c>
      <c r="AK15" s="84">
        <v>1928.4703512262092</v>
      </c>
      <c r="AL15" s="84">
        <v>1916.9697045980593</v>
      </c>
      <c r="AM15" s="84">
        <v>2391.1697784416247</v>
      </c>
      <c r="AN15" s="84">
        <v>2426.5715236972633</v>
      </c>
      <c r="AO15" s="84">
        <v>2313.9687317785356</v>
      </c>
    </row>
    <row r="16" spans="1:41" s="94" customFormat="1" ht="17.100000000000001" customHeight="1" x14ac:dyDescent="0.2">
      <c r="B16" s="99" t="s">
        <v>113</v>
      </c>
      <c r="C16" s="84">
        <v>609.29168223365764</v>
      </c>
      <c r="D16" s="84">
        <v>560.14706834363562</v>
      </c>
      <c r="E16" s="84">
        <v>460.51618819705959</v>
      </c>
      <c r="F16" s="84">
        <v>456.85550938496965</v>
      </c>
      <c r="G16" s="84">
        <v>592.2245573945313</v>
      </c>
      <c r="H16" s="84">
        <v>597.95898208930453</v>
      </c>
      <c r="I16" s="84">
        <v>581.87012407968746</v>
      </c>
      <c r="J16" s="84">
        <v>604.84345126546373</v>
      </c>
      <c r="K16" s="84">
        <v>619.75392765396657</v>
      </c>
      <c r="L16" s="84">
        <v>560.31256028140763</v>
      </c>
      <c r="M16" s="84">
        <v>656.32590718310212</v>
      </c>
      <c r="N16" s="84">
        <v>631.50038682972536</v>
      </c>
      <c r="O16" s="84">
        <v>663.31619099064676</v>
      </c>
      <c r="P16" s="84">
        <v>709.42138813417182</v>
      </c>
      <c r="Q16" s="84">
        <v>678.37171303507034</v>
      </c>
      <c r="R16" s="84">
        <v>602.67981035042499</v>
      </c>
      <c r="S16" s="84">
        <v>730.199192856428</v>
      </c>
      <c r="T16" s="84">
        <v>766.09345579422302</v>
      </c>
      <c r="U16" s="84">
        <v>708.28896063212665</v>
      </c>
      <c r="V16" s="84">
        <v>661.34697027451341</v>
      </c>
      <c r="W16" s="84">
        <v>749.08969881215364</v>
      </c>
      <c r="X16" s="84">
        <v>834.77305090901996</v>
      </c>
      <c r="Y16" s="84">
        <v>815.50778019417771</v>
      </c>
      <c r="Z16" s="84">
        <v>816.96954174551411</v>
      </c>
      <c r="AA16" s="84">
        <v>925.42454180352752</v>
      </c>
      <c r="AB16" s="84">
        <v>960.02381342908927</v>
      </c>
      <c r="AC16" s="84">
        <v>1078.8764109126935</v>
      </c>
      <c r="AD16" s="84">
        <v>1238.493398121178</v>
      </c>
      <c r="AE16" s="84">
        <v>1253.2395412982009</v>
      </c>
      <c r="AF16" s="84">
        <v>1253.7313239962707</v>
      </c>
      <c r="AG16" s="84">
        <v>1371.7125520542379</v>
      </c>
      <c r="AH16" s="84">
        <v>994.31835682937185</v>
      </c>
      <c r="AI16" s="84">
        <v>1263.0879027925341</v>
      </c>
      <c r="AJ16" s="84">
        <v>1400.2725146887831</v>
      </c>
      <c r="AK16" s="84">
        <v>1426.7868403962395</v>
      </c>
      <c r="AL16" s="84">
        <v>1178.2819377700453</v>
      </c>
      <c r="AM16" s="84">
        <v>1260.9530426104502</v>
      </c>
      <c r="AN16" s="84">
        <v>1524.329206059449</v>
      </c>
      <c r="AO16" s="84">
        <v>1550.1256884227628</v>
      </c>
    </row>
    <row r="17" spans="1:41" s="95" customFormat="1" ht="17.100000000000001" customHeight="1" x14ac:dyDescent="0.2">
      <c r="B17" s="96" t="s">
        <v>114</v>
      </c>
      <c r="C17" s="97">
        <v>144.93150319540914</v>
      </c>
      <c r="D17" s="97">
        <v>150.48973299423213</v>
      </c>
      <c r="E17" s="97">
        <v>155.97346787410675</v>
      </c>
      <c r="F17" s="97">
        <v>158.06409986763302</v>
      </c>
      <c r="G17" s="97">
        <v>167.1349976422691</v>
      </c>
      <c r="H17" s="97">
        <v>169.49254882705492</v>
      </c>
      <c r="I17" s="97">
        <v>177.09217343824608</v>
      </c>
      <c r="J17" s="97">
        <v>182.86782878043914</v>
      </c>
      <c r="K17" s="97">
        <v>200.09044097737583</v>
      </c>
      <c r="L17" s="97">
        <v>203.24882915609547</v>
      </c>
      <c r="M17" s="97">
        <v>202.75425854436972</v>
      </c>
      <c r="N17" s="97">
        <v>222.1153396412183</v>
      </c>
      <c r="O17" s="97">
        <v>251.25599205009661</v>
      </c>
      <c r="P17" s="97">
        <v>261.97624724726325</v>
      </c>
      <c r="Q17" s="97">
        <v>253.77955605290646</v>
      </c>
      <c r="R17" s="97">
        <v>208.12970165950244</v>
      </c>
      <c r="S17" s="97">
        <v>8.649238784045906</v>
      </c>
      <c r="T17" s="97">
        <v>81.132765592503176</v>
      </c>
      <c r="U17" s="97">
        <v>298.89018484793712</v>
      </c>
      <c r="V17" s="97">
        <v>718.8878396788848</v>
      </c>
      <c r="W17" s="97">
        <v>299.42136722611201</v>
      </c>
      <c r="X17" s="97">
        <v>305.00320249100059</v>
      </c>
      <c r="Y17" s="97">
        <v>308.29772748282619</v>
      </c>
      <c r="Z17" s="97">
        <v>314.02355870846833</v>
      </c>
      <c r="AA17" s="97">
        <v>673.78660131867719</v>
      </c>
      <c r="AB17" s="97">
        <v>340.76227002108345</v>
      </c>
      <c r="AC17" s="97">
        <v>342.00997486725589</v>
      </c>
      <c r="AD17" s="97">
        <v>-17.615906630121742</v>
      </c>
      <c r="AE17" s="97">
        <v>143.78092282722639</v>
      </c>
      <c r="AF17" s="97">
        <v>347.25882659544754</v>
      </c>
      <c r="AG17" s="97">
        <v>474.39048163881432</v>
      </c>
      <c r="AH17" s="97">
        <v>573.04497163488372</v>
      </c>
      <c r="AI17" s="97">
        <v>516.64310278017933</v>
      </c>
      <c r="AJ17" s="97">
        <v>461.50311339479947</v>
      </c>
      <c r="AK17" s="97">
        <v>433.12263527295096</v>
      </c>
      <c r="AL17" s="97">
        <v>388.42685546895945</v>
      </c>
      <c r="AM17" s="97">
        <v>386.53465768469397</v>
      </c>
      <c r="AN17" s="97">
        <v>379.87383719434928</v>
      </c>
      <c r="AO17" s="97">
        <v>403.9875529226108</v>
      </c>
    </row>
    <row r="18" spans="1:41" s="95" customFormat="1" ht="17.100000000000001" customHeight="1" x14ac:dyDescent="0.2">
      <c r="B18" s="96" t="s">
        <v>115</v>
      </c>
      <c r="C18" s="97">
        <v>-1224.5272322729288</v>
      </c>
      <c r="D18" s="97">
        <v>-593.25707401034288</v>
      </c>
      <c r="E18" s="97">
        <v>-541.79084248982599</v>
      </c>
      <c r="F18" s="97">
        <v>-1454.61054075232</v>
      </c>
      <c r="G18" s="97">
        <v>-1780.4766147368791</v>
      </c>
      <c r="H18" s="97">
        <v>-1980.7948595749585</v>
      </c>
      <c r="I18" s="97">
        <v>-1852.010882513694</v>
      </c>
      <c r="J18" s="97">
        <v>-2175.2144833356215</v>
      </c>
      <c r="K18" s="97">
        <v>-2067.6646234634518</v>
      </c>
      <c r="L18" s="97">
        <v>-2307.7240153638886</v>
      </c>
      <c r="M18" s="97">
        <v>-1088.9973891348964</v>
      </c>
      <c r="N18" s="97">
        <v>-1328.9091027705272</v>
      </c>
      <c r="O18" s="97">
        <v>-1654.5270964854735</v>
      </c>
      <c r="P18" s="97">
        <v>-1637.9164237407404</v>
      </c>
      <c r="Q18" s="97">
        <v>-2618.4059353162584</v>
      </c>
      <c r="R18" s="97">
        <v>-2709.4946587647664</v>
      </c>
      <c r="S18" s="97">
        <v>-3430.9136703167396</v>
      </c>
      <c r="T18" s="97">
        <v>-4396.2514083893693</v>
      </c>
      <c r="U18" s="97">
        <v>-2589.3459185184965</v>
      </c>
      <c r="V18" s="97">
        <v>-4639.3734630039071</v>
      </c>
      <c r="W18" s="97">
        <v>-3729.1223562766954</v>
      </c>
      <c r="X18" s="97">
        <v>-4317.5612094874514</v>
      </c>
      <c r="Y18" s="97">
        <v>-4369.8713641657823</v>
      </c>
      <c r="Z18" s="97">
        <v>-4609.2233050083141</v>
      </c>
      <c r="AA18" s="97">
        <v>-5427.535261009516</v>
      </c>
      <c r="AB18" s="97">
        <v>-4647.4095533512482</v>
      </c>
      <c r="AC18" s="97">
        <v>-4246.3617174560059</v>
      </c>
      <c r="AD18" s="97">
        <v>-4232.187781531924</v>
      </c>
      <c r="AE18" s="97">
        <v>-5067.71061129797</v>
      </c>
      <c r="AF18" s="97">
        <v>-4704.4921025981521</v>
      </c>
      <c r="AG18" s="97">
        <v>-4762.1380932292795</v>
      </c>
      <c r="AH18" s="97">
        <v>-4079.6656785898649</v>
      </c>
      <c r="AI18" s="97">
        <v>-4668.6175317172365</v>
      </c>
      <c r="AJ18" s="97">
        <v>-5932.2464573174511</v>
      </c>
      <c r="AK18" s="97">
        <v>-3725.7060792644334</v>
      </c>
      <c r="AL18" s="97">
        <v>-2353.4435141891445</v>
      </c>
      <c r="AM18" s="97">
        <v>-4755.9239996579308</v>
      </c>
      <c r="AN18" s="97">
        <v>-3203.172619053079</v>
      </c>
      <c r="AO18" s="97">
        <v>-3395.1774373767184</v>
      </c>
    </row>
    <row r="19" spans="1:41" s="95" customFormat="1" ht="17.100000000000001" customHeight="1" x14ac:dyDescent="0.2">
      <c r="B19" s="100" t="s">
        <v>116</v>
      </c>
      <c r="C19" s="97">
        <v>3997.3515198604664</v>
      </c>
      <c r="D19" s="97">
        <v>4737.9170382834618</v>
      </c>
      <c r="E19" s="97">
        <v>4690.4505107924242</v>
      </c>
      <c r="F19" s="97">
        <v>4654.6121744332277</v>
      </c>
      <c r="G19" s="97">
        <v>4289.5712018169079</v>
      </c>
      <c r="H19" s="97">
        <v>4698.8572458938124</v>
      </c>
      <c r="I19" s="97">
        <v>4521.4652857482324</v>
      </c>
      <c r="J19" s="97">
        <v>4667.7085720413461</v>
      </c>
      <c r="K19" s="97">
        <v>5174.4533865560898</v>
      </c>
      <c r="L19" s="97">
        <v>5456.2602854817524</v>
      </c>
      <c r="M19" s="97">
        <v>6482.3585417054073</v>
      </c>
      <c r="N19" s="97">
        <v>5486.2439893242381</v>
      </c>
      <c r="O19" s="97">
        <v>5927.7013635497024</v>
      </c>
      <c r="P19" s="97">
        <v>6057.8728961585311</v>
      </c>
      <c r="Q19" s="97">
        <v>5852.7709329080799</v>
      </c>
      <c r="R19" s="97">
        <v>3694.4396928567494</v>
      </c>
      <c r="S19" s="97">
        <v>5548.0881369631652</v>
      </c>
      <c r="T19" s="97">
        <v>5551.5226211346526</v>
      </c>
      <c r="U19" s="97">
        <v>5966.6539379227797</v>
      </c>
      <c r="V19" s="97">
        <v>6338.5875987722029</v>
      </c>
      <c r="W19" s="97">
        <v>4582.4575647164365</v>
      </c>
      <c r="X19" s="97">
        <v>4765.6022770990994</v>
      </c>
      <c r="Y19" s="97">
        <v>5033.1741047403802</v>
      </c>
      <c r="Z19" s="97">
        <v>5184.557282345575</v>
      </c>
      <c r="AA19" s="97">
        <v>5061.8940800310611</v>
      </c>
      <c r="AB19" s="97">
        <v>4389.1595219944338</v>
      </c>
      <c r="AC19" s="97">
        <v>5294.2455332088102</v>
      </c>
      <c r="AD19" s="97">
        <v>6486.3370858120361</v>
      </c>
      <c r="AE19" s="97">
        <v>7043.1868165153983</v>
      </c>
      <c r="AF19" s="97">
        <v>7881.3528636719939</v>
      </c>
      <c r="AG19" s="97">
        <v>8643.0593496383408</v>
      </c>
      <c r="AH19" s="97">
        <v>10568.919914137534</v>
      </c>
      <c r="AI19" s="97">
        <v>10658.809036921577</v>
      </c>
      <c r="AJ19" s="97">
        <v>10504.266027518526</v>
      </c>
      <c r="AK19" s="97">
        <v>11222.080222549408</v>
      </c>
      <c r="AL19" s="97">
        <v>16470.24242831473</v>
      </c>
      <c r="AM19" s="97">
        <v>15184.65088117601</v>
      </c>
      <c r="AN19" s="97">
        <v>18103.894548881599</v>
      </c>
      <c r="AO19" s="97">
        <v>17251.455933939476</v>
      </c>
    </row>
    <row r="20" spans="1:41" s="94" customFormat="1" ht="17.100000000000001" customHeight="1" x14ac:dyDescent="0.2">
      <c r="B20" s="98" t="s">
        <v>117</v>
      </c>
      <c r="C20" s="84">
        <v>2419.3149730050541</v>
      </c>
      <c r="D20" s="84">
        <v>3134.4156237631582</v>
      </c>
      <c r="E20" s="84">
        <v>2983.9488943484916</v>
      </c>
      <c r="F20" s="84">
        <v>3006.0800196444993</v>
      </c>
      <c r="G20" s="84">
        <v>2570.1557419662049</v>
      </c>
      <c r="H20" s="84">
        <v>2822.1089075078771</v>
      </c>
      <c r="I20" s="84">
        <v>2875.9127175205344</v>
      </c>
      <c r="J20" s="84">
        <v>2949.3209294071826</v>
      </c>
      <c r="K20" s="84">
        <v>3203.7535964634462</v>
      </c>
      <c r="L20" s="84">
        <v>3579.7645157708753</v>
      </c>
      <c r="M20" s="84">
        <v>4809.4836103308826</v>
      </c>
      <c r="N20" s="84">
        <v>3724.0821088885255</v>
      </c>
      <c r="O20" s="84">
        <v>3757.2622131674698</v>
      </c>
      <c r="P20" s="84">
        <v>3890.0161856061632</v>
      </c>
      <c r="Q20" s="84">
        <v>3984.4644112711067</v>
      </c>
      <c r="R20" s="84">
        <v>3141.0910754970564</v>
      </c>
      <c r="S20" s="84">
        <v>4570.7607257436775</v>
      </c>
      <c r="T20" s="84">
        <v>4337.7691469205183</v>
      </c>
      <c r="U20" s="84">
        <v>4465.4880902703044</v>
      </c>
      <c r="V20" s="84">
        <v>4733.9219959751636</v>
      </c>
      <c r="W20" s="84">
        <v>3201.3197302808267</v>
      </c>
      <c r="X20" s="84">
        <v>3402.9988056065031</v>
      </c>
      <c r="Y20" s="84">
        <v>3587.6505762686211</v>
      </c>
      <c r="Z20" s="84">
        <v>3721.0131906179768</v>
      </c>
      <c r="AA20" s="84">
        <v>3871.6816000772151</v>
      </c>
      <c r="AB20" s="84">
        <v>3121.6283953402326</v>
      </c>
      <c r="AC20" s="84">
        <v>3990.2037660772367</v>
      </c>
      <c r="AD20" s="84">
        <v>4844.9706420457578</v>
      </c>
      <c r="AE20" s="84">
        <v>5341.7943737199103</v>
      </c>
      <c r="AF20" s="84">
        <v>5899.3634499796844</v>
      </c>
      <c r="AG20" s="84">
        <v>6271.4470128119037</v>
      </c>
      <c r="AH20" s="84">
        <v>8089.075119066054</v>
      </c>
      <c r="AI20" s="84">
        <v>8329.7783741653675</v>
      </c>
      <c r="AJ20" s="84">
        <v>8177.6830551366565</v>
      </c>
      <c r="AK20" s="84">
        <v>8699.2729552823603</v>
      </c>
      <c r="AL20" s="84">
        <v>13924.798882369529</v>
      </c>
      <c r="AM20" s="84">
        <v>12705.752042237275</v>
      </c>
      <c r="AN20" s="84">
        <v>15928.044383204644</v>
      </c>
      <c r="AO20" s="84">
        <v>14423.089336506353</v>
      </c>
    </row>
    <row r="21" spans="1:41" s="94" customFormat="1" ht="17.100000000000001" customHeight="1" x14ac:dyDescent="0.2">
      <c r="B21" s="98" t="s">
        <v>118</v>
      </c>
      <c r="C21" s="84">
        <v>1578.0365468554126</v>
      </c>
      <c r="D21" s="84">
        <v>1603.5014145203033</v>
      </c>
      <c r="E21" s="84">
        <v>1706.5016164439326</v>
      </c>
      <c r="F21" s="84">
        <v>1648.5321547887286</v>
      </c>
      <c r="G21" s="84">
        <v>1719.4154598507032</v>
      </c>
      <c r="H21" s="84">
        <v>1876.7483383859358</v>
      </c>
      <c r="I21" s="84">
        <v>1645.5525682276982</v>
      </c>
      <c r="J21" s="84">
        <v>1718.3876426341633</v>
      </c>
      <c r="K21" s="84">
        <v>1970.6997900926435</v>
      </c>
      <c r="L21" s="84">
        <v>1876.4957697108766</v>
      </c>
      <c r="M21" s="84">
        <v>1672.8749313745252</v>
      </c>
      <c r="N21" s="84">
        <v>1762.1618804357124</v>
      </c>
      <c r="O21" s="84">
        <v>2170.4391503822321</v>
      </c>
      <c r="P21" s="84">
        <v>2167.8567105523675</v>
      </c>
      <c r="Q21" s="84">
        <v>1868.3065216369735</v>
      </c>
      <c r="R21" s="84">
        <v>553.34861735969309</v>
      </c>
      <c r="S21" s="84">
        <v>977.32741121948766</v>
      </c>
      <c r="T21" s="84">
        <v>1213.7534742141347</v>
      </c>
      <c r="U21" s="84">
        <v>1501.1658476524751</v>
      </c>
      <c r="V21" s="84">
        <v>1604.6656027970394</v>
      </c>
      <c r="W21" s="84">
        <v>1381.1378344356101</v>
      </c>
      <c r="X21" s="84">
        <v>1362.6034714925961</v>
      </c>
      <c r="Y21" s="84">
        <v>1445.5235284717594</v>
      </c>
      <c r="Z21" s="84">
        <v>1463.5440917275982</v>
      </c>
      <c r="AA21" s="84">
        <v>1190.2124799538465</v>
      </c>
      <c r="AB21" s="84">
        <v>1267.5311266542017</v>
      </c>
      <c r="AC21" s="84">
        <v>1304.041767131574</v>
      </c>
      <c r="AD21" s="84">
        <v>1641.3664437662781</v>
      </c>
      <c r="AE21" s="84">
        <v>1701.3924427954878</v>
      </c>
      <c r="AF21" s="84">
        <v>1981.9894136923092</v>
      </c>
      <c r="AG21" s="84">
        <v>2371.612336826438</v>
      </c>
      <c r="AH21" s="84">
        <v>2479.8447950714803</v>
      </c>
      <c r="AI21" s="84">
        <v>2329.0306627562099</v>
      </c>
      <c r="AJ21" s="84">
        <v>2326.5829723818688</v>
      </c>
      <c r="AK21" s="84">
        <v>2522.8072672670469</v>
      </c>
      <c r="AL21" s="84">
        <v>2545.443545945202</v>
      </c>
      <c r="AM21" s="84">
        <v>2478.8988389387364</v>
      </c>
      <c r="AN21" s="84">
        <v>2175.850165676954</v>
      </c>
      <c r="AO21" s="84">
        <v>2828.366597433122</v>
      </c>
    </row>
    <row r="22" spans="1:41" s="95" customFormat="1" ht="17.100000000000001" customHeight="1" x14ac:dyDescent="0.2">
      <c r="B22" s="100" t="s">
        <v>119</v>
      </c>
      <c r="C22" s="97">
        <v>5221.8787521333952</v>
      </c>
      <c r="D22" s="97">
        <v>5331.1741122938047</v>
      </c>
      <c r="E22" s="97">
        <v>5232.2413532822502</v>
      </c>
      <c r="F22" s="97">
        <v>6109.2227151855477</v>
      </c>
      <c r="G22" s="97">
        <v>6070.047816553787</v>
      </c>
      <c r="H22" s="97">
        <v>6679.652105468771</v>
      </c>
      <c r="I22" s="97">
        <v>6373.4761682619264</v>
      </c>
      <c r="J22" s="97">
        <v>6842.9230553769676</v>
      </c>
      <c r="K22" s="97">
        <v>7242.1180100195415</v>
      </c>
      <c r="L22" s="97">
        <v>7763.984300845641</v>
      </c>
      <c r="M22" s="97">
        <v>7571.3559308403037</v>
      </c>
      <c r="N22" s="97">
        <v>6815.1530920947653</v>
      </c>
      <c r="O22" s="97">
        <v>7582.2284600351759</v>
      </c>
      <c r="P22" s="97">
        <v>7695.7893198992715</v>
      </c>
      <c r="Q22" s="97">
        <v>8471.1768682243383</v>
      </c>
      <c r="R22" s="97">
        <v>6403.9343516215158</v>
      </c>
      <c r="S22" s="97">
        <v>8979.0018072799048</v>
      </c>
      <c r="T22" s="97">
        <v>9947.7740295240219</v>
      </c>
      <c r="U22" s="97">
        <v>8555.9998564412763</v>
      </c>
      <c r="V22" s="97">
        <v>10977.96106177611</v>
      </c>
      <c r="W22" s="97">
        <v>8311.579920993132</v>
      </c>
      <c r="X22" s="97">
        <v>9083.1634865865508</v>
      </c>
      <c r="Y22" s="97">
        <v>9403.0454689061626</v>
      </c>
      <c r="Z22" s="97">
        <v>9793.7805873538891</v>
      </c>
      <c r="AA22" s="97">
        <v>10489.429341040577</v>
      </c>
      <c r="AB22" s="97">
        <v>9036.569075345682</v>
      </c>
      <c r="AC22" s="97">
        <v>9540.6072506648161</v>
      </c>
      <c r="AD22" s="97">
        <v>10718.52486734396</v>
      </c>
      <c r="AE22" s="97">
        <v>12110.897427813368</v>
      </c>
      <c r="AF22" s="97">
        <v>12585.844966270146</v>
      </c>
      <c r="AG22" s="97">
        <v>13405.19744286762</v>
      </c>
      <c r="AH22" s="97">
        <v>14648.585592727399</v>
      </c>
      <c r="AI22" s="97">
        <v>15327.426568638813</v>
      </c>
      <c r="AJ22" s="97">
        <v>16436.512484835977</v>
      </c>
      <c r="AK22" s="97">
        <v>14947.786301813841</v>
      </c>
      <c r="AL22" s="97">
        <v>18823.685942503875</v>
      </c>
      <c r="AM22" s="97">
        <v>19940.574880833941</v>
      </c>
      <c r="AN22" s="97">
        <v>21307.067167934678</v>
      </c>
      <c r="AO22" s="97">
        <v>20646.633371316195</v>
      </c>
    </row>
    <row r="23" spans="1:41" s="94" customFormat="1" ht="17.100000000000001" customHeight="1" x14ac:dyDescent="0.2">
      <c r="B23" s="98" t="s">
        <v>117</v>
      </c>
      <c r="C23" s="84">
        <v>3409.3170624309719</v>
      </c>
      <c r="D23" s="84">
        <v>3482.8981911040705</v>
      </c>
      <c r="E23" s="84">
        <v>3532.4545106261562</v>
      </c>
      <c r="F23" s="84">
        <v>4065.6261118978691</v>
      </c>
      <c r="G23" s="84">
        <v>4038.6687816038775</v>
      </c>
      <c r="H23" s="84">
        <v>4489.2559765360174</v>
      </c>
      <c r="I23" s="84">
        <v>4477.0687892155756</v>
      </c>
      <c r="J23" s="84">
        <v>4638.0445964422406</v>
      </c>
      <c r="K23" s="84">
        <v>4596.718539231767</v>
      </c>
      <c r="L23" s="84">
        <v>5083.8208765185473</v>
      </c>
      <c r="M23" s="84">
        <v>5027.1002129563603</v>
      </c>
      <c r="N23" s="84">
        <v>4437.3924797695863</v>
      </c>
      <c r="O23" s="84">
        <v>4909.3422926606245</v>
      </c>
      <c r="P23" s="84">
        <v>5179.5840599087296</v>
      </c>
      <c r="Q23" s="84">
        <v>5227.4501761835054</v>
      </c>
      <c r="R23" s="84">
        <v>4257.8997965959488</v>
      </c>
      <c r="S23" s="84">
        <v>6205.2563020105781</v>
      </c>
      <c r="T23" s="84">
        <v>6578.043725990774</v>
      </c>
      <c r="U23" s="84">
        <v>5790.1459472906845</v>
      </c>
      <c r="V23" s="84">
        <v>7760.1053042467856</v>
      </c>
      <c r="W23" s="84">
        <v>5347.7254125340005</v>
      </c>
      <c r="X23" s="84">
        <v>6203.957954006878</v>
      </c>
      <c r="Y23" s="84">
        <v>6493.2266936780416</v>
      </c>
      <c r="Z23" s="84">
        <v>6709.4452221900538</v>
      </c>
      <c r="AA23" s="84">
        <v>7038.9444122676614</v>
      </c>
      <c r="AB23" s="84">
        <v>5984.8882205067166</v>
      </c>
      <c r="AC23" s="84">
        <v>6446.3369906884818</v>
      </c>
      <c r="AD23" s="84">
        <v>7481.3036112587952</v>
      </c>
      <c r="AE23" s="84">
        <v>8551.7459017038036</v>
      </c>
      <c r="AF23" s="84">
        <v>8812.5343665348355</v>
      </c>
      <c r="AG23" s="84">
        <v>9440.8400054090762</v>
      </c>
      <c r="AH23" s="84">
        <v>10333.424969540241</v>
      </c>
      <c r="AI23" s="84">
        <v>11181.61921771014</v>
      </c>
      <c r="AJ23" s="84">
        <v>12167.356334269774</v>
      </c>
      <c r="AK23" s="84">
        <v>11002.10002330132</v>
      </c>
      <c r="AL23" s="84">
        <v>14275.090518082101</v>
      </c>
      <c r="AM23" s="84">
        <v>14485.831338025804</v>
      </c>
      <c r="AN23" s="84">
        <v>16027.344925406962</v>
      </c>
      <c r="AO23" s="84">
        <v>15113.854459108896</v>
      </c>
    </row>
    <row r="24" spans="1:41" s="94" customFormat="1" ht="17.100000000000001" customHeight="1" x14ac:dyDescent="0.2">
      <c r="B24" s="98" t="s">
        <v>118</v>
      </c>
      <c r="C24" s="84">
        <v>1812.5616897024233</v>
      </c>
      <c r="D24" s="84">
        <v>1848.2759211897342</v>
      </c>
      <c r="E24" s="84">
        <v>1699.7868426560935</v>
      </c>
      <c r="F24" s="84">
        <v>2043.596603287679</v>
      </c>
      <c r="G24" s="84">
        <v>2031.3790349499095</v>
      </c>
      <c r="H24" s="84">
        <v>2190.396128932754</v>
      </c>
      <c r="I24" s="84">
        <v>1896.407379046351</v>
      </c>
      <c r="J24" s="84">
        <v>2204.878458934727</v>
      </c>
      <c r="K24" s="84">
        <v>2645.399470787775</v>
      </c>
      <c r="L24" s="84">
        <v>2680.1634243270933</v>
      </c>
      <c r="M24" s="84">
        <v>2544.2557178839438</v>
      </c>
      <c r="N24" s="84">
        <v>2377.760612325179</v>
      </c>
      <c r="O24" s="84">
        <v>2672.8861673745519</v>
      </c>
      <c r="P24" s="84">
        <v>2516.2052599905423</v>
      </c>
      <c r="Q24" s="84">
        <v>3243.7266920408319</v>
      </c>
      <c r="R24" s="84">
        <v>2146.0345550255665</v>
      </c>
      <c r="S24" s="84">
        <v>2773.7455052693272</v>
      </c>
      <c r="T24" s="84">
        <v>3369.7303035332479</v>
      </c>
      <c r="U24" s="84">
        <v>2765.8539091505918</v>
      </c>
      <c r="V24" s="84">
        <v>3217.8557575293244</v>
      </c>
      <c r="W24" s="84">
        <v>2963.8545084591324</v>
      </c>
      <c r="X24" s="84">
        <v>2879.2055325796732</v>
      </c>
      <c r="Y24" s="84">
        <v>2909.8187752281201</v>
      </c>
      <c r="Z24" s="84">
        <v>3084.3353651638358</v>
      </c>
      <c r="AA24" s="84">
        <v>3450.4849287729157</v>
      </c>
      <c r="AB24" s="84">
        <v>3051.6808548389658</v>
      </c>
      <c r="AC24" s="84">
        <v>3094.2702599763352</v>
      </c>
      <c r="AD24" s="84">
        <v>3237.221256085164</v>
      </c>
      <c r="AE24" s="84">
        <v>3559.1515261095647</v>
      </c>
      <c r="AF24" s="84">
        <v>3773.3105997353109</v>
      </c>
      <c r="AG24" s="84">
        <v>3964.3574374585442</v>
      </c>
      <c r="AH24" s="84">
        <v>4315.1606231871565</v>
      </c>
      <c r="AI24" s="84">
        <v>4145.8073509286723</v>
      </c>
      <c r="AJ24" s="84">
        <v>4269.1561505662021</v>
      </c>
      <c r="AK24" s="84">
        <v>3945.6862785125213</v>
      </c>
      <c r="AL24" s="84">
        <v>4548.5954244217728</v>
      </c>
      <c r="AM24" s="84">
        <v>5454.7435428081362</v>
      </c>
      <c r="AN24" s="84">
        <v>5279.7222425277141</v>
      </c>
      <c r="AO24" s="84">
        <v>5532.7789122072982</v>
      </c>
    </row>
    <row r="25" spans="1:41" s="101" customFormat="1" ht="17.100000000000001" customHeight="1" x14ac:dyDescent="0.2">
      <c r="B25" s="100" t="s">
        <v>120</v>
      </c>
      <c r="C25" s="102">
        <v>2666.4162255496813</v>
      </c>
      <c r="D25" s="102">
        <v>-1112.0354750198276</v>
      </c>
      <c r="E25" s="102">
        <v>-531.66948181904445</v>
      </c>
      <c r="F25" s="102">
        <v>-1022.7112653632212</v>
      </c>
      <c r="G25" s="102">
        <v>2616.4060225249777</v>
      </c>
      <c r="H25" s="102">
        <v>-657.64538810002341</v>
      </c>
      <c r="I25" s="102">
        <v>-335.04749418364008</v>
      </c>
      <c r="J25" s="102">
        <v>-171.74795722512135</v>
      </c>
      <c r="K25" s="102">
        <v>2118.7843101849357</v>
      </c>
      <c r="L25" s="102">
        <v>-131.39613404818738</v>
      </c>
      <c r="M25" s="102">
        <v>-417.52416739310866</v>
      </c>
      <c r="N25" s="102">
        <v>-2003.0736010594337</v>
      </c>
      <c r="O25" s="102">
        <v>1622.8560122527924</v>
      </c>
      <c r="P25" s="102">
        <v>-803.43219860123645</v>
      </c>
      <c r="Q25" s="102">
        <v>519.36232892416592</v>
      </c>
      <c r="R25" s="102">
        <v>311.7199403488703</v>
      </c>
      <c r="S25" s="102">
        <v>4574.6217976619155</v>
      </c>
      <c r="T25" s="102">
        <v>1125.1473003671636</v>
      </c>
      <c r="U25" s="102">
        <v>-881.21211967620911</v>
      </c>
      <c r="V25" s="102">
        <v>1127.1136141601382</v>
      </c>
      <c r="W25" s="102">
        <v>3821.5096834289943</v>
      </c>
      <c r="X25" s="102">
        <v>1867.5017525272997</v>
      </c>
      <c r="Y25" s="102">
        <v>1818.1595186805644</v>
      </c>
      <c r="Z25" s="102">
        <v>1510.7011189990517</v>
      </c>
      <c r="AA25" s="102">
        <v>5182.1923811989036</v>
      </c>
      <c r="AB25" s="102">
        <v>1107.8519334471275</v>
      </c>
      <c r="AC25" s="102">
        <v>1738.1223710473787</v>
      </c>
      <c r="AD25" s="102">
        <v>3212.5411603465473</v>
      </c>
      <c r="AE25" s="102">
        <v>6869.8564202392663</v>
      </c>
      <c r="AF25" s="102">
        <v>6559.2545928788459</v>
      </c>
      <c r="AG25" s="102">
        <v>4258.4291212301177</v>
      </c>
      <c r="AH25" s="102">
        <v>3998.1610098091041</v>
      </c>
      <c r="AI25" s="102">
        <v>6335.4875348065252</v>
      </c>
      <c r="AJ25" s="102">
        <v>5629.333651527013</v>
      </c>
      <c r="AK25" s="102">
        <v>2390.1161253822429</v>
      </c>
      <c r="AL25" s="102">
        <v>3403.4907467119992</v>
      </c>
      <c r="AM25" s="102">
        <v>1653.1558028051222</v>
      </c>
      <c r="AN25" s="102">
        <v>-744.41001914766093</v>
      </c>
      <c r="AO25" s="102">
        <v>2468.8908435250705</v>
      </c>
    </row>
    <row r="26" spans="1:41" s="94" customFormat="1" ht="17.100000000000001" customHeight="1" x14ac:dyDescent="0.2">
      <c r="B26" s="96" t="s">
        <v>121</v>
      </c>
      <c r="C26" s="84">
        <v>27781.609895438083</v>
      </c>
      <c r="D26" s="84">
        <v>26556.251952188679</v>
      </c>
      <c r="E26" s="84">
        <v>26726.92700551969</v>
      </c>
      <c r="F26" s="84">
        <v>27453.252068326685</v>
      </c>
      <c r="G26" s="84">
        <v>31469.715839254717</v>
      </c>
      <c r="H26" s="84">
        <v>28426.190687157312</v>
      </c>
      <c r="I26" s="84">
        <v>29432.327585544579</v>
      </c>
      <c r="J26" s="84">
        <v>31156.543343427078</v>
      </c>
      <c r="K26" s="84">
        <v>34170.142718837444</v>
      </c>
      <c r="L26" s="84">
        <v>32179.517893844299</v>
      </c>
      <c r="M26" s="84">
        <v>32231.229030984829</v>
      </c>
      <c r="N26" s="84">
        <v>33508.885145518492</v>
      </c>
      <c r="O26" s="84">
        <v>37947.730169409697</v>
      </c>
      <c r="P26" s="84">
        <v>36401.187369982457</v>
      </c>
      <c r="Q26" s="84">
        <v>33706.780363949714</v>
      </c>
      <c r="R26" s="84">
        <v>31633.34720487638</v>
      </c>
      <c r="S26" s="84">
        <v>38917.365969581289</v>
      </c>
      <c r="T26" s="84">
        <v>36898.260506459112</v>
      </c>
      <c r="U26" s="84">
        <v>35155.41737628464</v>
      </c>
      <c r="V26" s="84">
        <v>37339.203778033312</v>
      </c>
      <c r="W26" s="84">
        <v>41189.550589505619</v>
      </c>
      <c r="X26" s="84">
        <v>39860.897465433605</v>
      </c>
      <c r="Y26" s="84">
        <v>39264.333917807213</v>
      </c>
      <c r="Z26" s="84">
        <v>42435.16530012415</v>
      </c>
      <c r="AA26" s="84">
        <v>48378.617719690337</v>
      </c>
      <c r="AB26" s="84">
        <v>44347.680024115711</v>
      </c>
      <c r="AC26" s="84">
        <v>42069.450198086422</v>
      </c>
      <c r="AD26" s="84">
        <v>48208.638370866283</v>
      </c>
      <c r="AE26" s="84">
        <v>53995.951064710105</v>
      </c>
      <c r="AF26" s="84">
        <v>49627.990831238545</v>
      </c>
      <c r="AG26" s="84">
        <v>47655.302276844079</v>
      </c>
      <c r="AH26" s="84">
        <v>52428.524056354887</v>
      </c>
      <c r="AI26" s="84">
        <v>59750.795737198125</v>
      </c>
      <c r="AJ26" s="84">
        <v>55080.750030848409</v>
      </c>
      <c r="AK26" s="84">
        <v>54731.590211173752</v>
      </c>
      <c r="AL26" s="84">
        <v>58311.460901050625</v>
      </c>
      <c r="AM26" s="84">
        <v>63157.283127666684</v>
      </c>
      <c r="AN26" s="84">
        <v>62002.550482666338</v>
      </c>
      <c r="AO26" s="84">
        <v>59699.382209701784</v>
      </c>
    </row>
    <row r="27" spans="1:41" s="94" customFormat="1" ht="17.100000000000001" customHeight="1" x14ac:dyDescent="0.2">
      <c r="A27" s="103"/>
      <c r="B27" s="105"/>
      <c r="C27" s="104"/>
      <c r="D27" s="104"/>
      <c r="E27" s="104"/>
      <c r="F27" s="104"/>
      <c r="G27" s="145" t="s">
        <v>79</v>
      </c>
      <c r="H27" s="145"/>
      <c r="I27" s="145"/>
      <c r="J27" s="145"/>
      <c r="K27" s="145" t="s">
        <v>85</v>
      </c>
      <c r="L27" s="145"/>
      <c r="M27" s="145"/>
      <c r="N27" s="145"/>
      <c r="O27" s="145" t="s">
        <v>86</v>
      </c>
      <c r="P27" s="145"/>
      <c r="Q27" s="145"/>
      <c r="R27" s="145"/>
      <c r="S27" s="145" t="s">
        <v>89</v>
      </c>
      <c r="T27" s="145"/>
      <c r="U27" s="145"/>
      <c r="V27" s="145"/>
      <c r="W27" s="145" t="s">
        <v>90</v>
      </c>
      <c r="X27" s="145"/>
      <c r="Y27" s="145"/>
      <c r="Z27" s="145"/>
      <c r="AA27" s="146" t="s">
        <v>96</v>
      </c>
      <c r="AB27" s="146"/>
      <c r="AC27" s="146"/>
      <c r="AD27" s="146"/>
      <c r="AE27" s="145" t="s">
        <v>97</v>
      </c>
      <c r="AF27" s="145"/>
      <c r="AG27" s="145"/>
      <c r="AH27" s="145"/>
      <c r="AI27" s="146" t="s">
        <v>123</v>
      </c>
      <c r="AJ27" s="146"/>
      <c r="AK27" s="146"/>
      <c r="AL27" s="146"/>
      <c r="AM27" s="88" t="s">
        <v>125</v>
      </c>
    </row>
    <row r="28" spans="1:41" s="106" customFormat="1" ht="17.100000000000001" customHeight="1" x14ac:dyDescent="0.2">
      <c r="B28" s="107" t="s">
        <v>122</v>
      </c>
      <c r="C28" s="108"/>
      <c r="D28" s="108"/>
      <c r="E28" s="108"/>
      <c r="F28" s="108"/>
      <c r="G28" s="91" t="s">
        <v>57</v>
      </c>
      <c r="H28" s="91" t="s">
        <v>58</v>
      </c>
      <c r="I28" s="91" t="s">
        <v>59</v>
      </c>
      <c r="J28" s="91" t="s">
        <v>60</v>
      </c>
      <c r="K28" s="91" t="s">
        <v>57</v>
      </c>
      <c r="L28" s="91" t="s">
        <v>58</v>
      </c>
      <c r="M28" s="91" t="s">
        <v>59</v>
      </c>
      <c r="N28" s="91" t="s">
        <v>60</v>
      </c>
      <c r="O28" s="91" t="s">
        <v>57</v>
      </c>
      <c r="P28" s="91" t="s">
        <v>58</v>
      </c>
      <c r="Q28" s="91" t="s">
        <v>59</v>
      </c>
      <c r="R28" s="91" t="s">
        <v>60</v>
      </c>
      <c r="S28" s="91" t="s">
        <v>57</v>
      </c>
      <c r="T28" s="91" t="s">
        <v>58</v>
      </c>
      <c r="U28" s="91" t="s">
        <v>59</v>
      </c>
      <c r="V28" s="91" t="s">
        <v>60</v>
      </c>
      <c r="W28" s="91" t="s">
        <v>57</v>
      </c>
      <c r="X28" s="91" t="s">
        <v>58</v>
      </c>
      <c r="Y28" s="91" t="s">
        <v>59</v>
      </c>
      <c r="Z28" s="91" t="s">
        <v>60</v>
      </c>
      <c r="AA28" s="91" t="s">
        <v>57</v>
      </c>
      <c r="AB28" s="91" t="s">
        <v>58</v>
      </c>
      <c r="AC28" s="91" t="s">
        <v>59</v>
      </c>
      <c r="AD28" s="91" t="s">
        <v>60</v>
      </c>
      <c r="AE28" s="91" t="s">
        <v>57</v>
      </c>
      <c r="AF28" s="91" t="s">
        <v>58</v>
      </c>
      <c r="AG28" s="91" t="s">
        <v>59</v>
      </c>
      <c r="AH28" s="91" t="s">
        <v>60</v>
      </c>
      <c r="AI28" s="91" t="s">
        <v>57</v>
      </c>
      <c r="AJ28" s="91" t="s">
        <v>58</v>
      </c>
      <c r="AK28" s="91" t="s">
        <v>59</v>
      </c>
      <c r="AL28" s="91" t="s">
        <v>60</v>
      </c>
      <c r="AM28" s="91" t="s">
        <v>57</v>
      </c>
      <c r="AN28" s="91" t="s">
        <v>58</v>
      </c>
      <c r="AO28" s="91" t="s">
        <v>59</v>
      </c>
    </row>
    <row r="29" spans="1:41" s="106" customFormat="1" ht="17.100000000000001" customHeight="1" x14ac:dyDescent="0.2">
      <c r="B29" s="96" t="s">
        <v>102</v>
      </c>
      <c r="C29" s="106">
        <v>0.71640228196608025</v>
      </c>
      <c r="D29" s="106">
        <v>0.80367398922651356</v>
      </c>
      <c r="E29" s="106">
        <v>0.79771892728731086</v>
      </c>
      <c r="F29" s="106">
        <v>0.83981294544817675</v>
      </c>
      <c r="G29" s="106">
        <v>0.74936574029127057</v>
      </c>
      <c r="H29" s="106">
        <v>0.83233832584978251</v>
      </c>
      <c r="I29" s="106">
        <v>0.82450794790129978</v>
      </c>
      <c r="J29" s="106">
        <v>0.83447408123766109</v>
      </c>
      <c r="K29" s="106">
        <v>0.75608756288659718</v>
      </c>
      <c r="L29" s="106">
        <v>0.81483680900398681</v>
      </c>
      <c r="M29" s="106">
        <v>0.79180452506592258</v>
      </c>
      <c r="N29" s="106">
        <v>0.836105514678536</v>
      </c>
      <c r="O29" s="106">
        <v>0.77356262856007862</v>
      </c>
      <c r="P29" s="106">
        <v>0.82584231495092986</v>
      </c>
      <c r="Q29" s="106">
        <v>0.79561856009302323</v>
      </c>
      <c r="R29" s="106">
        <v>0.84080657262656466</v>
      </c>
      <c r="S29" s="106">
        <v>0.77884876318999785</v>
      </c>
      <c r="T29" s="106">
        <v>0.84105880675206168</v>
      </c>
      <c r="U29" s="106">
        <v>0.83392461702645793</v>
      </c>
      <c r="V29" s="106">
        <v>0.83120657487284777</v>
      </c>
      <c r="W29" s="106">
        <v>0.76084005768830665</v>
      </c>
      <c r="X29" s="106">
        <v>0.80551562099698093</v>
      </c>
      <c r="Y29" s="106">
        <v>0.82140724345983251</v>
      </c>
      <c r="Z29" s="106">
        <v>0.84059852045427264</v>
      </c>
      <c r="AA29" s="106">
        <v>0.78586707048932902</v>
      </c>
      <c r="AB29" s="106">
        <v>0.8476732601734186</v>
      </c>
      <c r="AC29" s="106">
        <v>0.82334609741032283</v>
      </c>
      <c r="AD29" s="106">
        <v>0.79474646709784313</v>
      </c>
      <c r="AE29" s="106">
        <v>0.75979155864587322</v>
      </c>
      <c r="AF29" s="106">
        <v>0.72972362378661149</v>
      </c>
      <c r="AG29" s="106">
        <v>0.77029937867496046</v>
      </c>
      <c r="AH29" s="106">
        <v>0.7831095810373373</v>
      </c>
      <c r="AI29" s="106">
        <v>0.7723387141978536</v>
      </c>
      <c r="AJ29" s="106">
        <v>0.7673011660882928</v>
      </c>
      <c r="AK29" s="106">
        <v>0.79008080890390375</v>
      </c>
      <c r="AL29" s="106">
        <v>0.74663666697188269</v>
      </c>
      <c r="AM29" s="106">
        <v>0.83199222036196319</v>
      </c>
      <c r="AN29" s="106">
        <v>0.81986990668920057</v>
      </c>
      <c r="AO29" s="106">
        <v>0.76654588086933384</v>
      </c>
    </row>
    <row r="30" spans="1:41" s="106" customFormat="1" ht="17.100000000000001" customHeight="1" x14ac:dyDescent="0.2">
      <c r="B30" s="98" t="s">
        <v>103</v>
      </c>
      <c r="C30" s="106">
        <v>6.8341109812102799E-2</v>
      </c>
      <c r="D30" s="106">
        <v>7.9034248962418702E-2</v>
      </c>
      <c r="E30" s="106">
        <v>7.8331315000871482E-2</v>
      </c>
      <c r="F30" s="106">
        <v>9.4730021688873497E-2</v>
      </c>
      <c r="G30" s="106">
        <v>7.6262798885306904E-2</v>
      </c>
      <c r="H30" s="106">
        <v>9.3418910406961334E-2</v>
      </c>
      <c r="I30" s="106">
        <v>8.6419796610082922E-2</v>
      </c>
      <c r="J30" s="106">
        <v>9.006470467998344E-2</v>
      </c>
      <c r="K30" s="106">
        <v>7.4795086400763086E-2</v>
      </c>
      <c r="L30" s="106">
        <v>8.7841201405307767E-2</v>
      </c>
      <c r="M30" s="106">
        <v>8.2057260977305618E-2</v>
      </c>
      <c r="N30" s="106">
        <v>0.10633136848925556</v>
      </c>
      <c r="O30" s="106">
        <v>7.5747800961528028E-2</v>
      </c>
      <c r="P30" s="106">
        <v>9.6979622366715632E-2</v>
      </c>
      <c r="Q30" s="106">
        <v>9.6623463297516241E-2</v>
      </c>
      <c r="R30" s="106">
        <v>0.11459134080806924</v>
      </c>
      <c r="S30" s="106">
        <v>8.2565317299219593E-2</v>
      </c>
      <c r="T30" s="106">
        <v>0.10297995151968482</v>
      </c>
      <c r="U30" s="106">
        <v>0.10727149532213835</v>
      </c>
      <c r="V30" s="106">
        <v>0.10566360477281861</v>
      </c>
      <c r="W30" s="106">
        <v>8.5548197092703157E-2</v>
      </c>
      <c r="X30" s="106">
        <v>8.8859083668729036E-2</v>
      </c>
      <c r="Y30" s="106">
        <v>0.10572379503161548</v>
      </c>
      <c r="Z30" s="106">
        <v>0.11103768594191969</v>
      </c>
      <c r="AA30" s="106">
        <v>9.0624385711838479E-2</v>
      </c>
      <c r="AB30" s="106">
        <v>9.8203640962509609E-2</v>
      </c>
      <c r="AC30" s="106">
        <v>0.1003592027937923</v>
      </c>
      <c r="AD30" s="106">
        <v>9.4278763893564543E-2</v>
      </c>
      <c r="AE30" s="106">
        <v>7.8984121770238794E-2</v>
      </c>
      <c r="AF30" s="106">
        <v>8.8225301494850583E-2</v>
      </c>
      <c r="AG30" s="106">
        <v>0.10872706761278818</v>
      </c>
      <c r="AH30" s="106">
        <v>0.12570062423012857</v>
      </c>
      <c r="AI30" s="106">
        <v>0.10260503000811669</v>
      </c>
      <c r="AJ30" s="106">
        <v>0.10985031389112698</v>
      </c>
      <c r="AK30" s="106">
        <v>0.12728136370159837</v>
      </c>
      <c r="AL30" s="106">
        <v>0.12757865003369478</v>
      </c>
      <c r="AM30" s="106">
        <v>0.11554049825791621</v>
      </c>
      <c r="AN30" s="106">
        <v>0.10760854218219799</v>
      </c>
      <c r="AO30" s="106">
        <v>0.12554949862591164</v>
      </c>
    </row>
    <row r="31" spans="1:41" s="106" customFormat="1" ht="17.100000000000001" customHeight="1" x14ac:dyDescent="0.2">
      <c r="B31" s="98" t="s">
        <v>104</v>
      </c>
      <c r="C31" s="106">
        <v>3.6558455703831184E-2</v>
      </c>
      <c r="D31" s="106">
        <v>3.9459852912349477E-2</v>
      </c>
      <c r="E31" s="106">
        <v>4.0581806563835698E-2</v>
      </c>
      <c r="F31" s="106">
        <v>4.0575686630908554E-2</v>
      </c>
      <c r="G31" s="106">
        <v>3.6912747077259993E-2</v>
      </c>
      <c r="H31" s="106">
        <v>4.2899881132843543E-2</v>
      </c>
      <c r="I31" s="106">
        <v>4.3000172018235805E-2</v>
      </c>
      <c r="J31" s="106">
        <v>4.2235772009470318E-2</v>
      </c>
      <c r="K31" s="106">
        <v>4.0376588510881932E-2</v>
      </c>
      <c r="L31" s="106">
        <v>4.3966559252646725E-2</v>
      </c>
      <c r="M31" s="106">
        <v>4.4564081372143037E-2</v>
      </c>
      <c r="N31" s="106">
        <v>4.3727903365382799E-2</v>
      </c>
      <c r="O31" s="106">
        <v>3.9998013215224899E-2</v>
      </c>
      <c r="P31" s="106">
        <v>4.2338269866127411E-2</v>
      </c>
      <c r="Q31" s="106">
        <v>4.5660369236052316E-2</v>
      </c>
      <c r="R31" s="106">
        <v>4.7896665954108922E-2</v>
      </c>
      <c r="S31" s="106">
        <v>3.8244102303634155E-2</v>
      </c>
      <c r="T31" s="106">
        <v>4.0233148592516928E-2</v>
      </c>
      <c r="U31" s="106">
        <v>4.4160889324860772E-2</v>
      </c>
      <c r="V31" s="106">
        <v>4.3271922861500361E-2</v>
      </c>
      <c r="W31" s="106">
        <v>4.0742939979102694E-2</v>
      </c>
      <c r="X31" s="106">
        <v>4.3736021994143844E-2</v>
      </c>
      <c r="Y31" s="106">
        <v>4.6007844064794357E-2</v>
      </c>
      <c r="Z31" s="106">
        <v>4.4066742191944071E-2</v>
      </c>
      <c r="AA31" s="106">
        <v>4.0812932161243994E-2</v>
      </c>
      <c r="AB31" s="106">
        <v>4.4844907123291207E-2</v>
      </c>
      <c r="AC31" s="106">
        <v>4.780300248797479E-2</v>
      </c>
      <c r="AD31" s="106">
        <v>4.2127883989112817E-2</v>
      </c>
      <c r="AE31" s="106">
        <v>3.7870471840565224E-2</v>
      </c>
      <c r="AF31" s="106">
        <v>4.3182132699752178E-2</v>
      </c>
      <c r="AG31" s="106">
        <v>4.1851303465355212E-2</v>
      </c>
      <c r="AH31" s="106">
        <v>3.9514173168623212E-2</v>
      </c>
      <c r="AI31" s="106">
        <v>3.4446682193531419E-2</v>
      </c>
      <c r="AJ31" s="106">
        <v>3.7468986483943277E-2</v>
      </c>
      <c r="AK31" s="106">
        <v>3.1924437540075783E-2</v>
      </c>
      <c r="AL31" s="106">
        <v>3.4181014535900944E-2</v>
      </c>
      <c r="AM31" s="106">
        <v>3.3989754517410119E-2</v>
      </c>
      <c r="AN31" s="106">
        <v>3.3425666902982411E-2</v>
      </c>
      <c r="AO31" s="106">
        <v>3.6269558279583863E-2</v>
      </c>
    </row>
    <row r="32" spans="1:41" s="106" customFormat="1" ht="17.100000000000001" customHeight="1" x14ac:dyDescent="0.2">
      <c r="B32" s="98" t="s">
        <v>105</v>
      </c>
      <c r="C32" s="106">
        <v>0.6115027164501462</v>
      </c>
      <c r="D32" s="106">
        <v>0.6851798873517454</v>
      </c>
      <c r="E32" s="106">
        <v>0.67880580572260363</v>
      </c>
      <c r="F32" s="106">
        <v>0.7045072371283948</v>
      </c>
      <c r="G32" s="106">
        <v>0.63619019432870372</v>
      </c>
      <c r="H32" s="106">
        <v>0.69601953430997765</v>
      </c>
      <c r="I32" s="106">
        <v>0.69508797927298105</v>
      </c>
      <c r="J32" s="106">
        <v>0.70217360454820732</v>
      </c>
      <c r="K32" s="106">
        <v>0.64091588797495214</v>
      </c>
      <c r="L32" s="106">
        <v>0.6830290483460324</v>
      </c>
      <c r="M32" s="106">
        <v>0.66518318271647392</v>
      </c>
      <c r="N32" s="106">
        <v>0.68604624282389759</v>
      </c>
      <c r="O32" s="106">
        <v>0.65781681438332562</v>
      </c>
      <c r="P32" s="106">
        <v>0.68652442271808689</v>
      </c>
      <c r="Q32" s="106">
        <v>0.65333472755945465</v>
      </c>
      <c r="R32" s="106">
        <v>0.67831856586438644</v>
      </c>
      <c r="S32" s="106">
        <v>0.65803934358714411</v>
      </c>
      <c r="T32" s="106">
        <v>0.6978457066398599</v>
      </c>
      <c r="U32" s="106">
        <v>0.68249223237945877</v>
      </c>
      <c r="V32" s="106">
        <v>0.68227104723852883</v>
      </c>
      <c r="W32" s="106">
        <v>0.6345489206165007</v>
      </c>
      <c r="X32" s="106">
        <v>0.67292051533410813</v>
      </c>
      <c r="Y32" s="106">
        <v>0.66967560436342266</v>
      </c>
      <c r="Z32" s="106">
        <v>0.68549409232040881</v>
      </c>
      <c r="AA32" s="106">
        <v>0.65442975261624659</v>
      </c>
      <c r="AB32" s="106">
        <v>0.70462471208761779</v>
      </c>
      <c r="AC32" s="106">
        <v>0.67518389212855578</v>
      </c>
      <c r="AD32" s="106">
        <v>0.65833981921516571</v>
      </c>
      <c r="AE32" s="106">
        <v>0.64293696503506925</v>
      </c>
      <c r="AF32" s="106">
        <v>0.59831618959200883</v>
      </c>
      <c r="AG32" s="106">
        <v>0.61972100759681714</v>
      </c>
      <c r="AH32" s="106">
        <v>0.61789478363858552</v>
      </c>
      <c r="AI32" s="106">
        <v>0.63528700199620558</v>
      </c>
      <c r="AJ32" s="106">
        <v>0.61998186571322256</v>
      </c>
      <c r="AK32" s="106">
        <v>0.63087500766222959</v>
      </c>
      <c r="AL32" s="106">
        <v>0.58487700240228691</v>
      </c>
      <c r="AM32" s="106">
        <v>0.68246196758663691</v>
      </c>
      <c r="AN32" s="106">
        <v>0.67883569760402018</v>
      </c>
      <c r="AO32" s="106">
        <v>0.60472682396383837</v>
      </c>
    </row>
    <row r="33" spans="2:41" s="106" customFormat="1" ht="17.100000000000001" customHeight="1" x14ac:dyDescent="0.2">
      <c r="B33" s="96" t="s">
        <v>106</v>
      </c>
      <c r="C33" s="106">
        <v>0.22648005989803435</v>
      </c>
      <c r="D33" s="106">
        <v>0.25487353543303443</v>
      </c>
      <c r="E33" s="106">
        <v>0.23660925627996882</v>
      </c>
      <c r="F33" s="106">
        <v>0.24466730849316523</v>
      </c>
      <c r="G33" s="106">
        <v>0.21876030156579754</v>
      </c>
      <c r="H33" s="106">
        <v>0.2545163542591275</v>
      </c>
      <c r="I33" s="106">
        <v>0.24378315810848339</v>
      </c>
      <c r="J33" s="106">
        <v>0.23498467058619463</v>
      </c>
      <c r="K33" s="106">
        <v>0.23656069352351208</v>
      </c>
      <c r="L33" s="106">
        <v>0.25464438482967477</v>
      </c>
      <c r="M33" s="106">
        <v>0.2486459118916719</v>
      </c>
      <c r="N33" s="106">
        <v>0.25670173183783057</v>
      </c>
      <c r="O33" s="106">
        <v>0.22065086176366083</v>
      </c>
      <c r="P33" s="106">
        <v>0.23402859950423677</v>
      </c>
      <c r="Q33" s="106">
        <v>0.25912603522029076</v>
      </c>
      <c r="R33" s="106">
        <v>0.22841294444113425</v>
      </c>
      <c r="S33" s="106">
        <v>0.19154087296806238</v>
      </c>
      <c r="T33" s="106">
        <v>0.24539435658530726</v>
      </c>
      <c r="U33" s="106">
        <v>0.25629384971506725</v>
      </c>
      <c r="V33" s="106">
        <v>0.24360412612041296</v>
      </c>
      <c r="W33" s="106">
        <v>0.22964760996596892</v>
      </c>
      <c r="X33" s="106">
        <v>0.24829792538213122</v>
      </c>
      <c r="Y33" s="106">
        <v>0.23572893826423752</v>
      </c>
      <c r="Z33" s="106">
        <v>0.22501919559814124</v>
      </c>
      <c r="AA33" s="106">
        <v>0.20527687405264805</v>
      </c>
      <c r="AB33" s="106">
        <v>0.22445667645784528</v>
      </c>
      <c r="AC33" s="106">
        <v>0.22814564686828204</v>
      </c>
      <c r="AD33" s="106">
        <v>0.22676964625586529</v>
      </c>
      <c r="AE33" s="106">
        <v>0.20417005896807566</v>
      </c>
      <c r="AF33" s="106">
        <v>0.22590582483716654</v>
      </c>
      <c r="AG33" s="106">
        <v>0.23031584122627999</v>
      </c>
      <c r="AH33" s="106">
        <v>0.20751498237158558</v>
      </c>
      <c r="AI33" s="106">
        <v>0.19111762008306188</v>
      </c>
      <c r="AJ33" s="106">
        <v>0.22981960101245405</v>
      </c>
      <c r="AK33" s="106">
        <v>0.22640815688582033</v>
      </c>
      <c r="AL33" s="106">
        <v>0.22869452751777727</v>
      </c>
      <c r="AM33" s="106">
        <v>0.21101522715089913</v>
      </c>
      <c r="AN33" s="106">
        <v>0.23767141658271532</v>
      </c>
      <c r="AO33" s="106">
        <v>0.24220293731934339</v>
      </c>
    </row>
    <row r="34" spans="2:41" s="106" customFormat="1" ht="17.100000000000001" customHeight="1" x14ac:dyDescent="0.2">
      <c r="B34" s="98" t="s">
        <v>107</v>
      </c>
      <c r="C34" s="106">
        <v>2.9624569354340154E-3</v>
      </c>
      <c r="D34" s="106">
        <v>2.9767345917433925E-3</v>
      </c>
      <c r="E34" s="106">
        <v>3.0304586505018765E-3</v>
      </c>
      <c r="F34" s="106">
        <v>3.1976916387272025E-3</v>
      </c>
      <c r="G34" s="106">
        <v>2.8997686666094556E-3</v>
      </c>
      <c r="H34" s="106">
        <v>3.4346569455596773E-3</v>
      </c>
      <c r="I34" s="106">
        <v>3.4430680049637075E-3</v>
      </c>
      <c r="J34" s="106">
        <v>3.4286108305921037E-3</v>
      </c>
      <c r="K34" s="106">
        <v>3.2890587332998051E-3</v>
      </c>
      <c r="L34" s="106">
        <v>3.485457397033904E-3</v>
      </c>
      <c r="M34" s="106">
        <v>3.486550398646108E-3</v>
      </c>
      <c r="N34" s="106">
        <v>3.3278392544332392E-3</v>
      </c>
      <c r="O34" s="106">
        <v>2.9531329183193366E-3</v>
      </c>
      <c r="P34" s="106">
        <v>3.1045025350248572E-3</v>
      </c>
      <c r="Q34" s="106">
        <v>3.3363489416307472E-3</v>
      </c>
      <c r="R34" s="106">
        <v>3.5388091153946491E-3</v>
      </c>
      <c r="S34" s="106">
        <v>2.9209991010065231E-3</v>
      </c>
      <c r="T34" s="106">
        <v>3.1278068758842201E-3</v>
      </c>
      <c r="U34" s="106">
        <v>3.2856144589112546E-3</v>
      </c>
      <c r="V34" s="106">
        <v>3.0876013063766048E-3</v>
      </c>
      <c r="W34" s="106">
        <v>2.811062072342811E-3</v>
      </c>
      <c r="X34" s="106">
        <v>2.9585537967604675E-3</v>
      </c>
      <c r="Y34" s="106">
        <v>3.2058539265208854E-3</v>
      </c>
      <c r="Z34" s="106">
        <v>3.2185719128604655E-3</v>
      </c>
      <c r="AA34" s="106">
        <v>3.1772728387351036E-3</v>
      </c>
      <c r="AB34" s="106">
        <v>3.659936793084689E-3</v>
      </c>
      <c r="AC34" s="106">
        <v>3.8763635187200832E-3</v>
      </c>
      <c r="AD34" s="106">
        <v>3.4443728179918824E-3</v>
      </c>
      <c r="AE34" s="106">
        <v>2.864222286800033E-3</v>
      </c>
      <c r="AF34" s="106">
        <v>3.2821022828781687E-3</v>
      </c>
      <c r="AG34" s="106">
        <v>3.0138704221767975E-3</v>
      </c>
      <c r="AH34" s="106">
        <v>2.7957316883769523E-3</v>
      </c>
      <c r="AI34" s="106">
        <v>2.6600128988512263E-3</v>
      </c>
      <c r="AJ34" s="106">
        <v>3.4934304868694563E-3</v>
      </c>
      <c r="AK34" s="106">
        <v>2.8297446831004784E-3</v>
      </c>
      <c r="AL34" s="106">
        <v>2.672408362116773E-3</v>
      </c>
      <c r="AM34" s="106">
        <v>2.4662455856008592E-3</v>
      </c>
      <c r="AN34" s="106">
        <v>2.6818709698447039E-3</v>
      </c>
      <c r="AO34" s="106">
        <v>2.7864309811326724E-3</v>
      </c>
    </row>
    <row r="35" spans="2:41" s="106" customFormat="1" ht="17.100000000000001" customHeight="1" x14ac:dyDescent="0.2">
      <c r="B35" s="98" t="s">
        <v>108</v>
      </c>
      <c r="C35" s="106">
        <v>5.0304439004674496E-2</v>
      </c>
      <c r="D35" s="106">
        <v>5.7620267952185028E-2</v>
      </c>
      <c r="E35" s="106">
        <v>5.5372291380257066E-2</v>
      </c>
      <c r="F35" s="106">
        <v>5.7258767958490234E-2</v>
      </c>
      <c r="G35" s="106">
        <v>4.8501499673608839E-2</v>
      </c>
      <c r="H35" s="106">
        <v>5.4716876115508045E-2</v>
      </c>
      <c r="I35" s="106">
        <v>5.6042243000812682E-2</v>
      </c>
      <c r="J35" s="106">
        <v>5.735131389862335E-2</v>
      </c>
      <c r="K35" s="106">
        <v>5.3362797741262236E-2</v>
      </c>
      <c r="L35" s="106">
        <v>5.7440815695205365E-2</v>
      </c>
      <c r="M35" s="106">
        <v>5.7078903620715174E-2</v>
      </c>
      <c r="N35" s="106">
        <v>5.8982167356295565E-2</v>
      </c>
      <c r="O35" s="106">
        <v>5.0009127502186203E-2</v>
      </c>
      <c r="P35" s="106">
        <v>5.4689859466229222E-2</v>
      </c>
      <c r="Q35" s="106">
        <v>5.8499191874940216E-2</v>
      </c>
      <c r="R35" s="106">
        <v>5.817354014591284E-2</v>
      </c>
      <c r="S35" s="106">
        <v>4.029470578732982E-2</v>
      </c>
      <c r="T35" s="106">
        <v>5.3274790109124344E-2</v>
      </c>
      <c r="U35" s="106">
        <v>5.834212689307583E-2</v>
      </c>
      <c r="V35" s="106">
        <v>5.9956595976853135E-2</v>
      </c>
      <c r="W35" s="106">
        <v>6.0016086816594497E-2</v>
      </c>
      <c r="X35" s="106">
        <v>5.9171468472492453E-2</v>
      </c>
      <c r="Y35" s="106">
        <v>5.5959803032183723E-2</v>
      </c>
      <c r="Z35" s="106">
        <v>5.485828477615045E-2</v>
      </c>
      <c r="AA35" s="106">
        <v>5.0112653131579893E-2</v>
      </c>
      <c r="AB35" s="106">
        <v>5.0953738632584969E-2</v>
      </c>
      <c r="AC35" s="106">
        <v>5.4663879675427275E-2</v>
      </c>
      <c r="AD35" s="106">
        <v>5.523461062732498E-2</v>
      </c>
      <c r="AE35" s="106">
        <v>4.7695312773031164E-2</v>
      </c>
      <c r="AF35" s="106">
        <v>5.3422979281705529E-2</v>
      </c>
      <c r="AG35" s="106">
        <v>5.1003513963185497E-2</v>
      </c>
      <c r="AH35" s="106">
        <v>4.9877545445362895E-2</v>
      </c>
      <c r="AI35" s="106">
        <v>4.6455086597778895E-2</v>
      </c>
      <c r="AJ35" s="106">
        <v>5.7348239102273067E-2</v>
      </c>
      <c r="AK35" s="106">
        <v>5.7154045458345036E-2</v>
      </c>
      <c r="AL35" s="106">
        <v>5.9631234902745599E-2</v>
      </c>
      <c r="AM35" s="106">
        <v>5.2465418545643079E-2</v>
      </c>
      <c r="AN35" s="106">
        <v>5.8541252732454169E-2</v>
      </c>
      <c r="AO35" s="106">
        <v>6.1212953868343474E-2</v>
      </c>
    </row>
    <row r="36" spans="2:41" s="106" customFormat="1" ht="17.100000000000001" customHeight="1" x14ac:dyDescent="0.2">
      <c r="B36" s="98" t="s">
        <v>109</v>
      </c>
      <c r="C36" s="106">
        <v>8.1897887944771014E-2</v>
      </c>
      <c r="D36" s="106">
        <v>9.272015217372867E-2</v>
      </c>
      <c r="E36" s="106">
        <v>8.6313036881299349E-2</v>
      </c>
      <c r="F36" s="106">
        <v>8.4975559555273972E-2</v>
      </c>
      <c r="G36" s="106">
        <v>7.3538876479870063E-2</v>
      </c>
      <c r="H36" s="106">
        <v>8.808892264531866E-2</v>
      </c>
      <c r="I36" s="106">
        <v>8.5512308714372917E-2</v>
      </c>
      <c r="J36" s="106">
        <v>8.7699494686752269E-2</v>
      </c>
      <c r="K36" s="106">
        <v>8.2265191780811625E-2</v>
      </c>
      <c r="L36" s="106">
        <v>9.5220425235539113E-2</v>
      </c>
      <c r="M36" s="106">
        <v>9.2826427310889692E-2</v>
      </c>
      <c r="N36" s="106">
        <v>9.3603240814905536E-2</v>
      </c>
      <c r="O36" s="106">
        <v>7.7185597491421745E-2</v>
      </c>
      <c r="P36" s="106">
        <v>8.4831879031913582E-2</v>
      </c>
      <c r="Q36" s="106">
        <v>9.4387372943522008E-2</v>
      </c>
      <c r="R36" s="106">
        <v>9.4093815340165407E-2</v>
      </c>
      <c r="S36" s="106">
        <v>6.4719472619355511E-2</v>
      </c>
      <c r="T36" s="106">
        <v>8.9410335988853354E-2</v>
      </c>
      <c r="U36" s="106">
        <v>9.7166652861268257E-2</v>
      </c>
      <c r="V36" s="106">
        <v>9.4106115876672405E-2</v>
      </c>
      <c r="W36" s="106">
        <v>8.273085299965692E-2</v>
      </c>
      <c r="X36" s="106">
        <v>8.412101098184252E-2</v>
      </c>
      <c r="Y36" s="106">
        <v>8.0426063111428553E-2</v>
      </c>
      <c r="Z36" s="106">
        <v>7.921668900372747E-2</v>
      </c>
      <c r="AA36" s="106">
        <v>7.2053198014203318E-2</v>
      </c>
      <c r="AB36" s="106">
        <v>7.7147116626042039E-2</v>
      </c>
      <c r="AC36" s="106">
        <v>8.3339716729282864E-2</v>
      </c>
      <c r="AD36" s="106">
        <v>8.7675870387609628E-2</v>
      </c>
      <c r="AE36" s="106">
        <v>7.6082014729095315E-2</v>
      </c>
      <c r="AF36" s="106">
        <v>8.6429651868651439E-2</v>
      </c>
      <c r="AG36" s="106">
        <v>8.3536057293261856E-2</v>
      </c>
      <c r="AH36" s="106">
        <v>7.9715854403940259E-2</v>
      </c>
      <c r="AI36" s="106">
        <v>7.0690793629454296E-2</v>
      </c>
      <c r="AJ36" s="106">
        <v>8.3420777425245091E-2</v>
      </c>
      <c r="AK36" s="106">
        <v>8.530002446814923E-2</v>
      </c>
      <c r="AL36" s="106">
        <v>9.1937501232065497E-2</v>
      </c>
      <c r="AM36" s="106">
        <v>7.4212947861207676E-2</v>
      </c>
      <c r="AN36" s="106">
        <v>8.6522646695430167E-2</v>
      </c>
      <c r="AO36" s="106">
        <v>9.0819590128277741E-2</v>
      </c>
    </row>
    <row r="37" spans="2:41" s="106" customFormat="1" ht="17.100000000000001" customHeight="1" x14ac:dyDescent="0.2">
      <c r="B37" s="98" t="s">
        <v>110</v>
      </c>
      <c r="C37" s="106">
        <v>1.6979319410566966E-2</v>
      </c>
      <c r="D37" s="106">
        <v>2.0605544298556655E-2</v>
      </c>
      <c r="E37" s="106">
        <v>1.6418291475352686E-2</v>
      </c>
      <c r="F37" s="106">
        <v>1.5395684267729087E-2</v>
      </c>
      <c r="G37" s="106">
        <v>1.9374868108414118E-2</v>
      </c>
      <c r="H37" s="106">
        <v>2.1775944920603731E-2</v>
      </c>
      <c r="I37" s="106">
        <v>1.9110916742752074E-2</v>
      </c>
      <c r="J37" s="106">
        <v>1.994096599417082E-2</v>
      </c>
      <c r="K37" s="106">
        <v>1.9127054472603416E-2</v>
      </c>
      <c r="L37" s="106">
        <v>2.0897187849617308E-2</v>
      </c>
      <c r="M37" s="106">
        <v>1.9648905934690979E-2</v>
      </c>
      <c r="N37" s="106">
        <v>2.1849204847237572E-2</v>
      </c>
      <c r="O37" s="106">
        <v>1.9157953322441079E-2</v>
      </c>
      <c r="P37" s="106">
        <v>1.7626618587081502E-2</v>
      </c>
      <c r="Q37" s="106">
        <v>1.8624464966639082E-2</v>
      </c>
      <c r="R37" s="106">
        <v>9.2696499353346288E-3</v>
      </c>
      <c r="S37" s="106">
        <v>1.779520664503936E-2</v>
      </c>
      <c r="T37" s="106">
        <v>1.7595672882933913E-2</v>
      </c>
      <c r="U37" s="106">
        <v>2.2880963756962094E-2</v>
      </c>
      <c r="V37" s="106">
        <v>1.9961858050411663E-2</v>
      </c>
      <c r="W37" s="106">
        <v>1.7974312064921331E-2</v>
      </c>
      <c r="X37" s="106">
        <v>1.9905800172487397E-2</v>
      </c>
      <c r="Y37" s="106">
        <v>1.7407781245852221E-2</v>
      </c>
      <c r="Z37" s="106">
        <v>1.8146388164241998E-2</v>
      </c>
      <c r="AA37" s="106">
        <v>1.4900921098307119E-2</v>
      </c>
      <c r="AB37" s="106">
        <v>1.3680145539951047E-2</v>
      </c>
      <c r="AC37" s="106">
        <v>1.6482843905205324E-2</v>
      </c>
      <c r="AD37" s="106">
        <v>1.5248928564288102E-2</v>
      </c>
      <c r="AE37" s="106">
        <v>1.2997820714810834E-2</v>
      </c>
      <c r="AF37" s="106">
        <v>1.3736682650507715E-2</v>
      </c>
      <c r="AG37" s="106">
        <v>1.665566697986998E-2</v>
      </c>
      <c r="AH37" s="106">
        <v>1.5123390483811987E-2</v>
      </c>
      <c r="AI37" s="106">
        <v>1.3979096299055789E-2</v>
      </c>
      <c r="AJ37" s="106">
        <v>2.1737117952335391E-2</v>
      </c>
      <c r="AK37" s="106">
        <v>1.705164580064579E-2</v>
      </c>
      <c r="AL37" s="106">
        <v>1.9389854229870624E-2</v>
      </c>
      <c r="AM37" s="106">
        <v>2.1611083711902294E-2</v>
      </c>
      <c r="AN37" s="106">
        <v>2.0393654372098759E-2</v>
      </c>
      <c r="AO37" s="106">
        <v>1.970160224809862E-2</v>
      </c>
    </row>
    <row r="38" spans="2:41" s="106" customFormat="1" ht="17.100000000000001" customHeight="1" x14ac:dyDescent="0.2">
      <c r="B38" s="98" t="s">
        <v>111</v>
      </c>
      <c r="C38" s="106">
        <v>1.673014031514847E-3</v>
      </c>
      <c r="D38" s="106">
        <v>6.6379549602561252E-3</v>
      </c>
      <c r="E38" s="106">
        <v>1.3275507028623783E-2</v>
      </c>
      <c r="F38" s="106">
        <v>6.1362688878615632E-3</v>
      </c>
      <c r="G38" s="106">
        <v>5.1239563215838601E-3</v>
      </c>
      <c r="H38" s="106">
        <v>6.5312679775284613E-3</v>
      </c>
      <c r="I38" s="106">
        <v>4.8249487868489349E-3</v>
      </c>
      <c r="J38" s="106">
        <v>3.3985486419203727E-3</v>
      </c>
      <c r="K38" s="106">
        <v>3.8828010297863591E-3</v>
      </c>
      <c r="L38" s="106">
        <v>4.5291866417221296E-3</v>
      </c>
      <c r="M38" s="106">
        <v>5.7681315201555975E-3</v>
      </c>
      <c r="N38" s="106">
        <v>4.8049245005251043E-3</v>
      </c>
      <c r="O38" s="106">
        <v>3.6235250379266135E-3</v>
      </c>
      <c r="P38" s="106">
        <v>3.6332508984664507E-3</v>
      </c>
      <c r="Q38" s="106">
        <v>4.0669542772189763E-3</v>
      </c>
      <c r="R38" s="106">
        <v>4.1270474682251783E-3</v>
      </c>
      <c r="S38" s="106">
        <v>2.8411718375301316E-3</v>
      </c>
      <c r="T38" s="106">
        <v>3.8976757445730106E-3</v>
      </c>
      <c r="U38" s="106">
        <v>3.4265134730243831E-3</v>
      </c>
      <c r="V38" s="106">
        <v>3.6913843049166074E-3</v>
      </c>
      <c r="W38" s="106">
        <v>2.3660711354504711E-3</v>
      </c>
      <c r="X38" s="106">
        <v>3.6745746105452696E-3</v>
      </c>
      <c r="Y38" s="106">
        <v>3.2791126445966831E-3</v>
      </c>
      <c r="Z38" s="106">
        <v>4.417741152204082E-3</v>
      </c>
      <c r="AA38" s="106">
        <v>2.9847932134843091E-3</v>
      </c>
      <c r="AB38" s="106">
        <v>3.2458736600588446E-3</v>
      </c>
      <c r="AC38" s="106">
        <v>4.0742113253107561E-3</v>
      </c>
      <c r="AD38" s="106">
        <v>2.7844588840085826E-3</v>
      </c>
      <c r="AE38" s="106">
        <v>2.1655066147569942E-3</v>
      </c>
      <c r="AF38" s="106">
        <v>1.8836379392793718E-3</v>
      </c>
      <c r="AG38" s="106">
        <v>3.5808611592649197E-3</v>
      </c>
      <c r="AH38" s="106">
        <v>2.8264765621494096E-3</v>
      </c>
      <c r="AI38" s="106">
        <v>1.5582098678687171E-3</v>
      </c>
      <c r="AJ38" s="106">
        <v>3.2659527520843903E-3</v>
      </c>
      <c r="AK38" s="106">
        <v>2.76884656592642E-3</v>
      </c>
      <c r="AL38" s="106">
        <v>1.9821688912418753E-3</v>
      </c>
      <c r="AM38" s="106">
        <v>2.4336934720135392E-3</v>
      </c>
      <c r="AN38" s="106">
        <v>5.8104077973841553E-3</v>
      </c>
      <c r="AO38" s="106">
        <v>2.9564906258945822E-3</v>
      </c>
    </row>
    <row r="39" spans="2:41" s="106" customFormat="1" ht="17.100000000000001" customHeight="1" x14ac:dyDescent="0.2">
      <c r="B39" s="98" t="s">
        <v>112</v>
      </c>
      <c r="C39" s="106">
        <v>5.0731467594394036E-2</v>
      </c>
      <c r="D39" s="106">
        <v>5.3220030351216106E-2</v>
      </c>
      <c r="E39" s="106">
        <v>4.496925046798083E-2</v>
      </c>
      <c r="F39" s="106">
        <v>6.1062119754769884E-2</v>
      </c>
      <c r="G39" s="106">
        <v>5.0502460215957425E-2</v>
      </c>
      <c r="H39" s="106">
        <v>5.8933191005673902E-2</v>
      </c>
      <c r="I39" s="106">
        <v>5.5079910430379735E-2</v>
      </c>
      <c r="J39" s="106">
        <v>4.3752689181658311E-2</v>
      </c>
      <c r="K39" s="106">
        <v>5.6496495673842281E-2</v>
      </c>
      <c r="L39" s="106">
        <v>5.5659225162960374E-2</v>
      </c>
      <c r="M39" s="106">
        <v>4.9473949967507085E-2</v>
      </c>
      <c r="N39" s="106">
        <v>5.5288595675921537E-2</v>
      </c>
      <c r="O39" s="106">
        <v>5.0241792499974541E-2</v>
      </c>
      <c r="P39" s="106">
        <v>5.0653526141436006E-2</v>
      </c>
      <c r="Q39" s="106">
        <v>6.0086027034363401E-2</v>
      </c>
      <c r="R39" s="106">
        <v>4.0158041991342014E-2</v>
      </c>
      <c r="S39" s="106">
        <v>4.4206505706679361E-2</v>
      </c>
      <c r="T39" s="106">
        <v>5.7325755967297609E-2</v>
      </c>
      <c r="U39" s="106">
        <v>5.1044615120053337E-2</v>
      </c>
      <c r="V39" s="106">
        <v>4.5088704701293517E-2</v>
      </c>
      <c r="W39" s="106">
        <v>4.5562823518134767E-2</v>
      </c>
      <c r="X39" s="106">
        <v>5.7524363407969147E-2</v>
      </c>
      <c r="Y39" s="106">
        <v>5.4680641010382371E-2</v>
      </c>
      <c r="Z39" s="106">
        <v>4.5909338207493919E-2</v>
      </c>
      <c r="AA39" s="106">
        <v>4.291924321485828E-2</v>
      </c>
      <c r="AB39" s="106">
        <v>5.412219811492433E-2</v>
      </c>
      <c r="AC39" s="106">
        <v>4.0063504292115047E-2</v>
      </c>
      <c r="AD39" s="106">
        <v>3.6691125390441476E-2</v>
      </c>
      <c r="AE39" s="106">
        <v>3.915530191254149E-2</v>
      </c>
      <c r="AF39" s="106">
        <v>4.1888186071199117E-2</v>
      </c>
      <c r="AG39" s="106">
        <v>4.3741822488097666E-2</v>
      </c>
      <c r="AH39" s="106">
        <v>3.8210766385283861E-2</v>
      </c>
      <c r="AI39" s="106">
        <v>3.4635155827825934E-2</v>
      </c>
      <c r="AJ39" s="106">
        <v>3.513190741723702E-2</v>
      </c>
      <c r="AK39" s="106">
        <v>3.5235050613100977E-2</v>
      </c>
      <c r="AL39" s="106">
        <v>3.2874664345161696E-2</v>
      </c>
      <c r="AM39" s="106">
        <v>3.7860554793151778E-2</v>
      </c>
      <c r="AN39" s="106">
        <v>3.9136640425390959E-2</v>
      </c>
      <c r="AO39" s="106">
        <v>3.876034635752882E-2</v>
      </c>
    </row>
    <row r="40" spans="2:41" s="106" customFormat="1" ht="17.100000000000001" customHeight="1" x14ac:dyDescent="0.2">
      <c r="B40" s="99" t="s">
        <v>113</v>
      </c>
      <c r="C40" s="106">
        <v>2.1931474976678987E-2</v>
      </c>
      <c r="D40" s="106">
        <v>2.1092851105348476E-2</v>
      </c>
      <c r="E40" s="106">
        <v>1.7230420395953228E-2</v>
      </c>
      <c r="F40" s="106">
        <v>1.6641216430313265E-2</v>
      </c>
      <c r="G40" s="106">
        <v>1.8818872099753813E-2</v>
      </c>
      <c r="H40" s="106">
        <v>2.1035494648935033E-2</v>
      </c>
      <c r="I40" s="106">
        <v>1.9769762428353363E-2</v>
      </c>
      <c r="J40" s="106">
        <v>1.941304735247738E-2</v>
      </c>
      <c r="K40" s="106">
        <v>1.8137294091906331E-2</v>
      </c>
      <c r="L40" s="106">
        <v>1.741208684759666E-2</v>
      </c>
      <c r="M40" s="106">
        <v>2.036304313906729E-2</v>
      </c>
      <c r="N40" s="106">
        <v>1.8845759388511997E-2</v>
      </c>
      <c r="O40" s="106">
        <v>1.7479732991391328E-2</v>
      </c>
      <c r="P40" s="106">
        <v>1.9488962844085207E-2</v>
      </c>
      <c r="Q40" s="106">
        <v>2.0125675181976346E-2</v>
      </c>
      <c r="R40" s="106">
        <v>1.905204044475951E-2</v>
      </c>
      <c r="S40" s="106">
        <v>1.8762811271121702E-2</v>
      </c>
      <c r="T40" s="106">
        <v>2.0762319016640822E-2</v>
      </c>
      <c r="U40" s="106">
        <v>2.0147363151772124E-2</v>
      </c>
      <c r="V40" s="106">
        <v>1.7711865903889051E-2</v>
      </c>
      <c r="W40" s="106">
        <v>1.8186401358868155E-2</v>
      </c>
      <c r="X40" s="106">
        <v>2.0942153940033958E-2</v>
      </c>
      <c r="Y40" s="106">
        <v>2.0769683293273125E-2</v>
      </c>
      <c r="Z40" s="106">
        <v>1.9252182381462857E-2</v>
      </c>
      <c r="AA40" s="106">
        <v>1.9128792541480057E-2</v>
      </c>
      <c r="AB40" s="106">
        <v>2.164766709119937E-2</v>
      </c>
      <c r="AC40" s="106">
        <v>2.5645127422220682E-2</v>
      </c>
      <c r="AD40" s="106">
        <v>2.5690279584200646E-2</v>
      </c>
      <c r="AE40" s="106">
        <v>2.3209879937039858E-2</v>
      </c>
      <c r="AF40" s="106">
        <v>2.5262584742945193E-2</v>
      </c>
      <c r="AG40" s="106">
        <v>2.8784048920423258E-2</v>
      </c>
      <c r="AH40" s="106">
        <v>1.8965217402660224E-2</v>
      </c>
      <c r="AI40" s="106">
        <v>2.113926496222699E-2</v>
      </c>
      <c r="AJ40" s="106">
        <v>2.5422175876409624E-2</v>
      </c>
      <c r="AK40" s="106">
        <v>2.6068799296552383E-2</v>
      </c>
      <c r="AL40" s="106">
        <v>2.0206695554575202E-2</v>
      </c>
      <c r="AM40" s="106">
        <v>1.996528318137987E-2</v>
      </c>
      <c r="AN40" s="106">
        <v>2.4584943590112412E-2</v>
      </c>
      <c r="AO40" s="106">
        <v>2.5965523110067477E-2</v>
      </c>
    </row>
    <row r="41" spans="2:41" s="106" customFormat="1" ht="17.100000000000001" customHeight="1" x14ac:dyDescent="0.2">
      <c r="B41" s="96" t="s">
        <v>114</v>
      </c>
      <c r="C41" s="106">
        <v>5.2168144229542222E-3</v>
      </c>
      <c r="D41" s="106">
        <v>5.6668287853711696E-3</v>
      </c>
      <c r="E41" s="106">
        <v>5.835817482567107E-3</v>
      </c>
      <c r="F41" s="106">
        <v>5.7575728906082658E-3</v>
      </c>
      <c r="G41" s="106">
        <v>5.3109789264060691E-3</v>
      </c>
      <c r="H41" s="106">
        <v>5.9625487879257097E-3</v>
      </c>
      <c r="I41" s="106">
        <v>6.0169272349776129E-3</v>
      </c>
      <c r="J41" s="106">
        <v>5.8693233958836367E-3</v>
      </c>
      <c r="K41" s="106">
        <v>5.8557098407162706E-3</v>
      </c>
      <c r="L41" s="106">
        <v>6.3160930448549523E-3</v>
      </c>
      <c r="M41" s="106">
        <v>6.290615177890241E-3</v>
      </c>
      <c r="N41" s="106">
        <v>6.6285505673089875E-3</v>
      </c>
      <c r="O41" s="106">
        <v>6.6211072685616991E-3</v>
      </c>
      <c r="P41" s="106">
        <v>7.1969148858945448E-3</v>
      </c>
      <c r="Q41" s="106">
        <v>7.5290357997030875E-3</v>
      </c>
      <c r="R41" s="106">
        <v>6.5794397384358553E-3</v>
      </c>
      <c r="S41" s="106">
        <v>2.2224625353129887E-4</v>
      </c>
      <c r="T41" s="106">
        <v>2.1988235889412924E-3</v>
      </c>
      <c r="U41" s="106">
        <v>8.5019666143848517E-3</v>
      </c>
      <c r="V41" s="106">
        <v>1.9252896873548416E-2</v>
      </c>
      <c r="W41" s="106">
        <v>7.2693526134854055E-3</v>
      </c>
      <c r="X41" s="106">
        <v>7.6516892966469689E-3</v>
      </c>
      <c r="Y41" s="106">
        <v>7.8518517117389993E-3</v>
      </c>
      <c r="Z41" s="106">
        <v>7.4000786019690519E-3</v>
      </c>
      <c r="AA41" s="106">
        <v>1.3927363638677149E-2</v>
      </c>
      <c r="AB41" s="106">
        <v>7.6838804157462401E-3</v>
      </c>
      <c r="AC41" s="106">
        <v>8.1296516416754262E-3</v>
      </c>
      <c r="AD41" s="106">
        <v>-3.6540975280412581E-4</v>
      </c>
      <c r="AE41" s="106">
        <v>2.6628093401839651E-3</v>
      </c>
      <c r="AF41" s="106">
        <v>6.9972372602451604E-3</v>
      </c>
      <c r="AG41" s="106">
        <v>9.9546211853391749E-3</v>
      </c>
      <c r="AH41" s="106">
        <v>1.0930022958855822E-2</v>
      </c>
      <c r="AI41" s="106">
        <v>8.6466313361336679E-3</v>
      </c>
      <c r="AJ41" s="106">
        <v>8.3786642908154126E-3</v>
      </c>
      <c r="AK41" s="106">
        <v>7.9135766675481438E-3</v>
      </c>
      <c r="AL41" s="106">
        <v>6.6612437669514978E-3</v>
      </c>
      <c r="AM41" s="106">
        <v>6.120191346789719E-3</v>
      </c>
      <c r="AN41" s="106">
        <v>6.1267453392993597E-3</v>
      </c>
      <c r="AO41" s="106">
        <v>6.7670307123707312E-3</v>
      </c>
    </row>
    <row r="42" spans="2:41" s="106" customFormat="1" ht="17.100000000000001" customHeight="1" x14ac:dyDescent="0.2">
      <c r="B42" s="96" t="s">
        <v>115</v>
      </c>
      <c r="C42" s="106">
        <v>-4.407689967866131E-2</v>
      </c>
      <c r="D42" s="106">
        <v>-2.2339638706487291E-2</v>
      </c>
      <c r="E42" s="106">
        <v>-2.0271348156783397E-2</v>
      </c>
      <c r="F42" s="106">
        <v>-5.2984999268284524E-2</v>
      </c>
      <c r="G42" s="106">
        <v>-5.6577460814436299E-2</v>
      </c>
      <c r="H42" s="106">
        <v>-6.9682036589934757E-2</v>
      </c>
      <c r="I42" s="106">
        <v>-6.2924377188003727E-2</v>
      </c>
      <c r="J42" s="106">
        <v>-6.9815655073126537E-2</v>
      </c>
      <c r="K42" s="106">
        <v>-6.0510857109285117E-2</v>
      </c>
      <c r="L42" s="106">
        <v>-7.1714064299432501E-2</v>
      </c>
      <c r="M42" s="106">
        <v>-3.3787026491853944E-2</v>
      </c>
      <c r="N42" s="106">
        <v>-3.9658409911266672E-2</v>
      </c>
      <c r="O42" s="106">
        <v>-4.3600159722312341E-2</v>
      </c>
      <c r="P42" s="106">
        <v>-4.4996236169246966E-2</v>
      </c>
      <c r="Q42" s="106">
        <v>-7.7681876080834822E-2</v>
      </c>
      <c r="R42" s="106">
        <v>-8.5653112875361148E-2</v>
      </c>
      <c r="S42" s="106">
        <v>-8.8158938428629027E-2</v>
      </c>
      <c r="T42" s="106">
        <v>-0.11914522115804882</v>
      </c>
      <c r="U42" s="106">
        <v>-7.3654250518591022E-2</v>
      </c>
      <c r="V42" s="106">
        <v>-0.12424939456618127</v>
      </c>
      <c r="W42" s="106">
        <v>-9.0535640785233795E-2</v>
      </c>
      <c r="X42" s="106">
        <v>-0.1083157049645341</v>
      </c>
      <c r="Y42" s="106">
        <v>-0.1112936583443213</v>
      </c>
      <c r="Z42" s="106">
        <v>-0.10861801226434316</v>
      </c>
      <c r="AA42" s="106">
        <v>-0.11218872131603881</v>
      </c>
      <c r="AB42" s="106">
        <v>-0.1047948742938536</v>
      </c>
      <c r="AC42" s="106">
        <v>-0.10093694349371736</v>
      </c>
      <c r="AD42" s="106">
        <v>-8.7788992275076236E-2</v>
      </c>
      <c r="AE42" s="106">
        <v>-9.3853529966065385E-2</v>
      </c>
      <c r="AF42" s="106">
        <v>-9.4795135241237491E-2</v>
      </c>
      <c r="AG42" s="106">
        <v>-9.9928819369659597E-2</v>
      </c>
      <c r="AH42" s="106">
        <v>-7.7813857094368583E-2</v>
      </c>
      <c r="AI42" s="106">
        <v>-7.8134817689311006E-2</v>
      </c>
      <c r="AJ42" s="106">
        <v>-0.10770090193025784</v>
      </c>
      <c r="AK42" s="106">
        <v>-6.8072315547371212E-2</v>
      </c>
      <c r="AL42" s="106">
        <v>-4.0359879135642464E-2</v>
      </c>
      <c r="AM42" s="106">
        <v>-7.5302859213311382E-2</v>
      </c>
      <c r="AN42" s="106">
        <v>-5.1661949292691918E-2</v>
      </c>
      <c r="AO42" s="106">
        <v>-5.6871232359670315E-2</v>
      </c>
    </row>
    <row r="43" spans="2:41" s="106" customFormat="1" ht="17.100000000000001" customHeight="1" x14ac:dyDescent="0.2">
      <c r="B43" s="100" t="s">
        <v>116</v>
      </c>
      <c r="C43" s="106">
        <v>0.14388480490890693</v>
      </c>
      <c r="D43" s="106">
        <v>0.17841060729554414</v>
      </c>
      <c r="E43" s="106">
        <v>0.17549531638350135</v>
      </c>
      <c r="F43" s="106">
        <v>0.16954684140329365</v>
      </c>
      <c r="G43" s="106">
        <v>0.13630791023750458</v>
      </c>
      <c r="H43" s="106">
        <v>0.16530027880298123</v>
      </c>
      <c r="I43" s="106">
        <v>0.1536224164604946</v>
      </c>
      <c r="J43" s="106">
        <v>0.14981471213256609</v>
      </c>
      <c r="K43" s="106">
        <v>0.15143200978506588</v>
      </c>
      <c r="L43" s="106">
        <v>0.16955693069986902</v>
      </c>
      <c r="M43" s="106">
        <v>0.20112042688393064</v>
      </c>
      <c r="N43" s="106">
        <v>0.1637250527882147</v>
      </c>
      <c r="O43" s="106">
        <v>0.15620700729890091</v>
      </c>
      <c r="P43" s="106">
        <v>0.16641965094671721</v>
      </c>
      <c r="Q43" s="106">
        <v>0.17363779244747363</v>
      </c>
      <c r="R43" s="106">
        <v>0.11678940166936365</v>
      </c>
      <c r="S43" s="106">
        <v>0.1425607308906692</v>
      </c>
      <c r="T43" s="106">
        <v>0.15045486006482198</v>
      </c>
      <c r="U43" s="106">
        <v>0.16972217607485446</v>
      </c>
      <c r="V43" s="106">
        <v>0.16975690313196234</v>
      </c>
      <c r="W43" s="106">
        <v>0.11125291485661334</v>
      </c>
      <c r="X43" s="106">
        <v>0.11955581986661773</v>
      </c>
      <c r="Y43" s="106">
        <v>0.12818692188377423</v>
      </c>
      <c r="Z43" s="106">
        <v>0.12217596527968295</v>
      </c>
      <c r="AA43" s="106">
        <v>0.10463081250812267</v>
      </c>
      <c r="AB43" s="106">
        <v>9.897157009358018E-2</v>
      </c>
      <c r="AC43" s="106">
        <v>0.12584537017433201</v>
      </c>
      <c r="AD43" s="106">
        <v>0.13454719537840953</v>
      </c>
      <c r="AE43" s="106">
        <v>0.13043916585661516</v>
      </c>
      <c r="AF43" s="106">
        <v>0.15880862254675529</v>
      </c>
      <c r="AG43" s="106">
        <v>0.18136616361025668</v>
      </c>
      <c r="AH43" s="106">
        <v>0.20158721048063663</v>
      </c>
      <c r="AI43" s="106">
        <v>0.17838773367642177</v>
      </c>
      <c r="AJ43" s="106">
        <v>0.19070666288377572</v>
      </c>
      <c r="AK43" s="106">
        <v>0.205038446338772</v>
      </c>
      <c r="AL43" s="106">
        <v>0.28245292046898413</v>
      </c>
      <c r="AM43" s="106">
        <v>0.24042596719180628</v>
      </c>
      <c r="AN43" s="106">
        <v>0.29198628778896429</v>
      </c>
      <c r="AO43" s="106">
        <v>0.28897210147571561</v>
      </c>
    </row>
    <row r="44" spans="2:41" s="106" customFormat="1" ht="17.100000000000001" customHeight="1" x14ac:dyDescent="0.2">
      <c r="B44" s="98" t="s">
        <v>117</v>
      </c>
      <c r="C44" s="106">
        <v>8.7083325340419557E-2</v>
      </c>
      <c r="D44" s="106">
        <v>0.11802929228892295</v>
      </c>
      <c r="E44" s="106">
        <v>0.11164579054420441</v>
      </c>
      <c r="F44" s="106">
        <v>0.10949813931562113</v>
      </c>
      <c r="G44" s="106">
        <v>8.1670764206909108E-2</v>
      </c>
      <c r="H44" s="106">
        <v>9.927847661920032E-2</v>
      </c>
      <c r="I44" s="106">
        <v>9.7712717730588622E-2</v>
      </c>
      <c r="J44" s="106">
        <v>9.4661365251526991E-2</v>
      </c>
      <c r="K44" s="106">
        <v>9.375885909593433E-2</v>
      </c>
      <c r="L44" s="106">
        <v>0.11124357200067492</v>
      </c>
      <c r="M44" s="106">
        <v>0.1492181264855704</v>
      </c>
      <c r="N44" s="106">
        <v>0.11113715340620896</v>
      </c>
      <c r="O44" s="106">
        <v>9.9011513900672296E-2</v>
      </c>
      <c r="P44" s="106">
        <v>0.10686509058256684</v>
      </c>
      <c r="Q44" s="106">
        <v>0.11820958181851732</v>
      </c>
      <c r="R44" s="106">
        <v>9.9296829233829778E-2</v>
      </c>
      <c r="S44" s="106">
        <v>0.1174478439603618</v>
      </c>
      <c r="T44" s="106">
        <v>0.11756026130720128</v>
      </c>
      <c r="U44" s="106">
        <v>0.12702133621325346</v>
      </c>
      <c r="V44" s="106">
        <v>0.12678154639066339</v>
      </c>
      <c r="W44" s="106">
        <v>7.772164746794949E-2</v>
      </c>
      <c r="X44" s="106">
        <v>8.5371856179542877E-2</v>
      </c>
      <c r="Y44" s="106">
        <v>9.1371741687474417E-2</v>
      </c>
      <c r="Z44" s="106">
        <v>8.7687020052849673E-2</v>
      </c>
      <c r="AA44" s="106">
        <v>8.0028776814378089E-2</v>
      </c>
      <c r="AB44" s="106">
        <v>7.0389891729234322E-2</v>
      </c>
      <c r="AC44" s="106">
        <v>9.4848013161311431E-2</v>
      </c>
      <c r="AD44" s="106">
        <v>0.10050005156282733</v>
      </c>
      <c r="AE44" s="106">
        <v>9.8929535796455734E-2</v>
      </c>
      <c r="AF44" s="106">
        <v>0.11887169621757698</v>
      </c>
      <c r="AG44" s="106">
        <v>0.13160019374925311</v>
      </c>
      <c r="AH44" s="106">
        <v>0.15428767573871027</v>
      </c>
      <c r="AI44" s="106">
        <v>0.13940866010893352</v>
      </c>
      <c r="AJ44" s="106">
        <v>0.1484671695747912</v>
      </c>
      <c r="AK44" s="106">
        <v>0.1589442755402776</v>
      </c>
      <c r="AL44" s="106">
        <v>0.23880037761356515</v>
      </c>
      <c r="AM44" s="106">
        <v>0.20117635548941767</v>
      </c>
      <c r="AN44" s="106">
        <v>0.25689337388882971</v>
      </c>
      <c r="AO44" s="106">
        <v>0.24159528629364019</v>
      </c>
    </row>
    <row r="45" spans="2:41" s="106" customFormat="1" ht="17.100000000000001" customHeight="1" x14ac:dyDescent="0.2">
      <c r="B45" s="98" t="s">
        <v>118</v>
      </c>
      <c r="C45" s="106">
        <v>5.6801479568487363E-2</v>
      </c>
      <c r="D45" s="106">
        <v>6.0381315006621181E-2</v>
      </c>
      <c r="E45" s="106">
        <v>6.3849525839296942E-2</v>
      </c>
      <c r="F45" s="106">
        <v>6.0048702087672524E-2</v>
      </c>
      <c r="G45" s="106">
        <v>5.4637146030595468E-2</v>
      </c>
      <c r="H45" s="106">
        <v>6.6021802183780925E-2</v>
      </c>
      <c r="I45" s="106">
        <v>5.590969872990597E-2</v>
      </c>
      <c r="J45" s="106">
        <v>5.5153346881039095E-2</v>
      </c>
      <c r="K45" s="106">
        <v>5.7673150689131564E-2</v>
      </c>
      <c r="L45" s="106">
        <v>5.8313358699194066E-2</v>
      </c>
      <c r="M45" s="106">
        <v>5.1902300398360281E-2</v>
      </c>
      <c r="N45" s="106">
        <v>5.2587899382005712E-2</v>
      </c>
      <c r="O45" s="106">
        <v>5.7195493398228589E-2</v>
      </c>
      <c r="P45" s="106">
        <v>5.9554560364150348E-2</v>
      </c>
      <c r="Q45" s="106">
        <v>5.5428210628956309E-2</v>
      </c>
      <c r="R45" s="106">
        <v>1.7492572435533874E-2</v>
      </c>
      <c r="S45" s="106">
        <v>2.5112886930307391E-2</v>
      </c>
      <c r="T45" s="106">
        <v>3.2894598757620699E-2</v>
      </c>
      <c r="U45" s="106">
        <v>4.2700839861600989E-2</v>
      </c>
      <c r="V45" s="106">
        <v>4.2975356741298959E-2</v>
      </c>
      <c r="W45" s="106">
        <v>3.3531267388663862E-2</v>
      </c>
      <c r="X45" s="106">
        <v>3.4183963687074846E-2</v>
      </c>
      <c r="Y45" s="106">
        <v>3.681518019629982E-2</v>
      </c>
      <c r="Z45" s="106">
        <v>3.4488945226833281E-2</v>
      </c>
      <c r="AA45" s="106">
        <v>2.4602035693744594E-2</v>
      </c>
      <c r="AB45" s="106">
        <v>2.8581678364345872E-2</v>
      </c>
      <c r="AC45" s="106">
        <v>3.0997357013020577E-2</v>
      </c>
      <c r="AD45" s="106">
        <v>3.4047143815582187E-2</v>
      </c>
      <c r="AE45" s="106">
        <v>3.1509630060159444E-2</v>
      </c>
      <c r="AF45" s="106">
        <v>3.9936926329178286E-2</v>
      </c>
      <c r="AG45" s="106">
        <v>4.9765969861003588E-2</v>
      </c>
      <c r="AH45" s="106">
        <v>4.7299534741926372E-2</v>
      </c>
      <c r="AI45" s="106">
        <v>3.8979073567488268E-2</v>
      </c>
      <c r="AJ45" s="106">
        <v>4.2239493308984494E-2</v>
      </c>
      <c r="AK45" s="106">
        <v>4.6094170798494392E-2</v>
      </c>
      <c r="AL45" s="106">
        <v>4.3652542855419002E-2</v>
      </c>
      <c r="AM45" s="106">
        <v>3.9249611702388602E-2</v>
      </c>
      <c r="AN45" s="106">
        <v>3.5092913900134526E-2</v>
      </c>
      <c r="AO45" s="106">
        <v>4.7376815182075406E-2</v>
      </c>
    </row>
    <row r="46" spans="2:41" s="106" customFormat="1" ht="17.100000000000001" customHeight="1" x14ac:dyDescent="0.2">
      <c r="B46" s="100" t="s">
        <v>119</v>
      </c>
      <c r="C46" s="106">
        <v>0.18796170458756822</v>
      </c>
      <c r="D46" s="106">
        <v>0.20075024600203142</v>
      </c>
      <c r="E46" s="106">
        <v>0.19576666454028474</v>
      </c>
      <c r="F46" s="106">
        <v>0.22253184067157816</v>
      </c>
      <c r="G46" s="106">
        <v>0.19288537105194087</v>
      </c>
      <c r="H46" s="106">
        <v>0.234982315392916</v>
      </c>
      <c r="I46" s="106">
        <v>0.2165467936484983</v>
      </c>
      <c r="J46" s="106">
        <v>0.21963036720569262</v>
      </c>
      <c r="K46" s="106">
        <v>0.21194286689435102</v>
      </c>
      <c r="L46" s="106">
        <v>0.24127099499930149</v>
      </c>
      <c r="M46" s="106">
        <v>0.23490745337578461</v>
      </c>
      <c r="N46" s="106">
        <v>0.20338346269948135</v>
      </c>
      <c r="O46" s="106">
        <v>0.19980716702121323</v>
      </c>
      <c r="P46" s="106">
        <v>0.21141588711596415</v>
      </c>
      <c r="Q46" s="106">
        <v>0.25131966852830845</v>
      </c>
      <c r="R46" s="106">
        <v>0.20244251454472478</v>
      </c>
      <c r="S46" s="106">
        <v>0.23071966931929822</v>
      </c>
      <c r="T46" s="106">
        <v>0.26960008122287077</v>
      </c>
      <c r="U46" s="106">
        <v>0.24337642659344547</v>
      </c>
      <c r="V46" s="106">
        <v>0.29400629769814357</v>
      </c>
      <c r="W46" s="106">
        <v>0.20178855564184714</v>
      </c>
      <c r="X46" s="106">
        <v>0.22787152483115183</v>
      </c>
      <c r="Y46" s="106">
        <v>0.23948058022809551</v>
      </c>
      <c r="Z46" s="106">
        <v>0.23079397754402611</v>
      </c>
      <c r="AA46" s="106">
        <v>0.21681953382416147</v>
      </c>
      <c r="AB46" s="106">
        <v>0.20376644438743377</v>
      </c>
      <c r="AC46" s="106">
        <v>0.22678231366804935</v>
      </c>
      <c r="AD46" s="106">
        <v>0.22233618765348576</v>
      </c>
      <c r="AE46" s="106">
        <v>0.22429269582268055</v>
      </c>
      <c r="AF46" s="106">
        <v>0.25360375778799277</v>
      </c>
      <c r="AG46" s="106">
        <v>0.28129498297991629</v>
      </c>
      <c r="AH46" s="106">
        <v>0.27940106757500521</v>
      </c>
      <c r="AI46" s="106">
        <v>0.25652255136573276</v>
      </c>
      <c r="AJ46" s="106">
        <v>0.29840756481403358</v>
      </c>
      <c r="AK46" s="106">
        <v>0.27311076188614319</v>
      </c>
      <c r="AL46" s="106">
        <v>0.32281279960462661</v>
      </c>
      <c r="AM46" s="106">
        <v>0.31572882640511768</v>
      </c>
      <c r="AN46" s="106">
        <v>0.3436482370816562</v>
      </c>
      <c r="AO46" s="106">
        <v>0.34584333383538596</v>
      </c>
    </row>
    <row r="47" spans="2:41" s="106" customFormat="1" ht="17.100000000000001" customHeight="1" x14ac:dyDescent="0.2">
      <c r="B47" s="98" t="s">
        <v>117</v>
      </c>
      <c r="C47" s="106">
        <v>0.12271848446733835</v>
      </c>
      <c r="D47" s="106">
        <v>0.13115172266683595</v>
      </c>
      <c r="E47" s="106">
        <v>0.13216837498364956</v>
      </c>
      <c r="F47" s="106">
        <v>0.14809269596837513</v>
      </c>
      <c r="G47" s="106">
        <v>0.12833508895450907</v>
      </c>
      <c r="H47" s="106">
        <v>0.15792675233703479</v>
      </c>
      <c r="I47" s="106">
        <v>0.15211399017638169</v>
      </c>
      <c r="J47" s="106">
        <v>0.14886261756699987</v>
      </c>
      <c r="K47" s="106">
        <v>0.13452441732699205</v>
      </c>
      <c r="L47" s="106">
        <v>0.15798312744427548</v>
      </c>
      <c r="M47" s="106">
        <v>0.1559698579326175</v>
      </c>
      <c r="N47" s="106">
        <v>0.13242435433167632</v>
      </c>
      <c r="O47" s="106">
        <v>0.12937117110150972</v>
      </c>
      <c r="P47" s="106">
        <v>0.14229162382158925</v>
      </c>
      <c r="Q47" s="106">
        <v>0.15508601295466359</v>
      </c>
      <c r="R47" s="106">
        <v>0.13460162053099395</v>
      </c>
      <c r="S47" s="106">
        <v>0.15944697559595244</v>
      </c>
      <c r="T47" s="106">
        <v>0.1782751716666772</v>
      </c>
      <c r="U47" s="106">
        <v>0.16470138543132865</v>
      </c>
      <c r="V47" s="106">
        <v>0.20782728390186142</v>
      </c>
      <c r="W47" s="106">
        <v>0.12983208935269394</v>
      </c>
      <c r="X47" s="106">
        <v>0.15564019749898503</v>
      </c>
      <c r="Y47" s="106">
        <v>0.1653721340917291</v>
      </c>
      <c r="Z47" s="106">
        <v>0.15811050044785438</v>
      </c>
      <c r="AA47" s="106">
        <v>0.14549701384714794</v>
      </c>
      <c r="AB47" s="106">
        <v>0.13495380631528436</v>
      </c>
      <c r="AC47" s="106">
        <v>0.15323083521024244</v>
      </c>
      <c r="AD47" s="106">
        <v>0.15518595554816456</v>
      </c>
      <c r="AE47" s="106">
        <v>0.15837754003916288</v>
      </c>
      <c r="AF47" s="106">
        <v>0.17757185449038468</v>
      </c>
      <c r="AG47" s="106">
        <v>0.19810681192544699</v>
      </c>
      <c r="AH47" s="106">
        <v>0.19709547723359422</v>
      </c>
      <c r="AI47" s="106">
        <v>0.18713757833268441</v>
      </c>
      <c r="AJ47" s="106">
        <v>0.22090033863836914</v>
      </c>
      <c r="AK47" s="106">
        <v>0.20101919167433913</v>
      </c>
      <c r="AL47" s="106">
        <v>0.24480762953796789</v>
      </c>
      <c r="AM47" s="106">
        <v>0.22936121727630396</v>
      </c>
      <c r="AN47" s="106">
        <v>0.25849492965434745</v>
      </c>
      <c r="AO47" s="106">
        <v>0.2531660110990685</v>
      </c>
    </row>
    <row r="48" spans="2:41" s="106" customFormat="1" ht="17.100000000000001" customHeight="1" x14ac:dyDescent="0.2">
      <c r="B48" s="98" t="s">
        <v>118</v>
      </c>
      <c r="C48" s="106">
        <v>6.5243220120229872E-2</v>
      </c>
      <c r="D48" s="106">
        <v>6.9598523335195478E-2</v>
      </c>
      <c r="E48" s="106">
        <v>6.3598289556635171E-2</v>
      </c>
      <c r="F48" s="106">
        <v>7.4439144703203064E-2</v>
      </c>
      <c r="G48" s="106">
        <v>6.4550282097431799E-2</v>
      </c>
      <c r="H48" s="106">
        <v>7.7055563055881224E-2</v>
      </c>
      <c r="I48" s="106">
        <v>6.4432803472116634E-2</v>
      </c>
      <c r="J48" s="106">
        <v>7.0767749638692756E-2</v>
      </c>
      <c r="K48" s="106">
        <v>7.741844956735898E-2</v>
      </c>
      <c r="L48" s="106">
        <v>8.3287867555025999E-2</v>
      </c>
      <c r="M48" s="106">
        <v>7.8937595443167127E-2</v>
      </c>
      <c r="N48" s="106">
        <v>7.0959108367805029E-2</v>
      </c>
      <c r="O48" s="106">
        <v>7.0435995919703523E-2</v>
      </c>
      <c r="P48" s="106">
        <v>6.9124263294374919E-2</v>
      </c>
      <c r="Q48" s="106">
        <v>9.6233655573644841E-2</v>
      </c>
      <c r="R48" s="106">
        <v>6.7840894013730821E-2</v>
      </c>
      <c r="S48" s="106">
        <v>7.1272693723345784E-2</v>
      </c>
      <c r="T48" s="106">
        <v>9.1324909556193587E-2</v>
      </c>
      <c r="U48" s="106">
        <v>7.8675041162116849E-2</v>
      </c>
      <c r="V48" s="106">
        <v>8.6179013796282178E-2</v>
      </c>
      <c r="W48" s="106">
        <v>7.1956466289153226E-2</v>
      </c>
      <c r="X48" s="106">
        <v>7.223132733216682E-2</v>
      </c>
      <c r="Y48" s="106">
        <v>7.4108446136366399E-2</v>
      </c>
      <c r="Z48" s="106">
        <v>7.2683477096171747E-2</v>
      </c>
      <c r="AA48" s="106">
        <v>7.1322519977013554E-2</v>
      </c>
      <c r="AB48" s="106">
        <v>6.8812638072149435E-2</v>
      </c>
      <c r="AC48" s="106">
        <v>7.3551478457806935E-2</v>
      </c>
      <c r="AD48" s="106">
        <v>6.7150232105321186E-2</v>
      </c>
      <c r="AE48" s="106">
        <v>6.5915155783517698E-2</v>
      </c>
      <c r="AF48" s="106">
        <v>7.6031903297608103E-2</v>
      </c>
      <c r="AG48" s="106">
        <v>8.3188171054469268E-2</v>
      </c>
      <c r="AH48" s="106">
        <v>8.2305590341410995E-2</v>
      </c>
      <c r="AI48" s="106">
        <v>6.9384973033048358E-2</v>
      </c>
      <c r="AJ48" s="106">
        <v>7.7507226175664412E-2</v>
      </c>
      <c r="AK48" s="106">
        <v>7.2091570211804082E-2</v>
      </c>
      <c r="AL48" s="106">
        <v>7.8005170066658691E-2</v>
      </c>
      <c r="AM48" s="106">
        <v>8.6367609128813694E-2</v>
      </c>
      <c r="AN48" s="106">
        <v>8.51533074273087E-2</v>
      </c>
      <c r="AO48" s="106">
        <v>9.2677322736317402E-2</v>
      </c>
    </row>
    <row r="49" spans="1:41" s="106" customFormat="1" ht="17.100000000000001" customHeight="1" x14ac:dyDescent="0.2">
      <c r="B49" s="100" t="s">
        <v>120</v>
      </c>
      <c r="C49" s="106">
        <v>9.5977743391592429E-2</v>
      </c>
      <c r="D49" s="106">
        <v>-4.1874714738431955E-2</v>
      </c>
      <c r="E49" s="106">
        <v>-1.9892652893063356E-2</v>
      </c>
      <c r="F49" s="106">
        <v>-3.7252827563665644E-2</v>
      </c>
      <c r="G49" s="106">
        <v>8.3140440030962187E-2</v>
      </c>
      <c r="H49" s="106">
        <v>-2.3135192306901024E-2</v>
      </c>
      <c r="I49" s="106">
        <v>-1.138365605675698E-2</v>
      </c>
      <c r="J49" s="106">
        <v>-5.5124201466127676E-3</v>
      </c>
      <c r="K49" s="106">
        <v>6.2006890858459437E-2</v>
      </c>
      <c r="L49" s="106">
        <v>-4.083222579084147E-3</v>
      </c>
      <c r="M49" s="106">
        <v>-1.2954025643630605E-2</v>
      </c>
      <c r="N49" s="106">
        <v>-5.9777387172408707E-2</v>
      </c>
      <c r="O49" s="106">
        <v>4.2765562130011245E-2</v>
      </c>
      <c r="P49" s="106">
        <v>-2.2071593171814265E-2</v>
      </c>
      <c r="Q49" s="106">
        <v>1.5408244967817737E-2</v>
      </c>
      <c r="R49" s="106">
        <v>9.8541560692261398E-3</v>
      </c>
      <c r="S49" s="106">
        <v>0.11754705601703737</v>
      </c>
      <c r="T49" s="106">
        <v>3.0493234231738494E-2</v>
      </c>
      <c r="U49" s="106">
        <v>-2.5066182837318911E-2</v>
      </c>
      <c r="V49" s="106">
        <v>3.0185796699372047E-2</v>
      </c>
      <c r="W49" s="106">
        <v>9.2778620517472904E-2</v>
      </c>
      <c r="X49" s="106">
        <v>4.6850469288774829E-2</v>
      </c>
      <c r="Y49" s="106">
        <v>4.6305624908512463E-2</v>
      </c>
      <c r="Z49" s="106">
        <v>3.5600217609960197E-2</v>
      </c>
      <c r="AA49" s="106">
        <v>0.10711741313538452</v>
      </c>
      <c r="AB49" s="106">
        <v>2.4981057246843387E-2</v>
      </c>
      <c r="AC49" s="106">
        <v>4.1315547573437014E-2</v>
      </c>
      <c r="AD49" s="106">
        <v>6.6638288674171889E-2</v>
      </c>
      <c r="AE49" s="106">
        <v>0.12722910301193247</v>
      </c>
      <c r="AF49" s="106">
        <v>0.13216844935721428</v>
      </c>
      <c r="AG49" s="106">
        <v>8.9358978283079898E-2</v>
      </c>
      <c r="AH49" s="106">
        <v>7.625927072659E-2</v>
      </c>
      <c r="AI49" s="106">
        <v>0.10603185207226185</v>
      </c>
      <c r="AJ49" s="106">
        <v>0.10220147053869565</v>
      </c>
      <c r="AK49" s="106">
        <v>4.3669773090099027E-2</v>
      </c>
      <c r="AL49" s="106">
        <v>5.8367440879030986E-2</v>
      </c>
      <c r="AM49" s="106">
        <v>2.6175220353659271E-2</v>
      </c>
      <c r="AN49" s="106">
        <v>-1.2006119318523372E-2</v>
      </c>
      <c r="AO49" s="106">
        <v>4.1355383458622282E-2</v>
      </c>
    </row>
    <row r="50" spans="1:41" s="106" customFormat="1" ht="17.100000000000001" customHeight="1" x14ac:dyDescent="0.2">
      <c r="B50" s="96" t="s">
        <v>121</v>
      </c>
      <c r="C50" s="106">
        <v>1</v>
      </c>
      <c r="D50" s="106">
        <v>1</v>
      </c>
      <c r="E50" s="106">
        <v>1</v>
      </c>
      <c r="F50" s="106">
        <v>1</v>
      </c>
      <c r="G50" s="106">
        <v>1</v>
      </c>
      <c r="H50" s="106">
        <v>1</v>
      </c>
      <c r="I50" s="106">
        <v>1</v>
      </c>
      <c r="J50" s="106">
        <v>1</v>
      </c>
      <c r="K50" s="106">
        <v>1</v>
      </c>
      <c r="L50" s="106">
        <v>1</v>
      </c>
      <c r="M50" s="106">
        <v>1</v>
      </c>
      <c r="N50" s="106">
        <v>1</v>
      </c>
      <c r="O50" s="106">
        <v>1</v>
      </c>
      <c r="P50" s="106">
        <v>1</v>
      </c>
      <c r="Q50" s="106">
        <v>1</v>
      </c>
      <c r="R50" s="106">
        <v>1</v>
      </c>
      <c r="S50" s="106">
        <v>1</v>
      </c>
      <c r="T50" s="106">
        <v>1</v>
      </c>
      <c r="U50" s="106">
        <v>1</v>
      </c>
      <c r="V50" s="106">
        <v>1</v>
      </c>
      <c r="W50" s="106">
        <v>1</v>
      </c>
      <c r="X50" s="106">
        <v>1</v>
      </c>
      <c r="Y50" s="106">
        <v>1</v>
      </c>
      <c r="Z50" s="106">
        <v>1</v>
      </c>
      <c r="AA50" s="106">
        <v>1</v>
      </c>
      <c r="AB50" s="106">
        <v>1</v>
      </c>
      <c r="AC50" s="106">
        <v>1</v>
      </c>
      <c r="AD50" s="106">
        <v>1</v>
      </c>
      <c r="AE50" s="106">
        <v>1</v>
      </c>
      <c r="AF50" s="106">
        <v>1</v>
      </c>
      <c r="AG50" s="106">
        <v>1</v>
      </c>
      <c r="AH50" s="106">
        <v>1</v>
      </c>
      <c r="AI50" s="106">
        <v>1</v>
      </c>
      <c r="AJ50" s="106">
        <v>1</v>
      </c>
      <c r="AK50" s="106">
        <v>1</v>
      </c>
      <c r="AL50" s="106">
        <v>1</v>
      </c>
      <c r="AM50" s="106">
        <v>1</v>
      </c>
      <c r="AN50" s="106">
        <v>1</v>
      </c>
      <c r="AO50" s="106">
        <v>1</v>
      </c>
    </row>
    <row r="51" spans="1:41" s="110" customFormat="1" ht="17.100000000000001" customHeight="1" x14ac:dyDescent="0.2">
      <c r="A51" s="109"/>
      <c r="B51" s="105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41" ht="17.100000000000001" customHeight="1" x14ac:dyDescent="0.2">
      <c r="A52" s="110"/>
      <c r="B52" s="111"/>
    </row>
    <row r="53" spans="1:41" ht="17.100000000000001" customHeight="1" x14ac:dyDescent="0.2">
      <c r="A53" s="110"/>
      <c r="B53" s="110"/>
    </row>
    <row r="54" spans="1:41" ht="17.100000000000001" customHeight="1" x14ac:dyDescent="0.2">
      <c r="A54" s="110"/>
      <c r="B54" s="110"/>
    </row>
    <row r="55" spans="1:41" ht="17.100000000000001" customHeight="1" x14ac:dyDescent="0.2">
      <c r="A55" s="110"/>
      <c r="B55" s="110"/>
    </row>
    <row r="56" spans="1:41" ht="17.100000000000001" customHeight="1" x14ac:dyDescent="0.2">
      <c r="A56" s="106"/>
      <c r="B56" s="107"/>
    </row>
    <row r="57" spans="1:41" ht="17.100000000000001" customHeight="1" x14ac:dyDescent="0.2">
      <c r="A57" s="106"/>
      <c r="B57" s="106"/>
    </row>
    <row r="58" spans="1:41" ht="17.100000000000001" customHeight="1" x14ac:dyDescent="0.2">
      <c r="A58" s="106"/>
      <c r="B58" s="106"/>
    </row>
    <row r="59" spans="1:41" ht="17.100000000000001" customHeight="1" x14ac:dyDescent="0.2">
      <c r="A59" s="106"/>
      <c r="B59" s="106"/>
    </row>
    <row r="61" spans="1:41" ht="17.100000000000001" customHeight="1" x14ac:dyDescent="0.2">
      <c r="A61" s="112"/>
      <c r="B61" s="112"/>
    </row>
    <row r="62" spans="1:41" ht="17.100000000000001" customHeight="1" x14ac:dyDescent="0.2">
      <c r="A62" s="113"/>
      <c r="B62" s="83"/>
    </row>
    <row r="63" spans="1:41" ht="17.100000000000001" customHeight="1" x14ac:dyDescent="0.2">
      <c r="A63" s="95"/>
      <c r="B63" s="96"/>
    </row>
    <row r="64" spans="1:41" ht="17.100000000000001" customHeight="1" x14ac:dyDescent="0.2">
      <c r="A64" s="94"/>
      <c r="B64" s="98"/>
    </row>
    <row r="65" spans="1:2" ht="17.100000000000001" customHeight="1" x14ac:dyDescent="0.2">
      <c r="A65" s="94"/>
      <c r="B65" s="98"/>
    </row>
    <row r="66" spans="1:2" ht="17.100000000000001" customHeight="1" x14ac:dyDescent="0.2">
      <c r="A66" s="94"/>
      <c r="B66" s="98"/>
    </row>
    <row r="67" spans="1:2" ht="17.100000000000001" customHeight="1" x14ac:dyDescent="0.2">
      <c r="A67" s="95"/>
      <c r="B67" s="96"/>
    </row>
    <row r="68" spans="1:2" ht="17.100000000000001" customHeight="1" x14ac:dyDescent="0.2">
      <c r="A68" s="94"/>
      <c r="B68" s="98"/>
    </row>
    <row r="69" spans="1:2" ht="17.100000000000001" customHeight="1" x14ac:dyDescent="0.2">
      <c r="A69" s="94"/>
      <c r="B69" s="98"/>
    </row>
    <row r="70" spans="1:2" ht="17.100000000000001" customHeight="1" x14ac:dyDescent="0.2">
      <c r="A70" s="94"/>
      <c r="B70" s="98"/>
    </row>
    <row r="71" spans="1:2" ht="17.100000000000001" customHeight="1" x14ac:dyDescent="0.2">
      <c r="A71" s="106"/>
      <c r="B71" s="107"/>
    </row>
    <row r="72" spans="1:2" ht="17.100000000000001" customHeight="1" x14ac:dyDescent="0.2">
      <c r="A72" s="106"/>
      <c r="B72" s="106"/>
    </row>
    <row r="73" spans="1:2" ht="17.100000000000001" customHeight="1" x14ac:dyDescent="0.2">
      <c r="A73" s="106"/>
      <c r="B73" s="106"/>
    </row>
    <row r="74" spans="1:2" ht="17.100000000000001" customHeight="1" x14ac:dyDescent="0.2">
      <c r="A74" s="106"/>
      <c r="B74" s="106"/>
    </row>
    <row r="75" spans="1:2" ht="17.100000000000001" customHeight="1" x14ac:dyDescent="0.2">
      <c r="A75" s="110"/>
      <c r="B75" s="111"/>
    </row>
    <row r="76" spans="1:2" ht="17.100000000000001" customHeight="1" x14ac:dyDescent="0.2">
      <c r="A76" s="110"/>
      <c r="B76" s="110"/>
    </row>
    <row r="77" spans="1:2" ht="17.100000000000001" customHeight="1" x14ac:dyDescent="0.2">
      <c r="A77" s="110"/>
      <c r="B77" s="110"/>
    </row>
    <row r="78" spans="1:2" ht="17.100000000000001" customHeight="1" x14ac:dyDescent="0.2">
      <c r="A78" s="110"/>
      <c r="B78" s="110"/>
    </row>
    <row r="79" spans="1:2" ht="17.100000000000001" customHeight="1" x14ac:dyDescent="0.2">
      <c r="A79" s="110"/>
      <c r="B79" s="111"/>
    </row>
    <row r="80" spans="1:2" ht="17.100000000000001" customHeight="1" x14ac:dyDescent="0.2">
      <c r="A80" s="110"/>
      <c r="B80" s="110"/>
    </row>
    <row r="81" spans="1:2" ht="17.100000000000001" customHeight="1" x14ac:dyDescent="0.2">
      <c r="A81" s="110"/>
      <c r="B81" s="110"/>
    </row>
    <row r="82" spans="1:2" ht="17.100000000000001" customHeight="1" x14ac:dyDescent="0.2">
      <c r="A82" s="110"/>
      <c r="B82" s="110"/>
    </row>
    <row r="83" spans="1:2" ht="17.100000000000001" customHeight="1" x14ac:dyDescent="0.2">
      <c r="A83" s="106"/>
      <c r="B83" s="107"/>
    </row>
    <row r="84" spans="1:2" ht="17.100000000000001" customHeight="1" x14ac:dyDescent="0.2">
      <c r="A84" s="106"/>
      <c r="B84" s="106"/>
    </row>
    <row r="85" spans="1:2" ht="17.100000000000001" customHeight="1" x14ac:dyDescent="0.2">
      <c r="A85" s="106"/>
      <c r="B85" s="106"/>
    </row>
    <row r="86" spans="1:2" ht="17.100000000000001" customHeight="1" x14ac:dyDescent="0.2">
      <c r="A86" s="106"/>
      <c r="B86" s="106"/>
    </row>
    <row r="88" spans="1:2" s="94" customFormat="1" ht="17.100000000000001" customHeight="1" x14ac:dyDescent="0.2">
      <c r="A88" s="112"/>
      <c r="B88" s="112"/>
    </row>
    <row r="89" spans="1:2" ht="17.100000000000001" customHeight="1" x14ac:dyDescent="0.2">
      <c r="A89" s="113"/>
      <c r="B89" s="83"/>
    </row>
    <row r="90" spans="1:2" ht="17.100000000000001" customHeight="1" x14ac:dyDescent="0.2">
      <c r="A90" s="95"/>
      <c r="B90" s="96"/>
    </row>
    <row r="91" spans="1:2" ht="17.100000000000001" customHeight="1" x14ac:dyDescent="0.2">
      <c r="A91" s="94"/>
      <c r="B91" s="98"/>
    </row>
    <row r="92" spans="1:2" ht="17.100000000000001" customHeight="1" x14ac:dyDescent="0.2">
      <c r="A92" s="94"/>
      <c r="B92" s="98"/>
    </row>
    <row r="93" spans="1:2" ht="17.100000000000001" customHeight="1" x14ac:dyDescent="0.2">
      <c r="A93" s="94"/>
      <c r="B93" s="98"/>
    </row>
    <row r="94" spans="1:2" ht="17.100000000000001" customHeight="1" x14ac:dyDescent="0.2">
      <c r="A94" s="95"/>
      <c r="B94" s="96"/>
    </row>
    <row r="95" spans="1:2" ht="17.100000000000001" customHeight="1" x14ac:dyDescent="0.2">
      <c r="A95" s="94"/>
      <c r="B95" s="98"/>
    </row>
    <row r="96" spans="1:2" ht="17.100000000000001" customHeight="1" x14ac:dyDescent="0.2">
      <c r="A96" s="94"/>
      <c r="B96" s="98"/>
    </row>
    <row r="97" spans="1:2" ht="17.100000000000001" customHeight="1" x14ac:dyDescent="0.2">
      <c r="A97" s="94"/>
      <c r="B97" s="98"/>
    </row>
    <row r="98" spans="1:2" ht="17.100000000000001" customHeight="1" x14ac:dyDescent="0.2">
      <c r="A98" s="106"/>
      <c r="B98" s="107"/>
    </row>
    <row r="99" spans="1:2" ht="17.100000000000001" customHeight="1" x14ac:dyDescent="0.2">
      <c r="A99" s="106"/>
      <c r="B99" s="106"/>
    </row>
    <row r="100" spans="1:2" ht="17.100000000000001" customHeight="1" x14ac:dyDescent="0.2">
      <c r="A100" s="106"/>
      <c r="B100" s="106"/>
    </row>
    <row r="101" spans="1:2" ht="17.100000000000001" customHeight="1" x14ac:dyDescent="0.2">
      <c r="A101" s="106"/>
      <c r="B101" s="106"/>
    </row>
    <row r="102" spans="1:2" ht="17.100000000000001" customHeight="1" x14ac:dyDescent="0.2">
      <c r="A102" s="110"/>
      <c r="B102" s="111"/>
    </row>
    <row r="103" spans="1:2" ht="17.100000000000001" customHeight="1" x14ac:dyDescent="0.2">
      <c r="A103" s="110"/>
      <c r="B103" s="110"/>
    </row>
    <row r="104" spans="1:2" ht="17.100000000000001" customHeight="1" x14ac:dyDescent="0.2">
      <c r="A104" s="110"/>
      <c r="B104" s="110"/>
    </row>
    <row r="105" spans="1:2" ht="17.100000000000001" customHeight="1" x14ac:dyDescent="0.2">
      <c r="A105" s="110"/>
      <c r="B105" s="110"/>
    </row>
    <row r="106" spans="1:2" ht="17.100000000000001" customHeight="1" x14ac:dyDescent="0.2">
      <c r="A106" s="110"/>
      <c r="B106" s="111"/>
    </row>
    <row r="107" spans="1:2" ht="17.100000000000001" customHeight="1" x14ac:dyDescent="0.2">
      <c r="A107" s="110"/>
      <c r="B107" s="110"/>
    </row>
    <row r="108" spans="1:2" ht="17.100000000000001" customHeight="1" x14ac:dyDescent="0.2">
      <c r="A108" s="110"/>
      <c r="B108" s="110"/>
    </row>
    <row r="109" spans="1:2" ht="17.100000000000001" customHeight="1" x14ac:dyDescent="0.2">
      <c r="A109" s="110"/>
      <c r="B109" s="110"/>
    </row>
    <row r="110" spans="1:2" ht="17.100000000000001" customHeight="1" x14ac:dyDescent="0.2">
      <c r="A110" s="106"/>
      <c r="B110" s="107"/>
    </row>
    <row r="111" spans="1:2" ht="17.100000000000001" customHeight="1" x14ac:dyDescent="0.2">
      <c r="A111" s="106"/>
      <c r="B111" s="106"/>
    </row>
    <row r="112" spans="1:2" ht="17.100000000000001" customHeight="1" x14ac:dyDescent="0.2">
      <c r="A112" s="106"/>
      <c r="B112" s="106"/>
    </row>
    <row r="113" spans="1:2" ht="17.100000000000001" customHeight="1" x14ac:dyDescent="0.2">
      <c r="A113" s="106"/>
      <c r="B113" s="106"/>
    </row>
    <row r="115" spans="1:2" ht="17.100000000000001" customHeight="1" x14ac:dyDescent="0.2">
      <c r="A115" s="112"/>
      <c r="B115" s="112"/>
    </row>
    <row r="116" spans="1:2" ht="17.100000000000001" customHeight="1" x14ac:dyDescent="0.2">
      <c r="A116" s="113"/>
      <c r="B116" s="83"/>
    </row>
    <row r="117" spans="1:2" ht="17.100000000000001" customHeight="1" x14ac:dyDescent="0.2">
      <c r="A117" s="95"/>
      <c r="B117" s="96"/>
    </row>
    <row r="118" spans="1:2" ht="17.100000000000001" customHeight="1" x14ac:dyDescent="0.2">
      <c r="A118" s="94"/>
      <c r="B118" s="98"/>
    </row>
    <row r="119" spans="1:2" ht="17.100000000000001" customHeight="1" x14ac:dyDescent="0.2">
      <c r="A119" s="94"/>
      <c r="B119" s="98"/>
    </row>
    <row r="120" spans="1:2" ht="17.100000000000001" customHeight="1" x14ac:dyDescent="0.2">
      <c r="A120" s="94"/>
      <c r="B120" s="98"/>
    </row>
    <row r="121" spans="1:2" ht="17.100000000000001" customHeight="1" x14ac:dyDescent="0.2">
      <c r="A121" s="95"/>
      <c r="B121" s="96"/>
    </row>
    <row r="122" spans="1:2" ht="17.100000000000001" customHeight="1" x14ac:dyDescent="0.2">
      <c r="A122" s="94"/>
      <c r="B122" s="98"/>
    </row>
    <row r="123" spans="1:2" ht="17.100000000000001" customHeight="1" x14ac:dyDescent="0.2">
      <c r="A123" s="94"/>
      <c r="B123" s="98"/>
    </row>
    <row r="124" spans="1:2" ht="17.100000000000001" customHeight="1" x14ac:dyDescent="0.2">
      <c r="A124" s="94"/>
      <c r="B124" s="98"/>
    </row>
    <row r="125" spans="1:2" ht="17.100000000000001" customHeight="1" x14ac:dyDescent="0.2">
      <c r="A125" s="106"/>
      <c r="B125" s="107"/>
    </row>
    <row r="126" spans="1:2" ht="17.100000000000001" customHeight="1" x14ac:dyDescent="0.2">
      <c r="A126" s="106"/>
      <c r="B126" s="106"/>
    </row>
    <row r="127" spans="1:2" ht="17.100000000000001" customHeight="1" x14ac:dyDescent="0.2">
      <c r="A127" s="106"/>
      <c r="B127" s="106"/>
    </row>
    <row r="128" spans="1:2" ht="17.100000000000001" customHeight="1" x14ac:dyDescent="0.2">
      <c r="A128" s="106"/>
      <c r="B128" s="106"/>
    </row>
    <row r="129" spans="1:2" ht="17.100000000000001" customHeight="1" x14ac:dyDescent="0.2">
      <c r="A129" s="110"/>
      <c r="B129" s="111"/>
    </row>
    <row r="130" spans="1:2" ht="17.100000000000001" customHeight="1" x14ac:dyDescent="0.2">
      <c r="A130" s="110"/>
      <c r="B130" s="110"/>
    </row>
    <row r="131" spans="1:2" ht="17.100000000000001" customHeight="1" x14ac:dyDescent="0.2">
      <c r="A131" s="110"/>
      <c r="B131" s="110"/>
    </row>
    <row r="132" spans="1:2" ht="17.100000000000001" customHeight="1" x14ac:dyDescent="0.2">
      <c r="A132" s="110"/>
      <c r="B132" s="110"/>
    </row>
    <row r="133" spans="1:2" ht="17.100000000000001" customHeight="1" x14ac:dyDescent="0.2">
      <c r="A133" s="110"/>
      <c r="B133" s="111"/>
    </row>
    <row r="134" spans="1:2" ht="17.100000000000001" customHeight="1" x14ac:dyDescent="0.2">
      <c r="A134" s="110"/>
      <c r="B134" s="110"/>
    </row>
    <row r="135" spans="1:2" ht="17.100000000000001" customHeight="1" x14ac:dyDescent="0.2">
      <c r="A135" s="110"/>
      <c r="B135" s="110"/>
    </row>
    <row r="136" spans="1:2" ht="17.100000000000001" customHeight="1" x14ac:dyDescent="0.2">
      <c r="A136" s="110"/>
      <c r="B136" s="110"/>
    </row>
    <row r="137" spans="1:2" ht="17.100000000000001" customHeight="1" x14ac:dyDescent="0.2">
      <c r="A137" s="106"/>
      <c r="B137" s="107"/>
    </row>
    <row r="138" spans="1:2" ht="17.100000000000001" customHeight="1" x14ac:dyDescent="0.2">
      <c r="A138" s="106"/>
      <c r="B138" s="106"/>
    </row>
    <row r="139" spans="1:2" ht="17.100000000000001" customHeight="1" x14ac:dyDescent="0.2">
      <c r="A139" s="106"/>
      <c r="B139" s="106"/>
    </row>
    <row r="140" spans="1:2" ht="17.100000000000001" customHeight="1" x14ac:dyDescent="0.2">
      <c r="A140" s="106"/>
      <c r="B140" s="106"/>
    </row>
    <row r="142" spans="1:2" ht="17.100000000000001" customHeight="1" x14ac:dyDescent="0.2">
      <c r="A142" s="112"/>
      <c r="B142" s="112"/>
    </row>
    <row r="143" spans="1:2" ht="17.100000000000001" customHeight="1" x14ac:dyDescent="0.2">
      <c r="A143" s="113"/>
      <c r="B143" s="83"/>
    </row>
    <row r="144" spans="1:2" ht="17.100000000000001" customHeight="1" x14ac:dyDescent="0.2">
      <c r="A144" s="95"/>
      <c r="B144" s="96"/>
    </row>
    <row r="145" spans="1:2" ht="17.100000000000001" customHeight="1" x14ac:dyDescent="0.2">
      <c r="A145" s="94"/>
      <c r="B145" s="98"/>
    </row>
    <row r="146" spans="1:2" ht="17.100000000000001" customHeight="1" x14ac:dyDescent="0.2">
      <c r="A146" s="94"/>
      <c r="B146" s="98"/>
    </row>
    <row r="147" spans="1:2" ht="17.100000000000001" customHeight="1" x14ac:dyDescent="0.2">
      <c r="A147" s="94"/>
      <c r="B147" s="98"/>
    </row>
    <row r="148" spans="1:2" ht="17.100000000000001" customHeight="1" x14ac:dyDescent="0.2">
      <c r="A148" s="95"/>
      <c r="B148" s="96"/>
    </row>
    <row r="149" spans="1:2" ht="17.100000000000001" customHeight="1" x14ac:dyDescent="0.2">
      <c r="A149" s="94"/>
      <c r="B149" s="98"/>
    </row>
    <row r="150" spans="1:2" ht="17.100000000000001" customHeight="1" x14ac:dyDescent="0.2">
      <c r="A150" s="94"/>
      <c r="B150" s="98"/>
    </row>
    <row r="151" spans="1:2" ht="17.100000000000001" customHeight="1" x14ac:dyDescent="0.2">
      <c r="A151" s="94"/>
      <c r="B151" s="98"/>
    </row>
    <row r="152" spans="1:2" ht="17.100000000000001" customHeight="1" x14ac:dyDescent="0.2">
      <c r="A152" s="106"/>
      <c r="B152" s="107"/>
    </row>
    <row r="153" spans="1:2" ht="17.100000000000001" customHeight="1" x14ac:dyDescent="0.2">
      <c r="A153" s="106"/>
      <c r="B153" s="106"/>
    </row>
    <row r="154" spans="1:2" ht="17.100000000000001" customHeight="1" x14ac:dyDescent="0.2">
      <c r="A154" s="106"/>
      <c r="B154" s="106"/>
    </row>
    <row r="155" spans="1:2" ht="17.100000000000001" customHeight="1" x14ac:dyDescent="0.2">
      <c r="A155" s="106"/>
      <c r="B155" s="106"/>
    </row>
    <row r="156" spans="1:2" ht="17.100000000000001" customHeight="1" x14ac:dyDescent="0.2">
      <c r="A156" s="110"/>
      <c r="B156" s="111"/>
    </row>
    <row r="157" spans="1:2" ht="17.100000000000001" customHeight="1" x14ac:dyDescent="0.2">
      <c r="A157" s="110"/>
      <c r="B157" s="110"/>
    </row>
    <row r="158" spans="1:2" ht="17.100000000000001" customHeight="1" x14ac:dyDescent="0.2">
      <c r="A158" s="110"/>
      <c r="B158" s="110"/>
    </row>
    <row r="159" spans="1:2" ht="17.100000000000001" customHeight="1" x14ac:dyDescent="0.2">
      <c r="A159" s="110"/>
      <c r="B159" s="110"/>
    </row>
    <row r="160" spans="1:2" ht="17.100000000000001" customHeight="1" x14ac:dyDescent="0.2">
      <c r="A160" s="110"/>
      <c r="B160" s="111"/>
    </row>
    <row r="161" spans="1:2" ht="17.100000000000001" customHeight="1" x14ac:dyDescent="0.2">
      <c r="A161" s="110"/>
      <c r="B161" s="110"/>
    </row>
    <row r="162" spans="1:2" ht="17.100000000000001" customHeight="1" x14ac:dyDescent="0.2">
      <c r="A162" s="110"/>
      <c r="B162" s="110"/>
    </row>
    <row r="163" spans="1:2" ht="17.100000000000001" customHeight="1" x14ac:dyDescent="0.2">
      <c r="A163" s="110"/>
      <c r="B163" s="110"/>
    </row>
    <row r="164" spans="1:2" ht="17.100000000000001" customHeight="1" x14ac:dyDescent="0.2">
      <c r="A164" s="106"/>
      <c r="B164" s="107"/>
    </row>
    <row r="165" spans="1:2" ht="17.100000000000001" customHeight="1" x14ac:dyDescent="0.2">
      <c r="A165" s="106"/>
      <c r="B165" s="106"/>
    </row>
    <row r="166" spans="1:2" ht="17.100000000000001" customHeight="1" x14ac:dyDescent="0.2">
      <c r="A166" s="106"/>
      <c r="B166" s="106"/>
    </row>
    <row r="167" spans="1:2" ht="17.100000000000001" customHeight="1" x14ac:dyDescent="0.2">
      <c r="A167" s="106"/>
      <c r="B167" s="106"/>
    </row>
  </sheetData>
  <mergeCells count="17">
    <mergeCell ref="AE27:AH27"/>
    <mergeCell ref="AA27:AD27"/>
    <mergeCell ref="AA2:AD2"/>
    <mergeCell ref="AE2:AH2"/>
    <mergeCell ref="AI2:AL2"/>
    <mergeCell ref="AI27:AL27"/>
    <mergeCell ref="C2:F2"/>
    <mergeCell ref="G2:J2"/>
    <mergeCell ref="K2:N2"/>
    <mergeCell ref="O2:R2"/>
    <mergeCell ref="S2:V2"/>
    <mergeCell ref="W2:Z2"/>
    <mergeCell ref="G27:J27"/>
    <mergeCell ref="K27:N27"/>
    <mergeCell ref="O27:R27"/>
    <mergeCell ref="S27:V27"/>
    <mergeCell ref="W27:Z27"/>
  </mergeCells>
  <phoneticPr fontId="17" type="noConversion"/>
  <printOptions horizontalCentered="1" gridLines="1" gridLinesSet="0"/>
  <pageMargins left="0" right="0" top="0.78740157480314965" bottom="0.59055118110236227" header="0.51181102362204722" footer="0.31496062992125984"/>
  <pageSetup paperSize="9" scale="52" orientation="landscape" blackAndWhite="1" r:id="rId1"/>
  <headerFooter alignWithMargins="0">
    <oddHeader>&amp;L&amp;F&amp;C&amp;A&amp;R&amp;D</oddHeader>
    <oddFooter>Page &amp;P of &amp;N</oddFooter>
  </headerFooter>
  <rowBreaks count="1" manualBreakCount="1">
    <brk id="26" max="16383" man="1"/>
  </rowBreaks>
  <colBreaks count="1" manualBreakCount="1">
    <brk id="13" max="5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HM167"/>
  <sheetViews>
    <sheetView tabSelected="1" view="pageBreakPreview" zoomScale="96" zoomScaleNormal="100" zoomScaleSheetLayoutView="96" workbookViewId="0">
      <pane xSplit="2" ySplit="3" topLeftCell="C4" activePane="bottomRight" state="frozen"/>
      <selection activeCell="N36" sqref="N36"/>
      <selection pane="topRight" activeCell="N36" sqref="N36"/>
      <selection pane="bottomLeft" activeCell="N36" sqref="N36"/>
      <selection pane="bottomRight" activeCell="U11" sqref="U11"/>
    </sheetView>
  </sheetViews>
  <sheetFormatPr defaultRowHeight="17.100000000000001" customHeight="1" x14ac:dyDescent="0.25"/>
  <cols>
    <col min="1" max="1" width="6.28515625" style="114" customWidth="1"/>
    <col min="2" max="2" width="41.28515625" style="114" customWidth="1"/>
    <col min="3" max="8" width="9.7109375" customWidth="1"/>
    <col min="9" max="13" width="9.7109375" style="114" customWidth="1"/>
    <col min="14" max="14" width="10.42578125" style="114" customWidth="1"/>
    <col min="15" max="15" width="9.7109375" style="114" bestFit="1" customWidth="1"/>
    <col min="16" max="16" width="8.42578125" style="114" customWidth="1"/>
    <col min="17" max="20" width="9.7109375" style="114" bestFit="1" customWidth="1"/>
    <col min="21" max="21" width="10.42578125" style="114" bestFit="1" customWidth="1"/>
    <col min="22" max="25" width="9.7109375" style="114" bestFit="1" customWidth="1"/>
    <col min="26" max="26" width="9.140625" style="114"/>
    <col min="27" max="27" width="10.7109375" style="114" bestFit="1" customWidth="1"/>
    <col min="28" max="30" width="9.7109375" style="114" bestFit="1" customWidth="1"/>
    <col min="31" max="221" width="9.140625" style="114"/>
    <col min="222" max="222" width="6.28515625" customWidth="1"/>
    <col min="223" max="223" width="41.28515625" customWidth="1"/>
    <col min="224" max="224" width="7.140625" customWidth="1"/>
    <col min="225" max="238" width="9.28515625" customWidth="1"/>
    <col min="239" max="246" width="9.7109375" customWidth="1"/>
    <col min="247" max="247" width="9.85546875" customWidth="1"/>
    <col min="248" max="249" width="9.7109375" customWidth="1"/>
    <col min="250" max="250" width="10.42578125" customWidth="1"/>
    <col min="251" max="269" width="9.7109375" customWidth="1"/>
    <col min="270" max="270" width="10.42578125" customWidth="1"/>
    <col min="271" max="271" width="9.7109375" bestFit="1" customWidth="1"/>
    <col min="272" max="272" width="8.42578125" customWidth="1"/>
    <col min="273" max="276" width="9.7109375" bestFit="1" customWidth="1"/>
    <col min="277" max="277" width="10.42578125" bestFit="1" customWidth="1"/>
    <col min="278" max="281" width="9.7109375" bestFit="1" customWidth="1"/>
    <col min="283" max="283" width="10.7109375" bestFit="1" customWidth="1"/>
    <col min="284" max="286" width="9.7109375" bestFit="1" customWidth="1"/>
    <col min="478" max="478" width="6.28515625" customWidth="1"/>
    <col min="479" max="479" width="41.28515625" customWidth="1"/>
    <col min="480" max="480" width="7.140625" customWidth="1"/>
    <col min="481" max="494" width="9.28515625" customWidth="1"/>
    <col min="495" max="502" width="9.7109375" customWidth="1"/>
    <col min="503" max="503" width="9.85546875" customWidth="1"/>
    <col min="504" max="505" width="9.7109375" customWidth="1"/>
    <col min="506" max="506" width="10.42578125" customWidth="1"/>
    <col min="507" max="525" width="9.7109375" customWidth="1"/>
    <col min="526" max="526" width="10.42578125" customWidth="1"/>
    <col min="527" max="527" width="9.7109375" bestFit="1" customWidth="1"/>
    <col min="528" max="528" width="8.42578125" customWidth="1"/>
    <col min="529" max="532" width="9.7109375" bestFit="1" customWidth="1"/>
    <col min="533" max="533" width="10.42578125" bestFit="1" customWidth="1"/>
    <col min="534" max="537" width="9.7109375" bestFit="1" customWidth="1"/>
    <col min="539" max="539" width="10.7109375" bestFit="1" customWidth="1"/>
    <col min="540" max="542" width="9.7109375" bestFit="1" customWidth="1"/>
    <col min="734" max="734" width="6.28515625" customWidth="1"/>
    <col min="735" max="735" width="41.28515625" customWidth="1"/>
    <col min="736" max="736" width="7.140625" customWidth="1"/>
    <col min="737" max="750" width="9.28515625" customWidth="1"/>
    <col min="751" max="758" width="9.7109375" customWidth="1"/>
    <col min="759" max="759" width="9.85546875" customWidth="1"/>
    <col min="760" max="761" width="9.7109375" customWidth="1"/>
    <col min="762" max="762" width="10.42578125" customWidth="1"/>
    <col min="763" max="781" width="9.7109375" customWidth="1"/>
    <col min="782" max="782" width="10.42578125" customWidth="1"/>
    <col min="783" max="783" width="9.7109375" bestFit="1" customWidth="1"/>
    <col min="784" max="784" width="8.42578125" customWidth="1"/>
    <col min="785" max="788" width="9.7109375" bestFit="1" customWidth="1"/>
    <col min="789" max="789" width="10.42578125" bestFit="1" customWidth="1"/>
    <col min="790" max="793" width="9.7109375" bestFit="1" customWidth="1"/>
    <col min="795" max="795" width="10.7109375" bestFit="1" customWidth="1"/>
    <col min="796" max="798" width="9.7109375" bestFit="1" customWidth="1"/>
    <col min="990" max="990" width="6.28515625" customWidth="1"/>
    <col min="991" max="991" width="41.28515625" customWidth="1"/>
    <col min="992" max="992" width="7.140625" customWidth="1"/>
    <col min="993" max="1006" width="9.28515625" customWidth="1"/>
    <col min="1007" max="1014" width="9.7109375" customWidth="1"/>
    <col min="1015" max="1015" width="9.85546875" customWidth="1"/>
    <col min="1016" max="1017" width="9.7109375" customWidth="1"/>
    <col min="1018" max="1018" width="10.42578125" customWidth="1"/>
    <col min="1019" max="1037" width="9.7109375" customWidth="1"/>
    <col min="1038" max="1038" width="10.42578125" customWidth="1"/>
    <col min="1039" max="1039" width="9.7109375" bestFit="1" customWidth="1"/>
    <col min="1040" max="1040" width="8.42578125" customWidth="1"/>
    <col min="1041" max="1044" width="9.7109375" bestFit="1" customWidth="1"/>
    <col min="1045" max="1045" width="10.42578125" bestFit="1" customWidth="1"/>
    <col min="1046" max="1049" width="9.7109375" bestFit="1" customWidth="1"/>
    <col min="1051" max="1051" width="10.7109375" bestFit="1" customWidth="1"/>
    <col min="1052" max="1054" width="9.7109375" bestFit="1" customWidth="1"/>
    <col min="1246" max="1246" width="6.28515625" customWidth="1"/>
    <col min="1247" max="1247" width="41.28515625" customWidth="1"/>
    <col min="1248" max="1248" width="7.140625" customWidth="1"/>
    <col min="1249" max="1262" width="9.28515625" customWidth="1"/>
    <col min="1263" max="1270" width="9.7109375" customWidth="1"/>
    <col min="1271" max="1271" width="9.85546875" customWidth="1"/>
    <col min="1272" max="1273" width="9.7109375" customWidth="1"/>
    <col min="1274" max="1274" width="10.42578125" customWidth="1"/>
    <col min="1275" max="1293" width="9.7109375" customWidth="1"/>
    <col min="1294" max="1294" width="10.42578125" customWidth="1"/>
    <col min="1295" max="1295" width="9.7109375" bestFit="1" customWidth="1"/>
    <col min="1296" max="1296" width="8.42578125" customWidth="1"/>
    <col min="1297" max="1300" width="9.7109375" bestFit="1" customWidth="1"/>
    <col min="1301" max="1301" width="10.42578125" bestFit="1" customWidth="1"/>
    <col min="1302" max="1305" width="9.7109375" bestFit="1" customWidth="1"/>
    <col min="1307" max="1307" width="10.7109375" bestFit="1" customWidth="1"/>
    <col min="1308" max="1310" width="9.7109375" bestFit="1" customWidth="1"/>
    <col min="1502" max="1502" width="6.28515625" customWidth="1"/>
    <col min="1503" max="1503" width="41.28515625" customWidth="1"/>
    <col min="1504" max="1504" width="7.140625" customWidth="1"/>
    <col min="1505" max="1518" width="9.28515625" customWidth="1"/>
    <col min="1519" max="1526" width="9.7109375" customWidth="1"/>
    <col min="1527" max="1527" width="9.85546875" customWidth="1"/>
    <col min="1528" max="1529" width="9.7109375" customWidth="1"/>
    <col min="1530" max="1530" width="10.42578125" customWidth="1"/>
    <col min="1531" max="1549" width="9.7109375" customWidth="1"/>
    <col min="1550" max="1550" width="10.42578125" customWidth="1"/>
    <col min="1551" max="1551" width="9.7109375" bestFit="1" customWidth="1"/>
    <col min="1552" max="1552" width="8.42578125" customWidth="1"/>
    <col min="1553" max="1556" width="9.7109375" bestFit="1" customWidth="1"/>
    <col min="1557" max="1557" width="10.42578125" bestFit="1" customWidth="1"/>
    <col min="1558" max="1561" width="9.7109375" bestFit="1" customWidth="1"/>
    <col min="1563" max="1563" width="10.7109375" bestFit="1" customWidth="1"/>
    <col min="1564" max="1566" width="9.7109375" bestFit="1" customWidth="1"/>
    <col min="1758" max="1758" width="6.28515625" customWidth="1"/>
    <col min="1759" max="1759" width="41.28515625" customWidth="1"/>
    <col min="1760" max="1760" width="7.140625" customWidth="1"/>
    <col min="1761" max="1774" width="9.28515625" customWidth="1"/>
    <col min="1775" max="1782" width="9.7109375" customWidth="1"/>
    <col min="1783" max="1783" width="9.85546875" customWidth="1"/>
    <col min="1784" max="1785" width="9.7109375" customWidth="1"/>
    <col min="1786" max="1786" width="10.42578125" customWidth="1"/>
    <col min="1787" max="1805" width="9.7109375" customWidth="1"/>
    <col min="1806" max="1806" width="10.42578125" customWidth="1"/>
    <col min="1807" max="1807" width="9.7109375" bestFit="1" customWidth="1"/>
    <col min="1808" max="1808" width="8.42578125" customWidth="1"/>
    <col min="1809" max="1812" width="9.7109375" bestFit="1" customWidth="1"/>
    <col min="1813" max="1813" width="10.42578125" bestFit="1" customWidth="1"/>
    <col min="1814" max="1817" width="9.7109375" bestFit="1" customWidth="1"/>
    <col min="1819" max="1819" width="10.7109375" bestFit="1" customWidth="1"/>
    <col min="1820" max="1822" width="9.7109375" bestFit="1" customWidth="1"/>
    <col min="2014" max="2014" width="6.28515625" customWidth="1"/>
    <col min="2015" max="2015" width="41.28515625" customWidth="1"/>
    <col min="2016" max="2016" width="7.140625" customWidth="1"/>
    <col min="2017" max="2030" width="9.28515625" customWidth="1"/>
    <col min="2031" max="2038" width="9.7109375" customWidth="1"/>
    <col min="2039" max="2039" width="9.85546875" customWidth="1"/>
    <col min="2040" max="2041" width="9.7109375" customWidth="1"/>
    <col min="2042" max="2042" width="10.42578125" customWidth="1"/>
    <col min="2043" max="2061" width="9.7109375" customWidth="1"/>
    <col min="2062" max="2062" width="10.42578125" customWidth="1"/>
    <col min="2063" max="2063" width="9.7109375" bestFit="1" customWidth="1"/>
    <col min="2064" max="2064" width="8.42578125" customWidth="1"/>
    <col min="2065" max="2068" width="9.7109375" bestFit="1" customWidth="1"/>
    <col min="2069" max="2069" width="10.42578125" bestFit="1" customWidth="1"/>
    <col min="2070" max="2073" width="9.7109375" bestFit="1" customWidth="1"/>
    <col min="2075" max="2075" width="10.7109375" bestFit="1" customWidth="1"/>
    <col min="2076" max="2078" width="9.7109375" bestFit="1" customWidth="1"/>
    <col min="2270" max="2270" width="6.28515625" customWidth="1"/>
    <col min="2271" max="2271" width="41.28515625" customWidth="1"/>
    <col min="2272" max="2272" width="7.140625" customWidth="1"/>
    <col min="2273" max="2286" width="9.28515625" customWidth="1"/>
    <col min="2287" max="2294" width="9.7109375" customWidth="1"/>
    <col min="2295" max="2295" width="9.85546875" customWidth="1"/>
    <col min="2296" max="2297" width="9.7109375" customWidth="1"/>
    <col min="2298" max="2298" width="10.42578125" customWidth="1"/>
    <col min="2299" max="2317" width="9.7109375" customWidth="1"/>
    <col min="2318" max="2318" width="10.42578125" customWidth="1"/>
    <col min="2319" max="2319" width="9.7109375" bestFit="1" customWidth="1"/>
    <col min="2320" max="2320" width="8.42578125" customWidth="1"/>
    <col min="2321" max="2324" width="9.7109375" bestFit="1" customWidth="1"/>
    <col min="2325" max="2325" width="10.42578125" bestFit="1" customWidth="1"/>
    <col min="2326" max="2329" width="9.7109375" bestFit="1" customWidth="1"/>
    <col min="2331" max="2331" width="10.7109375" bestFit="1" customWidth="1"/>
    <col min="2332" max="2334" width="9.7109375" bestFit="1" customWidth="1"/>
    <col min="2526" max="2526" width="6.28515625" customWidth="1"/>
    <col min="2527" max="2527" width="41.28515625" customWidth="1"/>
    <col min="2528" max="2528" width="7.140625" customWidth="1"/>
    <col min="2529" max="2542" width="9.28515625" customWidth="1"/>
    <col min="2543" max="2550" width="9.7109375" customWidth="1"/>
    <col min="2551" max="2551" width="9.85546875" customWidth="1"/>
    <col min="2552" max="2553" width="9.7109375" customWidth="1"/>
    <col min="2554" max="2554" width="10.42578125" customWidth="1"/>
    <col min="2555" max="2573" width="9.7109375" customWidth="1"/>
    <col min="2574" max="2574" width="10.42578125" customWidth="1"/>
    <col min="2575" max="2575" width="9.7109375" bestFit="1" customWidth="1"/>
    <col min="2576" max="2576" width="8.42578125" customWidth="1"/>
    <col min="2577" max="2580" width="9.7109375" bestFit="1" customWidth="1"/>
    <col min="2581" max="2581" width="10.42578125" bestFit="1" customWidth="1"/>
    <col min="2582" max="2585" width="9.7109375" bestFit="1" customWidth="1"/>
    <col min="2587" max="2587" width="10.7109375" bestFit="1" customWidth="1"/>
    <col min="2588" max="2590" width="9.7109375" bestFit="1" customWidth="1"/>
    <col min="2782" max="2782" width="6.28515625" customWidth="1"/>
    <col min="2783" max="2783" width="41.28515625" customWidth="1"/>
    <col min="2784" max="2784" width="7.140625" customWidth="1"/>
    <col min="2785" max="2798" width="9.28515625" customWidth="1"/>
    <col min="2799" max="2806" width="9.7109375" customWidth="1"/>
    <col min="2807" max="2807" width="9.85546875" customWidth="1"/>
    <col min="2808" max="2809" width="9.7109375" customWidth="1"/>
    <col min="2810" max="2810" width="10.42578125" customWidth="1"/>
    <col min="2811" max="2829" width="9.7109375" customWidth="1"/>
    <col min="2830" max="2830" width="10.42578125" customWidth="1"/>
    <col min="2831" max="2831" width="9.7109375" bestFit="1" customWidth="1"/>
    <col min="2832" max="2832" width="8.42578125" customWidth="1"/>
    <col min="2833" max="2836" width="9.7109375" bestFit="1" customWidth="1"/>
    <col min="2837" max="2837" width="10.42578125" bestFit="1" customWidth="1"/>
    <col min="2838" max="2841" width="9.7109375" bestFit="1" customWidth="1"/>
    <col min="2843" max="2843" width="10.7109375" bestFit="1" customWidth="1"/>
    <col min="2844" max="2846" width="9.7109375" bestFit="1" customWidth="1"/>
    <col min="3038" max="3038" width="6.28515625" customWidth="1"/>
    <col min="3039" max="3039" width="41.28515625" customWidth="1"/>
    <col min="3040" max="3040" width="7.140625" customWidth="1"/>
    <col min="3041" max="3054" width="9.28515625" customWidth="1"/>
    <col min="3055" max="3062" width="9.7109375" customWidth="1"/>
    <col min="3063" max="3063" width="9.85546875" customWidth="1"/>
    <col min="3064" max="3065" width="9.7109375" customWidth="1"/>
    <col min="3066" max="3066" width="10.42578125" customWidth="1"/>
    <col min="3067" max="3085" width="9.7109375" customWidth="1"/>
    <col min="3086" max="3086" width="10.42578125" customWidth="1"/>
    <col min="3087" max="3087" width="9.7109375" bestFit="1" customWidth="1"/>
    <col min="3088" max="3088" width="8.42578125" customWidth="1"/>
    <col min="3089" max="3092" width="9.7109375" bestFit="1" customWidth="1"/>
    <col min="3093" max="3093" width="10.42578125" bestFit="1" customWidth="1"/>
    <col min="3094" max="3097" width="9.7109375" bestFit="1" customWidth="1"/>
    <col min="3099" max="3099" width="10.7109375" bestFit="1" customWidth="1"/>
    <col min="3100" max="3102" width="9.7109375" bestFit="1" customWidth="1"/>
    <col min="3294" max="3294" width="6.28515625" customWidth="1"/>
    <col min="3295" max="3295" width="41.28515625" customWidth="1"/>
    <col min="3296" max="3296" width="7.140625" customWidth="1"/>
    <col min="3297" max="3310" width="9.28515625" customWidth="1"/>
    <col min="3311" max="3318" width="9.7109375" customWidth="1"/>
    <col min="3319" max="3319" width="9.85546875" customWidth="1"/>
    <col min="3320" max="3321" width="9.7109375" customWidth="1"/>
    <col min="3322" max="3322" width="10.42578125" customWidth="1"/>
    <col min="3323" max="3341" width="9.7109375" customWidth="1"/>
    <col min="3342" max="3342" width="10.42578125" customWidth="1"/>
    <col min="3343" max="3343" width="9.7109375" bestFit="1" customWidth="1"/>
    <col min="3344" max="3344" width="8.42578125" customWidth="1"/>
    <col min="3345" max="3348" width="9.7109375" bestFit="1" customWidth="1"/>
    <col min="3349" max="3349" width="10.42578125" bestFit="1" customWidth="1"/>
    <col min="3350" max="3353" width="9.7109375" bestFit="1" customWidth="1"/>
    <col min="3355" max="3355" width="10.7109375" bestFit="1" customWidth="1"/>
    <col min="3356" max="3358" width="9.7109375" bestFit="1" customWidth="1"/>
    <col min="3550" max="3550" width="6.28515625" customWidth="1"/>
    <col min="3551" max="3551" width="41.28515625" customWidth="1"/>
    <col min="3552" max="3552" width="7.140625" customWidth="1"/>
    <col min="3553" max="3566" width="9.28515625" customWidth="1"/>
    <col min="3567" max="3574" width="9.7109375" customWidth="1"/>
    <col min="3575" max="3575" width="9.85546875" customWidth="1"/>
    <col min="3576" max="3577" width="9.7109375" customWidth="1"/>
    <col min="3578" max="3578" width="10.42578125" customWidth="1"/>
    <col min="3579" max="3597" width="9.7109375" customWidth="1"/>
    <col min="3598" max="3598" width="10.42578125" customWidth="1"/>
    <col min="3599" max="3599" width="9.7109375" bestFit="1" customWidth="1"/>
    <col min="3600" max="3600" width="8.42578125" customWidth="1"/>
    <col min="3601" max="3604" width="9.7109375" bestFit="1" customWidth="1"/>
    <col min="3605" max="3605" width="10.42578125" bestFit="1" customWidth="1"/>
    <col min="3606" max="3609" width="9.7109375" bestFit="1" customWidth="1"/>
    <col min="3611" max="3611" width="10.7109375" bestFit="1" customWidth="1"/>
    <col min="3612" max="3614" width="9.7109375" bestFit="1" customWidth="1"/>
    <col min="3806" max="3806" width="6.28515625" customWidth="1"/>
    <col min="3807" max="3807" width="41.28515625" customWidth="1"/>
    <col min="3808" max="3808" width="7.140625" customWidth="1"/>
    <col min="3809" max="3822" width="9.28515625" customWidth="1"/>
    <col min="3823" max="3830" width="9.7109375" customWidth="1"/>
    <col min="3831" max="3831" width="9.85546875" customWidth="1"/>
    <col min="3832" max="3833" width="9.7109375" customWidth="1"/>
    <col min="3834" max="3834" width="10.42578125" customWidth="1"/>
    <col min="3835" max="3853" width="9.7109375" customWidth="1"/>
    <col min="3854" max="3854" width="10.42578125" customWidth="1"/>
    <col min="3855" max="3855" width="9.7109375" bestFit="1" customWidth="1"/>
    <col min="3856" max="3856" width="8.42578125" customWidth="1"/>
    <col min="3857" max="3860" width="9.7109375" bestFit="1" customWidth="1"/>
    <col min="3861" max="3861" width="10.42578125" bestFit="1" customWidth="1"/>
    <col min="3862" max="3865" width="9.7109375" bestFit="1" customWidth="1"/>
    <col min="3867" max="3867" width="10.7109375" bestFit="1" customWidth="1"/>
    <col min="3868" max="3870" width="9.7109375" bestFit="1" customWidth="1"/>
    <col min="4062" max="4062" width="6.28515625" customWidth="1"/>
    <col min="4063" max="4063" width="41.28515625" customWidth="1"/>
    <col min="4064" max="4064" width="7.140625" customWidth="1"/>
    <col min="4065" max="4078" width="9.28515625" customWidth="1"/>
    <col min="4079" max="4086" width="9.7109375" customWidth="1"/>
    <col min="4087" max="4087" width="9.85546875" customWidth="1"/>
    <col min="4088" max="4089" width="9.7109375" customWidth="1"/>
    <col min="4090" max="4090" width="10.42578125" customWidth="1"/>
    <col min="4091" max="4109" width="9.7109375" customWidth="1"/>
    <col min="4110" max="4110" width="10.42578125" customWidth="1"/>
    <col min="4111" max="4111" width="9.7109375" bestFit="1" customWidth="1"/>
    <col min="4112" max="4112" width="8.42578125" customWidth="1"/>
    <col min="4113" max="4116" width="9.7109375" bestFit="1" customWidth="1"/>
    <col min="4117" max="4117" width="10.42578125" bestFit="1" customWidth="1"/>
    <col min="4118" max="4121" width="9.7109375" bestFit="1" customWidth="1"/>
    <col min="4123" max="4123" width="10.7109375" bestFit="1" customWidth="1"/>
    <col min="4124" max="4126" width="9.7109375" bestFit="1" customWidth="1"/>
    <col min="4318" max="4318" width="6.28515625" customWidth="1"/>
    <col min="4319" max="4319" width="41.28515625" customWidth="1"/>
    <col min="4320" max="4320" width="7.140625" customWidth="1"/>
    <col min="4321" max="4334" width="9.28515625" customWidth="1"/>
    <col min="4335" max="4342" width="9.7109375" customWidth="1"/>
    <col min="4343" max="4343" width="9.85546875" customWidth="1"/>
    <col min="4344" max="4345" width="9.7109375" customWidth="1"/>
    <col min="4346" max="4346" width="10.42578125" customWidth="1"/>
    <col min="4347" max="4365" width="9.7109375" customWidth="1"/>
    <col min="4366" max="4366" width="10.42578125" customWidth="1"/>
    <col min="4367" max="4367" width="9.7109375" bestFit="1" customWidth="1"/>
    <col min="4368" max="4368" width="8.42578125" customWidth="1"/>
    <col min="4369" max="4372" width="9.7109375" bestFit="1" customWidth="1"/>
    <col min="4373" max="4373" width="10.42578125" bestFit="1" customWidth="1"/>
    <col min="4374" max="4377" width="9.7109375" bestFit="1" customWidth="1"/>
    <col min="4379" max="4379" width="10.7109375" bestFit="1" customWidth="1"/>
    <col min="4380" max="4382" width="9.7109375" bestFit="1" customWidth="1"/>
    <col min="4574" max="4574" width="6.28515625" customWidth="1"/>
    <col min="4575" max="4575" width="41.28515625" customWidth="1"/>
    <col min="4576" max="4576" width="7.140625" customWidth="1"/>
    <col min="4577" max="4590" width="9.28515625" customWidth="1"/>
    <col min="4591" max="4598" width="9.7109375" customWidth="1"/>
    <col min="4599" max="4599" width="9.85546875" customWidth="1"/>
    <col min="4600" max="4601" width="9.7109375" customWidth="1"/>
    <col min="4602" max="4602" width="10.42578125" customWidth="1"/>
    <col min="4603" max="4621" width="9.7109375" customWidth="1"/>
    <col min="4622" max="4622" width="10.42578125" customWidth="1"/>
    <col min="4623" max="4623" width="9.7109375" bestFit="1" customWidth="1"/>
    <col min="4624" max="4624" width="8.42578125" customWidth="1"/>
    <col min="4625" max="4628" width="9.7109375" bestFit="1" customWidth="1"/>
    <col min="4629" max="4629" width="10.42578125" bestFit="1" customWidth="1"/>
    <col min="4630" max="4633" width="9.7109375" bestFit="1" customWidth="1"/>
    <col min="4635" max="4635" width="10.7109375" bestFit="1" customWidth="1"/>
    <col min="4636" max="4638" width="9.7109375" bestFit="1" customWidth="1"/>
    <col min="4830" max="4830" width="6.28515625" customWidth="1"/>
    <col min="4831" max="4831" width="41.28515625" customWidth="1"/>
    <col min="4832" max="4832" width="7.140625" customWidth="1"/>
    <col min="4833" max="4846" width="9.28515625" customWidth="1"/>
    <col min="4847" max="4854" width="9.7109375" customWidth="1"/>
    <col min="4855" max="4855" width="9.85546875" customWidth="1"/>
    <col min="4856" max="4857" width="9.7109375" customWidth="1"/>
    <col min="4858" max="4858" width="10.42578125" customWidth="1"/>
    <col min="4859" max="4877" width="9.7109375" customWidth="1"/>
    <col min="4878" max="4878" width="10.42578125" customWidth="1"/>
    <col min="4879" max="4879" width="9.7109375" bestFit="1" customWidth="1"/>
    <col min="4880" max="4880" width="8.42578125" customWidth="1"/>
    <col min="4881" max="4884" width="9.7109375" bestFit="1" customWidth="1"/>
    <col min="4885" max="4885" width="10.42578125" bestFit="1" customWidth="1"/>
    <col min="4886" max="4889" width="9.7109375" bestFit="1" customWidth="1"/>
    <col min="4891" max="4891" width="10.7109375" bestFit="1" customWidth="1"/>
    <col min="4892" max="4894" width="9.7109375" bestFit="1" customWidth="1"/>
    <col min="5086" max="5086" width="6.28515625" customWidth="1"/>
    <col min="5087" max="5087" width="41.28515625" customWidth="1"/>
    <col min="5088" max="5088" width="7.140625" customWidth="1"/>
    <col min="5089" max="5102" width="9.28515625" customWidth="1"/>
    <col min="5103" max="5110" width="9.7109375" customWidth="1"/>
    <col min="5111" max="5111" width="9.85546875" customWidth="1"/>
    <col min="5112" max="5113" width="9.7109375" customWidth="1"/>
    <col min="5114" max="5114" width="10.42578125" customWidth="1"/>
    <col min="5115" max="5133" width="9.7109375" customWidth="1"/>
    <col min="5134" max="5134" width="10.42578125" customWidth="1"/>
    <col min="5135" max="5135" width="9.7109375" bestFit="1" customWidth="1"/>
    <col min="5136" max="5136" width="8.42578125" customWidth="1"/>
    <col min="5137" max="5140" width="9.7109375" bestFit="1" customWidth="1"/>
    <col min="5141" max="5141" width="10.42578125" bestFit="1" customWidth="1"/>
    <col min="5142" max="5145" width="9.7109375" bestFit="1" customWidth="1"/>
    <col min="5147" max="5147" width="10.7109375" bestFit="1" customWidth="1"/>
    <col min="5148" max="5150" width="9.7109375" bestFit="1" customWidth="1"/>
    <col min="5342" max="5342" width="6.28515625" customWidth="1"/>
    <col min="5343" max="5343" width="41.28515625" customWidth="1"/>
    <col min="5344" max="5344" width="7.140625" customWidth="1"/>
    <col min="5345" max="5358" width="9.28515625" customWidth="1"/>
    <col min="5359" max="5366" width="9.7109375" customWidth="1"/>
    <col min="5367" max="5367" width="9.85546875" customWidth="1"/>
    <col min="5368" max="5369" width="9.7109375" customWidth="1"/>
    <col min="5370" max="5370" width="10.42578125" customWidth="1"/>
    <col min="5371" max="5389" width="9.7109375" customWidth="1"/>
    <col min="5390" max="5390" width="10.42578125" customWidth="1"/>
    <col min="5391" max="5391" width="9.7109375" bestFit="1" customWidth="1"/>
    <col min="5392" max="5392" width="8.42578125" customWidth="1"/>
    <col min="5393" max="5396" width="9.7109375" bestFit="1" customWidth="1"/>
    <col min="5397" max="5397" width="10.42578125" bestFit="1" customWidth="1"/>
    <col min="5398" max="5401" width="9.7109375" bestFit="1" customWidth="1"/>
    <col min="5403" max="5403" width="10.7109375" bestFit="1" customWidth="1"/>
    <col min="5404" max="5406" width="9.7109375" bestFit="1" customWidth="1"/>
    <col min="5598" max="5598" width="6.28515625" customWidth="1"/>
    <col min="5599" max="5599" width="41.28515625" customWidth="1"/>
    <col min="5600" max="5600" width="7.140625" customWidth="1"/>
    <col min="5601" max="5614" width="9.28515625" customWidth="1"/>
    <col min="5615" max="5622" width="9.7109375" customWidth="1"/>
    <col min="5623" max="5623" width="9.85546875" customWidth="1"/>
    <col min="5624" max="5625" width="9.7109375" customWidth="1"/>
    <col min="5626" max="5626" width="10.42578125" customWidth="1"/>
    <col min="5627" max="5645" width="9.7109375" customWidth="1"/>
    <col min="5646" max="5646" width="10.42578125" customWidth="1"/>
    <col min="5647" max="5647" width="9.7109375" bestFit="1" customWidth="1"/>
    <col min="5648" max="5648" width="8.42578125" customWidth="1"/>
    <col min="5649" max="5652" width="9.7109375" bestFit="1" customWidth="1"/>
    <col min="5653" max="5653" width="10.42578125" bestFit="1" customWidth="1"/>
    <col min="5654" max="5657" width="9.7109375" bestFit="1" customWidth="1"/>
    <col min="5659" max="5659" width="10.7109375" bestFit="1" customWidth="1"/>
    <col min="5660" max="5662" width="9.7109375" bestFit="1" customWidth="1"/>
    <col min="5854" max="5854" width="6.28515625" customWidth="1"/>
    <col min="5855" max="5855" width="41.28515625" customWidth="1"/>
    <col min="5856" max="5856" width="7.140625" customWidth="1"/>
    <col min="5857" max="5870" width="9.28515625" customWidth="1"/>
    <col min="5871" max="5878" width="9.7109375" customWidth="1"/>
    <col min="5879" max="5879" width="9.85546875" customWidth="1"/>
    <col min="5880" max="5881" width="9.7109375" customWidth="1"/>
    <col min="5882" max="5882" width="10.42578125" customWidth="1"/>
    <col min="5883" max="5901" width="9.7109375" customWidth="1"/>
    <col min="5902" max="5902" width="10.42578125" customWidth="1"/>
    <col min="5903" max="5903" width="9.7109375" bestFit="1" customWidth="1"/>
    <col min="5904" max="5904" width="8.42578125" customWidth="1"/>
    <col min="5905" max="5908" width="9.7109375" bestFit="1" customWidth="1"/>
    <col min="5909" max="5909" width="10.42578125" bestFit="1" customWidth="1"/>
    <col min="5910" max="5913" width="9.7109375" bestFit="1" customWidth="1"/>
    <col min="5915" max="5915" width="10.7109375" bestFit="1" customWidth="1"/>
    <col min="5916" max="5918" width="9.7109375" bestFit="1" customWidth="1"/>
    <col min="6110" max="6110" width="6.28515625" customWidth="1"/>
    <col min="6111" max="6111" width="41.28515625" customWidth="1"/>
    <col min="6112" max="6112" width="7.140625" customWidth="1"/>
    <col min="6113" max="6126" width="9.28515625" customWidth="1"/>
    <col min="6127" max="6134" width="9.7109375" customWidth="1"/>
    <col min="6135" max="6135" width="9.85546875" customWidth="1"/>
    <col min="6136" max="6137" width="9.7109375" customWidth="1"/>
    <col min="6138" max="6138" width="10.42578125" customWidth="1"/>
    <col min="6139" max="6157" width="9.7109375" customWidth="1"/>
    <col min="6158" max="6158" width="10.42578125" customWidth="1"/>
    <col min="6159" max="6159" width="9.7109375" bestFit="1" customWidth="1"/>
    <col min="6160" max="6160" width="8.42578125" customWidth="1"/>
    <col min="6161" max="6164" width="9.7109375" bestFit="1" customWidth="1"/>
    <col min="6165" max="6165" width="10.42578125" bestFit="1" customWidth="1"/>
    <col min="6166" max="6169" width="9.7109375" bestFit="1" customWidth="1"/>
    <col min="6171" max="6171" width="10.7109375" bestFit="1" customWidth="1"/>
    <col min="6172" max="6174" width="9.7109375" bestFit="1" customWidth="1"/>
    <col min="6366" max="6366" width="6.28515625" customWidth="1"/>
    <col min="6367" max="6367" width="41.28515625" customWidth="1"/>
    <col min="6368" max="6368" width="7.140625" customWidth="1"/>
    <col min="6369" max="6382" width="9.28515625" customWidth="1"/>
    <col min="6383" max="6390" width="9.7109375" customWidth="1"/>
    <col min="6391" max="6391" width="9.85546875" customWidth="1"/>
    <col min="6392" max="6393" width="9.7109375" customWidth="1"/>
    <col min="6394" max="6394" width="10.42578125" customWidth="1"/>
    <col min="6395" max="6413" width="9.7109375" customWidth="1"/>
    <col min="6414" max="6414" width="10.42578125" customWidth="1"/>
    <col min="6415" max="6415" width="9.7109375" bestFit="1" customWidth="1"/>
    <col min="6416" max="6416" width="8.42578125" customWidth="1"/>
    <col min="6417" max="6420" width="9.7109375" bestFit="1" customWidth="1"/>
    <col min="6421" max="6421" width="10.42578125" bestFit="1" customWidth="1"/>
    <col min="6422" max="6425" width="9.7109375" bestFit="1" customWidth="1"/>
    <col min="6427" max="6427" width="10.7109375" bestFit="1" customWidth="1"/>
    <col min="6428" max="6430" width="9.7109375" bestFit="1" customWidth="1"/>
    <col min="6622" max="6622" width="6.28515625" customWidth="1"/>
    <col min="6623" max="6623" width="41.28515625" customWidth="1"/>
    <col min="6624" max="6624" width="7.140625" customWidth="1"/>
    <col min="6625" max="6638" width="9.28515625" customWidth="1"/>
    <col min="6639" max="6646" width="9.7109375" customWidth="1"/>
    <col min="6647" max="6647" width="9.85546875" customWidth="1"/>
    <col min="6648" max="6649" width="9.7109375" customWidth="1"/>
    <col min="6650" max="6650" width="10.42578125" customWidth="1"/>
    <col min="6651" max="6669" width="9.7109375" customWidth="1"/>
    <col min="6670" max="6670" width="10.42578125" customWidth="1"/>
    <col min="6671" max="6671" width="9.7109375" bestFit="1" customWidth="1"/>
    <col min="6672" max="6672" width="8.42578125" customWidth="1"/>
    <col min="6673" max="6676" width="9.7109375" bestFit="1" customWidth="1"/>
    <col min="6677" max="6677" width="10.42578125" bestFit="1" customWidth="1"/>
    <col min="6678" max="6681" width="9.7109375" bestFit="1" customWidth="1"/>
    <col min="6683" max="6683" width="10.7109375" bestFit="1" customWidth="1"/>
    <col min="6684" max="6686" width="9.7109375" bestFit="1" customWidth="1"/>
    <col min="6878" max="6878" width="6.28515625" customWidth="1"/>
    <col min="6879" max="6879" width="41.28515625" customWidth="1"/>
    <col min="6880" max="6880" width="7.140625" customWidth="1"/>
    <col min="6881" max="6894" width="9.28515625" customWidth="1"/>
    <col min="6895" max="6902" width="9.7109375" customWidth="1"/>
    <col min="6903" max="6903" width="9.85546875" customWidth="1"/>
    <col min="6904" max="6905" width="9.7109375" customWidth="1"/>
    <col min="6906" max="6906" width="10.42578125" customWidth="1"/>
    <col min="6907" max="6925" width="9.7109375" customWidth="1"/>
    <col min="6926" max="6926" width="10.42578125" customWidth="1"/>
    <col min="6927" max="6927" width="9.7109375" bestFit="1" customWidth="1"/>
    <col min="6928" max="6928" width="8.42578125" customWidth="1"/>
    <col min="6929" max="6932" width="9.7109375" bestFit="1" customWidth="1"/>
    <col min="6933" max="6933" width="10.42578125" bestFit="1" customWidth="1"/>
    <col min="6934" max="6937" width="9.7109375" bestFit="1" customWidth="1"/>
    <col min="6939" max="6939" width="10.7109375" bestFit="1" customWidth="1"/>
    <col min="6940" max="6942" width="9.7109375" bestFit="1" customWidth="1"/>
    <col min="7134" max="7134" width="6.28515625" customWidth="1"/>
    <col min="7135" max="7135" width="41.28515625" customWidth="1"/>
    <col min="7136" max="7136" width="7.140625" customWidth="1"/>
    <col min="7137" max="7150" width="9.28515625" customWidth="1"/>
    <col min="7151" max="7158" width="9.7109375" customWidth="1"/>
    <col min="7159" max="7159" width="9.85546875" customWidth="1"/>
    <col min="7160" max="7161" width="9.7109375" customWidth="1"/>
    <col min="7162" max="7162" width="10.42578125" customWidth="1"/>
    <col min="7163" max="7181" width="9.7109375" customWidth="1"/>
    <col min="7182" max="7182" width="10.42578125" customWidth="1"/>
    <col min="7183" max="7183" width="9.7109375" bestFit="1" customWidth="1"/>
    <col min="7184" max="7184" width="8.42578125" customWidth="1"/>
    <col min="7185" max="7188" width="9.7109375" bestFit="1" customWidth="1"/>
    <col min="7189" max="7189" width="10.42578125" bestFit="1" customWidth="1"/>
    <col min="7190" max="7193" width="9.7109375" bestFit="1" customWidth="1"/>
    <col min="7195" max="7195" width="10.7109375" bestFit="1" customWidth="1"/>
    <col min="7196" max="7198" width="9.7109375" bestFit="1" customWidth="1"/>
    <col min="7390" max="7390" width="6.28515625" customWidth="1"/>
    <col min="7391" max="7391" width="41.28515625" customWidth="1"/>
    <col min="7392" max="7392" width="7.140625" customWidth="1"/>
    <col min="7393" max="7406" width="9.28515625" customWidth="1"/>
    <col min="7407" max="7414" width="9.7109375" customWidth="1"/>
    <col min="7415" max="7415" width="9.85546875" customWidth="1"/>
    <col min="7416" max="7417" width="9.7109375" customWidth="1"/>
    <col min="7418" max="7418" width="10.42578125" customWidth="1"/>
    <col min="7419" max="7437" width="9.7109375" customWidth="1"/>
    <col min="7438" max="7438" width="10.42578125" customWidth="1"/>
    <col min="7439" max="7439" width="9.7109375" bestFit="1" customWidth="1"/>
    <col min="7440" max="7440" width="8.42578125" customWidth="1"/>
    <col min="7441" max="7444" width="9.7109375" bestFit="1" customWidth="1"/>
    <col min="7445" max="7445" width="10.42578125" bestFit="1" customWidth="1"/>
    <col min="7446" max="7449" width="9.7109375" bestFit="1" customWidth="1"/>
    <col min="7451" max="7451" width="10.7109375" bestFit="1" customWidth="1"/>
    <col min="7452" max="7454" width="9.7109375" bestFit="1" customWidth="1"/>
    <col min="7646" max="7646" width="6.28515625" customWidth="1"/>
    <col min="7647" max="7647" width="41.28515625" customWidth="1"/>
    <col min="7648" max="7648" width="7.140625" customWidth="1"/>
    <col min="7649" max="7662" width="9.28515625" customWidth="1"/>
    <col min="7663" max="7670" width="9.7109375" customWidth="1"/>
    <col min="7671" max="7671" width="9.85546875" customWidth="1"/>
    <col min="7672" max="7673" width="9.7109375" customWidth="1"/>
    <col min="7674" max="7674" width="10.42578125" customWidth="1"/>
    <col min="7675" max="7693" width="9.7109375" customWidth="1"/>
    <col min="7694" max="7694" width="10.42578125" customWidth="1"/>
    <col min="7695" max="7695" width="9.7109375" bestFit="1" customWidth="1"/>
    <col min="7696" max="7696" width="8.42578125" customWidth="1"/>
    <col min="7697" max="7700" width="9.7109375" bestFit="1" customWidth="1"/>
    <col min="7701" max="7701" width="10.42578125" bestFit="1" customWidth="1"/>
    <col min="7702" max="7705" width="9.7109375" bestFit="1" customWidth="1"/>
    <col min="7707" max="7707" width="10.7109375" bestFit="1" customWidth="1"/>
    <col min="7708" max="7710" width="9.7109375" bestFit="1" customWidth="1"/>
    <col min="7902" max="7902" width="6.28515625" customWidth="1"/>
    <col min="7903" max="7903" width="41.28515625" customWidth="1"/>
    <col min="7904" max="7904" width="7.140625" customWidth="1"/>
    <col min="7905" max="7918" width="9.28515625" customWidth="1"/>
    <col min="7919" max="7926" width="9.7109375" customWidth="1"/>
    <col min="7927" max="7927" width="9.85546875" customWidth="1"/>
    <col min="7928" max="7929" width="9.7109375" customWidth="1"/>
    <col min="7930" max="7930" width="10.42578125" customWidth="1"/>
    <col min="7931" max="7949" width="9.7109375" customWidth="1"/>
    <col min="7950" max="7950" width="10.42578125" customWidth="1"/>
    <col min="7951" max="7951" width="9.7109375" bestFit="1" customWidth="1"/>
    <col min="7952" max="7952" width="8.42578125" customWidth="1"/>
    <col min="7953" max="7956" width="9.7109375" bestFit="1" customWidth="1"/>
    <col min="7957" max="7957" width="10.42578125" bestFit="1" customWidth="1"/>
    <col min="7958" max="7961" width="9.7109375" bestFit="1" customWidth="1"/>
    <col min="7963" max="7963" width="10.7109375" bestFit="1" customWidth="1"/>
    <col min="7964" max="7966" width="9.7109375" bestFit="1" customWidth="1"/>
    <col min="8158" max="8158" width="6.28515625" customWidth="1"/>
    <col min="8159" max="8159" width="41.28515625" customWidth="1"/>
    <col min="8160" max="8160" width="7.140625" customWidth="1"/>
    <col min="8161" max="8174" width="9.28515625" customWidth="1"/>
    <col min="8175" max="8182" width="9.7109375" customWidth="1"/>
    <col min="8183" max="8183" width="9.85546875" customWidth="1"/>
    <col min="8184" max="8185" width="9.7109375" customWidth="1"/>
    <col min="8186" max="8186" width="10.42578125" customWidth="1"/>
    <col min="8187" max="8205" width="9.7109375" customWidth="1"/>
    <col min="8206" max="8206" width="10.42578125" customWidth="1"/>
    <col min="8207" max="8207" width="9.7109375" bestFit="1" customWidth="1"/>
    <col min="8208" max="8208" width="8.42578125" customWidth="1"/>
    <col min="8209" max="8212" width="9.7109375" bestFit="1" customWidth="1"/>
    <col min="8213" max="8213" width="10.42578125" bestFit="1" customWidth="1"/>
    <col min="8214" max="8217" width="9.7109375" bestFit="1" customWidth="1"/>
    <col min="8219" max="8219" width="10.7109375" bestFit="1" customWidth="1"/>
    <col min="8220" max="8222" width="9.7109375" bestFit="1" customWidth="1"/>
    <col min="8414" max="8414" width="6.28515625" customWidth="1"/>
    <col min="8415" max="8415" width="41.28515625" customWidth="1"/>
    <col min="8416" max="8416" width="7.140625" customWidth="1"/>
    <col min="8417" max="8430" width="9.28515625" customWidth="1"/>
    <col min="8431" max="8438" width="9.7109375" customWidth="1"/>
    <col min="8439" max="8439" width="9.85546875" customWidth="1"/>
    <col min="8440" max="8441" width="9.7109375" customWidth="1"/>
    <col min="8442" max="8442" width="10.42578125" customWidth="1"/>
    <col min="8443" max="8461" width="9.7109375" customWidth="1"/>
    <col min="8462" max="8462" width="10.42578125" customWidth="1"/>
    <col min="8463" max="8463" width="9.7109375" bestFit="1" customWidth="1"/>
    <col min="8464" max="8464" width="8.42578125" customWidth="1"/>
    <col min="8465" max="8468" width="9.7109375" bestFit="1" customWidth="1"/>
    <col min="8469" max="8469" width="10.42578125" bestFit="1" customWidth="1"/>
    <col min="8470" max="8473" width="9.7109375" bestFit="1" customWidth="1"/>
    <col min="8475" max="8475" width="10.7109375" bestFit="1" customWidth="1"/>
    <col min="8476" max="8478" width="9.7109375" bestFit="1" customWidth="1"/>
    <col min="8670" max="8670" width="6.28515625" customWidth="1"/>
    <col min="8671" max="8671" width="41.28515625" customWidth="1"/>
    <col min="8672" max="8672" width="7.140625" customWidth="1"/>
    <col min="8673" max="8686" width="9.28515625" customWidth="1"/>
    <col min="8687" max="8694" width="9.7109375" customWidth="1"/>
    <col min="8695" max="8695" width="9.85546875" customWidth="1"/>
    <col min="8696" max="8697" width="9.7109375" customWidth="1"/>
    <col min="8698" max="8698" width="10.42578125" customWidth="1"/>
    <col min="8699" max="8717" width="9.7109375" customWidth="1"/>
    <col min="8718" max="8718" width="10.42578125" customWidth="1"/>
    <col min="8719" max="8719" width="9.7109375" bestFit="1" customWidth="1"/>
    <col min="8720" max="8720" width="8.42578125" customWidth="1"/>
    <col min="8721" max="8724" width="9.7109375" bestFit="1" customWidth="1"/>
    <col min="8725" max="8725" width="10.42578125" bestFit="1" customWidth="1"/>
    <col min="8726" max="8729" width="9.7109375" bestFit="1" customWidth="1"/>
    <col min="8731" max="8731" width="10.7109375" bestFit="1" customWidth="1"/>
    <col min="8732" max="8734" width="9.7109375" bestFit="1" customWidth="1"/>
    <col min="8926" max="8926" width="6.28515625" customWidth="1"/>
    <col min="8927" max="8927" width="41.28515625" customWidth="1"/>
    <col min="8928" max="8928" width="7.140625" customWidth="1"/>
    <col min="8929" max="8942" width="9.28515625" customWidth="1"/>
    <col min="8943" max="8950" width="9.7109375" customWidth="1"/>
    <col min="8951" max="8951" width="9.85546875" customWidth="1"/>
    <col min="8952" max="8953" width="9.7109375" customWidth="1"/>
    <col min="8954" max="8954" width="10.42578125" customWidth="1"/>
    <col min="8955" max="8973" width="9.7109375" customWidth="1"/>
    <col min="8974" max="8974" width="10.42578125" customWidth="1"/>
    <col min="8975" max="8975" width="9.7109375" bestFit="1" customWidth="1"/>
    <col min="8976" max="8976" width="8.42578125" customWidth="1"/>
    <col min="8977" max="8980" width="9.7109375" bestFit="1" customWidth="1"/>
    <col min="8981" max="8981" width="10.42578125" bestFit="1" customWidth="1"/>
    <col min="8982" max="8985" width="9.7109375" bestFit="1" customWidth="1"/>
    <col min="8987" max="8987" width="10.7109375" bestFit="1" customWidth="1"/>
    <col min="8988" max="8990" width="9.7109375" bestFit="1" customWidth="1"/>
    <col min="9182" max="9182" width="6.28515625" customWidth="1"/>
    <col min="9183" max="9183" width="41.28515625" customWidth="1"/>
    <col min="9184" max="9184" width="7.140625" customWidth="1"/>
    <col min="9185" max="9198" width="9.28515625" customWidth="1"/>
    <col min="9199" max="9206" width="9.7109375" customWidth="1"/>
    <col min="9207" max="9207" width="9.85546875" customWidth="1"/>
    <col min="9208" max="9209" width="9.7109375" customWidth="1"/>
    <col min="9210" max="9210" width="10.42578125" customWidth="1"/>
    <col min="9211" max="9229" width="9.7109375" customWidth="1"/>
    <col min="9230" max="9230" width="10.42578125" customWidth="1"/>
    <col min="9231" max="9231" width="9.7109375" bestFit="1" customWidth="1"/>
    <col min="9232" max="9232" width="8.42578125" customWidth="1"/>
    <col min="9233" max="9236" width="9.7109375" bestFit="1" customWidth="1"/>
    <col min="9237" max="9237" width="10.42578125" bestFit="1" customWidth="1"/>
    <col min="9238" max="9241" width="9.7109375" bestFit="1" customWidth="1"/>
    <col min="9243" max="9243" width="10.7109375" bestFit="1" customWidth="1"/>
    <col min="9244" max="9246" width="9.7109375" bestFit="1" customWidth="1"/>
    <col min="9438" max="9438" width="6.28515625" customWidth="1"/>
    <col min="9439" max="9439" width="41.28515625" customWidth="1"/>
    <col min="9440" max="9440" width="7.140625" customWidth="1"/>
    <col min="9441" max="9454" width="9.28515625" customWidth="1"/>
    <col min="9455" max="9462" width="9.7109375" customWidth="1"/>
    <col min="9463" max="9463" width="9.85546875" customWidth="1"/>
    <col min="9464" max="9465" width="9.7109375" customWidth="1"/>
    <col min="9466" max="9466" width="10.42578125" customWidth="1"/>
    <col min="9467" max="9485" width="9.7109375" customWidth="1"/>
    <col min="9486" max="9486" width="10.42578125" customWidth="1"/>
    <col min="9487" max="9487" width="9.7109375" bestFit="1" customWidth="1"/>
    <col min="9488" max="9488" width="8.42578125" customWidth="1"/>
    <col min="9489" max="9492" width="9.7109375" bestFit="1" customWidth="1"/>
    <col min="9493" max="9493" width="10.42578125" bestFit="1" customWidth="1"/>
    <col min="9494" max="9497" width="9.7109375" bestFit="1" customWidth="1"/>
    <col min="9499" max="9499" width="10.7109375" bestFit="1" customWidth="1"/>
    <col min="9500" max="9502" width="9.7109375" bestFit="1" customWidth="1"/>
    <col min="9694" max="9694" width="6.28515625" customWidth="1"/>
    <col min="9695" max="9695" width="41.28515625" customWidth="1"/>
    <col min="9696" max="9696" width="7.140625" customWidth="1"/>
    <col min="9697" max="9710" width="9.28515625" customWidth="1"/>
    <col min="9711" max="9718" width="9.7109375" customWidth="1"/>
    <col min="9719" max="9719" width="9.85546875" customWidth="1"/>
    <col min="9720" max="9721" width="9.7109375" customWidth="1"/>
    <col min="9722" max="9722" width="10.42578125" customWidth="1"/>
    <col min="9723" max="9741" width="9.7109375" customWidth="1"/>
    <col min="9742" max="9742" width="10.42578125" customWidth="1"/>
    <col min="9743" max="9743" width="9.7109375" bestFit="1" customWidth="1"/>
    <col min="9744" max="9744" width="8.42578125" customWidth="1"/>
    <col min="9745" max="9748" width="9.7109375" bestFit="1" customWidth="1"/>
    <col min="9749" max="9749" width="10.42578125" bestFit="1" customWidth="1"/>
    <col min="9750" max="9753" width="9.7109375" bestFit="1" customWidth="1"/>
    <col min="9755" max="9755" width="10.7109375" bestFit="1" customWidth="1"/>
    <col min="9756" max="9758" width="9.7109375" bestFit="1" customWidth="1"/>
    <col min="9950" max="9950" width="6.28515625" customWidth="1"/>
    <col min="9951" max="9951" width="41.28515625" customWidth="1"/>
    <col min="9952" max="9952" width="7.140625" customWidth="1"/>
    <col min="9953" max="9966" width="9.28515625" customWidth="1"/>
    <col min="9967" max="9974" width="9.7109375" customWidth="1"/>
    <col min="9975" max="9975" width="9.85546875" customWidth="1"/>
    <col min="9976" max="9977" width="9.7109375" customWidth="1"/>
    <col min="9978" max="9978" width="10.42578125" customWidth="1"/>
    <col min="9979" max="9997" width="9.7109375" customWidth="1"/>
    <col min="9998" max="9998" width="10.42578125" customWidth="1"/>
    <col min="9999" max="9999" width="9.7109375" bestFit="1" customWidth="1"/>
    <col min="10000" max="10000" width="8.42578125" customWidth="1"/>
    <col min="10001" max="10004" width="9.7109375" bestFit="1" customWidth="1"/>
    <col min="10005" max="10005" width="10.42578125" bestFit="1" customWidth="1"/>
    <col min="10006" max="10009" width="9.7109375" bestFit="1" customWidth="1"/>
    <col min="10011" max="10011" width="10.7109375" bestFit="1" customWidth="1"/>
    <col min="10012" max="10014" width="9.7109375" bestFit="1" customWidth="1"/>
    <col min="10206" max="10206" width="6.28515625" customWidth="1"/>
    <col min="10207" max="10207" width="41.28515625" customWidth="1"/>
    <col min="10208" max="10208" width="7.140625" customWidth="1"/>
    <col min="10209" max="10222" width="9.28515625" customWidth="1"/>
    <col min="10223" max="10230" width="9.7109375" customWidth="1"/>
    <col min="10231" max="10231" width="9.85546875" customWidth="1"/>
    <col min="10232" max="10233" width="9.7109375" customWidth="1"/>
    <col min="10234" max="10234" width="10.42578125" customWidth="1"/>
    <col min="10235" max="10253" width="9.7109375" customWidth="1"/>
    <col min="10254" max="10254" width="10.42578125" customWidth="1"/>
    <col min="10255" max="10255" width="9.7109375" bestFit="1" customWidth="1"/>
    <col min="10256" max="10256" width="8.42578125" customWidth="1"/>
    <col min="10257" max="10260" width="9.7109375" bestFit="1" customWidth="1"/>
    <col min="10261" max="10261" width="10.42578125" bestFit="1" customWidth="1"/>
    <col min="10262" max="10265" width="9.7109375" bestFit="1" customWidth="1"/>
    <col min="10267" max="10267" width="10.7109375" bestFit="1" customWidth="1"/>
    <col min="10268" max="10270" width="9.7109375" bestFit="1" customWidth="1"/>
    <col min="10462" max="10462" width="6.28515625" customWidth="1"/>
    <col min="10463" max="10463" width="41.28515625" customWidth="1"/>
    <col min="10464" max="10464" width="7.140625" customWidth="1"/>
    <col min="10465" max="10478" width="9.28515625" customWidth="1"/>
    <col min="10479" max="10486" width="9.7109375" customWidth="1"/>
    <col min="10487" max="10487" width="9.85546875" customWidth="1"/>
    <col min="10488" max="10489" width="9.7109375" customWidth="1"/>
    <col min="10490" max="10490" width="10.42578125" customWidth="1"/>
    <col min="10491" max="10509" width="9.7109375" customWidth="1"/>
    <col min="10510" max="10510" width="10.42578125" customWidth="1"/>
    <col min="10511" max="10511" width="9.7109375" bestFit="1" customWidth="1"/>
    <col min="10512" max="10512" width="8.42578125" customWidth="1"/>
    <col min="10513" max="10516" width="9.7109375" bestFit="1" customWidth="1"/>
    <col min="10517" max="10517" width="10.42578125" bestFit="1" customWidth="1"/>
    <col min="10518" max="10521" width="9.7109375" bestFit="1" customWidth="1"/>
    <col min="10523" max="10523" width="10.7109375" bestFit="1" customWidth="1"/>
    <col min="10524" max="10526" width="9.7109375" bestFit="1" customWidth="1"/>
    <col min="10718" max="10718" width="6.28515625" customWidth="1"/>
    <col min="10719" max="10719" width="41.28515625" customWidth="1"/>
    <col min="10720" max="10720" width="7.140625" customWidth="1"/>
    <col min="10721" max="10734" width="9.28515625" customWidth="1"/>
    <col min="10735" max="10742" width="9.7109375" customWidth="1"/>
    <col min="10743" max="10743" width="9.85546875" customWidth="1"/>
    <col min="10744" max="10745" width="9.7109375" customWidth="1"/>
    <col min="10746" max="10746" width="10.42578125" customWidth="1"/>
    <col min="10747" max="10765" width="9.7109375" customWidth="1"/>
    <col min="10766" max="10766" width="10.42578125" customWidth="1"/>
    <col min="10767" max="10767" width="9.7109375" bestFit="1" customWidth="1"/>
    <col min="10768" max="10768" width="8.42578125" customWidth="1"/>
    <col min="10769" max="10772" width="9.7109375" bestFit="1" customWidth="1"/>
    <col min="10773" max="10773" width="10.42578125" bestFit="1" customWidth="1"/>
    <col min="10774" max="10777" width="9.7109375" bestFit="1" customWidth="1"/>
    <col min="10779" max="10779" width="10.7109375" bestFit="1" customWidth="1"/>
    <col min="10780" max="10782" width="9.7109375" bestFit="1" customWidth="1"/>
    <col min="10974" max="10974" width="6.28515625" customWidth="1"/>
    <col min="10975" max="10975" width="41.28515625" customWidth="1"/>
    <col min="10976" max="10976" width="7.140625" customWidth="1"/>
    <col min="10977" max="10990" width="9.28515625" customWidth="1"/>
    <col min="10991" max="10998" width="9.7109375" customWidth="1"/>
    <col min="10999" max="10999" width="9.85546875" customWidth="1"/>
    <col min="11000" max="11001" width="9.7109375" customWidth="1"/>
    <col min="11002" max="11002" width="10.42578125" customWidth="1"/>
    <col min="11003" max="11021" width="9.7109375" customWidth="1"/>
    <col min="11022" max="11022" width="10.42578125" customWidth="1"/>
    <col min="11023" max="11023" width="9.7109375" bestFit="1" customWidth="1"/>
    <col min="11024" max="11024" width="8.42578125" customWidth="1"/>
    <col min="11025" max="11028" width="9.7109375" bestFit="1" customWidth="1"/>
    <col min="11029" max="11029" width="10.42578125" bestFit="1" customWidth="1"/>
    <col min="11030" max="11033" width="9.7109375" bestFit="1" customWidth="1"/>
    <col min="11035" max="11035" width="10.7109375" bestFit="1" customWidth="1"/>
    <col min="11036" max="11038" width="9.7109375" bestFit="1" customWidth="1"/>
    <col min="11230" max="11230" width="6.28515625" customWidth="1"/>
    <col min="11231" max="11231" width="41.28515625" customWidth="1"/>
    <col min="11232" max="11232" width="7.140625" customWidth="1"/>
    <col min="11233" max="11246" width="9.28515625" customWidth="1"/>
    <col min="11247" max="11254" width="9.7109375" customWidth="1"/>
    <col min="11255" max="11255" width="9.85546875" customWidth="1"/>
    <col min="11256" max="11257" width="9.7109375" customWidth="1"/>
    <col min="11258" max="11258" width="10.42578125" customWidth="1"/>
    <col min="11259" max="11277" width="9.7109375" customWidth="1"/>
    <col min="11278" max="11278" width="10.42578125" customWidth="1"/>
    <col min="11279" max="11279" width="9.7109375" bestFit="1" customWidth="1"/>
    <col min="11280" max="11280" width="8.42578125" customWidth="1"/>
    <col min="11281" max="11284" width="9.7109375" bestFit="1" customWidth="1"/>
    <col min="11285" max="11285" width="10.42578125" bestFit="1" customWidth="1"/>
    <col min="11286" max="11289" width="9.7109375" bestFit="1" customWidth="1"/>
    <col min="11291" max="11291" width="10.7109375" bestFit="1" customWidth="1"/>
    <col min="11292" max="11294" width="9.7109375" bestFit="1" customWidth="1"/>
    <col min="11486" max="11486" width="6.28515625" customWidth="1"/>
    <col min="11487" max="11487" width="41.28515625" customWidth="1"/>
    <col min="11488" max="11488" width="7.140625" customWidth="1"/>
    <col min="11489" max="11502" width="9.28515625" customWidth="1"/>
    <col min="11503" max="11510" width="9.7109375" customWidth="1"/>
    <col min="11511" max="11511" width="9.85546875" customWidth="1"/>
    <col min="11512" max="11513" width="9.7109375" customWidth="1"/>
    <col min="11514" max="11514" width="10.42578125" customWidth="1"/>
    <col min="11515" max="11533" width="9.7109375" customWidth="1"/>
    <col min="11534" max="11534" width="10.42578125" customWidth="1"/>
    <col min="11535" max="11535" width="9.7109375" bestFit="1" customWidth="1"/>
    <col min="11536" max="11536" width="8.42578125" customWidth="1"/>
    <col min="11537" max="11540" width="9.7109375" bestFit="1" customWidth="1"/>
    <col min="11541" max="11541" width="10.42578125" bestFit="1" customWidth="1"/>
    <col min="11542" max="11545" width="9.7109375" bestFit="1" customWidth="1"/>
    <col min="11547" max="11547" width="10.7109375" bestFit="1" customWidth="1"/>
    <col min="11548" max="11550" width="9.7109375" bestFit="1" customWidth="1"/>
    <col min="11742" max="11742" width="6.28515625" customWidth="1"/>
    <col min="11743" max="11743" width="41.28515625" customWidth="1"/>
    <col min="11744" max="11744" width="7.140625" customWidth="1"/>
    <col min="11745" max="11758" width="9.28515625" customWidth="1"/>
    <col min="11759" max="11766" width="9.7109375" customWidth="1"/>
    <col min="11767" max="11767" width="9.85546875" customWidth="1"/>
    <col min="11768" max="11769" width="9.7109375" customWidth="1"/>
    <col min="11770" max="11770" width="10.42578125" customWidth="1"/>
    <col min="11771" max="11789" width="9.7109375" customWidth="1"/>
    <col min="11790" max="11790" width="10.42578125" customWidth="1"/>
    <col min="11791" max="11791" width="9.7109375" bestFit="1" customWidth="1"/>
    <col min="11792" max="11792" width="8.42578125" customWidth="1"/>
    <col min="11793" max="11796" width="9.7109375" bestFit="1" customWidth="1"/>
    <col min="11797" max="11797" width="10.42578125" bestFit="1" customWidth="1"/>
    <col min="11798" max="11801" width="9.7109375" bestFit="1" customWidth="1"/>
    <col min="11803" max="11803" width="10.7109375" bestFit="1" customWidth="1"/>
    <col min="11804" max="11806" width="9.7109375" bestFit="1" customWidth="1"/>
    <col min="11998" max="11998" width="6.28515625" customWidth="1"/>
    <col min="11999" max="11999" width="41.28515625" customWidth="1"/>
    <col min="12000" max="12000" width="7.140625" customWidth="1"/>
    <col min="12001" max="12014" width="9.28515625" customWidth="1"/>
    <col min="12015" max="12022" width="9.7109375" customWidth="1"/>
    <col min="12023" max="12023" width="9.85546875" customWidth="1"/>
    <col min="12024" max="12025" width="9.7109375" customWidth="1"/>
    <col min="12026" max="12026" width="10.42578125" customWidth="1"/>
    <col min="12027" max="12045" width="9.7109375" customWidth="1"/>
    <col min="12046" max="12046" width="10.42578125" customWidth="1"/>
    <col min="12047" max="12047" width="9.7109375" bestFit="1" customWidth="1"/>
    <col min="12048" max="12048" width="8.42578125" customWidth="1"/>
    <col min="12049" max="12052" width="9.7109375" bestFit="1" customWidth="1"/>
    <col min="12053" max="12053" width="10.42578125" bestFit="1" customWidth="1"/>
    <col min="12054" max="12057" width="9.7109375" bestFit="1" customWidth="1"/>
    <col min="12059" max="12059" width="10.7109375" bestFit="1" customWidth="1"/>
    <col min="12060" max="12062" width="9.7109375" bestFit="1" customWidth="1"/>
    <col min="12254" max="12254" width="6.28515625" customWidth="1"/>
    <col min="12255" max="12255" width="41.28515625" customWidth="1"/>
    <col min="12256" max="12256" width="7.140625" customWidth="1"/>
    <col min="12257" max="12270" width="9.28515625" customWidth="1"/>
    <col min="12271" max="12278" width="9.7109375" customWidth="1"/>
    <col min="12279" max="12279" width="9.85546875" customWidth="1"/>
    <col min="12280" max="12281" width="9.7109375" customWidth="1"/>
    <col min="12282" max="12282" width="10.42578125" customWidth="1"/>
    <col min="12283" max="12301" width="9.7109375" customWidth="1"/>
    <col min="12302" max="12302" width="10.42578125" customWidth="1"/>
    <col min="12303" max="12303" width="9.7109375" bestFit="1" customWidth="1"/>
    <col min="12304" max="12304" width="8.42578125" customWidth="1"/>
    <col min="12305" max="12308" width="9.7109375" bestFit="1" customWidth="1"/>
    <col min="12309" max="12309" width="10.42578125" bestFit="1" customWidth="1"/>
    <col min="12310" max="12313" width="9.7109375" bestFit="1" customWidth="1"/>
    <col min="12315" max="12315" width="10.7109375" bestFit="1" customWidth="1"/>
    <col min="12316" max="12318" width="9.7109375" bestFit="1" customWidth="1"/>
    <col min="12510" max="12510" width="6.28515625" customWidth="1"/>
    <col min="12511" max="12511" width="41.28515625" customWidth="1"/>
    <col min="12512" max="12512" width="7.140625" customWidth="1"/>
    <col min="12513" max="12526" width="9.28515625" customWidth="1"/>
    <col min="12527" max="12534" width="9.7109375" customWidth="1"/>
    <col min="12535" max="12535" width="9.85546875" customWidth="1"/>
    <col min="12536" max="12537" width="9.7109375" customWidth="1"/>
    <col min="12538" max="12538" width="10.42578125" customWidth="1"/>
    <col min="12539" max="12557" width="9.7109375" customWidth="1"/>
    <col min="12558" max="12558" width="10.42578125" customWidth="1"/>
    <col min="12559" max="12559" width="9.7109375" bestFit="1" customWidth="1"/>
    <col min="12560" max="12560" width="8.42578125" customWidth="1"/>
    <col min="12561" max="12564" width="9.7109375" bestFit="1" customWidth="1"/>
    <col min="12565" max="12565" width="10.42578125" bestFit="1" customWidth="1"/>
    <col min="12566" max="12569" width="9.7109375" bestFit="1" customWidth="1"/>
    <col min="12571" max="12571" width="10.7109375" bestFit="1" customWidth="1"/>
    <col min="12572" max="12574" width="9.7109375" bestFit="1" customWidth="1"/>
    <col min="12766" max="12766" width="6.28515625" customWidth="1"/>
    <col min="12767" max="12767" width="41.28515625" customWidth="1"/>
    <col min="12768" max="12768" width="7.140625" customWidth="1"/>
    <col min="12769" max="12782" width="9.28515625" customWidth="1"/>
    <col min="12783" max="12790" width="9.7109375" customWidth="1"/>
    <col min="12791" max="12791" width="9.85546875" customWidth="1"/>
    <col min="12792" max="12793" width="9.7109375" customWidth="1"/>
    <col min="12794" max="12794" width="10.42578125" customWidth="1"/>
    <col min="12795" max="12813" width="9.7109375" customWidth="1"/>
    <col min="12814" max="12814" width="10.42578125" customWidth="1"/>
    <col min="12815" max="12815" width="9.7109375" bestFit="1" customWidth="1"/>
    <col min="12816" max="12816" width="8.42578125" customWidth="1"/>
    <col min="12817" max="12820" width="9.7109375" bestFit="1" customWidth="1"/>
    <col min="12821" max="12821" width="10.42578125" bestFit="1" customWidth="1"/>
    <col min="12822" max="12825" width="9.7109375" bestFit="1" customWidth="1"/>
    <col min="12827" max="12827" width="10.7109375" bestFit="1" customWidth="1"/>
    <col min="12828" max="12830" width="9.7109375" bestFit="1" customWidth="1"/>
    <col min="13022" max="13022" width="6.28515625" customWidth="1"/>
    <col min="13023" max="13023" width="41.28515625" customWidth="1"/>
    <col min="13024" max="13024" width="7.140625" customWidth="1"/>
    <col min="13025" max="13038" width="9.28515625" customWidth="1"/>
    <col min="13039" max="13046" width="9.7109375" customWidth="1"/>
    <col min="13047" max="13047" width="9.85546875" customWidth="1"/>
    <col min="13048" max="13049" width="9.7109375" customWidth="1"/>
    <col min="13050" max="13050" width="10.42578125" customWidth="1"/>
    <col min="13051" max="13069" width="9.7109375" customWidth="1"/>
    <col min="13070" max="13070" width="10.42578125" customWidth="1"/>
    <col min="13071" max="13071" width="9.7109375" bestFit="1" customWidth="1"/>
    <col min="13072" max="13072" width="8.42578125" customWidth="1"/>
    <col min="13073" max="13076" width="9.7109375" bestFit="1" customWidth="1"/>
    <col min="13077" max="13077" width="10.42578125" bestFit="1" customWidth="1"/>
    <col min="13078" max="13081" width="9.7109375" bestFit="1" customWidth="1"/>
    <col min="13083" max="13083" width="10.7109375" bestFit="1" customWidth="1"/>
    <col min="13084" max="13086" width="9.7109375" bestFit="1" customWidth="1"/>
    <col min="13278" max="13278" width="6.28515625" customWidth="1"/>
    <col min="13279" max="13279" width="41.28515625" customWidth="1"/>
    <col min="13280" max="13280" width="7.140625" customWidth="1"/>
    <col min="13281" max="13294" width="9.28515625" customWidth="1"/>
    <col min="13295" max="13302" width="9.7109375" customWidth="1"/>
    <col min="13303" max="13303" width="9.85546875" customWidth="1"/>
    <col min="13304" max="13305" width="9.7109375" customWidth="1"/>
    <col min="13306" max="13306" width="10.42578125" customWidth="1"/>
    <col min="13307" max="13325" width="9.7109375" customWidth="1"/>
    <col min="13326" max="13326" width="10.42578125" customWidth="1"/>
    <col min="13327" max="13327" width="9.7109375" bestFit="1" customWidth="1"/>
    <col min="13328" max="13328" width="8.42578125" customWidth="1"/>
    <col min="13329" max="13332" width="9.7109375" bestFit="1" customWidth="1"/>
    <col min="13333" max="13333" width="10.42578125" bestFit="1" customWidth="1"/>
    <col min="13334" max="13337" width="9.7109375" bestFit="1" customWidth="1"/>
    <col min="13339" max="13339" width="10.7109375" bestFit="1" customWidth="1"/>
    <col min="13340" max="13342" width="9.7109375" bestFit="1" customWidth="1"/>
    <col min="13534" max="13534" width="6.28515625" customWidth="1"/>
    <col min="13535" max="13535" width="41.28515625" customWidth="1"/>
    <col min="13536" max="13536" width="7.140625" customWidth="1"/>
    <col min="13537" max="13550" width="9.28515625" customWidth="1"/>
    <col min="13551" max="13558" width="9.7109375" customWidth="1"/>
    <col min="13559" max="13559" width="9.85546875" customWidth="1"/>
    <col min="13560" max="13561" width="9.7109375" customWidth="1"/>
    <col min="13562" max="13562" width="10.42578125" customWidth="1"/>
    <col min="13563" max="13581" width="9.7109375" customWidth="1"/>
    <col min="13582" max="13582" width="10.42578125" customWidth="1"/>
    <col min="13583" max="13583" width="9.7109375" bestFit="1" customWidth="1"/>
    <col min="13584" max="13584" width="8.42578125" customWidth="1"/>
    <col min="13585" max="13588" width="9.7109375" bestFit="1" customWidth="1"/>
    <col min="13589" max="13589" width="10.42578125" bestFit="1" customWidth="1"/>
    <col min="13590" max="13593" width="9.7109375" bestFit="1" customWidth="1"/>
    <col min="13595" max="13595" width="10.7109375" bestFit="1" customWidth="1"/>
    <col min="13596" max="13598" width="9.7109375" bestFit="1" customWidth="1"/>
    <col min="13790" max="13790" width="6.28515625" customWidth="1"/>
    <col min="13791" max="13791" width="41.28515625" customWidth="1"/>
    <col min="13792" max="13792" width="7.140625" customWidth="1"/>
    <col min="13793" max="13806" width="9.28515625" customWidth="1"/>
    <col min="13807" max="13814" width="9.7109375" customWidth="1"/>
    <col min="13815" max="13815" width="9.85546875" customWidth="1"/>
    <col min="13816" max="13817" width="9.7109375" customWidth="1"/>
    <col min="13818" max="13818" width="10.42578125" customWidth="1"/>
    <col min="13819" max="13837" width="9.7109375" customWidth="1"/>
    <col min="13838" max="13838" width="10.42578125" customWidth="1"/>
    <col min="13839" max="13839" width="9.7109375" bestFit="1" customWidth="1"/>
    <col min="13840" max="13840" width="8.42578125" customWidth="1"/>
    <col min="13841" max="13844" width="9.7109375" bestFit="1" customWidth="1"/>
    <col min="13845" max="13845" width="10.42578125" bestFit="1" customWidth="1"/>
    <col min="13846" max="13849" width="9.7109375" bestFit="1" customWidth="1"/>
    <col min="13851" max="13851" width="10.7109375" bestFit="1" customWidth="1"/>
    <col min="13852" max="13854" width="9.7109375" bestFit="1" customWidth="1"/>
    <col min="14046" max="14046" width="6.28515625" customWidth="1"/>
    <col min="14047" max="14047" width="41.28515625" customWidth="1"/>
    <col min="14048" max="14048" width="7.140625" customWidth="1"/>
    <col min="14049" max="14062" width="9.28515625" customWidth="1"/>
    <col min="14063" max="14070" width="9.7109375" customWidth="1"/>
    <col min="14071" max="14071" width="9.85546875" customWidth="1"/>
    <col min="14072" max="14073" width="9.7109375" customWidth="1"/>
    <col min="14074" max="14074" width="10.42578125" customWidth="1"/>
    <col min="14075" max="14093" width="9.7109375" customWidth="1"/>
    <col min="14094" max="14094" width="10.42578125" customWidth="1"/>
    <col min="14095" max="14095" width="9.7109375" bestFit="1" customWidth="1"/>
    <col min="14096" max="14096" width="8.42578125" customWidth="1"/>
    <col min="14097" max="14100" width="9.7109375" bestFit="1" customWidth="1"/>
    <col min="14101" max="14101" width="10.42578125" bestFit="1" customWidth="1"/>
    <col min="14102" max="14105" width="9.7109375" bestFit="1" customWidth="1"/>
    <col min="14107" max="14107" width="10.7109375" bestFit="1" customWidth="1"/>
    <col min="14108" max="14110" width="9.7109375" bestFit="1" customWidth="1"/>
    <col min="14302" max="14302" width="6.28515625" customWidth="1"/>
    <col min="14303" max="14303" width="41.28515625" customWidth="1"/>
    <col min="14304" max="14304" width="7.140625" customWidth="1"/>
    <col min="14305" max="14318" width="9.28515625" customWidth="1"/>
    <col min="14319" max="14326" width="9.7109375" customWidth="1"/>
    <col min="14327" max="14327" width="9.85546875" customWidth="1"/>
    <col min="14328" max="14329" width="9.7109375" customWidth="1"/>
    <col min="14330" max="14330" width="10.42578125" customWidth="1"/>
    <col min="14331" max="14349" width="9.7109375" customWidth="1"/>
    <col min="14350" max="14350" width="10.42578125" customWidth="1"/>
    <col min="14351" max="14351" width="9.7109375" bestFit="1" customWidth="1"/>
    <col min="14352" max="14352" width="8.42578125" customWidth="1"/>
    <col min="14353" max="14356" width="9.7109375" bestFit="1" customWidth="1"/>
    <col min="14357" max="14357" width="10.42578125" bestFit="1" customWidth="1"/>
    <col min="14358" max="14361" width="9.7109375" bestFit="1" customWidth="1"/>
    <col min="14363" max="14363" width="10.7109375" bestFit="1" customWidth="1"/>
    <col min="14364" max="14366" width="9.7109375" bestFit="1" customWidth="1"/>
    <col min="14558" max="14558" width="6.28515625" customWidth="1"/>
    <col min="14559" max="14559" width="41.28515625" customWidth="1"/>
    <col min="14560" max="14560" width="7.140625" customWidth="1"/>
    <col min="14561" max="14574" width="9.28515625" customWidth="1"/>
    <col min="14575" max="14582" width="9.7109375" customWidth="1"/>
    <col min="14583" max="14583" width="9.85546875" customWidth="1"/>
    <col min="14584" max="14585" width="9.7109375" customWidth="1"/>
    <col min="14586" max="14586" width="10.42578125" customWidth="1"/>
    <col min="14587" max="14605" width="9.7109375" customWidth="1"/>
    <col min="14606" max="14606" width="10.42578125" customWidth="1"/>
    <col min="14607" max="14607" width="9.7109375" bestFit="1" customWidth="1"/>
    <col min="14608" max="14608" width="8.42578125" customWidth="1"/>
    <col min="14609" max="14612" width="9.7109375" bestFit="1" customWidth="1"/>
    <col min="14613" max="14613" width="10.42578125" bestFit="1" customWidth="1"/>
    <col min="14614" max="14617" width="9.7109375" bestFit="1" customWidth="1"/>
    <col min="14619" max="14619" width="10.7109375" bestFit="1" customWidth="1"/>
    <col min="14620" max="14622" width="9.7109375" bestFit="1" customWidth="1"/>
    <col min="14814" max="14814" width="6.28515625" customWidth="1"/>
    <col min="14815" max="14815" width="41.28515625" customWidth="1"/>
    <col min="14816" max="14816" width="7.140625" customWidth="1"/>
    <col min="14817" max="14830" width="9.28515625" customWidth="1"/>
    <col min="14831" max="14838" width="9.7109375" customWidth="1"/>
    <col min="14839" max="14839" width="9.85546875" customWidth="1"/>
    <col min="14840" max="14841" width="9.7109375" customWidth="1"/>
    <col min="14842" max="14842" width="10.42578125" customWidth="1"/>
    <col min="14843" max="14861" width="9.7109375" customWidth="1"/>
    <col min="14862" max="14862" width="10.42578125" customWidth="1"/>
    <col min="14863" max="14863" width="9.7109375" bestFit="1" customWidth="1"/>
    <col min="14864" max="14864" width="8.42578125" customWidth="1"/>
    <col min="14865" max="14868" width="9.7109375" bestFit="1" customWidth="1"/>
    <col min="14869" max="14869" width="10.42578125" bestFit="1" customWidth="1"/>
    <col min="14870" max="14873" width="9.7109375" bestFit="1" customWidth="1"/>
    <col min="14875" max="14875" width="10.7109375" bestFit="1" customWidth="1"/>
    <col min="14876" max="14878" width="9.7109375" bestFit="1" customWidth="1"/>
    <col min="15070" max="15070" width="6.28515625" customWidth="1"/>
    <col min="15071" max="15071" width="41.28515625" customWidth="1"/>
    <col min="15072" max="15072" width="7.140625" customWidth="1"/>
    <col min="15073" max="15086" width="9.28515625" customWidth="1"/>
    <col min="15087" max="15094" width="9.7109375" customWidth="1"/>
    <col min="15095" max="15095" width="9.85546875" customWidth="1"/>
    <col min="15096" max="15097" width="9.7109375" customWidth="1"/>
    <col min="15098" max="15098" width="10.42578125" customWidth="1"/>
    <col min="15099" max="15117" width="9.7109375" customWidth="1"/>
    <col min="15118" max="15118" width="10.42578125" customWidth="1"/>
    <col min="15119" max="15119" width="9.7109375" bestFit="1" customWidth="1"/>
    <col min="15120" max="15120" width="8.42578125" customWidth="1"/>
    <col min="15121" max="15124" width="9.7109375" bestFit="1" customWidth="1"/>
    <col min="15125" max="15125" width="10.42578125" bestFit="1" customWidth="1"/>
    <col min="15126" max="15129" width="9.7109375" bestFit="1" customWidth="1"/>
    <col min="15131" max="15131" width="10.7109375" bestFit="1" customWidth="1"/>
    <col min="15132" max="15134" width="9.7109375" bestFit="1" customWidth="1"/>
    <col min="15326" max="15326" width="6.28515625" customWidth="1"/>
    <col min="15327" max="15327" width="41.28515625" customWidth="1"/>
    <col min="15328" max="15328" width="7.140625" customWidth="1"/>
    <col min="15329" max="15342" width="9.28515625" customWidth="1"/>
    <col min="15343" max="15350" width="9.7109375" customWidth="1"/>
    <col min="15351" max="15351" width="9.85546875" customWidth="1"/>
    <col min="15352" max="15353" width="9.7109375" customWidth="1"/>
    <col min="15354" max="15354" width="10.42578125" customWidth="1"/>
    <col min="15355" max="15373" width="9.7109375" customWidth="1"/>
    <col min="15374" max="15374" width="10.42578125" customWidth="1"/>
    <col min="15375" max="15375" width="9.7109375" bestFit="1" customWidth="1"/>
    <col min="15376" max="15376" width="8.42578125" customWidth="1"/>
    <col min="15377" max="15380" width="9.7109375" bestFit="1" customWidth="1"/>
    <col min="15381" max="15381" width="10.42578125" bestFit="1" customWidth="1"/>
    <col min="15382" max="15385" width="9.7109375" bestFit="1" customWidth="1"/>
    <col min="15387" max="15387" width="10.7109375" bestFit="1" customWidth="1"/>
    <col min="15388" max="15390" width="9.7109375" bestFit="1" customWidth="1"/>
    <col min="15582" max="15582" width="6.28515625" customWidth="1"/>
    <col min="15583" max="15583" width="41.28515625" customWidth="1"/>
    <col min="15584" max="15584" width="7.140625" customWidth="1"/>
    <col min="15585" max="15598" width="9.28515625" customWidth="1"/>
    <col min="15599" max="15606" width="9.7109375" customWidth="1"/>
    <col min="15607" max="15607" width="9.85546875" customWidth="1"/>
    <col min="15608" max="15609" width="9.7109375" customWidth="1"/>
    <col min="15610" max="15610" width="10.42578125" customWidth="1"/>
    <col min="15611" max="15629" width="9.7109375" customWidth="1"/>
    <col min="15630" max="15630" width="10.42578125" customWidth="1"/>
    <col min="15631" max="15631" width="9.7109375" bestFit="1" customWidth="1"/>
    <col min="15632" max="15632" width="8.42578125" customWidth="1"/>
    <col min="15633" max="15636" width="9.7109375" bestFit="1" customWidth="1"/>
    <col min="15637" max="15637" width="10.42578125" bestFit="1" customWidth="1"/>
    <col min="15638" max="15641" width="9.7109375" bestFit="1" customWidth="1"/>
    <col min="15643" max="15643" width="10.7109375" bestFit="1" customWidth="1"/>
    <col min="15644" max="15646" width="9.7109375" bestFit="1" customWidth="1"/>
    <col min="15838" max="15838" width="6.28515625" customWidth="1"/>
    <col min="15839" max="15839" width="41.28515625" customWidth="1"/>
    <col min="15840" max="15840" width="7.140625" customWidth="1"/>
    <col min="15841" max="15854" width="9.28515625" customWidth="1"/>
    <col min="15855" max="15862" width="9.7109375" customWidth="1"/>
    <col min="15863" max="15863" width="9.85546875" customWidth="1"/>
    <col min="15864" max="15865" width="9.7109375" customWidth="1"/>
    <col min="15866" max="15866" width="10.42578125" customWidth="1"/>
    <col min="15867" max="15885" width="9.7109375" customWidth="1"/>
    <col min="15886" max="15886" width="10.42578125" customWidth="1"/>
    <col min="15887" max="15887" width="9.7109375" bestFit="1" customWidth="1"/>
    <col min="15888" max="15888" width="8.42578125" customWidth="1"/>
    <col min="15889" max="15892" width="9.7109375" bestFit="1" customWidth="1"/>
    <col min="15893" max="15893" width="10.42578125" bestFit="1" customWidth="1"/>
    <col min="15894" max="15897" width="9.7109375" bestFit="1" customWidth="1"/>
    <col min="15899" max="15899" width="10.7109375" bestFit="1" customWidth="1"/>
    <col min="15900" max="15902" width="9.7109375" bestFit="1" customWidth="1"/>
    <col min="16094" max="16094" width="6.28515625" customWidth="1"/>
    <col min="16095" max="16095" width="41.28515625" customWidth="1"/>
    <col min="16096" max="16096" width="7.140625" customWidth="1"/>
    <col min="16097" max="16110" width="9.28515625" customWidth="1"/>
    <col min="16111" max="16118" width="9.7109375" customWidth="1"/>
    <col min="16119" max="16119" width="9.85546875" customWidth="1"/>
    <col min="16120" max="16121" width="9.7109375" customWidth="1"/>
    <col min="16122" max="16122" width="10.42578125" customWidth="1"/>
    <col min="16123" max="16141" width="9.7109375" customWidth="1"/>
    <col min="16142" max="16142" width="10.42578125" customWidth="1"/>
    <col min="16143" max="16143" width="9.7109375" bestFit="1" customWidth="1"/>
    <col min="16144" max="16144" width="8.42578125" customWidth="1"/>
    <col min="16145" max="16148" width="9.7109375" bestFit="1" customWidth="1"/>
    <col min="16149" max="16149" width="10.42578125" bestFit="1" customWidth="1"/>
    <col min="16150" max="16153" width="9.7109375" bestFit="1" customWidth="1"/>
    <col min="16155" max="16155" width="10.7109375" bestFit="1" customWidth="1"/>
    <col min="16156" max="16158" width="9.7109375" bestFit="1" customWidth="1"/>
  </cols>
  <sheetData>
    <row r="1" spans="1:221" ht="15" x14ac:dyDescent="0.25">
      <c r="A1" s="13" t="s">
        <v>98</v>
      </c>
      <c r="B1" s="1"/>
      <c r="C1" s="115">
        <v>2016</v>
      </c>
      <c r="D1" s="115">
        <v>2016</v>
      </c>
      <c r="E1" s="115">
        <v>2017</v>
      </c>
      <c r="F1" s="115">
        <v>2017</v>
      </c>
      <c r="G1" s="115">
        <v>2017</v>
      </c>
      <c r="H1" s="115">
        <v>2017</v>
      </c>
      <c r="I1" s="115">
        <v>2018</v>
      </c>
      <c r="J1" s="115">
        <v>2018</v>
      </c>
      <c r="K1" s="115">
        <v>2018</v>
      </c>
      <c r="L1" s="115">
        <v>2018</v>
      </c>
      <c r="M1" s="115">
        <v>2019</v>
      </c>
      <c r="N1" s="115">
        <v>2019</v>
      </c>
      <c r="O1" s="115">
        <v>2019</v>
      </c>
      <c r="P1" s="115">
        <v>2019</v>
      </c>
      <c r="Q1" s="115">
        <v>2020</v>
      </c>
      <c r="R1" s="115">
        <v>2020</v>
      </c>
      <c r="S1" s="115">
        <v>2020</v>
      </c>
      <c r="T1" s="115">
        <v>2020</v>
      </c>
      <c r="U1" s="115">
        <v>2021</v>
      </c>
      <c r="V1" s="115">
        <v>2021</v>
      </c>
      <c r="W1" s="115">
        <v>2021</v>
      </c>
      <c r="X1" s="115">
        <v>2021</v>
      </c>
      <c r="Y1" s="115">
        <v>2022</v>
      </c>
      <c r="Z1" s="115">
        <v>2022</v>
      </c>
      <c r="AA1" s="115">
        <v>2022</v>
      </c>
      <c r="AB1" s="115">
        <v>2022</v>
      </c>
      <c r="AC1" s="115">
        <v>2023</v>
      </c>
      <c r="AD1" s="115">
        <v>2023</v>
      </c>
      <c r="AE1" s="115">
        <v>2023</v>
      </c>
      <c r="AF1" s="115">
        <v>2023</v>
      </c>
      <c r="AG1" s="115">
        <v>2024</v>
      </c>
      <c r="AH1" s="115">
        <v>2024</v>
      </c>
      <c r="AI1" s="115">
        <v>2024</v>
      </c>
      <c r="AJ1" s="115">
        <v>2024</v>
      </c>
      <c r="AK1" s="115">
        <v>2025</v>
      </c>
      <c r="AL1" s="115">
        <v>2025</v>
      </c>
      <c r="AM1" s="115">
        <v>2025</v>
      </c>
      <c r="AN1" s="115">
        <v>2026</v>
      </c>
      <c r="AO1" s="115">
        <v>2026</v>
      </c>
    </row>
    <row r="2" spans="1:221" ht="15" x14ac:dyDescent="0.25">
      <c r="A2" s="116"/>
      <c r="B2" s="117" t="s">
        <v>99</v>
      </c>
      <c r="C2" s="140" t="s">
        <v>75</v>
      </c>
      <c r="D2" s="140"/>
      <c r="E2" s="140"/>
      <c r="F2" s="140"/>
      <c r="G2" s="140" t="s">
        <v>79</v>
      </c>
      <c r="H2" s="140"/>
      <c r="I2" s="140"/>
      <c r="J2" s="140"/>
      <c r="K2" s="140" t="s">
        <v>85</v>
      </c>
      <c r="L2" s="140"/>
      <c r="M2" s="140"/>
      <c r="N2" s="140"/>
      <c r="O2" s="140" t="s">
        <v>86</v>
      </c>
      <c r="P2" s="140"/>
      <c r="Q2" s="140"/>
      <c r="R2" s="140"/>
      <c r="S2" s="140" t="s">
        <v>89</v>
      </c>
      <c r="T2" s="140"/>
      <c r="U2" s="140"/>
      <c r="V2" s="140"/>
      <c r="W2" s="140" t="s">
        <v>90</v>
      </c>
      <c r="X2" s="140"/>
      <c r="Y2" s="140"/>
      <c r="Z2" s="140"/>
      <c r="AA2" s="140" t="s">
        <v>96</v>
      </c>
      <c r="AB2" s="142"/>
      <c r="AC2" s="142"/>
      <c r="AD2" s="118"/>
      <c r="AE2" s="140" t="s">
        <v>97</v>
      </c>
      <c r="AF2" s="140"/>
      <c r="AG2" s="140"/>
      <c r="AH2" s="140"/>
      <c r="AI2" s="142" t="s">
        <v>123</v>
      </c>
      <c r="AJ2" s="142"/>
      <c r="AK2" s="142"/>
      <c r="AL2" s="142"/>
      <c r="AM2" s="118" t="s">
        <v>125</v>
      </c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</row>
    <row r="3" spans="1:221" ht="15" x14ac:dyDescent="0.25">
      <c r="A3" s="119"/>
      <c r="B3" s="120" t="s">
        <v>100</v>
      </c>
      <c r="C3" s="121" t="s">
        <v>57</v>
      </c>
      <c r="D3" s="121" t="s">
        <v>58</v>
      </c>
      <c r="E3" s="121" t="s">
        <v>59</v>
      </c>
      <c r="F3" s="121" t="s">
        <v>60</v>
      </c>
      <c r="G3" s="121" t="s">
        <v>57</v>
      </c>
      <c r="H3" s="121" t="s">
        <v>58</v>
      </c>
      <c r="I3" s="121" t="s">
        <v>59</v>
      </c>
      <c r="J3" s="121" t="s">
        <v>60</v>
      </c>
      <c r="K3" s="121" t="s">
        <v>57</v>
      </c>
      <c r="L3" s="121" t="s">
        <v>58</v>
      </c>
      <c r="M3" s="121" t="s">
        <v>59</v>
      </c>
      <c r="N3" s="121" t="s">
        <v>60</v>
      </c>
      <c r="O3" s="121" t="s">
        <v>57</v>
      </c>
      <c r="P3" s="121" t="s">
        <v>58</v>
      </c>
      <c r="Q3" s="121" t="s">
        <v>59</v>
      </c>
      <c r="R3" s="121" t="s">
        <v>60</v>
      </c>
      <c r="S3" s="121" t="s">
        <v>57</v>
      </c>
      <c r="T3" s="121" t="s">
        <v>58</v>
      </c>
      <c r="U3" s="121" t="s">
        <v>59</v>
      </c>
      <c r="V3" s="121" t="s">
        <v>60</v>
      </c>
      <c r="W3" s="121" t="s">
        <v>57</v>
      </c>
      <c r="X3" s="121" t="s">
        <v>58</v>
      </c>
      <c r="Y3" s="121" t="s">
        <v>59</v>
      </c>
      <c r="Z3" s="121" t="s">
        <v>60</v>
      </c>
      <c r="AA3" s="121" t="s">
        <v>57</v>
      </c>
      <c r="AB3" s="121" t="s">
        <v>58</v>
      </c>
      <c r="AC3" s="121" t="s">
        <v>59</v>
      </c>
      <c r="AD3" s="121" t="s">
        <v>60</v>
      </c>
      <c r="AE3" s="121" t="s">
        <v>57</v>
      </c>
      <c r="AF3" s="121" t="s">
        <v>58</v>
      </c>
      <c r="AG3" s="121" t="s">
        <v>59</v>
      </c>
      <c r="AH3" s="121" t="s">
        <v>60</v>
      </c>
      <c r="AI3" s="121" t="s">
        <v>57</v>
      </c>
      <c r="AJ3" s="121" t="s">
        <v>58</v>
      </c>
      <c r="AK3" s="121" t="s">
        <v>59</v>
      </c>
      <c r="AL3" s="121" t="s">
        <v>60</v>
      </c>
      <c r="AM3" s="121" t="s">
        <v>57</v>
      </c>
      <c r="AN3" s="121" t="s">
        <v>58</v>
      </c>
      <c r="AO3" s="121" t="s">
        <v>59</v>
      </c>
    </row>
    <row r="4" spans="1:221" ht="15" x14ac:dyDescent="0.25">
      <c r="A4" s="122"/>
      <c r="B4" s="123" t="s">
        <v>101</v>
      </c>
      <c r="C4" s="124"/>
      <c r="D4" s="124"/>
      <c r="E4" s="124"/>
      <c r="F4" s="124"/>
      <c r="G4" s="124"/>
      <c r="H4" s="12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</row>
    <row r="5" spans="1:221" ht="15" x14ac:dyDescent="0.25">
      <c r="A5" s="125"/>
      <c r="B5" s="126" t="s">
        <v>102</v>
      </c>
      <c r="C5" s="97">
        <v>19693.510552393469</v>
      </c>
      <c r="D5" s="97">
        <v>21474.84089602594</v>
      </c>
      <c r="E5" s="97">
        <v>21823.426369499368</v>
      </c>
      <c r="F5" s="97">
        <v>22653.72432388485</v>
      </c>
      <c r="G5" s="97">
        <v>23420.242838612066</v>
      </c>
      <c r="H5" s="97">
        <v>23490.311864168387</v>
      </c>
      <c r="I5" s="97">
        <v>25067.423187605178</v>
      </c>
      <c r="J5" s="97">
        <v>25702.712810863188</v>
      </c>
      <c r="K5" s="97">
        <v>25475.547049901797</v>
      </c>
      <c r="L5" s="97">
        <v>25860.882849738409</v>
      </c>
      <c r="M5" s="97">
        <v>26606.502290679098</v>
      </c>
      <c r="N5" s="97">
        <v>27844.674051077185</v>
      </c>
      <c r="O5" s="97">
        <v>28742.270639106493</v>
      </c>
      <c r="P5" s="97">
        <v>29533.489983074411</v>
      </c>
      <c r="Q5" s="97">
        <v>28252.640831425069</v>
      </c>
      <c r="R5" s="97">
        <v>26505.687664726491</v>
      </c>
      <c r="S5" s="97">
        <v>29348.886521118373</v>
      </c>
      <c r="T5" s="97">
        <v>30460.874736939986</v>
      </c>
      <c r="U5" s="97">
        <v>31087.134968559058</v>
      </c>
      <c r="V5" s="97">
        <v>31052.548397262799</v>
      </c>
      <c r="W5" s="97">
        <v>29887.752581184031</v>
      </c>
      <c r="X5" s="97">
        <v>31593.018659806439</v>
      </c>
      <c r="Y5" s="97">
        <v>34360.635220888624</v>
      </c>
      <c r="Z5" s="97">
        <v>35827.848184943286</v>
      </c>
      <c r="AA5" s="97">
        <v>35997.943480098751</v>
      </c>
      <c r="AB5" s="97">
        <v>37149.521269300771</v>
      </c>
      <c r="AC5" s="97">
        <v>37084.920298264333</v>
      </c>
      <c r="AD5" s="97">
        <v>38674.40589018118</v>
      </c>
      <c r="AE5" s="97">
        <v>38395.26874896737</v>
      </c>
      <c r="AF5" s="97">
        <v>35836.122776010059</v>
      </c>
      <c r="AG5" s="97">
        <v>39474.895408665521</v>
      </c>
      <c r="AH5" s="97">
        <v>41608.573481721214</v>
      </c>
      <c r="AI5" s="97">
        <v>43008.468381359788</v>
      </c>
      <c r="AJ5" s="97">
        <v>41907.049389988213</v>
      </c>
      <c r="AK5" s="97">
        <v>46246.761382407996</v>
      </c>
      <c r="AL5" s="97">
        <v>44285.107009544292</v>
      </c>
      <c r="AM5" s="97">
        <v>49010.935765266229</v>
      </c>
      <c r="AN5" s="97">
        <v>50501.181663968317</v>
      </c>
      <c r="AO5" s="97">
        <v>48916.634122656615</v>
      </c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125"/>
      <c r="GK5" s="125"/>
      <c r="GL5" s="125"/>
      <c r="GM5" s="125"/>
      <c r="GN5" s="125"/>
      <c r="GO5" s="125"/>
      <c r="GP5" s="125"/>
      <c r="GQ5" s="125"/>
      <c r="GR5" s="125"/>
      <c r="GS5" s="125"/>
      <c r="GT5" s="125"/>
      <c r="GU5" s="125"/>
      <c r="GV5" s="125"/>
      <c r="GW5" s="125"/>
      <c r="GX5" s="125"/>
      <c r="GY5" s="125"/>
      <c r="GZ5" s="125"/>
      <c r="HA5" s="125"/>
      <c r="HB5" s="125"/>
      <c r="HC5" s="125"/>
      <c r="HD5" s="125"/>
      <c r="HE5" s="125"/>
      <c r="HF5" s="125"/>
      <c r="HG5" s="125"/>
      <c r="HH5" s="125"/>
      <c r="HI5" s="125"/>
      <c r="HJ5" s="125"/>
      <c r="HK5" s="125"/>
      <c r="HL5" s="125"/>
      <c r="HM5" s="125"/>
    </row>
    <row r="6" spans="1:221" ht="15" x14ac:dyDescent="0.25">
      <c r="A6" s="125"/>
      <c r="B6" s="127" t="s">
        <v>103</v>
      </c>
      <c r="C6" s="3">
        <v>2055.0193937705872</v>
      </c>
      <c r="D6" s="3">
        <v>2009.5448421412425</v>
      </c>
      <c r="E6" s="3">
        <v>2205.6086028778777</v>
      </c>
      <c r="F6" s="3">
        <v>2422.4975566705334</v>
      </c>
      <c r="G6" s="3">
        <v>2542.6320256697441</v>
      </c>
      <c r="H6" s="3">
        <v>2571.4281495021851</v>
      </c>
      <c r="I6" s="3">
        <v>2679.3323156819515</v>
      </c>
      <c r="J6" s="3">
        <v>2602.5626853253107</v>
      </c>
      <c r="K6" s="3">
        <v>2710.1052304704176</v>
      </c>
      <c r="L6" s="3">
        <v>2740.7051218072952</v>
      </c>
      <c r="M6" s="3">
        <v>2792.9877216077266</v>
      </c>
      <c r="N6" s="3">
        <v>3322.3374766206457</v>
      </c>
      <c r="O6" s="3">
        <v>3050.0298857383832</v>
      </c>
      <c r="P6" s="3">
        <v>3475.9358036632289</v>
      </c>
      <c r="Q6" s="3">
        <v>3374.9910734980585</v>
      </c>
      <c r="R6" s="3">
        <v>3362.7249904751552</v>
      </c>
      <c r="S6" s="3">
        <v>3394.6228833862738</v>
      </c>
      <c r="T6" s="3">
        <v>3804.5019768304601</v>
      </c>
      <c r="U6" s="3">
        <v>3851.3130612980372</v>
      </c>
      <c r="V6" s="3">
        <v>3663.2600252090351</v>
      </c>
      <c r="W6" s="3">
        <v>3671.0119710601243</v>
      </c>
      <c r="X6" s="3">
        <v>3651.5691047896003</v>
      </c>
      <c r="Y6" s="3">
        <v>4199.0768751013402</v>
      </c>
      <c r="Z6" s="3">
        <v>4385.3138629052901</v>
      </c>
      <c r="AA6" s="3">
        <v>4496.6617324231511</v>
      </c>
      <c r="AB6" s="3">
        <v>4568.0481101702389</v>
      </c>
      <c r="AC6" s="3">
        <v>4258.3301376602494</v>
      </c>
      <c r="AD6" s="3">
        <v>4166.0453910595752</v>
      </c>
      <c r="AE6" s="3">
        <v>4321.9098616256451</v>
      </c>
      <c r="AF6" s="3">
        <v>4716.4758419841755</v>
      </c>
      <c r="AG6" s="3">
        <v>5208.8336335683462</v>
      </c>
      <c r="AH6" s="3">
        <v>6141.3236500762951</v>
      </c>
      <c r="AI6" s="3">
        <v>6154.3357930186339</v>
      </c>
      <c r="AJ6" s="3">
        <v>6495.0930157836174</v>
      </c>
      <c r="AK6" s="3">
        <v>6971.9305924393921</v>
      </c>
      <c r="AL6" s="3">
        <v>6953.0623125364382</v>
      </c>
      <c r="AM6" s="3">
        <v>7287.2136228778181</v>
      </c>
      <c r="AN6" s="3">
        <v>7191.4077063181649</v>
      </c>
      <c r="AO6" s="3">
        <v>7491.8815124652374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</row>
    <row r="7" spans="1:221" ht="15" x14ac:dyDescent="0.25">
      <c r="A7" s="3"/>
      <c r="B7" s="127" t="s">
        <v>104</v>
      </c>
      <c r="C7" s="3">
        <v>1017.0024702689833</v>
      </c>
      <c r="D7" s="3">
        <v>1042.7664258431062</v>
      </c>
      <c r="E7" s="3">
        <v>1083.3058690758253</v>
      </c>
      <c r="F7" s="3">
        <v>1120.2321345522594</v>
      </c>
      <c r="G7" s="3">
        <v>1160.9203361585628</v>
      </c>
      <c r="H7" s="3">
        <v>1214.7965790537467</v>
      </c>
      <c r="I7" s="3">
        <v>1265.2251478847745</v>
      </c>
      <c r="J7" s="3">
        <v>1321.9695971771253</v>
      </c>
      <c r="K7" s="3">
        <v>1378.0092087936007</v>
      </c>
      <c r="L7" s="3">
        <v>1411.1027880651181</v>
      </c>
      <c r="M7" s="3">
        <v>1436.2361611865356</v>
      </c>
      <c r="N7" s="3">
        <v>1470.4769867913594</v>
      </c>
      <c r="O7" s="3">
        <v>1515.1528869482768</v>
      </c>
      <c r="P7" s="3">
        <v>1539.9383543904269</v>
      </c>
      <c r="Q7" s="3">
        <v>1538.3202580212378</v>
      </c>
      <c r="R7" s="3">
        <v>1518.5572624503936</v>
      </c>
      <c r="S7" s="3">
        <v>1486.5761904991355</v>
      </c>
      <c r="T7" s="3">
        <v>1484.2970965383727</v>
      </c>
      <c r="U7" s="3">
        <v>1552.3111960894539</v>
      </c>
      <c r="V7" s="3">
        <v>1616.4199510542135</v>
      </c>
      <c r="W7" s="3">
        <v>1677.5724902805423</v>
      </c>
      <c r="X7" s="3">
        <v>1744.2307338557955</v>
      </c>
      <c r="Y7" s="3">
        <v>1807.0035459049689</v>
      </c>
      <c r="Z7" s="3">
        <v>1867.100399133715</v>
      </c>
      <c r="AA7" s="3">
        <v>1976.0728994752308</v>
      </c>
      <c r="AB7" s="3">
        <v>1989.5324608576034</v>
      </c>
      <c r="AC7" s="3">
        <v>2013.8366473767539</v>
      </c>
      <c r="AD7" s="3">
        <v>2024.188721613373</v>
      </c>
      <c r="AE7" s="3">
        <v>2047.5738657112979</v>
      </c>
      <c r="AF7" s="3">
        <v>2143.9760508121726</v>
      </c>
      <c r="AG7" s="3">
        <v>1999.4896751412462</v>
      </c>
      <c r="AH7" s="3">
        <v>2061.6169600708381</v>
      </c>
      <c r="AI7" s="3">
        <v>2062.1150160398388</v>
      </c>
      <c r="AJ7" s="3">
        <v>2063.9707519443286</v>
      </c>
      <c r="AK7" s="3">
        <v>1754.0586183737746</v>
      </c>
      <c r="AL7" s="3">
        <v>1980.5961250910982</v>
      </c>
      <c r="AM7" s="3">
        <v>2151.4045872258162</v>
      </c>
      <c r="AN7" s="3">
        <v>2072.946126704675</v>
      </c>
      <c r="AO7" s="3">
        <v>2175.1154211207499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</row>
    <row r="8" spans="1:221" ht="15" x14ac:dyDescent="0.25">
      <c r="A8" s="3"/>
      <c r="B8" s="127" t="s">
        <v>105</v>
      </c>
      <c r="C8" s="3">
        <v>16621.488688353897</v>
      </c>
      <c r="D8" s="3">
        <v>18422.52962804159</v>
      </c>
      <c r="E8" s="3">
        <v>18534.511897545664</v>
      </c>
      <c r="F8" s="3">
        <v>19110.994632662056</v>
      </c>
      <c r="G8" s="3">
        <v>19716.690476783759</v>
      </c>
      <c r="H8" s="3">
        <v>19704.087135612455</v>
      </c>
      <c r="I8" s="3">
        <v>21122.865724038453</v>
      </c>
      <c r="J8" s="3">
        <v>21778.18052836075</v>
      </c>
      <c r="K8" s="3">
        <v>21387.432610637778</v>
      </c>
      <c r="L8" s="3">
        <v>21709.074939865994</v>
      </c>
      <c r="M8" s="3">
        <v>22377.278407884838</v>
      </c>
      <c r="N8" s="3">
        <v>23051.859587665178</v>
      </c>
      <c r="O8" s="3">
        <v>24177.087866419835</v>
      </c>
      <c r="P8" s="3">
        <v>24517.615825020755</v>
      </c>
      <c r="Q8" s="3">
        <v>23339.329499905773</v>
      </c>
      <c r="R8" s="3">
        <v>21624.405411800941</v>
      </c>
      <c r="S8" s="3">
        <v>24467.687447232962</v>
      </c>
      <c r="T8" s="3">
        <v>25172.075663571155</v>
      </c>
      <c r="U8" s="3">
        <v>25683.510711171566</v>
      </c>
      <c r="V8" s="3">
        <v>25772.868420999552</v>
      </c>
      <c r="W8" s="3">
        <v>24539.168119843365</v>
      </c>
      <c r="X8" s="3">
        <v>26197.218821161045</v>
      </c>
      <c r="Y8" s="3">
        <v>28354.554799882313</v>
      </c>
      <c r="Z8" s="3">
        <v>29575.433922904282</v>
      </c>
      <c r="AA8" s="3">
        <v>29525.208848200371</v>
      </c>
      <c r="AB8" s="3">
        <v>30591.940698272927</v>
      </c>
      <c r="AC8" s="3">
        <v>30812.753513227326</v>
      </c>
      <c r="AD8" s="3">
        <v>32484.171777508232</v>
      </c>
      <c r="AE8" s="3">
        <v>32025.785021630429</v>
      </c>
      <c r="AF8" s="3">
        <v>28975.670883213708</v>
      </c>
      <c r="AG8" s="3">
        <v>32266.572099955927</v>
      </c>
      <c r="AH8" s="3">
        <v>33405.632871574082</v>
      </c>
      <c r="AI8" s="3">
        <v>34792.017572301316</v>
      </c>
      <c r="AJ8" s="3">
        <v>33347.985622260268</v>
      </c>
      <c r="AK8" s="3">
        <v>37520.772171594828</v>
      </c>
      <c r="AL8" s="3">
        <v>35351.448571916757</v>
      </c>
      <c r="AM8" s="3">
        <v>39572.317555162597</v>
      </c>
      <c r="AN8" s="3">
        <v>41236.827830945476</v>
      </c>
      <c r="AO8" s="3">
        <v>39249.637189070629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</row>
    <row r="9" spans="1:221" ht="15" x14ac:dyDescent="0.25">
      <c r="A9" s="125"/>
      <c r="B9" s="126" t="s">
        <v>106</v>
      </c>
      <c r="C9" s="97">
        <v>6184.1252687397791</v>
      </c>
      <c r="D9" s="97">
        <v>6605.0992778147229</v>
      </c>
      <c r="E9" s="97">
        <v>6545.8792091131963</v>
      </c>
      <c r="F9" s="97">
        <v>6740.6839085816073</v>
      </c>
      <c r="G9" s="97">
        <v>6832.4654951545745</v>
      </c>
      <c r="H9" s="97">
        <v>7030.1898762611709</v>
      </c>
      <c r="I9" s="97">
        <v>7410.7338201744587</v>
      </c>
      <c r="J9" s="97">
        <v>7367.1262439049751</v>
      </c>
      <c r="K9" s="97">
        <v>8002.4511931669149</v>
      </c>
      <c r="L9" s="97">
        <v>7994.012629284588</v>
      </c>
      <c r="M9" s="97">
        <v>8192.2165016655381</v>
      </c>
      <c r="N9" s="97">
        <v>8708.6155049435838</v>
      </c>
      <c r="O9" s="97">
        <v>8316.1568900392613</v>
      </c>
      <c r="P9" s="97">
        <v>8339.9655489358593</v>
      </c>
      <c r="Q9" s="97">
        <v>8930.5035898003189</v>
      </c>
      <c r="R9" s="97">
        <v>7289.231906359365</v>
      </c>
      <c r="S9" s="97">
        <v>7435.7763823405458</v>
      </c>
      <c r="T9" s="97">
        <v>8787.2728181753628</v>
      </c>
      <c r="U9" s="97">
        <v>9231.1848300332731</v>
      </c>
      <c r="V9" s="97">
        <v>9182.3353661039637</v>
      </c>
      <c r="W9" s="97">
        <v>9387.4814894557312</v>
      </c>
      <c r="X9" s="97">
        <v>9608.4862661400493</v>
      </c>
      <c r="Y9" s="97">
        <v>9489.0267688426466</v>
      </c>
      <c r="Z9" s="97">
        <v>9645.5304215800443</v>
      </c>
      <c r="AA9" s="97">
        <v>9864.8106644039563</v>
      </c>
      <c r="AB9" s="97">
        <v>9708.6905841189473</v>
      </c>
      <c r="AC9" s="97">
        <v>9752.5612656254452</v>
      </c>
      <c r="AD9" s="97">
        <v>11016.734881381901</v>
      </c>
      <c r="AE9" s="97">
        <v>10988.404158458179</v>
      </c>
      <c r="AF9" s="97">
        <v>10927.463441620817</v>
      </c>
      <c r="AG9" s="97">
        <v>11149.012082472716</v>
      </c>
      <c r="AH9" s="97">
        <v>10960.628857378941</v>
      </c>
      <c r="AI9" s="97">
        <v>11415.474353596419</v>
      </c>
      <c r="AJ9" s="97">
        <v>12415.434997528002</v>
      </c>
      <c r="AK9" s="97">
        <v>12558.361518984018</v>
      </c>
      <c r="AL9" s="97">
        <v>13372.017734219426</v>
      </c>
      <c r="AM9" s="97">
        <v>13364.382058493564</v>
      </c>
      <c r="AN9" s="97">
        <v>14390.61896196873</v>
      </c>
      <c r="AO9" s="97">
        <v>14656.004191890523</v>
      </c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25"/>
      <c r="FV9" s="125"/>
      <c r="FW9" s="125"/>
      <c r="FX9" s="125"/>
      <c r="FY9" s="125"/>
      <c r="FZ9" s="125"/>
      <c r="GA9" s="125"/>
      <c r="GB9" s="125"/>
      <c r="GC9" s="125"/>
      <c r="GD9" s="125"/>
      <c r="GE9" s="125"/>
      <c r="GF9" s="125"/>
      <c r="GG9" s="125"/>
      <c r="GH9" s="125"/>
      <c r="GI9" s="125"/>
      <c r="GJ9" s="125"/>
      <c r="GK9" s="125"/>
      <c r="GL9" s="125"/>
      <c r="GM9" s="125"/>
      <c r="GN9" s="125"/>
      <c r="GO9" s="125"/>
      <c r="GP9" s="125"/>
      <c r="GQ9" s="125"/>
      <c r="GR9" s="125"/>
      <c r="GS9" s="125"/>
      <c r="GT9" s="125"/>
      <c r="GU9" s="125"/>
      <c r="GV9" s="125"/>
      <c r="GW9" s="125"/>
      <c r="GX9" s="125"/>
      <c r="GY9" s="125"/>
      <c r="GZ9" s="125"/>
      <c r="HA9" s="125"/>
      <c r="HB9" s="125"/>
      <c r="HC9" s="125"/>
      <c r="HD9" s="125"/>
      <c r="HE9" s="125"/>
      <c r="HF9" s="125"/>
      <c r="HG9" s="125"/>
      <c r="HH9" s="125"/>
      <c r="HI9" s="125"/>
      <c r="HJ9" s="125"/>
      <c r="HK9" s="125"/>
      <c r="HL9" s="125"/>
      <c r="HM9" s="125"/>
    </row>
    <row r="10" spans="1:221" ht="15" x14ac:dyDescent="0.25">
      <c r="A10" s="3"/>
      <c r="B10" s="127" t="s">
        <v>107</v>
      </c>
      <c r="C10" s="3">
        <v>82.642140899882378</v>
      </c>
      <c r="D10" s="3">
        <v>79.51525247787221</v>
      </c>
      <c r="E10" s="3">
        <v>80.658143658703423</v>
      </c>
      <c r="F10" s="3">
        <v>87.410825390301738</v>
      </c>
      <c r="G10" s="3">
        <v>91.478866566610236</v>
      </c>
      <c r="H10" s="3">
        <v>97.988483230483979</v>
      </c>
      <c r="I10" s="3">
        <v>101.19176741824491</v>
      </c>
      <c r="J10" s="3">
        <v>106.57788945984301</v>
      </c>
      <c r="K10" s="3">
        <v>112.4512044414269</v>
      </c>
      <c r="L10" s="3">
        <v>112.20821405695891</v>
      </c>
      <c r="M10" s="3">
        <v>112.46889055011827</v>
      </c>
      <c r="N10" s="3">
        <v>111.62271405338623</v>
      </c>
      <c r="O10" s="3">
        <v>111.83259220011557</v>
      </c>
      <c r="P10" s="3">
        <v>112.83095366757765</v>
      </c>
      <c r="Q10" s="3">
        <v>112.64295133846254</v>
      </c>
      <c r="R10" s="3">
        <v>112.37402919488366</v>
      </c>
      <c r="S10" s="3">
        <v>113.32462071989616</v>
      </c>
      <c r="T10" s="3">
        <v>115.02721198708637</v>
      </c>
      <c r="U10" s="3">
        <v>115.62228005728397</v>
      </c>
      <c r="V10" s="3">
        <v>116.15306458130054</v>
      </c>
      <c r="W10" s="3">
        <v>115.23157709000948</v>
      </c>
      <c r="X10" s="3">
        <v>117.41207635256676</v>
      </c>
      <c r="Y10" s="3">
        <v>126.01371673155165</v>
      </c>
      <c r="Z10" s="3">
        <v>137.76495604900191</v>
      </c>
      <c r="AA10" s="3">
        <v>153.07639515426686</v>
      </c>
      <c r="AB10" s="3">
        <v>161.24964369985969</v>
      </c>
      <c r="AC10" s="3">
        <v>163.3327133236177</v>
      </c>
      <c r="AD10" s="3">
        <v>167.7147212351685</v>
      </c>
      <c r="AE10" s="3">
        <v>154.0132327792202</v>
      </c>
      <c r="AF10" s="3">
        <v>161.56135254363835</v>
      </c>
      <c r="AG10" s="3">
        <v>143.96021411328678</v>
      </c>
      <c r="AH10" s="3">
        <v>147.99197058254245</v>
      </c>
      <c r="AI10" s="3">
        <v>158.56234272327902</v>
      </c>
      <c r="AJ10" s="3">
        <v>190.50809736536996</v>
      </c>
      <c r="AK10" s="3">
        <v>155.25289446005536</v>
      </c>
      <c r="AL10" s="3">
        <v>157.41075977135378</v>
      </c>
      <c r="AM10" s="3">
        <v>155.47722784416561</v>
      </c>
      <c r="AN10" s="3">
        <v>164.48520889974023</v>
      </c>
      <c r="AO10" s="3">
        <v>166.78057902208496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</row>
    <row r="11" spans="1:221" ht="15" x14ac:dyDescent="0.25">
      <c r="A11" s="3"/>
      <c r="B11" s="127" t="s">
        <v>108</v>
      </c>
      <c r="C11" s="3">
        <v>1413.394341515874</v>
      </c>
      <c r="D11" s="3">
        <v>1512.5277597356046</v>
      </c>
      <c r="E11" s="3">
        <v>1522.6961778759635</v>
      </c>
      <c r="F11" s="3">
        <v>1533.8199775677631</v>
      </c>
      <c r="G11" s="3">
        <v>1540.7936928139491</v>
      </c>
      <c r="H11" s="3">
        <v>1537.7277107879079</v>
      </c>
      <c r="I11" s="3">
        <v>1686.0492421878155</v>
      </c>
      <c r="J11" s="3">
        <v>1761.7511693515407</v>
      </c>
      <c r="K11" s="3">
        <v>1827.8462523968828</v>
      </c>
      <c r="L11" s="3">
        <v>1829.9420002034499</v>
      </c>
      <c r="M11" s="3">
        <v>1875.4032449075009</v>
      </c>
      <c r="N11" s="3">
        <v>1966.0669195015539</v>
      </c>
      <c r="O11" s="3">
        <v>1884.5808602080183</v>
      </c>
      <c r="P11" s="3">
        <v>1973.3696314983131</v>
      </c>
      <c r="Q11" s="3">
        <v>2017.7782231483297</v>
      </c>
      <c r="R11" s="3">
        <v>1833.2970704673301</v>
      </c>
      <c r="S11" s="3">
        <v>1548.3752192523939</v>
      </c>
      <c r="T11" s="3">
        <v>1948.4498273076024</v>
      </c>
      <c r="U11" s="3">
        <v>2109.6410797518156</v>
      </c>
      <c r="V11" s="3">
        <v>2228.6656872038025</v>
      </c>
      <c r="W11" s="3">
        <v>2435.3973155825138</v>
      </c>
      <c r="X11" s="3">
        <v>2332.0080561984678</v>
      </c>
      <c r="Y11" s="3">
        <v>2276.585880672611</v>
      </c>
      <c r="Z11" s="3">
        <v>2303.8149755674567</v>
      </c>
      <c r="AA11" s="3">
        <v>2396.2030896599485</v>
      </c>
      <c r="AB11" s="3">
        <v>2228.6332372511256</v>
      </c>
      <c r="AC11" s="3">
        <v>2390.6585901902818</v>
      </c>
      <c r="AD11" s="3">
        <v>2621.5640554884831</v>
      </c>
      <c r="AE11" s="3">
        <v>2559.9468143272939</v>
      </c>
      <c r="AF11" s="3">
        <v>2610.6233017861264</v>
      </c>
      <c r="AG11" s="3">
        <v>2527.1575036329732</v>
      </c>
      <c r="AH11" s="3">
        <v>2558.6603339912676</v>
      </c>
      <c r="AI11" s="3">
        <v>2785.9452757643371</v>
      </c>
      <c r="AJ11" s="3">
        <v>3102.2033964760512</v>
      </c>
      <c r="AK11" s="3">
        <v>3239.0508822336883</v>
      </c>
      <c r="AL11" s="3">
        <v>3400.1397253634332</v>
      </c>
      <c r="AM11" s="3">
        <v>3348.7186235404542</v>
      </c>
      <c r="AN11" s="3">
        <v>3555.782723797965</v>
      </c>
      <c r="AO11" s="3">
        <v>3769.5886650992461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</row>
    <row r="12" spans="1:221" ht="15" x14ac:dyDescent="0.25">
      <c r="A12" s="3"/>
      <c r="B12" s="127" t="s">
        <v>109</v>
      </c>
      <c r="C12" s="3">
        <v>2322.5989137512379</v>
      </c>
      <c r="D12" s="3">
        <v>2377.7868630282624</v>
      </c>
      <c r="E12" s="3">
        <v>2372.7345448205424</v>
      </c>
      <c r="F12" s="3">
        <v>2303.7395683663926</v>
      </c>
      <c r="G12" s="3">
        <v>2360.2508206545217</v>
      </c>
      <c r="H12" s="3">
        <v>2429.5751317720892</v>
      </c>
      <c r="I12" s="3">
        <v>2572.4654831153744</v>
      </c>
      <c r="J12" s="3">
        <v>2703.3732183438678</v>
      </c>
      <c r="K12" s="3">
        <v>2860.3285200829564</v>
      </c>
      <c r="L12" s="3">
        <v>2991.6523252042634</v>
      </c>
      <c r="M12" s="3">
        <v>3045.9485950580201</v>
      </c>
      <c r="N12" s="3">
        <v>3101.8365831109991</v>
      </c>
      <c r="O12" s="3">
        <v>2969.767912719657</v>
      </c>
      <c r="P12" s="3">
        <v>3034.1135968150793</v>
      </c>
      <c r="Q12" s="3">
        <v>3242.2130382373002</v>
      </c>
      <c r="R12" s="3">
        <v>2928.2874582014356</v>
      </c>
      <c r="S12" s="3">
        <v>2548.9035749791929</v>
      </c>
      <c r="T12" s="3">
        <v>3255.4696550573558</v>
      </c>
      <c r="U12" s="3">
        <v>3493.1441941470216</v>
      </c>
      <c r="V12" s="3">
        <v>3440.1521521337777</v>
      </c>
      <c r="W12" s="3">
        <v>3440.9034917593426</v>
      </c>
      <c r="X12" s="3">
        <v>3318.2928244037212</v>
      </c>
      <c r="Y12" s="3">
        <v>3241.4276126159957</v>
      </c>
      <c r="Z12" s="3">
        <v>3276.4646281545079</v>
      </c>
      <c r="AA12" s="3">
        <v>3519.7462930774923</v>
      </c>
      <c r="AB12" s="3">
        <v>3387.1094404611977</v>
      </c>
      <c r="AC12" s="3">
        <v>3606.0628506643893</v>
      </c>
      <c r="AD12" s="3">
        <v>4112.8130640872932</v>
      </c>
      <c r="AE12" s="3">
        <v>4152.0546766737007</v>
      </c>
      <c r="AF12" s="3">
        <v>4243.2991261335837</v>
      </c>
      <c r="AG12" s="3">
        <v>4096.1205491813816</v>
      </c>
      <c r="AH12" s="3">
        <v>4060.1135507845261</v>
      </c>
      <c r="AI12" s="3">
        <v>4285.6648193562769</v>
      </c>
      <c r="AJ12" s="3">
        <v>4535.9635545586552</v>
      </c>
      <c r="AK12" s="3">
        <v>4792.9069228673616</v>
      </c>
      <c r="AL12" s="3">
        <v>5214.9339541799254</v>
      </c>
      <c r="AM12" s="3">
        <v>4769.2448938218095</v>
      </c>
      <c r="AN12" s="3">
        <v>5289.480149493219</v>
      </c>
      <c r="AO12" s="3">
        <v>5548.0357740645331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</row>
    <row r="13" spans="1:221" ht="15" x14ac:dyDescent="0.25">
      <c r="A13" s="3"/>
      <c r="B13" s="127" t="s">
        <v>110</v>
      </c>
      <c r="C13" s="3">
        <v>459.98269127119238</v>
      </c>
      <c r="D13" s="3">
        <v>544.81288071947563</v>
      </c>
      <c r="E13" s="3">
        <v>472.60088962424618</v>
      </c>
      <c r="F13" s="3">
        <v>409.87885030856484</v>
      </c>
      <c r="G13" s="3">
        <v>590.06151809873143</v>
      </c>
      <c r="H13" s="3">
        <v>616.37698596093071</v>
      </c>
      <c r="I13" s="3">
        <v>596.63316492491515</v>
      </c>
      <c r="J13" s="3">
        <v>611.55381831412603</v>
      </c>
      <c r="K13" s="3">
        <v>629.23126029142202</v>
      </c>
      <c r="L13" s="3">
        <v>674.40807576817156</v>
      </c>
      <c r="M13" s="3">
        <v>667.57308251432573</v>
      </c>
      <c r="N13" s="3">
        <v>716.63472194906615</v>
      </c>
      <c r="O13" s="3">
        <v>702.74164545686176</v>
      </c>
      <c r="P13" s="3">
        <v>654.22608496868111</v>
      </c>
      <c r="Q13" s="3">
        <v>656.43318191513436</v>
      </c>
      <c r="R13" s="3">
        <v>270.46679803002655</v>
      </c>
      <c r="S13" s="3">
        <v>670.43591112349782</v>
      </c>
      <c r="T13" s="3">
        <v>674.17252581210471</v>
      </c>
      <c r="U13" s="3">
        <v>824.17942385763422</v>
      </c>
      <c r="V13" s="3">
        <v>718.35048493318902</v>
      </c>
      <c r="W13" s="3">
        <v>719.0562551356968</v>
      </c>
      <c r="X13" s="3">
        <v>829.68170486140548</v>
      </c>
      <c r="Y13" s="3">
        <v>693.62497888960047</v>
      </c>
      <c r="Z13" s="3">
        <v>744.74145017303374</v>
      </c>
      <c r="AA13" s="3">
        <v>697.33861560387686</v>
      </c>
      <c r="AB13" s="3">
        <v>647.03874794451986</v>
      </c>
      <c r="AC13" s="3">
        <v>701.78697235844595</v>
      </c>
      <c r="AD13" s="3">
        <v>712.49477804705327</v>
      </c>
      <c r="AE13" s="3">
        <v>673.45617310007935</v>
      </c>
      <c r="AF13" s="3">
        <v>722.27485806477341</v>
      </c>
      <c r="AG13" s="3">
        <v>805.11655358545943</v>
      </c>
      <c r="AH13" s="3">
        <v>773.11558344479658</v>
      </c>
      <c r="AI13" s="3">
        <v>802.10330718547709</v>
      </c>
      <c r="AJ13" s="3">
        <v>1234.2096805653903</v>
      </c>
      <c r="AK13" s="3">
        <v>950.76017707674862</v>
      </c>
      <c r="AL13" s="3">
        <v>1113.3590854706511</v>
      </c>
      <c r="AM13" s="3">
        <v>1326.9248320195641</v>
      </c>
      <c r="AN13" s="3">
        <v>1298.2748505319594</v>
      </c>
      <c r="AO13" s="3">
        <v>1198.0349169115837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</row>
    <row r="14" spans="1:221" ht="15" x14ac:dyDescent="0.25">
      <c r="A14" s="3"/>
      <c r="B14" s="127" t="s">
        <v>111</v>
      </c>
      <c r="C14" s="3">
        <v>43.747776202071513</v>
      </c>
      <c r="D14" s="3">
        <v>188.40285248567088</v>
      </c>
      <c r="E14" s="3">
        <v>332.73139220763295</v>
      </c>
      <c r="F14" s="3">
        <v>176.01990761352172</v>
      </c>
      <c r="G14" s="3">
        <v>158.08222041713705</v>
      </c>
      <c r="H14" s="3">
        <v>194.18851417869072</v>
      </c>
      <c r="I14" s="3">
        <v>132.90451105902076</v>
      </c>
      <c r="J14" s="3">
        <v>108.69665693523052</v>
      </c>
      <c r="K14" s="3">
        <v>134.83097259897983</v>
      </c>
      <c r="L14" s="3">
        <v>150.93789960096728</v>
      </c>
      <c r="M14" s="3">
        <v>171.75684361260107</v>
      </c>
      <c r="N14" s="3">
        <v>162.23423821134571</v>
      </c>
      <c r="O14" s="3">
        <v>147.71042020731696</v>
      </c>
      <c r="P14" s="3">
        <v>132.99810961514132</v>
      </c>
      <c r="Q14" s="3">
        <v>125.24129610656979</v>
      </c>
      <c r="R14" s="3">
        <v>131.89552182712171</v>
      </c>
      <c r="S14" s="3">
        <v>123.55230923620003</v>
      </c>
      <c r="T14" s="3">
        <v>139.10788783076811</v>
      </c>
      <c r="U14" s="3">
        <v>110.85425247026552</v>
      </c>
      <c r="V14" s="3">
        <v>139.25398206002959</v>
      </c>
      <c r="W14" s="3">
        <v>112.1992724841225</v>
      </c>
      <c r="X14" s="3">
        <v>136.76094686176032</v>
      </c>
      <c r="Y14" s="3">
        <v>120.07308941976211</v>
      </c>
      <c r="Z14" s="3">
        <v>190.1357082750504</v>
      </c>
      <c r="AA14" s="3">
        <v>167.59402973913598</v>
      </c>
      <c r="AB14" s="3">
        <v>131.79898729945268</v>
      </c>
      <c r="AC14" s="3">
        <v>161.981299047665</v>
      </c>
      <c r="AD14" s="3">
        <v>135.77753606247103</v>
      </c>
      <c r="AE14" s="3">
        <v>136.83502164451627</v>
      </c>
      <c r="AF14" s="3">
        <v>84.685428621912294</v>
      </c>
      <c r="AG14" s="3">
        <v>161.70605967686447</v>
      </c>
      <c r="AH14" s="3">
        <v>150.22465551742607</v>
      </c>
      <c r="AI14" s="3">
        <v>110.05846047750755</v>
      </c>
      <c r="AJ14" s="3">
        <v>160.82652264841994</v>
      </c>
      <c r="AK14" s="3">
        <v>143.47492269802353</v>
      </c>
      <c r="AL14" s="3">
        <v>118.70034387339933</v>
      </c>
      <c r="AM14" s="3">
        <v>181.63230375292653</v>
      </c>
      <c r="AN14" s="3">
        <v>320.16478189359168</v>
      </c>
      <c r="AO14" s="3">
        <v>165.24678716055899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</row>
    <row r="15" spans="1:221" ht="15" x14ac:dyDescent="0.25">
      <c r="A15" s="3"/>
      <c r="B15" s="127" t="s">
        <v>112</v>
      </c>
      <c r="C15" s="3">
        <v>1313.8896997231018</v>
      </c>
      <c r="D15" s="3">
        <v>1330.4379647800952</v>
      </c>
      <c r="E15" s="3">
        <v>1310.8607069359948</v>
      </c>
      <c r="F15" s="3">
        <v>1762.4204268785836</v>
      </c>
      <c r="G15" s="3">
        <v>1497.0501138262321</v>
      </c>
      <c r="H15" s="3">
        <v>1572.6007931559898</v>
      </c>
      <c r="I15" s="3">
        <v>1742.1032985403547</v>
      </c>
      <c r="J15" s="3">
        <v>1440.3090197936767</v>
      </c>
      <c r="K15" s="3">
        <v>1841.878083963958</v>
      </c>
      <c r="L15" s="3">
        <v>1676.0224982920322</v>
      </c>
      <c r="M15" s="3">
        <v>1675.3557817307906</v>
      </c>
      <c r="N15" s="3">
        <v>1989.9721577719918</v>
      </c>
      <c r="O15" s="3">
        <v>1841.6571651220595</v>
      </c>
      <c r="P15" s="3">
        <v>1703.1500857696929</v>
      </c>
      <c r="Q15" s="3">
        <v>2109.3101420787925</v>
      </c>
      <c r="R15" s="3">
        <v>1374.7733250037063</v>
      </c>
      <c r="S15" s="3">
        <v>1682.6610435100542</v>
      </c>
      <c r="T15" s="3">
        <v>1937.4629939179008</v>
      </c>
      <c r="U15" s="3">
        <v>1851.1923107357006</v>
      </c>
      <c r="V15" s="3">
        <v>1833.7890583816975</v>
      </c>
      <c r="W15" s="3">
        <v>1849.2174074073066</v>
      </c>
      <c r="X15" s="3">
        <v>2090.3930087492749</v>
      </c>
      <c r="Y15" s="3">
        <v>2211.8091660526202</v>
      </c>
      <c r="Z15" s="3">
        <v>2118.7419532870922</v>
      </c>
      <c r="AA15" s="3">
        <v>2042.5675807751679</v>
      </c>
      <c r="AB15" s="3">
        <v>2208.3108209456004</v>
      </c>
      <c r="AC15" s="3">
        <v>1724.6906685759857</v>
      </c>
      <c r="AD15" s="3">
        <v>1927.0643786272863</v>
      </c>
      <c r="AE15" s="3">
        <v>2057.3895880417717</v>
      </c>
      <c r="AF15" s="3">
        <v>1937.802418072275</v>
      </c>
      <c r="AG15" s="3">
        <v>2133.6271668529171</v>
      </c>
      <c r="AH15" s="3">
        <v>2175.2270581396074</v>
      </c>
      <c r="AI15" s="3">
        <v>1984.9097380151354</v>
      </c>
      <c r="AJ15" s="3">
        <v>1838.0553968829151</v>
      </c>
      <c r="AK15" s="3">
        <v>1968.4728255077198</v>
      </c>
      <c r="AL15" s="3">
        <v>2073.2653133344902</v>
      </c>
      <c r="AM15" s="3">
        <v>2273.9699244733815</v>
      </c>
      <c r="AN15" s="3">
        <v>2332.1228067569696</v>
      </c>
      <c r="AO15" s="3">
        <v>2359.8384458361879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</row>
    <row r="16" spans="1:221" ht="15" x14ac:dyDescent="0.25">
      <c r="A16" s="3"/>
      <c r="B16" s="128" t="s">
        <v>113</v>
      </c>
      <c r="C16" s="3">
        <v>547.86970537641901</v>
      </c>
      <c r="D16" s="3">
        <v>571.61570458774213</v>
      </c>
      <c r="E16" s="3">
        <v>453.59735399011208</v>
      </c>
      <c r="F16" s="3">
        <v>467.39435245648048</v>
      </c>
      <c r="G16" s="3">
        <v>594.74826277739385</v>
      </c>
      <c r="H16" s="3">
        <v>581.73225717507796</v>
      </c>
      <c r="I16" s="3">
        <v>579.3863529287346</v>
      </c>
      <c r="J16" s="3">
        <v>634.86447170669055</v>
      </c>
      <c r="K16" s="3">
        <v>595.88489939128931</v>
      </c>
      <c r="L16" s="3">
        <v>558.84161615874552</v>
      </c>
      <c r="M16" s="3">
        <v>643.71006329218108</v>
      </c>
      <c r="N16" s="3">
        <v>660.24817034523994</v>
      </c>
      <c r="O16" s="3">
        <v>657.8662941252328</v>
      </c>
      <c r="P16" s="3">
        <v>729.27708660137364</v>
      </c>
      <c r="Q16" s="3">
        <v>666.88475697572858</v>
      </c>
      <c r="R16" s="3">
        <v>638.1377036348614</v>
      </c>
      <c r="S16" s="3">
        <v>748.52370351931097</v>
      </c>
      <c r="T16" s="3">
        <v>717.58271626254395</v>
      </c>
      <c r="U16" s="3">
        <v>726.55128901355306</v>
      </c>
      <c r="V16" s="3">
        <v>705.97093681016702</v>
      </c>
      <c r="W16" s="3">
        <v>715.47616999673869</v>
      </c>
      <c r="X16" s="3">
        <v>783.93764871285271</v>
      </c>
      <c r="Y16" s="3">
        <v>819.49232446050576</v>
      </c>
      <c r="Z16" s="3">
        <v>873.86675007390272</v>
      </c>
      <c r="AA16" s="3">
        <v>888.28466039406749</v>
      </c>
      <c r="AB16" s="3">
        <v>944.54970651719191</v>
      </c>
      <c r="AC16" s="3">
        <v>1004.0481714650592</v>
      </c>
      <c r="AD16" s="3">
        <v>1339.306347834146</v>
      </c>
      <c r="AE16" s="3">
        <v>1254.7086518915976</v>
      </c>
      <c r="AF16" s="3">
        <v>1167.2169563985078</v>
      </c>
      <c r="AG16" s="3">
        <v>1281.3240354298348</v>
      </c>
      <c r="AH16" s="3">
        <v>1095.2957049187753</v>
      </c>
      <c r="AI16" s="3">
        <v>1288.2304100744061</v>
      </c>
      <c r="AJ16" s="3">
        <v>1353.6683490311984</v>
      </c>
      <c r="AK16" s="3">
        <v>1308.442894140421</v>
      </c>
      <c r="AL16" s="3">
        <v>1294.2085522261727</v>
      </c>
      <c r="AM16" s="3">
        <v>1308.414253041261</v>
      </c>
      <c r="AN16" s="3">
        <v>1430.3084405952836</v>
      </c>
      <c r="AO16" s="3">
        <v>1448.479023796328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</row>
    <row r="17" spans="1:221" ht="15" x14ac:dyDescent="0.25">
      <c r="A17" s="3"/>
      <c r="B17" s="126" t="s">
        <v>114</v>
      </c>
      <c r="C17" s="97">
        <v>144.45915219300994</v>
      </c>
      <c r="D17" s="97">
        <v>150.43084776964426</v>
      </c>
      <c r="E17" s="97">
        <v>155.45597917538473</v>
      </c>
      <c r="F17" s="97">
        <v>158.97805804998373</v>
      </c>
      <c r="G17" s="97">
        <v>166.67157496964455</v>
      </c>
      <c r="H17" s="97">
        <v>169.82083104370582</v>
      </c>
      <c r="I17" s="97">
        <v>176.3980894610412</v>
      </c>
      <c r="J17" s="97">
        <v>183.44027684720336</v>
      </c>
      <c r="K17" s="97">
        <v>199.75239845576056</v>
      </c>
      <c r="L17" s="97">
        <v>203.98369234781737</v>
      </c>
      <c r="M17" s="97">
        <v>201.98472394145745</v>
      </c>
      <c r="N17" s="97">
        <v>222.12480286842998</v>
      </c>
      <c r="O17" s="97">
        <v>251.10916509358975</v>
      </c>
      <c r="P17" s="97">
        <v>263.21443621945218</v>
      </c>
      <c r="Q17" s="97">
        <v>252.99852746042473</v>
      </c>
      <c r="R17" s="97">
        <v>207.25747960310665</v>
      </c>
      <c r="S17" s="97">
        <v>8.9573698004069229</v>
      </c>
      <c r="T17" s="97">
        <v>82.819044412991076</v>
      </c>
      <c r="U17" s="97">
        <v>298.1647037430356</v>
      </c>
      <c r="V17" s="97">
        <v>716.94877945518328</v>
      </c>
      <c r="W17" s="97">
        <v>300.28710151608755</v>
      </c>
      <c r="X17" s="97">
        <v>307.23160003168704</v>
      </c>
      <c r="Y17" s="97">
        <v>307.50105245464306</v>
      </c>
      <c r="Z17" s="97">
        <v>311.01754124801352</v>
      </c>
      <c r="AA17" s="97">
        <v>675.34382101850929</v>
      </c>
      <c r="AB17" s="97">
        <v>343.3647197764023</v>
      </c>
      <c r="AC17" s="97">
        <v>341.16284123745874</v>
      </c>
      <c r="AD17" s="97">
        <v>-21.553281785915772</v>
      </c>
      <c r="AE17" s="97">
        <v>145.97562593534889</v>
      </c>
      <c r="AF17" s="97">
        <v>350.15187367736473</v>
      </c>
      <c r="AG17" s="97">
        <v>473.46418207165942</v>
      </c>
      <c r="AH17" s="97">
        <v>568.35854949339318</v>
      </c>
      <c r="AI17" s="97">
        <v>519.46789590475362</v>
      </c>
      <c r="AJ17" s="97">
        <v>464.43713626227344</v>
      </c>
      <c r="AK17" s="97">
        <v>432.20621452343511</v>
      </c>
      <c r="AL17" s="97">
        <v>383.27672259717468</v>
      </c>
      <c r="AM17" s="97">
        <v>389.71510209213193</v>
      </c>
      <c r="AN17" s="97">
        <v>382.8233259112701</v>
      </c>
      <c r="AO17" s="97">
        <v>403.09181079079565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</row>
    <row r="18" spans="1:221" ht="15" x14ac:dyDescent="0.25">
      <c r="A18" s="125"/>
      <c r="B18" s="126" t="s">
        <v>115</v>
      </c>
      <c r="C18" s="97">
        <v>-1116.3138205249516</v>
      </c>
      <c r="D18" s="97">
        <v>-520.39711982106928</v>
      </c>
      <c r="E18" s="97">
        <v>-728.32536733915913</v>
      </c>
      <c r="F18" s="97">
        <v>-1493.9382074875539</v>
      </c>
      <c r="G18" s="97">
        <v>-1680.24945314463</v>
      </c>
      <c r="H18" s="97">
        <v>-1840.427090693448</v>
      </c>
      <c r="I18" s="97">
        <v>-2038.6540936672618</v>
      </c>
      <c r="J18" s="97">
        <v>-2260.7118584351665</v>
      </c>
      <c r="K18" s="97">
        <v>-1942.7823375427997</v>
      </c>
      <c r="L18" s="97">
        <v>-2152.564651947243</v>
      </c>
      <c r="M18" s="97">
        <v>-1317.2288611842669</v>
      </c>
      <c r="N18" s="97">
        <v>-1419.5844547719144</v>
      </c>
      <c r="O18" s="97">
        <v>-1512.050172080465</v>
      </c>
      <c r="P18" s="97">
        <v>-1476.7789130663932</v>
      </c>
      <c r="Q18" s="97">
        <v>-2808.2481714994656</v>
      </c>
      <c r="R18" s="97">
        <v>-2829.7115319921713</v>
      </c>
      <c r="S18" s="97">
        <v>-3241.6456505499127</v>
      </c>
      <c r="T18" s="97">
        <v>-4221.725384467014</v>
      </c>
      <c r="U18" s="97">
        <v>-2754.406024926282</v>
      </c>
      <c r="V18" s="97">
        <v>-4929.3698016133367</v>
      </c>
      <c r="W18" s="97">
        <v>-3518.3478451000065</v>
      </c>
      <c r="X18" s="97">
        <v>-4178.2558872198215</v>
      </c>
      <c r="Y18" s="97">
        <v>-4539.5895596949722</v>
      </c>
      <c r="Z18" s="97">
        <v>-4848.9183147447156</v>
      </c>
      <c r="AA18" s="97">
        <v>-5154.1653461136411</v>
      </c>
      <c r="AB18" s="97">
        <v>-4541.6451173387495</v>
      </c>
      <c r="AC18" s="97">
        <v>-4358.6553231583657</v>
      </c>
      <c r="AD18" s="97">
        <v>-4508.5509427212619</v>
      </c>
      <c r="AE18" s="97">
        <v>-4825.9087741183876</v>
      </c>
      <c r="AF18" s="97">
        <v>-4540.9232836757001</v>
      </c>
      <c r="AG18" s="97">
        <v>-4754.1622680009659</v>
      </c>
      <c r="AH18" s="97">
        <v>-4532.6502544799259</v>
      </c>
      <c r="AI18" s="97">
        <v>-4500.3656887849666</v>
      </c>
      <c r="AJ18" s="97">
        <v>-5740.9685502546199</v>
      </c>
      <c r="AK18" s="97">
        <v>-3384.6716237882392</v>
      </c>
      <c r="AL18" s="97">
        <v>-3277.4215454486912</v>
      </c>
      <c r="AM18" s="97">
        <v>-4702.4855384191906</v>
      </c>
      <c r="AN18" s="97">
        <v>-2882.9827227659771</v>
      </c>
      <c r="AO18" s="97">
        <v>-2415.893432100791</v>
      </c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25"/>
      <c r="FU18" s="125"/>
      <c r="FV18" s="125"/>
      <c r="FW18" s="125"/>
      <c r="FX18" s="125"/>
      <c r="FY18" s="125"/>
      <c r="FZ18" s="125"/>
      <c r="GA18" s="125"/>
      <c r="GB18" s="125"/>
      <c r="GC18" s="125"/>
      <c r="GD18" s="125"/>
      <c r="GE18" s="125"/>
      <c r="GF18" s="125"/>
      <c r="GG18" s="125"/>
      <c r="GH18" s="125"/>
      <c r="GI18" s="125"/>
      <c r="GJ18" s="125"/>
      <c r="GK18" s="125"/>
      <c r="GL18" s="125"/>
      <c r="GM18" s="125"/>
      <c r="GN18" s="125"/>
      <c r="GO18" s="125"/>
      <c r="GP18" s="125"/>
      <c r="GQ18" s="125"/>
      <c r="GR18" s="125"/>
      <c r="GS18" s="125"/>
      <c r="GT18" s="125"/>
      <c r="GU18" s="125"/>
      <c r="GV18" s="125"/>
      <c r="GW18" s="125"/>
      <c r="GX18" s="125"/>
      <c r="GY18" s="125"/>
      <c r="GZ18" s="125"/>
      <c r="HA18" s="125"/>
      <c r="HB18" s="125"/>
      <c r="HC18" s="125"/>
      <c r="HD18" s="125"/>
      <c r="HE18" s="125"/>
      <c r="HF18" s="125"/>
      <c r="HG18" s="125"/>
      <c r="HH18" s="125"/>
      <c r="HI18" s="125"/>
      <c r="HJ18" s="125"/>
      <c r="HK18" s="125"/>
      <c r="HL18" s="125"/>
      <c r="HM18" s="125"/>
    </row>
    <row r="19" spans="1:221" ht="15" x14ac:dyDescent="0.25">
      <c r="A19" s="125"/>
      <c r="B19" s="129" t="s">
        <v>116</v>
      </c>
      <c r="C19" s="3">
        <v>4029.9317890287866</v>
      </c>
      <c r="D19" s="3">
        <v>4622.4355694866717</v>
      </c>
      <c r="E19" s="3">
        <v>4661.5425665772163</v>
      </c>
      <c r="F19" s="3">
        <v>4772.329016536969</v>
      </c>
      <c r="G19" s="3">
        <v>4299.8066922996622</v>
      </c>
      <c r="H19" s="3">
        <v>4590.9516678340524</v>
      </c>
      <c r="I19" s="3">
        <v>4495.720127918863</v>
      </c>
      <c r="J19" s="3">
        <v>4805.0663509960814</v>
      </c>
      <c r="K19" s="3">
        <v>5172.7688436724766</v>
      </c>
      <c r="L19" s="3">
        <v>5357.2196667488251</v>
      </c>
      <c r="M19" s="3">
        <v>6406.2141501568804</v>
      </c>
      <c r="N19" s="3">
        <v>5639.1977917616186</v>
      </c>
      <c r="O19" s="3">
        <v>5877.9471310569825</v>
      </c>
      <c r="P19" s="3">
        <v>6017.049656225623</v>
      </c>
      <c r="Q19" s="3">
        <v>5825.1463938079078</v>
      </c>
      <c r="R19" s="3">
        <v>3787.5793243983544</v>
      </c>
      <c r="S19" s="3">
        <v>5451.4084123209841</v>
      </c>
      <c r="T19" s="3">
        <v>5581.1319491097256</v>
      </c>
      <c r="U19" s="3">
        <v>5980.2283404255486</v>
      </c>
      <c r="V19" s="3">
        <v>6371.2211773056097</v>
      </c>
      <c r="W19" s="3">
        <v>4482.791278984475</v>
      </c>
      <c r="X19" s="3">
        <v>4856.2985770566875</v>
      </c>
      <c r="Y19" s="3">
        <v>5109.0927276432612</v>
      </c>
      <c r="Z19" s="3">
        <v>5073.6522493070033</v>
      </c>
      <c r="AA19" s="3">
        <v>4971.351357374162</v>
      </c>
      <c r="AB19" s="3">
        <v>4504.7635424055961</v>
      </c>
      <c r="AC19" s="3">
        <v>5470.6319200148373</v>
      </c>
      <c r="AD19" s="3">
        <v>6205.0055316866947</v>
      </c>
      <c r="AE19" s="3">
        <v>6931.8287677077706</v>
      </c>
      <c r="AF19" s="3">
        <v>8081.990695020284</v>
      </c>
      <c r="AG19" s="3">
        <v>9074.6842712030975</v>
      </c>
      <c r="AH19" s="3">
        <v>9961.5715825685038</v>
      </c>
      <c r="AI19" s="3">
        <v>10523.240370949075</v>
      </c>
      <c r="AJ19" s="3">
        <v>10709.957204244442</v>
      </c>
      <c r="AK19" s="3">
        <v>12024.562519526267</v>
      </c>
      <c r="AL19" s="3">
        <v>15306.04184638981</v>
      </c>
      <c r="AM19" s="3">
        <v>14979.069217255892</v>
      </c>
      <c r="AN19" s="3">
        <v>18344.28166620859</v>
      </c>
      <c r="AO19" s="3">
        <v>18836.506112706571</v>
      </c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  <c r="GQ19" s="125"/>
      <c r="GR19" s="125"/>
      <c r="GS19" s="125"/>
      <c r="GT19" s="125"/>
      <c r="GU19" s="125"/>
      <c r="GV19" s="125"/>
      <c r="GW19" s="125"/>
      <c r="GX19" s="125"/>
      <c r="GY19" s="125"/>
      <c r="GZ19" s="125"/>
      <c r="HA19" s="125"/>
      <c r="HB19" s="125"/>
      <c r="HC19" s="125"/>
      <c r="HD19" s="125"/>
      <c r="HE19" s="125"/>
      <c r="HF19" s="125"/>
      <c r="HG19" s="125"/>
      <c r="HH19" s="125"/>
      <c r="HI19" s="125"/>
      <c r="HJ19" s="125"/>
      <c r="HK19" s="125"/>
      <c r="HL19" s="125"/>
      <c r="HM19" s="125"/>
    </row>
    <row r="20" spans="1:221" ht="15" x14ac:dyDescent="0.25">
      <c r="A20" s="3"/>
      <c r="B20" s="127" t="s">
        <v>117</v>
      </c>
      <c r="C20" s="3">
        <v>2527.2312570265499</v>
      </c>
      <c r="D20" s="3">
        <v>3101.4286291184089</v>
      </c>
      <c r="E20" s="3">
        <v>2881.6950526930668</v>
      </c>
      <c r="F20" s="3">
        <v>3030.5364598263618</v>
      </c>
      <c r="G20" s="3">
        <v>2671.3156609032158</v>
      </c>
      <c r="H20" s="3">
        <v>2789.9745387406006</v>
      </c>
      <c r="I20" s="3">
        <v>2773.602742871391</v>
      </c>
      <c r="J20" s="3">
        <v>3000.3501786816814</v>
      </c>
      <c r="K20" s="3">
        <v>3290.4553320777081</v>
      </c>
      <c r="L20" s="3">
        <v>3550.0977243859993</v>
      </c>
      <c r="M20" s="3">
        <v>4655.7945472699448</v>
      </c>
      <c r="N20" s="3">
        <v>3812.2622208877224</v>
      </c>
      <c r="O20" s="3">
        <v>3784.1454697114568</v>
      </c>
      <c r="P20" s="3">
        <v>3894.8044832366568</v>
      </c>
      <c r="Q20" s="3">
        <v>3891.9710288696597</v>
      </c>
      <c r="R20" s="3">
        <v>3209.1288097923425</v>
      </c>
      <c r="S20" s="3">
        <v>4517.3179517231165</v>
      </c>
      <c r="T20" s="3">
        <v>4386.2340582526531</v>
      </c>
      <c r="U20" s="3">
        <v>4436.3602792017173</v>
      </c>
      <c r="V20" s="3">
        <v>4783.2415526541072</v>
      </c>
      <c r="W20" s="3">
        <v>3110.7346737346943</v>
      </c>
      <c r="X20" s="3">
        <v>3474.8331169441694</v>
      </c>
      <c r="Y20" s="3">
        <v>3653.0976210710965</v>
      </c>
      <c r="Z20" s="3">
        <v>3668.6170272731806</v>
      </c>
      <c r="AA20" s="3">
        <v>3752.0965888974383</v>
      </c>
      <c r="AB20" s="3">
        <v>3185.0574201771997</v>
      </c>
      <c r="AC20" s="3">
        <v>4188.4967725975303</v>
      </c>
      <c r="AD20" s="3">
        <v>4650.2061586872705</v>
      </c>
      <c r="AE20" s="3">
        <v>5178.0998154638019</v>
      </c>
      <c r="AF20" s="3">
        <v>6018.1241341678506</v>
      </c>
      <c r="AG20" s="3">
        <v>6750.6490021707623</v>
      </c>
      <c r="AH20" s="3">
        <v>7583.8492775431077</v>
      </c>
      <c r="AI20" s="3">
        <v>8132.0448071893434</v>
      </c>
      <c r="AJ20" s="3">
        <v>8278.0882534471511</v>
      </c>
      <c r="AK20" s="3">
        <v>9569.6994155195407</v>
      </c>
      <c r="AL20" s="3">
        <v>12865.086753959515</v>
      </c>
      <c r="AM20" s="3">
        <v>12439.25896223714</v>
      </c>
      <c r="AN20" s="3">
        <v>16045.676874301445</v>
      </c>
      <c r="AO20" s="3">
        <v>16089.879683711468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</row>
    <row r="21" spans="1:221" ht="15" x14ac:dyDescent="0.25">
      <c r="A21" s="3"/>
      <c r="B21" s="127" t="s">
        <v>118</v>
      </c>
      <c r="C21" s="3">
        <v>1502.700532002237</v>
      </c>
      <c r="D21" s="3">
        <v>1521.006940368263</v>
      </c>
      <c r="E21" s="3">
        <v>1779.8475138841493</v>
      </c>
      <c r="F21" s="3">
        <v>1741.7925567106074</v>
      </c>
      <c r="G21" s="3">
        <v>1628.4910313964463</v>
      </c>
      <c r="H21" s="3">
        <v>1800.977129093452</v>
      </c>
      <c r="I21" s="3">
        <v>1722.1173850474715</v>
      </c>
      <c r="J21" s="3">
        <v>1804.7161723144004</v>
      </c>
      <c r="K21" s="3">
        <v>1882.3135115947689</v>
      </c>
      <c r="L21" s="3">
        <v>1807.1219423628258</v>
      </c>
      <c r="M21" s="3">
        <v>1750.419602886936</v>
      </c>
      <c r="N21" s="3">
        <v>1826.9355708738965</v>
      </c>
      <c r="O21" s="3">
        <v>2093.8016613455261</v>
      </c>
      <c r="P21" s="3">
        <v>2122.2451729889663</v>
      </c>
      <c r="Q21" s="3">
        <v>1933.1753649382483</v>
      </c>
      <c r="R21" s="3">
        <v>578.45051460601178</v>
      </c>
      <c r="S21" s="3">
        <v>934.09046059786726</v>
      </c>
      <c r="T21" s="3">
        <v>1194.8978908570723</v>
      </c>
      <c r="U21" s="3">
        <v>1543.8680612238311</v>
      </c>
      <c r="V21" s="3">
        <v>1587.9796246515027</v>
      </c>
      <c r="W21" s="3">
        <v>1372.0566052497804</v>
      </c>
      <c r="X21" s="3">
        <v>1381.465460112518</v>
      </c>
      <c r="Y21" s="3">
        <v>1455.9951065721643</v>
      </c>
      <c r="Z21" s="3">
        <v>1405.0352220338227</v>
      </c>
      <c r="AA21" s="3">
        <v>1219.2547684767239</v>
      </c>
      <c r="AB21" s="3">
        <v>1319.7061222283965</v>
      </c>
      <c r="AC21" s="3">
        <v>1282.1351474173071</v>
      </c>
      <c r="AD21" s="3">
        <v>1554.7993729994239</v>
      </c>
      <c r="AE21" s="3">
        <v>1753.7289522439689</v>
      </c>
      <c r="AF21" s="3">
        <v>2063.8665608524334</v>
      </c>
      <c r="AG21" s="3">
        <v>2324.0352690323352</v>
      </c>
      <c r="AH21" s="3">
        <v>2377.7223050253956</v>
      </c>
      <c r="AI21" s="3">
        <v>2391.1955637597325</v>
      </c>
      <c r="AJ21" s="3">
        <v>2431.8689507972913</v>
      </c>
      <c r="AK21" s="3">
        <v>2454.8631040067262</v>
      </c>
      <c r="AL21" s="3">
        <v>2440.9550924302944</v>
      </c>
      <c r="AM21" s="3">
        <v>2539.8102550187518</v>
      </c>
      <c r="AN21" s="3">
        <v>2298.6047919071448</v>
      </c>
      <c r="AO21" s="3">
        <v>2746.6264289951046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</row>
    <row r="22" spans="1:221" ht="15" x14ac:dyDescent="0.25">
      <c r="A22" s="125"/>
      <c r="B22" s="129" t="s">
        <v>119</v>
      </c>
      <c r="C22" s="3">
        <v>5146.2456095537382</v>
      </c>
      <c r="D22" s="3">
        <v>5142.832689307741</v>
      </c>
      <c r="E22" s="3">
        <v>5389.8679339163755</v>
      </c>
      <c r="F22" s="3">
        <v>6266.2672240245229</v>
      </c>
      <c r="G22" s="3">
        <v>5980.0561454442923</v>
      </c>
      <c r="H22" s="3">
        <v>6431.3787585275004</v>
      </c>
      <c r="I22" s="3">
        <v>6534.3742215861248</v>
      </c>
      <c r="J22" s="3">
        <v>7065.7782094312479</v>
      </c>
      <c r="K22" s="3">
        <v>7115.5511812152763</v>
      </c>
      <c r="L22" s="3">
        <v>7509.7843186960681</v>
      </c>
      <c r="M22" s="3">
        <v>7723.4430113411472</v>
      </c>
      <c r="N22" s="3">
        <v>7058.782246533533</v>
      </c>
      <c r="O22" s="3">
        <v>7389.9973031374475</v>
      </c>
      <c r="P22" s="3">
        <v>7493.8285692920163</v>
      </c>
      <c r="Q22" s="3">
        <v>8633.3945653073733</v>
      </c>
      <c r="R22" s="3">
        <v>6617.2908563905257</v>
      </c>
      <c r="S22" s="3">
        <v>8693.0540628708968</v>
      </c>
      <c r="T22" s="3">
        <v>9802.8573335767396</v>
      </c>
      <c r="U22" s="3">
        <v>8734.6343653518306</v>
      </c>
      <c r="V22" s="3">
        <v>11300.590978918946</v>
      </c>
      <c r="W22" s="3">
        <v>8001.1391240844814</v>
      </c>
      <c r="X22" s="3">
        <v>9034.554464276509</v>
      </c>
      <c r="Y22" s="3">
        <v>9648.6822873382334</v>
      </c>
      <c r="Z22" s="3">
        <v>9922.570564051719</v>
      </c>
      <c r="AA22" s="3">
        <v>10125.516703487803</v>
      </c>
      <c r="AB22" s="3">
        <v>9046.4086597443456</v>
      </c>
      <c r="AC22" s="3">
        <v>9829.287243173203</v>
      </c>
      <c r="AD22" s="3">
        <v>10713.556474407957</v>
      </c>
      <c r="AE22" s="3">
        <v>11757.737541826158</v>
      </c>
      <c r="AF22" s="3">
        <v>12622.913978695984</v>
      </c>
      <c r="AG22" s="3">
        <v>13828.846539204063</v>
      </c>
      <c r="AH22" s="3">
        <v>14494.22183704843</v>
      </c>
      <c r="AI22" s="3">
        <v>15023.606059734042</v>
      </c>
      <c r="AJ22" s="3">
        <v>16450.925754499061</v>
      </c>
      <c r="AK22" s="3">
        <v>15409.234143314507</v>
      </c>
      <c r="AL22" s="3">
        <v>18583.463391838501</v>
      </c>
      <c r="AM22" s="3">
        <v>19681.554755675083</v>
      </c>
      <c r="AN22" s="3">
        <v>21227.264388974567</v>
      </c>
      <c r="AO22" s="3">
        <v>21252.399544807362</v>
      </c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5"/>
      <c r="FQ22" s="125"/>
      <c r="FR22" s="125"/>
      <c r="FS22" s="125"/>
      <c r="FT22" s="125"/>
      <c r="FU22" s="125"/>
      <c r="FV22" s="125"/>
      <c r="FW22" s="125"/>
      <c r="FX22" s="125"/>
      <c r="FY22" s="125"/>
      <c r="FZ22" s="125"/>
      <c r="GA22" s="125"/>
      <c r="GB22" s="125"/>
      <c r="GC22" s="125"/>
      <c r="GD22" s="125"/>
      <c r="GE22" s="125"/>
      <c r="GF22" s="125"/>
      <c r="GG22" s="125"/>
      <c r="GH22" s="125"/>
      <c r="GI22" s="125"/>
      <c r="GJ22" s="125"/>
      <c r="GK22" s="125"/>
      <c r="GL22" s="125"/>
      <c r="GM22" s="125"/>
      <c r="GN22" s="125"/>
      <c r="GO22" s="125"/>
      <c r="GP22" s="125"/>
      <c r="GQ22" s="125"/>
      <c r="GR22" s="125"/>
      <c r="GS22" s="125"/>
      <c r="GT22" s="125"/>
      <c r="GU22" s="125"/>
      <c r="GV22" s="125"/>
      <c r="GW22" s="125"/>
      <c r="GX22" s="125"/>
      <c r="GY22" s="125"/>
      <c r="GZ22" s="125"/>
      <c r="HA22" s="125"/>
      <c r="HB22" s="125"/>
      <c r="HC22" s="125"/>
      <c r="HD22" s="125"/>
      <c r="HE22" s="125"/>
      <c r="HF22" s="125"/>
      <c r="HG22" s="125"/>
      <c r="HH22" s="125"/>
      <c r="HI22" s="125"/>
      <c r="HJ22" s="125"/>
      <c r="HK22" s="125"/>
      <c r="HL22" s="125"/>
      <c r="HM22" s="125"/>
    </row>
    <row r="23" spans="1:221" ht="15" x14ac:dyDescent="0.25">
      <c r="A23" s="3"/>
      <c r="B23" s="127" t="s">
        <v>117</v>
      </c>
      <c r="C23" s="3">
        <v>3417.4868153188791</v>
      </c>
      <c r="D23" s="3">
        <v>3358.5680497856724</v>
      </c>
      <c r="E23" s="3">
        <v>3573.6669328953658</v>
      </c>
      <c r="F23" s="3">
        <v>4187.3090505011523</v>
      </c>
      <c r="G23" s="3">
        <v>4038.4865568369614</v>
      </c>
      <c r="H23" s="3">
        <v>4310.032670304071</v>
      </c>
      <c r="I23" s="3">
        <v>4506.1956556955274</v>
      </c>
      <c r="J23" s="3">
        <v>4833.4592976779459</v>
      </c>
      <c r="K23" s="3">
        <v>4566.8335465264663</v>
      </c>
      <c r="L23" s="3">
        <v>4889.9943045606251</v>
      </c>
      <c r="M23" s="3">
        <v>5046.325523821055</v>
      </c>
      <c r="N23" s="3">
        <v>4656.7471910630775</v>
      </c>
      <c r="O23" s="3">
        <v>4819.4094979847196</v>
      </c>
      <c r="P23" s="3">
        <v>5029.5050744403552</v>
      </c>
      <c r="Q23" s="3">
        <v>5252.5396892476838</v>
      </c>
      <c r="R23" s="3">
        <v>4464.9259617342241</v>
      </c>
      <c r="S23" s="3">
        <v>6011.5881312437477</v>
      </c>
      <c r="T23" s="3">
        <v>6476.0766327754127</v>
      </c>
      <c r="U23" s="3">
        <v>5837.2497862066048</v>
      </c>
      <c r="V23" s="3">
        <v>8089.5744494305945</v>
      </c>
      <c r="W23" s="3">
        <v>5121.6330805849602</v>
      </c>
      <c r="X23" s="3">
        <v>6183.521008964467</v>
      </c>
      <c r="Y23" s="3">
        <v>6616.3548489126742</v>
      </c>
      <c r="Z23" s="3">
        <v>6862.1604146670643</v>
      </c>
      <c r="AA23" s="3">
        <v>6749.6277026594717</v>
      </c>
      <c r="AB23" s="3">
        <v>6003.0267401240762</v>
      </c>
      <c r="AC23" s="3">
        <v>6626.0757828485439</v>
      </c>
      <c r="AD23" s="3">
        <v>7514.4108198691129</v>
      </c>
      <c r="AE23" s="3">
        <v>8265.3493537838003</v>
      </c>
      <c r="AF23" s="3">
        <v>8843.7180910621755</v>
      </c>
      <c r="AG23" s="3">
        <v>9756.7409666655058</v>
      </c>
      <c r="AH23" s="3">
        <v>10239.092616904185</v>
      </c>
      <c r="AI23" s="3">
        <v>10938.621677598399</v>
      </c>
      <c r="AJ23" s="3">
        <v>12156.32558398919</v>
      </c>
      <c r="AK23" s="3">
        <v>11362.775025377765</v>
      </c>
      <c r="AL23" s="3">
        <v>14108.021470589299</v>
      </c>
      <c r="AM23" s="3">
        <v>14290.020262746642</v>
      </c>
      <c r="AN23" s="3">
        <v>15897.68466508685</v>
      </c>
      <c r="AO23" s="3">
        <v>15632.471008208144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</row>
    <row r="24" spans="1:221" ht="15" x14ac:dyDescent="0.25">
      <c r="A24" s="3"/>
      <c r="B24" s="127" t="s">
        <v>118</v>
      </c>
      <c r="C24" s="3">
        <v>1728.7587942348594</v>
      </c>
      <c r="D24" s="3">
        <v>1784.2646395220681</v>
      </c>
      <c r="E24" s="3">
        <v>1816.2010010210097</v>
      </c>
      <c r="F24" s="3">
        <v>2078.9581735233701</v>
      </c>
      <c r="G24" s="3">
        <v>1941.5695886073311</v>
      </c>
      <c r="H24" s="3">
        <v>2121.3460882234299</v>
      </c>
      <c r="I24" s="3">
        <v>2028.1785658905974</v>
      </c>
      <c r="J24" s="3">
        <v>2232.3189117533025</v>
      </c>
      <c r="K24" s="3">
        <v>2548.7176346888095</v>
      </c>
      <c r="L24" s="3">
        <v>2619.790014135443</v>
      </c>
      <c r="M24" s="3">
        <v>2677.1174875200927</v>
      </c>
      <c r="N24" s="3">
        <v>2402.0350554704555</v>
      </c>
      <c r="O24" s="3">
        <v>2570.5878051527279</v>
      </c>
      <c r="P24" s="3">
        <v>2464.3234948516606</v>
      </c>
      <c r="Q24" s="3">
        <v>3380.8548760596891</v>
      </c>
      <c r="R24" s="3">
        <v>2152.3648946563017</v>
      </c>
      <c r="S24" s="3">
        <v>2681.4659316271495</v>
      </c>
      <c r="T24" s="3">
        <v>3326.7807008013269</v>
      </c>
      <c r="U24" s="3">
        <v>2897.3845791452268</v>
      </c>
      <c r="V24" s="3">
        <v>3211.0165294883509</v>
      </c>
      <c r="W24" s="3">
        <v>2879.5060434995212</v>
      </c>
      <c r="X24" s="3">
        <v>2851.033455312041</v>
      </c>
      <c r="Y24" s="3">
        <v>3032.3274384255601</v>
      </c>
      <c r="Z24" s="3">
        <v>3060.4101493846547</v>
      </c>
      <c r="AA24" s="3">
        <v>3375.889000828332</v>
      </c>
      <c r="AB24" s="3">
        <v>3043.3819196202685</v>
      </c>
      <c r="AC24" s="3">
        <v>3203.21146032466</v>
      </c>
      <c r="AD24" s="3">
        <v>3199.1456545388432</v>
      </c>
      <c r="AE24" s="3">
        <v>3492.3881880423587</v>
      </c>
      <c r="AF24" s="3">
        <v>3779.195887633809</v>
      </c>
      <c r="AG24" s="3">
        <v>4072.1055725385568</v>
      </c>
      <c r="AH24" s="3">
        <v>4255.1292201442448</v>
      </c>
      <c r="AI24" s="3">
        <v>4084.9843821356421</v>
      </c>
      <c r="AJ24" s="3">
        <v>4294.6001705098706</v>
      </c>
      <c r="AK24" s="3">
        <v>4046.4591179367421</v>
      </c>
      <c r="AL24" s="3">
        <v>4475.4419212492003</v>
      </c>
      <c r="AM24" s="3">
        <v>5391.534492928442</v>
      </c>
      <c r="AN24" s="3">
        <v>5329.5797238877149</v>
      </c>
      <c r="AO24" s="3">
        <v>5619.9285365992173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</row>
    <row r="25" spans="1:221" ht="15" x14ac:dyDescent="0.25">
      <c r="A25" s="130"/>
      <c r="B25" s="129" t="s">
        <v>120</v>
      </c>
      <c r="C25" s="97">
        <v>679.74902024491894</v>
      </c>
      <c r="D25" s="97">
        <v>-894.10600059122953</v>
      </c>
      <c r="E25" s="97">
        <v>290.57008744971245</v>
      </c>
      <c r="F25" s="97">
        <v>158.98372884279888</v>
      </c>
      <c r="G25" s="97">
        <v>181.81168488104231</v>
      </c>
      <c r="H25" s="97">
        <v>-134.2619066022271</v>
      </c>
      <c r="I25" s="97">
        <v>472.91543681394614</v>
      </c>
      <c r="J25" s="97">
        <v>957.96388840580767</v>
      </c>
      <c r="K25" s="97">
        <v>-25.015447482033778</v>
      </c>
      <c r="L25" s="97">
        <v>585.29162931373867</v>
      </c>
      <c r="M25" s="97">
        <v>416.09052599951247</v>
      </c>
      <c r="N25" s="97">
        <v>-1105.7474576322129</v>
      </c>
      <c r="O25" s="97">
        <v>-544.8507380617084</v>
      </c>
      <c r="P25" s="97">
        <v>101.05672358007723</v>
      </c>
      <c r="Q25" s="97">
        <v>1020.9637723984997</v>
      </c>
      <c r="R25" s="97">
        <v>1064.2712181080169</v>
      </c>
      <c r="S25" s="97">
        <v>2344.3579003127888</v>
      </c>
      <c r="T25" s="97">
        <v>2179.9799572746488</v>
      </c>
      <c r="U25" s="97">
        <v>-706.32495311041566</v>
      </c>
      <c r="V25" s="97">
        <v>1825.2544426441746</v>
      </c>
      <c r="W25" s="97">
        <v>1891.0946192851407</v>
      </c>
      <c r="X25" s="97">
        <v>2903.0935384062468</v>
      </c>
      <c r="Y25" s="97">
        <v>2011.4545290067326</v>
      </c>
      <c r="Z25" s="97">
        <v>1971.570073028488</v>
      </c>
      <c r="AA25" s="97">
        <v>3035.3387736993172</v>
      </c>
      <c r="AB25" s="97">
        <v>2255.8431804525026</v>
      </c>
      <c r="AC25" s="97">
        <v>1884.4945636077828</v>
      </c>
      <c r="AD25" s="97">
        <v>5085.4005335650363</v>
      </c>
      <c r="AE25" s="97">
        <v>5006.1725137839821</v>
      </c>
      <c r="AF25" s="97">
        <v>7673.622272988403</v>
      </c>
      <c r="AG25" s="97">
        <v>4212.1532885793058</v>
      </c>
      <c r="AH25" s="97">
        <v>4198.2033494036368</v>
      </c>
      <c r="AI25" s="97">
        <v>4580.2864479288546</v>
      </c>
      <c r="AJ25" s="97">
        <v>6723.7138440036215</v>
      </c>
      <c r="AK25" s="97">
        <v>1983.0909280981141</v>
      </c>
      <c r="AL25" s="97">
        <v>4170.8783618946909</v>
      </c>
      <c r="AM25" s="102">
        <v>749.51472443345847</v>
      </c>
      <c r="AN25" s="102">
        <v>367.40382284887892</v>
      </c>
      <c r="AO25" s="102">
        <v>1655.5635281288196</v>
      </c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0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  <c r="DI25" s="130"/>
      <c r="DJ25" s="130"/>
      <c r="DK25" s="130"/>
      <c r="DL25" s="130"/>
      <c r="DM25" s="130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  <c r="EV25" s="130"/>
      <c r="EW25" s="130"/>
      <c r="EX25" s="130"/>
      <c r="EY25" s="130"/>
      <c r="EZ25" s="130"/>
      <c r="FA25" s="130"/>
      <c r="FB25" s="130"/>
      <c r="FC25" s="130"/>
      <c r="FD25" s="130"/>
      <c r="FE25" s="130"/>
      <c r="FF25" s="130"/>
      <c r="FG25" s="130"/>
      <c r="FH25" s="130"/>
      <c r="FI25" s="130"/>
      <c r="FJ25" s="130"/>
      <c r="FK25" s="130"/>
      <c r="FL25" s="130"/>
      <c r="FM25" s="130"/>
      <c r="FN25" s="130"/>
      <c r="FO25" s="130"/>
      <c r="FP25" s="130"/>
      <c r="FQ25" s="130"/>
      <c r="FR25" s="130"/>
      <c r="FS25" s="130"/>
      <c r="FT25" s="130"/>
      <c r="FU25" s="130"/>
      <c r="FV25" s="130"/>
      <c r="FW25" s="130"/>
      <c r="FX25" s="130"/>
      <c r="FY25" s="130"/>
      <c r="FZ25" s="130"/>
      <c r="GA25" s="130"/>
      <c r="GB25" s="130"/>
      <c r="GC25" s="130"/>
      <c r="GD25" s="130"/>
      <c r="GE25" s="130"/>
      <c r="GF25" s="130"/>
      <c r="GG25" s="130"/>
      <c r="GH25" s="130"/>
      <c r="GI25" s="130"/>
      <c r="GJ25" s="130"/>
      <c r="GK25" s="130"/>
      <c r="GL25" s="130"/>
      <c r="GM25" s="130"/>
      <c r="GN25" s="130"/>
      <c r="GO25" s="130"/>
      <c r="GP25" s="130"/>
      <c r="GQ25" s="130"/>
      <c r="GR25" s="130"/>
      <c r="GS25" s="130"/>
      <c r="GT25" s="130"/>
      <c r="GU25" s="130"/>
      <c r="GV25" s="130"/>
      <c r="GW25" s="130"/>
      <c r="GX25" s="130"/>
      <c r="GY25" s="130"/>
      <c r="GZ25" s="130"/>
      <c r="HA25" s="130"/>
      <c r="HB25" s="130"/>
      <c r="HC25" s="130"/>
      <c r="HD25" s="130"/>
      <c r="HE25" s="130"/>
      <c r="HF25" s="130"/>
      <c r="HG25" s="130"/>
      <c r="HH25" s="130"/>
      <c r="HI25" s="130"/>
      <c r="HJ25" s="130"/>
      <c r="HK25" s="130"/>
      <c r="HL25" s="130"/>
      <c r="HM25" s="130"/>
    </row>
    <row r="26" spans="1:221" ht="15" x14ac:dyDescent="0.25">
      <c r="A26" s="3"/>
      <c r="B26" s="126" t="s">
        <v>121</v>
      </c>
      <c r="C26" s="3">
        <v>25585.530173046223</v>
      </c>
      <c r="D26" s="3">
        <v>26815.867901198006</v>
      </c>
      <c r="E26" s="3">
        <v>28087.006277898501</v>
      </c>
      <c r="F26" s="3">
        <v>28218.431811871684</v>
      </c>
      <c r="G26" s="3">
        <v>28920.9421404727</v>
      </c>
      <c r="H26" s="3">
        <v>28715.633574177591</v>
      </c>
      <c r="I26" s="3">
        <v>31088.81644038736</v>
      </c>
      <c r="J26" s="3">
        <v>31950.53136158601</v>
      </c>
      <c r="K26" s="3">
        <v>31709.95285649964</v>
      </c>
      <c r="L26" s="3">
        <v>32491.606148737308</v>
      </c>
      <c r="M26" s="3">
        <v>34099.565181101338</v>
      </c>
      <c r="N26" s="3">
        <v>34250.082446485067</v>
      </c>
      <c r="O26" s="3">
        <v>35252.635784097169</v>
      </c>
      <c r="P26" s="3">
        <v>36760.947778743401</v>
      </c>
      <c r="Q26" s="3">
        <v>35648.858549584846</v>
      </c>
      <c r="R26" s="3">
        <v>32236.736736804804</v>
      </c>
      <c r="S26" s="3">
        <v>35896.332523022204</v>
      </c>
      <c r="T26" s="3">
        <v>37289.22117233598</v>
      </c>
      <c r="U26" s="3">
        <v>37155.753524298671</v>
      </c>
      <c r="V26" s="3">
        <v>37847.717183852787</v>
      </c>
      <c r="W26" s="3">
        <v>37948.267946340988</v>
      </c>
      <c r="X26" s="3">
        <v>40233.574177164599</v>
      </c>
      <c r="Y26" s="3">
        <v>41629.028011497678</v>
      </c>
      <c r="Z26" s="3">
        <v>42907.047906055115</v>
      </c>
      <c r="AA26" s="3">
        <v>44419.271393106901</v>
      </c>
      <c r="AB26" s="3">
        <v>44915.774636309878</v>
      </c>
      <c r="AC26" s="3">
        <v>44704.483645576649</v>
      </c>
      <c r="AD26" s="3">
        <v>48556.814797195002</v>
      </c>
      <c r="AE26" s="3">
        <v>49709.912273026486</v>
      </c>
      <c r="AF26" s="3">
        <v>50246.437080620941</v>
      </c>
      <c r="AG26" s="3">
        <v>50555.362693788229</v>
      </c>
      <c r="AH26" s="3">
        <v>52803.113983517258</v>
      </c>
      <c r="AI26" s="3">
        <v>55023.331390004845</v>
      </c>
      <c r="AJ26" s="3">
        <v>55769.666817527497</v>
      </c>
      <c r="AK26" s="3">
        <v>57835.748420225325</v>
      </c>
      <c r="AL26" s="3">
        <v>58933.858282806897</v>
      </c>
      <c r="AM26" s="3">
        <v>58812.062111866187</v>
      </c>
      <c r="AN26" s="3">
        <v>62759.045051931214</v>
      </c>
      <c r="AO26" s="3">
        <v>63215.400221365955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</row>
    <row r="27" spans="1:221" ht="15" x14ac:dyDescent="0.25">
      <c r="A27" s="131"/>
      <c r="B27" s="132"/>
      <c r="C27" s="104"/>
      <c r="D27" s="104"/>
      <c r="E27" s="104"/>
      <c r="F27" s="104"/>
      <c r="G27" s="140" t="s">
        <v>79</v>
      </c>
      <c r="H27" s="140"/>
      <c r="I27" s="140"/>
      <c r="J27" s="140"/>
      <c r="K27" s="140" t="s">
        <v>85</v>
      </c>
      <c r="L27" s="140"/>
      <c r="M27" s="140"/>
      <c r="N27" s="140"/>
      <c r="O27" s="140" t="s">
        <v>86</v>
      </c>
      <c r="P27" s="140"/>
      <c r="Q27" s="140"/>
      <c r="R27" s="140"/>
      <c r="S27" s="140" t="s">
        <v>89</v>
      </c>
      <c r="T27" s="140"/>
      <c r="U27" s="140"/>
      <c r="V27" s="140"/>
      <c r="W27" s="140" t="s">
        <v>90</v>
      </c>
      <c r="X27" s="140"/>
      <c r="Y27" s="140"/>
      <c r="Z27" s="140"/>
      <c r="AA27" s="141" t="s">
        <v>96</v>
      </c>
      <c r="AB27" s="141"/>
      <c r="AC27" s="141"/>
      <c r="AD27" s="3"/>
      <c r="AE27" s="140" t="s">
        <v>97</v>
      </c>
      <c r="AF27" s="140"/>
      <c r="AG27" s="140"/>
      <c r="AH27" s="140"/>
      <c r="AI27" s="141" t="s">
        <v>123</v>
      </c>
      <c r="AJ27" s="141"/>
      <c r="AK27" s="141"/>
      <c r="AL27" s="141"/>
      <c r="AM27" s="118" t="s">
        <v>125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</row>
    <row r="28" spans="1:221" ht="15" x14ac:dyDescent="0.25">
      <c r="A28" s="133"/>
      <c r="B28" s="107" t="s">
        <v>122</v>
      </c>
      <c r="C28" s="108"/>
      <c r="D28" s="121"/>
      <c r="E28" s="121"/>
      <c r="F28" s="121"/>
      <c r="G28" s="121" t="s">
        <v>57</v>
      </c>
      <c r="H28" s="121" t="s">
        <v>58</v>
      </c>
      <c r="I28" s="121" t="s">
        <v>59</v>
      </c>
      <c r="J28" s="121" t="s">
        <v>60</v>
      </c>
      <c r="K28" s="121" t="s">
        <v>57</v>
      </c>
      <c r="L28" s="121" t="s">
        <v>58</v>
      </c>
      <c r="M28" s="121" t="s">
        <v>59</v>
      </c>
      <c r="N28" s="121" t="s">
        <v>60</v>
      </c>
      <c r="O28" s="121" t="s">
        <v>57</v>
      </c>
      <c r="P28" s="121" t="s">
        <v>58</v>
      </c>
      <c r="Q28" s="121" t="s">
        <v>59</v>
      </c>
      <c r="R28" s="121" t="s">
        <v>60</v>
      </c>
      <c r="S28" s="121" t="s">
        <v>57</v>
      </c>
      <c r="T28" s="121" t="s">
        <v>58</v>
      </c>
      <c r="U28" s="121" t="s">
        <v>59</v>
      </c>
      <c r="V28" s="121" t="s">
        <v>60</v>
      </c>
      <c r="W28" s="121" t="s">
        <v>57</v>
      </c>
      <c r="X28" s="121" t="s">
        <v>58</v>
      </c>
      <c r="Y28" s="121" t="s">
        <v>59</v>
      </c>
      <c r="Z28" s="121" t="s">
        <v>60</v>
      </c>
      <c r="AA28" s="121" t="s">
        <v>57</v>
      </c>
      <c r="AB28" s="121" t="s">
        <v>58</v>
      </c>
      <c r="AC28" s="121" t="s">
        <v>59</v>
      </c>
      <c r="AD28" s="121" t="s">
        <v>60</v>
      </c>
      <c r="AE28" s="121" t="s">
        <v>57</v>
      </c>
      <c r="AF28" s="121" t="s">
        <v>58</v>
      </c>
      <c r="AG28" s="121" t="s">
        <v>59</v>
      </c>
      <c r="AH28" s="121" t="s">
        <v>60</v>
      </c>
      <c r="AI28" s="121" t="s">
        <v>57</v>
      </c>
      <c r="AJ28" s="121" t="s">
        <v>58</v>
      </c>
      <c r="AK28" s="121" t="s">
        <v>59</v>
      </c>
      <c r="AL28" s="121" t="s">
        <v>60</v>
      </c>
      <c r="AM28" s="121" t="s">
        <v>57</v>
      </c>
      <c r="AN28" s="121" t="s">
        <v>58</v>
      </c>
      <c r="AO28" s="121" t="s">
        <v>59</v>
      </c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33"/>
      <c r="EC28" s="133"/>
      <c r="ED28" s="133"/>
      <c r="EE28" s="133"/>
      <c r="EF28" s="133"/>
      <c r="EG28" s="133"/>
      <c r="EH28" s="133"/>
      <c r="EI28" s="133"/>
      <c r="EJ28" s="133"/>
      <c r="EK28" s="133"/>
      <c r="EL28" s="133"/>
      <c r="EM28" s="133"/>
      <c r="EN28" s="133"/>
      <c r="EO28" s="133"/>
      <c r="EP28" s="133"/>
      <c r="EQ28" s="133"/>
      <c r="ER28" s="133"/>
      <c r="ES28" s="133"/>
      <c r="ET28" s="133"/>
      <c r="EU28" s="133"/>
      <c r="EV28" s="133"/>
      <c r="EW28" s="133"/>
      <c r="EX28" s="133"/>
      <c r="EY28" s="133"/>
      <c r="EZ28" s="133"/>
      <c r="FA28" s="133"/>
      <c r="FB28" s="133"/>
      <c r="FC28" s="133"/>
      <c r="FD28" s="133"/>
      <c r="FE28" s="133"/>
      <c r="FF28" s="133"/>
      <c r="FG28" s="133"/>
      <c r="FH28" s="133"/>
      <c r="FI28" s="133"/>
      <c r="FJ28" s="133"/>
      <c r="FK28" s="133"/>
      <c r="FL28" s="133"/>
      <c r="FM28" s="133"/>
      <c r="FN28" s="133"/>
      <c r="FO28" s="133"/>
      <c r="FP28" s="133"/>
      <c r="FQ28" s="133"/>
      <c r="FR28" s="133"/>
      <c r="FS28" s="133"/>
      <c r="FT28" s="133"/>
      <c r="FU28" s="133"/>
      <c r="FV28" s="133"/>
      <c r="FW28" s="133"/>
      <c r="FX28" s="133"/>
      <c r="FY28" s="133"/>
      <c r="FZ28" s="133"/>
      <c r="GA28" s="133"/>
      <c r="GB28" s="133"/>
      <c r="GC28" s="133"/>
      <c r="GD28" s="133"/>
      <c r="GE28" s="133"/>
      <c r="GF28" s="133"/>
      <c r="GG28" s="133"/>
      <c r="GH28" s="133"/>
      <c r="GI28" s="133"/>
      <c r="GJ28" s="133"/>
      <c r="GK28" s="133"/>
      <c r="GL28" s="133"/>
      <c r="GM28" s="133"/>
      <c r="GN28" s="133"/>
      <c r="GO28" s="133"/>
      <c r="GP28" s="133"/>
      <c r="GQ28" s="133"/>
      <c r="GR28" s="133"/>
      <c r="GS28" s="133"/>
      <c r="GT28" s="133"/>
      <c r="GU28" s="133"/>
      <c r="GV28" s="133"/>
      <c r="GW28" s="133"/>
      <c r="GX28" s="133"/>
      <c r="GY28" s="133"/>
      <c r="GZ28" s="133"/>
      <c r="HA28" s="133"/>
      <c r="HB28" s="133"/>
      <c r="HC28" s="133"/>
      <c r="HD28" s="133"/>
      <c r="HE28" s="133"/>
      <c r="HF28" s="133"/>
      <c r="HG28" s="133"/>
      <c r="HH28" s="133"/>
      <c r="HI28" s="133"/>
      <c r="HJ28" s="133"/>
      <c r="HK28" s="133"/>
      <c r="HL28" s="133"/>
      <c r="HM28" s="133"/>
    </row>
    <row r="29" spans="1:221" ht="15" x14ac:dyDescent="0.25">
      <c r="A29" s="133"/>
      <c r="B29" s="126" t="s">
        <v>102</v>
      </c>
      <c r="C29" s="133">
        <v>0.76971281889402221</v>
      </c>
      <c r="D29" s="133">
        <v>0.80082587575196651</v>
      </c>
      <c r="E29" s="133">
        <v>0.77699368005169323</v>
      </c>
      <c r="F29" s="133">
        <v>0.80279883995375945</v>
      </c>
      <c r="G29" s="133">
        <v>0.80980220923844615</v>
      </c>
      <c r="H29" s="133">
        <v>0.81803216368145704</v>
      </c>
      <c r="I29" s="133">
        <v>0.80631642042957241</v>
      </c>
      <c r="J29" s="133">
        <v>0.80445337575091014</v>
      </c>
      <c r="K29" s="133">
        <v>0.80339277592713398</v>
      </c>
      <c r="L29" s="133">
        <v>0.79592503772681045</v>
      </c>
      <c r="M29" s="133">
        <v>0.78025928334784034</v>
      </c>
      <c r="N29" s="133">
        <v>0.81298122696737507</v>
      </c>
      <c r="O29" s="133">
        <v>0.81532259928412021</v>
      </c>
      <c r="P29" s="133">
        <v>0.80339305071323042</v>
      </c>
      <c r="Q29" s="133">
        <v>0.79252581936467337</v>
      </c>
      <c r="R29" s="133">
        <v>0.82221993749338929</v>
      </c>
      <c r="S29" s="133">
        <v>0.81760125501109038</v>
      </c>
      <c r="T29" s="133">
        <v>0.81688149495431706</v>
      </c>
      <c r="U29" s="133">
        <v>0.83667082537376258</v>
      </c>
      <c r="V29" s="133">
        <v>0.82046027363866869</v>
      </c>
      <c r="W29" s="133">
        <v>0.78759200876955548</v>
      </c>
      <c r="X29" s="133">
        <v>0.78524017082573072</v>
      </c>
      <c r="Y29" s="133">
        <v>0.825400852775098</v>
      </c>
      <c r="Z29" s="133">
        <v>0.83501079504207043</v>
      </c>
      <c r="AA29" s="133">
        <v>0.81041274093669635</v>
      </c>
      <c r="AB29" s="133">
        <v>0.82709296611505234</v>
      </c>
      <c r="AC29" s="133">
        <v>0.82955706618331015</v>
      </c>
      <c r="AD29" s="133">
        <v>0.79647740593592842</v>
      </c>
      <c r="AE29" s="133">
        <v>0.77238657228130636</v>
      </c>
      <c r="AF29" s="133">
        <v>0.7132072413116699</v>
      </c>
      <c r="AG29" s="133">
        <v>0.78082508571372244</v>
      </c>
      <c r="AH29" s="133">
        <v>0.78799469089473639</v>
      </c>
      <c r="AI29" s="133">
        <v>0.78164057491387018</v>
      </c>
      <c r="AJ29" s="133">
        <v>0.75143087239706285</v>
      </c>
      <c r="AK29" s="133">
        <v>0.79962242463582212</v>
      </c>
      <c r="AL29" s="133">
        <v>0.75143743002592167</v>
      </c>
      <c r="AM29" s="133">
        <v>0.83334836435496384</v>
      </c>
      <c r="AN29" s="133">
        <v>0.80468371725828702</v>
      </c>
      <c r="AO29" s="133">
        <v>0.77380881796780032</v>
      </c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  <c r="ED29" s="133"/>
      <c r="EE29" s="133"/>
      <c r="EF29" s="133"/>
      <c r="EG29" s="133"/>
      <c r="EH29" s="133"/>
      <c r="EI29" s="133"/>
      <c r="EJ29" s="133"/>
      <c r="EK29" s="133"/>
      <c r="EL29" s="133"/>
      <c r="EM29" s="133"/>
      <c r="EN29" s="133"/>
      <c r="EO29" s="133"/>
      <c r="EP29" s="133"/>
      <c r="EQ29" s="133"/>
      <c r="ER29" s="133"/>
      <c r="ES29" s="133"/>
      <c r="ET29" s="133"/>
      <c r="EU29" s="133"/>
      <c r="EV29" s="133"/>
      <c r="EW29" s="133"/>
      <c r="EX29" s="133"/>
      <c r="EY29" s="133"/>
      <c r="EZ29" s="133"/>
      <c r="FA29" s="133"/>
      <c r="FB29" s="133"/>
      <c r="FC29" s="133"/>
      <c r="FD29" s="133"/>
      <c r="FE29" s="133"/>
      <c r="FF29" s="133"/>
      <c r="FG29" s="133"/>
      <c r="FH29" s="133"/>
      <c r="FI29" s="133"/>
      <c r="FJ29" s="133"/>
      <c r="FK29" s="133"/>
      <c r="FL29" s="133"/>
      <c r="FM29" s="133"/>
      <c r="FN29" s="133"/>
      <c r="FO29" s="133"/>
      <c r="FP29" s="133"/>
      <c r="FQ29" s="133"/>
      <c r="FR29" s="133"/>
      <c r="FS29" s="133"/>
      <c r="FT29" s="133"/>
      <c r="FU29" s="133"/>
      <c r="FV29" s="133"/>
      <c r="FW29" s="133"/>
      <c r="FX29" s="133"/>
      <c r="FY29" s="133"/>
      <c r="FZ29" s="133"/>
      <c r="GA29" s="133"/>
      <c r="GB29" s="133"/>
      <c r="GC29" s="133"/>
      <c r="GD29" s="133"/>
      <c r="GE29" s="133"/>
      <c r="GF29" s="133"/>
      <c r="GG29" s="133"/>
      <c r="GH29" s="133"/>
      <c r="GI29" s="133"/>
      <c r="GJ29" s="133"/>
      <c r="GK29" s="133"/>
      <c r="GL29" s="133"/>
      <c r="GM29" s="133"/>
      <c r="GN29" s="133"/>
      <c r="GO29" s="133"/>
      <c r="GP29" s="133"/>
      <c r="GQ29" s="133"/>
      <c r="GR29" s="133"/>
      <c r="GS29" s="133"/>
      <c r="GT29" s="133"/>
      <c r="GU29" s="133"/>
      <c r="GV29" s="133"/>
      <c r="GW29" s="133"/>
      <c r="GX29" s="133"/>
      <c r="GY29" s="133"/>
      <c r="GZ29" s="133"/>
      <c r="HA29" s="133"/>
      <c r="HB29" s="133"/>
      <c r="HC29" s="133"/>
      <c r="HD29" s="133"/>
      <c r="HE29" s="133"/>
      <c r="HF29" s="133"/>
      <c r="HG29" s="133"/>
      <c r="HH29" s="133"/>
      <c r="HI29" s="133"/>
      <c r="HJ29" s="133"/>
      <c r="HK29" s="133"/>
      <c r="HL29" s="133"/>
      <c r="HM29" s="133"/>
    </row>
    <row r="30" spans="1:221" ht="15" x14ac:dyDescent="0.25">
      <c r="A30" s="133"/>
      <c r="B30" s="127" t="s">
        <v>103</v>
      </c>
      <c r="C30" s="133">
        <v>8.0319593921704374E-2</v>
      </c>
      <c r="D30" s="133">
        <v>7.4938646384496307E-2</v>
      </c>
      <c r="E30" s="133">
        <v>7.8527721361797753E-2</v>
      </c>
      <c r="F30" s="133">
        <v>8.5848057497347266E-2</v>
      </c>
      <c r="G30" s="133">
        <v>8.7916638860513485E-2</v>
      </c>
      <c r="H30" s="133">
        <v>8.9548020692621272E-2</v>
      </c>
      <c r="I30" s="133">
        <v>8.6183155953188401E-2</v>
      </c>
      <c r="J30" s="133">
        <v>8.1456006345307946E-2</v>
      </c>
      <c r="K30" s="133">
        <v>8.5465444957762621E-2</v>
      </c>
      <c r="L30" s="133">
        <v>8.4351173938928367E-2</v>
      </c>
      <c r="M30" s="133">
        <v>8.1906842705303948E-2</v>
      </c>
      <c r="N30" s="133">
        <v>9.7002320558256125E-2</v>
      </c>
      <c r="O30" s="133">
        <v>8.6519201129189996E-2</v>
      </c>
      <c r="P30" s="133">
        <v>9.4555119323478085E-2</v>
      </c>
      <c r="Q30" s="133">
        <v>9.4673187608621548E-2</v>
      </c>
      <c r="R30" s="133">
        <v>0.10431344270141088</v>
      </c>
      <c r="S30" s="133">
        <v>9.4567401313466318E-2</v>
      </c>
      <c r="T30" s="133">
        <v>0.10202685540809667</v>
      </c>
      <c r="U30" s="133">
        <v>0.1036532083457654</v>
      </c>
      <c r="V30" s="133">
        <v>9.6789457800427525E-2</v>
      </c>
      <c r="W30" s="133">
        <v>9.6737273391527406E-2</v>
      </c>
      <c r="X30" s="133">
        <v>9.0759252178548036E-2</v>
      </c>
      <c r="Y30" s="133">
        <v>0.1008689627329656</v>
      </c>
      <c r="Z30" s="133">
        <v>0.10220497743184115</v>
      </c>
      <c r="AA30" s="133">
        <v>0.10123222627017144</v>
      </c>
      <c r="AB30" s="133">
        <v>0.10170253429131404</v>
      </c>
      <c r="AC30" s="133">
        <v>9.5255101734780828E-2</v>
      </c>
      <c r="AD30" s="133">
        <v>8.5797336758181186E-2</v>
      </c>
      <c r="AE30" s="133">
        <v>8.6942616955105606E-2</v>
      </c>
      <c r="AF30" s="133">
        <v>9.3866871285152823E-2</v>
      </c>
      <c r="AG30" s="133">
        <v>0.10303226712303577</v>
      </c>
      <c r="AH30" s="133">
        <v>0.11630608853851571</v>
      </c>
      <c r="AI30" s="133">
        <v>0.11184956703905768</v>
      </c>
      <c r="AJ30" s="133">
        <v>0.11646282623553914</v>
      </c>
      <c r="AK30" s="133">
        <v>0.12054708001325505</v>
      </c>
      <c r="AL30" s="133">
        <v>0.11798077565481392</v>
      </c>
      <c r="AM30" s="133">
        <v>0.12390678648568448</v>
      </c>
      <c r="AN30" s="133">
        <v>0.11458758973097012</v>
      </c>
      <c r="AO30" s="133">
        <v>0.1185135502777863</v>
      </c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33"/>
      <c r="EC30" s="133"/>
      <c r="ED30" s="133"/>
      <c r="EE30" s="133"/>
      <c r="EF30" s="133"/>
      <c r="EG30" s="133"/>
      <c r="EH30" s="133"/>
      <c r="EI30" s="133"/>
      <c r="EJ30" s="133"/>
      <c r="EK30" s="133"/>
      <c r="EL30" s="133"/>
      <c r="EM30" s="133"/>
      <c r="EN30" s="133"/>
      <c r="EO30" s="133"/>
      <c r="EP30" s="133"/>
      <c r="EQ30" s="133"/>
      <c r="ER30" s="133"/>
      <c r="ES30" s="133"/>
      <c r="ET30" s="133"/>
      <c r="EU30" s="133"/>
      <c r="EV30" s="133"/>
      <c r="EW30" s="133"/>
      <c r="EX30" s="133"/>
      <c r="EY30" s="133"/>
      <c r="EZ30" s="133"/>
      <c r="FA30" s="133"/>
      <c r="FB30" s="133"/>
      <c r="FC30" s="133"/>
      <c r="FD30" s="133"/>
      <c r="FE30" s="133"/>
      <c r="FF30" s="133"/>
      <c r="FG30" s="133"/>
      <c r="FH30" s="133"/>
      <c r="FI30" s="133"/>
      <c r="FJ30" s="133"/>
      <c r="FK30" s="133"/>
      <c r="FL30" s="133"/>
      <c r="FM30" s="133"/>
      <c r="FN30" s="133"/>
      <c r="FO30" s="133"/>
      <c r="FP30" s="133"/>
      <c r="FQ30" s="133"/>
      <c r="FR30" s="133"/>
      <c r="FS30" s="133"/>
      <c r="FT30" s="133"/>
      <c r="FU30" s="133"/>
      <c r="FV30" s="133"/>
      <c r="FW30" s="133"/>
      <c r="FX30" s="133"/>
      <c r="FY30" s="133"/>
      <c r="FZ30" s="133"/>
      <c r="GA30" s="133"/>
      <c r="GB30" s="133"/>
      <c r="GC30" s="133"/>
      <c r="GD30" s="133"/>
      <c r="GE30" s="133"/>
      <c r="GF30" s="133"/>
      <c r="GG30" s="133"/>
      <c r="GH30" s="133"/>
      <c r="GI30" s="133"/>
      <c r="GJ30" s="133"/>
      <c r="GK30" s="133"/>
      <c r="GL30" s="133"/>
      <c r="GM30" s="133"/>
      <c r="GN30" s="133"/>
      <c r="GO30" s="133"/>
      <c r="GP30" s="133"/>
      <c r="GQ30" s="133"/>
      <c r="GR30" s="133"/>
      <c r="GS30" s="133"/>
      <c r="GT30" s="133"/>
      <c r="GU30" s="133"/>
      <c r="GV30" s="133"/>
      <c r="GW30" s="133"/>
      <c r="GX30" s="133"/>
      <c r="GY30" s="133"/>
      <c r="GZ30" s="133"/>
      <c r="HA30" s="133"/>
      <c r="HB30" s="133"/>
      <c r="HC30" s="133"/>
      <c r="HD30" s="133"/>
      <c r="HE30" s="133"/>
      <c r="HF30" s="133"/>
      <c r="HG30" s="133"/>
      <c r="HH30" s="133"/>
      <c r="HI30" s="133"/>
      <c r="HJ30" s="133"/>
      <c r="HK30" s="133"/>
      <c r="HL30" s="133"/>
      <c r="HM30" s="133"/>
    </row>
    <row r="31" spans="1:221" ht="15" x14ac:dyDescent="0.25">
      <c r="A31" s="133"/>
      <c r="B31" s="127" t="s">
        <v>104</v>
      </c>
      <c r="C31" s="133">
        <v>3.9749126298753518E-2</v>
      </c>
      <c r="D31" s="133">
        <v>3.8886171041904644E-2</v>
      </c>
      <c r="E31" s="133">
        <v>3.8569645278581088E-2</v>
      </c>
      <c r="F31" s="133">
        <v>3.9698596364981922E-2</v>
      </c>
      <c r="G31" s="133">
        <v>4.0141165890095309E-2</v>
      </c>
      <c r="H31" s="133">
        <v>4.2304362740794521E-2</v>
      </c>
      <c r="I31" s="133">
        <v>4.0697115321544547E-2</v>
      </c>
      <c r="J31" s="133">
        <v>4.1375512107023164E-2</v>
      </c>
      <c r="K31" s="133">
        <v>4.3456677940508129E-2</v>
      </c>
      <c r="L31" s="133">
        <v>4.342976403214701E-2</v>
      </c>
      <c r="M31" s="133">
        <v>4.2118899568330169E-2</v>
      </c>
      <c r="N31" s="133">
        <v>4.2933531301390132E-2</v>
      </c>
      <c r="O31" s="133">
        <v>4.2979846846849905E-2</v>
      </c>
      <c r="P31" s="133">
        <v>4.189060531461266E-2</v>
      </c>
      <c r="Q31" s="133">
        <v>4.3152020025593568E-2</v>
      </c>
      <c r="R31" s="133">
        <v>4.7106420071255262E-2</v>
      </c>
      <c r="S31" s="133">
        <v>4.1413038213464176E-2</v>
      </c>
      <c r="T31" s="133">
        <v>3.9804990554201725E-2</v>
      </c>
      <c r="U31" s="133">
        <v>4.1778487820851008E-2</v>
      </c>
      <c r="V31" s="133">
        <v>4.2708519068723041E-2</v>
      </c>
      <c r="W31" s="133">
        <v>4.4206826320838596E-2</v>
      </c>
      <c r="X31" s="133">
        <v>4.3352617050010187E-2</v>
      </c>
      <c r="Y31" s="133">
        <v>4.3407296115726884E-2</v>
      </c>
      <c r="Z31" s="133">
        <v>4.3515004882687967E-2</v>
      </c>
      <c r="AA31" s="133">
        <v>4.4486837300574969E-2</v>
      </c>
      <c r="AB31" s="133">
        <v>4.4294737805752257E-2</v>
      </c>
      <c r="AC31" s="133">
        <v>4.5047755463249066E-2</v>
      </c>
      <c r="AD31" s="133">
        <v>4.1687016128790742E-2</v>
      </c>
      <c r="AE31" s="133">
        <v>4.1190454218973729E-2</v>
      </c>
      <c r="AF31" s="133">
        <v>4.2669215478346061E-2</v>
      </c>
      <c r="AG31" s="133">
        <v>3.9550496101710783E-2</v>
      </c>
      <c r="AH31" s="133">
        <v>3.9043473093544855E-2</v>
      </c>
      <c r="AI31" s="133">
        <v>3.7477102239113574E-2</v>
      </c>
      <c r="AJ31" s="133">
        <v>3.7008841359899541E-2</v>
      </c>
      <c r="AK31" s="133">
        <v>3.0328277342052606E-2</v>
      </c>
      <c r="AL31" s="133">
        <v>3.3607100956919843E-2</v>
      </c>
      <c r="AM31" s="133">
        <v>3.6581009234698113E-2</v>
      </c>
      <c r="AN31" s="133">
        <v>3.3030236916278356E-2</v>
      </c>
      <c r="AO31" s="133">
        <v>3.4407998897483687E-2</v>
      </c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133"/>
      <c r="ED31" s="133"/>
      <c r="EE31" s="133"/>
      <c r="EF31" s="133"/>
      <c r="EG31" s="133"/>
      <c r="EH31" s="133"/>
      <c r="EI31" s="133"/>
      <c r="EJ31" s="133"/>
      <c r="EK31" s="133"/>
      <c r="EL31" s="133"/>
      <c r="EM31" s="133"/>
      <c r="EN31" s="133"/>
      <c r="EO31" s="133"/>
      <c r="EP31" s="133"/>
      <c r="EQ31" s="133"/>
      <c r="ER31" s="133"/>
      <c r="ES31" s="133"/>
      <c r="ET31" s="133"/>
      <c r="EU31" s="133"/>
      <c r="EV31" s="133"/>
      <c r="EW31" s="133"/>
      <c r="EX31" s="133"/>
      <c r="EY31" s="133"/>
      <c r="EZ31" s="133"/>
      <c r="FA31" s="133"/>
      <c r="FB31" s="133"/>
      <c r="FC31" s="133"/>
      <c r="FD31" s="133"/>
      <c r="FE31" s="133"/>
      <c r="FF31" s="133"/>
      <c r="FG31" s="133"/>
      <c r="FH31" s="133"/>
      <c r="FI31" s="133"/>
      <c r="FJ31" s="133"/>
      <c r="FK31" s="133"/>
      <c r="FL31" s="133"/>
      <c r="FM31" s="133"/>
      <c r="FN31" s="133"/>
      <c r="FO31" s="133"/>
      <c r="FP31" s="133"/>
      <c r="FQ31" s="133"/>
      <c r="FR31" s="133"/>
      <c r="FS31" s="133"/>
      <c r="FT31" s="133"/>
      <c r="FU31" s="133"/>
      <c r="FV31" s="133"/>
      <c r="FW31" s="133"/>
      <c r="FX31" s="133"/>
      <c r="FY31" s="133"/>
      <c r="FZ31" s="133"/>
      <c r="GA31" s="133"/>
      <c r="GB31" s="133"/>
      <c r="GC31" s="133"/>
      <c r="GD31" s="133"/>
      <c r="GE31" s="133"/>
      <c r="GF31" s="133"/>
      <c r="GG31" s="133"/>
      <c r="GH31" s="133"/>
      <c r="GI31" s="133"/>
      <c r="GJ31" s="133"/>
      <c r="GK31" s="133"/>
      <c r="GL31" s="133"/>
      <c r="GM31" s="133"/>
      <c r="GN31" s="133"/>
      <c r="GO31" s="133"/>
      <c r="GP31" s="133"/>
      <c r="GQ31" s="133"/>
      <c r="GR31" s="133"/>
      <c r="GS31" s="133"/>
      <c r="GT31" s="133"/>
      <c r="GU31" s="133"/>
      <c r="GV31" s="133"/>
      <c r="GW31" s="133"/>
      <c r="GX31" s="133"/>
      <c r="GY31" s="133"/>
      <c r="GZ31" s="133"/>
      <c r="HA31" s="133"/>
      <c r="HB31" s="133"/>
      <c r="HC31" s="133"/>
      <c r="HD31" s="133"/>
      <c r="HE31" s="133"/>
      <c r="HF31" s="133"/>
      <c r="HG31" s="133"/>
      <c r="HH31" s="133"/>
      <c r="HI31" s="133"/>
      <c r="HJ31" s="133"/>
      <c r="HK31" s="133"/>
      <c r="HL31" s="133"/>
      <c r="HM31" s="133"/>
    </row>
    <row r="32" spans="1:221" ht="15" x14ac:dyDescent="0.25">
      <c r="A32" s="133"/>
      <c r="B32" s="127" t="s">
        <v>105</v>
      </c>
      <c r="C32" s="133">
        <v>0.64964409867356432</v>
      </c>
      <c r="D32" s="133">
        <v>0.68700105832556546</v>
      </c>
      <c r="E32" s="133">
        <v>0.65989631341131438</v>
      </c>
      <c r="F32" s="133">
        <v>0.67725218609143023</v>
      </c>
      <c r="G32" s="133">
        <v>0.68174440448783724</v>
      </c>
      <c r="H32" s="133">
        <v>0.68617978024804127</v>
      </c>
      <c r="I32" s="133">
        <v>0.67943614915483952</v>
      </c>
      <c r="J32" s="133">
        <v>0.68162185729857894</v>
      </c>
      <c r="K32" s="133">
        <v>0.67447065302886322</v>
      </c>
      <c r="L32" s="133">
        <v>0.66814409975573508</v>
      </c>
      <c r="M32" s="133">
        <v>0.65623354107420628</v>
      </c>
      <c r="N32" s="133">
        <v>0.67304537510772877</v>
      </c>
      <c r="O32" s="133">
        <v>0.68582355130808037</v>
      </c>
      <c r="P32" s="133">
        <v>0.66694732607513962</v>
      </c>
      <c r="Q32" s="133">
        <v>0.65470061173045813</v>
      </c>
      <c r="R32" s="133">
        <v>0.67080007472072312</v>
      </c>
      <c r="S32" s="133">
        <v>0.68162081548415976</v>
      </c>
      <c r="T32" s="133">
        <v>0.67504964899201869</v>
      </c>
      <c r="U32" s="133">
        <v>0.69123912920714614</v>
      </c>
      <c r="V32" s="133">
        <v>0.68096229676951814</v>
      </c>
      <c r="W32" s="133">
        <v>0.6466479090571895</v>
      </c>
      <c r="X32" s="133">
        <v>0.65112830159717261</v>
      </c>
      <c r="Y32" s="133">
        <v>0.68112459392640545</v>
      </c>
      <c r="Z32" s="133">
        <v>0.68929081272754134</v>
      </c>
      <c r="AA32" s="133">
        <v>0.66469367736594998</v>
      </c>
      <c r="AB32" s="133">
        <v>0.68109569401798598</v>
      </c>
      <c r="AC32" s="133">
        <v>0.68925420898528011</v>
      </c>
      <c r="AD32" s="133">
        <v>0.66899305304895651</v>
      </c>
      <c r="AE32" s="133">
        <v>0.64425350110722701</v>
      </c>
      <c r="AF32" s="133">
        <v>0.57667115454817097</v>
      </c>
      <c r="AG32" s="133">
        <v>0.63824232248897583</v>
      </c>
      <c r="AH32" s="133">
        <v>0.6326451292626758</v>
      </c>
      <c r="AI32" s="133">
        <v>0.632313905635699</v>
      </c>
      <c r="AJ32" s="133">
        <v>0.59795920480162412</v>
      </c>
      <c r="AK32" s="133">
        <v>0.64874706728051446</v>
      </c>
      <c r="AL32" s="133">
        <v>0.59984955341418789</v>
      </c>
      <c r="AM32" s="133">
        <v>0.67286056863458132</v>
      </c>
      <c r="AN32" s="133">
        <v>0.65706589061103859</v>
      </c>
      <c r="AO32" s="133">
        <v>0.62088726879253042</v>
      </c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33"/>
      <c r="EC32" s="133"/>
      <c r="ED32" s="133"/>
      <c r="EE32" s="133"/>
      <c r="EF32" s="133"/>
      <c r="EG32" s="133"/>
      <c r="EH32" s="133"/>
      <c r="EI32" s="133"/>
      <c r="EJ32" s="133"/>
      <c r="EK32" s="133"/>
      <c r="EL32" s="133"/>
      <c r="EM32" s="133"/>
      <c r="EN32" s="133"/>
      <c r="EO32" s="133"/>
      <c r="EP32" s="133"/>
      <c r="EQ32" s="133"/>
      <c r="ER32" s="133"/>
      <c r="ES32" s="133"/>
      <c r="ET32" s="133"/>
      <c r="EU32" s="133"/>
      <c r="EV32" s="133"/>
      <c r="EW32" s="133"/>
      <c r="EX32" s="133"/>
      <c r="EY32" s="133"/>
      <c r="EZ32" s="133"/>
      <c r="FA32" s="133"/>
      <c r="FB32" s="133"/>
      <c r="FC32" s="133"/>
      <c r="FD32" s="133"/>
      <c r="FE32" s="133"/>
      <c r="FF32" s="133"/>
      <c r="FG32" s="133"/>
      <c r="FH32" s="133"/>
      <c r="FI32" s="133"/>
      <c r="FJ32" s="133"/>
      <c r="FK32" s="133"/>
      <c r="FL32" s="133"/>
      <c r="FM32" s="133"/>
      <c r="FN32" s="133"/>
      <c r="FO32" s="133"/>
      <c r="FP32" s="133"/>
      <c r="FQ32" s="133"/>
      <c r="FR32" s="133"/>
      <c r="FS32" s="133"/>
      <c r="FT32" s="133"/>
      <c r="FU32" s="133"/>
      <c r="FV32" s="133"/>
      <c r="FW32" s="133"/>
      <c r="FX32" s="133"/>
      <c r="FY32" s="133"/>
      <c r="FZ32" s="133"/>
      <c r="GA32" s="133"/>
      <c r="GB32" s="133"/>
      <c r="GC32" s="133"/>
      <c r="GD32" s="133"/>
      <c r="GE32" s="133"/>
      <c r="GF32" s="133"/>
      <c r="GG32" s="133"/>
      <c r="GH32" s="133"/>
      <c r="GI32" s="133"/>
      <c r="GJ32" s="133"/>
      <c r="GK32" s="133"/>
      <c r="GL32" s="133"/>
      <c r="GM32" s="133"/>
      <c r="GN32" s="133"/>
      <c r="GO32" s="133"/>
      <c r="GP32" s="133"/>
      <c r="GQ32" s="133"/>
      <c r="GR32" s="133"/>
      <c r="GS32" s="133"/>
      <c r="GT32" s="133"/>
      <c r="GU32" s="133"/>
      <c r="GV32" s="133"/>
      <c r="GW32" s="133"/>
      <c r="GX32" s="133"/>
      <c r="GY32" s="133"/>
      <c r="GZ32" s="133"/>
      <c r="HA32" s="133"/>
      <c r="HB32" s="133"/>
      <c r="HC32" s="133"/>
      <c r="HD32" s="133"/>
      <c r="HE32" s="133"/>
      <c r="HF32" s="133"/>
      <c r="HG32" s="133"/>
      <c r="HH32" s="133"/>
      <c r="HI32" s="133"/>
      <c r="HJ32" s="133"/>
      <c r="HK32" s="133"/>
      <c r="HL32" s="133"/>
      <c r="HM32" s="133"/>
    </row>
    <row r="33" spans="1:221" ht="15" x14ac:dyDescent="0.25">
      <c r="A33" s="133"/>
      <c r="B33" s="126" t="s">
        <v>106</v>
      </c>
      <c r="C33" s="133">
        <v>0.24170401109196538</v>
      </c>
      <c r="D33" s="133">
        <v>0.24631308977769981</v>
      </c>
      <c r="E33" s="133">
        <v>0.2330572060385129</v>
      </c>
      <c r="F33" s="133">
        <v>0.23887521296437728</v>
      </c>
      <c r="G33" s="133">
        <v>0.23624629730139562</v>
      </c>
      <c r="H33" s="133">
        <v>0.24482099125902756</v>
      </c>
      <c r="I33" s="133">
        <v>0.23837298001950319</v>
      </c>
      <c r="J33" s="133">
        <v>0.23057914625990977</v>
      </c>
      <c r="K33" s="133">
        <v>0.25236402051372459</v>
      </c>
      <c r="L33" s="133">
        <v>0.24603316292491906</v>
      </c>
      <c r="M33" s="133">
        <v>0.24024401654851096</v>
      </c>
      <c r="N33" s="133">
        <v>0.25426553406259933</v>
      </c>
      <c r="O33" s="133">
        <v>0.23590170508018485</v>
      </c>
      <c r="P33" s="133">
        <v>0.22687025370326142</v>
      </c>
      <c r="Q33" s="133">
        <v>0.25051303051901841</v>
      </c>
      <c r="R33" s="133">
        <v>0.22611568800750298</v>
      </c>
      <c r="S33" s="133">
        <v>0.20714585194940435</v>
      </c>
      <c r="T33" s="133">
        <v>0.23565181953154976</v>
      </c>
      <c r="U33" s="133">
        <v>0.24844563639373843</v>
      </c>
      <c r="V33" s="133">
        <v>0.24261266066587187</v>
      </c>
      <c r="W33" s="133">
        <v>0.24737575645691312</v>
      </c>
      <c r="X33" s="133">
        <v>0.2388176159500526</v>
      </c>
      <c r="Y33" s="133">
        <v>0.22794254927647689</v>
      </c>
      <c r="Z33" s="133">
        <v>0.22480060717994188</v>
      </c>
      <c r="AA33" s="133">
        <v>0.22208402693284165</v>
      </c>
      <c r="AB33" s="133">
        <v>0.21615324822363075</v>
      </c>
      <c r="AC33" s="133">
        <v>0.21815622215760513</v>
      </c>
      <c r="AD33" s="133">
        <v>0.22688339273065969</v>
      </c>
      <c r="AE33" s="133">
        <v>0.22105056428395045</v>
      </c>
      <c r="AF33" s="133">
        <v>0.21747737902465775</v>
      </c>
      <c r="AG33" s="133">
        <v>0.22053075061496102</v>
      </c>
      <c r="AH33" s="133">
        <v>0.20757542558570224</v>
      </c>
      <c r="AI33" s="133">
        <v>0.207466070578018</v>
      </c>
      <c r="AJ33" s="133">
        <v>0.22261985243967844</v>
      </c>
      <c r="AK33" s="133">
        <v>0.2171383938483335</v>
      </c>
      <c r="AL33" s="133">
        <v>0.22689873230513602</v>
      </c>
      <c r="AM33" s="133">
        <v>0.22723879385615192</v>
      </c>
      <c r="AN33" s="133">
        <v>0.22929952089074854</v>
      </c>
      <c r="AO33" s="133">
        <v>0.23184230647229201</v>
      </c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33"/>
      <c r="EC33" s="133"/>
      <c r="ED33" s="133"/>
      <c r="EE33" s="133"/>
      <c r="EF33" s="133"/>
      <c r="EG33" s="133"/>
      <c r="EH33" s="133"/>
      <c r="EI33" s="133"/>
      <c r="EJ33" s="133"/>
      <c r="EK33" s="133"/>
      <c r="EL33" s="133"/>
      <c r="EM33" s="133"/>
      <c r="EN33" s="133"/>
      <c r="EO33" s="133"/>
      <c r="EP33" s="133"/>
      <c r="EQ33" s="133"/>
      <c r="ER33" s="133"/>
      <c r="ES33" s="133"/>
      <c r="ET33" s="133"/>
      <c r="EU33" s="133"/>
      <c r="EV33" s="133"/>
      <c r="EW33" s="133"/>
      <c r="EX33" s="133"/>
      <c r="EY33" s="133"/>
      <c r="EZ33" s="133"/>
      <c r="FA33" s="133"/>
      <c r="FB33" s="133"/>
      <c r="FC33" s="133"/>
      <c r="FD33" s="133"/>
      <c r="FE33" s="133"/>
      <c r="FF33" s="133"/>
      <c r="FG33" s="133"/>
      <c r="FH33" s="133"/>
      <c r="FI33" s="133"/>
      <c r="FJ33" s="133"/>
      <c r="FK33" s="133"/>
      <c r="FL33" s="133"/>
      <c r="FM33" s="133"/>
      <c r="FN33" s="133"/>
      <c r="FO33" s="133"/>
      <c r="FP33" s="133"/>
      <c r="FQ33" s="133"/>
      <c r="FR33" s="133"/>
      <c r="FS33" s="133"/>
      <c r="FT33" s="133"/>
      <c r="FU33" s="133"/>
      <c r="FV33" s="133"/>
      <c r="FW33" s="133"/>
      <c r="FX33" s="133"/>
      <c r="FY33" s="133"/>
      <c r="FZ33" s="133"/>
      <c r="GA33" s="133"/>
      <c r="GB33" s="133"/>
      <c r="GC33" s="133"/>
      <c r="GD33" s="133"/>
      <c r="GE33" s="133"/>
      <c r="GF33" s="133"/>
      <c r="GG33" s="133"/>
      <c r="GH33" s="133"/>
      <c r="GI33" s="133"/>
      <c r="GJ33" s="133"/>
      <c r="GK33" s="133"/>
      <c r="GL33" s="133"/>
      <c r="GM33" s="133"/>
      <c r="GN33" s="133"/>
      <c r="GO33" s="133"/>
      <c r="GP33" s="133"/>
      <c r="GQ33" s="133"/>
      <c r="GR33" s="133"/>
      <c r="GS33" s="133"/>
      <c r="GT33" s="133"/>
      <c r="GU33" s="133"/>
      <c r="GV33" s="133"/>
      <c r="GW33" s="133"/>
      <c r="GX33" s="133"/>
      <c r="GY33" s="133"/>
      <c r="GZ33" s="133"/>
      <c r="HA33" s="133"/>
      <c r="HB33" s="133"/>
      <c r="HC33" s="133"/>
      <c r="HD33" s="133"/>
      <c r="HE33" s="133"/>
      <c r="HF33" s="133"/>
      <c r="HG33" s="133"/>
      <c r="HH33" s="133"/>
      <c r="HI33" s="133"/>
      <c r="HJ33" s="133"/>
      <c r="HK33" s="133"/>
      <c r="HL33" s="133"/>
      <c r="HM33" s="133"/>
    </row>
    <row r="34" spans="1:221" ht="15" x14ac:dyDescent="0.25">
      <c r="A34" s="133"/>
      <c r="B34" s="127" t="s">
        <v>107</v>
      </c>
      <c r="C34" s="133">
        <v>3.2300343335055844E-3</v>
      </c>
      <c r="D34" s="133">
        <v>2.9652313611792458E-3</v>
      </c>
      <c r="E34" s="133">
        <v>2.871724485716117E-3</v>
      </c>
      <c r="F34" s="133">
        <v>3.0976500031276513E-3</v>
      </c>
      <c r="G34" s="133">
        <v>3.1630666152674325E-3</v>
      </c>
      <c r="H34" s="133">
        <v>3.4123740636737925E-3</v>
      </c>
      <c r="I34" s="133">
        <v>3.2549250503723609E-3</v>
      </c>
      <c r="J34" s="133">
        <v>3.335715711694897E-3</v>
      </c>
      <c r="K34" s="133">
        <v>3.5462431921710535E-3</v>
      </c>
      <c r="L34" s="133">
        <v>3.4534523637674819E-3</v>
      </c>
      <c r="M34" s="133">
        <v>3.2982499909544531E-3</v>
      </c>
      <c r="N34" s="133">
        <v>3.2590494994513969E-3</v>
      </c>
      <c r="O34" s="133">
        <v>3.1723186000907318E-3</v>
      </c>
      <c r="P34" s="133">
        <v>3.06931568649111E-3</v>
      </c>
      <c r="Q34" s="133">
        <v>3.1597912505889852E-3</v>
      </c>
      <c r="R34" s="133">
        <v>3.4858996464920038E-3</v>
      </c>
      <c r="S34" s="133">
        <v>3.1569971848019606E-3</v>
      </c>
      <c r="T34" s="133">
        <v>3.0847308785419856E-3</v>
      </c>
      <c r="U34" s="133">
        <v>3.1118270816838829E-3</v>
      </c>
      <c r="V34" s="133">
        <v>3.0689582681318402E-3</v>
      </c>
      <c r="W34" s="133">
        <v>3.0365437825238145E-3</v>
      </c>
      <c r="X34" s="133">
        <v>2.9182611476562879E-3</v>
      </c>
      <c r="Y34" s="133">
        <v>3.0270636320585591E-3</v>
      </c>
      <c r="Z34" s="133">
        <v>3.2107768483778695E-3</v>
      </c>
      <c r="AA34" s="133">
        <v>3.4461707802353027E-3</v>
      </c>
      <c r="AB34" s="133">
        <v>3.5900448117732252E-3</v>
      </c>
      <c r="AC34" s="133">
        <v>3.653609213307151E-3</v>
      </c>
      <c r="AD34" s="133">
        <v>3.4539893511478215E-3</v>
      </c>
      <c r="AE34" s="133">
        <v>3.098239882889325E-3</v>
      </c>
      <c r="AF34" s="133">
        <v>3.2153792772293775E-3</v>
      </c>
      <c r="AG34" s="133">
        <v>2.847575537836568E-3</v>
      </c>
      <c r="AH34" s="133">
        <v>2.8027129352397443E-3</v>
      </c>
      <c r="AI34" s="133">
        <v>2.8817292359015968E-3</v>
      </c>
      <c r="AJ34" s="133">
        <v>3.415980554244523E-3</v>
      </c>
      <c r="AK34" s="133">
        <v>2.6843759906418534E-3</v>
      </c>
      <c r="AL34" s="133">
        <v>2.6709732632128735E-3</v>
      </c>
      <c r="AM34" s="133">
        <v>2.6436282330728855E-3</v>
      </c>
      <c r="AN34" s="133">
        <v>2.6209004417392535E-3</v>
      </c>
      <c r="AO34" s="133">
        <v>2.6382903285917247E-3</v>
      </c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33"/>
      <c r="EC34" s="133"/>
      <c r="ED34" s="133"/>
      <c r="EE34" s="133"/>
      <c r="EF34" s="133"/>
      <c r="EG34" s="133"/>
      <c r="EH34" s="133"/>
      <c r="EI34" s="133"/>
      <c r="EJ34" s="133"/>
      <c r="EK34" s="133"/>
      <c r="EL34" s="133"/>
      <c r="EM34" s="133"/>
      <c r="EN34" s="133"/>
      <c r="EO34" s="133"/>
      <c r="EP34" s="133"/>
      <c r="EQ34" s="133"/>
      <c r="ER34" s="133"/>
      <c r="ES34" s="133"/>
      <c r="ET34" s="133"/>
      <c r="EU34" s="133"/>
      <c r="EV34" s="133"/>
      <c r="EW34" s="133"/>
      <c r="EX34" s="133"/>
      <c r="EY34" s="133"/>
      <c r="EZ34" s="133"/>
      <c r="FA34" s="133"/>
      <c r="FB34" s="133"/>
      <c r="FC34" s="133"/>
      <c r="FD34" s="133"/>
      <c r="FE34" s="133"/>
      <c r="FF34" s="133"/>
      <c r="FG34" s="133"/>
      <c r="FH34" s="133"/>
      <c r="FI34" s="133"/>
      <c r="FJ34" s="133"/>
      <c r="FK34" s="133"/>
      <c r="FL34" s="133"/>
      <c r="FM34" s="133"/>
      <c r="FN34" s="133"/>
      <c r="FO34" s="133"/>
      <c r="FP34" s="133"/>
      <c r="FQ34" s="133"/>
      <c r="FR34" s="133"/>
      <c r="FS34" s="133"/>
      <c r="FT34" s="133"/>
      <c r="FU34" s="133"/>
      <c r="FV34" s="133"/>
      <c r="FW34" s="133"/>
      <c r="FX34" s="133"/>
      <c r="FY34" s="133"/>
      <c r="FZ34" s="133"/>
      <c r="GA34" s="133"/>
      <c r="GB34" s="133"/>
      <c r="GC34" s="133"/>
      <c r="GD34" s="133"/>
      <c r="GE34" s="133"/>
      <c r="GF34" s="133"/>
      <c r="GG34" s="133"/>
      <c r="GH34" s="133"/>
      <c r="GI34" s="133"/>
      <c r="GJ34" s="133"/>
      <c r="GK34" s="133"/>
      <c r="GL34" s="133"/>
      <c r="GM34" s="133"/>
      <c r="GN34" s="133"/>
      <c r="GO34" s="133"/>
      <c r="GP34" s="133"/>
      <c r="GQ34" s="133"/>
      <c r="GR34" s="133"/>
      <c r="GS34" s="133"/>
      <c r="GT34" s="133"/>
      <c r="GU34" s="133"/>
      <c r="GV34" s="133"/>
      <c r="GW34" s="133"/>
      <c r="GX34" s="133"/>
      <c r="GY34" s="133"/>
      <c r="GZ34" s="133"/>
      <c r="HA34" s="133"/>
      <c r="HB34" s="133"/>
      <c r="HC34" s="133"/>
      <c r="HD34" s="133"/>
      <c r="HE34" s="133"/>
      <c r="HF34" s="133"/>
      <c r="HG34" s="133"/>
      <c r="HH34" s="133"/>
      <c r="HI34" s="133"/>
      <c r="HJ34" s="133"/>
      <c r="HK34" s="133"/>
      <c r="HL34" s="133"/>
      <c r="HM34" s="133"/>
    </row>
    <row r="35" spans="1:221" ht="15" x14ac:dyDescent="0.25">
      <c r="A35" s="133"/>
      <c r="B35" s="127" t="s">
        <v>108</v>
      </c>
      <c r="C35" s="133">
        <v>5.5241940735895043E-2</v>
      </c>
      <c r="D35" s="133">
        <v>5.6404206841578007E-2</v>
      </c>
      <c r="E35" s="133">
        <v>5.4213544968449136E-2</v>
      </c>
      <c r="F35" s="133">
        <v>5.4355252190962461E-2</v>
      </c>
      <c r="G35" s="133">
        <v>5.3276054608806238E-2</v>
      </c>
      <c r="H35" s="133">
        <v>5.3550192678691336E-2</v>
      </c>
      <c r="I35" s="133">
        <v>5.4233304295157263E-2</v>
      </c>
      <c r="J35" s="133">
        <v>5.5139964635132384E-2</v>
      </c>
      <c r="K35" s="133">
        <v>5.7642666978050275E-2</v>
      </c>
      <c r="L35" s="133">
        <v>5.6320453714306926E-2</v>
      </c>
      <c r="M35" s="133">
        <v>5.4997863900824374E-2</v>
      </c>
      <c r="N35" s="133">
        <v>5.7403275527102345E-2</v>
      </c>
      <c r="O35" s="133">
        <v>5.3459289448596986E-2</v>
      </c>
      <c r="P35" s="133">
        <v>5.3681141285464667E-2</v>
      </c>
      <c r="Q35" s="133">
        <v>5.660148193361518E-2</v>
      </c>
      <c r="R35" s="133">
        <v>5.6869809293514748E-2</v>
      </c>
      <c r="S35" s="133">
        <v>4.3134635502368929E-2</v>
      </c>
      <c r="T35" s="133">
        <v>5.2252360495882728E-2</v>
      </c>
      <c r="U35" s="133">
        <v>5.6778315056164264E-2</v>
      </c>
      <c r="V35" s="133">
        <v>5.888507558798374E-2</v>
      </c>
      <c r="W35" s="133">
        <v>6.4176771362165361E-2</v>
      </c>
      <c r="X35" s="133">
        <v>5.796174224864286E-2</v>
      </c>
      <c r="Y35" s="133">
        <v>5.4687461836577883E-2</v>
      </c>
      <c r="Z35" s="133">
        <v>5.3693159702146241E-2</v>
      </c>
      <c r="AA35" s="133">
        <v>5.3945123693131931E-2</v>
      </c>
      <c r="AB35" s="133">
        <v>4.9618051904853494E-2</v>
      </c>
      <c r="AC35" s="133">
        <v>5.347693106453829E-2</v>
      </c>
      <c r="AD35" s="133">
        <v>5.3989621568833294E-2</v>
      </c>
      <c r="AE35" s="133">
        <v>5.1497713378914331E-2</v>
      </c>
      <c r="AF35" s="133">
        <v>5.1956386431884785E-2</v>
      </c>
      <c r="AG35" s="133">
        <v>4.9987921537421522E-2</v>
      </c>
      <c r="AH35" s="133">
        <v>4.8456618198501805E-2</v>
      </c>
      <c r="AI35" s="133">
        <v>5.0632071984474801E-2</v>
      </c>
      <c r="AJ35" s="133">
        <v>5.5625281151959104E-2</v>
      </c>
      <c r="AK35" s="133">
        <v>5.6004304789129052E-2</v>
      </c>
      <c r="AL35" s="133">
        <v>5.7694164686233937E-2</v>
      </c>
      <c r="AM35" s="133">
        <v>5.6939316583915559E-2</v>
      </c>
      <c r="AN35" s="133">
        <v>5.6657693259284971E-2</v>
      </c>
      <c r="AO35" s="133">
        <v>5.9630859757258577E-2</v>
      </c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33"/>
      <c r="EC35" s="133"/>
      <c r="ED35" s="133"/>
      <c r="EE35" s="133"/>
      <c r="EF35" s="133"/>
      <c r="EG35" s="133"/>
      <c r="EH35" s="133"/>
      <c r="EI35" s="133"/>
      <c r="EJ35" s="133"/>
      <c r="EK35" s="133"/>
      <c r="EL35" s="133"/>
      <c r="EM35" s="133"/>
      <c r="EN35" s="133"/>
      <c r="EO35" s="133"/>
      <c r="EP35" s="133"/>
      <c r="EQ35" s="133"/>
      <c r="ER35" s="133"/>
      <c r="ES35" s="133"/>
      <c r="ET35" s="133"/>
      <c r="EU35" s="133"/>
      <c r="EV35" s="133"/>
      <c r="EW35" s="133"/>
      <c r="EX35" s="133"/>
      <c r="EY35" s="133"/>
      <c r="EZ35" s="133"/>
      <c r="FA35" s="133"/>
      <c r="FB35" s="133"/>
      <c r="FC35" s="133"/>
      <c r="FD35" s="133"/>
      <c r="FE35" s="133"/>
      <c r="FF35" s="133"/>
      <c r="FG35" s="133"/>
      <c r="FH35" s="133"/>
      <c r="FI35" s="133"/>
      <c r="FJ35" s="133"/>
      <c r="FK35" s="133"/>
      <c r="FL35" s="133"/>
      <c r="FM35" s="133"/>
      <c r="FN35" s="133"/>
      <c r="FO35" s="133"/>
      <c r="FP35" s="133"/>
      <c r="FQ35" s="133"/>
      <c r="FR35" s="133"/>
      <c r="FS35" s="133"/>
      <c r="FT35" s="133"/>
      <c r="FU35" s="133"/>
      <c r="FV35" s="133"/>
      <c r="FW35" s="133"/>
      <c r="FX35" s="133"/>
      <c r="FY35" s="133"/>
      <c r="FZ35" s="133"/>
      <c r="GA35" s="133"/>
      <c r="GB35" s="133"/>
      <c r="GC35" s="133"/>
      <c r="GD35" s="133"/>
      <c r="GE35" s="133"/>
      <c r="GF35" s="133"/>
      <c r="GG35" s="133"/>
      <c r="GH35" s="133"/>
      <c r="GI35" s="133"/>
      <c r="GJ35" s="133"/>
      <c r="GK35" s="133"/>
      <c r="GL35" s="133"/>
      <c r="GM35" s="133"/>
      <c r="GN35" s="133"/>
      <c r="GO35" s="133"/>
      <c r="GP35" s="133"/>
      <c r="GQ35" s="133"/>
      <c r="GR35" s="133"/>
      <c r="GS35" s="133"/>
      <c r="GT35" s="133"/>
      <c r="GU35" s="133"/>
      <c r="GV35" s="133"/>
      <c r="GW35" s="133"/>
      <c r="GX35" s="133"/>
      <c r="GY35" s="133"/>
      <c r="GZ35" s="133"/>
      <c r="HA35" s="133"/>
      <c r="HB35" s="133"/>
      <c r="HC35" s="133"/>
      <c r="HD35" s="133"/>
      <c r="HE35" s="133"/>
      <c r="HF35" s="133"/>
      <c r="HG35" s="133"/>
      <c r="HH35" s="133"/>
      <c r="HI35" s="133"/>
      <c r="HJ35" s="133"/>
      <c r="HK35" s="133"/>
      <c r="HL35" s="133"/>
      <c r="HM35" s="133"/>
    </row>
    <row r="36" spans="1:221" ht="15" x14ac:dyDescent="0.25">
      <c r="A36" s="133"/>
      <c r="B36" s="127" t="s">
        <v>109</v>
      </c>
      <c r="C36" s="133">
        <v>9.0777830204903986E-2</v>
      </c>
      <c r="D36" s="133">
        <v>8.8670889631061844E-2</v>
      </c>
      <c r="E36" s="133">
        <v>8.4478015255318728E-2</v>
      </c>
      <c r="F36" s="133">
        <v>8.1639532052138836E-2</v>
      </c>
      <c r="G36" s="133">
        <v>8.161044025434866E-2</v>
      </c>
      <c r="H36" s="133">
        <v>8.460809772823101E-2</v>
      </c>
      <c r="I36" s="133">
        <v>8.2745687281085889E-2</v>
      </c>
      <c r="J36" s="133">
        <v>8.4611213120358991E-2</v>
      </c>
      <c r="K36" s="133">
        <v>9.020286258472536E-2</v>
      </c>
      <c r="L36" s="133">
        <v>9.2074621103965498E-2</v>
      </c>
      <c r="M36" s="133">
        <v>8.9325144730764652E-2</v>
      </c>
      <c r="N36" s="133">
        <v>9.0564353763455729E-2</v>
      </c>
      <c r="O36" s="133">
        <v>8.4242435967280219E-2</v>
      </c>
      <c r="P36" s="133">
        <v>8.2536326731203619E-2</v>
      </c>
      <c r="Q36" s="133">
        <v>9.0948579285578784E-2</v>
      </c>
      <c r="R36" s="133">
        <v>9.083696908000613E-2</v>
      </c>
      <c r="S36" s="133">
        <v>7.100735356026823E-2</v>
      </c>
      <c r="T36" s="133">
        <v>8.7303235431275633E-2</v>
      </c>
      <c r="U36" s="133">
        <v>9.4013547373292192E-2</v>
      </c>
      <c r="V36" s="133">
        <v>9.08945745769172E-2</v>
      </c>
      <c r="W36" s="133">
        <v>9.0673532099667761E-2</v>
      </c>
      <c r="X36" s="133">
        <v>8.2475715674474856E-2</v>
      </c>
      <c r="Y36" s="133">
        <v>7.7864599954645439E-2</v>
      </c>
      <c r="Z36" s="133">
        <v>7.6361921596850943E-2</v>
      </c>
      <c r="AA36" s="133">
        <v>7.9239172158589166E-2</v>
      </c>
      <c r="AB36" s="133">
        <v>7.5410242122887952E-2</v>
      </c>
      <c r="AC36" s="133">
        <v>8.0664455924684339E-2</v>
      </c>
      <c r="AD36" s="133">
        <v>8.4701047242597957E-2</v>
      </c>
      <c r="AE36" s="133">
        <v>8.3525689079251952E-2</v>
      </c>
      <c r="AF36" s="133">
        <v>8.4449751518205468E-2</v>
      </c>
      <c r="AG36" s="133">
        <v>8.1022473797516134E-2</v>
      </c>
      <c r="AH36" s="133">
        <v>7.6891555146764823E-2</v>
      </c>
      <c r="AI36" s="133">
        <v>7.7888137833377002E-2</v>
      </c>
      <c r="AJ36" s="133">
        <v>8.1333882976203753E-2</v>
      </c>
      <c r="AK36" s="133">
        <v>8.2871010642809773E-2</v>
      </c>
      <c r="AL36" s="133">
        <v>8.8487910110261817E-2</v>
      </c>
      <c r="AM36" s="133">
        <v>8.1092971791233023E-2</v>
      </c>
      <c r="AN36" s="133">
        <v>8.4282355557136562E-2</v>
      </c>
      <c r="AO36" s="133">
        <v>8.7763990335212205E-2</v>
      </c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33"/>
      <c r="EC36" s="133"/>
      <c r="ED36" s="133"/>
      <c r="EE36" s="133"/>
      <c r="EF36" s="133"/>
      <c r="EG36" s="133"/>
      <c r="EH36" s="133"/>
      <c r="EI36" s="133"/>
      <c r="EJ36" s="133"/>
      <c r="EK36" s="133"/>
      <c r="EL36" s="133"/>
      <c r="EM36" s="133"/>
      <c r="EN36" s="133"/>
      <c r="EO36" s="133"/>
      <c r="EP36" s="133"/>
      <c r="EQ36" s="133"/>
      <c r="ER36" s="133"/>
      <c r="ES36" s="133"/>
      <c r="ET36" s="133"/>
      <c r="EU36" s="133"/>
      <c r="EV36" s="133"/>
      <c r="EW36" s="133"/>
      <c r="EX36" s="133"/>
      <c r="EY36" s="133"/>
      <c r="EZ36" s="133"/>
      <c r="FA36" s="133"/>
      <c r="FB36" s="133"/>
      <c r="FC36" s="133"/>
      <c r="FD36" s="133"/>
      <c r="FE36" s="133"/>
      <c r="FF36" s="133"/>
      <c r="FG36" s="133"/>
      <c r="FH36" s="133"/>
      <c r="FI36" s="133"/>
      <c r="FJ36" s="133"/>
      <c r="FK36" s="133"/>
      <c r="FL36" s="133"/>
      <c r="FM36" s="133"/>
      <c r="FN36" s="133"/>
      <c r="FO36" s="133"/>
      <c r="FP36" s="133"/>
      <c r="FQ36" s="133"/>
      <c r="FR36" s="133"/>
      <c r="FS36" s="133"/>
      <c r="FT36" s="133"/>
      <c r="FU36" s="133"/>
      <c r="FV36" s="133"/>
      <c r="FW36" s="133"/>
      <c r="FX36" s="133"/>
      <c r="FY36" s="133"/>
      <c r="FZ36" s="133"/>
      <c r="GA36" s="133"/>
      <c r="GB36" s="133"/>
      <c r="GC36" s="133"/>
      <c r="GD36" s="133"/>
      <c r="GE36" s="133"/>
      <c r="GF36" s="133"/>
      <c r="GG36" s="133"/>
      <c r="GH36" s="133"/>
      <c r="GI36" s="133"/>
      <c r="GJ36" s="133"/>
      <c r="GK36" s="133"/>
      <c r="GL36" s="133"/>
      <c r="GM36" s="133"/>
      <c r="GN36" s="133"/>
      <c r="GO36" s="133"/>
      <c r="GP36" s="133"/>
      <c r="GQ36" s="133"/>
      <c r="GR36" s="133"/>
      <c r="GS36" s="133"/>
      <c r="GT36" s="133"/>
      <c r="GU36" s="133"/>
      <c r="GV36" s="133"/>
      <c r="GW36" s="133"/>
      <c r="GX36" s="133"/>
      <c r="GY36" s="133"/>
      <c r="GZ36" s="133"/>
      <c r="HA36" s="133"/>
      <c r="HB36" s="133"/>
      <c r="HC36" s="133"/>
      <c r="HD36" s="133"/>
      <c r="HE36" s="133"/>
      <c r="HF36" s="133"/>
      <c r="HG36" s="133"/>
      <c r="HH36" s="133"/>
      <c r="HI36" s="133"/>
      <c r="HJ36" s="133"/>
      <c r="HK36" s="133"/>
      <c r="HL36" s="133"/>
      <c r="HM36" s="133"/>
    </row>
    <row r="37" spans="1:221" ht="15" x14ac:dyDescent="0.25">
      <c r="A37" s="133"/>
      <c r="B37" s="127" t="s">
        <v>110</v>
      </c>
      <c r="C37" s="133">
        <v>1.7978235673059208E-2</v>
      </c>
      <c r="D37" s="133">
        <v>2.0316809537055332E-2</v>
      </c>
      <c r="E37" s="133">
        <v>1.6826317655510799E-2</v>
      </c>
      <c r="F37" s="133">
        <v>1.4525217171569614E-2</v>
      </c>
      <c r="G37" s="133">
        <v>2.0402569018420198E-2</v>
      </c>
      <c r="H37" s="133">
        <v>2.1464857613840184E-2</v>
      </c>
      <c r="I37" s="133">
        <v>1.9191247311358926E-2</v>
      </c>
      <c r="J37" s="133">
        <v>1.9140646250703504E-2</v>
      </c>
      <c r="K37" s="133">
        <v>1.9843336353697779E-2</v>
      </c>
      <c r="L37" s="133">
        <v>2.075637851452845E-2</v>
      </c>
      <c r="M37" s="133">
        <v>1.9577172875046164E-2</v>
      </c>
      <c r="N37" s="133">
        <v>2.0923591149562652E-2</v>
      </c>
      <c r="O37" s="133">
        <v>1.9934442626099346E-2</v>
      </c>
      <c r="P37" s="133">
        <v>1.7796768704287324E-2</v>
      </c>
      <c r="Q37" s="133">
        <v>1.8413862564549882E-2</v>
      </c>
      <c r="R37" s="133">
        <v>8.3900178928853434E-3</v>
      </c>
      <c r="S37" s="133">
        <v>1.8677003025128321E-2</v>
      </c>
      <c r="T37" s="133">
        <v>1.8079555019300267E-2</v>
      </c>
      <c r="U37" s="133">
        <v>2.218174429751902E-2</v>
      </c>
      <c r="V37" s="133">
        <v>1.8980021475104011E-2</v>
      </c>
      <c r="W37" s="133">
        <v>1.8948328712984883E-2</v>
      </c>
      <c r="X37" s="133">
        <v>2.0621625640515642E-2</v>
      </c>
      <c r="Y37" s="133">
        <v>1.6662050785764819E-2</v>
      </c>
      <c r="Z37" s="133">
        <v>1.7357089021916482E-2</v>
      </c>
      <c r="AA37" s="133">
        <v>1.5699010671122619E-2</v>
      </c>
      <c r="AB37" s="133">
        <v>1.4405601443673071E-2</v>
      </c>
      <c r="AC37" s="133">
        <v>1.569835763952248E-2</v>
      </c>
      <c r="AD37" s="133">
        <v>1.4673424956371153E-2</v>
      </c>
      <c r="AE37" s="133">
        <v>1.3547724031400254E-2</v>
      </c>
      <c r="AF37" s="133">
        <v>1.4374648234378803E-2</v>
      </c>
      <c r="AG37" s="133">
        <v>1.5925443131760673E-2</v>
      </c>
      <c r="AH37" s="133">
        <v>1.4641477085728851E-2</v>
      </c>
      <c r="AI37" s="133">
        <v>1.4577512610063112E-2</v>
      </c>
      <c r="AJ37" s="133">
        <v>2.213048330741503E-2</v>
      </c>
      <c r="AK37" s="133">
        <v>1.6438970758512136E-2</v>
      </c>
      <c r="AL37" s="133">
        <v>1.8891671407766247E-2</v>
      </c>
      <c r="AM37" s="133">
        <v>2.2562120496567962E-2</v>
      </c>
      <c r="AN37" s="133">
        <v>2.0686657189536203E-2</v>
      </c>
      <c r="AO37" s="133">
        <v>1.8951630658294305E-2</v>
      </c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33"/>
      <c r="EC37" s="133"/>
      <c r="ED37" s="133"/>
      <c r="EE37" s="133"/>
      <c r="EF37" s="133"/>
      <c r="EG37" s="133"/>
      <c r="EH37" s="133"/>
      <c r="EI37" s="133"/>
      <c r="EJ37" s="133"/>
      <c r="EK37" s="133"/>
      <c r="EL37" s="133"/>
      <c r="EM37" s="133"/>
      <c r="EN37" s="133"/>
      <c r="EO37" s="133"/>
      <c r="EP37" s="133"/>
      <c r="EQ37" s="133"/>
      <c r="ER37" s="133"/>
      <c r="ES37" s="133"/>
      <c r="ET37" s="133"/>
      <c r="EU37" s="133"/>
      <c r="EV37" s="133"/>
      <c r="EW37" s="133"/>
      <c r="EX37" s="133"/>
      <c r="EY37" s="133"/>
      <c r="EZ37" s="133"/>
      <c r="FA37" s="133"/>
      <c r="FB37" s="133"/>
      <c r="FC37" s="133"/>
      <c r="FD37" s="133"/>
      <c r="FE37" s="133"/>
      <c r="FF37" s="133"/>
      <c r="FG37" s="133"/>
      <c r="FH37" s="133"/>
      <c r="FI37" s="133"/>
      <c r="FJ37" s="133"/>
      <c r="FK37" s="133"/>
      <c r="FL37" s="133"/>
      <c r="FM37" s="133"/>
      <c r="FN37" s="133"/>
      <c r="FO37" s="133"/>
      <c r="FP37" s="133"/>
      <c r="FQ37" s="133"/>
      <c r="FR37" s="133"/>
      <c r="FS37" s="133"/>
      <c r="FT37" s="133"/>
      <c r="FU37" s="133"/>
      <c r="FV37" s="133"/>
      <c r="FW37" s="133"/>
      <c r="FX37" s="133"/>
      <c r="FY37" s="133"/>
      <c r="FZ37" s="133"/>
      <c r="GA37" s="133"/>
      <c r="GB37" s="133"/>
      <c r="GC37" s="133"/>
      <c r="GD37" s="133"/>
      <c r="GE37" s="133"/>
      <c r="GF37" s="133"/>
      <c r="GG37" s="133"/>
      <c r="GH37" s="133"/>
      <c r="GI37" s="133"/>
      <c r="GJ37" s="133"/>
      <c r="GK37" s="133"/>
      <c r="GL37" s="133"/>
      <c r="GM37" s="133"/>
      <c r="GN37" s="133"/>
      <c r="GO37" s="133"/>
      <c r="GP37" s="133"/>
      <c r="GQ37" s="133"/>
      <c r="GR37" s="133"/>
      <c r="GS37" s="133"/>
      <c r="GT37" s="133"/>
      <c r="GU37" s="133"/>
      <c r="GV37" s="133"/>
      <c r="GW37" s="133"/>
      <c r="GX37" s="133"/>
      <c r="GY37" s="133"/>
      <c r="GZ37" s="133"/>
      <c r="HA37" s="133"/>
      <c r="HB37" s="133"/>
      <c r="HC37" s="133"/>
      <c r="HD37" s="133"/>
      <c r="HE37" s="133"/>
      <c r="HF37" s="133"/>
      <c r="HG37" s="133"/>
      <c r="HH37" s="133"/>
      <c r="HI37" s="133"/>
      <c r="HJ37" s="133"/>
      <c r="HK37" s="133"/>
      <c r="HL37" s="133"/>
      <c r="HM37" s="133"/>
    </row>
    <row r="38" spans="1:221" ht="15" x14ac:dyDescent="0.25">
      <c r="A38" s="133"/>
      <c r="B38" s="127" t="s">
        <v>111</v>
      </c>
      <c r="C38" s="133">
        <v>1.7098639702279378E-3</v>
      </c>
      <c r="D38" s="133">
        <v>7.0257973070211137E-3</v>
      </c>
      <c r="E38" s="133">
        <v>1.184645273033094E-2</v>
      </c>
      <c r="F38" s="133">
        <v>6.2377636286460453E-3</v>
      </c>
      <c r="G38" s="133">
        <v>5.4660121253765374E-3</v>
      </c>
      <c r="H38" s="133">
        <v>6.7624666430245129E-3</v>
      </c>
      <c r="I38" s="133">
        <v>4.2749942351090935E-3</v>
      </c>
      <c r="J38" s="133">
        <v>3.402029709775533E-3</v>
      </c>
      <c r="K38" s="133">
        <v>4.2520079802434432E-3</v>
      </c>
      <c r="L38" s="133">
        <v>4.645442854071806E-3</v>
      </c>
      <c r="M38" s="133">
        <v>5.0369218111846236E-3</v>
      </c>
      <c r="N38" s="133">
        <v>4.7367546768634153E-3</v>
      </c>
      <c r="O38" s="133">
        <v>4.1900532235933027E-3</v>
      </c>
      <c r="P38" s="133">
        <v>3.6179184066643124E-3</v>
      </c>
      <c r="Q38" s="133">
        <v>3.5131923209369719E-3</v>
      </c>
      <c r="R38" s="133">
        <v>4.0914662952387512E-3</v>
      </c>
      <c r="S38" s="133">
        <v>3.4419201225350652E-3</v>
      </c>
      <c r="T38" s="133">
        <v>3.7305120208294689E-3</v>
      </c>
      <c r="U38" s="133">
        <v>2.9835016640900689E-3</v>
      </c>
      <c r="V38" s="133">
        <v>3.6793231513429403E-3</v>
      </c>
      <c r="W38" s="133">
        <v>2.9566375109075531E-3</v>
      </c>
      <c r="X38" s="133">
        <v>3.3991746857872209E-3</v>
      </c>
      <c r="Y38" s="133">
        <v>2.8843596681286596E-3</v>
      </c>
      <c r="Z38" s="133">
        <v>4.4313397810856652E-3</v>
      </c>
      <c r="AA38" s="133">
        <v>3.7730026739057152E-3</v>
      </c>
      <c r="AB38" s="133">
        <v>2.9343585492324223E-3</v>
      </c>
      <c r="AC38" s="133">
        <v>3.6233792639654497E-3</v>
      </c>
      <c r="AD38" s="133">
        <v>2.7962611763058753E-3</v>
      </c>
      <c r="AE38" s="133">
        <v>2.7526707529267856E-3</v>
      </c>
      <c r="AF38" s="133">
        <v>1.6854016631275492E-3</v>
      </c>
      <c r="AG38" s="133">
        <v>3.1985936023505852E-3</v>
      </c>
      <c r="AH38" s="133">
        <v>2.8449961410290953E-3</v>
      </c>
      <c r="AI38" s="133">
        <v>2.0002144126355097E-3</v>
      </c>
      <c r="AJ38" s="133">
        <v>2.8837633757904176E-3</v>
      </c>
      <c r="AK38" s="133">
        <v>2.4807308043384799E-3</v>
      </c>
      <c r="AL38" s="133">
        <v>2.014128165574872E-3</v>
      </c>
      <c r="AM38" s="133">
        <v>3.0883512196434202E-3</v>
      </c>
      <c r="AN38" s="133">
        <v>5.1014922491039337E-3</v>
      </c>
      <c r="AO38" s="133">
        <v>2.6140273822818859E-3</v>
      </c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33"/>
      <c r="EC38" s="133"/>
      <c r="ED38" s="133"/>
      <c r="EE38" s="133"/>
      <c r="EF38" s="133"/>
      <c r="EG38" s="133"/>
      <c r="EH38" s="133"/>
      <c r="EI38" s="133"/>
      <c r="EJ38" s="133"/>
      <c r="EK38" s="133"/>
      <c r="EL38" s="133"/>
      <c r="EM38" s="133"/>
      <c r="EN38" s="133"/>
      <c r="EO38" s="133"/>
      <c r="EP38" s="133"/>
      <c r="EQ38" s="133"/>
      <c r="ER38" s="133"/>
      <c r="ES38" s="133"/>
      <c r="ET38" s="133"/>
      <c r="EU38" s="133"/>
      <c r="EV38" s="133"/>
      <c r="EW38" s="133"/>
      <c r="EX38" s="133"/>
      <c r="EY38" s="133"/>
      <c r="EZ38" s="133"/>
      <c r="FA38" s="133"/>
      <c r="FB38" s="133"/>
      <c r="FC38" s="133"/>
      <c r="FD38" s="133"/>
      <c r="FE38" s="133"/>
      <c r="FF38" s="133"/>
      <c r="FG38" s="133"/>
      <c r="FH38" s="133"/>
      <c r="FI38" s="133"/>
      <c r="FJ38" s="133"/>
      <c r="FK38" s="133"/>
      <c r="FL38" s="133"/>
      <c r="FM38" s="133"/>
      <c r="FN38" s="133"/>
      <c r="FO38" s="133"/>
      <c r="FP38" s="133"/>
      <c r="FQ38" s="133"/>
      <c r="FR38" s="133"/>
      <c r="FS38" s="133"/>
      <c r="FT38" s="133"/>
      <c r="FU38" s="133"/>
      <c r="FV38" s="133"/>
      <c r="FW38" s="133"/>
      <c r="FX38" s="133"/>
      <c r="FY38" s="133"/>
      <c r="FZ38" s="133"/>
      <c r="GA38" s="133"/>
      <c r="GB38" s="133"/>
      <c r="GC38" s="133"/>
      <c r="GD38" s="133"/>
      <c r="GE38" s="133"/>
      <c r="GF38" s="133"/>
      <c r="GG38" s="133"/>
      <c r="GH38" s="133"/>
      <c r="GI38" s="133"/>
      <c r="GJ38" s="133"/>
      <c r="GK38" s="133"/>
      <c r="GL38" s="133"/>
      <c r="GM38" s="133"/>
      <c r="GN38" s="133"/>
      <c r="GO38" s="133"/>
      <c r="GP38" s="133"/>
      <c r="GQ38" s="133"/>
      <c r="GR38" s="133"/>
      <c r="GS38" s="133"/>
      <c r="GT38" s="133"/>
      <c r="GU38" s="133"/>
      <c r="GV38" s="133"/>
      <c r="GW38" s="133"/>
      <c r="GX38" s="133"/>
      <c r="GY38" s="133"/>
      <c r="GZ38" s="133"/>
      <c r="HA38" s="133"/>
      <c r="HB38" s="133"/>
      <c r="HC38" s="133"/>
      <c r="HD38" s="133"/>
      <c r="HE38" s="133"/>
      <c r="HF38" s="133"/>
      <c r="HG38" s="133"/>
      <c r="HH38" s="133"/>
      <c r="HI38" s="133"/>
      <c r="HJ38" s="133"/>
      <c r="HK38" s="133"/>
      <c r="HL38" s="133"/>
      <c r="HM38" s="133"/>
    </row>
    <row r="39" spans="1:221" ht="15" x14ac:dyDescent="0.25">
      <c r="A39" s="133"/>
      <c r="B39" s="127" t="s">
        <v>112</v>
      </c>
      <c r="C39" s="133">
        <v>5.1352842440109167E-2</v>
      </c>
      <c r="D39" s="133">
        <v>4.9613831992387517E-2</v>
      </c>
      <c r="E39" s="133">
        <v>4.6671428559030989E-2</v>
      </c>
      <c r="F39" s="133">
        <v>6.2456356137307441E-2</v>
      </c>
      <c r="G39" s="133">
        <v>5.1763531995426326E-2</v>
      </c>
      <c r="H39" s="133">
        <v>5.4764621128545958E-2</v>
      </c>
      <c r="I39" s="133">
        <v>5.6036333897780524E-2</v>
      </c>
      <c r="J39" s="133">
        <v>4.5079344800047806E-2</v>
      </c>
      <c r="K39" s="133">
        <v>5.8085172573393636E-2</v>
      </c>
      <c r="L39" s="133">
        <v>5.158324555024086E-2</v>
      </c>
      <c r="M39" s="133">
        <v>4.9131294573201957E-2</v>
      </c>
      <c r="N39" s="133">
        <v>5.8101237008152479E-2</v>
      </c>
      <c r="O39" s="133">
        <v>5.2241687016006053E-2</v>
      </c>
      <c r="P39" s="133">
        <v>4.6330418247663353E-2</v>
      </c>
      <c r="Q39" s="133">
        <v>5.9169079401095066E-2</v>
      </c>
      <c r="R39" s="133">
        <v>4.2646169065683449E-2</v>
      </c>
      <c r="S39" s="133">
        <v>4.6875569876974908E-2</v>
      </c>
      <c r="T39" s="133">
        <v>5.1957722178313029E-2</v>
      </c>
      <c r="U39" s="133">
        <v>4.9822494099738289E-2</v>
      </c>
      <c r="V39" s="133">
        <v>4.8451774501318101E-2</v>
      </c>
      <c r="W39" s="133">
        <v>4.8729955475757362E-2</v>
      </c>
      <c r="X39" s="133">
        <v>5.1956433190460144E-2</v>
      </c>
      <c r="Y39" s="133">
        <v>5.313141506550987E-2</v>
      </c>
      <c r="Z39" s="133">
        <v>4.9379811865082703E-2</v>
      </c>
      <c r="AA39" s="133">
        <v>4.59838155087825E-2</v>
      </c>
      <c r="AB39" s="133">
        <v>4.9165595802958803E-2</v>
      </c>
      <c r="AC39" s="133">
        <v>3.8579814102083644E-2</v>
      </c>
      <c r="AD39" s="133">
        <v>3.9686795492578475E-2</v>
      </c>
      <c r="AE39" s="133">
        <v>4.1387914280390896E-2</v>
      </c>
      <c r="AF39" s="133">
        <v>3.8565966676663073E-2</v>
      </c>
      <c r="AG39" s="133">
        <v>4.2203775290392237E-2</v>
      </c>
      <c r="AH39" s="133">
        <v>4.1195052602742609E-2</v>
      </c>
      <c r="AI39" s="133">
        <v>3.6073965132102127E-2</v>
      </c>
      <c r="AJ39" s="133">
        <v>3.2957977010994878E-2</v>
      </c>
      <c r="AK39" s="133">
        <v>3.4035572794962554E-2</v>
      </c>
      <c r="AL39" s="133">
        <v>3.5179527927485708E-2</v>
      </c>
      <c r="AM39" s="133">
        <v>3.8665026234721588E-2</v>
      </c>
      <c r="AN39" s="133">
        <v>3.7159947300460169E-2</v>
      </c>
      <c r="AO39" s="133">
        <v>3.7330119521075095E-2</v>
      </c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33"/>
      <c r="EC39" s="133"/>
      <c r="ED39" s="133"/>
      <c r="EE39" s="133"/>
      <c r="EF39" s="133"/>
      <c r="EG39" s="133"/>
      <c r="EH39" s="133"/>
      <c r="EI39" s="133"/>
      <c r="EJ39" s="133"/>
      <c r="EK39" s="133"/>
      <c r="EL39" s="133"/>
      <c r="EM39" s="133"/>
      <c r="EN39" s="133"/>
      <c r="EO39" s="133"/>
      <c r="EP39" s="133"/>
      <c r="EQ39" s="133"/>
      <c r="ER39" s="133"/>
      <c r="ES39" s="133"/>
      <c r="ET39" s="133"/>
      <c r="EU39" s="133"/>
      <c r="EV39" s="133"/>
      <c r="EW39" s="133"/>
      <c r="EX39" s="133"/>
      <c r="EY39" s="133"/>
      <c r="EZ39" s="133"/>
      <c r="FA39" s="133"/>
      <c r="FB39" s="133"/>
      <c r="FC39" s="133"/>
      <c r="FD39" s="133"/>
      <c r="FE39" s="133"/>
      <c r="FF39" s="133"/>
      <c r="FG39" s="133"/>
      <c r="FH39" s="133"/>
      <c r="FI39" s="133"/>
      <c r="FJ39" s="133"/>
      <c r="FK39" s="133"/>
      <c r="FL39" s="133"/>
      <c r="FM39" s="133"/>
      <c r="FN39" s="133"/>
      <c r="FO39" s="133"/>
      <c r="FP39" s="133"/>
      <c r="FQ39" s="133"/>
      <c r="FR39" s="133"/>
      <c r="FS39" s="133"/>
      <c r="FT39" s="133"/>
      <c r="FU39" s="133"/>
      <c r="FV39" s="133"/>
      <c r="FW39" s="133"/>
      <c r="FX39" s="133"/>
      <c r="FY39" s="133"/>
      <c r="FZ39" s="133"/>
      <c r="GA39" s="133"/>
      <c r="GB39" s="133"/>
      <c r="GC39" s="133"/>
      <c r="GD39" s="133"/>
      <c r="GE39" s="133"/>
      <c r="GF39" s="133"/>
      <c r="GG39" s="133"/>
      <c r="GH39" s="133"/>
      <c r="GI39" s="133"/>
      <c r="GJ39" s="133"/>
      <c r="GK39" s="133"/>
      <c r="GL39" s="133"/>
      <c r="GM39" s="133"/>
      <c r="GN39" s="133"/>
      <c r="GO39" s="133"/>
      <c r="GP39" s="133"/>
      <c r="GQ39" s="133"/>
      <c r="GR39" s="133"/>
      <c r="GS39" s="133"/>
      <c r="GT39" s="133"/>
      <c r="GU39" s="133"/>
      <c r="GV39" s="133"/>
      <c r="GW39" s="133"/>
      <c r="GX39" s="133"/>
      <c r="GY39" s="133"/>
      <c r="GZ39" s="133"/>
      <c r="HA39" s="133"/>
      <c r="HB39" s="133"/>
      <c r="HC39" s="133"/>
      <c r="HD39" s="133"/>
      <c r="HE39" s="133"/>
      <c r="HF39" s="133"/>
      <c r="HG39" s="133"/>
      <c r="HH39" s="133"/>
      <c r="HI39" s="133"/>
      <c r="HJ39" s="133"/>
      <c r="HK39" s="133"/>
      <c r="HL39" s="133"/>
      <c r="HM39" s="133"/>
    </row>
    <row r="40" spans="1:221" ht="15" x14ac:dyDescent="0.25">
      <c r="A40" s="133"/>
      <c r="B40" s="128" t="s">
        <v>113</v>
      </c>
      <c r="C40" s="133">
        <v>2.1413263734264429E-2</v>
      </c>
      <c r="D40" s="133">
        <v>2.1316323107416751E-2</v>
      </c>
      <c r="E40" s="133">
        <v>1.6149722384156164E-2</v>
      </c>
      <c r="F40" s="133">
        <v>1.6563441780625264E-2</v>
      </c>
      <c r="G40" s="133">
        <v>2.0564622683750266E-2</v>
      </c>
      <c r="H40" s="133">
        <v>2.0258381403020762E-2</v>
      </c>
      <c r="I40" s="133">
        <v>1.8636487948639178E-2</v>
      </c>
      <c r="J40" s="133">
        <v>1.9870232032196667E-2</v>
      </c>
      <c r="K40" s="133">
        <v>1.8791730851443061E-2</v>
      </c>
      <c r="L40" s="133">
        <v>1.7199568824038058E-2</v>
      </c>
      <c r="M40" s="133">
        <v>1.8877368666534729E-2</v>
      </c>
      <c r="N40" s="133">
        <v>1.9277272438011264E-2</v>
      </c>
      <c r="O40" s="133">
        <v>1.8661478198518225E-2</v>
      </c>
      <c r="P40" s="133">
        <v>1.9838364641487014E-2</v>
      </c>
      <c r="Q40" s="133">
        <v>1.8707043762653513E-2</v>
      </c>
      <c r="R40" s="133">
        <v>1.9795356733682573E-2</v>
      </c>
      <c r="S40" s="133">
        <v>2.0852372677326949E-2</v>
      </c>
      <c r="T40" s="133">
        <v>1.9243703507406642E-2</v>
      </c>
      <c r="U40" s="133">
        <v>1.9554206821250759E-2</v>
      </c>
      <c r="V40" s="133">
        <v>1.8652933105074033E-2</v>
      </c>
      <c r="W40" s="133">
        <v>1.8853987512906387E-2</v>
      </c>
      <c r="X40" s="133">
        <v>1.9484663362515597E-2</v>
      </c>
      <c r="Y40" s="133">
        <v>1.9685598333791677E-2</v>
      </c>
      <c r="Z40" s="133">
        <v>2.036650836448203E-2</v>
      </c>
      <c r="AA40" s="133">
        <v>1.9997731447074431E-2</v>
      </c>
      <c r="AB40" s="133">
        <v>2.1029353588251792E-2</v>
      </c>
      <c r="AC40" s="133">
        <v>2.245967494950378E-2</v>
      </c>
      <c r="AD40" s="133">
        <v>2.7582252942825115E-2</v>
      </c>
      <c r="AE40" s="133">
        <v>2.5240612878176926E-2</v>
      </c>
      <c r="AF40" s="133">
        <v>2.3229845223168677E-2</v>
      </c>
      <c r="AG40" s="133">
        <v>2.5344967717683329E-2</v>
      </c>
      <c r="AH40" s="133">
        <v>2.0743013475695335E-2</v>
      </c>
      <c r="AI40" s="133">
        <v>2.3412439369463862E-2</v>
      </c>
      <c r="AJ40" s="133">
        <v>2.4272484063070688E-2</v>
      </c>
      <c r="AK40" s="133">
        <v>2.2623428067939634E-2</v>
      </c>
      <c r="AL40" s="133">
        <v>2.1960356744600572E-2</v>
      </c>
      <c r="AM40" s="133">
        <v>2.2247379296997466E-2</v>
      </c>
      <c r="AN40" s="133">
        <v>2.2790474893487411E-2</v>
      </c>
      <c r="AO40" s="133">
        <v>2.2913388489578232E-2</v>
      </c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33"/>
      <c r="EC40" s="133"/>
      <c r="ED40" s="133"/>
      <c r="EE40" s="133"/>
      <c r="EF40" s="133"/>
      <c r="EG40" s="133"/>
      <c r="EH40" s="133"/>
      <c r="EI40" s="133"/>
      <c r="EJ40" s="133"/>
      <c r="EK40" s="133"/>
      <c r="EL40" s="133"/>
      <c r="EM40" s="133"/>
      <c r="EN40" s="133"/>
      <c r="EO40" s="133"/>
      <c r="EP40" s="133"/>
      <c r="EQ40" s="133"/>
      <c r="ER40" s="133"/>
      <c r="ES40" s="133"/>
      <c r="ET40" s="133"/>
      <c r="EU40" s="133"/>
      <c r="EV40" s="133"/>
      <c r="EW40" s="133"/>
      <c r="EX40" s="133"/>
      <c r="EY40" s="133"/>
      <c r="EZ40" s="133"/>
      <c r="FA40" s="133"/>
      <c r="FB40" s="133"/>
      <c r="FC40" s="133"/>
      <c r="FD40" s="133"/>
      <c r="FE40" s="133"/>
      <c r="FF40" s="133"/>
      <c r="FG40" s="133"/>
      <c r="FH40" s="133"/>
      <c r="FI40" s="133"/>
      <c r="FJ40" s="133"/>
      <c r="FK40" s="133"/>
      <c r="FL40" s="133"/>
      <c r="FM40" s="133"/>
      <c r="FN40" s="133"/>
      <c r="FO40" s="133"/>
      <c r="FP40" s="133"/>
      <c r="FQ40" s="133"/>
      <c r="FR40" s="133"/>
      <c r="FS40" s="133"/>
      <c r="FT40" s="133"/>
      <c r="FU40" s="133"/>
      <c r="FV40" s="133"/>
      <c r="FW40" s="133"/>
      <c r="FX40" s="133"/>
      <c r="FY40" s="133"/>
      <c r="FZ40" s="133"/>
      <c r="GA40" s="133"/>
      <c r="GB40" s="133"/>
      <c r="GC40" s="133"/>
      <c r="GD40" s="133"/>
      <c r="GE40" s="133"/>
      <c r="GF40" s="133"/>
      <c r="GG40" s="133"/>
      <c r="GH40" s="133"/>
      <c r="GI40" s="133"/>
      <c r="GJ40" s="133"/>
      <c r="GK40" s="133"/>
      <c r="GL40" s="133"/>
      <c r="GM40" s="133"/>
      <c r="GN40" s="133"/>
      <c r="GO40" s="133"/>
      <c r="GP40" s="133"/>
      <c r="GQ40" s="133"/>
      <c r="GR40" s="133"/>
      <c r="GS40" s="133"/>
      <c r="GT40" s="133"/>
      <c r="GU40" s="133"/>
      <c r="GV40" s="133"/>
      <c r="GW40" s="133"/>
      <c r="GX40" s="133"/>
      <c r="GY40" s="133"/>
      <c r="GZ40" s="133"/>
      <c r="HA40" s="133"/>
      <c r="HB40" s="133"/>
      <c r="HC40" s="133"/>
      <c r="HD40" s="133"/>
      <c r="HE40" s="133"/>
      <c r="HF40" s="133"/>
      <c r="HG40" s="133"/>
      <c r="HH40" s="133"/>
      <c r="HI40" s="133"/>
      <c r="HJ40" s="133"/>
      <c r="HK40" s="133"/>
      <c r="HL40" s="133"/>
      <c r="HM40" s="133"/>
    </row>
    <row r="41" spans="1:221" ht="15" x14ac:dyDescent="0.25">
      <c r="A41" s="133"/>
      <c r="B41" s="126" t="s">
        <v>114</v>
      </c>
      <c r="C41" s="133">
        <v>5.6461269794281762E-3</v>
      </c>
      <c r="D41" s="133">
        <v>5.6097698692393885E-3</v>
      </c>
      <c r="E41" s="133">
        <v>5.5348005991550661E-3</v>
      </c>
      <c r="F41" s="133">
        <v>5.6338374545356765E-3</v>
      </c>
      <c r="G41" s="133">
        <v>5.7630064110670903E-3</v>
      </c>
      <c r="H41" s="133">
        <v>5.9138806951630858E-3</v>
      </c>
      <c r="I41" s="133">
        <v>5.6740046633580793E-3</v>
      </c>
      <c r="J41" s="133">
        <v>5.7413842283622497E-3</v>
      </c>
      <c r="K41" s="133">
        <v>6.2993596792691852E-3</v>
      </c>
      <c r="L41" s="133">
        <v>6.2780427478419561E-3</v>
      </c>
      <c r="M41" s="133">
        <v>5.9233812181687705E-3</v>
      </c>
      <c r="N41" s="133">
        <v>6.4853800926025409E-3</v>
      </c>
      <c r="O41" s="133">
        <v>7.1231316328087928E-3</v>
      </c>
      <c r="P41" s="133">
        <v>7.16016458018672E-3</v>
      </c>
      <c r="Q41" s="133">
        <v>7.0969601202945402E-3</v>
      </c>
      <c r="R41" s="133">
        <v>6.4292326265915122E-3</v>
      </c>
      <c r="S41" s="133">
        <v>2.4953440005778002E-4</v>
      </c>
      <c r="T41" s="133">
        <v>2.2209915307759938E-3</v>
      </c>
      <c r="U41" s="133">
        <v>8.0247249876939097E-3</v>
      </c>
      <c r="V41" s="133">
        <v>1.8942986071589535E-2</v>
      </c>
      <c r="W41" s="133">
        <v>7.9130647528022832E-3</v>
      </c>
      <c r="X41" s="133">
        <v>7.6361995252726697E-3</v>
      </c>
      <c r="Y41" s="133">
        <v>7.3866978678847174E-3</v>
      </c>
      <c r="Z41" s="133">
        <v>7.2486352808281218E-3</v>
      </c>
      <c r="AA41" s="133">
        <v>1.520384733558036E-2</v>
      </c>
      <c r="AB41" s="133">
        <v>7.644635377140452E-3</v>
      </c>
      <c r="AC41" s="133">
        <v>7.6315128465020438E-3</v>
      </c>
      <c r="AD41" s="133">
        <v>-4.4387758702741037E-4</v>
      </c>
      <c r="AE41" s="133">
        <v>2.9365496590215861E-3</v>
      </c>
      <c r="AF41" s="133">
        <v>6.9686905982118165E-3</v>
      </c>
      <c r="AG41" s="133">
        <v>9.3652613064891393E-3</v>
      </c>
      <c r="AH41" s="133">
        <v>1.076373165550064E-2</v>
      </c>
      <c r="AI41" s="133">
        <v>9.4408659523497439E-3</v>
      </c>
      <c r="AJ41" s="133">
        <v>8.3277731922240649E-3</v>
      </c>
      <c r="AK41" s="133">
        <v>7.4729942350377082E-3</v>
      </c>
      <c r="AL41" s="133">
        <v>6.5035063673913596E-3</v>
      </c>
      <c r="AM41" s="133">
        <v>6.6264485225982451E-3</v>
      </c>
      <c r="AN41" s="133">
        <v>6.0998908698259406E-3</v>
      </c>
      <c r="AO41" s="133">
        <v>6.3764811957095864E-3</v>
      </c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133"/>
      <c r="CX41" s="133"/>
      <c r="CY41" s="133"/>
      <c r="CZ41" s="133"/>
      <c r="DA41" s="133"/>
      <c r="DB41" s="133"/>
      <c r="DC41" s="133"/>
      <c r="DD41" s="133"/>
      <c r="DE41" s="133"/>
      <c r="DF41" s="133"/>
      <c r="DG41" s="133"/>
      <c r="DH41" s="133"/>
      <c r="DI41" s="133"/>
      <c r="DJ41" s="133"/>
      <c r="DK41" s="133"/>
      <c r="DL41" s="133"/>
      <c r="DM41" s="133"/>
      <c r="DN41" s="133"/>
      <c r="DO41" s="133"/>
      <c r="DP41" s="133"/>
      <c r="DQ41" s="133"/>
      <c r="DR41" s="133"/>
      <c r="DS41" s="133"/>
      <c r="DT41" s="133"/>
      <c r="DU41" s="133"/>
      <c r="DV41" s="133"/>
      <c r="DW41" s="133"/>
      <c r="DX41" s="133"/>
      <c r="DY41" s="133"/>
      <c r="DZ41" s="133"/>
      <c r="EA41" s="133"/>
      <c r="EB41" s="133"/>
      <c r="EC41" s="133"/>
      <c r="ED41" s="133"/>
      <c r="EE41" s="133"/>
      <c r="EF41" s="133"/>
      <c r="EG41" s="133"/>
      <c r="EH41" s="133"/>
      <c r="EI41" s="133"/>
      <c r="EJ41" s="133"/>
      <c r="EK41" s="133"/>
      <c r="EL41" s="133"/>
      <c r="EM41" s="133"/>
      <c r="EN41" s="133"/>
      <c r="EO41" s="133"/>
      <c r="EP41" s="133"/>
      <c r="EQ41" s="133"/>
      <c r="ER41" s="133"/>
      <c r="ES41" s="133"/>
      <c r="ET41" s="133"/>
      <c r="EU41" s="133"/>
      <c r="EV41" s="133"/>
      <c r="EW41" s="133"/>
      <c r="EX41" s="133"/>
      <c r="EY41" s="133"/>
      <c r="EZ41" s="133"/>
      <c r="FA41" s="133"/>
      <c r="FB41" s="133"/>
      <c r="FC41" s="133"/>
      <c r="FD41" s="133"/>
      <c r="FE41" s="133"/>
      <c r="FF41" s="133"/>
      <c r="FG41" s="133"/>
      <c r="FH41" s="133"/>
      <c r="FI41" s="133"/>
      <c r="FJ41" s="133"/>
      <c r="FK41" s="133"/>
      <c r="FL41" s="133"/>
      <c r="FM41" s="133"/>
      <c r="FN41" s="133"/>
      <c r="FO41" s="133"/>
      <c r="FP41" s="133"/>
      <c r="FQ41" s="133"/>
      <c r="FR41" s="133"/>
      <c r="FS41" s="133"/>
      <c r="FT41" s="133"/>
      <c r="FU41" s="133"/>
      <c r="FV41" s="133"/>
      <c r="FW41" s="133"/>
      <c r="FX41" s="133"/>
      <c r="FY41" s="133"/>
      <c r="FZ41" s="133"/>
      <c r="GA41" s="133"/>
      <c r="GB41" s="133"/>
      <c r="GC41" s="133"/>
      <c r="GD41" s="133"/>
      <c r="GE41" s="133"/>
      <c r="GF41" s="133"/>
      <c r="GG41" s="133"/>
      <c r="GH41" s="133"/>
      <c r="GI41" s="133"/>
      <c r="GJ41" s="133"/>
      <c r="GK41" s="133"/>
      <c r="GL41" s="133"/>
      <c r="GM41" s="133"/>
      <c r="GN41" s="133"/>
      <c r="GO41" s="133"/>
      <c r="GP41" s="133"/>
      <c r="GQ41" s="133"/>
      <c r="GR41" s="133"/>
      <c r="GS41" s="133"/>
      <c r="GT41" s="133"/>
      <c r="GU41" s="133"/>
      <c r="GV41" s="133"/>
      <c r="GW41" s="133"/>
      <c r="GX41" s="133"/>
      <c r="GY41" s="133"/>
      <c r="GZ41" s="133"/>
      <c r="HA41" s="133"/>
      <c r="HB41" s="133"/>
      <c r="HC41" s="133"/>
      <c r="HD41" s="133"/>
      <c r="HE41" s="133"/>
      <c r="HF41" s="133"/>
      <c r="HG41" s="133"/>
      <c r="HH41" s="133"/>
      <c r="HI41" s="133"/>
      <c r="HJ41" s="133"/>
      <c r="HK41" s="133"/>
      <c r="HL41" s="133"/>
      <c r="HM41" s="133"/>
    </row>
    <row r="42" spans="1:221" ht="15" x14ac:dyDescent="0.25">
      <c r="A42" s="133"/>
      <c r="B42" s="126" t="s">
        <v>115</v>
      </c>
      <c r="C42" s="133">
        <v>-4.363066987374617E-2</v>
      </c>
      <c r="D42" s="133">
        <v>-1.9406312774900729E-2</v>
      </c>
      <c r="E42" s="133">
        <v>-2.5931042993082323E-2</v>
      </c>
      <c r="F42" s="133">
        <v>-5.2941928787801878E-2</v>
      </c>
      <c r="G42" s="133">
        <v>-5.8098019247901554E-2</v>
      </c>
      <c r="H42" s="133">
        <v>-6.409146731655066E-2</v>
      </c>
      <c r="I42" s="133">
        <v>-6.5575159401013869E-2</v>
      </c>
      <c r="J42" s="133">
        <v>-7.0756627889863852E-2</v>
      </c>
      <c r="K42" s="133">
        <v>-6.1267272970561497E-2</v>
      </c>
      <c r="L42" s="133">
        <v>-6.6249869030586411E-2</v>
      </c>
      <c r="M42" s="133">
        <v>-3.8628904919711451E-2</v>
      </c>
      <c r="N42" s="133">
        <v>-4.1447621534633709E-2</v>
      </c>
      <c r="O42" s="133">
        <v>-4.2891833148049785E-2</v>
      </c>
      <c r="P42" s="133">
        <v>-4.0172492884427854E-2</v>
      </c>
      <c r="Q42" s="133">
        <v>-7.8775261979101133E-2</v>
      </c>
      <c r="R42" s="133">
        <v>-8.7779093619034923E-2</v>
      </c>
      <c r="S42" s="133">
        <v>-9.0305761695038761E-2</v>
      </c>
      <c r="T42" s="133">
        <v>-0.11321570286909118</v>
      </c>
      <c r="U42" s="133">
        <v>-7.413134612180558E-2</v>
      </c>
      <c r="V42" s="133">
        <v>-0.1302421960528807</v>
      </c>
      <c r="W42" s="133">
        <v>-9.2714319664733189E-2</v>
      </c>
      <c r="X42" s="133">
        <v>-0.10384998033784623</v>
      </c>
      <c r="Y42" s="133">
        <v>-0.10904865610701181</v>
      </c>
      <c r="Z42" s="133">
        <v>-0.1130098329151288</v>
      </c>
      <c r="AA42" s="133">
        <v>-0.11603444145897175</v>
      </c>
      <c r="AB42" s="133">
        <v>-0.10111470088433669</v>
      </c>
      <c r="AC42" s="133">
        <v>-9.7499287939759913E-2</v>
      </c>
      <c r="AD42" s="133">
        <v>-9.285104390705852E-2</v>
      </c>
      <c r="AE42" s="133">
        <v>-9.7081418040180584E-2</v>
      </c>
      <c r="AF42" s="133">
        <v>-9.0373040309101732E-2</v>
      </c>
      <c r="AG42" s="133">
        <v>-9.4038733275374431E-2</v>
      </c>
      <c r="AH42" s="133">
        <v>-8.5840586142226658E-2</v>
      </c>
      <c r="AI42" s="133">
        <v>-8.1790134750046622E-2</v>
      </c>
      <c r="AJ42" s="133">
        <v>-0.10294070016660611</v>
      </c>
      <c r="AK42" s="133">
        <v>-5.8522137540189763E-2</v>
      </c>
      <c r="AL42" s="133">
        <v>-5.5611861177004111E-2</v>
      </c>
      <c r="AM42" s="133">
        <v>-7.9957841462430138E-2</v>
      </c>
      <c r="AN42" s="133">
        <v>-4.5937326171556561E-2</v>
      </c>
      <c r="AO42" s="133">
        <v>-3.8216849432905299E-2</v>
      </c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33"/>
      <c r="CR42" s="133"/>
      <c r="CS42" s="133"/>
      <c r="CT42" s="133"/>
      <c r="CU42" s="133"/>
      <c r="CV42" s="133"/>
      <c r="CW42" s="133"/>
      <c r="CX42" s="133"/>
      <c r="CY42" s="133"/>
      <c r="CZ42" s="133"/>
      <c r="DA42" s="133"/>
      <c r="DB42" s="133"/>
      <c r="DC42" s="133"/>
      <c r="DD42" s="133"/>
      <c r="DE42" s="133"/>
      <c r="DF42" s="133"/>
      <c r="DG42" s="133"/>
      <c r="DH42" s="133"/>
      <c r="DI42" s="133"/>
      <c r="DJ42" s="133"/>
      <c r="DK42" s="133"/>
      <c r="DL42" s="133"/>
      <c r="DM42" s="133"/>
      <c r="DN42" s="133"/>
      <c r="DO42" s="133"/>
      <c r="DP42" s="133"/>
      <c r="DQ42" s="133"/>
      <c r="DR42" s="133"/>
      <c r="DS42" s="133"/>
      <c r="DT42" s="133"/>
      <c r="DU42" s="133"/>
      <c r="DV42" s="133"/>
      <c r="DW42" s="133"/>
      <c r="DX42" s="133"/>
      <c r="DY42" s="133"/>
      <c r="DZ42" s="133"/>
      <c r="EA42" s="133"/>
      <c r="EB42" s="133"/>
      <c r="EC42" s="133"/>
      <c r="ED42" s="133"/>
      <c r="EE42" s="133"/>
      <c r="EF42" s="133"/>
      <c r="EG42" s="133"/>
      <c r="EH42" s="133"/>
      <c r="EI42" s="133"/>
      <c r="EJ42" s="133"/>
      <c r="EK42" s="133"/>
      <c r="EL42" s="133"/>
      <c r="EM42" s="133"/>
      <c r="EN42" s="133"/>
      <c r="EO42" s="133"/>
      <c r="EP42" s="133"/>
      <c r="EQ42" s="133"/>
      <c r="ER42" s="133"/>
      <c r="ES42" s="133"/>
      <c r="ET42" s="133"/>
      <c r="EU42" s="133"/>
      <c r="EV42" s="133"/>
      <c r="EW42" s="133"/>
      <c r="EX42" s="133"/>
      <c r="EY42" s="133"/>
      <c r="EZ42" s="133"/>
      <c r="FA42" s="133"/>
      <c r="FB42" s="133"/>
      <c r="FC42" s="133"/>
      <c r="FD42" s="133"/>
      <c r="FE42" s="133"/>
      <c r="FF42" s="133"/>
      <c r="FG42" s="133"/>
      <c r="FH42" s="133"/>
      <c r="FI42" s="133"/>
      <c r="FJ42" s="133"/>
      <c r="FK42" s="133"/>
      <c r="FL42" s="133"/>
      <c r="FM42" s="133"/>
      <c r="FN42" s="133"/>
      <c r="FO42" s="133"/>
      <c r="FP42" s="133"/>
      <c r="FQ42" s="133"/>
      <c r="FR42" s="133"/>
      <c r="FS42" s="133"/>
      <c r="FT42" s="133"/>
      <c r="FU42" s="133"/>
      <c r="FV42" s="133"/>
      <c r="FW42" s="133"/>
      <c r="FX42" s="133"/>
      <c r="FY42" s="133"/>
      <c r="FZ42" s="133"/>
      <c r="GA42" s="133"/>
      <c r="GB42" s="133"/>
      <c r="GC42" s="133"/>
      <c r="GD42" s="133"/>
      <c r="GE42" s="133"/>
      <c r="GF42" s="133"/>
      <c r="GG42" s="133"/>
      <c r="GH42" s="133"/>
      <c r="GI42" s="133"/>
      <c r="GJ42" s="133"/>
      <c r="GK42" s="133"/>
      <c r="GL42" s="133"/>
      <c r="GM42" s="133"/>
      <c r="GN42" s="133"/>
      <c r="GO42" s="133"/>
      <c r="GP42" s="133"/>
      <c r="GQ42" s="133"/>
      <c r="GR42" s="133"/>
      <c r="GS42" s="133"/>
      <c r="GT42" s="133"/>
      <c r="GU42" s="133"/>
      <c r="GV42" s="133"/>
      <c r="GW42" s="133"/>
      <c r="GX42" s="133"/>
      <c r="GY42" s="133"/>
      <c r="GZ42" s="133"/>
      <c r="HA42" s="133"/>
      <c r="HB42" s="133"/>
      <c r="HC42" s="133"/>
      <c r="HD42" s="133"/>
      <c r="HE42" s="133"/>
      <c r="HF42" s="133"/>
      <c r="HG42" s="133"/>
      <c r="HH42" s="133"/>
      <c r="HI42" s="133"/>
      <c r="HJ42" s="133"/>
      <c r="HK42" s="133"/>
      <c r="HL42" s="133"/>
      <c r="HM42" s="133"/>
    </row>
    <row r="43" spans="1:221" ht="15" x14ac:dyDescent="0.25">
      <c r="A43" s="133"/>
      <c r="B43" s="129" t="s">
        <v>116</v>
      </c>
      <c r="C43" s="133">
        <v>0.15750823851499582</v>
      </c>
      <c r="D43" s="133">
        <v>0.17237687724737646</v>
      </c>
      <c r="E43" s="133">
        <v>0.16596793978165472</v>
      </c>
      <c r="F43" s="133">
        <v>0.16912098618213142</v>
      </c>
      <c r="G43" s="133">
        <v>0.14867450276740479</v>
      </c>
      <c r="H43" s="133">
        <v>0.15987638426903614</v>
      </c>
      <c r="I43" s="133">
        <v>0.14460891866177608</v>
      </c>
      <c r="J43" s="133">
        <v>0.15039081186528222</v>
      </c>
      <c r="K43" s="133">
        <v>0.16312761066159093</v>
      </c>
      <c r="L43" s="133">
        <v>0.16488011218112766</v>
      </c>
      <c r="M43" s="133">
        <v>0.18786791315765319</v>
      </c>
      <c r="N43" s="133">
        <v>0.1646477143689429</v>
      </c>
      <c r="O43" s="133">
        <v>0.16673780556597659</v>
      </c>
      <c r="P43" s="133">
        <v>0.16368048213666878</v>
      </c>
      <c r="Q43" s="133">
        <v>0.16340344770662357</v>
      </c>
      <c r="R43" s="133">
        <v>0.11749264062680578</v>
      </c>
      <c r="S43" s="133">
        <v>0.15186533077786454</v>
      </c>
      <c r="T43" s="133">
        <v>0.14967145393881917</v>
      </c>
      <c r="U43" s="133">
        <v>0.16095026404227467</v>
      </c>
      <c r="V43" s="133">
        <v>0.16833832134065418</v>
      </c>
      <c r="W43" s="133">
        <v>0.11812900882125005</v>
      </c>
      <c r="X43" s="133">
        <v>0.12070263893713377</v>
      </c>
      <c r="Y43" s="133">
        <v>0.1227290900530313</v>
      </c>
      <c r="Z43" s="133">
        <v>0.11824752568425946</v>
      </c>
      <c r="AA43" s="133">
        <v>0.11191879563665309</v>
      </c>
      <c r="AB43" s="133">
        <v>0.10029357344677628</v>
      </c>
      <c r="AC43" s="133">
        <v>0.12237322688674288</v>
      </c>
      <c r="AD43" s="133">
        <v>0.12778856186516463</v>
      </c>
      <c r="AE43" s="133">
        <v>0.13944560452320712</v>
      </c>
      <c r="AF43" s="133">
        <v>0.16084704039915595</v>
      </c>
      <c r="AG43" s="133">
        <v>0.17949993408549139</v>
      </c>
      <c r="AH43" s="133">
        <v>0.18865500215911613</v>
      </c>
      <c r="AI43" s="133">
        <v>0.19125051328427298</v>
      </c>
      <c r="AJ43" s="133">
        <v>0.19203911042334712</v>
      </c>
      <c r="AK43" s="133">
        <v>0.20790882538871483</v>
      </c>
      <c r="AL43" s="133">
        <v>0.2597155912131266</v>
      </c>
      <c r="AM43" s="133">
        <v>0.25469382775193744</v>
      </c>
      <c r="AN43" s="133">
        <v>0.29229701712365525</v>
      </c>
      <c r="AO43" s="133">
        <v>0.29797337431615412</v>
      </c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/>
      <c r="CS43" s="133"/>
      <c r="CT43" s="133"/>
      <c r="CU43" s="133"/>
      <c r="CV43" s="133"/>
      <c r="CW43" s="133"/>
      <c r="CX43" s="133"/>
      <c r="CY43" s="133"/>
      <c r="CZ43" s="133"/>
      <c r="DA43" s="133"/>
      <c r="DB43" s="133"/>
      <c r="DC43" s="133"/>
      <c r="DD43" s="133"/>
      <c r="DE43" s="133"/>
      <c r="DF43" s="133"/>
      <c r="DG43" s="133"/>
      <c r="DH43" s="133"/>
      <c r="DI43" s="133"/>
      <c r="DJ43" s="133"/>
      <c r="DK43" s="133"/>
      <c r="DL43" s="133"/>
      <c r="DM43" s="133"/>
      <c r="DN43" s="133"/>
      <c r="DO43" s="133"/>
      <c r="DP43" s="133"/>
      <c r="DQ43" s="133"/>
      <c r="DR43" s="133"/>
      <c r="DS43" s="133"/>
      <c r="DT43" s="133"/>
      <c r="DU43" s="133"/>
      <c r="DV43" s="133"/>
      <c r="DW43" s="133"/>
      <c r="DX43" s="133"/>
      <c r="DY43" s="133"/>
      <c r="DZ43" s="133"/>
      <c r="EA43" s="133"/>
      <c r="EB43" s="133"/>
      <c r="EC43" s="133"/>
      <c r="ED43" s="133"/>
      <c r="EE43" s="133"/>
      <c r="EF43" s="133"/>
      <c r="EG43" s="133"/>
      <c r="EH43" s="133"/>
      <c r="EI43" s="133"/>
      <c r="EJ43" s="133"/>
      <c r="EK43" s="133"/>
      <c r="EL43" s="133"/>
      <c r="EM43" s="133"/>
      <c r="EN43" s="133"/>
      <c r="EO43" s="133"/>
      <c r="EP43" s="133"/>
      <c r="EQ43" s="133"/>
      <c r="ER43" s="133"/>
      <c r="ES43" s="133"/>
      <c r="ET43" s="133"/>
      <c r="EU43" s="133"/>
      <c r="EV43" s="133"/>
      <c r="EW43" s="133"/>
      <c r="EX43" s="133"/>
      <c r="EY43" s="133"/>
      <c r="EZ43" s="133"/>
      <c r="FA43" s="133"/>
      <c r="FB43" s="133"/>
      <c r="FC43" s="133"/>
      <c r="FD43" s="133"/>
      <c r="FE43" s="133"/>
      <c r="FF43" s="133"/>
      <c r="FG43" s="133"/>
      <c r="FH43" s="133"/>
      <c r="FI43" s="133"/>
      <c r="FJ43" s="133"/>
      <c r="FK43" s="133"/>
      <c r="FL43" s="133"/>
      <c r="FM43" s="133"/>
      <c r="FN43" s="133"/>
      <c r="FO43" s="133"/>
      <c r="FP43" s="133"/>
      <c r="FQ43" s="133"/>
      <c r="FR43" s="133"/>
      <c r="FS43" s="133"/>
      <c r="FT43" s="133"/>
      <c r="FU43" s="133"/>
      <c r="FV43" s="133"/>
      <c r="FW43" s="133"/>
      <c r="FX43" s="133"/>
      <c r="FY43" s="133"/>
      <c r="FZ43" s="133"/>
      <c r="GA43" s="133"/>
      <c r="GB43" s="133"/>
      <c r="GC43" s="133"/>
      <c r="GD43" s="133"/>
      <c r="GE43" s="133"/>
      <c r="GF43" s="133"/>
      <c r="GG43" s="133"/>
      <c r="GH43" s="133"/>
      <c r="GI43" s="133"/>
      <c r="GJ43" s="133"/>
      <c r="GK43" s="133"/>
      <c r="GL43" s="133"/>
      <c r="GM43" s="133"/>
      <c r="GN43" s="133"/>
      <c r="GO43" s="133"/>
      <c r="GP43" s="133"/>
      <c r="GQ43" s="133"/>
      <c r="GR43" s="133"/>
      <c r="GS43" s="133"/>
      <c r="GT43" s="133"/>
      <c r="GU43" s="133"/>
      <c r="GV43" s="133"/>
      <c r="GW43" s="133"/>
      <c r="GX43" s="133"/>
      <c r="GY43" s="133"/>
      <c r="GZ43" s="133"/>
      <c r="HA43" s="133"/>
      <c r="HB43" s="133"/>
      <c r="HC43" s="133"/>
      <c r="HD43" s="133"/>
      <c r="HE43" s="133"/>
      <c r="HF43" s="133"/>
      <c r="HG43" s="133"/>
      <c r="HH43" s="133"/>
      <c r="HI43" s="133"/>
      <c r="HJ43" s="133"/>
      <c r="HK43" s="133"/>
      <c r="HL43" s="133"/>
      <c r="HM43" s="133"/>
    </row>
    <row r="44" spans="1:221" ht="15" x14ac:dyDescent="0.25">
      <c r="A44" s="133"/>
      <c r="B44" s="127" t="s">
        <v>117</v>
      </c>
      <c r="C44" s="133">
        <v>9.8775801788501955E-2</v>
      </c>
      <c r="D44" s="133">
        <v>0.11565647028638039</v>
      </c>
      <c r="E44" s="133">
        <v>0.10259886810936684</v>
      </c>
      <c r="F44" s="133">
        <v>0.107395637008836</v>
      </c>
      <c r="G44" s="133">
        <v>9.2366135512746972E-2</v>
      </c>
      <c r="H44" s="133">
        <v>9.7158731724779804E-2</v>
      </c>
      <c r="I44" s="133">
        <v>8.9215449812628259E-2</v>
      </c>
      <c r="J44" s="133">
        <v>9.3906112068264061E-2</v>
      </c>
      <c r="K44" s="133">
        <v>0.10376727291170533</v>
      </c>
      <c r="L44" s="133">
        <v>0.10926199548691636</v>
      </c>
      <c r="M44" s="133">
        <v>0.13653530543698192</v>
      </c>
      <c r="N44" s="133">
        <v>0.11130665822029161</v>
      </c>
      <c r="O44" s="133">
        <v>0.10734361801730934</v>
      </c>
      <c r="P44" s="133">
        <v>0.10594951214747469</v>
      </c>
      <c r="Q44" s="133">
        <v>0.10917519346254032</v>
      </c>
      <c r="R44" s="133">
        <v>9.9548810910766533E-2</v>
      </c>
      <c r="S44" s="133">
        <v>0.12584343954430227</v>
      </c>
      <c r="T44" s="133">
        <v>0.11762739795452472</v>
      </c>
      <c r="U44" s="133">
        <v>0.11939901249211593</v>
      </c>
      <c r="V44" s="133">
        <v>0.12638124327072525</v>
      </c>
      <c r="W44" s="133">
        <v>8.1973034398652569E-2</v>
      </c>
      <c r="X44" s="133">
        <v>8.6366503300032024E-2</v>
      </c>
      <c r="Y44" s="133">
        <v>8.7753613177375497E-2</v>
      </c>
      <c r="Z44" s="133">
        <v>8.550150164853125E-2</v>
      </c>
      <c r="AA44" s="133">
        <v>8.4470016531601605E-2</v>
      </c>
      <c r="AB44" s="133">
        <v>7.0911777565167533E-2</v>
      </c>
      <c r="AC44" s="133">
        <v>9.3692990747964208E-2</v>
      </c>
      <c r="AD44" s="133">
        <v>9.576835255997683E-2</v>
      </c>
      <c r="AE44" s="133">
        <v>0.10416634386767032</v>
      </c>
      <c r="AF44" s="133">
        <v>0.11977215667076467</v>
      </c>
      <c r="AG44" s="133">
        <v>0.13352983031808452</v>
      </c>
      <c r="AH44" s="133">
        <v>0.14362503847614824</v>
      </c>
      <c r="AI44" s="133">
        <v>0.14779266543404085</v>
      </c>
      <c r="AJ44" s="133">
        <v>0.14843352535227058</v>
      </c>
      <c r="AK44" s="133">
        <v>0.16546339723984604</v>
      </c>
      <c r="AL44" s="133">
        <v>0.21829703889780314</v>
      </c>
      <c r="AM44" s="133">
        <v>0.21150863471810383</v>
      </c>
      <c r="AN44" s="133">
        <v>0.25567114447047645</v>
      </c>
      <c r="AO44" s="133">
        <v>0.25452468270972528</v>
      </c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33"/>
      <c r="CW44" s="133"/>
      <c r="CX44" s="133"/>
      <c r="CY44" s="133"/>
      <c r="CZ44" s="133"/>
      <c r="DA44" s="133"/>
      <c r="DB44" s="133"/>
      <c r="DC44" s="133"/>
      <c r="DD44" s="133"/>
      <c r="DE44" s="133"/>
      <c r="DF44" s="133"/>
      <c r="DG44" s="133"/>
      <c r="DH44" s="133"/>
      <c r="DI44" s="133"/>
      <c r="DJ44" s="133"/>
      <c r="DK44" s="133"/>
      <c r="DL44" s="133"/>
      <c r="DM44" s="133"/>
      <c r="DN44" s="133"/>
      <c r="DO44" s="133"/>
      <c r="DP44" s="133"/>
      <c r="DQ44" s="133"/>
      <c r="DR44" s="133"/>
      <c r="DS44" s="133"/>
      <c r="DT44" s="133"/>
      <c r="DU44" s="133"/>
      <c r="DV44" s="133"/>
      <c r="DW44" s="133"/>
      <c r="DX44" s="133"/>
      <c r="DY44" s="133"/>
      <c r="DZ44" s="133"/>
      <c r="EA44" s="133"/>
      <c r="EB44" s="133"/>
      <c r="EC44" s="133"/>
      <c r="ED44" s="133"/>
      <c r="EE44" s="133"/>
      <c r="EF44" s="133"/>
      <c r="EG44" s="133"/>
      <c r="EH44" s="133"/>
      <c r="EI44" s="133"/>
      <c r="EJ44" s="133"/>
      <c r="EK44" s="133"/>
      <c r="EL44" s="133"/>
      <c r="EM44" s="133"/>
      <c r="EN44" s="133"/>
      <c r="EO44" s="133"/>
      <c r="EP44" s="133"/>
      <c r="EQ44" s="133"/>
      <c r="ER44" s="133"/>
      <c r="ES44" s="133"/>
      <c r="ET44" s="133"/>
      <c r="EU44" s="133"/>
      <c r="EV44" s="133"/>
      <c r="EW44" s="133"/>
      <c r="EX44" s="133"/>
      <c r="EY44" s="133"/>
      <c r="EZ44" s="133"/>
      <c r="FA44" s="133"/>
      <c r="FB44" s="133"/>
      <c r="FC44" s="133"/>
      <c r="FD44" s="133"/>
      <c r="FE44" s="133"/>
      <c r="FF44" s="133"/>
      <c r="FG44" s="133"/>
      <c r="FH44" s="133"/>
      <c r="FI44" s="133"/>
      <c r="FJ44" s="133"/>
      <c r="FK44" s="133"/>
      <c r="FL44" s="133"/>
      <c r="FM44" s="133"/>
      <c r="FN44" s="133"/>
      <c r="FO44" s="133"/>
      <c r="FP44" s="133"/>
      <c r="FQ44" s="133"/>
      <c r="FR44" s="133"/>
      <c r="FS44" s="133"/>
      <c r="FT44" s="133"/>
      <c r="FU44" s="133"/>
      <c r="FV44" s="133"/>
      <c r="FW44" s="133"/>
      <c r="FX44" s="133"/>
      <c r="FY44" s="133"/>
      <c r="FZ44" s="133"/>
      <c r="GA44" s="133"/>
      <c r="GB44" s="133"/>
      <c r="GC44" s="133"/>
      <c r="GD44" s="133"/>
      <c r="GE44" s="133"/>
      <c r="GF44" s="133"/>
      <c r="GG44" s="133"/>
      <c r="GH44" s="133"/>
      <c r="GI44" s="133"/>
      <c r="GJ44" s="133"/>
      <c r="GK44" s="133"/>
      <c r="GL44" s="133"/>
      <c r="GM44" s="133"/>
      <c r="GN44" s="133"/>
      <c r="GO44" s="133"/>
      <c r="GP44" s="133"/>
      <c r="GQ44" s="133"/>
      <c r="GR44" s="133"/>
      <c r="GS44" s="133"/>
      <c r="GT44" s="133"/>
      <c r="GU44" s="133"/>
      <c r="GV44" s="133"/>
      <c r="GW44" s="133"/>
      <c r="GX44" s="133"/>
      <c r="GY44" s="133"/>
      <c r="GZ44" s="133"/>
      <c r="HA44" s="133"/>
      <c r="HB44" s="133"/>
      <c r="HC44" s="133"/>
      <c r="HD44" s="133"/>
      <c r="HE44" s="133"/>
      <c r="HF44" s="133"/>
      <c r="HG44" s="133"/>
      <c r="HH44" s="133"/>
      <c r="HI44" s="133"/>
      <c r="HJ44" s="133"/>
      <c r="HK44" s="133"/>
      <c r="HL44" s="133"/>
      <c r="HM44" s="133"/>
    </row>
    <row r="45" spans="1:221" ht="15" x14ac:dyDescent="0.25">
      <c r="A45" s="133"/>
      <c r="B45" s="127" t="s">
        <v>118</v>
      </c>
      <c r="C45" s="133">
        <v>5.8732436726493864E-2</v>
      </c>
      <c r="D45" s="133">
        <v>5.6720406960996089E-2</v>
      </c>
      <c r="E45" s="133">
        <v>6.3369071672287863E-2</v>
      </c>
      <c r="F45" s="133">
        <v>6.1725349173295432E-2</v>
      </c>
      <c r="G45" s="133">
        <v>5.6308367254657814E-2</v>
      </c>
      <c r="H45" s="133">
        <v>6.2717652544256347E-2</v>
      </c>
      <c r="I45" s="133">
        <v>5.5393468849147809E-2</v>
      </c>
      <c r="J45" s="133">
        <v>5.648469979701818E-2</v>
      </c>
      <c r="K45" s="133">
        <v>5.9360337749885618E-2</v>
      </c>
      <c r="L45" s="133">
        <v>5.5618116694211329E-2</v>
      </c>
      <c r="M45" s="133">
        <v>5.1332607720671275E-2</v>
      </c>
      <c r="N45" s="133">
        <v>5.3341056148651311E-2</v>
      </c>
      <c r="O45" s="133">
        <v>5.9394187548667265E-2</v>
      </c>
      <c r="P45" s="133">
        <v>5.7730969989194088E-2</v>
      </c>
      <c r="Q45" s="133">
        <v>5.4228254244083264E-2</v>
      </c>
      <c r="R45" s="133">
        <v>1.7943829716039236E-2</v>
      </c>
      <c r="S45" s="133">
        <v>2.6021891233562258E-2</v>
      </c>
      <c r="T45" s="133">
        <v>3.2044055984294453E-2</v>
      </c>
      <c r="U45" s="133">
        <v>4.1551251550158735E-2</v>
      </c>
      <c r="V45" s="133">
        <v>4.1957078069928946E-2</v>
      </c>
      <c r="W45" s="133">
        <v>3.6155974422597478E-2</v>
      </c>
      <c r="X45" s="133">
        <v>3.433613563710175E-2</v>
      </c>
      <c r="Y45" s="133">
        <v>3.4975476875655796E-2</v>
      </c>
      <c r="Z45" s="133">
        <v>3.2746024035728211E-2</v>
      </c>
      <c r="AA45" s="133">
        <v>2.7448779105051488E-2</v>
      </c>
      <c r="AB45" s="133">
        <v>2.9381795881608753E-2</v>
      </c>
      <c r="AC45" s="133">
        <v>2.868023613877866E-2</v>
      </c>
      <c r="AD45" s="133">
        <v>3.20202093051878E-2</v>
      </c>
      <c r="AE45" s="133">
        <v>3.5279260655536791E-2</v>
      </c>
      <c r="AF45" s="133">
        <v>4.1074883728391284E-2</v>
      </c>
      <c r="AG45" s="133">
        <v>4.5970103767406872E-2</v>
      </c>
      <c r="AH45" s="133">
        <v>4.5029963682967883E-2</v>
      </c>
      <c r="AI45" s="133">
        <v>4.3457847850232136E-2</v>
      </c>
      <c r="AJ45" s="133">
        <v>4.3605585071076571E-2</v>
      </c>
      <c r="AK45" s="133">
        <v>4.24454281488688E-2</v>
      </c>
      <c r="AL45" s="133">
        <v>4.1418552315323424E-2</v>
      </c>
      <c r="AM45" s="133">
        <v>4.3185193033833585E-2</v>
      </c>
      <c r="AN45" s="133">
        <v>3.6625872653178813E-2</v>
      </c>
      <c r="AO45" s="133">
        <v>4.344869160642887E-2</v>
      </c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  <c r="CN45" s="133"/>
      <c r="CO45" s="133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3"/>
      <c r="DA45" s="133"/>
      <c r="DB45" s="133"/>
      <c r="DC45" s="133"/>
      <c r="DD45" s="133"/>
      <c r="DE45" s="133"/>
      <c r="DF45" s="133"/>
      <c r="DG45" s="133"/>
      <c r="DH45" s="133"/>
      <c r="DI45" s="133"/>
      <c r="DJ45" s="133"/>
      <c r="DK45" s="133"/>
      <c r="DL45" s="133"/>
      <c r="DM45" s="133"/>
      <c r="DN45" s="133"/>
      <c r="DO45" s="133"/>
      <c r="DP45" s="133"/>
      <c r="DQ45" s="133"/>
      <c r="DR45" s="133"/>
      <c r="DS45" s="133"/>
      <c r="DT45" s="133"/>
      <c r="DU45" s="133"/>
      <c r="DV45" s="133"/>
      <c r="DW45" s="133"/>
      <c r="DX45" s="133"/>
      <c r="DY45" s="133"/>
      <c r="DZ45" s="133"/>
      <c r="EA45" s="133"/>
      <c r="EB45" s="133"/>
      <c r="EC45" s="133"/>
      <c r="ED45" s="133"/>
      <c r="EE45" s="133"/>
      <c r="EF45" s="133"/>
      <c r="EG45" s="133"/>
      <c r="EH45" s="133"/>
      <c r="EI45" s="133"/>
      <c r="EJ45" s="133"/>
      <c r="EK45" s="133"/>
      <c r="EL45" s="133"/>
      <c r="EM45" s="133"/>
      <c r="EN45" s="133"/>
      <c r="EO45" s="133"/>
      <c r="EP45" s="133"/>
      <c r="EQ45" s="133"/>
      <c r="ER45" s="133"/>
      <c r="ES45" s="133"/>
      <c r="ET45" s="133"/>
      <c r="EU45" s="133"/>
      <c r="EV45" s="133"/>
      <c r="EW45" s="133"/>
      <c r="EX45" s="133"/>
      <c r="EY45" s="133"/>
      <c r="EZ45" s="133"/>
      <c r="FA45" s="133"/>
      <c r="FB45" s="133"/>
      <c r="FC45" s="133"/>
      <c r="FD45" s="133"/>
      <c r="FE45" s="133"/>
      <c r="FF45" s="133"/>
      <c r="FG45" s="133"/>
      <c r="FH45" s="133"/>
      <c r="FI45" s="133"/>
      <c r="FJ45" s="133"/>
      <c r="FK45" s="133"/>
      <c r="FL45" s="133"/>
      <c r="FM45" s="133"/>
      <c r="FN45" s="133"/>
      <c r="FO45" s="133"/>
      <c r="FP45" s="133"/>
      <c r="FQ45" s="133"/>
      <c r="FR45" s="133"/>
      <c r="FS45" s="133"/>
      <c r="FT45" s="133"/>
      <c r="FU45" s="133"/>
      <c r="FV45" s="133"/>
      <c r="FW45" s="133"/>
      <c r="FX45" s="133"/>
      <c r="FY45" s="133"/>
      <c r="FZ45" s="133"/>
      <c r="GA45" s="133"/>
      <c r="GB45" s="133"/>
      <c r="GC45" s="133"/>
      <c r="GD45" s="133"/>
      <c r="GE45" s="133"/>
      <c r="GF45" s="133"/>
      <c r="GG45" s="133"/>
      <c r="GH45" s="133"/>
      <c r="GI45" s="133"/>
      <c r="GJ45" s="133"/>
      <c r="GK45" s="133"/>
      <c r="GL45" s="133"/>
      <c r="GM45" s="133"/>
      <c r="GN45" s="133"/>
      <c r="GO45" s="133"/>
      <c r="GP45" s="133"/>
      <c r="GQ45" s="133"/>
      <c r="GR45" s="133"/>
      <c r="GS45" s="133"/>
      <c r="GT45" s="133"/>
      <c r="GU45" s="133"/>
      <c r="GV45" s="133"/>
      <c r="GW45" s="133"/>
      <c r="GX45" s="133"/>
      <c r="GY45" s="133"/>
      <c r="GZ45" s="133"/>
      <c r="HA45" s="133"/>
      <c r="HB45" s="133"/>
      <c r="HC45" s="133"/>
      <c r="HD45" s="133"/>
      <c r="HE45" s="133"/>
      <c r="HF45" s="133"/>
      <c r="HG45" s="133"/>
      <c r="HH45" s="133"/>
      <c r="HI45" s="133"/>
      <c r="HJ45" s="133"/>
      <c r="HK45" s="133"/>
      <c r="HL45" s="133"/>
      <c r="HM45" s="133"/>
    </row>
    <row r="46" spans="1:221" ht="15" x14ac:dyDescent="0.25">
      <c r="A46" s="133"/>
      <c r="B46" s="129" t="s">
        <v>119</v>
      </c>
      <c r="C46" s="133">
        <v>0.20113890838874199</v>
      </c>
      <c r="D46" s="133">
        <v>0.1917831900222772</v>
      </c>
      <c r="E46" s="133">
        <v>0.19189898277473705</v>
      </c>
      <c r="F46" s="133">
        <v>0.2220629149699333</v>
      </c>
      <c r="G46" s="133">
        <v>0.20677252201530635</v>
      </c>
      <c r="H46" s="133">
        <v>0.2239678515855868</v>
      </c>
      <c r="I46" s="133">
        <v>0.21018407806278996</v>
      </c>
      <c r="J46" s="133">
        <v>0.22114743975514609</v>
      </c>
      <c r="K46" s="133">
        <v>0.22439488363215243</v>
      </c>
      <c r="L46" s="133">
        <v>0.2311299812117141</v>
      </c>
      <c r="M46" s="133">
        <v>0.22649681807736463</v>
      </c>
      <c r="N46" s="133">
        <v>0.20609533590357662</v>
      </c>
      <c r="O46" s="133">
        <v>0.20962963871402637</v>
      </c>
      <c r="P46" s="133">
        <v>0.20385297502109664</v>
      </c>
      <c r="Q46" s="133">
        <v>0.24217870968572469</v>
      </c>
      <c r="R46" s="133">
        <v>0.20527173424584069</v>
      </c>
      <c r="S46" s="133">
        <v>0.2421710924729033</v>
      </c>
      <c r="T46" s="133">
        <v>0.26288715680791036</v>
      </c>
      <c r="U46" s="133">
        <v>0.23508161016408025</v>
      </c>
      <c r="V46" s="133">
        <v>0.29858051739353492</v>
      </c>
      <c r="W46" s="133">
        <v>0.21084332848598325</v>
      </c>
      <c r="X46" s="133">
        <v>0.22455261927497999</v>
      </c>
      <c r="Y46" s="133">
        <v>0.23177774616004312</v>
      </c>
      <c r="Z46" s="133">
        <v>0.23125735859938826</v>
      </c>
      <c r="AA46" s="133">
        <v>0.22795323709562484</v>
      </c>
      <c r="AB46" s="133">
        <v>0.20140827433111297</v>
      </c>
      <c r="AC46" s="133">
        <v>0.21987251482650277</v>
      </c>
      <c r="AD46" s="133">
        <v>0.22063960577222314</v>
      </c>
      <c r="AE46" s="133">
        <v>0.23652702256338767</v>
      </c>
      <c r="AF46" s="133">
        <v>0.25122008070825769</v>
      </c>
      <c r="AG46" s="133">
        <v>0.27353866736086579</v>
      </c>
      <c r="AH46" s="133">
        <v>0.2744955883013428</v>
      </c>
      <c r="AI46" s="133">
        <v>0.2730406480343196</v>
      </c>
      <c r="AJ46" s="133">
        <v>0.29497981058995326</v>
      </c>
      <c r="AK46" s="133">
        <v>0.26643096292890461</v>
      </c>
      <c r="AL46" s="133">
        <v>0.31532745239013066</v>
      </c>
      <c r="AM46" s="133">
        <v>0.33465166921436756</v>
      </c>
      <c r="AN46" s="133">
        <v>0.33823434329521179</v>
      </c>
      <c r="AO46" s="133">
        <v>0.33619022374905944</v>
      </c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33"/>
      <c r="DZ46" s="133"/>
      <c r="EA46" s="133"/>
      <c r="EB46" s="133"/>
      <c r="EC46" s="133"/>
      <c r="ED46" s="133"/>
      <c r="EE46" s="133"/>
      <c r="EF46" s="133"/>
      <c r="EG46" s="133"/>
      <c r="EH46" s="133"/>
      <c r="EI46" s="133"/>
      <c r="EJ46" s="133"/>
      <c r="EK46" s="133"/>
      <c r="EL46" s="133"/>
      <c r="EM46" s="133"/>
      <c r="EN46" s="133"/>
      <c r="EO46" s="133"/>
      <c r="EP46" s="133"/>
      <c r="EQ46" s="133"/>
      <c r="ER46" s="133"/>
      <c r="ES46" s="133"/>
      <c r="ET46" s="133"/>
      <c r="EU46" s="133"/>
      <c r="EV46" s="133"/>
      <c r="EW46" s="133"/>
      <c r="EX46" s="133"/>
      <c r="EY46" s="133"/>
      <c r="EZ46" s="133"/>
      <c r="FA46" s="133"/>
      <c r="FB46" s="133"/>
      <c r="FC46" s="133"/>
      <c r="FD46" s="133"/>
      <c r="FE46" s="133"/>
      <c r="FF46" s="133"/>
      <c r="FG46" s="133"/>
      <c r="FH46" s="133"/>
      <c r="FI46" s="133"/>
      <c r="FJ46" s="133"/>
      <c r="FK46" s="133"/>
      <c r="FL46" s="133"/>
      <c r="FM46" s="133"/>
      <c r="FN46" s="133"/>
      <c r="FO46" s="133"/>
      <c r="FP46" s="133"/>
      <c r="FQ46" s="133"/>
      <c r="FR46" s="133"/>
      <c r="FS46" s="133"/>
      <c r="FT46" s="133"/>
      <c r="FU46" s="133"/>
      <c r="FV46" s="133"/>
      <c r="FW46" s="133"/>
      <c r="FX46" s="133"/>
      <c r="FY46" s="133"/>
      <c r="FZ46" s="133"/>
      <c r="GA46" s="133"/>
      <c r="GB46" s="133"/>
      <c r="GC46" s="133"/>
      <c r="GD46" s="133"/>
      <c r="GE46" s="133"/>
      <c r="GF46" s="133"/>
      <c r="GG46" s="133"/>
      <c r="GH46" s="133"/>
      <c r="GI46" s="133"/>
      <c r="GJ46" s="133"/>
      <c r="GK46" s="133"/>
      <c r="GL46" s="133"/>
      <c r="GM46" s="133"/>
      <c r="GN46" s="133"/>
      <c r="GO46" s="133"/>
      <c r="GP46" s="133"/>
      <c r="GQ46" s="133"/>
      <c r="GR46" s="133"/>
      <c r="GS46" s="133"/>
      <c r="GT46" s="133"/>
      <c r="GU46" s="133"/>
      <c r="GV46" s="133"/>
      <c r="GW46" s="133"/>
      <c r="GX46" s="133"/>
      <c r="GY46" s="133"/>
      <c r="GZ46" s="133"/>
      <c r="HA46" s="133"/>
      <c r="HB46" s="133"/>
      <c r="HC46" s="133"/>
      <c r="HD46" s="133"/>
      <c r="HE46" s="133"/>
      <c r="HF46" s="133"/>
      <c r="HG46" s="133"/>
      <c r="HH46" s="133"/>
      <c r="HI46" s="133"/>
      <c r="HJ46" s="133"/>
      <c r="HK46" s="133"/>
      <c r="HL46" s="133"/>
      <c r="HM46" s="133"/>
    </row>
    <row r="47" spans="1:221" ht="15" x14ac:dyDescent="0.25">
      <c r="A47" s="133"/>
      <c r="B47" s="127" t="s">
        <v>117</v>
      </c>
      <c r="C47" s="133">
        <v>0.13357107678460867</v>
      </c>
      <c r="D47" s="133">
        <v>0.12524554723196663</v>
      </c>
      <c r="E47" s="133">
        <v>0.12723559419386976</v>
      </c>
      <c r="F47" s="133">
        <v>0.14838914785971641</v>
      </c>
      <c r="G47" s="133">
        <v>0.13963883117021283</v>
      </c>
      <c r="H47" s="133">
        <v>0.15009359480683196</v>
      </c>
      <c r="I47" s="133">
        <v>0.14494587352130736</v>
      </c>
      <c r="J47" s="133">
        <v>0.15127946521381469</v>
      </c>
      <c r="K47" s="133">
        <v>0.14401893207452041</v>
      </c>
      <c r="L47" s="133">
        <v>0.15050023326565098</v>
      </c>
      <c r="M47" s="133">
        <v>0.14798797277971831</v>
      </c>
      <c r="N47" s="133">
        <v>0.13596309434697371</v>
      </c>
      <c r="O47" s="133">
        <v>0.13671061442046287</v>
      </c>
      <c r="P47" s="133">
        <v>0.13681652346702033</v>
      </c>
      <c r="Q47" s="133">
        <v>0.14734103427019413</v>
      </c>
      <c r="R47" s="133">
        <v>0.13850427846304311</v>
      </c>
      <c r="S47" s="133">
        <v>0.1674708168971914</v>
      </c>
      <c r="T47" s="133">
        <v>0.17367154446175095</v>
      </c>
      <c r="U47" s="133">
        <v>0.15710217752384514</v>
      </c>
      <c r="V47" s="133">
        <v>0.21374008926704571</v>
      </c>
      <c r="W47" s="133">
        <v>0.1349635532200566</v>
      </c>
      <c r="X47" s="133">
        <v>0.1536905715046826</v>
      </c>
      <c r="Y47" s="133">
        <v>0.15893608774832019</v>
      </c>
      <c r="Z47" s="133">
        <v>0.15993084468760818</v>
      </c>
      <c r="AA47" s="133">
        <v>0.15195268834839323</v>
      </c>
      <c r="AB47" s="133">
        <v>0.13365074494944221</v>
      </c>
      <c r="AC47" s="133">
        <v>0.14821949036210758</v>
      </c>
      <c r="AD47" s="133">
        <v>0.1547550194808742</v>
      </c>
      <c r="AE47" s="133">
        <v>0.16627165440138447</v>
      </c>
      <c r="AF47" s="133">
        <v>0.17600686943976418</v>
      </c>
      <c r="AG47" s="133">
        <v>0.19299121689150345</v>
      </c>
      <c r="AH47" s="133">
        <v>0.19391077238551435</v>
      </c>
      <c r="AI47" s="133">
        <v>0.19879969826009905</v>
      </c>
      <c r="AJ47" s="133">
        <v>0.21797378893733421</v>
      </c>
      <c r="AK47" s="133">
        <v>0.19646629179616823</v>
      </c>
      <c r="AL47" s="133">
        <v>0.2393873722451515</v>
      </c>
      <c r="AM47" s="133">
        <v>0.2429777115375695</v>
      </c>
      <c r="AN47" s="133">
        <v>0.25331304279617378</v>
      </c>
      <c r="AO47" s="133">
        <v>0.24728896682559606</v>
      </c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3"/>
      <c r="CG47" s="133"/>
      <c r="CH47" s="133"/>
      <c r="CI47" s="133"/>
      <c r="CJ47" s="133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33"/>
      <c r="DZ47" s="133"/>
      <c r="EA47" s="133"/>
      <c r="EB47" s="133"/>
      <c r="EC47" s="133"/>
      <c r="ED47" s="133"/>
      <c r="EE47" s="133"/>
      <c r="EF47" s="133"/>
      <c r="EG47" s="133"/>
      <c r="EH47" s="133"/>
      <c r="EI47" s="133"/>
      <c r="EJ47" s="133"/>
      <c r="EK47" s="133"/>
      <c r="EL47" s="133"/>
      <c r="EM47" s="133"/>
      <c r="EN47" s="133"/>
      <c r="EO47" s="133"/>
      <c r="EP47" s="133"/>
      <c r="EQ47" s="133"/>
      <c r="ER47" s="133"/>
      <c r="ES47" s="133"/>
      <c r="ET47" s="133"/>
      <c r="EU47" s="133"/>
      <c r="EV47" s="133"/>
      <c r="EW47" s="133"/>
      <c r="EX47" s="133"/>
      <c r="EY47" s="133"/>
      <c r="EZ47" s="133"/>
      <c r="FA47" s="133"/>
      <c r="FB47" s="133"/>
      <c r="FC47" s="133"/>
      <c r="FD47" s="133"/>
      <c r="FE47" s="133"/>
      <c r="FF47" s="133"/>
      <c r="FG47" s="133"/>
      <c r="FH47" s="133"/>
      <c r="FI47" s="133"/>
      <c r="FJ47" s="133"/>
      <c r="FK47" s="133"/>
      <c r="FL47" s="133"/>
      <c r="FM47" s="133"/>
      <c r="FN47" s="133"/>
      <c r="FO47" s="133"/>
      <c r="FP47" s="133"/>
      <c r="FQ47" s="133"/>
      <c r="FR47" s="133"/>
      <c r="FS47" s="133"/>
      <c r="FT47" s="133"/>
      <c r="FU47" s="133"/>
      <c r="FV47" s="133"/>
      <c r="FW47" s="133"/>
      <c r="FX47" s="133"/>
      <c r="FY47" s="133"/>
      <c r="FZ47" s="133"/>
      <c r="GA47" s="133"/>
      <c r="GB47" s="133"/>
      <c r="GC47" s="133"/>
      <c r="GD47" s="133"/>
      <c r="GE47" s="133"/>
      <c r="GF47" s="133"/>
      <c r="GG47" s="133"/>
      <c r="GH47" s="133"/>
      <c r="GI47" s="133"/>
      <c r="GJ47" s="133"/>
      <c r="GK47" s="133"/>
      <c r="GL47" s="133"/>
      <c r="GM47" s="133"/>
      <c r="GN47" s="133"/>
      <c r="GO47" s="133"/>
      <c r="GP47" s="133"/>
      <c r="GQ47" s="133"/>
      <c r="GR47" s="133"/>
      <c r="GS47" s="133"/>
      <c r="GT47" s="133"/>
      <c r="GU47" s="133"/>
      <c r="GV47" s="133"/>
      <c r="GW47" s="133"/>
      <c r="GX47" s="133"/>
      <c r="GY47" s="133"/>
      <c r="GZ47" s="133"/>
      <c r="HA47" s="133"/>
      <c r="HB47" s="133"/>
      <c r="HC47" s="133"/>
      <c r="HD47" s="133"/>
      <c r="HE47" s="133"/>
      <c r="HF47" s="133"/>
      <c r="HG47" s="133"/>
      <c r="HH47" s="133"/>
      <c r="HI47" s="133"/>
      <c r="HJ47" s="133"/>
      <c r="HK47" s="133"/>
      <c r="HL47" s="133"/>
      <c r="HM47" s="133"/>
    </row>
    <row r="48" spans="1:221" ht="15" x14ac:dyDescent="0.25">
      <c r="A48" s="133"/>
      <c r="B48" s="127" t="s">
        <v>118</v>
      </c>
      <c r="C48" s="133">
        <v>6.7567831604133322E-2</v>
      </c>
      <c r="D48" s="133">
        <v>6.6537642790310575E-2</v>
      </c>
      <c r="E48" s="133">
        <v>6.4663388580867287E-2</v>
      </c>
      <c r="F48" s="133">
        <v>7.3673767110216892E-2</v>
      </c>
      <c r="G48" s="133">
        <v>6.7133690845093505E-2</v>
      </c>
      <c r="H48" s="133">
        <v>7.3874256778754865E-2</v>
      </c>
      <c r="I48" s="133">
        <v>6.5238204541482589E-2</v>
      </c>
      <c r="J48" s="133">
        <v>6.9867974541331423E-2</v>
      </c>
      <c r="K48" s="133">
        <v>8.0375951557631997E-2</v>
      </c>
      <c r="L48" s="133">
        <v>8.0629747946063091E-2</v>
      </c>
      <c r="M48" s="133">
        <v>7.8508845297646346E-2</v>
      </c>
      <c r="N48" s="133">
        <v>7.0132241556602901E-2</v>
      </c>
      <c r="O48" s="133">
        <v>7.291902429356352E-2</v>
      </c>
      <c r="P48" s="133">
        <v>6.7036451554076296E-2</v>
      </c>
      <c r="Q48" s="133">
        <v>9.4837675415530565E-2</v>
      </c>
      <c r="R48" s="133">
        <v>6.6767455782797594E-2</v>
      </c>
      <c r="S48" s="133">
        <v>7.4700275575711933E-2</v>
      </c>
      <c r="T48" s="133">
        <v>8.921561234615942E-2</v>
      </c>
      <c r="U48" s="133">
        <v>7.7979432640235116E-2</v>
      </c>
      <c r="V48" s="133">
        <v>8.4840428126489162E-2</v>
      </c>
      <c r="W48" s="133">
        <v>7.5879775265926624E-2</v>
      </c>
      <c r="X48" s="133">
        <v>7.0862047770297379E-2</v>
      </c>
      <c r="Y48" s="133">
        <v>7.2841658411722951E-2</v>
      </c>
      <c r="Z48" s="133">
        <v>7.132651391178009E-2</v>
      </c>
      <c r="AA48" s="133">
        <v>7.6000548747231625E-2</v>
      </c>
      <c r="AB48" s="133">
        <v>6.7757529381670747E-2</v>
      </c>
      <c r="AC48" s="133">
        <v>7.1653024464395226E-2</v>
      </c>
      <c r="AD48" s="133">
        <v>6.588458629134894E-2</v>
      </c>
      <c r="AE48" s="133">
        <v>7.0255368162003229E-2</v>
      </c>
      <c r="AF48" s="133">
        <v>7.5213211268493507E-2</v>
      </c>
      <c r="AG48" s="133">
        <v>8.0547450469362361E-2</v>
      </c>
      <c r="AH48" s="133">
        <v>8.0584815915828445E-2</v>
      </c>
      <c r="AI48" s="133">
        <v>7.4240949774220535E-2</v>
      </c>
      <c r="AJ48" s="133">
        <v>7.7006021652619008E-2</v>
      </c>
      <c r="AK48" s="133">
        <v>6.996467113273637E-2</v>
      </c>
      <c r="AL48" s="133">
        <v>7.5940080144979175E-2</v>
      </c>
      <c r="AM48" s="133">
        <v>9.1673957676798104E-2</v>
      </c>
      <c r="AN48" s="133">
        <v>8.492130049903801E-2</v>
      </c>
      <c r="AO48" s="133">
        <v>8.8901256923463359E-2</v>
      </c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33"/>
      <c r="DZ48" s="133"/>
      <c r="EA48" s="133"/>
      <c r="EB48" s="133"/>
      <c r="EC48" s="133"/>
      <c r="ED48" s="133"/>
      <c r="EE48" s="133"/>
      <c r="EF48" s="133"/>
      <c r="EG48" s="133"/>
      <c r="EH48" s="133"/>
      <c r="EI48" s="133"/>
      <c r="EJ48" s="133"/>
      <c r="EK48" s="133"/>
      <c r="EL48" s="133"/>
      <c r="EM48" s="133"/>
      <c r="EN48" s="133"/>
      <c r="EO48" s="133"/>
      <c r="EP48" s="133"/>
      <c r="EQ48" s="133"/>
      <c r="ER48" s="133"/>
      <c r="ES48" s="133"/>
      <c r="ET48" s="133"/>
      <c r="EU48" s="133"/>
      <c r="EV48" s="133"/>
      <c r="EW48" s="133"/>
      <c r="EX48" s="133"/>
      <c r="EY48" s="133"/>
      <c r="EZ48" s="133"/>
      <c r="FA48" s="133"/>
      <c r="FB48" s="133"/>
      <c r="FC48" s="133"/>
      <c r="FD48" s="133"/>
      <c r="FE48" s="133"/>
      <c r="FF48" s="133"/>
      <c r="FG48" s="133"/>
      <c r="FH48" s="133"/>
      <c r="FI48" s="133"/>
      <c r="FJ48" s="133"/>
      <c r="FK48" s="133"/>
      <c r="FL48" s="133"/>
      <c r="FM48" s="133"/>
      <c r="FN48" s="133"/>
      <c r="FO48" s="133"/>
      <c r="FP48" s="133"/>
      <c r="FQ48" s="133"/>
      <c r="FR48" s="133"/>
      <c r="FS48" s="133"/>
      <c r="FT48" s="133"/>
      <c r="FU48" s="133"/>
      <c r="FV48" s="133"/>
      <c r="FW48" s="133"/>
      <c r="FX48" s="133"/>
      <c r="FY48" s="133"/>
      <c r="FZ48" s="133"/>
      <c r="GA48" s="133"/>
      <c r="GB48" s="133"/>
      <c r="GC48" s="133"/>
      <c r="GD48" s="133"/>
      <c r="GE48" s="133"/>
      <c r="GF48" s="133"/>
      <c r="GG48" s="133"/>
      <c r="GH48" s="133"/>
      <c r="GI48" s="133"/>
      <c r="GJ48" s="133"/>
      <c r="GK48" s="133"/>
      <c r="GL48" s="133"/>
      <c r="GM48" s="133"/>
      <c r="GN48" s="133"/>
      <c r="GO48" s="133"/>
      <c r="GP48" s="133"/>
      <c r="GQ48" s="133"/>
      <c r="GR48" s="133"/>
      <c r="GS48" s="133"/>
      <c r="GT48" s="133"/>
      <c r="GU48" s="133"/>
      <c r="GV48" s="133"/>
      <c r="GW48" s="133"/>
      <c r="GX48" s="133"/>
      <c r="GY48" s="133"/>
      <c r="GZ48" s="133"/>
      <c r="HA48" s="133"/>
      <c r="HB48" s="133"/>
      <c r="HC48" s="133"/>
      <c r="HD48" s="133"/>
      <c r="HE48" s="133"/>
      <c r="HF48" s="133"/>
      <c r="HG48" s="133"/>
      <c r="HH48" s="133"/>
      <c r="HI48" s="133"/>
      <c r="HJ48" s="133"/>
      <c r="HK48" s="133"/>
      <c r="HL48" s="133"/>
      <c r="HM48" s="133"/>
    </row>
    <row r="49" spans="1:221" ht="15" x14ac:dyDescent="0.25">
      <c r="A49" s="133"/>
      <c r="B49" s="129" t="s">
        <v>120</v>
      </c>
      <c r="C49" s="133">
        <v>2.6567712908330474E-2</v>
      </c>
      <c r="D49" s="133">
        <v>-3.3342422624004837E-2</v>
      </c>
      <c r="E49" s="133">
        <v>1.0345356303721139E-2</v>
      </c>
      <c r="F49" s="133">
        <v>5.6340384151295523E-3</v>
      </c>
      <c r="G49" s="133">
        <v>6.2865062969926708E-3</v>
      </c>
      <c r="H49" s="133">
        <v>-4.675568319097146E-3</v>
      </c>
      <c r="I49" s="133">
        <v>1.5211754288580235E-2</v>
      </c>
      <c r="J49" s="133">
        <v>2.9982721650681641E-2</v>
      </c>
      <c r="K49" s="133">
        <v>-7.8888314956628263E-4</v>
      </c>
      <c r="L49" s="133">
        <v>1.8013625631014992E-2</v>
      </c>
      <c r="M49" s="133">
        <v>1.2202223805191457E-2</v>
      </c>
      <c r="N49" s="133">
        <v>-3.2284519587943088E-2</v>
      </c>
      <c r="O49" s="133">
        <v>-1.5455602849064019E-2</v>
      </c>
      <c r="P49" s="133">
        <v>2.7490238877494917E-3</v>
      </c>
      <c r="Q49" s="133">
        <v>2.8639451975114909E-2</v>
      </c>
      <c r="R49" s="133">
        <v>3.3014235491551303E-2</v>
      </c>
      <c r="S49" s="133">
        <v>6.5309120334486229E-2</v>
      </c>
      <c r="T49" s="133">
        <v>5.8461396852448236E-2</v>
      </c>
      <c r="U49" s="133">
        <v>-1.9009840633389438E-2</v>
      </c>
      <c r="V49" s="133">
        <v>4.8226275676750578E-2</v>
      </c>
      <c r="W49" s="133">
        <v>4.983348968546223E-2</v>
      </c>
      <c r="X49" s="133">
        <v>7.2155994036790239E-2</v>
      </c>
      <c r="Y49" s="133">
        <v>4.8318556187552146E-2</v>
      </c>
      <c r="Z49" s="133">
        <v>4.5949795412288351E-2</v>
      </c>
      <c r="AA49" s="133">
        <v>6.8333826253853161E-2</v>
      </c>
      <c r="AB49" s="133">
        <v>5.0223851168513092E-2</v>
      </c>
      <c r="AC49" s="133">
        <v>4.2154486752342721E-2</v>
      </c>
      <c r="AD49" s="133">
        <v>0.10473093333664889</v>
      </c>
      <c r="AE49" s="133">
        <v>0.10070773181590231</v>
      </c>
      <c r="AF49" s="133">
        <v>0.15271972937456232</v>
      </c>
      <c r="AG49" s="133">
        <v>8.3317635640201948E-2</v>
      </c>
      <c r="AH49" s="133">
        <v>7.9506738006287395E-2</v>
      </c>
      <c r="AI49" s="133">
        <v>8.3242623305808727E-2</v>
      </c>
      <c r="AJ49" s="133">
        <v>0.12056220213764067</v>
      </c>
      <c r="AK49" s="133">
        <v>3.4288324820996377E-2</v>
      </c>
      <c r="AL49" s="133">
        <v>7.0772192478554971E-2</v>
      </c>
      <c r="AM49" s="133">
        <v>1.2744234728716186E-2</v>
      </c>
      <c r="AN49" s="133">
        <v>5.8541971526950955E-3</v>
      </c>
      <c r="AO49" s="133">
        <v>2.6189243797103436E-2</v>
      </c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3"/>
      <c r="CG49" s="133"/>
      <c r="CH49" s="133"/>
      <c r="CI49" s="133"/>
      <c r="CJ49" s="133"/>
      <c r="CK49" s="133"/>
      <c r="CL49" s="133"/>
      <c r="CM49" s="133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33"/>
      <c r="DZ49" s="133"/>
      <c r="EA49" s="133"/>
      <c r="EB49" s="133"/>
      <c r="EC49" s="133"/>
      <c r="ED49" s="133"/>
      <c r="EE49" s="133"/>
      <c r="EF49" s="133"/>
      <c r="EG49" s="133"/>
      <c r="EH49" s="133"/>
      <c r="EI49" s="133"/>
      <c r="EJ49" s="133"/>
      <c r="EK49" s="133"/>
      <c r="EL49" s="133"/>
      <c r="EM49" s="133"/>
      <c r="EN49" s="133"/>
      <c r="EO49" s="133"/>
      <c r="EP49" s="133"/>
      <c r="EQ49" s="133"/>
      <c r="ER49" s="133"/>
      <c r="ES49" s="133"/>
      <c r="ET49" s="133"/>
      <c r="EU49" s="133"/>
      <c r="EV49" s="133"/>
      <c r="EW49" s="133"/>
      <c r="EX49" s="133"/>
      <c r="EY49" s="133"/>
      <c r="EZ49" s="133"/>
      <c r="FA49" s="133"/>
      <c r="FB49" s="133"/>
      <c r="FC49" s="133"/>
      <c r="FD49" s="133"/>
      <c r="FE49" s="133"/>
      <c r="FF49" s="133"/>
      <c r="FG49" s="133"/>
      <c r="FH49" s="133"/>
      <c r="FI49" s="133"/>
      <c r="FJ49" s="133"/>
      <c r="FK49" s="133"/>
      <c r="FL49" s="133"/>
      <c r="FM49" s="133"/>
      <c r="FN49" s="133"/>
      <c r="FO49" s="133"/>
      <c r="FP49" s="133"/>
      <c r="FQ49" s="133"/>
      <c r="FR49" s="133"/>
      <c r="FS49" s="133"/>
      <c r="FT49" s="133"/>
      <c r="FU49" s="133"/>
      <c r="FV49" s="133"/>
      <c r="FW49" s="133"/>
      <c r="FX49" s="133"/>
      <c r="FY49" s="133"/>
      <c r="FZ49" s="133"/>
      <c r="GA49" s="133"/>
      <c r="GB49" s="133"/>
      <c r="GC49" s="133"/>
      <c r="GD49" s="133"/>
      <c r="GE49" s="133"/>
      <c r="GF49" s="133"/>
      <c r="GG49" s="133"/>
      <c r="GH49" s="133"/>
      <c r="GI49" s="133"/>
      <c r="GJ49" s="133"/>
      <c r="GK49" s="133"/>
      <c r="GL49" s="133"/>
      <c r="GM49" s="133"/>
      <c r="GN49" s="133"/>
      <c r="GO49" s="133"/>
      <c r="GP49" s="133"/>
      <c r="GQ49" s="133"/>
      <c r="GR49" s="133"/>
      <c r="GS49" s="133"/>
      <c r="GT49" s="133"/>
      <c r="GU49" s="133"/>
      <c r="GV49" s="133"/>
      <c r="GW49" s="133"/>
      <c r="GX49" s="133"/>
      <c r="GY49" s="133"/>
      <c r="GZ49" s="133"/>
      <c r="HA49" s="133"/>
      <c r="HB49" s="133"/>
      <c r="HC49" s="133"/>
      <c r="HD49" s="133"/>
      <c r="HE49" s="133"/>
      <c r="HF49" s="133"/>
      <c r="HG49" s="133"/>
      <c r="HH49" s="133"/>
      <c r="HI49" s="133"/>
      <c r="HJ49" s="133"/>
      <c r="HK49" s="133"/>
      <c r="HL49" s="133"/>
      <c r="HM49" s="133"/>
    </row>
    <row r="50" spans="1:221" ht="15" x14ac:dyDescent="0.25">
      <c r="A50" s="133"/>
      <c r="B50" s="126" t="s">
        <v>121</v>
      </c>
      <c r="C50" s="133">
        <v>1</v>
      </c>
      <c r="D50" s="133">
        <v>1</v>
      </c>
      <c r="E50" s="133">
        <v>1</v>
      </c>
      <c r="F50" s="133">
        <v>1</v>
      </c>
      <c r="G50" s="133">
        <v>1</v>
      </c>
      <c r="H50" s="133">
        <v>1</v>
      </c>
      <c r="I50" s="133">
        <v>1</v>
      </c>
      <c r="J50" s="133">
        <v>1</v>
      </c>
      <c r="K50" s="133">
        <v>1</v>
      </c>
      <c r="L50" s="133">
        <v>1</v>
      </c>
      <c r="M50" s="133">
        <v>1</v>
      </c>
      <c r="N50" s="133">
        <v>1</v>
      </c>
      <c r="O50" s="133">
        <v>1</v>
      </c>
      <c r="P50" s="133">
        <v>1</v>
      </c>
      <c r="Q50" s="133">
        <v>1</v>
      </c>
      <c r="R50" s="133">
        <v>1</v>
      </c>
      <c r="S50" s="133">
        <v>1</v>
      </c>
      <c r="T50" s="133">
        <v>1</v>
      </c>
      <c r="U50" s="133">
        <v>1</v>
      </c>
      <c r="V50" s="133">
        <v>1</v>
      </c>
      <c r="W50" s="133">
        <v>1</v>
      </c>
      <c r="X50" s="133">
        <v>1</v>
      </c>
      <c r="Y50" s="133">
        <v>1</v>
      </c>
      <c r="Z50" s="133">
        <v>1</v>
      </c>
      <c r="AA50" s="133">
        <v>1</v>
      </c>
      <c r="AB50" s="133">
        <v>1</v>
      </c>
      <c r="AC50" s="133">
        <v>1</v>
      </c>
      <c r="AD50" s="133">
        <v>1</v>
      </c>
      <c r="AE50" s="133">
        <v>1</v>
      </c>
      <c r="AF50" s="133">
        <v>1</v>
      </c>
      <c r="AG50" s="133">
        <v>1</v>
      </c>
      <c r="AH50" s="133">
        <v>1</v>
      </c>
      <c r="AI50" s="133">
        <v>1</v>
      </c>
      <c r="AJ50" s="133">
        <v>1</v>
      </c>
      <c r="AK50" s="133">
        <v>1</v>
      </c>
      <c r="AL50" s="133">
        <v>1</v>
      </c>
      <c r="AM50" s="133">
        <v>1</v>
      </c>
      <c r="AN50" s="133">
        <v>1</v>
      </c>
      <c r="AO50" s="133">
        <v>1</v>
      </c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3"/>
      <c r="CG50" s="133"/>
      <c r="CH50" s="133"/>
      <c r="CI50" s="133"/>
      <c r="CJ50" s="133"/>
      <c r="CK50" s="133"/>
      <c r="CL50" s="133"/>
      <c r="CM50" s="133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33"/>
      <c r="DZ50" s="133"/>
      <c r="EA50" s="133"/>
      <c r="EB50" s="133"/>
      <c r="EC50" s="133"/>
      <c r="ED50" s="133"/>
      <c r="EE50" s="133"/>
      <c r="EF50" s="133"/>
      <c r="EG50" s="133"/>
      <c r="EH50" s="133"/>
      <c r="EI50" s="133"/>
      <c r="EJ50" s="133"/>
      <c r="EK50" s="133"/>
      <c r="EL50" s="133"/>
      <c r="EM50" s="133"/>
      <c r="EN50" s="133"/>
      <c r="EO50" s="133"/>
      <c r="EP50" s="133"/>
      <c r="EQ50" s="133"/>
      <c r="ER50" s="133"/>
      <c r="ES50" s="133"/>
      <c r="ET50" s="133"/>
      <c r="EU50" s="133"/>
      <c r="EV50" s="133"/>
      <c r="EW50" s="133"/>
      <c r="EX50" s="133"/>
      <c r="EY50" s="133"/>
      <c r="EZ50" s="133"/>
      <c r="FA50" s="133"/>
      <c r="FB50" s="133"/>
      <c r="FC50" s="133"/>
      <c r="FD50" s="133"/>
      <c r="FE50" s="133"/>
      <c r="FF50" s="133"/>
      <c r="FG50" s="133"/>
      <c r="FH50" s="133"/>
      <c r="FI50" s="133"/>
      <c r="FJ50" s="133"/>
      <c r="FK50" s="133"/>
      <c r="FL50" s="133"/>
      <c r="FM50" s="133"/>
      <c r="FN50" s="133"/>
      <c r="FO50" s="133"/>
      <c r="FP50" s="133"/>
      <c r="FQ50" s="133"/>
      <c r="FR50" s="133"/>
      <c r="FS50" s="133"/>
      <c r="FT50" s="133"/>
      <c r="FU50" s="133"/>
      <c r="FV50" s="133"/>
      <c r="FW50" s="133"/>
      <c r="FX50" s="133"/>
      <c r="FY50" s="133"/>
      <c r="FZ50" s="133"/>
      <c r="GA50" s="133"/>
      <c r="GB50" s="133"/>
      <c r="GC50" s="133"/>
      <c r="GD50" s="133"/>
      <c r="GE50" s="133"/>
      <c r="GF50" s="133"/>
      <c r="GG50" s="133"/>
      <c r="GH50" s="133"/>
      <c r="GI50" s="133"/>
      <c r="GJ50" s="133"/>
      <c r="GK50" s="133"/>
      <c r="GL50" s="133"/>
      <c r="GM50" s="133"/>
      <c r="GN50" s="133"/>
      <c r="GO50" s="133"/>
      <c r="GP50" s="133"/>
      <c r="GQ50" s="133"/>
      <c r="GR50" s="133"/>
      <c r="GS50" s="133"/>
      <c r="GT50" s="133"/>
      <c r="GU50" s="133"/>
      <c r="GV50" s="133"/>
      <c r="GW50" s="133"/>
      <c r="GX50" s="133"/>
      <c r="GY50" s="133"/>
      <c r="GZ50" s="133"/>
      <c r="HA50" s="133"/>
      <c r="HB50" s="133"/>
      <c r="HC50" s="133"/>
      <c r="HD50" s="133"/>
      <c r="HE50" s="133"/>
      <c r="HF50" s="133"/>
      <c r="HG50" s="133"/>
      <c r="HH50" s="133"/>
      <c r="HI50" s="133"/>
      <c r="HJ50" s="133"/>
      <c r="HK50" s="133"/>
      <c r="HL50" s="133"/>
      <c r="HM50" s="133"/>
    </row>
    <row r="51" spans="1:221" ht="15" x14ac:dyDescent="0.25">
      <c r="A51" s="135"/>
      <c r="B51" s="132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  <c r="GN51" s="136"/>
      <c r="GO51" s="136"/>
      <c r="GP51" s="136"/>
      <c r="GQ51" s="136"/>
      <c r="GR51" s="136"/>
      <c r="GS51" s="136"/>
      <c r="GT51" s="136"/>
      <c r="GU51" s="136"/>
      <c r="GV51" s="136"/>
      <c r="GW51" s="136"/>
      <c r="GX51" s="136"/>
      <c r="GY51" s="136"/>
      <c r="GZ51" s="136"/>
      <c r="HA51" s="136"/>
      <c r="HB51" s="136"/>
      <c r="HC51" s="136"/>
      <c r="HD51" s="136"/>
      <c r="HE51" s="136"/>
      <c r="HF51" s="136"/>
      <c r="HG51" s="136"/>
      <c r="HH51" s="136"/>
      <c r="HI51" s="136"/>
      <c r="HJ51" s="136"/>
      <c r="HK51" s="136"/>
      <c r="HL51" s="136"/>
      <c r="HM51" s="136"/>
    </row>
    <row r="52" spans="1:221" ht="15" x14ac:dyDescent="0.25">
      <c r="A52" s="136"/>
      <c r="B52" s="137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21" ht="15" x14ac:dyDescent="0.25">
      <c r="A53" s="136"/>
      <c r="B53" s="136"/>
    </row>
    <row r="54" spans="1:221" ht="15" x14ac:dyDescent="0.25">
      <c r="A54" s="136"/>
      <c r="B54" s="136"/>
    </row>
    <row r="55" spans="1:221" ht="15" x14ac:dyDescent="0.25">
      <c r="A55" s="136"/>
      <c r="B55" s="136"/>
    </row>
    <row r="56" spans="1:221" ht="15" x14ac:dyDescent="0.25">
      <c r="A56" s="133"/>
      <c r="B56" s="134"/>
    </row>
    <row r="57" spans="1:221" ht="15" x14ac:dyDescent="0.25">
      <c r="A57" s="133"/>
      <c r="B57" s="133"/>
    </row>
    <row r="58" spans="1:221" ht="15" x14ac:dyDescent="0.25">
      <c r="A58" s="133"/>
      <c r="B58" s="133"/>
    </row>
    <row r="59" spans="1:221" ht="15" x14ac:dyDescent="0.25">
      <c r="A59" s="133"/>
      <c r="B59" s="133"/>
    </row>
    <row r="60" spans="1:221" ht="15" x14ac:dyDescent="0.25"/>
    <row r="61" spans="1:221" ht="15" x14ac:dyDescent="0.25">
      <c r="A61" s="138"/>
      <c r="B61" s="138"/>
    </row>
    <row r="62" spans="1:221" ht="15" x14ac:dyDescent="0.25">
      <c r="A62" s="139"/>
      <c r="B62" s="1"/>
    </row>
    <row r="63" spans="1:221" ht="15" x14ac:dyDescent="0.25">
      <c r="A63" s="125"/>
      <c r="B63" s="126"/>
    </row>
    <row r="64" spans="1:221" ht="15" x14ac:dyDescent="0.25">
      <c r="A64" s="3"/>
      <c r="B64" s="2"/>
    </row>
    <row r="65" spans="1:8" s="114" customFormat="1" ht="15" x14ac:dyDescent="0.25">
      <c r="A65" s="3"/>
      <c r="B65" s="2"/>
      <c r="C65"/>
      <c r="D65"/>
      <c r="E65"/>
      <c r="F65"/>
      <c r="G65"/>
      <c r="H65"/>
    </row>
    <row r="66" spans="1:8" s="114" customFormat="1" ht="15" x14ac:dyDescent="0.25">
      <c r="A66" s="3"/>
      <c r="B66" s="2"/>
      <c r="C66"/>
      <c r="D66"/>
      <c r="E66"/>
      <c r="F66"/>
      <c r="G66"/>
      <c r="H66"/>
    </row>
    <row r="67" spans="1:8" s="114" customFormat="1" ht="15" x14ac:dyDescent="0.25">
      <c r="A67" s="125"/>
      <c r="B67" s="126"/>
      <c r="C67"/>
      <c r="D67"/>
      <c r="E67"/>
      <c r="F67"/>
      <c r="G67"/>
      <c r="H67"/>
    </row>
    <row r="68" spans="1:8" s="114" customFormat="1" ht="15" x14ac:dyDescent="0.25">
      <c r="A68" s="3"/>
      <c r="B68" s="2"/>
      <c r="C68"/>
      <c r="D68"/>
      <c r="E68"/>
      <c r="F68"/>
      <c r="G68"/>
      <c r="H68"/>
    </row>
    <row r="69" spans="1:8" s="114" customFormat="1" ht="15" x14ac:dyDescent="0.25">
      <c r="A69" s="3"/>
      <c r="B69" s="2"/>
      <c r="C69"/>
      <c r="D69"/>
      <c r="E69"/>
      <c r="F69"/>
      <c r="G69"/>
      <c r="H69"/>
    </row>
    <row r="70" spans="1:8" s="114" customFormat="1" ht="15" x14ac:dyDescent="0.25">
      <c r="A70" s="3"/>
      <c r="B70" s="2"/>
      <c r="C70"/>
      <c r="D70"/>
      <c r="E70"/>
      <c r="F70"/>
      <c r="G70"/>
      <c r="H70"/>
    </row>
    <row r="71" spans="1:8" s="114" customFormat="1" ht="15" x14ac:dyDescent="0.25">
      <c r="A71" s="133"/>
      <c r="B71" s="134"/>
      <c r="C71"/>
      <c r="D71"/>
      <c r="E71"/>
      <c r="F71"/>
      <c r="G71"/>
      <c r="H71"/>
    </row>
    <row r="72" spans="1:8" s="114" customFormat="1" ht="15" x14ac:dyDescent="0.25">
      <c r="A72" s="133"/>
      <c r="B72" s="133"/>
      <c r="C72"/>
      <c r="D72"/>
      <c r="E72"/>
      <c r="F72"/>
      <c r="G72"/>
      <c r="H72"/>
    </row>
    <row r="73" spans="1:8" s="114" customFormat="1" ht="15" x14ac:dyDescent="0.25">
      <c r="A73" s="133"/>
      <c r="B73" s="133"/>
      <c r="C73"/>
      <c r="D73"/>
      <c r="E73"/>
      <c r="F73"/>
      <c r="G73"/>
      <c r="H73"/>
    </row>
    <row r="74" spans="1:8" s="114" customFormat="1" ht="15" x14ac:dyDescent="0.25">
      <c r="A74" s="133"/>
      <c r="B74" s="133"/>
      <c r="C74"/>
      <c r="D74"/>
      <c r="E74"/>
      <c r="F74"/>
      <c r="G74"/>
      <c r="H74"/>
    </row>
    <row r="75" spans="1:8" s="114" customFormat="1" ht="15" x14ac:dyDescent="0.25">
      <c r="A75" s="136"/>
      <c r="B75" s="137"/>
      <c r="C75"/>
      <c r="D75"/>
      <c r="E75"/>
      <c r="F75"/>
      <c r="G75"/>
      <c r="H75"/>
    </row>
    <row r="76" spans="1:8" s="114" customFormat="1" ht="15" x14ac:dyDescent="0.25">
      <c r="A76" s="136"/>
      <c r="B76" s="136"/>
      <c r="C76"/>
      <c r="D76"/>
      <c r="E76"/>
      <c r="F76"/>
      <c r="G76"/>
      <c r="H76"/>
    </row>
    <row r="77" spans="1:8" s="114" customFormat="1" ht="15" x14ac:dyDescent="0.25">
      <c r="A77" s="136"/>
      <c r="B77" s="136"/>
      <c r="C77"/>
      <c r="D77"/>
      <c r="E77"/>
      <c r="F77"/>
      <c r="G77"/>
      <c r="H77"/>
    </row>
    <row r="78" spans="1:8" s="114" customFormat="1" ht="15" x14ac:dyDescent="0.25">
      <c r="A78" s="136"/>
      <c r="B78" s="136"/>
      <c r="C78"/>
      <c r="D78"/>
      <c r="E78"/>
      <c r="F78"/>
      <c r="G78"/>
      <c r="H78"/>
    </row>
    <row r="79" spans="1:8" s="114" customFormat="1" ht="15" x14ac:dyDescent="0.25">
      <c r="A79" s="136"/>
      <c r="B79" s="137"/>
      <c r="C79"/>
      <c r="D79"/>
      <c r="E79"/>
      <c r="F79"/>
      <c r="G79"/>
      <c r="H79"/>
    </row>
    <row r="80" spans="1:8" s="114" customFormat="1" ht="15" x14ac:dyDescent="0.25">
      <c r="A80" s="136"/>
      <c r="B80" s="136"/>
      <c r="C80"/>
      <c r="D80"/>
      <c r="E80"/>
      <c r="F80"/>
      <c r="G80"/>
      <c r="H80"/>
    </row>
    <row r="81" spans="1:221" ht="15" x14ac:dyDescent="0.25">
      <c r="A81" s="136"/>
      <c r="B81" s="136"/>
    </row>
    <row r="82" spans="1:221" ht="15" x14ac:dyDescent="0.25">
      <c r="A82" s="136"/>
      <c r="B82" s="136"/>
    </row>
    <row r="83" spans="1:221" ht="15" x14ac:dyDescent="0.25">
      <c r="A83" s="133"/>
      <c r="B83" s="134"/>
    </row>
    <row r="84" spans="1:221" ht="15" x14ac:dyDescent="0.25">
      <c r="A84" s="133"/>
      <c r="B84" s="133"/>
    </row>
    <row r="85" spans="1:221" ht="15" x14ac:dyDescent="0.25">
      <c r="A85" s="133"/>
      <c r="B85" s="133"/>
    </row>
    <row r="86" spans="1:221" ht="15" x14ac:dyDescent="0.25">
      <c r="A86" s="133"/>
      <c r="B86" s="133"/>
    </row>
    <row r="87" spans="1:221" ht="15" x14ac:dyDescent="0.25"/>
    <row r="88" spans="1:221" ht="15" x14ac:dyDescent="0.25">
      <c r="A88" s="138"/>
      <c r="B88" s="138"/>
      <c r="C88" s="124"/>
      <c r="D88" s="124"/>
      <c r="E88" s="124"/>
      <c r="F88" s="124"/>
      <c r="G88" s="124"/>
      <c r="H88" s="12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</row>
    <row r="89" spans="1:221" ht="15" x14ac:dyDescent="0.25">
      <c r="A89" s="139"/>
      <c r="B89" s="1"/>
    </row>
    <row r="90" spans="1:221" ht="15" x14ac:dyDescent="0.25">
      <c r="A90" s="125"/>
      <c r="B90" s="126"/>
    </row>
    <row r="91" spans="1:221" ht="15" x14ac:dyDescent="0.25">
      <c r="A91" s="3"/>
      <c r="B91" s="2"/>
    </row>
    <row r="92" spans="1:221" ht="15" x14ac:dyDescent="0.25">
      <c r="A92" s="3"/>
      <c r="B92" s="2"/>
    </row>
    <row r="93" spans="1:221" ht="15" x14ac:dyDescent="0.25">
      <c r="A93" s="3"/>
      <c r="B93" s="2"/>
    </row>
    <row r="94" spans="1:221" ht="15" x14ac:dyDescent="0.25">
      <c r="A94" s="125"/>
      <c r="B94" s="126"/>
    </row>
    <row r="95" spans="1:221" ht="15" x14ac:dyDescent="0.25">
      <c r="A95" s="3"/>
      <c r="B95" s="2"/>
    </row>
    <row r="96" spans="1:221" ht="15" x14ac:dyDescent="0.25">
      <c r="A96" s="3"/>
      <c r="B96" s="2"/>
    </row>
    <row r="97" spans="1:8" s="114" customFormat="1" ht="15" x14ac:dyDescent="0.25">
      <c r="A97" s="3"/>
      <c r="B97" s="2"/>
      <c r="C97"/>
      <c r="D97"/>
      <c r="E97"/>
      <c r="F97"/>
      <c r="G97"/>
      <c r="H97"/>
    </row>
    <row r="98" spans="1:8" s="114" customFormat="1" ht="15" x14ac:dyDescent="0.25">
      <c r="A98" s="133"/>
      <c r="B98" s="134"/>
      <c r="C98"/>
      <c r="D98"/>
      <c r="E98"/>
      <c r="F98"/>
      <c r="G98"/>
      <c r="H98"/>
    </row>
    <row r="99" spans="1:8" s="114" customFormat="1" ht="15" x14ac:dyDescent="0.25">
      <c r="A99" s="133"/>
      <c r="B99" s="133"/>
      <c r="C99"/>
      <c r="D99"/>
      <c r="E99"/>
      <c r="F99"/>
      <c r="G99"/>
      <c r="H99"/>
    </row>
    <row r="100" spans="1:8" s="114" customFormat="1" ht="15" x14ac:dyDescent="0.25">
      <c r="A100" s="133"/>
      <c r="B100" s="133"/>
      <c r="C100"/>
      <c r="D100"/>
      <c r="E100"/>
      <c r="F100"/>
      <c r="G100"/>
      <c r="H100"/>
    </row>
    <row r="101" spans="1:8" s="114" customFormat="1" ht="15" x14ac:dyDescent="0.25">
      <c r="A101" s="133"/>
      <c r="B101" s="133"/>
      <c r="C101"/>
      <c r="D101"/>
      <c r="E101"/>
      <c r="F101"/>
      <c r="G101"/>
      <c r="H101"/>
    </row>
    <row r="102" spans="1:8" s="114" customFormat="1" ht="15" x14ac:dyDescent="0.25">
      <c r="A102" s="136"/>
      <c r="B102" s="137"/>
      <c r="C102"/>
      <c r="D102"/>
      <c r="E102"/>
      <c r="F102"/>
      <c r="G102"/>
      <c r="H102"/>
    </row>
    <row r="103" spans="1:8" s="114" customFormat="1" ht="15" x14ac:dyDescent="0.25">
      <c r="A103" s="136"/>
      <c r="B103" s="136"/>
      <c r="C103"/>
      <c r="D103"/>
      <c r="E103"/>
      <c r="F103"/>
      <c r="G103"/>
      <c r="H103"/>
    </row>
    <row r="104" spans="1:8" s="114" customFormat="1" ht="15" x14ac:dyDescent="0.25">
      <c r="A104" s="136"/>
      <c r="B104" s="136"/>
      <c r="C104"/>
      <c r="D104"/>
      <c r="E104"/>
      <c r="F104"/>
      <c r="G104"/>
      <c r="H104"/>
    </row>
    <row r="105" spans="1:8" s="114" customFormat="1" ht="15" x14ac:dyDescent="0.25">
      <c r="A105" s="136"/>
      <c r="B105" s="136"/>
      <c r="C105"/>
      <c r="D105"/>
      <c r="E105"/>
      <c r="F105"/>
      <c r="G105"/>
      <c r="H105"/>
    </row>
    <row r="106" spans="1:8" s="114" customFormat="1" ht="15" x14ac:dyDescent="0.25">
      <c r="A106" s="136"/>
      <c r="B106" s="137"/>
      <c r="C106"/>
      <c r="D106"/>
      <c r="E106"/>
      <c r="F106"/>
      <c r="G106"/>
      <c r="H106"/>
    </row>
    <row r="107" spans="1:8" s="114" customFormat="1" ht="15" x14ac:dyDescent="0.25">
      <c r="A107" s="136"/>
      <c r="B107" s="136"/>
      <c r="C107"/>
      <c r="D107"/>
      <c r="E107"/>
      <c r="F107"/>
      <c r="G107"/>
      <c r="H107"/>
    </row>
    <row r="108" spans="1:8" s="114" customFormat="1" ht="15" x14ac:dyDescent="0.25">
      <c r="A108" s="136"/>
      <c r="B108" s="136"/>
      <c r="C108"/>
      <c r="D108"/>
      <c r="E108"/>
      <c r="F108"/>
      <c r="G108"/>
      <c r="H108"/>
    </row>
    <row r="109" spans="1:8" s="114" customFormat="1" ht="15" x14ac:dyDescent="0.25">
      <c r="A109" s="136"/>
      <c r="B109" s="136"/>
      <c r="C109"/>
      <c r="D109"/>
      <c r="E109"/>
      <c r="F109"/>
      <c r="G109"/>
      <c r="H109"/>
    </row>
    <row r="110" spans="1:8" s="114" customFormat="1" ht="15" x14ac:dyDescent="0.25">
      <c r="A110" s="133"/>
      <c r="B110" s="134"/>
      <c r="C110"/>
      <c r="D110"/>
      <c r="E110"/>
      <c r="F110"/>
      <c r="G110"/>
      <c r="H110"/>
    </row>
    <row r="111" spans="1:8" s="114" customFormat="1" ht="15" x14ac:dyDescent="0.25">
      <c r="A111" s="133"/>
      <c r="B111" s="133"/>
      <c r="C111"/>
      <c r="D111"/>
      <c r="E111"/>
      <c r="F111"/>
      <c r="G111"/>
      <c r="H111"/>
    </row>
    <row r="112" spans="1:8" s="114" customFormat="1" ht="15" x14ac:dyDescent="0.25">
      <c r="A112" s="133"/>
      <c r="B112" s="133"/>
      <c r="C112"/>
      <c r="D112"/>
      <c r="E112"/>
      <c r="F112"/>
      <c r="G112"/>
      <c r="H112"/>
    </row>
    <row r="113" spans="1:8" s="114" customFormat="1" ht="15" x14ac:dyDescent="0.25">
      <c r="A113" s="133"/>
      <c r="B113" s="133"/>
      <c r="C113"/>
      <c r="D113"/>
      <c r="E113"/>
      <c r="F113"/>
      <c r="G113"/>
      <c r="H113"/>
    </row>
    <row r="114" spans="1:8" s="114" customFormat="1" ht="15" x14ac:dyDescent="0.25">
      <c r="C114"/>
      <c r="D114"/>
      <c r="E114"/>
      <c r="F114"/>
      <c r="G114"/>
      <c r="H114"/>
    </row>
    <row r="115" spans="1:8" s="114" customFormat="1" ht="15" x14ac:dyDescent="0.25">
      <c r="A115" s="138"/>
      <c r="B115" s="138"/>
      <c r="C115"/>
      <c r="D115"/>
      <c r="E115"/>
      <c r="F115"/>
      <c r="G115"/>
      <c r="H115"/>
    </row>
    <row r="116" spans="1:8" s="114" customFormat="1" ht="15" x14ac:dyDescent="0.25">
      <c r="A116" s="139"/>
      <c r="B116" s="1"/>
      <c r="C116"/>
      <c r="D116"/>
      <c r="E116"/>
      <c r="F116"/>
      <c r="G116"/>
      <c r="H116"/>
    </row>
    <row r="117" spans="1:8" s="114" customFormat="1" ht="15" x14ac:dyDescent="0.25">
      <c r="A117" s="125"/>
      <c r="B117" s="126"/>
      <c r="C117"/>
      <c r="D117"/>
      <c r="E117"/>
      <c r="F117"/>
      <c r="G117"/>
      <c r="H117"/>
    </row>
    <row r="118" spans="1:8" s="114" customFormat="1" ht="15" x14ac:dyDescent="0.25">
      <c r="A118" s="3"/>
      <c r="B118" s="2"/>
      <c r="C118"/>
      <c r="D118"/>
      <c r="E118"/>
      <c r="F118"/>
      <c r="G118"/>
      <c r="H118"/>
    </row>
    <row r="119" spans="1:8" s="114" customFormat="1" ht="15" x14ac:dyDescent="0.25">
      <c r="A119" s="3"/>
      <c r="B119" s="2"/>
      <c r="C119"/>
      <c r="D119"/>
      <c r="E119"/>
      <c r="F119"/>
      <c r="G119"/>
      <c r="H119"/>
    </row>
    <row r="120" spans="1:8" s="114" customFormat="1" ht="15" x14ac:dyDescent="0.25">
      <c r="A120" s="3"/>
      <c r="B120" s="2"/>
      <c r="C120"/>
      <c r="D120"/>
      <c r="E120"/>
      <c r="F120"/>
      <c r="G120"/>
      <c r="H120"/>
    </row>
    <row r="121" spans="1:8" s="114" customFormat="1" ht="15" x14ac:dyDescent="0.25">
      <c r="A121" s="125"/>
      <c r="B121" s="126"/>
      <c r="C121"/>
      <c r="D121"/>
      <c r="E121"/>
      <c r="F121"/>
      <c r="G121"/>
      <c r="H121"/>
    </row>
    <row r="122" spans="1:8" s="114" customFormat="1" ht="15" x14ac:dyDescent="0.25">
      <c r="A122" s="3"/>
      <c r="B122" s="2"/>
      <c r="C122"/>
      <c r="D122"/>
      <c r="E122"/>
      <c r="F122"/>
      <c r="G122"/>
      <c r="H122"/>
    </row>
    <row r="123" spans="1:8" s="114" customFormat="1" ht="15" x14ac:dyDescent="0.25">
      <c r="A123" s="3"/>
      <c r="B123" s="2"/>
      <c r="C123"/>
      <c r="D123"/>
      <c r="E123"/>
      <c r="F123"/>
      <c r="G123"/>
      <c r="H123"/>
    </row>
    <row r="124" spans="1:8" s="114" customFormat="1" ht="15" x14ac:dyDescent="0.25">
      <c r="A124" s="3"/>
      <c r="B124" s="2"/>
      <c r="C124"/>
      <c r="D124"/>
      <c r="E124"/>
      <c r="F124"/>
      <c r="G124"/>
      <c r="H124"/>
    </row>
    <row r="125" spans="1:8" s="114" customFormat="1" ht="15" x14ac:dyDescent="0.25">
      <c r="A125" s="133"/>
      <c r="B125" s="134"/>
      <c r="C125"/>
      <c r="D125"/>
      <c r="E125"/>
      <c r="F125"/>
      <c r="G125"/>
      <c r="H125"/>
    </row>
    <row r="126" spans="1:8" s="114" customFormat="1" ht="15" x14ac:dyDescent="0.25">
      <c r="A126" s="133"/>
      <c r="B126" s="133"/>
      <c r="C126"/>
      <c r="D126"/>
      <c r="E126"/>
      <c r="F126"/>
      <c r="G126"/>
      <c r="H126"/>
    </row>
    <row r="127" spans="1:8" s="114" customFormat="1" ht="15" x14ac:dyDescent="0.25">
      <c r="A127" s="133"/>
      <c r="B127" s="133"/>
      <c r="C127"/>
      <c r="D127"/>
      <c r="E127"/>
      <c r="F127"/>
      <c r="G127"/>
      <c r="H127"/>
    </row>
    <row r="128" spans="1:8" s="114" customFormat="1" ht="15" x14ac:dyDescent="0.25">
      <c r="A128" s="133"/>
      <c r="B128" s="133"/>
      <c r="C128"/>
      <c r="D128"/>
      <c r="E128"/>
      <c r="F128"/>
      <c r="G128"/>
      <c r="H128"/>
    </row>
    <row r="129" spans="1:8" s="114" customFormat="1" ht="15" x14ac:dyDescent="0.25">
      <c r="A129" s="136"/>
      <c r="B129" s="137"/>
      <c r="C129"/>
      <c r="D129"/>
      <c r="E129"/>
      <c r="F129"/>
      <c r="G129"/>
      <c r="H129"/>
    </row>
    <row r="130" spans="1:8" s="114" customFormat="1" ht="15" x14ac:dyDescent="0.25">
      <c r="A130" s="136"/>
      <c r="B130" s="136"/>
      <c r="C130"/>
      <c r="D130"/>
      <c r="E130"/>
      <c r="F130"/>
      <c r="G130"/>
      <c r="H130"/>
    </row>
    <row r="131" spans="1:8" s="114" customFormat="1" ht="15" x14ac:dyDescent="0.25">
      <c r="A131" s="136"/>
      <c r="B131" s="136"/>
      <c r="C131"/>
      <c r="D131"/>
      <c r="E131"/>
      <c r="F131"/>
      <c r="G131"/>
      <c r="H131"/>
    </row>
    <row r="132" spans="1:8" s="114" customFormat="1" ht="15" x14ac:dyDescent="0.25">
      <c r="A132" s="136"/>
      <c r="B132" s="136"/>
      <c r="C132"/>
      <c r="D132"/>
      <c r="E132"/>
      <c r="F132"/>
      <c r="G132"/>
      <c r="H132"/>
    </row>
    <row r="133" spans="1:8" s="114" customFormat="1" ht="15" x14ac:dyDescent="0.25">
      <c r="A133" s="136"/>
      <c r="B133" s="137"/>
      <c r="C133"/>
      <c r="D133"/>
      <c r="E133"/>
      <c r="F133"/>
      <c r="G133"/>
      <c r="H133"/>
    </row>
    <row r="134" spans="1:8" s="114" customFormat="1" ht="15" x14ac:dyDescent="0.25">
      <c r="A134" s="136"/>
      <c r="B134" s="136"/>
      <c r="C134"/>
      <c r="D134"/>
      <c r="E134"/>
      <c r="F134"/>
      <c r="G134"/>
      <c r="H134"/>
    </row>
    <row r="135" spans="1:8" s="114" customFormat="1" ht="15" x14ac:dyDescent="0.25">
      <c r="A135" s="136"/>
      <c r="B135" s="136"/>
      <c r="C135"/>
      <c r="D135"/>
      <c r="E135"/>
      <c r="F135"/>
      <c r="G135"/>
      <c r="H135"/>
    </row>
    <row r="136" spans="1:8" s="114" customFormat="1" ht="15" x14ac:dyDescent="0.25">
      <c r="A136" s="136"/>
      <c r="B136" s="136"/>
      <c r="C136"/>
      <c r="D136"/>
      <c r="E136"/>
      <c r="F136"/>
      <c r="G136"/>
      <c r="H136"/>
    </row>
    <row r="137" spans="1:8" s="114" customFormat="1" ht="15" x14ac:dyDescent="0.25">
      <c r="A137" s="133"/>
      <c r="B137" s="134"/>
      <c r="C137"/>
      <c r="D137"/>
      <c r="E137"/>
      <c r="F137"/>
      <c r="G137"/>
      <c r="H137"/>
    </row>
    <row r="138" spans="1:8" s="114" customFormat="1" ht="15" x14ac:dyDescent="0.25">
      <c r="A138" s="133"/>
      <c r="B138" s="133"/>
      <c r="C138"/>
      <c r="D138"/>
      <c r="E138"/>
      <c r="F138"/>
      <c r="G138"/>
      <c r="H138"/>
    </row>
    <row r="139" spans="1:8" s="114" customFormat="1" ht="15" x14ac:dyDescent="0.25">
      <c r="A139" s="133"/>
      <c r="B139" s="133"/>
      <c r="C139"/>
      <c r="D139"/>
      <c r="E139"/>
      <c r="F139"/>
      <c r="G139"/>
      <c r="H139"/>
    </row>
    <row r="140" spans="1:8" s="114" customFormat="1" ht="15" x14ac:dyDescent="0.25">
      <c r="A140" s="133"/>
      <c r="B140" s="133"/>
      <c r="C140"/>
      <c r="D140"/>
      <c r="E140"/>
      <c r="F140"/>
      <c r="G140"/>
      <c r="H140"/>
    </row>
    <row r="141" spans="1:8" s="114" customFormat="1" ht="15" x14ac:dyDescent="0.25">
      <c r="C141"/>
      <c r="D141"/>
      <c r="E141"/>
      <c r="F141"/>
      <c r="G141"/>
      <c r="H141"/>
    </row>
    <row r="142" spans="1:8" s="114" customFormat="1" ht="15" x14ac:dyDescent="0.25">
      <c r="A142" s="138"/>
      <c r="B142" s="138"/>
      <c r="C142"/>
      <c r="D142"/>
      <c r="E142"/>
      <c r="F142"/>
      <c r="G142"/>
      <c r="H142"/>
    </row>
    <row r="143" spans="1:8" s="114" customFormat="1" ht="15" x14ac:dyDescent="0.25">
      <c r="A143" s="139"/>
      <c r="B143" s="1"/>
      <c r="C143"/>
      <c r="D143"/>
      <c r="E143"/>
      <c r="F143"/>
      <c r="G143"/>
      <c r="H143"/>
    </row>
    <row r="144" spans="1:8" s="114" customFormat="1" ht="15" x14ac:dyDescent="0.25">
      <c r="A144" s="125"/>
      <c r="B144" s="126"/>
      <c r="C144"/>
      <c r="D144"/>
      <c r="E144"/>
      <c r="F144"/>
      <c r="G144"/>
      <c r="H144"/>
    </row>
    <row r="145" spans="1:8" s="114" customFormat="1" ht="15" x14ac:dyDescent="0.25">
      <c r="A145" s="3"/>
      <c r="B145" s="2"/>
      <c r="C145"/>
      <c r="D145"/>
      <c r="E145"/>
      <c r="F145"/>
      <c r="G145"/>
      <c r="H145"/>
    </row>
    <row r="146" spans="1:8" s="114" customFormat="1" ht="15" x14ac:dyDescent="0.25">
      <c r="A146" s="3"/>
      <c r="B146" s="2"/>
      <c r="C146"/>
      <c r="D146"/>
      <c r="E146"/>
      <c r="F146"/>
      <c r="G146"/>
      <c r="H146"/>
    </row>
    <row r="147" spans="1:8" s="114" customFormat="1" ht="15" x14ac:dyDescent="0.25">
      <c r="A147" s="3"/>
      <c r="B147" s="2"/>
      <c r="C147"/>
      <c r="D147"/>
      <c r="E147"/>
      <c r="F147"/>
      <c r="G147"/>
      <c r="H147"/>
    </row>
    <row r="148" spans="1:8" s="114" customFormat="1" ht="15" x14ac:dyDescent="0.25">
      <c r="A148" s="125"/>
      <c r="B148" s="126"/>
      <c r="C148"/>
      <c r="D148"/>
      <c r="E148"/>
      <c r="F148"/>
      <c r="G148"/>
      <c r="H148"/>
    </row>
    <row r="149" spans="1:8" s="114" customFormat="1" ht="15" x14ac:dyDescent="0.25">
      <c r="A149" s="3"/>
      <c r="B149" s="2"/>
      <c r="C149"/>
      <c r="D149"/>
      <c r="E149"/>
      <c r="F149"/>
      <c r="G149"/>
      <c r="H149"/>
    </row>
    <row r="150" spans="1:8" s="114" customFormat="1" ht="15" x14ac:dyDescent="0.25">
      <c r="A150" s="3"/>
      <c r="B150" s="2"/>
      <c r="C150"/>
      <c r="D150"/>
      <c r="E150"/>
      <c r="F150"/>
      <c r="G150"/>
      <c r="H150"/>
    </row>
    <row r="151" spans="1:8" s="114" customFormat="1" ht="15" x14ac:dyDescent="0.25">
      <c r="A151" s="3"/>
      <c r="B151" s="2"/>
      <c r="C151"/>
      <c r="D151"/>
      <c r="E151"/>
      <c r="F151"/>
      <c r="G151"/>
      <c r="H151"/>
    </row>
    <row r="152" spans="1:8" s="114" customFormat="1" ht="15" x14ac:dyDescent="0.25">
      <c r="A152" s="133"/>
      <c r="B152" s="134"/>
      <c r="C152"/>
      <c r="D152"/>
      <c r="E152"/>
      <c r="F152"/>
      <c r="G152"/>
      <c r="H152"/>
    </row>
    <row r="153" spans="1:8" s="114" customFormat="1" ht="15" x14ac:dyDescent="0.25">
      <c r="A153" s="133"/>
      <c r="B153" s="133"/>
      <c r="C153"/>
      <c r="D153"/>
      <c r="E153"/>
      <c r="F153"/>
      <c r="G153"/>
      <c r="H153"/>
    </row>
    <row r="154" spans="1:8" s="114" customFormat="1" ht="15" x14ac:dyDescent="0.25">
      <c r="A154" s="133"/>
      <c r="B154" s="133"/>
      <c r="C154"/>
      <c r="D154"/>
      <c r="E154"/>
      <c r="F154"/>
      <c r="G154"/>
      <c r="H154"/>
    </row>
    <row r="155" spans="1:8" s="114" customFormat="1" ht="15" x14ac:dyDescent="0.25">
      <c r="A155" s="133"/>
      <c r="B155" s="133"/>
      <c r="C155"/>
      <c r="D155"/>
      <c r="E155"/>
      <c r="F155"/>
      <c r="G155"/>
      <c r="H155"/>
    </row>
    <row r="156" spans="1:8" s="114" customFormat="1" ht="15" x14ac:dyDescent="0.25">
      <c r="A156" s="136"/>
      <c r="B156" s="137"/>
      <c r="C156"/>
      <c r="D156"/>
      <c r="E156"/>
      <c r="F156"/>
      <c r="G156"/>
      <c r="H156"/>
    </row>
    <row r="157" spans="1:8" s="114" customFormat="1" ht="15" x14ac:dyDescent="0.25">
      <c r="A157" s="136"/>
      <c r="B157" s="136"/>
      <c r="C157"/>
      <c r="D157"/>
      <c r="E157"/>
      <c r="F157"/>
      <c r="G157"/>
      <c r="H157"/>
    </row>
    <row r="158" spans="1:8" s="114" customFormat="1" ht="15" x14ac:dyDescent="0.25">
      <c r="A158" s="136"/>
      <c r="B158" s="136"/>
      <c r="C158"/>
      <c r="D158"/>
      <c r="E158"/>
      <c r="F158"/>
      <c r="G158"/>
      <c r="H158"/>
    </row>
    <row r="159" spans="1:8" s="114" customFormat="1" ht="15" x14ac:dyDescent="0.25">
      <c r="A159" s="136"/>
      <c r="B159" s="136"/>
      <c r="C159"/>
      <c r="D159"/>
      <c r="E159"/>
      <c r="F159"/>
      <c r="G159"/>
      <c r="H159"/>
    </row>
    <row r="160" spans="1:8" s="114" customFormat="1" ht="15" x14ac:dyDescent="0.25">
      <c r="A160" s="136"/>
      <c r="B160" s="137"/>
      <c r="C160"/>
      <c r="D160"/>
      <c r="E160"/>
      <c r="F160"/>
      <c r="G160"/>
      <c r="H160"/>
    </row>
    <row r="161" spans="1:8" s="114" customFormat="1" ht="15" x14ac:dyDescent="0.25">
      <c r="A161" s="136"/>
      <c r="B161" s="136"/>
      <c r="C161"/>
      <c r="D161"/>
      <c r="E161"/>
      <c r="F161"/>
      <c r="G161"/>
      <c r="H161"/>
    </row>
    <row r="162" spans="1:8" s="114" customFormat="1" ht="15" x14ac:dyDescent="0.25">
      <c r="A162" s="136"/>
      <c r="B162" s="136"/>
      <c r="C162"/>
      <c r="D162"/>
      <c r="E162"/>
      <c r="F162"/>
      <c r="G162"/>
      <c r="H162"/>
    </row>
    <row r="163" spans="1:8" s="114" customFormat="1" ht="15" x14ac:dyDescent="0.25">
      <c r="A163" s="136"/>
      <c r="B163" s="136"/>
      <c r="C163"/>
      <c r="D163"/>
      <c r="E163"/>
      <c r="F163"/>
      <c r="G163"/>
      <c r="H163"/>
    </row>
    <row r="164" spans="1:8" s="114" customFormat="1" ht="15" x14ac:dyDescent="0.25">
      <c r="A164" s="133"/>
      <c r="B164" s="134"/>
      <c r="C164"/>
      <c r="D164"/>
      <c r="E164"/>
      <c r="F164"/>
      <c r="G164"/>
      <c r="H164"/>
    </row>
    <row r="165" spans="1:8" s="114" customFormat="1" ht="15" x14ac:dyDescent="0.25">
      <c r="A165" s="133"/>
      <c r="B165" s="133"/>
      <c r="C165"/>
      <c r="D165"/>
      <c r="E165"/>
      <c r="F165"/>
      <c r="G165"/>
      <c r="H165"/>
    </row>
    <row r="166" spans="1:8" s="114" customFormat="1" ht="15" x14ac:dyDescent="0.25">
      <c r="A166" s="133"/>
      <c r="B166" s="133"/>
      <c r="C166"/>
      <c r="D166"/>
      <c r="E166"/>
      <c r="F166"/>
      <c r="G166"/>
      <c r="H166"/>
    </row>
    <row r="167" spans="1:8" s="114" customFormat="1" ht="15" x14ac:dyDescent="0.25">
      <c r="A167" s="133"/>
      <c r="B167" s="133"/>
      <c r="C167"/>
      <c r="D167"/>
      <c r="E167"/>
      <c r="F167"/>
      <c r="G167"/>
      <c r="H167"/>
    </row>
  </sheetData>
  <mergeCells count="17">
    <mergeCell ref="AE27:AH27"/>
    <mergeCell ref="AA27:AC27"/>
    <mergeCell ref="AA2:AC2"/>
    <mergeCell ref="AE2:AH2"/>
    <mergeCell ref="AI2:AL2"/>
    <mergeCell ref="AI27:AL27"/>
    <mergeCell ref="C2:F2"/>
    <mergeCell ref="G2:J2"/>
    <mergeCell ref="K2:N2"/>
    <mergeCell ref="O2:R2"/>
    <mergeCell ref="S2:V2"/>
    <mergeCell ref="W2:Z2"/>
    <mergeCell ref="G27:J27"/>
    <mergeCell ref="K27:N27"/>
    <mergeCell ref="O27:R27"/>
    <mergeCell ref="S27:V27"/>
    <mergeCell ref="W27:Z27"/>
  </mergeCells>
  <phoneticPr fontId="17" type="noConversion"/>
  <printOptions horizontalCentered="1" gridLines="1" gridLinesSet="0"/>
  <pageMargins left="0" right="0" top="0.78740157480314965" bottom="0.59055118110236227" header="0.51181102362204722" footer="0.31496062992125984"/>
  <pageSetup paperSize="9" scale="53" orientation="landscape" blackAndWhite="1" r:id="rId1"/>
  <headerFooter alignWithMargins="0">
    <oddHeader>&amp;L&amp;F&amp;C&amp;A&amp;R&amp;D</oddHeader>
    <oddFooter>Page &amp;P of &amp;N</oddFooter>
  </headerFooter>
  <rowBreaks count="1" manualBreakCount="1">
    <brk id="26" max="16383" man="1"/>
  </rowBreaks>
  <colBreaks count="1" manualBreakCount="1">
    <brk id="13" max="5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2:AD37"/>
  <sheetViews>
    <sheetView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C1" sqref="AC1:AD1048576"/>
    </sheetView>
  </sheetViews>
  <sheetFormatPr defaultRowHeight="15" x14ac:dyDescent="0.25"/>
  <cols>
    <col min="1" max="1" width="35.85546875" customWidth="1"/>
    <col min="2" max="2" width="6.7109375" customWidth="1"/>
    <col min="3" max="8" width="7.5703125" customWidth="1"/>
    <col min="9" max="9" width="8.140625" customWidth="1"/>
    <col min="10" max="11" width="7.5703125" customWidth="1"/>
    <col min="12" max="12" width="8.140625" customWidth="1"/>
    <col min="13" max="14" width="8" customWidth="1"/>
    <col min="15" max="15" width="8.140625" customWidth="1"/>
    <col min="16" max="16" width="8" customWidth="1"/>
    <col min="17" max="20" width="7.85546875" customWidth="1"/>
    <col min="21" max="21" width="8" customWidth="1"/>
    <col min="22" max="22" width="7.85546875" customWidth="1"/>
    <col min="23" max="23" width="7.7109375" customWidth="1"/>
    <col min="24" max="26" width="8" customWidth="1"/>
    <col min="27" max="28" width="8.140625" customWidth="1"/>
    <col min="29" max="29" width="7.5703125" customWidth="1"/>
  </cols>
  <sheetData>
    <row r="2" spans="1:30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</row>
    <row r="3" spans="1:30" s="8" customFormat="1" x14ac:dyDescent="0.25">
      <c r="C3" s="147">
        <v>2008</v>
      </c>
      <c r="D3" s="147"/>
      <c r="E3" s="147"/>
      <c r="F3" s="147"/>
      <c r="G3" s="147">
        <v>2009</v>
      </c>
      <c r="H3" s="147"/>
      <c r="I3" s="147"/>
      <c r="J3" s="147"/>
      <c r="K3" s="147">
        <v>2010</v>
      </c>
      <c r="L3" s="147"/>
      <c r="M3" s="147"/>
      <c r="N3" s="147"/>
      <c r="O3" s="147">
        <v>2011</v>
      </c>
      <c r="P3" s="147"/>
      <c r="Q3" s="147"/>
      <c r="R3" s="147"/>
      <c r="S3" s="147">
        <v>2012</v>
      </c>
      <c r="T3" s="147"/>
      <c r="U3" s="147"/>
      <c r="V3" s="147"/>
      <c r="W3" s="147">
        <v>2013</v>
      </c>
      <c r="X3" s="147"/>
      <c r="Y3" s="147"/>
      <c r="Z3" s="147"/>
      <c r="AA3" s="147">
        <v>2014</v>
      </c>
      <c r="AB3" s="147"/>
    </row>
    <row r="4" spans="1:30" ht="15.75" thickBot="1" x14ac:dyDescent="0.3">
      <c r="C4" s="5" t="s">
        <v>57</v>
      </c>
      <c r="D4" s="5" t="s">
        <v>58</v>
      </c>
      <c r="E4" s="5" t="s">
        <v>59</v>
      </c>
      <c r="F4" s="5" t="s">
        <v>60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57</v>
      </c>
      <c r="P4" s="5" t="s">
        <v>58</v>
      </c>
      <c r="Q4" s="5" t="s">
        <v>59</v>
      </c>
      <c r="R4" s="5" t="s">
        <v>60</v>
      </c>
      <c r="S4" s="5" t="s">
        <v>57</v>
      </c>
      <c r="T4" s="5" t="s">
        <v>58</v>
      </c>
      <c r="U4" s="5" t="s">
        <v>59</v>
      </c>
      <c r="V4" s="5" t="s">
        <v>60</v>
      </c>
      <c r="W4" s="5" t="s">
        <v>57</v>
      </c>
      <c r="X4" s="5" t="s">
        <v>58</v>
      </c>
      <c r="Y4" s="5" t="s">
        <v>59</v>
      </c>
      <c r="Z4" s="5" t="s">
        <v>60</v>
      </c>
      <c r="AA4" s="5" t="s">
        <v>57</v>
      </c>
      <c r="AB4" s="5" t="s">
        <v>58</v>
      </c>
      <c r="AC4" s="5"/>
      <c r="AD4" s="5"/>
    </row>
    <row r="5" spans="1:30" s="8" customFormat="1" ht="28.5" customHeight="1" x14ac:dyDescent="0.25">
      <c r="A5" s="1" t="s">
        <v>0</v>
      </c>
      <c r="B5" s="1"/>
      <c r="C5" s="7"/>
      <c r="D5" s="10"/>
      <c r="E5" s="7"/>
      <c r="F5" s="7"/>
      <c r="G5" s="11" t="e">
        <f>(Original_VA!#REF!/Original_VA!#REF!-1)*100</f>
        <v>#REF!</v>
      </c>
      <c r="H5" s="11" t="e">
        <f>(Original_VA!#REF!/Original_VA!#REF!-1)*100</f>
        <v>#REF!</v>
      </c>
      <c r="I5" s="11" t="e">
        <f>(Original_VA!#REF!/Original_VA!#REF!-1)*100</f>
        <v>#REF!</v>
      </c>
      <c r="J5" s="11" t="e">
        <f>(Original_VA!#REF!/Original_VA!#REF!-1)*100</f>
        <v>#REF!</v>
      </c>
      <c r="K5" s="11" t="e">
        <f>(Original_VA!#REF!/Original_VA!#REF!-1)*100</f>
        <v>#REF!</v>
      </c>
      <c r="L5" s="11" t="e">
        <f>(Original_VA!#REF!/Original_VA!#REF!-1)*100</f>
        <v>#REF!</v>
      </c>
      <c r="M5" s="11" t="e">
        <f>(Original_VA!#REF!/Original_VA!#REF!-1)*100</f>
        <v>#REF!</v>
      </c>
      <c r="N5" s="11" t="e">
        <f>(Original_VA!#REF!/Original_VA!#REF!-1)*100</f>
        <v>#REF!</v>
      </c>
      <c r="O5" s="11" t="e">
        <f>(Original_VA!#REF!/Original_VA!#REF!-1)*100</f>
        <v>#REF!</v>
      </c>
      <c r="P5" s="11" t="e">
        <f>(Original_VA!#REF!/Original_VA!#REF!-1)*100</f>
        <v>#REF!</v>
      </c>
      <c r="Q5" s="11" t="e">
        <f>(Original_VA!#REF!/Original_VA!#REF!-1)*100</f>
        <v>#REF!</v>
      </c>
      <c r="R5" s="11" t="e">
        <f>(Original_VA!#REF!/Original_VA!#REF!-1)*100</f>
        <v>#REF!</v>
      </c>
      <c r="S5" s="11" t="e">
        <f>(Original_VA!#REF!/Original_VA!#REF!-1)*100</f>
        <v>#REF!</v>
      </c>
      <c r="T5" s="11" t="e">
        <f>(Original_VA!#REF!/Original_VA!#REF!-1)*100</f>
        <v>#REF!</v>
      </c>
      <c r="U5" s="11" t="e">
        <f>(Original_VA!#REF!/Original_VA!#REF!-1)*100</f>
        <v>#REF!</v>
      </c>
      <c r="V5" s="11" t="e">
        <f>(Original_VA!#REF!/Original_VA!#REF!-1)*100</f>
        <v>#REF!</v>
      </c>
      <c r="W5" s="11" t="e">
        <f>(Original_VA!#REF!/Original_VA!#REF!-1)*100</f>
        <v>#REF!</v>
      </c>
      <c r="X5" s="11" t="e">
        <f>(Original_VA!#REF!/Original_VA!#REF!-1)*100</f>
        <v>#REF!</v>
      </c>
      <c r="Y5" s="11" t="e">
        <f>(Original_VA!#REF!/Original_VA!#REF!-1)*100</f>
        <v>#REF!</v>
      </c>
      <c r="Z5" s="11" t="e">
        <f>(Original_VA!#REF!/Original_VA!#REF!-1)*100</f>
        <v>#REF!</v>
      </c>
      <c r="AA5" s="11" t="e">
        <f>(Original_VA!#REF!/Original_VA!#REF!-1)*100</f>
        <v>#REF!</v>
      </c>
      <c r="AB5" s="11" t="e">
        <f>(Original_VA!#REF!/Original_VA!#REF!-1)*100</f>
        <v>#REF!</v>
      </c>
      <c r="AD5" s="7"/>
    </row>
    <row r="6" spans="1:30" s="8" customFormat="1" ht="26.25" customHeight="1" x14ac:dyDescent="0.25">
      <c r="A6" s="1" t="s">
        <v>1</v>
      </c>
      <c r="C6" s="9"/>
      <c r="D6" s="10"/>
      <c r="E6" s="9"/>
      <c r="F6" s="9"/>
      <c r="G6" s="11" t="e">
        <f>(Original_VA!#REF!/Original_VA!#REF!-1)*100</f>
        <v>#REF!</v>
      </c>
      <c r="H6" s="11" t="e">
        <f>(Original_VA!#REF!/Original_VA!#REF!-1)*100</f>
        <v>#REF!</v>
      </c>
      <c r="I6" s="11" t="e">
        <f>(Original_VA!#REF!/Original_VA!#REF!-1)*100</f>
        <v>#REF!</v>
      </c>
      <c r="J6" s="11" t="e">
        <f>(Original_VA!#REF!/Original_VA!#REF!-1)*100</f>
        <v>#REF!</v>
      </c>
      <c r="K6" s="11" t="e">
        <f>(Original_VA!#REF!/Original_VA!#REF!-1)*100</f>
        <v>#REF!</v>
      </c>
      <c r="L6" s="11" t="e">
        <f>(Original_VA!#REF!/Original_VA!#REF!-1)*100</f>
        <v>#REF!</v>
      </c>
      <c r="M6" s="11" t="e">
        <f>(Original_VA!#REF!/Original_VA!#REF!-1)*100</f>
        <v>#REF!</v>
      </c>
      <c r="N6" s="11" t="e">
        <f>(Original_VA!#REF!/Original_VA!#REF!-1)*100</f>
        <v>#REF!</v>
      </c>
      <c r="O6" s="11" t="e">
        <f>(Original_VA!#REF!/Original_VA!#REF!-1)*100</f>
        <v>#REF!</v>
      </c>
      <c r="P6" s="11" t="e">
        <f>(Original_VA!#REF!/Original_VA!#REF!-1)*100</f>
        <v>#REF!</v>
      </c>
      <c r="Q6" s="11" t="e">
        <f>(Original_VA!#REF!/Original_VA!#REF!-1)*100</f>
        <v>#REF!</v>
      </c>
      <c r="R6" s="11" t="e">
        <f>(Original_VA!#REF!/Original_VA!#REF!-1)*100</f>
        <v>#REF!</v>
      </c>
      <c r="S6" s="11" t="e">
        <f>(Original_VA!#REF!/Original_VA!#REF!-1)*100</f>
        <v>#REF!</v>
      </c>
      <c r="T6" s="11" t="e">
        <f>(Original_VA!#REF!/Original_VA!#REF!-1)*100</f>
        <v>#REF!</v>
      </c>
      <c r="U6" s="11" t="e">
        <f>(Original_VA!#REF!/Original_VA!#REF!-1)*100</f>
        <v>#REF!</v>
      </c>
      <c r="V6" s="11" t="e">
        <f>(Original_VA!#REF!/Original_VA!#REF!-1)*100</f>
        <v>#REF!</v>
      </c>
      <c r="W6" s="11" t="e">
        <f>(Original_VA!#REF!/Original_VA!#REF!-1)*100</f>
        <v>#REF!</v>
      </c>
      <c r="X6" s="11" t="e">
        <f>(Original_VA!#REF!/Original_VA!#REF!-1)*100</f>
        <v>#REF!</v>
      </c>
      <c r="Y6" s="11" t="e">
        <f>(Original_VA!#REF!/Original_VA!#REF!-1)*100</f>
        <v>#REF!</v>
      </c>
      <c r="Z6" s="11" t="e">
        <f>(Original_VA!#REF!/Original_VA!#REF!-1)*100</f>
        <v>#REF!</v>
      </c>
      <c r="AA6" s="11" t="e">
        <f>(Original_VA!#REF!/Original_VA!#REF!-1)*100</f>
        <v>#REF!</v>
      </c>
      <c r="AB6" s="11" t="e">
        <f>(Original_VA!#REF!/Original_VA!#REF!-1)*100</f>
        <v>#REF!</v>
      </c>
      <c r="AD6" s="7"/>
    </row>
    <row r="7" spans="1:30" ht="15" customHeight="1" x14ac:dyDescent="0.25">
      <c r="A7" s="2" t="s">
        <v>2</v>
      </c>
      <c r="C7" s="6"/>
      <c r="D7" s="10"/>
      <c r="E7" s="6"/>
      <c r="F7" s="6"/>
      <c r="G7" s="12" t="e">
        <f>(Original_VA!#REF!/Original_VA!#REF!-1)*100</f>
        <v>#REF!</v>
      </c>
      <c r="H7" s="12" t="e">
        <f>(Original_VA!#REF!/Original_VA!#REF!-1)*100</f>
        <v>#REF!</v>
      </c>
      <c r="I7" s="12" t="e">
        <f>(Original_VA!#REF!/Original_VA!#REF!-1)*100</f>
        <v>#REF!</v>
      </c>
      <c r="J7" s="12" t="e">
        <f>(Original_VA!#REF!/Original_VA!#REF!-1)*100</f>
        <v>#REF!</v>
      </c>
      <c r="K7" s="12" t="e">
        <f>(Original_VA!#REF!/Original_VA!#REF!-1)*100</f>
        <v>#REF!</v>
      </c>
      <c r="L7" s="12" t="e">
        <f>(Original_VA!#REF!/Original_VA!#REF!-1)*100</f>
        <v>#REF!</v>
      </c>
      <c r="M7" s="12" t="e">
        <f>(Original_VA!#REF!/Original_VA!#REF!-1)*100</f>
        <v>#REF!</v>
      </c>
      <c r="N7" s="12" t="e">
        <f>(Original_VA!#REF!/Original_VA!#REF!-1)*100</f>
        <v>#REF!</v>
      </c>
      <c r="O7" s="12" t="e">
        <f>(Original_VA!#REF!/Original_VA!#REF!-1)*100</f>
        <v>#REF!</v>
      </c>
      <c r="P7" s="12" t="e">
        <f>(Original_VA!#REF!/Original_VA!#REF!-1)*100</f>
        <v>#REF!</v>
      </c>
      <c r="Q7" s="12" t="e">
        <f>(Original_VA!#REF!/Original_VA!#REF!-1)*100</f>
        <v>#REF!</v>
      </c>
      <c r="R7" s="12" t="e">
        <f>(Original_VA!#REF!/Original_VA!#REF!-1)*100</f>
        <v>#REF!</v>
      </c>
      <c r="S7" s="12" t="e">
        <f>(Original_VA!#REF!/Original_VA!#REF!-1)*100</f>
        <v>#REF!</v>
      </c>
      <c r="T7" s="12" t="e">
        <f>(Original_VA!#REF!/Original_VA!#REF!-1)*100</f>
        <v>#REF!</v>
      </c>
      <c r="U7" s="12" t="e">
        <f>(Original_VA!#REF!/Original_VA!#REF!-1)*100</f>
        <v>#REF!</v>
      </c>
      <c r="V7" s="12" t="e">
        <f>(Original_VA!#REF!/Original_VA!#REF!-1)*100</f>
        <v>#REF!</v>
      </c>
      <c r="W7" s="12" t="e">
        <f>(Original_VA!#REF!/Original_VA!#REF!-1)*100</f>
        <v>#REF!</v>
      </c>
      <c r="X7" s="12" t="e">
        <f>(Original_VA!#REF!/Original_VA!#REF!-1)*100</f>
        <v>#REF!</v>
      </c>
      <c r="Y7" s="12" t="e">
        <f>(Original_VA!#REF!/Original_VA!#REF!-1)*100</f>
        <v>#REF!</v>
      </c>
      <c r="Z7" s="12" t="e">
        <f>(Original_VA!#REF!/Original_VA!#REF!-1)*100</f>
        <v>#REF!</v>
      </c>
      <c r="AA7" s="12" t="e">
        <f>(Original_VA!#REF!/Original_VA!#REF!-1)*100</f>
        <v>#REF!</v>
      </c>
      <c r="AB7" s="12" t="e">
        <f>(Original_VA!#REF!/Original_VA!#REF!-1)*100</f>
        <v>#REF!</v>
      </c>
      <c r="AD7" s="7"/>
    </row>
    <row r="8" spans="1:30" ht="15" customHeight="1" x14ac:dyDescent="0.25">
      <c r="A8" s="2" t="s">
        <v>3</v>
      </c>
      <c r="C8" s="6"/>
      <c r="D8" s="6"/>
      <c r="E8" s="6"/>
      <c r="F8" s="6"/>
      <c r="G8" s="12" t="e">
        <f>(Original_VA!#REF!/Original_VA!#REF!-1)*100</f>
        <v>#REF!</v>
      </c>
      <c r="H8" s="12" t="e">
        <f>(Original_VA!#REF!/Original_VA!#REF!-1)*100</f>
        <v>#REF!</v>
      </c>
      <c r="I8" s="12" t="e">
        <f>(Original_VA!#REF!/Original_VA!#REF!-1)*100</f>
        <v>#REF!</v>
      </c>
      <c r="J8" s="12" t="e">
        <f>(Original_VA!#REF!/Original_VA!#REF!-1)*100</f>
        <v>#REF!</v>
      </c>
      <c r="K8" s="12" t="e">
        <f>(Original_VA!#REF!/Original_VA!#REF!-1)*100</f>
        <v>#REF!</v>
      </c>
      <c r="L8" s="12" t="e">
        <f>(Original_VA!#REF!/Original_VA!#REF!-1)*100</f>
        <v>#REF!</v>
      </c>
      <c r="M8" s="12" t="e">
        <f>(Original_VA!#REF!/Original_VA!#REF!-1)*100</f>
        <v>#REF!</v>
      </c>
      <c r="N8" s="12" t="e">
        <f>(Original_VA!#REF!/Original_VA!#REF!-1)*100</f>
        <v>#REF!</v>
      </c>
      <c r="O8" s="12" t="e">
        <f>(Original_VA!#REF!/Original_VA!#REF!-1)*100</f>
        <v>#REF!</v>
      </c>
      <c r="P8" s="12" t="e">
        <f>(Original_VA!#REF!/Original_VA!#REF!-1)*100</f>
        <v>#REF!</v>
      </c>
      <c r="Q8" s="12" t="e">
        <f>(Original_VA!#REF!/Original_VA!#REF!-1)*100</f>
        <v>#REF!</v>
      </c>
      <c r="R8" s="12" t="e">
        <f>(Original_VA!#REF!/Original_VA!#REF!-1)*100</f>
        <v>#REF!</v>
      </c>
      <c r="S8" s="12" t="e">
        <f>(Original_VA!#REF!/Original_VA!#REF!-1)*100</f>
        <v>#REF!</v>
      </c>
      <c r="T8" s="12" t="e">
        <f>(Original_VA!#REF!/Original_VA!#REF!-1)*100</f>
        <v>#REF!</v>
      </c>
      <c r="U8" s="12" t="e">
        <f>(Original_VA!#REF!/Original_VA!#REF!-1)*100</f>
        <v>#REF!</v>
      </c>
      <c r="V8" s="12" t="e">
        <f>(Original_VA!#REF!/Original_VA!#REF!-1)*100</f>
        <v>#REF!</v>
      </c>
      <c r="W8" s="12" t="e">
        <f>(Original_VA!#REF!/Original_VA!#REF!-1)*100</f>
        <v>#REF!</v>
      </c>
      <c r="X8" s="12" t="e">
        <f>(Original_VA!#REF!/Original_VA!#REF!-1)*100</f>
        <v>#REF!</v>
      </c>
      <c r="Y8" s="12" t="e">
        <f>(Original_VA!#REF!/Original_VA!#REF!-1)*100</f>
        <v>#REF!</v>
      </c>
      <c r="Z8" s="12" t="e">
        <f>(Original_VA!#REF!/Original_VA!#REF!-1)*100</f>
        <v>#REF!</v>
      </c>
      <c r="AA8" s="12" t="e">
        <f>(Original_VA!#REF!/Original_VA!#REF!-1)*100</f>
        <v>#REF!</v>
      </c>
      <c r="AB8" s="12" t="e">
        <f>(Original_VA!#REF!/Original_VA!#REF!-1)*100</f>
        <v>#REF!</v>
      </c>
      <c r="AD8" s="7"/>
    </row>
    <row r="9" spans="1:30" ht="15" customHeight="1" x14ac:dyDescent="0.25">
      <c r="A9" s="2" t="s">
        <v>4</v>
      </c>
      <c r="C9" s="6"/>
      <c r="D9" s="6"/>
      <c r="E9" s="6"/>
      <c r="F9" s="6"/>
      <c r="G9" s="12" t="e">
        <f>(Original_VA!#REF!/Original_VA!#REF!-1)*100</f>
        <v>#REF!</v>
      </c>
      <c r="H9" s="12" t="e">
        <f>(Original_VA!#REF!/Original_VA!#REF!-1)*100</f>
        <v>#REF!</v>
      </c>
      <c r="I9" s="12" t="e">
        <f>(Original_VA!#REF!/Original_VA!#REF!-1)*100</f>
        <v>#REF!</v>
      </c>
      <c r="J9" s="12" t="e">
        <f>(Original_VA!#REF!/Original_VA!#REF!-1)*100</f>
        <v>#REF!</v>
      </c>
      <c r="K9" s="12" t="e">
        <f>(Original_VA!#REF!/Original_VA!#REF!-1)*100</f>
        <v>#REF!</v>
      </c>
      <c r="L9" s="12" t="e">
        <f>(Original_VA!#REF!/Original_VA!#REF!-1)*100</f>
        <v>#REF!</v>
      </c>
      <c r="M9" s="12" t="e">
        <f>(Original_VA!#REF!/Original_VA!#REF!-1)*100</f>
        <v>#REF!</v>
      </c>
      <c r="N9" s="12" t="e">
        <f>(Original_VA!#REF!/Original_VA!#REF!-1)*100</f>
        <v>#REF!</v>
      </c>
      <c r="O9" s="12" t="e">
        <f>(Original_VA!#REF!/Original_VA!#REF!-1)*100</f>
        <v>#REF!</v>
      </c>
      <c r="P9" s="12" t="e">
        <f>(Original_VA!#REF!/Original_VA!#REF!-1)*100</f>
        <v>#REF!</v>
      </c>
      <c r="Q9" s="12" t="e">
        <f>(Original_VA!#REF!/Original_VA!#REF!-1)*100</f>
        <v>#REF!</v>
      </c>
      <c r="R9" s="12" t="e">
        <f>(Original_VA!#REF!/Original_VA!#REF!-1)*100</f>
        <v>#REF!</v>
      </c>
      <c r="S9" s="12" t="e">
        <f>(Original_VA!#REF!/Original_VA!#REF!-1)*100</f>
        <v>#REF!</v>
      </c>
      <c r="T9" s="12" t="e">
        <f>(Original_VA!#REF!/Original_VA!#REF!-1)*100</f>
        <v>#REF!</v>
      </c>
      <c r="U9" s="12" t="e">
        <f>(Original_VA!#REF!/Original_VA!#REF!-1)*100</f>
        <v>#REF!</v>
      </c>
      <c r="V9" s="12" t="e">
        <f>(Original_VA!#REF!/Original_VA!#REF!-1)*100</f>
        <v>#REF!</v>
      </c>
      <c r="W9" s="12" t="e">
        <f>(Original_VA!#REF!/Original_VA!#REF!-1)*100</f>
        <v>#REF!</v>
      </c>
      <c r="X9" s="12" t="e">
        <f>(Original_VA!#REF!/Original_VA!#REF!-1)*100</f>
        <v>#REF!</v>
      </c>
      <c r="Y9" s="12" t="e">
        <f>(Original_VA!#REF!/Original_VA!#REF!-1)*100</f>
        <v>#REF!</v>
      </c>
      <c r="Z9" s="12" t="e">
        <f>(Original_VA!#REF!/Original_VA!#REF!-1)*100</f>
        <v>#REF!</v>
      </c>
      <c r="AA9" s="12" t="e">
        <f>(Original_VA!#REF!/Original_VA!#REF!-1)*100</f>
        <v>#REF!</v>
      </c>
      <c r="AB9" s="12" t="e">
        <f>(Original_VA!#REF!/Original_VA!#REF!-1)*100</f>
        <v>#REF!</v>
      </c>
      <c r="AD9" s="7"/>
    </row>
    <row r="10" spans="1:30" ht="15" customHeight="1" x14ac:dyDescent="0.25">
      <c r="A10" s="2" t="s">
        <v>5</v>
      </c>
      <c r="C10" s="6"/>
      <c r="D10" s="6"/>
      <c r="E10" s="6"/>
      <c r="F10" s="6"/>
      <c r="G10" s="12" t="e">
        <f>(Original_VA!#REF!/Original_VA!#REF!-1)*100</f>
        <v>#REF!</v>
      </c>
      <c r="H10" s="12" t="e">
        <f>(Original_VA!#REF!/Original_VA!#REF!-1)*100</f>
        <v>#REF!</v>
      </c>
      <c r="I10" s="12" t="e">
        <f>(Original_VA!#REF!/Original_VA!#REF!-1)*100</f>
        <v>#REF!</v>
      </c>
      <c r="J10" s="12" t="e">
        <f>(Original_VA!#REF!/Original_VA!#REF!-1)*100</f>
        <v>#REF!</v>
      </c>
      <c r="K10" s="12" t="e">
        <f>(Original_VA!#REF!/Original_VA!#REF!-1)*100</f>
        <v>#REF!</v>
      </c>
      <c r="L10" s="12" t="e">
        <f>(Original_VA!#REF!/Original_VA!#REF!-1)*100</f>
        <v>#REF!</v>
      </c>
      <c r="M10" s="12" t="e">
        <f>(Original_VA!#REF!/Original_VA!#REF!-1)*100</f>
        <v>#REF!</v>
      </c>
      <c r="N10" s="12" t="e">
        <f>(Original_VA!#REF!/Original_VA!#REF!-1)*100</f>
        <v>#REF!</v>
      </c>
      <c r="O10" s="12" t="e">
        <f>(Original_VA!#REF!/Original_VA!#REF!-1)*100</f>
        <v>#REF!</v>
      </c>
      <c r="P10" s="12" t="e">
        <f>(Original_VA!#REF!/Original_VA!#REF!-1)*100</f>
        <v>#REF!</v>
      </c>
      <c r="Q10" s="12" t="e">
        <f>(Original_VA!#REF!/Original_VA!#REF!-1)*100</f>
        <v>#REF!</v>
      </c>
      <c r="R10" s="12" t="e">
        <f>(Original_VA!#REF!/Original_VA!#REF!-1)*100</f>
        <v>#REF!</v>
      </c>
      <c r="S10" s="12" t="e">
        <f>(Original_VA!#REF!/Original_VA!#REF!-1)*100</f>
        <v>#REF!</v>
      </c>
      <c r="T10" s="12" t="e">
        <f>(Original_VA!#REF!/Original_VA!#REF!-1)*100</f>
        <v>#REF!</v>
      </c>
      <c r="U10" s="12" t="e">
        <f>(Original_VA!#REF!/Original_VA!#REF!-1)*100</f>
        <v>#REF!</v>
      </c>
      <c r="V10" s="12" t="e">
        <f>(Original_VA!#REF!/Original_VA!#REF!-1)*100</f>
        <v>#REF!</v>
      </c>
      <c r="W10" s="12" t="e">
        <f>(Original_VA!#REF!/Original_VA!#REF!-1)*100</f>
        <v>#REF!</v>
      </c>
      <c r="X10" s="12" t="e">
        <f>(Original_VA!#REF!/Original_VA!#REF!-1)*100</f>
        <v>#REF!</v>
      </c>
      <c r="Y10" s="12" t="e">
        <f>(Original_VA!#REF!/Original_VA!#REF!-1)*100</f>
        <v>#REF!</v>
      </c>
      <c r="Z10" s="12" t="e">
        <f>(Original_VA!#REF!/Original_VA!#REF!-1)*100</f>
        <v>#REF!</v>
      </c>
      <c r="AA10" s="12" t="e">
        <f>(Original_VA!#REF!/Original_VA!#REF!-1)*100</f>
        <v>#REF!</v>
      </c>
      <c r="AB10" s="12" t="e">
        <f>(Original_VA!#REF!/Original_VA!#REF!-1)*100</f>
        <v>#REF!</v>
      </c>
      <c r="AD10" s="7"/>
    </row>
    <row r="11" spans="1:30" ht="15" customHeight="1" x14ac:dyDescent="0.25">
      <c r="A11" s="2" t="s">
        <v>6</v>
      </c>
      <c r="C11" s="6"/>
      <c r="D11" s="6"/>
      <c r="E11" s="6"/>
      <c r="F11" s="6"/>
      <c r="G11" s="12" t="e">
        <f>(Original_VA!#REF!/Original_VA!#REF!-1)*100</f>
        <v>#REF!</v>
      </c>
      <c r="H11" s="12" t="e">
        <f>(Original_VA!#REF!/Original_VA!#REF!-1)*100</f>
        <v>#REF!</v>
      </c>
      <c r="I11" s="12" t="e">
        <f>(Original_VA!#REF!/Original_VA!#REF!-1)*100</f>
        <v>#REF!</v>
      </c>
      <c r="J11" s="12" t="e">
        <f>(Original_VA!#REF!/Original_VA!#REF!-1)*100</f>
        <v>#REF!</v>
      </c>
      <c r="K11" s="12" t="e">
        <f>(Original_VA!#REF!/Original_VA!#REF!-1)*100</f>
        <v>#REF!</v>
      </c>
      <c r="L11" s="12" t="e">
        <f>(Original_VA!#REF!/Original_VA!#REF!-1)*100</f>
        <v>#REF!</v>
      </c>
      <c r="M11" s="12" t="e">
        <f>(Original_VA!#REF!/Original_VA!#REF!-1)*100</f>
        <v>#REF!</v>
      </c>
      <c r="N11" s="12" t="e">
        <f>(Original_VA!#REF!/Original_VA!#REF!-1)*100</f>
        <v>#REF!</v>
      </c>
      <c r="O11" s="12" t="e">
        <f>(Original_VA!#REF!/Original_VA!#REF!-1)*100</f>
        <v>#REF!</v>
      </c>
      <c r="P11" s="12" t="e">
        <f>(Original_VA!#REF!/Original_VA!#REF!-1)*100</f>
        <v>#REF!</v>
      </c>
      <c r="Q11" s="12" t="e">
        <f>(Original_VA!#REF!/Original_VA!#REF!-1)*100</f>
        <v>#REF!</v>
      </c>
      <c r="R11" s="12" t="e">
        <f>(Original_VA!#REF!/Original_VA!#REF!-1)*100</f>
        <v>#REF!</v>
      </c>
      <c r="S11" s="12" t="e">
        <f>(Original_VA!#REF!/Original_VA!#REF!-1)*100</f>
        <v>#REF!</v>
      </c>
      <c r="T11" s="12" t="e">
        <f>(Original_VA!#REF!/Original_VA!#REF!-1)*100</f>
        <v>#REF!</v>
      </c>
      <c r="U11" s="12" t="e">
        <f>(Original_VA!#REF!/Original_VA!#REF!-1)*100</f>
        <v>#REF!</v>
      </c>
      <c r="V11" s="12" t="e">
        <f>(Original_VA!#REF!/Original_VA!#REF!-1)*100</f>
        <v>#REF!</v>
      </c>
      <c r="W11" s="12" t="e">
        <f>(Original_VA!#REF!/Original_VA!#REF!-1)*100</f>
        <v>#REF!</v>
      </c>
      <c r="X11" s="12" t="e">
        <f>(Original_VA!#REF!/Original_VA!#REF!-1)*100</f>
        <v>#REF!</v>
      </c>
      <c r="Y11" s="12" t="e">
        <f>(Original_VA!#REF!/Original_VA!#REF!-1)*100</f>
        <v>#REF!</v>
      </c>
      <c r="Z11" s="12" t="e">
        <f>(Original_VA!#REF!/Original_VA!#REF!-1)*100</f>
        <v>#REF!</v>
      </c>
      <c r="AA11" s="12" t="e">
        <f>(Original_VA!#REF!/Original_VA!#REF!-1)*100</f>
        <v>#REF!</v>
      </c>
      <c r="AB11" s="12" t="e">
        <f>(Original_VA!#REF!/Original_VA!#REF!-1)*100</f>
        <v>#REF!</v>
      </c>
      <c r="AD11" s="7"/>
    </row>
    <row r="12" spans="1:30" ht="15" customHeight="1" x14ac:dyDescent="0.25">
      <c r="A12" s="2" t="s">
        <v>7</v>
      </c>
      <c r="C12" s="6"/>
      <c r="D12" s="6"/>
      <c r="E12" s="6"/>
      <c r="F12" s="6"/>
      <c r="G12" s="12" t="e">
        <f>(Original_VA!#REF!/Original_VA!#REF!-1)*100</f>
        <v>#REF!</v>
      </c>
      <c r="H12" s="12" t="e">
        <f>(Original_VA!#REF!/Original_VA!#REF!-1)*100</f>
        <v>#REF!</v>
      </c>
      <c r="I12" s="12" t="e">
        <f>(Original_VA!#REF!/Original_VA!#REF!-1)*100</f>
        <v>#REF!</v>
      </c>
      <c r="J12" s="12" t="e">
        <f>(Original_VA!#REF!/Original_VA!#REF!-1)*100</f>
        <v>#REF!</v>
      </c>
      <c r="K12" s="12" t="e">
        <f>(Original_VA!#REF!/Original_VA!#REF!-1)*100</f>
        <v>#REF!</v>
      </c>
      <c r="L12" s="12" t="e">
        <f>(Original_VA!#REF!/Original_VA!#REF!-1)*100</f>
        <v>#REF!</v>
      </c>
      <c r="M12" s="12" t="e">
        <f>(Original_VA!#REF!/Original_VA!#REF!-1)*100</f>
        <v>#REF!</v>
      </c>
      <c r="N12" s="12" t="e">
        <f>(Original_VA!#REF!/Original_VA!#REF!-1)*100</f>
        <v>#REF!</v>
      </c>
      <c r="O12" s="12" t="e">
        <f>(Original_VA!#REF!/Original_VA!#REF!-1)*100</f>
        <v>#REF!</v>
      </c>
      <c r="P12" s="12" t="e">
        <f>(Original_VA!#REF!/Original_VA!#REF!-1)*100</f>
        <v>#REF!</v>
      </c>
      <c r="Q12" s="12" t="e">
        <f>(Original_VA!#REF!/Original_VA!#REF!-1)*100</f>
        <v>#REF!</v>
      </c>
      <c r="R12" s="12" t="e">
        <f>(Original_VA!#REF!/Original_VA!#REF!-1)*100</f>
        <v>#REF!</v>
      </c>
      <c r="S12" s="12" t="e">
        <f>(Original_VA!#REF!/Original_VA!#REF!-1)*100</f>
        <v>#REF!</v>
      </c>
      <c r="T12" s="12" t="e">
        <f>(Original_VA!#REF!/Original_VA!#REF!-1)*100</f>
        <v>#REF!</v>
      </c>
      <c r="U12" s="12" t="e">
        <f>(Original_VA!#REF!/Original_VA!#REF!-1)*100</f>
        <v>#REF!</v>
      </c>
      <c r="V12" s="12" t="e">
        <f>(Original_VA!#REF!/Original_VA!#REF!-1)*100</f>
        <v>#REF!</v>
      </c>
      <c r="W12" s="12" t="e">
        <f>(Original_VA!#REF!/Original_VA!#REF!-1)*100</f>
        <v>#REF!</v>
      </c>
      <c r="X12" s="12" t="e">
        <f>(Original_VA!#REF!/Original_VA!#REF!-1)*100</f>
        <v>#REF!</v>
      </c>
      <c r="Y12" s="12" t="e">
        <f>(Original_VA!#REF!/Original_VA!#REF!-1)*100</f>
        <v>#REF!</v>
      </c>
      <c r="Z12" s="12" t="e">
        <f>(Original_VA!#REF!/Original_VA!#REF!-1)*100</f>
        <v>#REF!</v>
      </c>
      <c r="AA12" s="12" t="e">
        <f>(Original_VA!#REF!/Original_VA!#REF!-1)*100</f>
        <v>#REF!</v>
      </c>
      <c r="AB12" s="12" t="e">
        <f>(Original_VA!#REF!/Original_VA!#REF!-1)*100</f>
        <v>#REF!</v>
      </c>
      <c r="AD12" s="7"/>
    </row>
    <row r="13" spans="1:30" s="8" customFormat="1" ht="30" customHeight="1" x14ac:dyDescent="0.25">
      <c r="A13" s="1" t="s">
        <v>8</v>
      </c>
      <c r="C13" s="9"/>
      <c r="D13" s="9"/>
      <c r="E13" s="9"/>
      <c r="F13" s="9"/>
      <c r="G13" s="11" t="e">
        <f>(Original_VA!#REF!/Original_VA!#REF!-1)*100</f>
        <v>#REF!</v>
      </c>
      <c r="H13" s="11" t="e">
        <f>(Original_VA!#REF!/Original_VA!#REF!-1)*100</f>
        <v>#REF!</v>
      </c>
      <c r="I13" s="11" t="e">
        <f>(Original_VA!#REF!/Original_VA!#REF!-1)*100</f>
        <v>#REF!</v>
      </c>
      <c r="J13" s="11" t="e">
        <f>(Original_VA!#REF!/Original_VA!#REF!-1)*100</f>
        <v>#REF!</v>
      </c>
      <c r="K13" s="11" t="e">
        <f>(Original_VA!#REF!/Original_VA!#REF!-1)*100</f>
        <v>#REF!</v>
      </c>
      <c r="L13" s="11" t="e">
        <f>(Original_VA!#REF!/Original_VA!#REF!-1)*100</f>
        <v>#REF!</v>
      </c>
      <c r="M13" s="11" t="e">
        <f>(Original_VA!#REF!/Original_VA!#REF!-1)*100</f>
        <v>#REF!</v>
      </c>
      <c r="N13" s="11" t="e">
        <f>(Original_VA!#REF!/Original_VA!#REF!-1)*100</f>
        <v>#REF!</v>
      </c>
      <c r="O13" s="11" t="e">
        <f>(Original_VA!#REF!/Original_VA!#REF!-1)*100</f>
        <v>#REF!</v>
      </c>
      <c r="P13" s="11" t="e">
        <f>(Original_VA!#REF!/Original_VA!#REF!-1)*100</f>
        <v>#REF!</v>
      </c>
      <c r="Q13" s="11" t="e">
        <f>(Original_VA!#REF!/Original_VA!#REF!-1)*100</f>
        <v>#REF!</v>
      </c>
      <c r="R13" s="11" t="e">
        <f>(Original_VA!#REF!/Original_VA!#REF!-1)*100</f>
        <v>#REF!</v>
      </c>
      <c r="S13" s="11" t="e">
        <f>(Original_VA!#REF!/Original_VA!#REF!-1)*100</f>
        <v>#REF!</v>
      </c>
      <c r="T13" s="11" t="e">
        <f>(Original_VA!#REF!/Original_VA!#REF!-1)*100</f>
        <v>#REF!</v>
      </c>
      <c r="U13" s="11" t="e">
        <f>(Original_VA!#REF!/Original_VA!#REF!-1)*100</f>
        <v>#REF!</v>
      </c>
      <c r="V13" s="11" t="e">
        <f>(Original_VA!#REF!/Original_VA!#REF!-1)*100</f>
        <v>#REF!</v>
      </c>
      <c r="W13" s="11" t="e">
        <f>(Original_VA!#REF!/Original_VA!#REF!-1)*100</f>
        <v>#REF!</v>
      </c>
      <c r="X13" s="11" t="e">
        <f>(Original_VA!#REF!/Original_VA!#REF!-1)*100</f>
        <v>#REF!</v>
      </c>
      <c r="Y13" s="11" t="e">
        <f>(Original_VA!#REF!/Original_VA!#REF!-1)*100</f>
        <v>#REF!</v>
      </c>
      <c r="Z13" s="11" t="e">
        <f>(Original_VA!#REF!/Original_VA!#REF!-1)*100</f>
        <v>#REF!</v>
      </c>
      <c r="AA13" s="11" t="e">
        <f>(Original_VA!#REF!/Original_VA!#REF!-1)*100</f>
        <v>#REF!</v>
      </c>
      <c r="AB13" s="11" t="e">
        <f>(Original_VA!#REF!/Original_VA!#REF!-1)*100</f>
        <v>#REF!</v>
      </c>
      <c r="AD13" s="7"/>
    </row>
    <row r="14" spans="1:30" ht="15" customHeight="1" x14ac:dyDescent="0.25">
      <c r="A14" s="2" t="s">
        <v>9</v>
      </c>
      <c r="B14" s="8"/>
      <c r="C14" s="6"/>
      <c r="D14" s="6"/>
      <c r="E14" s="6"/>
      <c r="F14" s="6"/>
      <c r="G14" s="12" t="e">
        <f>(Original_VA!#REF!/Original_VA!#REF!-1)*100</f>
        <v>#REF!</v>
      </c>
      <c r="H14" s="12" t="e">
        <f>(Original_VA!#REF!/Original_VA!#REF!-1)*100</f>
        <v>#REF!</v>
      </c>
      <c r="I14" s="12" t="e">
        <f>(Original_VA!#REF!/Original_VA!#REF!-1)*100</f>
        <v>#REF!</v>
      </c>
      <c r="J14" s="12" t="e">
        <f>(Original_VA!#REF!/Original_VA!#REF!-1)*100</f>
        <v>#REF!</v>
      </c>
      <c r="K14" s="12" t="e">
        <f>(Original_VA!#REF!/Original_VA!#REF!-1)*100</f>
        <v>#REF!</v>
      </c>
      <c r="L14" s="12" t="e">
        <f>(Original_VA!#REF!/Original_VA!#REF!-1)*100</f>
        <v>#REF!</v>
      </c>
      <c r="M14" s="12" t="e">
        <f>(Original_VA!#REF!/Original_VA!#REF!-1)*100</f>
        <v>#REF!</v>
      </c>
      <c r="N14" s="12" t="e">
        <f>(Original_VA!#REF!/Original_VA!#REF!-1)*100</f>
        <v>#REF!</v>
      </c>
      <c r="O14" s="12" t="e">
        <f>(Original_VA!#REF!/Original_VA!#REF!-1)*100</f>
        <v>#REF!</v>
      </c>
      <c r="P14" s="12" t="e">
        <f>(Original_VA!#REF!/Original_VA!#REF!-1)*100</f>
        <v>#REF!</v>
      </c>
      <c r="Q14" s="12" t="e">
        <f>(Original_VA!#REF!/Original_VA!#REF!-1)*100</f>
        <v>#REF!</v>
      </c>
      <c r="R14" s="12" t="e">
        <f>(Original_VA!#REF!/Original_VA!#REF!-1)*100</f>
        <v>#REF!</v>
      </c>
      <c r="S14" s="12" t="e">
        <f>(Original_VA!#REF!/Original_VA!#REF!-1)*100</f>
        <v>#REF!</v>
      </c>
      <c r="T14" s="12" t="e">
        <f>(Original_VA!#REF!/Original_VA!#REF!-1)*100</f>
        <v>#REF!</v>
      </c>
      <c r="U14" s="12" t="e">
        <f>(Original_VA!#REF!/Original_VA!#REF!-1)*100</f>
        <v>#REF!</v>
      </c>
      <c r="V14" s="12" t="e">
        <f>(Original_VA!#REF!/Original_VA!#REF!-1)*100</f>
        <v>#REF!</v>
      </c>
      <c r="W14" s="12" t="e">
        <f>(Original_VA!#REF!/Original_VA!#REF!-1)*100</f>
        <v>#REF!</v>
      </c>
      <c r="X14" s="12" t="e">
        <f>(Original_VA!#REF!/Original_VA!#REF!-1)*100</f>
        <v>#REF!</v>
      </c>
      <c r="Y14" s="12" t="e">
        <f>(Original_VA!#REF!/Original_VA!#REF!-1)*100</f>
        <v>#REF!</v>
      </c>
      <c r="Z14" s="12" t="e">
        <f>(Original_VA!#REF!/Original_VA!#REF!-1)*100</f>
        <v>#REF!</v>
      </c>
      <c r="AA14" s="12" t="e">
        <f>(Original_VA!#REF!/Original_VA!#REF!-1)*100</f>
        <v>#REF!</v>
      </c>
      <c r="AB14" s="12" t="e">
        <f>(Original_VA!#REF!/Original_VA!#REF!-1)*100</f>
        <v>#REF!</v>
      </c>
      <c r="AD14" s="7"/>
    </row>
    <row r="15" spans="1:30" ht="15" customHeight="1" x14ac:dyDescent="0.25">
      <c r="A15" s="3" t="s">
        <v>10</v>
      </c>
      <c r="C15" s="6"/>
      <c r="D15" s="6"/>
      <c r="E15" s="6"/>
      <c r="F15" s="6"/>
      <c r="G15" s="12" t="e">
        <f>(Original_VA!#REF!/Original_VA!#REF!-1)*100</f>
        <v>#REF!</v>
      </c>
      <c r="H15" s="12" t="e">
        <f>(Original_VA!#REF!/Original_VA!#REF!-1)*100</f>
        <v>#REF!</v>
      </c>
      <c r="I15" s="12" t="e">
        <f>(Original_VA!#REF!/Original_VA!#REF!-1)*100</f>
        <v>#REF!</v>
      </c>
      <c r="J15" s="12" t="e">
        <f>(Original_VA!#REF!/Original_VA!#REF!-1)*100</f>
        <v>#REF!</v>
      </c>
      <c r="K15" s="12" t="e">
        <f>(Original_VA!#REF!/Original_VA!#REF!-1)*100</f>
        <v>#REF!</v>
      </c>
      <c r="L15" s="12" t="e">
        <f>(Original_VA!#REF!/Original_VA!#REF!-1)*100</f>
        <v>#REF!</v>
      </c>
      <c r="M15" s="12" t="e">
        <f>(Original_VA!#REF!/Original_VA!#REF!-1)*100</f>
        <v>#REF!</v>
      </c>
      <c r="N15" s="12" t="e">
        <f>(Original_VA!#REF!/Original_VA!#REF!-1)*100</f>
        <v>#REF!</v>
      </c>
      <c r="O15" s="12" t="e">
        <f>(Original_VA!#REF!/Original_VA!#REF!-1)*100</f>
        <v>#REF!</v>
      </c>
      <c r="P15" s="12" t="e">
        <f>(Original_VA!#REF!/Original_VA!#REF!-1)*100</f>
        <v>#REF!</v>
      </c>
      <c r="Q15" s="12" t="e">
        <f>(Original_VA!#REF!/Original_VA!#REF!-1)*100</f>
        <v>#REF!</v>
      </c>
      <c r="R15" s="12" t="e">
        <f>(Original_VA!#REF!/Original_VA!#REF!-1)*100</f>
        <v>#REF!</v>
      </c>
      <c r="S15" s="12" t="e">
        <f>(Original_VA!#REF!/Original_VA!#REF!-1)*100</f>
        <v>#REF!</v>
      </c>
      <c r="T15" s="12" t="e">
        <f>(Original_VA!#REF!/Original_VA!#REF!-1)*100</f>
        <v>#REF!</v>
      </c>
      <c r="U15" s="12" t="e">
        <f>(Original_VA!#REF!/Original_VA!#REF!-1)*100</f>
        <v>#REF!</v>
      </c>
      <c r="V15" s="12" t="e">
        <f>(Original_VA!#REF!/Original_VA!#REF!-1)*100</f>
        <v>#REF!</v>
      </c>
      <c r="W15" s="12" t="e">
        <f>(Original_VA!#REF!/Original_VA!#REF!-1)*100</f>
        <v>#REF!</v>
      </c>
      <c r="X15" s="12" t="e">
        <f>(Original_VA!#REF!/Original_VA!#REF!-1)*100</f>
        <v>#REF!</v>
      </c>
      <c r="Y15" s="12" t="e">
        <f>(Original_VA!#REF!/Original_VA!#REF!-1)*100</f>
        <v>#REF!</v>
      </c>
      <c r="Z15" s="12" t="e">
        <f>(Original_VA!#REF!/Original_VA!#REF!-1)*100</f>
        <v>#REF!</v>
      </c>
      <c r="AA15" s="12" t="e">
        <f>(Original_VA!#REF!/Original_VA!#REF!-1)*100</f>
        <v>#REF!</v>
      </c>
      <c r="AB15" s="12" t="e">
        <f>(Original_VA!#REF!/Original_VA!#REF!-1)*100</f>
        <v>#REF!</v>
      </c>
      <c r="AD15" s="7"/>
    </row>
    <row r="16" spans="1:30" ht="15" customHeight="1" x14ac:dyDescent="0.25">
      <c r="A16" s="3" t="s">
        <v>11</v>
      </c>
      <c r="C16" s="6"/>
      <c r="D16" s="6"/>
      <c r="E16" s="6"/>
      <c r="F16" s="6"/>
      <c r="G16" s="12" t="e">
        <f>(Original_VA!#REF!/Original_VA!#REF!-1)*100</f>
        <v>#REF!</v>
      </c>
      <c r="H16" s="12" t="e">
        <f>(Original_VA!#REF!/Original_VA!#REF!-1)*100</f>
        <v>#REF!</v>
      </c>
      <c r="I16" s="12" t="e">
        <f>(Original_VA!#REF!/Original_VA!#REF!-1)*100</f>
        <v>#REF!</v>
      </c>
      <c r="J16" s="12" t="e">
        <f>(Original_VA!#REF!/Original_VA!#REF!-1)*100</f>
        <v>#REF!</v>
      </c>
      <c r="K16" s="12" t="e">
        <f>(Original_VA!#REF!/Original_VA!#REF!-1)*100</f>
        <v>#REF!</v>
      </c>
      <c r="L16" s="12" t="e">
        <f>(Original_VA!#REF!/Original_VA!#REF!-1)*100</f>
        <v>#REF!</v>
      </c>
      <c r="M16" s="12" t="e">
        <f>(Original_VA!#REF!/Original_VA!#REF!-1)*100</f>
        <v>#REF!</v>
      </c>
      <c r="N16" s="12" t="e">
        <f>(Original_VA!#REF!/Original_VA!#REF!-1)*100</f>
        <v>#REF!</v>
      </c>
      <c r="O16" s="12" t="e">
        <f>(Original_VA!#REF!/Original_VA!#REF!-1)*100</f>
        <v>#REF!</v>
      </c>
      <c r="P16" s="12" t="e">
        <f>(Original_VA!#REF!/Original_VA!#REF!-1)*100</f>
        <v>#REF!</v>
      </c>
      <c r="Q16" s="12" t="e">
        <f>(Original_VA!#REF!/Original_VA!#REF!-1)*100</f>
        <v>#REF!</v>
      </c>
      <c r="R16" s="12" t="e">
        <f>(Original_VA!#REF!/Original_VA!#REF!-1)*100</f>
        <v>#REF!</v>
      </c>
      <c r="S16" s="12" t="e">
        <f>(Original_VA!#REF!/Original_VA!#REF!-1)*100</f>
        <v>#REF!</v>
      </c>
      <c r="T16" s="12" t="e">
        <f>(Original_VA!#REF!/Original_VA!#REF!-1)*100</f>
        <v>#REF!</v>
      </c>
      <c r="U16" s="12" t="e">
        <f>(Original_VA!#REF!/Original_VA!#REF!-1)*100</f>
        <v>#REF!</v>
      </c>
      <c r="V16" s="12" t="e">
        <f>(Original_VA!#REF!/Original_VA!#REF!-1)*100</f>
        <v>#REF!</v>
      </c>
      <c r="W16" s="12" t="e">
        <f>(Original_VA!#REF!/Original_VA!#REF!-1)*100</f>
        <v>#REF!</v>
      </c>
      <c r="X16" s="12" t="e">
        <f>(Original_VA!#REF!/Original_VA!#REF!-1)*100</f>
        <v>#REF!</v>
      </c>
      <c r="Y16" s="12" t="e">
        <f>(Original_VA!#REF!/Original_VA!#REF!-1)*100</f>
        <v>#REF!</v>
      </c>
      <c r="Z16" s="12" t="e">
        <f>(Original_VA!#REF!/Original_VA!#REF!-1)*100</f>
        <v>#REF!</v>
      </c>
      <c r="AA16" s="12" t="e">
        <f>(Original_VA!#REF!/Original_VA!#REF!-1)*100</f>
        <v>#REF!</v>
      </c>
      <c r="AB16" s="12" t="e">
        <f>(Original_VA!#REF!/Original_VA!#REF!-1)*100</f>
        <v>#REF!</v>
      </c>
      <c r="AD16" s="7"/>
    </row>
    <row r="17" spans="1:30" ht="15" customHeight="1" x14ac:dyDescent="0.25">
      <c r="A17" s="3" t="s">
        <v>12</v>
      </c>
      <c r="C17" s="6"/>
      <c r="D17" s="6"/>
      <c r="E17" s="6"/>
      <c r="F17" s="6"/>
      <c r="G17" s="12" t="e">
        <f>(Original_VA!#REF!/Original_VA!#REF!-1)*100</f>
        <v>#REF!</v>
      </c>
      <c r="H17" s="12" t="e">
        <f>(Original_VA!#REF!/Original_VA!#REF!-1)*100</f>
        <v>#REF!</v>
      </c>
      <c r="I17" s="12" t="e">
        <f>(Original_VA!#REF!/Original_VA!#REF!-1)*100</f>
        <v>#REF!</v>
      </c>
      <c r="J17" s="12" t="e">
        <f>(Original_VA!#REF!/Original_VA!#REF!-1)*100</f>
        <v>#REF!</v>
      </c>
      <c r="K17" s="12" t="e">
        <f>(Original_VA!#REF!/Original_VA!#REF!-1)*100</f>
        <v>#REF!</v>
      </c>
      <c r="L17" s="12" t="e">
        <f>(Original_VA!#REF!/Original_VA!#REF!-1)*100</f>
        <v>#REF!</v>
      </c>
      <c r="M17" s="12" t="e">
        <f>(Original_VA!#REF!/Original_VA!#REF!-1)*100</f>
        <v>#REF!</v>
      </c>
      <c r="N17" s="12" t="e">
        <f>(Original_VA!#REF!/Original_VA!#REF!-1)*100</f>
        <v>#REF!</v>
      </c>
      <c r="O17" s="12" t="e">
        <f>(Original_VA!#REF!/Original_VA!#REF!-1)*100</f>
        <v>#REF!</v>
      </c>
      <c r="P17" s="12" t="e">
        <f>(Original_VA!#REF!/Original_VA!#REF!-1)*100</f>
        <v>#REF!</v>
      </c>
      <c r="Q17" s="12" t="e">
        <f>(Original_VA!#REF!/Original_VA!#REF!-1)*100</f>
        <v>#REF!</v>
      </c>
      <c r="R17" s="12" t="e">
        <f>(Original_VA!#REF!/Original_VA!#REF!-1)*100</f>
        <v>#REF!</v>
      </c>
      <c r="S17" s="12" t="e">
        <f>(Original_VA!#REF!/Original_VA!#REF!-1)*100</f>
        <v>#REF!</v>
      </c>
      <c r="T17" s="12" t="e">
        <f>(Original_VA!#REF!/Original_VA!#REF!-1)*100</f>
        <v>#REF!</v>
      </c>
      <c r="U17" s="12" t="e">
        <f>(Original_VA!#REF!/Original_VA!#REF!-1)*100</f>
        <v>#REF!</v>
      </c>
      <c r="V17" s="12" t="e">
        <f>(Original_VA!#REF!/Original_VA!#REF!-1)*100</f>
        <v>#REF!</v>
      </c>
      <c r="W17" s="12" t="e">
        <f>(Original_VA!#REF!/Original_VA!#REF!-1)*100</f>
        <v>#REF!</v>
      </c>
      <c r="X17" s="12" t="e">
        <f>(Original_VA!#REF!/Original_VA!#REF!-1)*100</f>
        <v>#REF!</v>
      </c>
      <c r="Y17" s="12" t="e">
        <f>(Original_VA!#REF!/Original_VA!#REF!-1)*100</f>
        <v>#REF!</v>
      </c>
      <c r="Z17" s="12" t="e">
        <f>(Original_VA!#REF!/Original_VA!#REF!-1)*100</f>
        <v>#REF!</v>
      </c>
      <c r="AA17" s="12" t="e">
        <f>(Original_VA!#REF!/Original_VA!#REF!-1)*100</f>
        <v>#REF!</v>
      </c>
      <c r="AB17" s="12" t="e">
        <f>(Original_VA!#REF!/Original_VA!#REF!-1)*100</f>
        <v>#REF!</v>
      </c>
      <c r="AD17" s="7"/>
    </row>
    <row r="18" spans="1:30" ht="15" customHeight="1" x14ac:dyDescent="0.25">
      <c r="A18" s="2" t="s">
        <v>13</v>
      </c>
      <c r="C18" s="6"/>
      <c r="D18" s="6"/>
      <c r="E18" s="6"/>
      <c r="F18" s="6"/>
      <c r="G18" s="12" t="e">
        <f>(Original_VA!#REF!/Original_VA!#REF!-1)*100</f>
        <v>#REF!</v>
      </c>
      <c r="H18" s="12" t="e">
        <f>(Original_VA!#REF!/Original_VA!#REF!-1)*100</f>
        <v>#REF!</v>
      </c>
      <c r="I18" s="12" t="e">
        <f>(Original_VA!#REF!/Original_VA!#REF!-1)*100</f>
        <v>#REF!</v>
      </c>
      <c r="J18" s="12" t="e">
        <f>(Original_VA!#REF!/Original_VA!#REF!-1)*100</f>
        <v>#REF!</v>
      </c>
      <c r="K18" s="12" t="e">
        <f>(Original_VA!#REF!/Original_VA!#REF!-1)*100</f>
        <v>#REF!</v>
      </c>
      <c r="L18" s="12" t="e">
        <f>(Original_VA!#REF!/Original_VA!#REF!-1)*100</f>
        <v>#REF!</v>
      </c>
      <c r="M18" s="12" t="e">
        <f>(Original_VA!#REF!/Original_VA!#REF!-1)*100</f>
        <v>#REF!</v>
      </c>
      <c r="N18" s="12" t="e">
        <f>(Original_VA!#REF!/Original_VA!#REF!-1)*100</f>
        <v>#REF!</v>
      </c>
      <c r="O18" s="12" t="e">
        <f>(Original_VA!#REF!/Original_VA!#REF!-1)*100</f>
        <v>#REF!</v>
      </c>
      <c r="P18" s="12" t="e">
        <f>(Original_VA!#REF!/Original_VA!#REF!-1)*100</f>
        <v>#REF!</v>
      </c>
      <c r="Q18" s="12" t="e">
        <f>(Original_VA!#REF!/Original_VA!#REF!-1)*100</f>
        <v>#REF!</v>
      </c>
      <c r="R18" s="12" t="e">
        <f>(Original_VA!#REF!/Original_VA!#REF!-1)*100</f>
        <v>#REF!</v>
      </c>
      <c r="S18" s="12" t="e">
        <f>(Original_VA!#REF!/Original_VA!#REF!-1)*100</f>
        <v>#REF!</v>
      </c>
      <c r="T18" s="12" t="e">
        <f>(Original_VA!#REF!/Original_VA!#REF!-1)*100</f>
        <v>#REF!</v>
      </c>
      <c r="U18" s="12" t="e">
        <f>(Original_VA!#REF!/Original_VA!#REF!-1)*100</f>
        <v>#REF!</v>
      </c>
      <c r="V18" s="12" t="e">
        <f>(Original_VA!#REF!/Original_VA!#REF!-1)*100</f>
        <v>#REF!</v>
      </c>
      <c r="W18" s="12" t="e">
        <f>(Original_VA!#REF!/Original_VA!#REF!-1)*100</f>
        <v>#REF!</v>
      </c>
      <c r="X18" s="12" t="e">
        <f>(Original_VA!#REF!/Original_VA!#REF!-1)*100</f>
        <v>#REF!</v>
      </c>
      <c r="Y18" s="12" t="e">
        <f>(Original_VA!#REF!/Original_VA!#REF!-1)*100</f>
        <v>#REF!</v>
      </c>
      <c r="Z18" s="12" t="e">
        <f>(Original_VA!#REF!/Original_VA!#REF!-1)*100</f>
        <v>#REF!</v>
      </c>
      <c r="AA18" s="12" t="e">
        <f>(Original_VA!#REF!/Original_VA!#REF!-1)*100</f>
        <v>#REF!</v>
      </c>
      <c r="AB18" s="12" t="e">
        <f>(Original_VA!#REF!/Original_VA!#REF!-1)*100</f>
        <v>#REF!</v>
      </c>
      <c r="AD18" s="7"/>
    </row>
    <row r="19" spans="1:30" s="8" customFormat="1" ht="27.75" customHeight="1" x14ac:dyDescent="0.25">
      <c r="A19" s="1" t="s">
        <v>14</v>
      </c>
      <c r="C19" s="9"/>
      <c r="D19" s="9"/>
      <c r="E19" s="9"/>
      <c r="F19" s="9"/>
      <c r="G19" s="11" t="e">
        <f>(Original_VA!#REF!/Original_VA!#REF!-1)*100</f>
        <v>#REF!</v>
      </c>
      <c r="H19" s="11" t="e">
        <f>(Original_VA!#REF!/Original_VA!#REF!-1)*100</f>
        <v>#REF!</v>
      </c>
      <c r="I19" s="11" t="e">
        <f>(Original_VA!#REF!/Original_VA!#REF!-1)*100</f>
        <v>#REF!</v>
      </c>
      <c r="J19" s="11" t="e">
        <f>(Original_VA!#REF!/Original_VA!#REF!-1)*100</f>
        <v>#REF!</v>
      </c>
      <c r="K19" s="11" t="e">
        <f>(Original_VA!#REF!/Original_VA!#REF!-1)*100</f>
        <v>#REF!</v>
      </c>
      <c r="L19" s="11" t="e">
        <f>(Original_VA!#REF!/Original_VA!#REF!-1)*100</f>
        <v>#REF!</v>
      </c>
      <c r="M19" s="11" t="e">
        <f>(Original_VA!#REF!/Original_VA!#REF!-1)*100</f>
        <v>#REF!</v>
      </c>
      <c r="N19" s="11" t="e">
        <f>(Original_VA!#REF!/Original_VA!#REF!-1)*100</f>
        <v>#REF!</v>
      </c>
      <c r="O19" s="11" t="e">
        <f>(Original_VA!#REF!/Original_VA!#REF!-1)*100</f>
        <v>#REF!</v>
      </c>
      <c r="P19" s="11" t="e">
        <f>(Original_VA!#REF!/Original_VA!#REF!-1)*100</f>
        <v>#REF!</v>
      </c>
      <c r="Q19" s="11" t="e">
        <f>(Original_VA!#REF!/Original_VA!#REF!-1)*100</f>
        <v>#REF!</v>
      </c>
      <c r="R19" s="11" t="e">
        <f>(Original_VA!#REF!/Original_VA!#REF!-1)*100</f>
        <v>#REF!</v>
      </c>
      <c r="S19" s="11" t="e">
        <f>(Original_VA!#REF!/Original_VA!#REF!-1)*100</f>
        <v>#REF!</v>
      </c>
      <c r="T19" s="11" t="e">
        <f>(Original_VA!#REF!/Original_VA!#REF!-1)*100</f>
        <v>#REF!</v>
      </c>
      <c r="U19" s="11" t="e">
        <f>(Original_VA!#REF!/Original_VA!#REF!-1)*100</f>
        <v>#REF!</v>
      </c>
      <c r="V19" s="11" t="e">
        <f>(Original_VA!#REF!/Original_VA!#REF!-1)*100</f>
        <v>#REF!</v>
      </c>
      <c r="W19" s="11" t="e">
        <f>(Original_VA!#REF!/Original_VA!#REF!-1)*100</f>
        <v>#REF!</v>
      </c>
      <c r="X19" s="11" t="e">
        <f>(Original_VA!#REF!/Original_VA!#REF!-1)*100</f>
        <v>#REF!</v>
      </c>
      <c r="Y19" s="11" t="e">
        <f>(Original_VA!#REF!/Original_VA!#REF!-1)*100</f>
        <v>#REF!</v>
      </c>
      <c r="Z19" s="11" t="e">
        <f>(Original_VA!#REF!/Original_VA!#REF!-1)*100</f>
        <v>#REF!</v>
      </c>
      <c r="AA19" s="11" t="e">
        <f>(Original_VA!#REF!/Original_VA!#REF!-1)*100</f>
        <v>#REF!</v>
      </c>
      <c r="AB19" s="11" t="e">
        <f>(Original_VA!#REF!/Original_VA!#REF!-1)*100</f>
        <v>#REF!</v>
      </c>
      <c r="AD19" s="7"/>
    </row>
    <row r="20" spans="1:30" ht="15" customHeight="1" x14ac:dyDescent="0.25">
      <c r="A20" s="4" t="s">
        <v>15</v>
      </c>
      <c r="C20" s="6"/>
      <c r="D20" s="6"/>
      <c r="E20" s="6"/>
      <c r="F20" s="6"/>
      <c r="G20" s="12" t="e">
        <f>(Original_VA!#REF!/Original_VA!#REF!-1)*100</f>
        <v>#REF!</v>
      </c>
      <c r="H20" s="12" t="e">
        <f>(Original_VA!#REF!/Original_VA!#REF!-1)*100</f>
        <v>#REF!</v>
      </c>
      <c r="I20" s="12" t="e">
        <f>(Original_VA!#REF!/Original_VA!#REF!-1)*100</f>
        <v>#REF!</v>
      </c>
      <c r="J20" s="12" t="e">
        <f>(Original_VA!#REF!/Original_VA!#REF!-1)*100</f>
        <v>#REF!</v>
      </c>
      <c r="K20" s="12" t="e">
        <f>(Original_VA!#REF!/Original_VA!#REF!-1)*100</f>
        <v>#REF!</v>
      </c>
      <c r="L20" s="12" t="e">
        <f>(Original_VA!#REF!/Original_VA!#REF!-1)*100</f>
        <v>#REF!</v>
      </c>
      <c r="M20" s="12" t="e">
        <f>(Original_VA!#REF!/Original_VA!#REF!-1)*100</f>
        <v>#REF!</v>
      </c>
      <c r="N20" s="12" t="e">
        <f>(Original_VA!#REF!/Original_VA!#REF!-1)*100</f>
        <v>#REF!</v>
      </c>
      <c r="O20" s="12" t="e">
        <f>(Original_VA!#REF!/Original_VA!#REF!-1)*100</f>
        <v>#REF!</v>
      </c>
      <c r="P20" s="12" t="e">
        <f>(Original_VA!#REF!/Original_VA!#REF!-1)*100</f>
        <v>#REF!</v>
      </c>
      <c r="Q20" s="12" t="e">
        <f>(Original_VA!#REF!/Original_VA!#REF!-1)*100</f>
        <v>#REF!</v>
      </c>
      <c r="R20" s="12" t="e">
        <f>(Original_VA!#REF!/Original_VA!#REF!-1)*100</f>
        <v>#REF!</v>
      </c>
      <c r="S20" s="12" t="e">
        <f>(Original_VA!#REF!/Original_VA!#REF!-1)*100</f>
        <v>#REF!</v>
      </c>
      <c r="T20" s="12" t="e">
        <f>(Original_VA!#REF!/Original_VA!#REF!-1)*100</f>
        <v>#REF!</v>
      </c>
      <c r="U20" s="12" t="e">
        <f>(Original_VA!#REF!/Original_VA!#REF!-1)*100</f>
        <v>#REF!</v>
      </c>
      <c r="V20" s="12" t="e">
        <f>(Original_VA!#REF!/Original_VA!#REF!-1)*100</f>
        <v>#REF!</v>
      </c>
      <c r="W20" s="12" t="e">
        <f>(Original_VA!#REF!/Original_VA!#REF!-1)*100</f>
        <v>#REF!</v>
      </c>
      <c r="X20" s="12" t="e">
        <f>(Original_VA!#REF!/Original_VA!#REF!-1)*100</f>
        <v>#REF!</v>
      </c>
      <c r="Y20" s="12" t="e">
        <f>(Original_VA!#REF!/Original_VA!#REF!-1)*100</f>
        <v>#REF!</v>
      </c>
      <c r="Z20" s="12" t="e">
        <f>(Original_VA!#REF!/Original_VA!#REF!-1)*100</f>
        <v>#REF!</v>
      </c>
      <c r="AA20" s="12" t="e">
        <f>(Original_VA!#REF!/Original_VA!#REF!-1)*100</f>
        <v>#REF!</v>
      </c>
      <c r="AB20" s="12" t="e">
        <f>(Original_VA!#REF!/Original_VA!#REF!-1)*100</f>
        <v>#REF!</v>
      </c>
      <c r="AD20" s="7"/>
    </row>
    <row r="21" spans="1:30" ht="15" customHeight="1" x14ac:dyDescent="0.25">
      <c r="A21" s="4" t="s">
        <v>16</v>
      </c>
      <c r="B21" s="8"/>
      <c r="C21" s="6"/>
      <c r="D21" s="6"/>
      <c r="E21" s="6"/>
      <c r="F21" s="6"/>
      <c r="G21" s="12" t="e">
        <f>(Original_VA!#REF!/Original_VA!#REF!-1)*100</f>
        <v>#REF!</v>
      </c>
      <c r="H21" s="12" t="e">
        <f>(Original_VA!#REF!/Original_VA!#REF!-1)*100</f>
        <v>#REF!</v>
      </c>
      <c r="I21" s="12" t="e">
        <f>(Original_VA!#REF!/Original_VA!#REF!-1)*100</f>
        <v>#REF!</v>
      </c>
      <c r="J21" s="12" t="e">
        <f>(Original_VA!#REF!/Original_VA!#REF!-1)*100</f>
        <v>#REF!</v>
      </c>
      <c r="K21" s="12" t="e">
        <f>(Original_VA!#REF!/Original_VA!#REF!-1)*100</f>
        <v>#REF!</v>
      </c>
      <c r="L21" s="12" t="e">
        <f>(Original_VA!#REF!/Original_VA!#REF!-1)*100</f>
        <v>#REF!</v>
      </c>
      <c r="M21" s="12" t="e">
        <f>(Original_VA!#REF!/Original_VA!#REF!-1)*100</f>
        <v>#REF!</v>
      </c>
      <c r="N21" s="12" t="e">
        <f>(Original_VA!#REF!/Original_VA!#REF!-1)*100</f>
        <v>#REF!</v>
      </c>
      <c r="O21" s="12" t="e">
        <f>(Original_VA!#REF!/Original_VA!#REF!-1)*100</f>
        <v>#REF!</v>
      </c>
      <c r="P21" s="12" t="e">
        <f>(Original_VA!#REF!/Original_VA!#REF!-1)*100</f>
        <v>#REF!</v>
      </c>
      <c r="Q21" s="12" t="e">
        <f>(Original_VA!#REF!/Original_VA!#REF!-1)*100</f>
        <v>#REF!</v>
      </c>
      <c r="R21" s="12" t="e">
        <f>(Original_VA!#REF!/Original_VA!#REF!-1)*100</f>
        <v>#REF!</v>
      </c>
      <c r="S21" s="12" t="e">
        <f>(Original_VA!#REF!/Original_VA!#REF!-1)*100</f>
        <v>#REF!</v>
      </c>
      <c r="T21" s="12" t="e">
        <f>(Original_VA!#REF!/Original_VA!#REF!-1)*100</f>
        <v>#REF!</v>
      </c>
      <c r="U21" s="12" t="e">
        <f>(Original_VA!#REF!/Original_VA!#REF!-1)*100</f>
        <v>#REF!</v>
      </c>
      <c r="V21" s="12" t="e">
        <f>(Original_VA!#REF!/Original_VA!#REF!-1)*100</f>
        <v>#REF!</v>
      </c>
      <c r="W21" s="12" t="e">
        <f>(Original_VA!#REF!/Original_VA!#REF!-1)*100</f>
        <v>#REF!</v>
      </c>
      <c r="X21" s="12" t="e">
        <f>(Original_VA!#REF!/Original_VA!#REF!-1)*100</f>
        <v>#REF!</v>
      </c>
      <c r="Y21" s="12" t="e">
        <f>(Original_VA!#REF!/Original_VA!#REF!-1)*100</f>
        <v>#REF!</v>
      </c>
      <c r="Z21" s="12" t="e">
        <f>(Original_VA!#REF!/Original_VA!#REF!-1)*100</f>
        <v>#REF!</v>
      </c>
      <c r="AA21" s="12" t="e">
        <f>(Original_VA!#REF!/Original_VA!#REF!-1)*100</f>
        <v>#REF!</v>
      </c>
      <c r="AB21" s="12" t="e">
        <f>(Original_VA!#REF!/Original_VA!#REF!-1)*100</f>
        <v>#REF!</v>
      </c>
      <c r="AD21" s="7"/>
    </row>
    <row r="22" spans="1:30" ht="15" customHeight="1" x14ac:dyDescent="0.25">
      <c r="A22" s="4" t="s">
        <v>17</v>
      </c>
      <c r="C22" s="6"/>
      <c r="D22" s="6"/>
      <c r="E22" s="6"/>
      <c r="F22" s="6"/>
      <c r="G22" s="12" t="e">
        <f>(Original_VA!#REF!/Original_VA!#REF!-1)*100</f>
        <v>#REF!</v>
      </c>
      <c r="H22" s="12" t="e">
        <f>(Original_VA!#REF!/Original_VA!#REF!-1)*100</f>
        <v>#REF!</v>
      </c>
      <c r="I22" s="12" t="e">
        <f>(Original_VA!#REF!/Original_VA!#REF!-1)*100</f>
        <v>#REF!</v>
      </c>
      <c r="J22" s="12" t="e">
        <f>(Original_VA!#REF!/Original_VA!#REF!-1)*100</f>
        <v>#REF!</v>
      </c>
      <c r="K22" s="12" t="e">
        <f>(Original_VA!#REF!/Original_VA!#REF!-1)*100</f>
        <v>#REF!</v>
      </c>
      <c r="L22" s="12" t="e">
        <f>(Original_VA!#REF!/Original_VA!#REF!-1)*100</f>
        <v>#REF!</v>
      </c>
      <c r="M22" s="12" t="e">
        <f>(Original_VA!#REF!/Original_VA!#REF!-1)*100</f>
        <v>#REF!</v>
      </c>
      <c r="N22" s="12" t="e">
        <f>(Original_VA!#REF!/Original_VA!#REF!-1)*100</f>
        <v>#REF!</v>
      </c>
      <c r="O22" s="12" t="e">
        <f>(Original_VA!#REF!/Original_VA!#REF!-1)*100</f>
        <v>#REF!</v>
      </c>
      <c r="P22" s="12" t="e">
        <f>(Original_VA!#REF!/Original_VA!#REF!-1)*100</f>
        <v>#REF!</v>
      </c>
      <c r="Q22" s="12" t="e">
        <f>(Original_VA!#REF!/Original_VA!#REF!-1)*100</f>
        <v>#REF!</v>
      </c>
      <c r="R22" s="12" t="e">
        <f>(Original_VA!#REF!/Original_VA!#REF!-1)*100</f>
        <v>#REF!</v>
      </c>
      <c r="S22" s="12" t="e">
        <f>(Original_VA!#REF!/Original_VA!#REF!-1)*100</f>
        <v>#REF!</v>
      </c>
      <c r="T22" s="12" t="e">
        <f>(Original_VA!#REF!/Original_VA!#REF!-1)*100</f>
        <v>#REF!</v>
      </c>
      <c r="U22" s="12" t="e">
        <f>(Original_VA!#REF!/Original_VA!#REF!-1)*100</f>
        <v>#REF!</v>
      </c>
      <c r="V22" s="12" t="e">
        <f>(Original_VA!#REF!/Original_VA!#REF!-1)*100</f>
        <v>#REF!</v>
      </c>
      <c r="W22" s="12" t="e">
        <f>(Original_VA!#REF!/Original_VA!#REF!-1)*100</f>
        <v>#REF!</v>
      </c>
      <c r="X22" s="12" t="e">
        <f>(Original_VA!#REF!/Original_VA!#REF!-1)*100</f>
        <v>#REF!</v>
      </c>
      <c r="Y22" s="12" t="e">
        <f>(Original_VA!#REF!/Original_VA!#REF!-1)*100</f>
        <v>#REF!</v>
      </c>
      <c r="Z22" s="12" t="e">
        <f>(Original_VA!#REF!/Original_VA!#REF!-1)*100</f>
        <v>#REF!</v>
      </c>
      <c r="AA22" s="12" t="e">
        <f>(Original_VA!#REF!/Original_VA!#REF!-1)*100</f>
        <v>#REF!</v>
      </c>
      <c r="AB22" s="12" t="e">
        <f>(Original_VA!#REF!/Original_VA!#REF!-1)*100</f>
        <v>#REF!</v>
      </c>
      <c r="AD22" s="7"/>
    </row>
    <row r="23" spans="1:30" ht="15" customHeight="1" x14ac:dyDescent="0.25">
      <c r="A23" s="4" t="s">
        <v>18</v>
      </c>
      <c r="C23" s="6"/>
      <c r="D23" s="6"/>
      <c r="E23" s="6"/>
      <c r="F23" s="6"/>
      <c r="G23" s="12" t="e">
        <f>(Original_VA!#REF!/Original_VA!#REF!-1)*100</f>
        <v>#REF!</v>
      </c>
      <c r="H23" s="12" t="e">
        <f>(Original_VA!#REF!/Original_VA!#REF!-1)*100</f>
        <v>#REF!</v>
      </c>
      <c r="I23" s="12" t="e">
        <f>(Original_VA!#REF!/Original_VA!#REF!-1)*100</f>
        <v>#REF!</v>
      </c>
      <c r="J23" s="12" t="e">
        <f>(Original_VA!#REF!/Original_VA!#REF!-1)*100</f>
        <v>#REF!</v>
      </c>
      <c r="K23" s="12" t="e">
        <f>(Original_VA!#REF!/Original_VA!#REF!-1)*100</f>
        <v>#REF!</v>
      </c>
      <c r="L23" s="12" t="e">
        <f>(Original_VA!#REF!/Original_VA!#REF!-1)*100</f>
        <v>#REF!</v>
      </c>
      <c r="M23" s="12" t="e">
        <f>(Original_VA!#REF!/Original_VA!#REF!-1)*100</f>
        <v>#REF!</v>
      </c>
      <c r="N23" s="12" t="e">
        <f>(Original_VA!#REF!/Original_VA!#REF!-1)*100</f>
        <v>#REF!</v>
      </c>
      <c r="O23" s="12" t="e">
        <f>(Original_VA!#REF!/Original_VA!#REF!-1)*100</f>
        <v>#REF!</v>
      </c>
      <c r="P23" s="12" t="e">
        <f>(Original_VA!#REF!/Original_VA!#REF!-1)*100</f>
        <v>#REF!</v>
      </c>
      <c r="Q23" s="12" t="e">
        <f>(Original_VA!#REF!/Original_VA!#REF!-1)*100</f>
        <v>#REF!</v>
      </c>
      <c r="R23" s="12" t="e">
        <f>(Original_VA!#REF!/Original_VA!#REF!-1)*100</f>
        <v>#REF!</v>
      </c>
      <c r="S23" s="12" t="e">
        <f>(Original_VA!#REF!/Original_VA!#REF!-1)*100</f>
        <v>#REF!</v>
      </c>
      <c r="T23" s="12" t="e">
        <f>(Original_VA!#REF!/Original_VA!#REF!-1)*100</f>
        <v>#REF!</v>
      </c>
      <c r="U23" s="12" t="e">
        <f>(Original_VA!#REF!/Original_VA!#REF!-1)*100</f>
        <v>#REF!</v>
      </c>
      <c r="V23" s="12" t="e">
        <f>(Original_VA!#REF!/Original_VA!#REF!-1)*100</f>
        <v>#REF!</v>
      </c>
      <c r="W23" s="12" t="e">
        <f>(Original_VA!#REF!/Original_VA!#REF!-1)*100</f>
        <v>#REF!</v>
      </c>
      <c r="X23" s="12" t="e">
        <f>(Original_VA!#REF!/Original_VA!#REF!-1)*100</f>
        <v>#REF!</v>
      </c>
      <c r="Y23" s="12" t="e">
        <f>(Original_VA!#REF!/Original_VA!#REF!-1)*100</f>
        <v>#REF!</v>
      </c>
      <c r="Z23" s="12" t="e">
        <f>(Original_VA!#REF!/Original_VA!#REF!-1)*100</f>
        <v>#REF!</v>
      </c>
      <c r="AA23" s="12" t="e">
        <f>(Original_VA!#REF!/Original_VA!#REF!-1)*100</f>
        <v>#REF!</v>
      </c>
      <c r="AB23" s="12" t="e">
        <f>(Original_VA!#REF!/Original_VA!#REF!-1)*100</f>
        <v>#REF!</v>
      </c>
      <c r="AD23" s="7"/>
    </row>
    <row r="24" spans="1:30" ht="15" customHeight="1" x14ac:dyDescent="0.25">
      <c r="A24" s="4" t="s">
        <v>19</v>
      </c>
      <c r="C24" s="6"/>
      <c r="D24" s="6"/>
      <c r="E24" s="6"/>
      <c r="F24" s="6"/>
      <c r="G24" s="12" t="e">
        <f>(Original_VA!#REF!/Original_VA!#REF!-1)*100</f>
        <v>#REF!</v>
      </c>
      <c r="H24" s="12" t="e">
        <f>(Original_VA!#REF!/Original_VA!#REF!-1)*100</f>
        <v>#REF!</v>
      </c>
      <c r="I24" s="12" t="e">
        <f>(Original_VA!#REF!/Original_VA!#REF!-1)*100</f>
        <v>#REF!</v>
      </c>
      <c r="J24" s="12" t="e">
        <f>(Original_VA!#REF!/Original_VA!#REF!-1)*100</f>
        <v>#REF!</v>
      </c>
      <c r="K24" s="12" t="e">
        <f>(Original_VA!#REF!/Original_VA!#REF!-1)*100</f>
        <v>#REF!</v>
      </c>
      <c r="L24" s="12" t="e">
        <f>(Original_VA!#REF!/Original_VA!#REF!-1)*100</f>
        <v>#REF!</v>
      </c>
      <c r="M24" s="12" t="e">
        <f>(Original_VA!#REF!/Original_VA!#REF!-1)*100</f>
        <v>#REF!</v>
      </c>
      <c r="N24" s="12" t="e">
        <f>(Original_VA!#REF!/Original_VA!#REF!-1)*100</f>
        <v>#REF!</v>
      </c>
      <c r="O24" s="12" t="e">
        <f>(Original_VA!#REF!/Original_VA!#REF!-1)*100</f>
        <v>#REF!</v>
      </c>
      <c r="P24" s="12" t="e">
        <f>(Original_VA!#REF!/Original_VA!#REF!-1)*100</f>
        <v>#REF!</v>
      </c>
      <c r="Q24" s="12" t="e">
        <f>(Original_VA!#REF!/Original_VA!#REF!-1)*100</f>
        <v>#REF!</v>
      </c>
      <c r="R24" s="12" t="e">
        <f>(Original_VA!#REF!/Original_VA!#REF!-1)*100</f>
        <v>#REF!</v>
      </c>
      <c r="S24" s="12" t="e">
        <f>(Original_VA!#REF!/Original_VA!#REF!-1)*100</f>
        <v>#REF!</v>
      </c>
      <c r="T24" s="12" t="e">
        <f>(Original_VA!#REF!/Original_VA!#REF!-1)*100</f>
        <v>#REF!</v>
      </c>
      <c r="U24" s="12" t="e">
        <f>(Original_VA!#REF!/Original_VA!#REF!-1)*100</f>
        <v>#REF!</v>
      </c>
      <c r="V24" s="12" t="e">
        <f>(Original_VA!#REF!/Original_VA!#REF!-1)*100</f>
        <v>#REF!</v>
      </c>
      <c r="W24" s="12" t="e">
        <f>(Original_VA!#REF!/Original_VA!#REF!-1)*100</f>
        <v>#REF!</v>
      </c>
      <c r="X24" s="12" t="e">
        <f>(Original_VA!#REF!/Original_VA!#REF!-1)*100</f>
        <v>#REF!</v>
      </c>
      <c r="Y24" s="12" t="e">
        <f>(Original_VA!#REF!/Original_VA!#REF!-1)*100</f>
        <v>#REF!</v>
      </c>
      <c r="Z24" s="12" t="e">
        <f>(Original_VA!#REF!/Original_VA!#REF!-1)*100</f>
        <v>#REF!</v>
      </c>
      <c r="AA24" s="12" t="e">
        <f>(Original_VA!#REF!/Original_VA!#REF!-1)*100</f>
        <v>#REF!</v>
      </c>
      <c r="AB24" s="12" t="e">
        <f>(Original_VA!#REF!/Original_VA!#REF!-1)*100</f>
        <v>#REF!</v>
      </c>
      <c r="AD24" s="7"/>
    </row>
    <row r="25" spans="1:30" ht="15" customHeight="1" x14ac:dyDescent="0.25">
      <c r="A25" s="4" t="s">
        <v>20</v>
      </c>
      <c r="C25" s="6"/>
      <c r="D25" s="6"/>
      <c r="E25" s="6"/>
      <c r="F25" s="6"/>
      <c r="G25" s="12" t="e">
        <f>(Original_VA!#REF!/Original_VA!#REF!-1)*100</f>
        <v>#REF!</v>
      </c>
      <c r="H25" s="12" t="e">
        <f>(Original_VA!#REF!/Original_VA!#REF!-1)*100</f>
        <v>#REF!</v>
      </c>
      <c r="I25" s="12" t="e">
        <f>(Original_VA!#REF!/Original_VA!#REF!-1)*100</f>
        <v>#REF!</v>
      </c>
      <c r="J25" s="12" t="e">
        <f>(Original_VA!#REF!/Original_VA!#REF!-1)*100</f>
        <v>#REF!</v>
      </c>
      <c r="K25" s="12" t="e">
        <f>(Original_VA!#REF!/Original_VA!#REF!-1)*100</f>
        <v>#REF!</v>
      </c>
      <c r="L25" s="12" t="e">
        <f>(Original_VA!#REF!/Original_VA!#REF!-1)*100</f>
        <v>#REF!</v>
      </c>
      <c r="M25" s="12" t="e">
        <f>(Original_VA!#REF!/Original_VA!#REF!-1)*100</f>
        <v>#REF!</v>
      </c>
      <c r="N25" s="12" t="e">
        <f>(Original_VA!#REF!/Original_VA!#REF!-1)*100</f>
        <v>#REF!</v>
      </c>
      <c r="O25" s="12" t="e">
        <f>(Original_VA!#REF!/Original_VA!#REF!-1)*100</f>
        <v>#REF!</v>
      </c>
      <c r="P25" s="12" t="e">
        <f>(Original_VA!#REF!/Original_VA!#REF!-1)*100</f>
        <v>#REF!</v>
      </c>
      <c r="Q25" s="12" t="e">
        <f>(Original_VA!#REF!/Original_VA!#REF!-1)*100</f>
        <v>#REF!</v>
      </c>
      <c r="R25" s="12" t="e">
        <f>(Original_VA!#REF!/Original_VA!#REF!-1)*100</f>
        <v>#REF!</v>
      </c>
      <c r="S25" s="12" t="e">
        <f>(Original_VA!#REF!/Original_VA!#REF!-1)*100</f>
        <v>#REF!</v>
      </c>
      <c r="T25" s="12" t="e">
        <f>(Original_VA!#REF!/Original_VA!#REF!-1)*100</f>
        <v>#REF!</v>
      </c>
      <c r="U25" s="12" t="e">
        <f>(Original_VA!#REF!/Original_VA!#REF!-1)*100</f>
        <v>#REF!</v>
      </c>
      <c r="V25" s="12" t="e">
        <f>(Original_VA!#REF!/Original_VA!#REF!-1)*100</f>
        <v>#REF!</v>
      </c>
      <c r="W25" s="12" t="e">
        <f>(Original_VA!#REF!/Original_VA!#REF!-1)*100</f>
        <v>#REF!</v>
      </c>
      <c r="X25" s="12" t="e">
        <f>(Original_VA!#REF!/Original_VA!#REF!-1)*100</f>
        <v>#REF!</v>
      </c>
      <c r="Y25" s="12" t="e">
        <f>(Original_VA!#REF!/Original_VA!#REF!-1)*100</f>
        <v>#REF!</v>
      </c>
      <c r="Z25" s="12" t="e">
        <f>(Original_VA!#REF!/Original_VA!#REF!-1)*100</f>
        <v>#REF!</v>
      </c>
      <c r="AA25" s="12" t="e">
        <f>(Original_VA!#REF!/Original_VA!#REF!-1)*100</f>
        <v>#REF!</v>
      </c>
      <c r="AB25" s="12" t="e">
        <f>(Original_VA!#REF!/Original_VA!#REF!-1)*100</f>
        <v>#REF!</v>
      </c>
      <c r="AD25" s="7"/>
    </row>
    <row r="26" spans="1:30" ht="15" customHeight="1" x14ac:dyDescent="0.25">
      <c r="A26" s="4" t="s">
        <v>21</v>
      </c>
      <c r="C26" s="6"/>
      <c r="D26" s="6"/>
      <c r="E26" s="6"/>
      <c r="F26" s="6"/>
      <c r="G26" s="12" t="e">
        <f>(Original_VA!#REF!/Original_VA!#REF!-1)*100</f>
        <v>#REF!</v>
      </c>
      <c r="H26" s="12" t="e">
        <f>(Original_VA!#REF!/Original_VA!#REF!-1)*100</f>
        <v>#REF!</v>
      </c>
      <c r="I26" s="12" t="e">
        <f>(Original_VA!#REF!/Original_VA!#REF!-1)*100</f>
        <v>#REF!</v>
      </c>
      <c r="J26" s="12" t="e">
        <f>(Original_VA!#REF!/Original_VA!#REF!-1)*100</f>
        <v>#REF!</v>
      </c>
      <c r="K26" s="12" t="e">
        <f>(Original_VA!#REF!/Original_VA!#REF!-1)*100</f>
        <v>#REF!</v>
      </c>
      <c r="L26" s="12" t="e">
        <f>(Original_VA!#REF!/Original_VA!#REF!-1)*100</f>
        <v>#REF!</v>
      </c>
      <c r="M26" s="12" t="e">
        <f>(Original_VA!#REF!/Original_VA!#REF!-1)*100</f>
        <v>#REF!</v>
      </c>
      <c r="N26" s="12" t="e">
        <f>(Original_VA!#REF!/Original_VA!#REF!-1)*100</f>
        <v>#REF!</v>
      </c>
      <c r="O26" s="12" t="e">
        <f>(Original_VA!#REF!/Original_VA!#REF!-1)*100</f>
        <v>#REF!</v>
      </c>
      <c r="P26" s="12" t="e">
        <f>(Original_VA!#REF!/Original_VA!#REF!-1)*100</f>
        <v>#REF!</v>
      </c>
      <c r="Q26" s="12" t="e">
        <f>(Original_VA!#REF!/Original_VA!#REF!-1)*100</f>
        <v>#REF!</v>
      </c>
      <c r="R26" s="12" t="e">
        <f>(Original_VA!#REF!/Original_VA!#REF!-1)*100</f>
        <v>#REF!</v>
      </c>
      <c r="S26" s="12" t="e">
        <f>(Original_VA!#REF!/Original_VA!#REF!-1)*100</f>
        <v>#REF!</v>
      </c>
      <c r="T26" s="12" t="e">
        <f>(Original_VA!#REF!/Original_VA!#REF!-1)*100</f>
        <v>#REF!</v>
      </c>
      <c r="U26" s="12" t="e">
        <f>(Original_VA!#REF!/Original_VA!#REF!-1)*100</f>
        <v>#REF!</v>
      </c>
      <c r="V26" s="12" t="e">
        <f>(Original_VA!#REF!/Original_VA!#REF!-1)*100</f>
        <v>#REF!</v>
      </c>
      <c r="W26" s="12" t="e">
        <f>(Original_VA!#REF!/Original_VA!#REF!-1)*100</f>
        <v>#REF!</v>
      </c>
      <c r="X26" s="12" t="e">
        <f>(Original_VA!#REF!/Original_VA!#REF!-1)*100</f>
        <v>#REF!</v>
      </c>
      <c r="Y26" s="12" t="e">
        <f>(Original_VA!#REF!/Original_VA!#REF!-1)*100</f>
        <v>#REF!</v>
      </c>
      <c r="Z26" s="12" t="e">
        <f>(Original_VA!#REF!/Original_VA!#REF!-1)*100</f>
        <v>#REF!</v>
      </c>
      <c r="AA26" s="12" t="e">
        <f>(Original_VA!#REF!/Original_VA!#REF!-1)*100</f>
        <v>#REF!</v>
      </c>
      <c r="AB26" s="12" t="e">
        <f>(Original_VA!#REF!/Original_VA!#REF!-1)*100</f>
        <v>#REF!</v>
      </c>
      <c r="AD26" s="7"/>
    </row>
    <row r="27" spans="1:30" ht="15" customHeight="1" x14ac:dyDescent="0.25">
      <c r="A27" s="4" t="s">
        <v>22</v>
      </c>
      <c r="C27" s="6"/>
      <c r="D27" s="6"/>
      <c r="E27" s="6"/>
      <c r="F27" s="6"/>
      <c r="G27" s="12" t="e">
        <f>(Original_VA!#REF!/Original_VA!#REF!-1)*100</f>
        <v>#REF!</v>
      </c>
      <c r="H27" s="12" t="e">
        <f>(Original_VA!#REF!/Original_VA!#REF!-1)*100</f>
        <v>#REF!</v>
      </c>
      <c r="I27" s="12" t="e">
        <f>(Original_VA!#REF!/Original_VA!#REF!-1)*100</f>
        <v>#REF!</v>
      </c>
      <c r="J27" s="12" t="e">
        <f>(Original_VA!#REF!/Original_VA!#REF!-1)*100</f>
        <v>#REF!</v>
      </c>
      <c r="K27" s="12" t="e">
        <f>(Original_VA!#REF!/Original_VA!#REF!-1)*100</f>
        <v>#REF!</v>
      </c>
      <c r="L27" s="12" t="e">
        <f>(Original_VA!#REF!/Original_VA!#REF!-1)*100</f>
        <v>#REF!</v>
      </c>
      <c r="M27" s="12" t="e">
        <f>(Original_VA!#REF!/Original_VA!#REF!-1)*100</f>
        <v>#REF!</v>
      </c>
      <c r="N27" s="12" t="e">
        <f>(Original_VA!#REF!/Original_VA!#REF!-1)*100</f>
        <v>#REF!</v>
      </c>
      <c r="O27" s="12" t="e">
        <f>(Original_VA!#REF!/Original_VA!#REF!-1)*100</f>
        <v>#REF!</v>
      </c>
      <c r="P27" s="12" t="e">
        <f>(Original_VA!#REF!/Original_VA!#REF!-1)*100</f>
        <v>#REF!</v>
      </c>
      <c r="Q27" s="12" t="e">
        <f>(Original_VA!#REF!/Original_VA!#REF!-1)*100</f>
        <v>#REF!</v>
      </c>
      <c r="R27" s="12" t="e">
        <f>(Original_VA!#REF!/Original_VA!#REF!-1)*100</f>
        <v>#REF!</v>
      </c>
      <c r="S27" s="12" t="e">
        <f>(Original_VA!#REF!/Original_VA!#REF!-1)*100</f>
        <v>#REF!</v>
      </c>
      <c r="T27" s="12" t="e">
        <f>(Original_VA!#REF!/Original_VA!#REF!-1)*100</f>
        <v>#REF!</v>
      </c>
      <c r="U27" s="12" t="e">
        <f>(Original_VA!#REF!/Original_VA!#REF!-1)*100</f>
        <v>#REF!</v>
      </c>
      <c r="V27" s="12" t="e">
        <f>(Original_VA!#REF!/Original_VA!#REF!-1)*100</f>
        <v>#REF!</v>
      </c>
      <c r="W27" s="12" t="e">
        <f>(Original_VA!#REF!/Original_VA!#REF!-1)*100</f>
        <v>#REF!</v>
      </c>
      <c r="X27" s="12" t="e">
        <f>(Original_VA!#REF!/Original_VA!#REF!-1)*100</f>
        <v>#REF!</v>
      </c>
      <c r="Y27" s="12" t="e">
        <f>(Original_VA!#REF!/Original_VA!#REF!-1)*100</f>
        <v>#REF!</v>
      </c>
      <c r="Z27" s="12" t="e">
        <f>(Original_VA!#REF!/Original_VA!#REF!-1)*100</f>
        <v>#REF!</v>
      </c>
      <c r="AA27" s="12" t="e">
        <f>(Original_VA!#REF!/Original_VA!#REF!-1)*100</f>
        <v>#REF!</v>
      </c>
      <c r="AB27" s="12" t="e">
        <f>(Original_VA!#REF!/Original_VA!#REF!-1)*100</f>
        <v>#REF!</v>
      </c>
      <c r="AD27" s="7"/>
    </row>
    <row r="28" spans="1:30" ht="15" customHeight="1" x14ac:dyDescent="0.25">
      <c r="A28" s="4" t="s">
        <v>23</v>
      </c>
      <c r="C28" s="6"/>
      <c r="D28" s="6"/>
      <c r="E28" s="6"/>
      <c r="F28" s="6"/>
      <c r="G28" s="12" t="e">
        <f>(Original_VA!#REF!/Original_VA!#REF!-1)*100</f>
        <v>#REF!</v>
      </c>
      <c r="H28" s="12" t="e">
        <f>(Original_VA!#REF!/Original_VA!#REF!-1)*100</f>
        <v>#REF!</v>
      </c>
      <c r="I28" s="12" t="e">
        <f>(Original_VA!#REF!/Original_VA!#REF!-1)*100</f>
        <v>#REF!</v>
      </c>
      <c r="J28" s="12" t="e">
        <f>(Original_VA!#REF!/Original_VA!#REF!-1)*100</f>
        <v>#REF!</v>
      </c>
      <c r="K28" s="12" t="e">
        <f>(Original_VA!#REF!/Original_VA!#REF!-1)*100</f>
        <v>#REF!</v>
      </c>
      <c r="L28" s="12" t="e">
        <f>(Original_VA!#REF!/Original_VA!#REF!-1)*100</f>
        <v>#REF!</v>
      </c>
      <c r="M28" s="12" t="e">
        <f>(Original_VA!#REF!/Original_VA!#REF!-1)*100</f>
        <v>#REF!</v>
      </c>
      <c r="N28" s="12" t="e">
        <f>(Original_VA!#REF!/Original_VA!#REF!-1)*100</f>
        <v>#REF!</v>
      </c>
      <c r="O28" s="12" t="e">
        <f>(Original_VA!#REF!/Original_VA!#REF!-1)*100</f>
        <v>#REF!</v>
      </c>
      <c r="P28" s="12" t="e">
        <f>(Original_VA!#REF!/Original_VA!#REF!-1)*100</f>
        <v>#REF!</v>
      </c>
      <c r="Q28" s="12" t="e">
        <f>(Original_VA!#REF!/Original_VA!#REF!-1)*100</f>
        <v>#REF!</v>
      </c>
      <c r="R28" s="12" t="e">
        <f>(Original_VA!#REF!/Original_VA!#REF!-1)*100</f>
        <v>#REF!</v>
      </c>
      <c r="S28" s="12" t="e">
        <f>(Original_VA!#REF!/Original_VA!#REF!-1)*100</f>
        <v>#REF!</v>
      </c>
      <c r="T28" s="12" t="e">
        <f>(Original_VA!#REF!/Original_VA!#REF!-1)*100</f>
        <v>#REF!</v>
      </c>
      <c r="U28" s="12" t="e">
        <f>(Original_VA!#REF!/Original_VA!#REF!-1)*100</f>
        <v>#REF!</v>
      </c>
      <c r="V28" s="12" t="e">
        <f>(Original_VA!#REF!/Original_VA!#REF!-1)*100</f>
        <v>#REF!</v>
      </c>
      <c r="W28" s="12" t="e">
        <f>(Original_VA!#REF!/Original_VA!#REF!-1)*100</f>
        <v>#REF!</v>
      </c>
      <c r="X28" s="12" t="e">
        <f>(Original_VA!#REF!/Original_VA!#REF!-1)*100</f>
        <v>#REF!</v>
      </c>
      <c r="Y28" s="12" t="e">
        <f>(Original_VA!#REF!/Original_VA!#REF!-1)*100</f>
        <v>#REF!</v>
      </c>
      <c r="Z28" s="12" t="e">
        <f>(Original_VA!#REF!/Original_VA!#REF!-1)*100</f>
        <v>#REF!</v>
      </c>
      <c r="AA28" s="12" t="e">
        <f>(Original_VA!#REF!/Original_VA!#REF!-1)*100</f>
        <v>#REF!</v>
      </c>
      <c r="AB28" s="12" t="e">
        <f>(Original_VA!#REF!/Original_VA!#REF!-1)*100</f>
        <v>#REF!</v>
      </c>
      <c r="AD28" s="7"/>
    </row>
    <row r="29" spans="1:30" ht="15" customHeight="1" x14ac:dyDescent="0.25">
      <c r="A29" s="4" t="s">
        <v>24</v>
      </c>
      <c r="C29" s="6"/>
      <c r="D29" s="6"/>
      <c r="E29" s="6"/>
      <c r="F29" s="6"/>
      <c r="G29" s="12" t="e">
        <f>(Original_VA!#REF!/Original_VA!#REF!-1)*100</f>
        <v>#REF!</v>
      </c>
      <c r="H29" s="12" t="e">
        <f>(Original_VA!#REF!/Original_VA!#REF!-1)*100</f>
        <v>#REF!</v>
      </c>
      <c r="I29" s="12" t="e">
        <f>(Original_VA!#REF!/Original_VA!#REF!-1)*100</f>
        <v>#REF!</v>
      </c>
      <c r="J29" s="12" t="e">
        <f>(Original_VA!#REF!/Original_VA!#REF!-1)*100</f>
        <v>#REF!</v>
      </c>
      <c r="K29" s="12" t="e">
        <f>(Original_VA!#REF!/Original_VA!#REF!-1)*100</f>
        <v>#REF!</v>
      </c>
      <c r="L29" s="12" t="e">
        <f>(Original_VA!#REF!/Original_VA!#REF!-1)*100</f>
        <v>#REF!</v>
      </c>
      <c r="M29" s="12" t="e">
        <f>(Original_VA!#REF!/Original_VA!#REF!-1)*100</f>
        <v>#REF!</v>
      </c>
      <c r="N29" s="12" t="e">
        <f>(Original_VA!#REF!/Original_VA!#REF!-1)*100</f>
        <v>#REF!</v>
      </c>
      <c r="O29" s="12" t="e">
        <f>(Original_VA!#REF!/Original_VA!#REF!-1)*100</f>
        <v>#REF!</v>
      </c>
      <c r="P29" s="12" t="e">
        <f>(Original_VA!#REF!/Original_VA!#REF!-1)*100</f>
        <v>#REF!</v>
      </c>
      <c r="Q29" s="12" t="e">
        <f>(Original_VA!#REF!/Original_VA!#REF!-1)*100</f>
        <v>#REF!</v>
      </c>
      <c r="R29" s="12" t="e">
        <f>(Original_VA!#REF!/Original_VA!#REF!-1)*100</f>
        <v>#REF!</v>
      </c>
      <c r="S29" s="12" t="e">
        <f>(Original_VA!#REF!/Original_VA!#REF!-1)*100</f>
        <v>#REF!</v>
      </c>
      <c r="T29" s="12" t="e">
        <f>(Original_VA!#REF!/Original_VA!#REF!-1)*100</f>
        <v>#REF!</v>
      </c>
      <c r="U29" s="12" t="e">
        <f>(Original_VA!#REF!/Original_VA!#REF!-1)*100</f>
        <v>#REF!</v>
      </c>
      <c r="V29" s="12" t="e">
        <f>(Original_VA!#REF!/Original_VA!#REF!-1)*100</f>
        <v>#REF!</v>
      </c>
      <c r="W29" s="12" t="e">
        <f>(Original_VA!#REF!/Original_VA!#REF!-1)*100</f>
        <v>#REF!</v>
      </c>
      <c r="X29" s="12" t="e">
        <f>(Original_VA!#REF!/Original_VA!#REF!-1)*100</f>
        <v>#REF!</v>
      </c>
      <c r="Y29" s="12" t="e">
        <f>(Original_VA!#REF!/Original_VA!#REF!-1)*100</f>
        <v>#REF!</v>
      </c>
      <c r="Z29" s="12" t="e">
        <f>(Original_VA!#REF!/Original_VA!#REF!-1)*100</f>
        <v>#REF!</v>
      </c>
      <c r="AA29" s="12" t="e">
        <f>(Original_VA!#REF!/Original_VA!#REF!-1)*100</f>
        <v>#REF!</v>
      </c>
      <c r="AB29" s="12" t="e">
        <f>(Original_VA!#REF!/Original_VA!#REF!-1)*100</f>
        <v>#REF!</v>
      </c>
      <c r="AD29" s="7"/>
    </row>
    <row r="30" spans="1:30" ht="15" customHeight="1" x14ac:dyDescent="0.25">
      <c r="A30" s="4" t="s">
        <v>25</v>
      </c>
      <c r="C30" s="6"/>
      <c r="D30" s="6"/>
      <c r="E30" s="6"/>
      <c r="F30" s="6"/>
      <c r="G30" s="12" t="e">
        <f>(Original_VA!#REF!/Original_VA!#REF!-1)*100</f>
        <v>#REF!</v>
      </c>
      <c r="H30" s="12" t="e">
        <f>(Original_VA!#REF!/Original_VA!#REF!-1)*100</f>
        <v>#REF!</v>
      </c>
      <c r="I30" s="12" t="e">
        <f>(Original_VA!#REF!/Original_VA!#REF!-1)*100</f>
        <v>#REF!</v>
      </c>
      <c r="J30" s="12" t="e">
        <f>(Original_VA!#REF!/Original_VA!#REF!-1)*100</f>
        <v>#REF!</v>
      </c>
      <c r="K30" s="12" t="e">
        <f>(Original_VA!#REF!/Original_VA!#REF!-1)*100</f>
        <v>#REF!</v>
      </c>
      <c r="L30" s="12" t="e">
        <f>(Original_VA!#REF!/Original_VA!#REF!-1)*100</f>
        <v>#REF!</v>
      </c>
      <c r="M30" s="12" t="e">
        <f>(Original_VA!#REF!/Original_VA!#REF!-1)*100</f>
        <v>#REF!</v>
      </c>
      <c r="N30" s="12" t="e">
        <f>(Original_VA!#REF!/Original_VA!#REF!-1)*100</f>
        <v>#REF!</v>
      </c>
      <c r="O30" s="12" t="e">
        <f>(Original_VA!#REF!/Original_VA!#REF!-1)*100</f>
        <v>#REF!</v>
      </c>
      <c r="P30" s="12" t="e">
        <f>(Original_VA!#REF!/Original_VA!#REF!-1)*100</f>
        <v>#REF!</v>
      </c>
      <c r="Q30" s="12" t="e">
        <f>(Original_VA!#REF!/Original_VA!#REF!-1)*100</f>
        <v>#REF!</v>
      </c>
      <c r="R30" s="12" t="e">
        <f>(Original_VA!#REF!/Original_VA!#REF!-1)*100</f>
        <v>#REF!</v>
      </c>
      <c r="S30" s="12" t="e">
        <f>(Original_VA!#REF!/Original_VA!#REF!-1)*100</f>
        <v>#REF!</v>
      </c>
      <c r="T30" s="12" t="e">
        <f>(Original_VA!#REF!/Original_VA!#REF!-1)*100</f>
        <v>#REF!</v>
      </c>
      <c r="U30" s="12" t="e">
        <f>(Original_VA!#REF!/Original_VA!#REF!-1)*100</f>
        <v>#REF!</v>
      </c>
      <c r="V30" s="12" t="e">
        <f>(Original_VA!#REF!/Original_VA!#REF!-1)*100</f>
        <v>#REF!</v>
      </c>
      <c r="W30" s="12" t="e">
        <f>(Original_VA!#REF!/Original_VA!#REF!-1)*100</f>
        <v>#REF!</v>
      </c>
      <c r="X30" s="12" t="e">
        <f>(Original_VA!#REF!/Original_VA!#REF!-1)*100</f>
        <v>#REF!</v>
      </c>
      <c r="Y30" s="12" t="e">
        <f>(Original_VA!#REF!/Original_VA!#REF!-1)*100</f>
        <v>#REF!</v>
      </c>
      <c r="Z30" s="12" t="e">
        <f>(Original_VA!#REF!/Original_VA!#REF!-1)*100</f>
        <v>#REF!</v>
      </c>
      <c r="AA30" s="12" t="e">
        <f>(Original_VA!#REF!/Original_VA!#REF!-1)*100</f>
        <v>#REF!</v>
      </c>
      <c r="AB30" s="12" t="e">
        <f>(Original_VA!#REF!/Original_VA!#REF!-1)*100</f>
        <v>#REF!</v>
      </c>
      <c r="AD30" s="7"/>
    </row>
    <row r="31" spans="1:30" ht="15" customHeight="1" x14ac:dyDescent="0.25">
      <c r="A31" s="4" t="s">
        <v>26</v>
      </c>
      <c r="C31" s="6"/>
      <c r="D31" s="6"/>
      <c r="E31" s="6"/>
      <c r="F31" s="6"/>
      <c r="G31" s="12" t="e">
        <f>(Original_VA!#REF!/Original_VA!#REF!-1)*100</f>
        <v>#REF!</v>
      </c>
      <c r="H31" s="12" t="e">
        <f>(Original_VA!#REF!/Original_VA!#REF!-1)*100</f>
        <v>#REF!</v>
      </c>
      <c r="I31" s="12" t="e">
        <f>(Original_VA!#REF!/Original_VA!#REF!-1)*100</f>
        <v>#REF!</v>
      </c>
      <c r="J31" s="12" t="e">
        <f>(Original_VA!#REF!/Original_VA!#REF!-1)*100</f>
        <v>#REF!</v>
      </c>
      <c r="K31" s="12" t="e">
        <f>(Original_VA!#REF!/Original_VA!#REF!-1)*100</f>
        <v>#REF!</v>
      </c>
      <c r="L31" s="12" t="e">
        <f>(Original_VA!#REF!/Original_VA!#REF!-1)*100</f>
        <v>#REF!</v>
      </c>
      <c r="M31" s="12" t="e">
        <f>(Original_VA!#REF!/Original_VA!#REF!-1)*100</f>
        <v>#REF!</v>
      </c>
      <c r="N31" s="12" t="e">
        <f>(Original_VA!#REF!/Original_VA!#REF!-1)*100</f>
        <v>#REF!</v>
      </c>
      <c r="O31" s="12" t="e">
        <f>(Original_VA!#REF!/Original_VA!#REF!-1)*100</f>
        <v>#REF!</v>
      </c>
      <c r="P31" s="12" t="e">
        <f>(Original_VA!#REF!/Original_VA!#REF!-1)*100</f>
        <v>#REF!</v>
      </c>
      <c r="Q31" s="12" t="e">
        <f>(Original_VA!#REF!/Original_VA!#REF!-1)*100</f>
        <v>#REF!</v>
      </c>
      <c r="R31" s="12" t="e">
        <f>(Original_VA!#REF!/Original_VA!#REF!-1)*100</f>
        <v>#REF!</v>
      </c>
      <c r="S31" s="12" t="e">
        <f>(Original_VA!#REF!/Original_VA!#REF!-1)*100</f>
        <v>#REF!</v>
      </c>
      <c r="T31" s="12" t="e">
        <f>(Original_VA!#REF!/Original_VA!#REF!-1)*100</f>
        <v>#REF!</v>
      </c>
      <c r="U31" s="12" t="e">
        <f>(Original_VA!#REF!/Original_VA!#REF!-1)*100</f>
        <v>#REF!</v>
      </c>
      <c r="V31" s="12" t="e">
        <f>(Original_VA!#REF!/Original_VA!#REF!-1)*100</f>
        <v>#REF!</v>
      </c>
      <c r="W31" s="12" t="e">
        <f>(Original_VA!#REF!/Original_VA!#REF!-1)*100</f>
        <v>#REF!</v>
      </c>
      <c r="X31" s="12" t="e">
        <f>(Original_VA!#REF!/Original_VA!#REF!-1)*100</f>
        <v>#REF!</v>
      </c>
      <c r="Y31" s="12" t="e">
        <f>(Original_VA!#REF!/Original_VA!#REF!-1)*100</f>
        <v>#REF!</v>
      </c>
      <c r="Z31" s="12" t="e">
        <f>(Original_VA!#REF!/Original_VA!#REF!-1)*100</f>
        <v>#REF!</v>
      </c>
      <c r="AA31" s="12" t="e">
        <f>(Original_VA!#REF!/Original_VA!#REF!-1)*100</f>
        <v>#REF!</v>
      </c>
      <c r="AB31" s="12" t="e">
        <f>(Original_VA!#REF!/Original_VA!#REF!-1)*100</f>
        <v>#REF!</v>
      </c>
      <c r="AD31" s="7"/>
    </row>
    <row r="32" spans="1:30" ht="15" customHeight="1" x14ac:dyDescent="0.25">
      <c r="A32" s="4" t="s">
        <v>27</v>
      </c>
      <c r="B32" s="4"/>
      <c r="C32" s="6"/>
      <c r="D32" s="6"/>
      <c r="E32" s="6"/>
      <c r="F32" s="6"/>
      <c r="G32" s="12" t="e">
        <f>(Original_VA!#REF!/Original_VA!#REF!-1)*100</f>
        <v>#REF!</v>
      </c>
      <c r="H32" s="12" t="e">
        <f>(Original_VA!#REF!/Original_VA!#REF!-1)*100</f>
        <v>#REF!</v>
      </c>
      <c r="I32" s="12" t="e">
        <f>(Original_VA!#REF!/Original_VA!#REF!-1)*100</f>
        <v>#REF!</v>
      </c>
      <c r="J32" s="12" t="e">
        <f>(Original_VA!#REF!/Original_VA!#REF!-1)*100</f>
        <v>#REF!</v>
      </c>
      <c r="K32" s="12" t="e">
        <f>(Original_VA!#REF!/Original_VA!#REF!-1)*100</f>
        <v>#REF!</v>
      </c>
      <c r="L32" s="12" t="e">
        <f>(Original_VA!#REF!/Original_VA!#REF!-1)*100</f>
        <v>#REF!</v>
      </c>
      <c r="M32" s="12" t="e">
        <f>(Original_VA!#REF!/Original_VA!#REF!-1)*100</f>
        <v>#REF!</v>
      </c>
      <c r="N32" s="12" t="e">
        <f>(Original_VA!#REF!/Original_VA!#REF!-1)*100</f>
        <v>#REF!</v>
      </c>
      <c r="O32" s="12" t="e">
        <f>(Original_VA!#REF!/Original_VA!#REF!-1)*100</f>
        <v>#REF!</v>
      </c>
      <c r="P32" s="12" t="e">
        <f>(Original_VA!#REF!/Original_VA!#REF!-1)*100</f>
        <v>#REF!</v>
      </c>
      <c r="Q32" s="12" t="e">
        <f>(Original_VA!#REF!/Original_VA!#REF!-1)*100</f>
        <v>#REF!</v>
      </c>
      <c r="R32" s="12" t="e">
        <f>(Original_VA!#REF!/Original_VA!#REF!-1)*100</f>
        <v>#REF!</v>
      </c>
      <c r="S32" s="12" t="e">
        <f>(Original_VA!#REF!/Original_VA!#REF!-1)*100</f>
        <v>#REF!</v>
      </c>
      <c r="T32" s="12" t="e">
        <f>(Original_VA!#REF!/Original_VA!#REF!-1)*100</f>
        <v>#REF!</v>
      </c>
      <c r="U32" s="12" t="e">
        <f>(Original_VA!#REF!/Original_VA!#REF!-1)*100</f>
        <v>#REF!</v>
      </c>
      <c r="V32" s="12" t="e">
        <f>(Original_VA!#REF!/Original_VA!#REF!-1)*100</f>
        <v>#REF!</v>
      </c>
      <c r="W32" s="12" t="e">
        <f>(Original_VA!#REF!/Original_VA!#REF!-1)*100</f>
        <v>#REF!</v>
      </c>
      <c r="X32" s="12" t="e">
        <f>(Original_VA!#REF!/Original_VA!#REF!-1)*100</f>
        <v>#REF!</v>
      </c>
      <c r="Y32" s="12" t="e">
        <f>(Original_VA!#REF!/Original_VA!#REF!-1)*100</f>
        <v>#REF!</v>
      </c>
      <c r="Z32" s="12" t="e">
        <f>(Original_VA!#REF!/Original_VA!#REF!-1)*100</f>
        <v>#REF!</v>
      </c>
      <c r="AA32" s="12" t="e">
        <f>(Original_VA!#REF!/Original_VA!#REF!-1)*100</f>
        <v>#REF!</v>
      </c>
      <c r="AB32" s="12" t="e">
        <f>(Original_VA!#REF!/Original_VA!#REF!-1)*100</f>
        <v>#REF!</v>
      </c>
      <c r="AD32" s="7"/>
    </row>
    <row r="33" spans="1:30" ht="15" customHeight="1" x14ac:dyDescent="0.25">
      <c r="A33" s="4" t="s">
        <v>28</v>
      </c>
      <c r="B33" s="4"/>
      <c r="C33" s="6"/>
      <c r="D33" s="6"/>
      <c r="E33" s="6"/>
      <c r="F33" s="6"/>
      <c r="G33" s="12" t="e">
        <f>(Original_VA!#REF!/Original_VA!#REF!-1)*100</f>
        <v>#REF!</v>
      </c>
      <c r="H33" s="12" t="e">
        <f>(Original_VA!#REF!/Original_VA!#REF!-1)*100</f>
        <v>#REF!</v>
      </c>
      <c r="I33" s="12" t="e">
        <f>(Original_VA!#REF!/Original_VA!#REF!-1)*100</f>
        <v>#REF!</v>
      </c>
      <c r="J33" s="12" t="e">
        <f>(Original_VA!#REF!/Original_VA!#REF!-1)*100</f>
        <v>#REF!</v>
      </c>
      <c r="K33" s="12" t="e">
        <f>(Original_VA!#REF!/Original_VA!#REF!-1)*100</f>
        <v>#REF!</v>
      </c>
      <c r="L33" s="12" t="e">
        <f>(Original_VA!#REF!/Original_VA!#REF!-1)*100</f>
        <v>#REF!</v>
      </c>
      <c r="M33" s="12" t="e">
        <f>(Original_VA!#REF!/Original_VA!#REF!-1)*100</f>
        <v>#REF!</v>
      </c>
      <c r="N33" s="12" t="e">
        <f>(Original_VA!#REF!/Original_VA!#REF!-1)*100</f>
        <v>#REF!</v>
      </c>
      <c r="O33" s="12" t="e">
        <f>(Original_VA!#REF!/Original_VA!#REF!-1)*100</f>
        <v>#REF!</v>
      </c>
      <c r="P33" s="12" t="e">
        <f>(Original_VA!#REF!/Original_VA!#REF!-1)*100</f>
        <v>#REF!</v>
      </c>
      <c r="Q33" s="12" t="e">
        <f>(Original_VA!#REF!/Original_VA!#REF!-1)*100</f>
        <v>#REF!</v>
      </c>
      <c r="R33" s="12" t="e">
        <f>(Original_VA!#REF!/Original_VA!#REF!-1)*100</f>
        <v>#REF!</v>
      </c>
      <c r="S33" s="12" t="e">
        <f>(Original_VA!#REF!/Original_VA!#REF!-1)*100</f>
        <v>#REF!</v>
      </c>
      <c r="T33" s="12" t="e">
        <f>(Original_VA!#REF!/Original_VA!#REF!-1)*100</f>
        <v>#REF!</v>
      </c>
      <c r="U33" s="12" t="e">
        <f>(Original_VA!#REF!/Original_VA!#REF!-1)*100</f>
        <v>#REF!</v>
      </c>
      <c r="V33" s="12" t="e">
        <f>(Original_VA!#REF!/Original_VA!#REF!-1)*100</f>
        <v>#REF!</v>
      </c>
      <c r="W33" s="12" t="e">
        <f>(Original_VA!#REF!/Original_VA!#REF!-1)*100</f>
        <v>#REF!</v>
      </c>
      <c r="X33" s="12" t="e">
        <f>(Original_VA!#REF!/Original_VA!#REF!-1)*100</f>
        <v>#REF!</v>
      </c>
      <c r="Y33" s="12" t="e">
        <f>(Original_VA!#REF!/Original_VA!#REF!-1)*100</f>
        <v>#REF!</v>
      </c>
      <c r="Z33" s="12" t="e">
        <f>(Original_VA!#REF!/Original_VA!#REF!-1)*100</f>
        <v>#REF!</v>
      </c>
      <c r="AA33" s="12" t="e">
        <f>(Original_VA!#REF!/Original_VA!#REF!-1)*100</f>
        <v>#REF!</v>
      </c>
      <c r="AB33" s="12" t="e">
        <f>(Original_VA!#REF!/Original_VA!#REF!-1)*100</f>
        <v>#REF!</v>
      </c>
      <c r="AD33" s="7"/>
    </row>
    <row r="34" spans="1:30" ht="6" customHeight="1" x14ac:dyDescent="0.25">
      <c r="A34" s="4"/>
      <c r="B34" s="4"/>
      <c r="C34" s="6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D34" s="7"/>
    </row>
    <row r="35" spans="1:30" ht="21.75" customHeight="1" x14ac:dyDescent="0.25">
      <c r="A35" s="1" t="s">
        <v>29</v>
      </c>
      <c r="B35" s="1"/>
      <c r="C35" s="6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D35" s="7"/>
    </row>
    <row r="36" spans="1:30" ht="15" customHeight="1" x14ac:dyDescent="0.25">
      <c r="A36" s="3" t="s">
        <v>30</v>
      </c>
      <c r="B36" s="3"/>
      <c r="C36" s="6"/>
      <c r="D36" s="6"/>
      <c r="E36" s="6"/>
      <c r="F36" s="6"/>
      <c r="G36" s="12" t="e">
        <f>(Original_VA!#REF!/Original_VA!#REF!-1)*100</f>
        <v>#REF!</v>
      </c>
      <c r="H36" s="12" t="e">
        <f>(Original_VA!#REF!/Original_VA!#REF!-1)*100</f>
        <v>#REF!</v>
      </c>
      <c r="I36" s="12" t="e">
        <f>(Original_VA!#REF!/Original_VA!#REF!-1)*100</f>
        <v>#REF!</v>
      </c>
      <c r="J36" s="12" t="e">
        <f>(Original_VA!#REF!/Original_VA!#REF!-1)*100</f>
        <v>#REF!</v>
      </c>
      <c r="K36" s="12" t="e">
        <f>(Original_VA!#REF!/Original_VA!#REF!-1)*100</f>
        <v>#REF!</v>
      </c>
      <c r="L36" s="12" t="e">
        <f>(Original_VA!#REF!/Original_VA!#REF!-1)*100</f>
        <v>#REF!</v>
      </c>
      <c r="M36" s="12" t="e">
        <f>(Original_VA!#REF!/Original_VA!#REF!-1)*100</f>
        <v>#REF!</v>
      </c>
      <c r="N36" s="12" t="e">
        <f>(Original_VA!#REF!/Original_VA!#REF!-1)*100</f>
        <v>#REF!</v>
      </c>
      <c r="O36" s="12" t="e">
        <f>(Original_VA!#REF!/Original_VA!#REF!-1)*100</f>
        <v>#REF!</v>
      </c>
      <c r="P36" s="12" t="e">
        <f>(Original_VA!#REF!/Original_VA!#REF!-1)*100</f>
        <v>#REF!</v>
      </c>
      <c r="Q36" s="12" t="e">
        <f>(Original_VA!#REF!/Original_VA!#REF!-1)*100</f>
        <v>#REF!</v>
      </c>
      <c r="R36" s="12" t="e">
        <f>(Original_VA!#REF!/Original_VA!#REF!-1)*100</f>
        <v>#REF!</v>
      </c>
      <c r="S36" s="12" t="e">
        <f>(Original_VA!#REF!/Original_VA!#REF!-1)*100</f>
        <v>#REF!</v>
      </c>
      <c r="T36" s="12" t="e">
        <f>(Original_VA!#REF!/Original_VA!#REF!-1)*100</f>
        <v>#REF!</v>
      </c>
      <c r="U36" s="12" t="e">
        <f>(Original_VA!#REF!/Original_VA!#REF!-1)*100</f>
        <v>#REF!</v>
      </c>
      <c r="V36" s="12" t="e">
        <f>(Original_VA!#REF!/Original_VA!#REF!-1)*100</f>
        <v>#REF!</v>
      </c>
      <c r="W36" s="12" t="e">
        <f>(Original_VA!#REF!/Original_VA!#REF!-1)*100</f>
        <v>#REF!</v>
      </c>
      <c r="X36" s="12" t="e">
        <f>(Original_VA!#REF!/Original_VA!#REF!-1)*100</f>
        <v>#REF!</v>
      </c>
      <c r="Y36" s="12" t="e">
        <f>(Original_VA!#REF!/Original_VA!#REF!-1)*100</f>
        <v>#REF!</v>
      </c>
      <c r="Z36" s="12" t="e">
        <f>(Original_VA!#REF!/Original_VA!#REF!-1)*100</f>
        <v>#REF!</v>
      </c>
      <c r="AA36" s="12" t="e">
        <f>(Original_VA!#REF!/Original_VA!#REF!-1)*100</f>
        <v>#REF!</v>
      </c>
      <c r="AB36" s="12" t="e">
        <f>(Original_VA!#REF!/Original_VA!#REF!-1)*100</f>
        <v>#REF!</v>
      </c>
      <c r="AD36" s="7"/>
    </row>
    <row r="37" spans="1:30" x14ac:dyDescent="0.25">
      <c r="C37" s="6"/>
    </row>
  </sheetData>
  <mergeCells count="7">
    <mergeCell ref="AA3:AB3"/>
    <mergeCell ref="W3:Z3"/>
    <mergeCell ref="C3:F3"/>
    <mergeCell ref="G3:J3"/>
    <mergeCell ref="K3:N3"/>
    <mergeCell ref="O3:R3"/>
    <mergeCell ref="S3:V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2:AD37"/>
  <sheetViews>
    <sheetView workbookViewId="0">
      <selection activeCell="D5" sqref="D5"/>
    </sheetView>
  </sheetViews>
  <sheetFormatPr defaultRowHeight="15" x14ac:dyDescent="0.25"/>
  <cols>
    <col min="1" max="1" width="35.85546875" customWidth="1"/>
    <col min="2" max="2" width="6.7109375" customWidth="1"/>
    <col min="3" max="29" width="7.5703125" customWidth="1"/>
  </cols>
  <sheetData>
    <row r="2" spans="1:30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</row>
    <row r="3" spans="1:30" s="8" customFormat="1" x14ac:dyDescent="0.25">
      <c r="C3" s="147">
        <v>2008</v>
      </c>
      <c r="D3" s="147"/>
      <c r="E3" s="147"/>
      <c r="F3" s="147"/>
      <c r="G3" s="147">
        <v>2009</v>
      </c>
      <c r="H3" s="147"/>
      <c r="I3" s="147"/>
      <c r="J3" s="147"/>
      <c r="K3" s="147">
        <v>2010</v>
      </c>
      <c r="L3" s="147"/>
      <c r="M3" s="147"/>
      <c r="N3" s="147"/>
      <c r="O3" s="147">
        <v>2011</v>
      </c>
      <c r="P3" s="147"/>
      <c r="Q3" s="147"/>
      <c r="R3" s="147"/>
      <c r="S3" s="147">
        <v>2012</v>
      </c>
      <c r="T3" s="147"/>
      <c r="U3" s="147"/>
      <c r="V3" s="147"/>
      <c r="W3" s="147">
        <v>2013</v>
      </c>
      <c r="X3" s="147"/>
      <c r="Y3" s="147"/>
      <c r="Z3" s="147"/>
      <c r="AA3" s="8">
        <v>2014</v>
      </c>
    </row>
    <row r="4" spans="1:30" ht="15.75" thickBot="1" x14ac:dyDescent="0.3">
      <c r="C4" s="5" t="s">
        <v>57</v>
      </c>
      <c r="D4" s="5" t="s">
        <v>58</v>
      </c>
      <c r="E4" s="5" t="s">
        <v>59</v>
      </c>
      <c r="F4" s="5" t="s">
        <v>60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57</v>
      </c>
      <c r="P4" s="5" t="s">
        <v>58</v>
      </c>
      <c r="Q4" s="5" t="s">
        <v>59</v>
      </c>
      <c r="R4" s="5" t="s">
        <v>60</v>
      </c>
      <c r="S4" s="5" t="s">
        <v>57</v>
      </c>
      <c r="T4" s="5" t="s">
        <v>58</v>
      </c>
      <c r="U4" s="5" t="s">
        <v>59</v>
      </c>
      <c r="V4" s="5" t="s">
        <v>60</v>
      </c>
      <c r="W4" s="5" t="s">
        <v>57</v>
      </c>
      <c r="X4" s="5" t="s">
        <v>58</v>
      </c>
      <c r="Y4" s="5" t="s">
        <v>59</v>
      </c>
      <c r="Z4" s="5" t="s">
        <v>60</v>
      </c>
      <c r="AA4" s="5" t="s">
        <v>57</v>
      </c>
      <c r="AB4" s="5" t="s">
        <v>58</v>
      </c>
      <c r="AC4" s="5" t="s">
        <v>59</v>
      </c>
      <c r="AD4" s="5" t="s">
        <v>60</v>
      </c>
    </row>
    <row r="5" spans="1:30" s="8" customFormat="1" ht="28.5" customHeight="1" x14ac:dyDescent="0.25">
      <c r="A5" s="1" t="s">
        <v>0</v>
      </c>
      <c r="B5" s="1"/>
      <c r="C5" s="7" t="e">
        <f>C6+C13+C19+C35</f>
        <v>#REF!</v>
      </c>
      <c r="D5" s="7" t="e">
        <f t="shared" ref="D5:X5" si="0">D6+D13+D19+D35</f>
        <v>#REF!</v>
      </c>
      <c r="E5" s="7" t="e">
        <f t="shared" si="0"/>
        <v>#REF!</v>
      </c>
      <c r="F5" s="7" t="e">
        <f t="shared" si="0"/>
        <v>#REF!</v>
      </c>
      <c r="G5" s="7" t="e">
        <f t="shared" si="0"/>
        <v>#REF!</v>
      </c>
      <c r="H5" s="7" t="e">
        <f t="shared" si="0"/>
        <v>#REF!</v>
      </c>
      <c r="I5" s="7" t="e">
        <f t="shared" si="0"/>
        <v>#REF!</v>
      </c>
      <c r="J5" s="7" t="e">
        <f t="shared" si="0"/>
        <v>#REF!</v>
      </c>
      <c r="K5" s="7" t="e">
        <f t="shared" si="0"/>
        <v>#REF!</v>
      </c>
      <c r="L5" s="7" t="e">
        <f t="shared" si="0"/>
        <v>#REF!</v>
      </c>
      <c r="M5" s="7" t="e">
        <f t="shared" si="0"/>
        <v>#REF!</v>
      </c>
      <c r="N5" s="7" t="e">
        <f t="shared" si="0"/>
        <v>#REF!</v>
      </c>
      <c r="O5" s="7" t="e">
        <f t="shared" si="0"/>
        <v>#REF!</v>
      </c>
      <c r="P5" s="7" t="e">
        <f t="shared" si="0"/>
        <v>#REF!</v>
      </c>
      <c r="Q5" s="7" t="e">
        <f t="shared" si="0"/>
        <v>#REF!</v>
      </c>
      <c r="R5" s="7" t="e">
        <f t="shared" si="0"/>
        <v>#REF!</v>
      </c>
      <c r="S5" s="7" t="e">
        <f t="shared" si="0"/>
        <v>#REF!</v>
      </c>
      <c r="T5" s="7" t="e">
        <f t="shared" si="0"/>
        <v>#REF!</v>
      </c>
      <c r="U5" s="7" t="e">
        <f t="shared" si="0"/>
        <v>#REF!</v>
      </c>
      <c r="V5" s="7" t="e">
        <f t="shared" si="0"/>
        <v>#REF!</v>
      </c>
      <c r="W5" s="7" t="e">
        <f t="shared" si="0"/>
        <v>#REF!</v>
      </c>
      <c r="X5" s="7" t="e">
        <f t="shared" si="0"/>
        <v>#REF!</v>
      </c>
      <c r="Y5" s="7" t="e">
        <f>Y6+Y13+Y19+Y35</f>
        <v>#REF!</v>
      </c>
      <c r="Z5" s="7" t="e">
        <f>Z6+Z13+Z19+Z35</f>
        <v>#REF!</v>
      </c>
      <c r="AA5" s="7" t="e">
        <f>AA6+AA13+AA19+AA35</f>
        <v>#REF!</v>
      </c>
      <c r="AB5" s="7" t="e">
        <f>AB6+AB13+AB19+AB35</f>
        <v>#REF!</v>
      </c>
    </row>
    <row r="6" spans="1:30" s="8" customFormat="1" ht="26.25" customHeight="1" x14ac:dyDescent="0.25">
      <c r="A6" s="1" t="s">
        <v>1</v>
      </c>
      <c r="C6" s="9" t="e">
        <f>SUM(C7:C12)</f>
        <v>#REF!</v>
      </c>
      <c r="D6" s="9" t="e">
        <f t="shared" ref="D6:X6" si="1">SUM(D7:D12)</f>
        <v>#REF!</v>
      </c>
      <c r="E6" s="9" t="e">
        <f t="shared" si="1"/>
        <v>#REF!</v>
      </c>
      <c r="F6" s="9" t="e">
        <f t="shared" si="1"/>
        <v>#REF!</v>
      </c>
      <c r="G6" s="9" t="e">
        <f t="shared" si="1"/>
        <v>#REF!</v>
      </c>
      <c r="H6" s="9" t="e">
        <f t="shared" si="1"/>
        <v>#REF!</v>
      </c>
      <c r="I6" s="9" t="e">
        <f t="shared" si="1"/>
        <v>#REF!</v>
      </c>
      <c r="J6" s="9" t="e">
        <f t="shared" si="1"/>
        <v>#REF!</v>
      </c>
      <c r="K6" s="9" t="e">
        <f t="shared" si="1"/>
        <v>#REF!</v>
      </c>
      <c r="L6" s="9" t="e">
        <f t="shared" si="1"/>
        <v>#REF!</v>
      </c>
      <c r="M6" s="9" t="e">
        <f t="shared" si="1"/>
        <v>#REF!</v>
      </c>
      <c r="N6" s="9" t="e">
        <f t="shared" si="1"/>
        <v>#REF!</v>
      </c>
      <c r="O6" s="9" t="e">
        <f t="shared" si="1"/>
        <v>#REF!</v>
      </c>
      <c r="P6" s="9" t="e">
        <f t="shared" si="1"/>
        <v>#REF!</v>
      </c>
      <c r="Q6" s="9" t="e">
        <f t="shared" si="1"/>
        <v>#REF!</v>
      </c>
      <c r="R6" s="9" t="e">
        <f t="shared" si="1"/>
        <v>#REF!</v>
      </c>
      <c r="S6" s="9" t="e">
        <f t="shared" si="1"/>
        <v>#REF!</v>
      </c>
      <c r="T6" s="9" t="e">
        <f t="shared" si="1"/>
        <v>#REF!</v>
      </c>
      <c r="U6" s="9" t="e">
        <f t="shared" si="1"/>
        <v>#REF!</v>
      </c>
      <c r="V6" s="9" t="e">
        <f t="shared" si="1"/>
        <v>#REF!</v>
      </c>
      <c r="W6" s="9" t="e">
        <f t="shared" si="1"/>
        <v>#REF!</v>
      </c>
      <c r="X6" s="9" t="e">
        <f t="shared" si="1"/>
        <v>#REF!</v>
      </c>
      <c r="Y6" s="9" t="e">
        <f>SUM(Y7:Y12)</f>
        <v>#REF!</v>
      </c>
      <c r="Z6" s="9" t="e">
        <f>SUM(Z7:Z12)</f>
        <v>#REF!</v>
      </c>
      <c r="AA6" s="9" t="e">
        <f>SUM(AA7:AA12)</f>
        <v>#REF!</v>
      </c>
      <c r="AB6" s="9" t="e">
        <f>SUM(AB7:AB12)</f>
        <v>#REF!</v>
      </c>
    </row>
    <row r="7" spans="1:30" ht="15" customHeight="1" x14ac:dyDescent="0.25">
      <c r="A7" s="2" t="s">
        <v>2</v>
      </c>
      <c r="B7" t="s">
        <v>61</v>
      </c>
      <c r="C7" s="6" t="e">
        <f>SUMIF(#REF!,$2:$2,#REF!)</f>
        <v>#REF!</v>
      </c>
      <c r="D7" s="6" t="e">
        <f>SUMIF(#REF!,$2:$2,#REF!)</f>
        <v>#REF!</v>
      </c>
      <c r="E7" s="6" t="e">
        <f>SUMIF(#REF!,$2:$2,#REF!)</f>
        <v>#REF!</v>
      </c>
      <c r="F7" s="6" t="e">
        <f>SUMIF(#REF!,$2:$2,#REF!)</f>
        <v>#REF!</v>
      </c>
      <c r="G7" s="6" t="e">
        <f>SUMIF(#REF!,$2:$2,#REF!)</f>
        <v>#REF!</v>
      </c>
      <c r="H7" s="6" t="e">
        <f>SUMIF(#REF!,$2:$2,#REF!)</f>
        <v>#REF!</v>
      </c>
      <c r="I7" s="6" t="e">
        <f>SUMIF(#REF!,$2:$2,#REF!)</f>
        <v>#REF!</v>
      </c>
      <c r="J7" s="6" t="e">
        <f>SUMIF(#REF!,$2:$2,#REF!)</f>
        <v>#REF!</v>
      </c>
      <c r="K7" s="6" t="e">
        <f>SUMIF(#REF!,$2:$2,#REF!)</f>
        <v>#REF!</v>
      </c>
      <c r="L7" s="6" t="e">
        <f>SUMIF(#REF!,$2:$2,#REF!)</f>
        <v>#REF!</v>
      </c>
      <c r="M7" s="6" t="e">
        <f>SUMIF(#REF!,$2:$2,#REF!)</f>
        <v>#REF!</v>
      </c>
      <c r="N7" s="6" t="e">
        <f>SUMIF(#REF!,$2:$2,#REF!)</f>
        <v>#REF!</v>
      </c>
      <c r="O7" s="6" t="e">
        <f>SUMIF(#REF!,$2:$2,#REF!)</f>
        <v>#REF!</v>
      </c>
      <c r="P7" s="6" t="e">
        <f>SUMIF(#REF!,$2:$2,#REF!)</f>
        <v>#REF!</v>
      </c>
      <c r="Q7" s="6" t="e">
        <f>SUMIF(#REF!,$2:$2,#REF!)</f>
        <v>#REF!</v>
      </c>
      <c r="R7" s="6" t="e">
        <f>SUMIF(#REF!,$2:$2,#REF!)</f>
        <v>#REF!</v>
      </c>
      <c r="S7" s="6" t="e">
        <f>SUMIF(#REF!,$2:$2,#REF!)</f>
        <v>#REF!</v>
      </c>
      <c r="T7" s="6" t="e">
        <f>SUMIF(#REF!,$2:$2,#REF!)</f>
        <v>#REF!</v>
      </c>
      <c r="U7" s="6" t="e">
        <f>SUMIF(#REF!,$2:$2,#REF!)</f>
        <v>#REF!</v>
      </c>
      <c r="V7" s="6" t="e">
        <f>SUMIF(#REF!,$2:$2,#REF!)</f>
        <v>#REF!</v>
      </c>
      <c r="W7" s="6" t="e">
        <f>SUMIF(#REF!,$2:$2,#REF!)</f>
        <v>#REF!</v>
      </c>
      <c r="X7" s="6" t="e">
        <f>SUMIF(#REF!,$2:$2,#REF!)</f>
        <v>#REF!</v>
      </c>
      <c r="Y7" s="6" t="e">
        <f>SUMIF(#REF!,$2:$2,#REF!)</f>
        <v>#REF!</v>
      </c>
      <c r="Z7" s="6" t="e">
        <f>SUMIF(#REF!,$2:$2,#REF!)</f>
        <v>#REF!</v>
      </c>
      <c r="AA7" s="6" t="e">
        <f>SUMIF(#REF!,$2:$2,#REF!)</f>
        <v>#REF!</v>
      </c>
      <c r="AB7" s="6" t="e">
        <f>SUMIF(#REF!,$2:$2,#REF!)</f>
        <v>#REF!</v>
      </c>
    </row>
    <row r="8" spans="1:30" ht="15" customHeight="1" x14ac:dyDescent="0.25">
      <c r="A8" s="2" t="s">
        <v>3</v>
      </c>
      <c r="B8" t="s">
        <v>61</v>
      </c>
      <c r="C8" s="6" t="e">
        <f>SUMIF(#REF!,$2:$2,#REF!)</f>
        <v>#REF!</v>
      </c>
      <c r="D8" s="6" t="e">
        <f>SUMIF(#REF!,$2:$2,#REF!)</f>
        <v>#REF!</v>
      </c>
      <c r="E8" s="6" t="e">
        <f>SUMIF(#REF!,$2:$2,#REF!)</f>
        <v>#REF!</v>
      </c>
      <c r="F8" s="6" t="e">
        <f>SUMIF(#REF!,$2:$2,#REF!)</f>
        <v>#REF!</v>
      </c>
      <c r="G8" s="6" t="e">
        <f>SUMIF(#REF!,$2:$2,#REF!)</f>
        <v>#REF!</v>
      </c>
      <c r="H8" s="6" t="e">
        <f>SUMIF(#REF!,$2:$2,#REF!)</f>
        <v>#REF!</v>
      </c>
      <c r="I8" s="6" t="e">
        <f>SUMIF(#REF!,$2:$2,#REF!)</f>
        <v>#REF!</v>
      </c>
      <c r="J8" s="6" t="e">
        <f>SUMIF(#REF!,$2:$2,#REF!)</f>
        <v>#REF!</v>
      </c>
      <c r="K8" s="6" t="e">
        <f>SUMIF(#REF!,$2:$2,#REF!)</f>
        <v>#REF!</v>
      </c>
      <c r="L8" s="6" t="e">
        <f>SUMIF(#REF!,$2:$2,#REF!)</f>
        <v>#REF!</v>
      </c>
      <c r="M8" s="6" t="e">
        <f>SUMIF(#REF!,$2:$2,#REF!)</f>
        <v>#REF!</v>
      </c>
      <c r="N8" s="6" t="e">
        <f>SUMIF(#REF!,$2:$2,#REF!)</f>
        <v>#REF!</v>
      </c>
      <c r="O8" s="6" t="e">
        <f>SUMIF(#REF!,$2:$2,#REF!)</f>
        <v>#REF!</v>
      </c>
      <c r="P8" s="6" t="e">
        <f>SUMIF(#REF!,$2:$2,#REF!)</f>
        <v>#REF!</v>
      </c>
      <c r="Q8" s="6" t="e">
        <f>SUMIF(#REF!,$2:$2,#REF!)</f>
        <v>#REF!</v>
      </c>
      <c r="R8" s="6" t="e">
        <f>SUMIF(#REF!,$2:$2,#REF!)</f>
        <v>#REF!</v>
      </c>
      <c r="S8" s="6" t="e">
        <f>SUMIF(#REF!,$2:$2,#REF!)</f>
        <v>#REF!</v>
      </c>
      <c r="T8" s="6" t="e">
        <f>SUMIF(#REF!,$2:$2,#REF!)</f>
        <v>#REF!</v>
      </c>
      <c r="U8" s="6" t="e">
        <f>SUMIF(#REF!,$2:$2,#REF!)</f>
        <v>#REF!</v>
      </c>
      <c r="V8" s="6" t="e">
        <f>SUMIF(#REF!,$2:$2,#REF!)</f>
        <v>#REF!</v>
      </c>
      <c r="W8" s="6" t="e">
        <f>SUMIF(#REF!,$2:$2,#REF!)</f>
        <v>#REF!</v>
      </c>
      <c r="X8" s="6" t="e">
        <f>SUMIF(#REF!,$2:$2,#REF!)</f>
        <v>#REF!</v>
      </c>
      <c r="Y8" s="6" t="e">
        <f>SUMIF(#REF!,$2:$2,#REF!)</f>
        <v>#REF!</v>
      </c>
      <c r="Z8" s="6" t="e">
        <f>SUMIF(#REF!,$2:$2,#REF!)</f>
        <v>#REF!</v>
      </c>
      <c r="AA8" s="6" t="e">
        <f>SUMIF(#REF!,$2:$2,#REF!)</f>
        <v>#REF!</v>
      </c>
      <c r="AB8" s="6" t="e">
        <f>SUMIF(#REF!,$2:$2,#REF!)</f>
        <v>#REF!</v>
      </c>
    </row>
    <row r="9" spans="1:30" ht="15" customHeight="1" x14ac:dyDescent="0.25">
      <c r="A9" s="2" t="s">
        <v>4</v>
      </c>
      <c r="B9" t="s">
        <v>62</v>
      </c>
      <c r="C9" s="6" t="e">
        <f>SUMIF([1]IndData!$C:$C,$2:$2,[1]IndData!$F:$F)</f>
        <v>#VALUE!</v>
      </c>
      <c r="D9" s="6" t="e">
        <f>SUMIF([1]IndData!$C:$C,$2:$2,[1]IndData!$F:$F)</f>
        <v>#VALUE!</v>
      </c>
      <c r="E9" s="6" t="e">
        <f>SUMIF([1]IndData!$C:$C,$2:$2,[1]IndData!$F:$F)</f>
        <v>#VALUE!</v>
      </c>
      <c r="F9" s="6" t="e">
        <f>SUMIF([1]IndData!$C:$C,$2:$2,[1]IndData!$F:$F)</f>
        <v>#VALUE!</v>
      </c>
      <c r="G9" s="6" t="e">
        <f>SUMIF([1]IndData!$C:$C,$2:$2,[1]IndData!$F:$F)</f>
        <v>#VALUE!</v>
      </c>
      <c r="H9" s="6" t="e">
        <f>SUMIF([1]IndData!$C:$C,$2:$2,[1]IndData!$F:$F)</f>
        <v>#VALUE!</v>
      </c>
      <c r="I9" s="6" t="e">
        <f>SUMIF([1]IndData!$C:$C,$2:$2,[1]IndData!$F:$F)</f>
        <v>#VALUE!</v>
      </c>
      <c r="J9" s="6" t="e">
        <f>SUMIF([1]IndData!$C:$C,$2:$2,[1]IndData!$F:$F)</f>
        <v>#VALUE!</v>
      </c>
      <c r="K9" s="6" t="e">
        <f>SUMIF([1]IndData!$C:$C,$2:$2,[1]IndData!$F:$F)</f>
        <v>#VALUE!</v>
      </c>
      <c r="L9" s="6" t="e">
        <f>SUMIF([1]IndData!$C:$C,$2:$2,[1]IndData!$F:$F)</f>
        <v>#VALUE!</v>
      </c>
      <c r="M9" s="6" t="e">
        <f>SUMIF([1]IndData!$C:$C,$2:$2,[1]IndData!$F:$F)</f>
        <v>#VALUE!</v>
      </c>
      <c r="N9" s="6" t="e">
        <f>SUMIF([1]IndData!$C:$C,$2:$2,[1]IndData!$F:$F)</f>
        <v>#VALUE!</v>
      </c>
      <c r="O9" s="6" t="e">
        <f>SUMIF([1]IndData!$C:$C,$2:$2,[1]IndData!$F:$F)</f>
        <v>#VALUE!</v>
      </c>
      <c r="P9" s="6" t="e">
        <f>SUMIF([1]IndData!$C:$C,$2:$2,[1]IndData!$F:$F)</f>
        <v>#VALUE!</v>
      </c>
      <c r="Q9" s="6" t="e">
        <f>SUMIF([1]IndData!$C:$C,$2:$2,[1]IndData!$F:$F)</f>
        <v>#VALUE!</v>
      </c>
      <c r="R9" s="6" t="e">
        <f>SUMIF([1]IndData!$C:$C,$2:$2,[1]IndData!$F:$F)</f>
        <v>#VALUE!</v>
      </c>
      <c r="S9" s="6" t="e">
        <f>SUMIF([1]IndData!$C:$C,$2:$2,[1]IndData!$F:$F)</f>
        <v>#VALUE!</v>
      </c>
      <c r="T9" s="6" t="e">
        <f>SUMIF([1]IndData!$C:$C,$2:$2,[1]IndData!$F:$F)</f>
        <v>#VALUE!</v>
      </c>
      <c r="U9" s="6" t="e">
        <f>SUMIF([1]IndData!$C:$C,$2:$2,[1]IndData!$F:$F)</f>
        <v>#VALUE!</v>
      </c>
      <c r="V9" s="6" t="e">
        <f>SUMIF([1]IndData!$C:$C,$2:$2,[1]IndData!$F:$F)</f>
        <v>#VALUE!</v>
      </c>
      <c r="W9" s="6" t="e">
        <f>SUMIF([1]IndData!$C:$C,$2:$2,[1]IndData!$F:$F)</f>
        <v>#VALUE!</v>
      </c>
      <c r="X9" s="6" t="e">
        <f>SUMIF([1]IndData!$C:$C,$2:$2,[1]IndData!$F:$F)</f>
        <v>#VALUE!</v>
      </c>
      <c r="Y9" s="6" t="e">
        <f>SUMIF([1]IndData!$C:$C,$2:$2,[1]IndData!$F:$F)</f>
        <v>#VALUE!</v>
      </c>
      <c r="Z9" s="6" t="e">
        <f>SUMIF([1]IndData!$C:$C,$2:$2,[1]IndData!$F:$F)</f>
        <v>#VALUE!</v>
      </c>
      <c r="AA9" s="6" t="e">
        <f>SUMIF([1]IndData!$C:$C,$2:$2,[1]IndData!$F:$F)</f>
        <v>#VALUE!</v>
      </c>
      <c r="AB9" s="6" t="e">
        <f>SUMIF([1]IndData!$C:$C,$2:$2,[1]IndData!$F:$F)</f>
        <v>#VALUE!</v>
      </c>
    </row>
    <row r="10" spans="1:30" ht="15" customHeight="1" x14ac:dyDescent="0.25">
      <c r="A10" s="2" t="s">
        <v>5</v>
      </c>
      <c r="B10" t="s">
        <v>61</v>
      </c>
      <c r="C10" s="6" t="e">
        <f>SUMIF(#REF!,$2:$2,#REF!)</f>
        <v>#REF!</v>
      </c>
      <c r="D10" s="6" t="e">
        <f>SUMIF(#REF!,$2:$2,#REF!)</f>
        <v>#REF!</v>
      </c>
      <c r="E10" s="6" t="e">
        <f>SUMIF(#REF!,$2:$2,#REF!)</f>
        <v>#REF!</v>
      </c>
      <c r="F10" s="6" t="e">
        <f>SUMIF(#REF!,$2:$2,#REF!)</f>
        <v>#REF!</v>
      </c>
      <c r="G10" s="6" t="e">
        <f>SUMIF(#REF!,$2:$2,#REF!)</f>
        <v>#REF!</v>
      </c>
      <c r="H10" s="6" t="e">
        <f>SUMIF(#REF!,$2:$2,#REF!)</f>
        <v>#REF!</v>
      </c>
      <c r="I10" s="6" t="e">
        <f>SUMIF(#REF!,$2:$2,#REF!)</f>
        <v>#REF!</v>
      </c>
      <c r="J10" s="6" t="e">
        <f>SUMIF(#REF!,$2:$2,#REF!)</f>
        <v>#REF!</v>
      </c>
      <c r="K10" s="6" t="e">
        <f>SUMIF(#REF!,$2:$2,#REF!)</f>
        <v>#REF!</v>
      </c>
      <c r="L10" s="6" t="e">
        <f>SUMIF(#REF!,$2:$2,#REF!)</f>
        <v>#REF!</v>
      </c>
      <c r="M10" s="6" t="e">
        <f>SUMIF(#REF!,$2:$2,#REF!)</f>
        <v>#REF!</v>
      </c>
      <c r="N10" s="6" t="e">
        <f>SUMIF(#REF!,$2:$2,#REF!)</f>
        <v>#REF!</v>
      </c>
      <c r="O10" s="6" t="e">
        <f>SUMIF(#REF!,$2:$2,#REF!)</f>
        <v>#REF!</v>
      </c>
      <c r="P10" s="6" t="e">
        <f>SUMIF(#REF!,$2:$2,#REF!)</f>
        <v>#REF!</v>
      </c>
      <c r="Q10" s="6" t="e">
        <f>SUMIF(#REF!,$2:$2,#REF!)</f>
        <v>#REF!</v>
      </c>
      <c r="R10" s="6" t="e">
        <f>SUMIF(#REF!,$2:$2,#REF!)</f>
        <v>#REF!</v>
      </c>
      <c r="S10" s="6" t="e">
        <f>SUMIF(#REF!,$2:$2,#REF!)</f>
        <v>#REF!</v>
      </c>
      <c r="T10" s="6" t="e">
        <f>SUMIF(#REF!,$2:$2,#REF!)</f>
        <v>#REF!</v>
      </c>
      <c r="U10" s="6" t="e">
        <f>SUMIF(#REF!,$2:$2,#REF!)</f>
        <v>#REF!</v>
      </c>
      <c r="V10" s="6" t="e">
        <f>SUMIF(#REF!,$2:$2,#REF!)</f>
        <v>#REF!</v>
      </c>
      <c r="W10" s="6" t="e">
        <f>SUMIF(#REF!,$2:$2,#REF!)</f>
        <v>#REF!</v>
      </c>
      <c r="X10" s="6" t="e">
        <f>SUMIF(#REF!,$2:$2,#REF!)</f>
        <v>#REF!</v>
      </c>
      <c r="Y10" s="6" t="e">
        <f>SUMIF(#REF!,$2:$2,#REF!)</f>
        <v>#REF!</v>
      </c>
      <c r="Z10" s="6" t="e">
        <f>SUMIF(#REF!,$2:$2,#REF!)</f>
        <v>#REF!</v>
      </c>
      <c r="AA10" s="6" t="e">
        <f>SUMIF(#REF!,$2:$2,#REF!)</f>
        <v>#REF!</v>
      </c>
      <c r="AB10" s="6" t="e">
        <f>SUMIF(#REF!,$2:$2,#REF!)</f>
        <v>#REF!</v>
      </c>
    </row>
    <row r="11" spans="1:30" ht="15" customHeight="1" x14ac:dyDescent="0.25">
      <c r="A11" s="2" t="s">
        <v>6</v>
      </c>
      <c r="B11" t="s">
        <v>61</v>
      </c>
      <c r="C11" s="6" t="e">
        <f>SUMIF(#REF!,$2:$2,#REF!)</f>
        <v>#REF!</v>
      </c>
      <c r="D11" s="6" t="e">
        <f>SUMIF(#REF!,$2:$2,#REF!)</f>
        <v>#REF!</v>
      </c>
      <c r="E11" s="6" t="e">
        <f>SUMIF(#REF!,$2:$2,#REF!)</f>
        <v>#REF!</v>
      </c>
      <c r="F11" s="6" t="e">
        <f>SUMIF(#REF!,$2:$2,#REF!)</f>
        <v>#REF!</v>
      </c>
      <c r="G11" s="6" t="e">
        <f>SUMIF(#REF!,$2:$2,#REF!)</f>
        <v>#REF!</v>
      </c>
      <c r="H11" s="6" t="e">
        <f>SUMIF(#REF!,$2:$2,#REF!)</f>
        <v>#REF!</v>
      </c>
      <c r="I11" s="6" t="e">
        <f>SUMIF(#REF!,$2:$2,#REF!)</f>
        <v>#REF!</v>
      </c>
      <c r="J11" s="6" t="e">
        <f>SUMIF(#REF!,$2:$2,#REF!)</f>
        <v>#REF!</v>
      </c>
      <c r="K11" s="6" t="e">
        <f>SUMIF(#REF!,$2:$2,#REF!)</f>
        <v>#REF!</v>
      </c>
      <c r="L11" s="6" t="e">
        <f>SUMIF(#REF!,$2:$2,#REF!)</f>
        <v>#REF!</v>
      </c>
      <c r="M11" s="6" t="e">
        <f>SUMIF(#REF!,$2:$2,#REF!)</f>
        <v>#REF!</v>
      </c>
      <c r="N11" s="6" t="e">
        <f>SUMIF(#REF!,$2:$2,#REF!)</f>
        <v>#REF!</v>
      </c>
      <c r="O11" s="6" t="e">
        <f>SUMIF(#REF!,$2:$2,#REF!)</f>
        <v>#REF!</v>
      </c>
      <c r="P11" s="6" t="e">
        <f>SUMIF(#REF!,$2:$2,#REF!)</f>
        <v>#REF!</v>
      </c>
      <c r="Q11" s="6" t="e">
        <f>SUMIF(#REF!,$2:$2,#REF!)</f>
        <v>#REF!</v>
      </c>
      <c r="R11" s="6" t="e">
        <f>SUMIF(#REF!,$2:$2,#REF!)</f>
        <v>#REF!</v>
      </c>
      <c r="S11" s="6" t="e">
        <f>SUMIF(#REF!,$2:$2,#REF!)</f>
        <v>#REF!</v>
      </c>
      <c r="T11" s="6" t="e">
        <f>SUMIF(#REF!,$2:$2,#REF!)</f>
        <v>#REF!</v>
      </c>
      <c r="U11" s="6" t="e">
        <f>SUMIF(#REF!,$2:$2,#REF!)</f>
        <v>#REF!</v>
      </c>
      <c r="V11" s="6" t="e">
        <f>SUMIF(#REF!,$2:$2,#REF!)</f>
        <v>#REF!</v>
      </c>
      <c r="W11" s="6" t="e">
        <f>SUMIF(#REF!,$2:$2,#REF!)</f>
        <v>#REF!</v>
      </c>
      <c r="X11" s="6" t="e">
        <f>SUMIF(#REF!,$2:$2,#REF!)</f>
        <v>#REF!</v>
      </c>
      <c r="Y11" s="6" t="e">
        <f>SUMIF(#REF!,$2:$2,#REF!)</f>
        <v>#REF!</v>
      </c>
      <c r="Z11" s="6" t="e">
        <f>SUMIF(#REF!,$2:$2,#REF!)</f>
        <v>#REF!</v>
      </c>
      <c r="AA11" s="6" t="e">
        <f>SUMIF(#REF!,$2:$2,#REF!)</f>
        <v>#REF!</v>
      </c>
      <c r="AB11" s="6" t="e">
        <f>SUMIF(#REF!,$2:$2,#REF!)</f>
        <v>#REF!</v>
      </c>
    </row>
    <row r="12" spans="1:30" ht="15" customHeight="1" x14ac:dyDescent="0.25">
      <c r="A12" s="2" t="s">
        <v>7</v>
      </c>
      <c r="B12" t="s">
        <v>61</v>
      </c>
      <c r="C12" s="6" t="e">
        <f>SUMIF(#REF!,$2:$2,#REF!)</f>
        <v>#REF!</v>
      </c>
      <c r="D12" s="6" t="e">
        <f>SUMIF(#REF!,$2:$2,#REF!)</f>
        <v>#REF!</v>
      </c>
      <c r="E12" s="6" t="e">
        <f>SUMIF(#REF!,$2:$2,#REF!)</f>
        <v>#REF!</v>
      </c>
      <c r="F12" s="6" t="e">
        <f>SUMIF(#REF!,$2:$2,#REF!)</f>
        <v>#REF!</v>
      </c>
      <c r="G12" s="6" t="e">
        <f>SUMIF(#REF!,$2:$2,#REF!)</f>
        <v>#REF!</v>
      </c>
      <c r="H12" s="6" t="e">
        <f>SUMIF(#REF!,$2:$2,#REF!)</f>
        <v>#REF!</v>
      </c>
      <c r="I12" s="6" t="e">
        <f>SUMIF(#REF!,$2:$2,#REF!)</f>
        <v>#REF!</v>
      </c>
      <c r="J12" s="6" t="e">
        <f>SUMIF(#REF!,$2:$2,#REF!)</f>
        <v>#REF!</v>
      </c>
      <c r="K12" s="6" t="e">
        <f>SUMIF(#REF!,$2:$2,#REF!)</f>
        <v>#REF!</v>
      </c>
      <c r="L12" s="6" t="e">
        <f>SUMIF(#REF!,$2:$2,#REF!)</f>
        <v>#REF!</v>
      </c>
      <c r="M12" s="6" t="e">
        <f>SUMIF(#REF!,$2:$2,#REF!)</f>
        <v>#REF!</v>
      </c>
      <c r="N12" s="6" t="e">
        <f>SUMIF(#REF!,$2:$2,#REF!)</f>
        <v>#REF!</v>
      </c>
      <c r="O12" s="6" t="e">
        <f>SUMIF(#REF!,$2:$2,#REF!)</f>
        <v>#REF!</v>
      </c>
      <c r="P12" s="6" t="e">
        <f>SUMIF(#REF!,$2:$2,#REF!)</f>
        <v>#REF!</v>
      </c>
      <c r="Q12" s="6" t="e">
        <f>SUMIF(#REF!,$2:$2,#REF!)</f>
        <v>#REF!</v>
      </c>
      <c r="R12" s="6" t="e">
        <f>SUMIF(#REF!,$2:$2,#REF!)</f>
        <v>#REF!</v>
      </c>
      <c r="S12" s="6" t="e">
        <f>SUMIF(#REF!,$2:$2,#REF!)</f>
        <v>#REF!</v>
      </c>
      <c r="T12" s="6" t="e">
        <f>SUMIF(#REF!,$2:$2,#REF!)</f>
        <v>#REF!</v>
      </c>
      <c r="U12" s="6" t="e">
        <f>SUMIF(#REF!,$2:$2,#REF!)</f>
        <v>#REF!</v>
      </c>
      <c r="V12" s="6" t="e">
        <f>SUMIF(#REF!,$2:$2,#REF!)</f>
        <v>#REF!</v>
      </c>
      <c r="W12" s="6" t="e">
        <f>SUMIF(#REF!,$2:$2,#REF!)</f>
        <v>#REF!</v>
      </c>
      <c r="X12" s="6" t="e">
        <f>SUMIF(#REF!,$2:$2,#REF!)</f>
        <v>#REF!</v>
      </c>
      <c r="Y12" s="6" t="e">
        <f>SUMIF(#REF!,$2:$2,#REF!)</f>
        <v>#REF!</v>
      </c>
      <c r="Z12" s="6" t="e">
        <f>SUMIF(#REF!,$2:$2,#REF!)</f>
        <v>#REF!</v>
      </c>
      <c r="AA12" s="6" t="e">
        <f>SUMIF(#REF!,$2:$2,#REF!)</f>
        <v>#REF!</v>
      </c>
      <c r="AB12" s="6" t="e">
        <f>SUMIF(#REF!,$2:$2,#REF!)</f>
        <v>#REF!</v>
      </c>
    </row>
    <row r="13" spans="1:30" s="8" customFormat="1" ht="30" customHeight="1" x14ac:dyDescent="0.25">
      <c r="A13" s="1" t="s">
        <v>8</v>
      </c>
      <c r="C13" s="9" t="e">
        <f>SUM(C14:C18)</f>
        <v>#REF!</v>
      </c>
      <c r="D13" s="9" t="e">
        <f t="shared" ref="D13:AB13" si="2">SUM(D14:D18)</f>
        <v>#REF!</v>
      </c>
      <c r="E13" s="9" t="e">
        <f t="shared" si="2"/>
        <v>#REF!</v>
      </c>
      <c r="F13" s="9" t="e">
        <f t="shared" si="2"/>
        <v>#REF!</v>
      </c>
      <c r="G13" s="9" t="e">
        <f t="shared" si="2"/>
        <v>#REF!</v>
      </c>
      <c r="H13" s="9" t="e">
        <f t="shared" si="2"/>
        <v>#REF!</v>
      </c>
      <c r="I13" s="9" t="e">
        <f t="shared" si="2"/>
        <v>#REF!</v>
      </c>
      <c r="J13" s="9" t="e">
        <f t="shared" si="2"/>
        <v>#REF!</v>
      </c>
      <c r="K13" s="9" t="e">
        <f t="shared" si="2"/>
        <v>#REF!</v>
      </c>
      <c r="L13" s="9" t="e">
        <f t="shared" si="2"/>
        <v>#REF!</v>
      </c>
      <c r="M13" s="9" t="e">
        <f t="shared" si="2"/>
        <v>#REF!</v>
      </c>
      <c r="N13" s="9" t="e">
        <f t="shared" si="2"/>
        <v>#REF!</v>
      </c>
      <c r="O13" s="9" t="e">
        <f t="shared" si="2"/>
        <v>#REF!</v>
      </c>
      <c r="P13" s="9" t="e">
        <f t="shared" si="2"/>
        <v>#REF!</v>
      </c>
      <c r="Q13" s="9" t="e">
        <f t="shared" si="2"/>
        <v>#REF!</v>
      </c>
      <c r="R13" s="9" t="e">
        <f t="shared" si="2"/>
        <v>#REF!</v>
      </c>
      <c r="S13" s="9" t="e">
        <f t="shared" si="2"/>
        <v>#REF!</v>
      </c>
      <c r="T13" s="9" t="e">
        <f t="shared" si="2"/>
        <v>#REF!</v>
      </c>
      <c r="U13" s="9" t="e">
        <f t="shared" si="2"/>
        <v>#REF!</v>
      </c>
      <c r="V13" s="9" t="e">
        <f t="shared" si="2"/>
        <v>#REF!</v>
      </c>
      <c r="W13" s="9" t="e">
        <f t="shared" si="2"/>
        <v>#REF!</v>
      </c>
      <c r="X13" s="9" t="e">
        <f t="shared" si="2"/>
        <v>#REF!</v>
      </c>
      <c r="Y13" s="9" t="e">
        <f t="shared" si="2"/>
        <v>#REF!</v>
      </c>
      <c r="Z13" s="9" t="e">
        <f t="shared" si="2"/>
        <v>#REF!</v>
      </c>
      <c r="AA13" s="9" t="e">
        <f t="shared" si="2"/>
        <v>#REF!</v>
      </c>
      <c r="AB13" s="9" t="e">
        <f t="shared" si="2"/>
        <v>#REF!</v>
      </c>
    </row>
    <row r="14" spans="1:30" ht="15" customHeight="1" x14ac:dyDescent="0.25">
      <c r="A14" s="2" t="s">
        <v>9</v>
      </c>
      <c r="B14" s="8" t="s">
        <v>62</v>
      </c>
      <c r="C14" s="6" t="e">
        <f>SUMIF(#REF!,$2:$2,#REF!)</f>
        <v>#REF!</v>
      </c>
      <c r="D14" s="6" t="e">
        <f>SUMIF(#REF!,$2:$2,#REF!)</f>
        <v>#REF!</v>
      </c>
      <c r="E14" s="6" t="e">
        <f>SUMIF(#REF!,$2:$2,#REF!)</f>
        <v>#REF!</v>
      </c>
      <c r="F14" s="6" t="e">
        <f>SUMIF(#REF!,$2:$2,#REF!)</f>
        <v>#REF!</v>
      </c>
      <c r="G14" s="6" t="e">
        <f>SUMIF(#REF!,$2:$2,#REF!)</f>
        <v>#REF!</v>
      </c>
      <c r="H14" s="6" t="e">
        <f>SUMIF(#REF!,$2:$2,#REF!)</f>
        <v>#REF!</v>
      </c>
      <c r="I14" s="6" t="e">
        <f>SUMIF(#REF!,$2:$2,#REF!)</f>
        <v>#REF!</v>
      </c>
      <c r="J14" s="6" t="e">
        <f>SUMIF(#REF!,$2:$2,#REF!)</f>
        <v>#REF!</v>
      </c>
      <c r="K14" s="6" t="e">
        <f>SUMIF(#REF!,$2:$2,#REF!)</f>
        <v>#REF!</v>
      </c>
      <c r="L14" s="6" t="e">
        <f>SUMIF(#REF!,$2:$2,#REF!)</f>
        <v>#REF!</v>
      </c>
      <c r="M14" s="6" t="e">
        <f>SUMIF(#REF!,$2:$2,#REF!)</f>
        <v>#REF!</v>
      </c>
      <c r="N14" s="6" t="e">
        <f>SUMIF(#REF!,$2:$2,#REF!)</f>
        <v>#REF!</v>
      </c>
      <c r="O14" s="6" t="e">
        <f>SUMIF(#REF!,$2:$2,#REF!)</f>
        <v>#REF!</v>
      </c>
      <c r="P14" s="6" t="e">
        <f>SUMIF(#REF!,$2:$2,#REF!)</f>
        <v>#REF!</v>
      </c>
      <c r="Q14" s="6" t="e">
        <f>SUMIF(#REF!,$2:$2,#REF!)</f>
        <v>#REF!</v>
      </c>
      <c r="R14" s="6" t="e">
        <f>SUMIF(#REF!,$2:$2,#REF!)</f>
        <v>#REF!</v>
      </c>
      <c r="S14" s="6" t="e">
        <f>SUMIF(#REF!,$2:$2,#REF!)</f>
        <v>#REF!</v>
      </c>
      <c r="T14" s="6" t="e">
        <f>SUMIF(#REF!,$2:$2,#REF!)</f>
        <v>#REF!</v>
      </c>
      <c r="U14" s="6" t="e">
        <f>SUMIF(#REF!,$2:$2,#REF!)</f>
        <v>#REF!</v>
      </c>
      <c r="V14" s="6" t="e">
        <f>SUMIF(#REF!,$2:$2,#REF!)</f>
        <v>#REF!</v>
      </c>
      <c r="W14" s="6" t="e">
        <f>SUMIF(#REF!,$2:$2,#REF!)</f>
        <v>#REF!</v>
      </c>
      <c r="X14" s="6" t="e">
        <f>SUMIF(#REF!,$2:$2,#REF!)</f>
        <v>#REF!</v>
      </c>
      <c r="Y14" s="6" t="e">
        <f>SUMIF(#REF!,$2:$2,#REF!)</f>
        <v>#REF!</v>
      </c>
      <c r="Z14" s="6" t="e">
        <f>SUMIF(#REF!,$2:$2,#REF!)</f>
        <v>#REF!</v>
      </c>
      <c r="AA14" s="6" t="e">
        <f>SUMIF(#REF!,$2:$2,#REF!)</f>
        <v>#REF!</v>
      </c>
      <c r="AB14" s="6" t="e">
        <f>SUMIF(#REF!,$2:$2,#REF!)</f>
        <v>#REF!</v>
      </c>
    </row>
    <row r="15" spans="1:30" ht="15" customHeight="1" x14ac:dyDescent="0.25">
      <c r="A15" s="3" t="s">
        <v>10</v>
      </c>
      <c r="B15" t="s">
        <v>62</v>
      </c>
      <c r="C15" s="6" t="e">
        <f>SUMIF([1]IndData!$C:$C,$2:$2,[1]IndData!$K:$K)</f>
        <v>#VALUE!</v>
      </c>
      <c r="D15" s="6" t="e">
        <f>SUMIF([1]IndData!$C:$C,$2:$2,[1]IndData!$K:$K)</f>
        <v>#VALUE!</v>
      </c>
      <c r="E15" s="6" t="e">
        <f>SUMIF([1]IndData!$C:$C,$2:$2,[1]IndData!$K:$K)</f>
        <v>#VALUE!</v>
      </c>
      <c r="F15" s="6" t="e">
        <f>SUMIF([1]IndData!$C:$C,$2:$2,[1]IndData!$K:$K)</f>
        <v>#VALUE!</v>
      </c>
      <c r="G15" s="6" t="e">
        <f>SUMIF([1]IndData!$C:$C,$2:$2,[1]IndData!$K:$K)</f>
        <v>#VALUE!</v>
      </c>
      <c r="H15" s="6" t="e">
        <f>SUMIF([1]IndData!$C:$C,$2:$2,[1]IndData!$K:$K)</f>
        <v>#VALUE!</v>
      </c>
      <c r="I15" s="6" t="e">
        <f>SUMIF([1]IndData!$C:$C,$2:$2,[1]IndData!$K:$K)</f>
        <v>#VALUE!</v>
      </c>
      <c r="J15" s="6" t="e">
        <f>SUMIF([1]IndData!$C:$C,$2:$2,[1]IndData!$K:$K)</f>
        <v>#VALUE!</v>
      </c>
      <c r="K15" s="6" t="e">
        <f>SUMIF([1]IndData!$C:$C,$2:$2,[1]IndData!$K:$K)</f>
        <v>#VALUE!</v>
      </c>
      <c r="L15" s="6" t="e">
        <f>SUMIF([1]IndData!$C:$C,$2:$2,[1]IndData!$K:$K)</f>
        <v>#VALUE!</v>
      </c>
      <c r="M15" s="6" t="e">
        <f>SUMIF([1]IndData!$C:$C,$2:$2,[1]IndData!$K:$K)</f>
        <v>#VALUE!</v>
      </c>
      <c r="N15" s="6" t="e">
        <f>SUMIF([1]IndData!$C:$C,$2:$2,[1]IndData!$K:$K)</f>
        <v>#VALUE!</v>
      </c>
      <c r="O15" s="6" t="e">
        <f>SUMIF([1]IndData!$C:$C,$2:$2,[1]IndData!$K:$K)</f>
        <v>#VALUE!</v>
      </c>
      <c r="P15" s="6" t="e">
        <f>SUMIF([1]IndData!$C:$C,$2:$2,[1]IndData!$K:$K)</f>
        <v>#VALUE!</v>
      </c>
      <c r="Q15" s="6" t="e">
        <f>SUMIF([1]IndData!$C:$C,$2:$2,[1]IndData!$K:$K)</f>
        <v>#VALUE!</v>
      </c>
      <c r="R15" s="6" t="e">
        <f>SUMIF([1]IndData!$C:$C,$2:$2,[1]IndData!$K:$K)</f>
        <v>#VALUE!</v>
      </c>
      <c r="S15" s="6" t="e">
        <f>SUMIF([1]IndData!$C:$C,$2:$2,[1]IndData!$K:$K)</f>
        <v>#VALUE!</v>
      </c>
      <c r="T15" s="6" t="e">
        <f>SUMIF([1]IndData!$C:$C,$2:$2,[1]IndData!$K:$K)</f>
        <v>#VALUE!</v>
      </c>
      <c r="U15" s="6" t="e">
        <f>SUMIF([1]IndData!$C:$C,$2:$2,[1]IndData!$K:$K)</f>
        <v>#VALUE!</v>
      </c>
      <c r="V15" s="6" t="e">
        <f>SUMIF([1]IndData!$C:$C,$2:$2,[1]IndData!$K:$K)</f>
        <v>#VALUE!</v>
      </c>
      <c r="W15" s="6" t="e">
        <f>SUMIF([1]IndData!$C:$C,$2:$2,[1]IndData!$K:$K)</f>
        <v>#VALUE!</v>
      </c>
      <c r="X15" s="6" t="e">
        <f>SUMIF([1]IndData!$C:$C,$2:$2,[1]IndData!$K:$K)</f>
        <v>#VALUE!</v>
      </c>
      <c r="Y15" s="6" t="e">
        <f>SUMIF([1]IndData!$C:$C,$2:$2,[1]IndData!$K:$K)</f>
        <v>#VALUE!</v>
      </c>
      <c r="Z15" s="6" t="e">
        <f>SUMIF([1]IndData!$C:$C,$2:$2,[1]IndData!$K:$K)</f>
        <v>#VALUE!</v>
      </c>
      <c r="AA15" s="6" t="e">
        <f>SUMIF([1]IndData!$C:$C,$2:$2,[1]IndData!$K:$K)</f>
        <v>#VALUE!</v>
      </c>
      <c r="AB15" s="6" t="e">
        <f>SUMIF([1]IndData!$C:$C,$2:$2,[1]IndData!$K:$K)</f>
        <v>#VALUE!</v>
      </c>
    </row>
    <row r="16" spans="1:30" ht="15" customHeight="1" x14ac:dyDescent="0.25">
      <c r="A16" s="3" t="s">
        <v>11</v>
      </c>
      <c r="B16" t="s">
        <v>62</v>
      </c>
      <c r="C16" s="6" t="e">
        <f>SUMIF([1]IndData!$C:$C,$2:$2,[1]IndData!$L:$L)</f>
        <v>#VALUE!</v>
      </c>
      <c r="D16" s="6" t="e">
        <f>SUMIF([1]IndData!$C:$C,$2:$2,[1]IndData!$L:$L)</f>
        <v>#VALUE!</v>
      </c>
      <c r="E16" s="6" t="e">
        <f>SUMIF([1]IndData!$C:$C,$2:$2,[1]IndData!$L:$L)</f>
        <v>#VALUE!</v>
      </c>
      <c r="F16" s="6" t="e">
        <f>SUMIF([1]IndData!$C:$C,$2:$2,[1]IndData!$L:$L)</f>
        <v>#VALUE!</v>
      </c>
      <c r="G16" s="6" t="e">
        <f>SUMIF([1]IndData!$C:$C,$2:$2,[1]IndData!$L:$L)</f>
        <v>#VALUE!</v>
      </c>
      <c r="H16" s="6" t="e">
        <f>SUMIF([1]IndData!$C:$C,$2:$2,[1]IndData!$L:$L)</f>
        <v>#VALUE!</v>
      </c>
      <c r="I16" s="6" t="e">
        <f>SUMIF([1]IndData!$C:$C,$2:$2,[1]IndData!$L:$L)</f>
        <v>#VALUE!</v>
      </c>
      <c r="J16" s="6" t="e">
        <f>SUMIF([1]IndData!$C:$C,$2:$2,[1]IndData!$L:$L)</f>
        <v>#VALUE!</v>
      </c>
      <c r="K16" s="6" t="e">
        <f>SUMIF([1]IndData!$C:$C,$2:$2,[1]IndData!$L:$L)</f>
        <v>#VALUE!</v>
      </c>
      <c r="L16" s="6" t="e">
        <f>SUMIF([1]IndData!$C:$C,$2:$2,[1]IndData!$L:$L)</f>
        <v>#VALUE!</v>
      </c>
      <c r="M16" s="6" t="e">
        <f>SUMIF([1]IndData!$C:$C,$2:$2,[1]IndData!$L:$L)</f>
        <v>#VALUE!</v>
      </c>
      <c r="N16" s="6" t="e">
        <f>SUMIF([1]IndData!$C:$C,$2:$2,[1]IndData!$L:$L)</f>
        <v>#VALUE!</v>
      </c>
      <c r="O16" s="6" t="e">
        <f>SUMIF([1]IndData!$C:$C,$2:$2,[1]IndData!$L:$L)</f>
        <v>#VALUE!</v>
      </c>
      <c r="P16" s="6" t="e">
        <f>SUMIF([1]IndData!$C:$C,$2:$2,[1]IndData!$L:$L)</f>
        <v>#VALUE!</v>
      </c>
      <c r="Q16" s="6" t="e">
        <f>SUMIF([1]IndData!$C:$C,$2:$2,[1]IndData!$L:$L)</f>
        <v>#VALUE!</v>
      </c>
      <c r="R16" s="6" t="e">
        <f>SUMIF([1]IndData!$C:$C,$2:$2,[1]IndData!$L:$L)</f>
        <v>#VALUE!</v>
      </c>
      <c r="S16" s="6" t="e">
        <f>SUMIF([1]IndData!$C:$C,$2:$2,[1]IndData!$L:$L)</f>
        <v>#VALUE!</v>
      </c>
      <c r="T16" s="6" t="e">
        <f>SUMIF([1]IndData!$C:$C,$2:$2,[1]IndData!$L:$L)</f>
        <v>#VALUE!</v>
      </c>
      <c r="U16" s="6" t="e">
        <f>SUMIF([1]IndData!$C:$C,$2:$2,[1]IndData!$L:$L)</f>
        <v>#VALUE!</v>
      </c>
      <c r="V16" s="6" t="e">
        <f>SUMIF([1]IndData!$C:$C,$2:$2,[1]IndData!$L:$L)</f>
        <v>#VALUE!</v>
      </c>
      <c r="W16" s="6" t="e">
        <f>SUMIF([1]IndData!$C:$C,$2:$2,[1]IndData!$L:$L)</f>
        <v>#VALUE!</v>
      </c>
      <c r="X16" s="6" t="e">
        <f>SUMIF([1]IndData!$C:$C,$2:$2,[1]IndData!$L:$L)</f>
        <v>#VALUE!</v>
      </c>
      <c r="Y16" s="6" t="e">
        <f>SUMIF([1]IndData!$C:$C,$2:$2,[1]IndData!$L:$L)</f>
        <v>#VALUE!</v>
      </c>
      <c r="Z16" s="6" t="e">
        <f>SUMIF([1]IndData!$C:$C,$2:$2,[1]IndData!$L:$L)</f>
        <v>#VALUE!</v>
      </c>
      <c r="AA16" s="6" t="e">
        <f>SUMIF([1]IndData!$C:$C,$2:$2,[1]IndData!$L:$L)</f>
        <v>#VALUE!</v>
      </c>
      <c r="AB16" s="6" t="e">
        <f>SUMIF([1]IndData!$C:$C,$2:$2,[1]IndData!$L:$L)</f>
        <v>#VALUE!</v>
      </c>
    </row>
    <row r="17" spans="1:28" ht="15" customHeight="1" x14ac:dyDescent="0.25">
      <c r="A17" s="3" t="s">
        <v>12</v>
      </c>
      <c r="B17" t="s">
        <v>62</v>
      </c>
      <c r="C17" s="6" t="e">
        <f>SUMIF([1]IndData!$C:$C,$2:$2,[1]IndData!$M:$M)</f>
        <v>#VALUE!</v>
      </c>
      <c r="D17" s="6" t="e">
        <f>SUMIF([1]IndData!$C:$C,$2:$2,[1]IndData!$M:$M)</f>
        <v>#VALUE!</v>
      </c>
      <c r="E17" s="6" t="e">
        <f>SUMIF([1]IndData!$C:$C,$2:$2,[1]IndData!$M:$M)</f>
        <v>#VALUE!</v>
      </c>
      <c r="F17" s="6" t="e">
        <f>SUMIF([1]IndData!$C:$C,$2:$2,[1]IndData!$M:$M)</f>
        <v>#VALUE!</v>
      </c>
      <c r="G17" s="6" t="e">
        <f>SUMIF([1]IndData!$C:$C,$2:$2,[1]IndData!$M:$M)</f>
        <v>#VALUE!</v>
      </c>
      <c r="H17" s="6" t="e">
        <f>SUMIF([1]IndData!$C:$C,$2:$2,[1]IndData!$M:$M)</f>
        <v>#VALUE!</v>
      </c>
      <c r="I17" s="6" t="e">
        <f>SUMIF([1]IndData!$C:$C,$2:$2,[1]IndData!$M:$M)</f>
        <v>#VALUE!</v>
      </c>
      <c r="J17" s="6" t="e">
        <f>SUMIF([1]IndData!$C:$C,$2:$2,[1]IndData!$M:$M)</f>
        <v>#VALUE!</v>
      </c>
      <c r="K17" s="6" t="e">
        <f>SUMIF([1]IndData!$C:$C,$2:$2,[1]IndData!$M:$M)</f>
        <v>#VALUE!</v>
      </c>
      <c r="L17" s="6" t="e">
        <f>SUMIF([1]IndData!$C:$C,$2:$2,[1]IndData!$M:$M)</f>
        <v>#VALUE!</v>
      </c>
      <c r="M17" s="6" t="e">
        <f>SUMIF([1]IndData!$C:$C,$2:$2,[1]IndData!$M:$M)</f>
        <v>#VALUE!</v>
      </c>
      <c r="N17" s="6" t="e">
        <f>SUMIF([1]IndData!$C:$C,$2:$2,[1]IndData!$M:$M)</f>
        <v>#VALUE!</v>
      </c>
      <c r="O17" s="6" t="e">
        <f>SUMIF([1]IndData!$C:$C,$2:$2,[1]IndData!$M:$M)</f>
        <v>#VALUE!</v>
      </c>
      <c r="P17" s="6" t="e">
        <f>SUMIF([1]IndData!$C:$C,$2:$2,[1]IndData!$M:$M)</f>
        <v>#VALUE!</v>
      </c>
      <c r="Q17" s="6" t="e">
        <f>SUMIF([1]IndData!$C:$C,$2:$2,[1]IndData!$M:$M)</f>
        <v>#VALUE!</v>
      </c>
      <c r="R17" s="6" t="e">
        <f>SUMIF([1]IndData!$C:$C,$2:$2,[1]IndData!$M:$M)</f>
        <v>#VALUE!</v>
      </c>
      <c r="S17" s="6" t="e">
        <f>SUMIF([1]IndData!$C:$C,$2:$2,[1]IndData!$M:$M)</f>
        <v>#VALUE!</v>
      </c>
      <c r="T17" s="6" t="e">
        <f>SUMIF([1]IndData!$C:$C,$2:$2,[1]IndData!$M:$M)</f>
        <v>#VALUE!</v>
      </c>
      <c r="U17" s="6" t="e">
        <f>SUMIF([1]IndData!$C:$C,$2:$2,[1]IndData!$M:$M)</f>
        <v>#VALUE!</v>
      </c>
      <c r="V17" s="6" t="e">
        <f>SUMIF([1]IndData!$C:$C,$2:$2,[1]IndData!$M:$M)</f>
        <v>#VALUE!</v>
      </c>
      <c r="W17" s="6" t="e">
        <f>SUMIF([1]IndData!$C:$C,$2:$2,[1]IndData!$M:$M)</f>
        <v>#VALUE!</v>
      </c>
      <c r="X17" s="6" t="e">
        <f>SUMIF([1]IndData!$C:$C,$2:$2,[1]IndData!$M:$M)</f>
        <v>#VALUE!</v>
      </c>
      <c r="Y17" s="6" t="e">
        <f>SUMIF([1]IndData!$C:$C,$2:$2,[1]IndData!$M:$M)</f>
        <v>#VALUE!</v>
      </c>
      <c r="Z17" s="6" t="e">
        <f>SUMIF([1]IndData!$C:$C,$2:$2,[1]IndData!$M:$M)</f>
        <v>#VALUE!</v>
      </c>
      <c r="AA17" s="6" t="e">
        <f>SUMIF([1]IndData!$C:$C,$2:$2,[1]IndData!$M:$M)</f>
        <v>#VALUE!</v>
      </c>
      <c r="AB17" s="6" t="e">
        <f>SUMIF([1]IndData!$C:$C,$2:$2,[1]IndData!$M:$M)</f>
        <v>#VALUE!</v>
      </c>
    </row>
    <row r="18" spans="1:28" ht="15" customHeight="1" x14ac:dyDescent="0.25">
      <c r="A18" s="2" t="s">
        <v>13</v>
      </c>
      <c r="B18" t="s">
        <v>61</v>
      </c>
      <c r="C18" s="6" t="e">
        <f>SUMIF(#REF!,$2:$2,#REF!)</f>
        <v>#REF!</v>
      </c>
      <c r="D18" s="6" t="e">
        <f>SUMIF(#REF!,$2:$2,#REF!)</f>
        <v>#REF!</v>
      </c>
      <c r="E18" s="6" t="e">
        <f>SUMIF(#REF!,$2:$2,#REF!)</f>
        <v>#REF!</v>
      </c>
      <c r="F18" s="6" t="e">
        <f>SUMIF(#REF!,$2:$2,#REF!)</f>
        <v>#REF!</v>
      </c>
      <c r="G18" s="6" t="e">
        <f>SUMIF(#REF!,$2:$2,#REF!)</f>
        <v>#REF!</v>
      </c>
      <c r="H18" s="6" t="e">
        <f>SUMIF(#REF!,$2:$2,#REF!)</f>
        <v>#REF!</v>
      </c>
      <c r="I18" s="6" t="e">
        <f>SUMIF(#REF!,$2:$2,#REF!)</f>
        <v>#REF!</v>
      </c>
      <c r="J18" s="6" t="e">
        <f>SUMIF(#REF!,$2:$2,#REF!)</f>
        <v>#REF!</v>
      </c>
      <c r="K18" s="6" t="e">
        <f>SUMIF(#REF!,$2:$2,#REF!)</f>
        <v>#REF!</v>
      </c>
      <c r="L18" s="6" t="e">
        <f>SUMIF(#REF!,$2:$2,#REF!)</f>
        <v>#REF!</v>
      </c>
      <c r="M18" s="6" t="e">
        <f>SUMIF(#REF!,$2:$2,#REF!)</f>
        <v>#REF!</v>
      </c>
      <c r="N18" s="6" t="e">
        <f>SUMIF(#REF!,$2:$2,#REF!)</f>
        <v>#REF!</v>
      </c>
      <c r="O18" s="6" t="e">
        <f>SUMIF(#REF!,$2:$2,#REF!)</f>
        <v>#REF!</v>
      </c>
      <c r="P18" s="6" t="e">
        <f>SUMIF(#REF!,$2:$2,#REF!)</f>
        <v>#REF!</v>
      </c>
      <c r="Q18" s="6" t="e">
        <f>SUMIF(#REF!,$2:$2,#REF!)</f>
        <v>#REF!</v>
      </c>
      <c r="R18" s="6" t="e">
        <f>SUMIF(#REF!,$2:$2,#REF!)</f>
        <v>#REF!</v>
      </c>
      <c r="S18" s="6" t="e">
        <f>SUMIF(#REF!,$2:$2,#REF!)</f>
        <v>#REF!</v>
      </c>
      <c r="T18" s="6" t="e">
        <f>SUMIF(#REF!,$2:$2,#REF!)</f>
        <v>#REF!</v>
      </c>
      <c r="U18" s="6" t="e">
        <f>SUMIF(#REF!,$2:$2,#REF!)</f>
        <v>#REF!</v>
      </c>
      <c r="V18" s="6" t="e">
        <f>SUMIF(#REF!,$2:$2,#REF!)</f>
        <v>#REF!</v>
      </c>
      <c r="W18" s="6" t="e">
        <f>SUMIF(#REF!,$2:$2,#REF!)</f>
        <v>#REF!</v>
      </c>
      <c r="X18" s="6" t="e">
        <f>SUMIF(#REF!,$2:$2,#REF!)</f>
        <v>#REF!</v>
      </c>
      <c r="Y18" s="6" t="e">
        <f>SUMIF(#REF!,$2:$2,#REF!)</f>
        <v>#REF!</v>
      </c>
      <c r="Z18" s="6" t="e">
        <f>SUMIF(#REF!,$2:$2,#REF!)</f>
        <v>#REF!</v>
      </c>
      <c r="AA18" s="6" t="e">
        <f>SUMIF(#REF!,$2:$2,#REF!)</f>
        <v>#REF!</v>
      </c>
      <c r="AB18" s="6" t="e">
        <f>SUMIF(#REF!,$2:$2,#REF!)</f>
        <v>#REF!</v>
      </c>
    </row>
    <row r="19" spans="1:28" s="8" customFormat="1" ht="27.75" customHeight="1" x14ac:dyDescent="0.25">
      <c r="A19" s="1" t="s">
        <v>14</v>
      </c>
      <c r="C19" s="9" t="e">
        <f>SUMIF(#REF!,$2:$2,#REF!)</f>
        <v>#REF!</v>
      </c>
      <c r="D19" s="9" t="e">
        <f>SUMIF(#REF!,$2:$2,#REF!)</f>
        <v>#REF!</v>
      </c>
      <c r="E19" s="9" t="e">
        <f>SUMIF(#REF!,$2:$2,#REF!)</f>
        <v>#REF!</v>
      </c>
      <c r="F19" s="9" t="e">
        <f>SUMIF(#REF!,$2:$2,#REF!)</f>
        <v>#REF!</v>
      </c>
      <c r="G19" s="9" t="e">
        <f>SUMIF(#REF!,$2:$2,#REF!)</f>
        <v>#REF!</v>
      </c>
      <c r="H19" s="9" t="e">
        <f>SUMIF(#REF!,$2:$2,#REF!)</f>
        <v>#REF!</v>
      </c>
      <c r="I19" s="9" t="e">
        <f>SUMIF(#REF!,$2:$2,#REF!)</f>
        <v>#REF!</v>
      </c>
      <c r="J19" s="9" t="e">
        <f>SUMIF(#REF!,$2:$2,#REF!)</f>
        <v>#REF!</v>
      </c>
      <c r="K19" s="9" t="e">
        <f>SUMIF(#REF!,$2:$2,#REF!)</f>
        <v>#REF!</v>
      </c>
      <c r="L19" s="9" t="e">
        <f>SUMIF(#REF!,$2:$2,#REF!)</f>
        <v>#REF!</v>
      </c>
      <c r="M19" s="9" t="e">
        <f>SUMIF(#REF!,$2:$2,#REF!)</f>
        <v>#REF!</v>
      </c>
      <c r="N19" s="9" t="e">
        <f>SUMIF(#REF!,$2:$2,#REF!)</f>
        <v>#REF!</v>
      </c>
      <c r="O19" s="9" t="e">
        <f>SUMIF(#REF!,$2:$2,#REF!)</f>
        <v>#REF!</v>
      </c>
      <c r="P19" s="9" t="e">
        <f>SUMIF(#REF!,$2:$2,#REF!)</f>
        <v>#REF!</v>
      </c>
      <c r="Q19" s="9" t="e">
        <f>SUMIF(#REF!,$2:$2,#REF!)</f>
        <v>#REF!</v>
      </c>
      <c r="R19" s="9" t="e">
        <f>SUMIF(#REF!,$2:$2,#REF!)</f>
        <v>#REF!</v>
      </c>
      <c r="S19" s="9" t="e">
        <f>SUMIF(#REF!,$2:$2,#REF!)</f>
        <v>#REF!</v>
      </c>
      <c r="T19" s="9" t="e">
        <f>SUMIF(#REF!,$2:$2,#REF!)</f>
        <v>#REF!</v>
      </c>
      <c r="U19" s="9" t="e">
        <f>SUMIF(#REF!,$2:$2,#REF!)</f>
        <v>#REF!</v>
      </c>
      <c r="V19" s="9" t="e">
        <f>SUMIF(#REF!,$2:$2,#REF!)</f>
        <v>#REF!</v>
      </c>
      <c r="W19" s="9" t="e">
        <f>SUMIF(#REF!,$2:$2,#REF!)</f>
        <v>#REF!</v>
      </c>
      <c r="X19" s="9" t="e">
        <f>SUMIF(#REF!,$2:$2,#REF!)</f>
        <v>#REF!</v>
      </c>
      <c r="Y19" s="9" t="e">
        <f>SUMIF(#REF!,$2:$2,#REF!)</f>
        <v>#REF!</v>
      </c>
      <c r="Z19" s="9" t="e">
        <f>SUMIF(#REF!,$2:$2,#REF!)</f>
        <v>#REF!</v>
      </c>
      <c r="AA19" s="9" t="e">
        <f>SUMIF(#REF!,$2:$2,#REF!)</f>
        <v>#REF!</v>
      </c>
      <c r="AB19" s="9" t="e">
        <f>SUMIF(#REF!,$2:$2,#REF!)</f>
        <v>#REF!</v>
      </c>
    </row>
    <row r="20" spans="1:28" ht="15" customHeight="1" x14ac:dyDescent="0.25">
      <c r="A20" s="4" t="s">
        <v>15</v>
      </c>
      <c r="B20" t="s">
        <v>61</v>
      </c>
      <c r="C20" s="6" t="e">
        <f>SUMIF(#REF!,$2:$2,#REF!)</f>
        <v>#REF!</v>
      </c>
      <c r="D20" s="6" t="e">
        <f>SUMIF(#REF!,$2:$2,#REF!)</f>
        <v>#REF!</v>
      </c>
      <c r="E20" s="6" t="e">
        <f>SUMIF(#REF!,$2:$2,#REF!)</f>
        <v>#REF!</v>
      </c>
      <c r="F20" s="6" t="e">
        <f>SUMIF(#REF!,$2:$2,#REF!)</f>
        <v>#REF!</v>
      </c>
      <c r="G20" s="6" t="e">
        <f>SUMIF(#REF!,$2:$2,#REF!)</f>
        <v>#REF!</v>
      </c>
      <c r="H20" s="6" t="e">
        <f>SUMIF(#REF!,$2:$2,#REF!)</f>
        <v>#REF!</v>
      </c>
      <c r="I20" s="6" t="e">
        <f>SUMIF(#REF!,$2:$2,#REF!)</f>
        <v>#REF!</v>
      </c>
      <c r="J20" s="6" t="e">
        <f>SUMIF(#REF!,$2:$2,#REF!)</f>
        <v>#REF!</v>
      </c>
      <c r="K20" s="6" t="e">
        <f>SUMIF(#REF!,$2:$2,#REF!)</f>
        <v>#REF!</v>
      </c>
      <c r="L20" s="6" t="e">
        <f>SUMIF(#REF!,$2:$2,#REF!)</f>
        <v>#REF!</v>
      </c>
      <c r="M20" s="6" t="e">
        <f>SUMIF(#REF!,$2:$2,#REF!)</f>
        <v>#REF!</v>
      </c>
      <c r="N20" s="6" t="e">
        <f>SUMIF(#REF!,$2:$2,#REF!)</f>
        <v>#REF!</v>
      </c>
      <c r="O20" s="6" t="e">
        <f>SUMIF(#REF!,$2:$2,#REF!)</f>
        <v>#REF!</v>
      </c>
      <c r="P20" s="6" t="e">
        <f>SUMIF(#REF!,$2:$2,#REF!)</f>
        <v>#REF!</v>
      </c>
      <c r="Q20" s="6" t="e">
        <f>SUMIF(#REF!,$2:$2,#REF!)</f>
        <v>#REF!</v>
      </c>
      <c r="R20" s="6" t="e">
        <f>SUMIF(#REF!,$2:$2,#REF!)</f>
        <v>#REF!</v>
      </c>
      <c r="S20" s="6" t="e">
        <f>SUMIF(#REF!,$2:$2,#REF!)</f>
        <v>#REF!</v>
      </c>
      <c r="T20" s="6" t="e">
        <f>SUMIF(#REF!,$2:$2,#REF!)</f>
        <v>#REF!</v>
      </c>
      <c r="U20" s="6" t="e">
        <f>SUMIF(#REF!,$2:$2,#REF!)</f>
        <v>#REF!</v>
      </c>
      <c r="V20" s="6" t="e">
        <f>SUMIF(#REF!,$2:$2,#REF!)</f>
        <v>#REF!</v>
      </c>
      <c r="W20" s="6" t="e">
        <f>SUMIF(#REF!,$2:$2,#REF!)</f>
        <v>#REF!</v>
      </c>
      <c r="X20" s="6" t="e">
        <f>SUMIF(#REF!,$2:$2,#REF!)</f>
        <v>#REF!</v>
      </c>
      <c r="Y20" s="6" t="e">
        <f>SUMIF(#REF!,$2:$2,#REF!)</f>
        <v>#REF!</v>
      </c>
      <c r="Z20" s="6" t="e">
        <f>SUMIF(#REF!,$2:$2,#REF!)</f>
        <v>#REF!</v>
      </c>
      <c r="AA20" s="6" t="e">
        <f>SUMIF(#REF!,$2:$2,#REF!)</f>
        <v>#REF!</v>
      </c>
      <c r="AB20" s="6" t="e">
        <f>SUMIF(#REF!,$2:$2,#REF!)</f>
        <v>#REF!</v>
      </c>
    </row>
    <row r="21" spans="1:28" ht="15" customHeight="1" x14ac:dyDescent="0.25">
      <c r="A21" s="4" t="s">
        <v>16</v>
      </c>
      <c r="B21" s="8" t="s">
        <v>61</v>
      </c>
      <c r="C21" s="6" t="e">
        <f>SUMIF(#REF!,$2:$2,#REF!)</f>
        <v>#REF!</v>
      </c>
      <c r="D21" s="6" t="e">
        <f>SUMIF(#REF!,$2:$2,#REF!)</f>
        <v>#REF!</v>
      </c>
      <c r="E21" s="6" t="e">
        <f>SUMIF(#REF!,$2:$2,#REF!)</f>
        <v>#REF!</v>
      </c>
      <c r="F21" s="6" t="e">
        <f>SUMIF(#REF!,$2:$2,#REF!)</f>
        <v>#REF!</v>
      </c>
      <c r="G21" s="6" t="e">
        <f>SUMIF(#REF!,$2:$2,#REF!)</f>
        <v>#REF!</v>
      </c>
      <c r="H21" s="6" t="e">
        <f>SUMIF(#REF!,$2:$2,#REF!)</f>
        <v>#REF!</v>
      </c>
      <c r="I21" s="6" t="e">
        <f>SUMIF(#REF!,$2:$2,#REF!)</f>
        <v>#REF!</v>
      </c>
      <c r="J21" s="6" t="e">
        <f>SUMIF(#REF!,$2:$2,#REF!)</f>
        <v>#REF!</v>
      </c>
      <c r="K21" s="6" t="e">
        <f>SUMIF(#REF!,$2:$2,#REF!)</f>
        <v>#REF!</v>
      </c>
      <c r="L21" s="6" t="e">
        <f>SUMIF(#REF!,$2:$2,#REF!)</f>
        <v>#REF!</v>
      </c>
      <c r="M21" s="6" t="e">
        <f>SUMIF(#REF!,$2:$2,#REF!)</f>
        <v>#REF!</v>
      </c>
      <c r="N21" s="6" t="e">
        <f>SUMIF(#REF!,$2:$2,#REF!)</f>
        <v>#REF!</v>
      </c>
      <c r="O21" s="6" t="e">
        <f>SUMIF(#REF!,$2:$2,#REF!)</f>
        <v>#REF!</v>
      </c>
      <c r="P21" s="6" t="e">
        <f>SUMIF(#REF!,$2:$2,#REF!)</f>
        <v>#REF!</v>
      </c>
      <c r="Q21" s="6" t="e">
        <f>SUMIF(#REF!,$2:$2,#REF!)</f>
        <v>#REF!</v>
      </c>
      <c r="R21" s="6" t="e">
        <f>SUMIF(#REF!,$2:$2,#REF!)</f>
        <v>#REF!</v>
      </c>
      <c r="S21" s="6" t="e">
        <f>SUMIF(#REF!,$2:$2,#REF!)</f>
        <v>#REF!</v>
      </c>
      <c r="T21" s="6" t="e">
        <f>SUMIF(#REF!,$2:$2,#REF!)</f>
        <v>#REF!</v>
      </c>
      <c r="U21" s="6" t="e">
        <f>SUMIF(#REF!,$2:$2,#REF!)</f>
        <v>#REF!</v>
      </c>
      <c r="V21" s="6" t="e">
        <f>SUMIF(#REF!,$2:$2,#REF!)</f>
        <v>#REF!</v>
      </c>
      <c r="W21" s="6" t="e">
        <f>SUMIF(#REF!,$2:$2,#REF!)</f>
        <v>#REF!</v>
      </c>
      <c r="X21" s="6" t="e">
        <f>SUMIF(#REF!,$2:$2,#REF!)</f>
        <v>#REF!</v>
      </c>
      <c r="Y21" s="6" t="e">
        <f>SUMIF(#REF!,$2:$2,#REF!)</f>
        <v>#REF!</v>
      </c>
      <c r="Z21" s="6" t="e">
        <f>SUMIF(#REF!,$2:$2,#REF!)</f>
        <v>#REF!</v>
      </c>
      <c r="AA21" s="6" t="e">
        <f>SUMIF(#REF!,$2:$2,#REF!)</f>
        <v>#REF!</v>
      </c>
      <c r="AB21" s="6" t="e">
        <f>SUMIF(#REF!,$2:$2,#REF!)</f>
        <v>#REF!</v>
      </c>
    </row>
    <row r="22" spans="1:28" ht="15" customHeight="1" x14ac:dyDescent="0.25">
      <c r="A22" s="4" t="s">
        <v>17</v>
      </c>
      <c r="B22" t="s">
        <v>62</v>
      </c>
      <c r="C22" s="6" t="e">
        <f>SUMIF([1]IndData!$C:$C,$2:$2,[1]IndData!$Q:$Q)</f>
        <v>#VALUE!</v>
      </c>
      <c r="D22" s="6" t="e">
        <f>SUMIF([1]IndData!$C:$C,$2:$2,[1]IndData!$Q:$Q)</f>
        <v>#VALUE!</v>
      </c>
      <c r="E22" s="6" t="e">
        <f>SUMIF([1]IndData!$C:$C,$2:$2,[1]IndData!$Q:$Q)</f>
        <v>#VALUE!</v>
      </c>
      <c r="F22" s="6" t="e">
        <f>SUMIF([1]IndData!$C:$C,$2:$2,[1]IndData!$Q:$Q)</f>
        <v>#VALUE!</v>
      </c>
      <c r="G22" s="6" t="e">
        <f>SUMIF([1]IndData!$C:$C,$2:$2,[1]IndData!$Q:$Q)</f>
        <v>#VALUE!</v>
      </c>
      <c r="H22" s="6" t="e">
        <f>SUMIF([1]IndData!$C:$C,$2:$2,[1]IndData!$Q:$Q)</f>
        <v>#VALUE!</v>
      </c>
      <c r="I22" s="6" t="e">
        <f>SUMIF([1]IndData!$C:$C,$2:$2,[1]IndData!$Q:$Q)</f>
        <v>#VALUE!</v>
      </c>
      <c r="J22" s="6" t="e">
        <f>SUMIF([1]IndData!$C:$C,$2:$2,[1]IndData!$Q:$Q)</f>
        <v>#VALUE!</v>
      </c>
      <c r="K22" s="6" t="e">
        <f>SUMIF([1]IndData!$C:$C,$2:$2,[1]IndData!$Q:$Q)</f>
        <v>#VALUE!</v>
      </c>
      <c r="L22" s="6" t="e">
        <f>SUMIF([1]IndData!$C:$C,$2:$2,[1]IndData!$Q:$Q)</f>
        <v>#VALUE!</v>
      </c>
      <c r="M22" s="6" t="e">
        <f>SUMIF([1]IndData!$C:$C,$2:$2,[1]IndData!$Q:$Q)</f>
        <v>#VALUE!</v>
      </c>
      <c r="N22" s="6" t="e">
        <f>SUMIF([1]IndData!$C:$C,$2:$2,[1]IndData!$Q:$Q)</f>
        <v>#VALUE!</v>
      </c>
      <c r="O22" s="6" t="e">
        <f>SUMIF([1]IndData!$C:$C,$2:$2,[1]IndData!$Q:$Q)</f>
        <v>#VALUE!</v>
      </c>
      <c r="P22" s="6" t="e">
        <f>SUMIF([1]IndData!$C:$C,$2:$2,[1]IndData!$Q:$Q)</f>
        <v>#VALUE!</v>
      </c>
      <c r="Q22" s="6" t="e">
        <f>SUMIF([1]IndData!$C:$C,$2:$2,[1]IndData!$Q:$Q)</f>
        <v>#VALUE!</v>
      </c>
      <c r="R22" s="6" t="e">
        <f>SUMIF([1]IndData!$C:$C,$2:$2,[1]IndData!$Q:$Q)</f>
        <v>#VALUE!</v>
      </c>
      <c r="S22" s="6" t="e">
        <f>SUMIF([1]IndData!$C:$C,$2:$2,[1]IndData!$Q:$Q)</f>
        <v>#VALUE!</v>
      </c>
      <c r="T22" s="6" t="e">
        <f>SUMIF([1]IndData!$C:$C,$2:$2,[1]IndData!$Q:$Q)</f>
        <v>#VALUE!</v>
      </c>
      <c r="U22" s="6" t="e">
        <f>SUMIF([1]IndData!$C:$C,$2:$2,[1]IndData!$Q:$Q)</f>
        <v>#VALUE!</v>
      </c>
      <c r="V22" s="6" t="e">
        <f>SUMIF([1]IndData!$C:$C,$2:$2,[1]IndData!$Q:$Q)</f>
        <v>#VALUE!</v>
      </c>
      <c r="W22" s="6" t="e">
        <f>SUMIF([1]IndData!$C:$C,$2:$2,[1]IndData!$Q:$Q)</f>
        <v>#VALUE!</v>
      </c>
      <c r="X22" s="6" t="e">
        <f>SUMIF([1]IndData!$C:$C,$2:$2,[1]IndData!$Q:$Q)</f>
        <v>#VALUE!</v>
      </c>
      <c r="Y22" s="6" t="e">
        <f>SUMIF([1]IndData!$C:$C,$2:$2,[1]IndData!$Q:$Q)</f>
        <v>#VALUE!</v>
      </c>
      <c r="Z22" s="6" t="e">
        <f>SUMIF([1]IndData!$C:$C,$2:$2,[1]IndData!$Q:$Q)</f>
        <v>#VALUE!</v>
      </c>
      <c r="AA22" s="6" t="e">
        <f>SUMIF([1]IndData!$C:$C,$2:$2,[1]IndData!$Q:$Q)</f>
        <v>#VALUE!</v>
      </c>
      <c r="AB22" s="6" t="e">
        <f>SUMIF([1]IndData!$C:$C,$2:$2,[1]IndData!$Q:$Q)</f>
        <v>#VALUE!</v>
      </c>
    </row>
    <row r="23" spans="1:28" ht="15" customHeight="1" x14ac:dyDescent="0.25">
      <c r="A23" s="4" t="s">
        <v>18</v>
      </c>
      <c r="B23" t="s">
        <v>62</v>
      </c>
      <c r="C23" s="6" t="e">
        <f>SUMIF([1]IndData!$C:$C,$2:$2,[1]IndData!$R:$R)</f>
        <v>#VALUE!</v>
      </c>
      <c r="D23" s="6" t="e">
        <f>SUMIF([1]IndData!$C:$C,$2:$2,[1]IndData!$R:$R)</f>
        <v>#VALUE!</v>
      </c>
      <c r="E23" s="6" t="e">
        <f>SUMIF([1]IndData!$C:$C,$2:$2,[1]IndData!$R:$R)</f>
        <v>#VALUE!</v>
      </c>
      <c r="F23" s="6" t="e">
        <f>SUMIF([1]IndData!$C:$C,$2:$2,[1]IndData!$R:$R)</f>
        <v>#VALUE!</v>
      </c>
      <c r="G23" s="6" t="e">
        <f>SUMIF([1]IndData!$C:$C,$2:$2,[1]IndData!$R:$R)</f>
        <v>#VALUE!</v>
      </c>
      <c r="H23" s="6" t="e">
        <f>SUMIF([1]IndData!$C:$C,$2:$2,[1]IndData!$R:$R)</f>
        <v>#VALUE!</v>
      </c>
      <c r="I23" s="6" t="e">
        <f>SUMIF([1]IndData!$C:$C,$2:$2,[1]IndData!$R:$R)</f>
        <v>#VALUE!</v>
      </c>
      <c r="J23" s="6" t="e">
        <f>SUMIF([1]IndData!$C:$C,$2:$2,[1]IndData!$R:$R)</f>
        <v>#VALUE!</v>
      </c>
      <c r="K23" s="6" t="e">
        <f>SUMIF([1]IndData!$C:$C,$2:$2,[1]IndData!$R:$R)</f>
        <v>#VALUE!</v>
      </c>
      <c r="L23" s="6" t="e">
        <f>SUMIF([1]IndData!$C:$C,$2:$2,[1]IndData!$R:$R)</f>
        <v>#VALUE!</v>
      </c>
      <c r="M23" s="6" t="e">
        <f>SUMIF([1]IndData!$C:$C,$2:$2,[1]IndData!$R:$R)</f>
        <v>#VALUE!</v>
      </c>
      <c r="N23" s="6" t="e">
        <f>SUMIF([1]IndData!$C:$C,$2:$2,[1]IndData!$R:$R)</f>
        <v>#VALUE!</v>
      </c>
      <c r="O23" s="6" t="e">
        <f>SUMIF([1]IndData!$C:$C,$2:$2,[1]IndData!$R:$R)</f>
        <v>#VALUE!</v>
      </c>
      <c r="P23" s="6" t="e">
        <f>SUMIF([1]IndData!$C:$C,$2:$2,[1]IndData!$R:$R)</f>
        <v>#VALUE!</v>
      </c>
      <c r="Q23" s="6" t="e">
        <f>SUMIF([1]IndData!$C:$C,$2:$2,[1]IndData!$R:$R)</f>
        <v>#VALUE!</v>
      </c>
      <c r="R23" s="6" t="e">
        <f>SUMIF([1]IndData!$C:$C,$2:$2,[1]IndData!$R:$R)</f>
        <v>#VALUE!</v>
      </c>
      <c r="S23" s="6" t="e">
        <f>SUMIF([1]IndData!$C:$C,$2:$2,[1]IndData!$R:$R)</f>
        <v>#VALUE!</v>
      </c>
      <c r="T23" s="6" t="e">
        <f>SUMIF([1]IndData!$C:$C,$2:$2,[1]IndData!$R:$R)</f>
        <v>#VALUE!</v>
      </c>
      <c r="U23" s="6" t="e">
        <f>SUMIF([1]IndData!$C:$C,$2:$2,[1]IndData!$R:$R)</f>
        <v>#VALUE!</v>
      </c>
      <c r="V23" s="6" t="e">
        <f>SUMIF([1]IndData!$C:$C,$2:$2,[1]IndData!$R:$R)</f>
        <v>#VALUE!</v>
      </c>
      <c r="W23" s="6" t="e">
        <f>SUMIF([1]IndData!$C:$C,$2:$2,[1]IndData!$R:$R)</f>
        <v>#VALUE!</v>
      </c>
      <c r="X23" s="6" t="e">
        <f>SUMIF([1]IndData!$C:$C,$2:$2,[1]IndData!$R:$R)</f>
        <v>#VALUE!</v>
      </c>
      <c r="Y23" s="6" t="e">
        <f>SUMIF([1]IndData!$C:$C,$2:$2,[1]IndData!$R:$R)</f>
        <v>#VALUE!</v>
      </c>
      <c r="Z23" s="6" t="e">
        <f>SUMIF([1]IndData!$C:$C,$2:$2,[1]IndData!$R:$R)</f>
        <v>#VALUE!</v>
      </c>
      <c r="AA23" s="6" t="e">
        <f>SUMIF([1]IndData!$C:$C,$2:$2,[1]IndData!$R:$R)</f>
        <v>#VALUE!</v>
      </c>
      <c r="AB23" s="6" t="e">
        <f>SUMIF([1]IndData!$C:$C,$2:$2,[1]IndData!$R:$R)</f>
        <v>#VALUE!</v>
      </c>
    </row>
    <row r="24" spans="1:28" ht="15" customHeight="1" x14ac:dyDescent="0.25">
      <c r="A24" s="4" t="s">
        <v>19</v>
      </c>
      <c r="B24" t="s">
        <v>62</v>
      </c>
      <c r="C24" s="6" t="e">
        <f>SUMIF([1]IndData!$C:$C,$2:$2,[1]IndData!$S:$S)</f>
        <v>#VALUE!</v>
      </c>
      <c r="D24" s="6" t="e">
        <f>SUMIF([1]IndData!$C:$C,$2:$2,[1]IndData!$S:$S)</f>
        <v>#VALUE!</v>
      </c>
      <c r="E24" s="6" t="e">
        <f>SUMIF([1]IndData!$C:$C,$2:$2,[1]IndData!$S:$S)</f>
        <v>#VALUE!</v>
      </c>
      <c r="F24" s="6" t="e">
        <f>SUMIF([1]IndData!$C:$C,$2:$2,[1]IndData!$S:$S)</f>
        <v>#VALUE!</v>
      </c>
      <c r="G24" s="6" t="e">
        <f>SUMIF([1]IndData!$C:$C,$2:$2,[1]IndData!$S:$S)</f>
        <v>#VALUE!</v>
      </c>
      <c r="H24" s="6" t="e">
        <f>SUMIF([1]IndData!$C:$C,$2:$2,[1]IndData!$S:$S)</f>
        <v>#VALUE!</v>
      </c>
      <c r="I24" s="6" t="e">
        <f>SUMIF([1]IndData!$C:$C,$2:$2,[1]IndData!$S:$S)</f>
        <v>#VALUE!</v>
      </c>
      <c r="J24" s="6" t="e">
        <f>SUMIF([1]IndData!$C:$C,$2:$2,[1]IndData!$S:$S)</f>
        <v>#VALUE!</v>
      </c>
      <c r="K24" s="6" t="e">
        <f>SUMIF([1]IndData!$C:$C,$2:$2,[1]IndData!$S:$S)</f>
        <v>#VALUE!</v>
      </c>
      <c r="L24" s="6" t="e">
        <f>SUMIF([1]IndData!$C:$C,$2:$2,[1]IndData!$S:$S)</f>
        <v>#VALUE!</v>
      </c>
      <c r="M24" s="6" t="e">
        <f>SUMIF([1]IndData!$C:$C,$2:$2,[1]IndData!$S:$S)</f>
        <v>#VALUE!</v>
      </c>
      <c r="N24" s="6" t="e">
        <f>SUMIF([1]IndData!$C:$C,$2:$2,[1]IndData!$S:$S)</f>
        <v>#VALUE!</v>
      </c>
      <c r="O24" s="6" t="e">
        <f>SUMIF([1]IndData!$C:$C,$2:$2,[1]IndData!$S:$S)</f>
        <v>#VALUE!</v>
      </c>
      <c r="P24" s="6" t="e">
        <f>SUMIF([1]IndData!$C:$C,$2:$2,[1]IndData!$S:$S)</f>
        <v>#VALUE!</v>
      </c>
      <c r="Q24" s="6" t="e">
        <f>SUMIF([1]IndData!$C:$C,$2:$2,[1]IndData!$S:$S)</f>
        <v>#VALUE!</v>
      </c>
      <c r="R24" s="6" t="e">
        <f>SUMIF([1]IndData!$C:$C,$2:$2,[1]IndData!$S:$S)</f>
        <v>#VALUE!</v>
      </c>
      <c r="S24" s="6" t="e">
        <f>SUMIF([1]IndData!$C:$C,$2:$2,[1]IndData!$S:$S)</f>
        <v>#VALUE!</v>
      </c>
      <c r="T24" s="6" t="e">
        <f>SUMIF([1]IndData!$C:$C,$2:$2,[1]IndData!$S:$S)</f>
        <v>#VALUE!</v>
      </c>
      <c r="U24" s="6" t="e">
        <f>SUMIF([1]IndData!$C:$C,$2:$2,[1]IndData!$S:$S)</f>
        <v>#VALUE!</v>
      </c>
      <c r="V24" s="6" t="e">
        <f>SUMIF([1]IndData!$C:$C,$2:$2,[1]IndData!$S:$S)</f>
        <v>#VALUE!</v>
      </c>
      <c r="W24" s="6" t="e">
        <f>SUMIF([1]IndData!$C:$C,$2:$2,[1]IndData!$S:$S)</f>
        <v>#VALUE!</v>
      </c>
      <c r="X24" s="6" t="e">
        <f>SUMIF([1]IndData!$C:$C,$2:$2,[1]IndData!$S:$S)</f>
        <v>#VALUE!</v>
      </c>
      <c r="Y24" s="6" t="e">
        <f>SUMIF([1]IndData!$C:$C,$2:$2,[1]IndData!$S:$S)</f>
        <v>#VALUE!</v>
      </c>
      <c r="Z24" s="6" t="e">
        <f>SUMIF([1]IndData!$C:$C,$2:$2,[1]IndData!$S:$S)</f>
        <v>#VALUE!</v>
      </c>
      <c r="AA24" s="6" t="e">
        <f>SUMIF([1]IndData!$C:$C,$2:$2,[1]IndData!$S:$S)</f>
        <v>#VALUE!</v>
      </c>
      <c r="AB24" s="6" t="e">
        <f>SUMIF([1]IndData!$C:$C,$2:$2,[1]IndData!$S:$S)</f>
        <v>#VALUE!</v>
      </c>
    </row>
    <row r="25" spans="1:28" ht="15" customHeight="1" x14ac:dyDescent="0.25">
      <c r="A25" s="4" t="s">
        <v>20</v>
      </c>
      <c r="B25" t="s">
        <v>62</v>
      </c>
      <c r="C25" s="6" t="e">
        <f>SUMIF([1]IndData!$C:$C,$2:$2,[1]IndData!$T:$T)</f>
        <v>#VALUE!</v>
      </c>
      <c r="D25" s="6" t="e">
        <f>SUMIF([1]IndData!$C:$C,$2:$2,[1]IndData!$T:$T)</f>
        <v>#VALUE!</v>
      </c>
      <c r="E25" s="6" t="e">
        <f>SUMIF([1]IndData!$C:$C,$2:$2,[1]IndData!$T:$T)</f>
        <v>#VALUE!</v>
      </c>
      <c r="F25" s="6" t="e">
        <f>SUMIF([1]IndData!$C:$C,$2:$2,[1]IndData!$T:$T)</f>
        <v>#VALUE!</v>
      </c>
      <c r="G25" s="6" t="e">
        <f>SUMIF([1]IndData!$C:$C,$2:$2,[1]IndData!$T:$T)</f>
        <v>#VALUE!</v>
      </c>
      <c r="H25" s="6" t="e">
        <f>SUMIF([1]IndData!$C:$C,$2:$2,[1]IndData!$T:$T)</f>
        <v>#VALUE!</v>
      </c>
      <c r="I25" s="6" t="e">
        <f>SUMIF([1]IndData!$C:$C,$2:$2,[1]IndData!$T:$T)</f>
        <v>#VALUE!</v>
      </c>
      <c r="J25" s="6" t="e">
        <f>SUMIF([1]IndData!$C:$C,$2:$2,[1]IndData!$T:$T)</f>
        <v>#VALUE!</v>
      </c>
      <c r="K25" s="6" t="e">
        <f>SUMIF([1]IndData!$C:$C,$2:$2,[1]IndData!$T:$T)</f>
        <v>#VALUE!</v>
      </c>
      <c r="L25" s="6" t="e">
        <f>SUMIF([1]IndData!$C:$C,$2:$2,[1]IndData!$T:$T)</f>
        <v>#VALUE!</v>
      </c>
      <c r="M25" s="6" t="e">
        <f>SUMIF([1]IndData!$C:$C,$2:$2,[1]IndData!$T:$T)</f>
        <v>#VALUE!</v>
      </c>
      <c r="N25" s="6" t="e">
        <f>SUMIF([1]IndData!$C:$C,$2:$2,[1]IndData!$T:$T)</f>
        <v>#VALUE!</v>
      </c>
      <c r="O25" s="6" t="e">
        <f>SUMIF([1]IndData!$C:$C,$2:$2,[1]IndData!$T:$T)</f>
        <v>#VALUE!</v>
      </c>
      <c r="P25" s="6" t="e">
        <f>SUMIF([1]IndData!$C:$C,$2:$2,[1]IndData!$T:$T)</f>
        <v>#VALUE!</v>
      </c>
      <c r="Q25" s="6" t="e">
        <f>SUMIF([1]IndData!$C:$C,$2:$2,[1]IndData!$T:$T)</f>
        <v>#VALUE!</v>
      </c>
      <c r="R25" s="6" t="e">
        <f>SUMIF([1]IndData!$C:$C,$2:$2,[1]IndData!$T:$T)</f>
        <v>#VALUE!</v>
      </c>
      <c r="S25" s="6" t="e">
        <f>SUMIF([1]IndData!$C:$C,$2:$2,[1]IndData!$T:$T)</f>
        <v>#VALUE!</v>
      </c>
      <c r="T25" s="6" t="e">
        <f>SUMIF([1]IndData!$C:$C,$2:$2,[1]IndData!$T:$T)</f>
        <v>#VALUE!</v>
      </c>
      <c r="U25" s="6" t="e">
        <f>SUMIF([1]IndData!$C:$C,$2:$2,[1]IndData!$T:$T)</f>
        <v>#VALUE!</v>
      </c>
      <c r="V25" s="6" t="e">
        <f>SUMIF([1]IndData!$C:$C,$2:$2,[1]IndData!$T:$T)</f>
        <v>#VALUE!</v>
      </c>
      <c r="W25" s="6" t="e">
        <f>SUMIF([1]IndData!$C:$C,$2:$2,[1]IndData!$T:$T)</f>
        <v>#VALUE!</v>
      </c>
      <c r="X25" s="6" t="e">
        <f>SUMIF([1]IndData!$C:$C,$2:$2,[1]IndData!$T:$T)</f>
        <v>#VALUE!</v>
      </c>
      <c r="Y25" s="6" t="e">
        <f>SUMIF([1]IndData!$C:$C,$2:$2,[1]IndData!$T:$T)</f>
        <v>#VALUE!</v>
      </c>
      <c r="Z25" s="6" t="e">
        <f>SUMIF([1]IndData!$C:$C,$2:$2,[1]IndData!$T:$T)</f>
        <v>#VALUE!</v>
      </c>
      <c r="AA25" s="6" t="e">
        <f>SUMIF([1]IndData!$C:$C,$2:$2,[1]IndData!$T:$T)</f>
        <v>#VALUE!</v>
      </c>
      <c r="AB25" s="6" t="e">
        <f>SUMIF([1]IndData!$C:$C,$2:$2,[1]IndData!$T:$T)</f>
        <v>#VALUE!</v>
      </c>
    </row>
    <row r="26" spans="1:28" ht="15" customHeight="1" x14ac:dyDescent="0.25">
      <c r="A26" s="4" t="s">
        <v>21</v>
      </c>
      <c r="B26" t="s">
        <v>61</v>
      </c>
      <c r="C26" s="6" t="e">
        <f>SUMIF(#REF!,$2:$2,#REF!)</f>
        <v>#REF!</v>
      </c>
      <c r="D26" s="6" t="e">
        <f>SUMIF(#REF!,$2:$2,#REF!)</f>
        <v>#REF!</v>
      </c>
      <c r="E26" s="6" t="e">
        <f>SUMIF(#REF!,$2:$2,#REF!)</f>
        <v>#REF!</v>
      </c>
      <c r="F26" s="6" t="e">
        <f>SUMIF(#REF!,$2:$2,#REF!)</f>
        <v>#REF!</v>
      </c>
      <c r="G26" s="6" t="e">
        <f>SUMIF(#REF!,$2:$2,#REF!)</f>
        <v>#REF!</v>
      </c>
      <c r="H26" s="6" t="e">
        <f>SUMIF(#REF!,$2:$2,#REF!)</f>
        <v>#REF!</v>
      </c>
      <c r="I26" s="6" t="e">
        <f>SUMIF(#REF!,$2:$2,#REF!)</f>
        <v>#REF!</v>
      </c>
      <c r="J26" s="6" t="e">
        <f>SUMIF(#REF!,$2:$2,#REF!)</f>
        <v>#REF!</v>
      </c>
      <c r="K26" s="6" t="e">
        <f>SUMIF(#REF!,$2:$2,#REF!)</f>
        <v>#REF!</v>
      </c>
      <c r="L26" s="6" t="e">
        <f>SUMIF(#REF!,$2:$2,#REF!)</f>
        <v>#REF!</v>
      </c>
      <c r="M26" s="6" t="e">
        <f>SUMIF(#REF!,$2:$2,#REF!)</f>
        <v>#REF!</v>
      </c>
      <c r="N26" s="6" t="e">
        <f>SUMIF(#REF!,$2:$2,#REF!)</f>
        <v>#REF!</v>
      </c>
      <c r="O26" s="6" t="e">
        <f>SUMIF(#REF!,$2:$2,#REF!)</f>
        <v>#REF!</v>
      </c>
      <c r="P26" s="6" t="e">
        <f>SUMIF(#REF!,$2:$2,#REF!)</f>
        <v>#REF!</v>
      </c>
      <c r="Q26" s="6" t="e">
        <f>SUMIF(#REF!,$2:$2,#REF!)</f>
        <v>#REF!</v>
      </c>
      <c r="R26" s="6" t="e">
        <f>SUMIF(#REF!,$2:$2,#REF!)</f>
        <v>#REF!</v>
      </c>
      <c r="S26" s="6" t="e">
        <f>SUMIF(#REF!,$2:$2,#REF!)</f>
        <v>#REF!</v>
      </c>
      <c r="T26" s="6" t="e">
        <f>SUMIF(#REF!,$2:$2,#REF!)</f>
        <v>#REF!</v>
      </c>
      <c r="U26" s="6" t="e">
        <f>SUMIF(#REF!,$2:$2,#REF!)</f>
        <v>#REF!</v>
      </c>
      <c r="V26" s="6" t="e">
        <f>SUMIF(#REF!,$2:$2,#REF!)</f>
        <v>#REF!</v>
      </c>
      <c r="W26" s="6" t="e">
        <f>SUMIF(#REF!,$2:$2,#REF!)</f>
        <v>#REF!</v>
      </c>
      <c r="X26" s="6" t="e">
        <f>SUMIF(#REF!,$2:$2,#REF!)</f>
        <v>#REF!</v>
      </c>
      <c r="Y26" s="6" t="e">
        <f>SUMIF(#REF!,$2:$2,#REF!)</f>
        <v>#REF!</v>
      </c>
      <c r="Z26" s="6" t="e">
        <f>SUMIF(#REF!,$2:$2,#REF!)</f>
        <v>#REF!</v>
      </c>
      <c r="AA26" s="6" t="e">
        <f>SUMIF(#REF!,$2:$2,#REF!)</f>
        <v>#REF!</v>
      </c>
      <c r="AB26" s="6" t="e">
        <f>SUMIF(#REF!,$2:$2,#REF!)</f>
        <v>#REF!</v>
      </c>
    </row>
    <row r="27" spans="1:28" ht="15" customHeight="1" x14ac:dyDescent="0.25">
      <c r="A27" s="4" t="s">
        <v>22</v>
      </c>
      <c r="B27" t="s">
        <v>62</v>
      </c>
      <c r="C27" s="6" t="e">
        <f>SUMIF([1]IndData!$C:$C,$2:$2,[1]IndData!$V:$V)</f>
        <v>#VALUE!</v>
      </c>
      <c r="D27" s="6" t="e">
        <f>SUMIF([1]IndData!$C:$C,$2:$2,[1]IndData!$V:$V)</f>
        <v>#VALUE!</v>
      </c>
      <c r="E27" s="6" t="e">
        <f>SUMIF([1]IndData!$C:$C,$2:$2,[1]IndData!$V:$V)</f>
        <v>#VALUE!</v>
      </c>
      <c r="F27" s="6" t="e">
        <f>SUMIF([1]IndData!$C:$C,$2:$2,[1]IndData!$V:$V)</f>
        <v>#VALUE!</v>
      </c>
      <c r="G27" s="6" t="e">
        <f>SUMIF([1]IndData!$C:$C,$2:$2,[1]IndData!$V:$V)</f>
        <v>#VALUE!</v>
      </c>
      <c r="H27" s="6" t="e">
        <f>SUMIF([1]IndData!$C:$C,$2:$2,[1]IndData!$V:$V)</f>
        <v>#VALUE!</v>
      </c>
      <c r="I27" s="6" t="e">
        <f>SUMIF([1]IndData!$C:$C,$2:$2,[1]IndData!$V:$V)</f>
        <v>#VALUE!</v>
      </c>
      <c r="J27" s="6" t="e">
        <f>SUMIF([1]IndData!$C:$C,$2:$2,[1]IndData!$V:$V)</f>
        <v>#VALUE!</v>
      </c>
      <c r="K27" s="6" t="e">
        <f>SUMIF([1]IndData!$C:$C,$2:$2,[1]IndData!$V:$V)</f>
        <v>#VALUE!</v>
      </c>
      <c r="L27" s="6" t="e">
        <f>SUMIF([1]IndData!$C:$C,$2:$2,[1]IndData!$V:$V)</f>
        <v>#VALUE!</v>
      </c>
      <c r="M27" s="6" t="e">
        <f>SUMIF([1]IndData!$C:$C,$2:$2,[1]IndData!$V:$V)</f>
        <v>#VALUE!</v>
      </c>
      <c r="N27" s="6" t="e">
        <f>SUMIF([1]IndData!$C:$C,$2:$2,[1]IndData!$V:$V)</f>
        <v>#VALUE!</v>
      </c>
      <c r="O27" s="6" t="e">
        <f>SUMIF([1]IndData!$C:$C,$2:$2,[1]IndData!$V:$V)</f>
        <v>#VALUE!</v>
      </c>
      <c r="P27" s="6" t="e">
        <f>SUMIF([1]IndData!$C:$C,$2:$2,[1]IndData!$V:$V)</f>
        <v>#VALUE!</v>
      </c>
      <c r="Q27" s="6" t="e">
        <f>SUMIF([1]IndData!$C:$C,$2:$2,[1]IndData!$V:$V)</f>
        <v>#VALUE!</v>
      </c>
      <c r="R27" s="6" t="e">
        <f>SUMIF([1]IndData!$C:$C,$2:$2,[1]IndData!$V:$V)</f>
        <v>#VALUE!</v>
      </c>
      <c r="S27" s="6" t="e">
        <f>SUMIF([1]IndData!$C:$C,$2:$2,[1]IndData!$V:$V)</f>
        <v>#VALUE!</v>
      </c>
      <c r="T27" s="6" t="e">
        <f>SUMIF([1]IndData!$C:$C,$2:$2,[1]IndData!$V:$V)</f>
        <v>#VALUE!</v>
      </c>
      <c r="U27" s="6" t="e">
        <f>SUMIF([1]IndData!$C:$C,$2:$2,[1]IndData!$V:$V)</f>
        <v>#VALUE!</v>
      </c>
      <c r="V27" s="6" t="e">
        <f>SUMIF([1]IndData!$C:$C,$2:$2,[1]IndData!$V:$V)</f>
        <v>#VALUE!</v>
      </c>
      <c r="W27" s="6" t="e">
        <f>SUMIF([1]IndData!$C:$C,$2:$2,[1]IndData!$V:$V)</f>
        <v>#VALUE!</v>
      </c>
      <c r="X27" s="6" t="e">
        <f>SUMIF([1]IndData!$C:$C,$2:$2,[1]IndData!$V:$V)</f>
        <v>#VALUE!</v>
      </c>
      <c r="Y27" s="6" t="e">
        <f>SUMIF([1]IndData!$C:$C,$2:$2,[1]IndData!$V:$V)</f>
        <v>#VALUE!</v>
      </c>
      <c r="Z27" s="6" t="e">
        <f>SUMIF([1]IndData!$C:$C,$2:$2,[1]IndData!$V:$V)</f>
        <v>#VALUE!</v>
      </c>
      <c r="AA27" s="6" t="e">
        <f>SUMIF([1]IndData!$C:$C,$2:$2,[1]IndData!$V:$V)</f>
        <v>#VALUE!</v>
      </c>
      <c r="AB27" s="6" t="e">
        <f>SUMIF([1]IndData!$C:$C,$2:$2,[1]IndData!$V:$V)</f>
        <v>#VALUE!</v>
      </c>
    </row>
    <row r="28" spans="1:28" ht="15" customHeight="1" x14ac:dyDescent="0.25">
      <c r="A28" s="4" t="s">
        <v>23</v>
      </c>
      <c r="B28" t="s">
        <v>62</v>
      </c>
      <c r="C28" s="6" t="e">
        <f>SUMIF([1]IndData!$C:$C,$2:$2,[1]IndData!$W:$W)</f>
        <v>#VALUE!</v>
      </c>
      <c r="D28" s="6" t="e">
        <f>SUMIF([1]IndData!$C:$C,$2:$2,[1]IndData!$W:$W)</f>
        <v>#VALUE!</v>
      </c>
      <c r="E28" s="6" t="e">
        <f>SUMIF([1]IndData!$C:$C,$2:$2,[1]IndData!$W:$W)</f>
        <v>#VALUE!</v>
      </c>
      <c r="F28" s="6" t="e">
        <f>SUMIF([1]IndData!$C:$C,$2:$2,[1]IndData!$W:$W)</f>
        <v>#VALUE!</v>
      </c>
      <c r="G28" s="6" t="e">
        <f>SUMIF([1]IndData!$C:$C,$2:$2,[1]IndData!$W:$W)</f>
        <v>#VALUE!</v>
      </c>
      <c r="H28" s="6" t="e">
        <f>SUMIF([1]IndData!$C:$C,$2:$2,[1]IndData!$W:$W)</f>
        <v>#VALUE!</v>
      </c>
      <c r="I28" s="6" t="e">
        <f>SUMIF([1]IndData!$C:$C,$2:$2,[1]IndData!$W:$W)</f>
        <v>#VALUE!</v>
      </c>
      <c r="J28" s="6" t="e">
        <f>SUMIF([1]IndData!$C:$C,$2:$2,[1]IndData!$W:$W)</f>
        <v>#VALUE!</v>
      </c>
      <c r="K28" s="6" t="e">
        <f>SUMIF([1]IndData!$C:$C,$2:$2,[1]IndData!$W:$W)</f>
        <v>#VALUE!</v>
      </c>
      <c r="L28" s="6" t="e">
        <f>SUMIF([1]IndData!$C:$C,$2:$2,[1]IndData!$W:$W)</f>
        <v>#VALUE!</v>
      </c>
      <c r="M28" s="6" t="e">
        <f>SUMIF([1]IndData!$C:$C,$2:$2,[1]IndData!$W:$W)</f>
        <v>#VALUE!</v>
      </c>
      <c r="N28" s="6" t="e">
        <f>SUMIF([1]IndData!$C:$C,$2:$2,[1]IndData!$W:$W)</f>
        <v>#VALUE!</v>
      </c>
      <c r="O28" s="6" t="e">
        <f>SUMIF([1]IndData!$C:$C,$2:$2,[1]IndData!$W:$W)</f>
        <v>#VALUE!</v>
      </c>
      <c r="P28" s="6" t="e">
        <f>SUMIF([1]IndData!$C:$C,$2:$2,[1]IndData!$W:$W)</f>
        <v>#VALUE!</v>
      </c>
      <c r="Q28" s="6" t="e">
        <f>SUMIF([1]IndData!$C:$C,$2:$2,[1]IndData!$W:$W)</f>
        <v>#VALUE!</v>
      </c>
      <c r="R28" s="6" t="e">
        <f>SUMIF([1]IndData!$C:$C,$2:$2,[1]IndData!$W:$W)</f>
        <v>#VALUE!</v>
      </c>
      <c r="S28" s="6" t="e">
        <f>SUMIF([1]IndData!$C:$C,$2:$2,[1]IndData!$W:$W)</f>
        <v>#VALUE!</v>
      </c>
      <c r="T28" s="6" t="e">
        <f>SUMIF([1]IndData!$C:$C,$2:$2,[1]IndData!$W:$W)</f>
        <v>#VALUE!</v>
      </c>
      <c r="U28" s="6" t="e">
        <f>SUMIF([1]IndData!$C:$C,$2:$2,[1]IndData!$W:$W)</f>
        <v>#VALUE!</v>
      </c>
      <c r="V28" s="6" t="e">
        <f>SUMIF([1]IndData!$C:$C,$2:$2,[1]IndData!$W:$W)</f>
        <v>#VALUE!</v>
      </c>
      <c r="W28" s="6" t="e">
        <f>SUMIF([1]IndData!$C:$C,$2:$2,[1]IndData!$W:$W)</f>
        <v>#VALUE!</v>
      </c>
      <c r="X28" s="6" t="e">
        <f>SUMIF([1]IndData!$C:$C,$2:$2,[1]IndData!$W:$W)</f>
        <v>#VALUE!</v>
      </c>
      <c r="Y28" s="6" t="e">
        <f>SUMIF([1]IndData!$C:$C,$2:$2,[1]IndData!$W:$W)</f>
        <v>#VALUE!</v>
      </c>
      <c r="Z28" s="6" t="e">
        <f>SUMIF([1]IndData!$C:$C,$2:$2,[1]IndData!$W:$W)</f>
        <v>#VALUE!</v>
      </c>
      <c r="AA28" s="6" t="e">
        <f>SUMIF([1]IndData!$C:$C,$2:$2,[1]IndData!$W:$W)</f>
        <v>#VALUE!</v>
      </c>
      <c r="AB28" s="6" t="e">
        <f>SUMIF([1]IndData!$C:$C,$2:$2,[1]IndData!$W:$W)</f>
        <v>#VALUE!</v>
      </c>
    </row>
    <row r="29" spans="1:28" ht="15" customHeight="1" x14ac:dyDescent="0.25">
      <c r="A29" s="4" t="s">
        <v>24</v>
      </c>
      <c r="B29" t="s">
        <v>62</v>
      </c>
      <c r="C29" s="6" t="e">
        <f>SUMIF([1]IndData!$C:$C,$2:$2,[1]IndData!$X:$X)</f>
        <v>#VALUE!</v>
      </c>
      <c r="D29" s="6" t="e">
        <f>SUMIF([1]IndData!$C:$C,$2:$2,[1]IndData!$X:$X)</f>
        <v>#VALUE!</v>
      </c>
      <c r="E29" s="6" t="e">
        <f>SUMIF([1]IndData!$C:$C,$2:$2,[1]IndData!$X:$X)</f>
        <v>#VALUE!</v>
      </c>
      <c r="F29" s="6" t="e">
        <f>SUMIF([1]IndData!$C:$C,$2:$2,[1]IndData!$X:$X)</f>
        <v>#VALUE!</v>
      </c>
      <c r="G29" s="6" t="e">
        <f>SUMIF([1]IndData!$C:$C,$2:$2,[1]IndData!$X:$X)</f>
        <v>#VALUE!</v>
      </c>
      <c r="H29" s="6" t="e">
        <f>SUMIF([1]IndData!$C:$C,$2:$2,[1]IndData!$X:$X)</f>
        <v>#VALUE!</v>
      </c>
      <c r="I29" s="6" t="e">
        <f>SUMIF([1]IndData!$C:$C,$2:$2,[1]IndData!$X:$X)</f>
        <v>#VALUE!</v>
      </c>
      <c r="J29" s="6" t="e">
        <f>SUMIF([1]IndData!$C:$C,$2:$2,[1]IndData!$X:$X)</f>
        <v>#VALUE!</v>
      </c>
      <c r="K29" s="6" t="e">
        <f>SUMIF([1]IndData!$C:$C,$2:$2,[1]IndData!$X:$X)</f>
        <v>#VALUE!</v>
      </c>
      <c r="L29" s="6" t="e">
        <f>SUMIF([1]IndData!$C:$C,$2:$2,[1]IndData!$X:$X)</f>
        <v>#VALUE!</v>
      </c>
      <c r="M29" s="6" t="e">
        <f>SUMIF([1]IndData!$C:$C,$2:$2,[1]IndData!$X:$X)</f>
        <v>#VALUE!</v>
      </c>
      <c r="N29" s="6" t="e">
        <f>SUMIF([1]IndData!$C:$C,$2:$2,[1]IndData!$X:$X)</f>
        <v>#VALUE!</v>
      </c>
      <c r="O29" s="6" t="e">
        <f>SUMIF([1]IndData!$C:$C,$2:$2,[1]IndData!$X:$X)</f>
        <v>#VALUE!</v>
      </c>
      <c r="P29" s="6" t="e">
        <f>SUMIF([1]IndData!$C:$C,$2:$2,[1]IndData!$X:$X)</f>
        <v>#VALUE!</v>
      </c>
      <c r="Q29" s="6" t="e">
        <f>SUMIF([1]IndData!$C:$C,$2:$2,[1]IndData!$X:$X)</f>
        <v>#VALUE!</v>
      </c>
      <c r="R29" s="6" t="e">
        <f>SUMIF([1]IndData!$C:$C,$2:$2,[1]IndData!$X:$X)</f>
        <v>#VALUE!</v>
      </c>
      <c r="S29" s="6" t="e">
        <f>SUMIF([1]IndData!$C:$C,$2:$2,[1]IndData!$X:$X)</f>
        <v>#VALUE!</v>
      </c>
      <c r="T29" s="6" t="e">
        <f>SUMIF([1]IndData!$C:$C,$2:$2,[1]IndData!$X:$X)</f>
        <v>#VALUE!</v>
      </c>
      <c r="U29" s="6" t="e">
        <f>SUMIF([1]IndData!$C:$C,$2:$2,[1]IndData!$X:$X)</f>
        <v>#VALUE!</v>
      </c>
      <c r="V29" s="6" t="e">
        <f>SUMIF([1]IndData!$C:$C,$2:$2,[1]IndData!$X:$X)</f>
        <v>#VALUE!</v>
      </c>
      <c r="W29" s="6" t="e">
        <f>SUMIF([1]IndData!$C:$C,$2:$2,[1]IndData!$X:$X)</f>
        <v>#VALUE!</v>
      </c>
      <c r="X29" s="6" t="e">
        <f>SUMIF([1]IndData!$C:$C,$2:$2,[1]IndData!$X:$X)</f>
        <v>#VALUE!</v>
      </c>
      <c r="Y29" s="6" t="e">
        <f>SUMIF([1]IndData!$C:$C,$2:$2,[1]IndData!$X:$X)</f>
        <v>#VALUE!</v>
      </c>
      <c r="Z29" s="6" t="e">
        <f>SUMIF([1]IndData!$C:$C,$2:$2,[1]IndData!$X:$X)</f>
        <v>#VALUE!</v>
      </c>
      <c r="AA29" s="6" t="e">
        <f>SUMIF([1]IndData!$C:$C,$2:$2,[1]IndData!$X:$X)</f>
        <v>#VALUE!</v>
      </c>
      <c r="AB29" s="6" t="e">
        <f>SUMIF([1]IndData!$C:$C,$2:$2,[1]IndData!$X:$X)</f>
        <v>#VALUE!</v>
      </c>
    </row>
    <row r="30" spans="1:28" ht="15" customHeight="1" x14ac:dyDescent="0.25">
      <c r="A30" s="4" t="s">
        <v>25</v>
      </c>
      <c r="B30" t="s">
        <v>62</v>
      </c>
      <c r="C30" s="6" t="e">
        <f>SUMIF([1]IndData!$C:$C,$2:$2,[1]IndData!$Y:$Y)</f>
        <v>#VALUE!</v>
      </c>
      <c r="D30" s="6" t="e">
        <f>SUMIF([1]IndData!$C:$C,$2:$2,[1]IndData!$Y:$Y)</f>
        <v>#VALUE!</v>
      </c>
      <c r="E30" s="6" t="e">
        <f>SUMIF([1]IndData!$C:$C,$2:$2,[1]IndData!$Y:$Y)</f>
        <v>#VALUE!</v>
      </c>
      <c r="F30" s="6" t="e">
        <f>SUMIF([1]IndData!$C:$C,$2:$2,[1]IndData!$Y:$Y)</f>
        <v>#VALUE!</v>
      </c>
      <c r="G30" s="6" t="e">
        <f>SUMIF([1]IndData!$C:$C,$2:$2,[1]IndData!$Y:$Y)</f>
        <v>#VALUE!</v>
      </c>
      <c r="H30" s="6" t="e">
        <f>SUMIF([1]IndData!$C:$C,$2:$2,[1]IndData!$Y:$Y)</f>
        <v>#VALUE!</v>
      </c>
      <c r="I30" s="6" t="e">
        <f>SUMIF([1]IndData!$C:$C,$2:$2,[1]IndData!$Y:$Y)</f>
        <v>#VALUE!</v>
      </c>
      <c r="J30" s="6" t="e">
        <f>SUMIF([1]IndData!$C:$C,$2:$2,[1]IndData!$Y:$Y)</f>
        <v>#VALUE!</v>
      </c>
      <c r="K30" s="6" t="e">
        <f>SUMIF([1]IndData!$C:$C,$2:$2,[1]IndData!$Y:$Y)</f>
        <v>#VALUE!</v>
      </c>
      <c r="L30" s="6" t="e">
        <f>SUMIF([1]IndData!$C:$C,$2:$2,[1]IndData!$Y:$Y)</f>
        <v>#VALUE!</v>
      </c>
      <c r="M30" s="6" t="e">
        <f>SUMIF([1]IndData!$C:$C,$2:$2,[1]IndData!$Y:$Y)</f>
        <v>#VALUE!</v>
      </c>
      <c r="N30" s="6" t="e">
        <f>SUMIF([1]IndData!$C:$C,$2:$2,[1]IndData!$Y:$Y)</f>
        <v>#VALUE!</v>
      </c>
      <c r="O30" s="6" t="e">
        <f>SUMIF([1]IndData!$C:$C,$2:$2,[1]IndData!$Y:$Y)</f>
        <v>#VALUE!</v>
      </c>
      <c r="P30" s="6" t="e">
        <f>SUMIF([1]IndData!$C:$C,$2:$2,[1]IndData!$Y:$Y)</f>
        <v>#VALUE!</v>
      </c>
      <c r="Q30" s="6" t="e">
        <f>SUMIF([1]IndData!$C:$C,$2:$2,[1]IndData!$Y:$Y)</f>
        <v>#VALUE!</v>
      </c>
      <c r="R30" s="6" t="e">
        <f>SUMIF([1]IndData!$C:$C,$2:$2,[1]IndData!$Y:$Y)</f>
        <v>#VALUE!</v>
      </c>
      <c r="S30" s="6" t="e">
        <f>SUMIF([1]IndData!$C:$C,$2:$2,[1]IndData!$Y:$Y)</f>
        <v>#VALUE!</v>
      </c>
      <c r="T30" s="6" t="e">
        <f>SUMIF([1]IndData!$C:$C,$2:$2,[1]IndData!$Y:$Y)</f>
        <v>#VALUE!</v>
      </c>
      <c r="U30" s="6" t="e">
        <f>SUMIF([1]IndData!$C:$C,$2:$2,[1]IndData!$Y:$Y)</f>
        <v>#VALUE!</v>
      </c>
      <c r="V30" s="6" t="e">
        <f>SUMIF([1]IndData!$C:$C,$2:$2,[1]IndData!$Y:$Y)</f>
        <v>#VALUE!</v>
      </c>
      <c r="W30" s="6" t="e">
        <f>SUMIF([1]IndData!$C:$C,$2:$2,[1]IndData!$Y:$Y)</f>
        <v>#VALUE!</v>
      </c>
      <c r="X30" s="6" t="e">
        <f>SUMIF([1]IndData!$C:$C,$2:$2,[1]IndData!$Y:$Y)</f>
        <v>#VALUE!</v>
      </c>
      <c r="Y30" s="6" t="e">
        <f>SUMIF([1]IndData!$C:$C,$2:$2,[1]IndData!$Y:$Y)</f>
        <v>#VALUE!</v>
      </c>
      <c r="Z30" s="6" t="e">
        <f>SUMIF([1]IndData!$C:$C,$2:$2,[1]IndData!$Y:$Y)</f>
        <v>#VALUE!</v>
      </c>
      <c r="AA30" s="6" t="e">
        <f>SUMIF([1]IndData!$C:$C,$2:$2,[1]IndData!$Y:$Y)</f>
        <v>#VALUE!</v>
      </c>
      <c r="AB30" s="6" t="e">
        <f>SUMIF([1]IndData!$C:$C,$2:$2,[1]IndData!$Y:$Y)</f>
        <v>#VALUE!</v>
      </c>
    </row>
    <row r="31" spans="1:28" ht="15" customHeight="1" x14ac:dyDescent="0.25">
      <c r="A31" s="4" t="s">
        <v>26</v>
      </c>
      <c r="B31" t="s">
        <v>62</v>
      </c>
      <c r="C31" s="6" t="e">
        <f>SUMIF([1]IndData!$C:$C,$2:$2,[1]IndData!$Z:$Z)</f>
        <v>#VALUE!</v>
      </c>
      <c r="D31" s="6" t="e">
        <f>SUMIF([1]IndData!$C:$C,$2:$2,[1]IndData!$Z:$Z)</f>
        <v>#VALUE!</v>
      </c>
      <c r="E31" s="6" t="e">
        <f>SUMIF([1]IndData!$C:$C,$2:$2,[1]IndData!$Z:$Z)</f>
        <v>#VALUE!</v>
      </c>
      <c r="F31" s="6" t="e">
        <f>SUMIF([1]IndData!$C:$C,$2:$2,[1]IndData!$Z:$Z)</f>
        <v>#VALUE!</v>
      </c>
      <c r="G31" s="6" t="e">
        <f>SUMIF([1]IndData!$C:$C,$2:$2,[1]IndData!$Z:$Z)</f>
        <v>#VALUE!</v>
      </c>
      <c r="H31" s="6" t="e">
        <f>SUMIF([1]IndData!$C:$C,$2:$2,[1]IndData!$Z:$Z)</f>
        <v>#VALUE!</v>
      </c>
      <c r="I31" s="6" t="e">
        <f>SUMIF([1]IndData!$C:$C,$2:$2,[1]IndData!$Z:$Z)</f>
        <v>#VALUE!</v>
      </c>
      <c r="J31" s="6" t="e">
        <f>SUMIF([1]IndData!$C:$C,$2:$2,[1]IndData!$Z:$Z)</f>
        <v>#VALUE!</v>
      </c>
      <c r="K31" s="6" t="e">
        <f>SUMIF([1]IndData!$C:$C,$2:$2,[1]IndData!$Z:$Z)</f>
        <v>#VALUE!</v>
      </c>
      <c r="L31" s="6" t="e">
        <f>SUMIF([1]IndData!$C:$C,$2:$2,[1]IndData!$Z:$Z)</f>
        <v>#VALUE!</v>
      </c>
      <c r="M31" s="6" t="e">
        <f>SUMIF([1]IndData!$C:$C,$2:$2,[1]IndData!$Z:$Z)</f>
        <v>#VALUE!</v>
      </c>
      <c r="N31" s="6" t="e">
        <f>SUMIF([1]IndData!$C:$C,$2:$2,[1]IndData!$Z:$Z)</f>
        <v>#VALUE!</v>
      </c>
      <c r="O31" s="6" t="e">
        <f>SUMIF([1]IndData!$C:$C,$2:$2,[1]IndData!$Z:$Z)</f>
        <v>#VALUE!</v>
      </c>
      <c r="P31" s="6" t="e">
        <f>SUMIF([1]IndData!$C:$C,$2:$2,[1]IndData!$Z:$Z)</f>
        <v>#VALUE!</v>
      </c>
      <c r="Q31" s="6" t="e">
        <f>SUMIF([1]IndData!$C:$C,$2:$2,[1]IndData!$Z:$Z)</f>
        <v>#VALUE!</v>
      </c>
      <c r="R31" s="6" t="e">
        <f>SUMIF([1]IndData!$C:$C,$2:$2,[1]IndData!$Z:$Z)</f>
        <v>#VALUE!</v>
      </c>
      <c r="S31" s="6" t="e">
        <f>SUMIF([1]IndData!$C:$C,$2:$2,[1]IndData!$Z:$Z)</f>
        <v>#VALUE!</v>
      </c>
      <c r="T31" s="6" t="e">
        <f>SUMIF([1]IndData!$C:$C,$2:$2,[1]IndData!$Z:$Z)</f>
        <v>#VALUE!</v>
      </c>
      <c r="U31" s="6" t="e">
        <f>SUMIF([1]IndData!$C:$C,$2:$2,[1]IndData!$Z:$Z)</f>
        <v>#VALUE!</v>
      </c>
      <c r="V31" s="6" t="e">
        <f>SUMIF([1]IndData!$C:$C,$2:$2,[1]IndData!$Z:$Z)</f>
        <v>#VALUE!</v>
      </c>
      <c r="W31" s="6" t="e">
        <f>SUMIF([1]IndData!$C:$C,$2:$2,[1]IndData!$Z:$Z)</f>
        <v>#VALUE!</v>
      </c>
      <c r="X31" s="6" t="e">
        <f>SUMIF([1]IndData!$C:$C,$2:$2,[1]IndData!$Z:$Z)</f>
        <v>#VALUE!</v>
      </c>
      <c r="Y31" s="6" t="e">
        <f>SUMIF([1]IndData!$C:$C,$2:$2,[1]IndData!$Z:$Z)</f>
        <v>#VALUE!</v>
      </c>
      <c r="Z31" s="6" t="e">
        <f>SUMIF([1]IndData!$C:$C,$2:$2,[1]IndData!$Z:$Z)</f>
        <v>#VALUE!</v>
      </c>
      <c r="AA31" s="6" t="e">
        <f>SUMIF([1]IndData!$C:$C,$2:$2,[1]IndData!$Z:$Z)</f>
        <v>#VALUE!</v>
      </c>
      <c r="AB31" s="6" t="e">
        <f>SUMIF([1]IndData!$C:$C,$2:$2,[1]IndData!$Z:$Z)</f>
        <v>#VALUE!</v>
      </c>
    </row>
    <row r="32" spans="1:28" ht="15" customHeight="1" x14ac:dyDescent="0.25">
      <c r="A32" s="4" t="s">
        <v>27</v>
      </c>
      <c r="B32" s="4" t="s">
        <v>62</v>
      </c>
      <c r="C32" s="6" t="e">
        <f>SUMIF([1]IndData!$C:$C,$2:$2,[1]IndData!$AA:$AA)</f>
        <v>#VALUE!</v>
      </c>
      <c r="D32" s="6" t="e">
        <f>SUMIF([1]IndData!$C:$C,$2:$2,[1]IndData!$AA:$AA)</f>
        <v>#VALUE!</v>
      </c>
      <c r="E32" s="6" t="e">
        <f>SUMIF([1]IndData!$C:$C,$2:$2,[1]IndData!$AA:$AA)</f>
        <v>#VALUE!</v>
      </c>
      <c r="F32" s="6" t="e">
        <f>SUMIF([1]IndData!$C:$C,$2:$2,[1]IndData!$AA:$AA)</f>
        <v>#VALUE!</v>
      </c>
      <c r="G32" s="6" t="e">
        <f>SUMIF([1]IndData!$C:$C,$2:$2,[1]IndData!$AA:$AA)</f>
        <v>#VALUE!</v>
      </c>
      <c r="H32" s="6" t="e">
        <f>SUMIF([1]IndData!$C:$C,$2:$2,[1]IndData!$AA:$AA)</f>
        <v>#VALUE!</v>
      </c>
      <c r="I32" s="6" t="e">
        <f>SUMIF([1]IndData!$C:$C,$2:$2,[1]IndData!$AA:$AA)</f>
        <v>#VALUE!</v>
      </c>
      <c r="J32" s="6" t="e">
        <f>SUMIF([1]IndData!$C:$C,$2:$2,[1]IndData!$AA:$AA)</f>
        <v>#VALUE!</v>
      </c>
      <c r="K32" s="6" t="e">
        <f>SUMIF([1]IndData!$C:$C,$2:$2,[1]IndData!$AA:$AA)</f>
        <v>#VALUE!</v>
      </c>
      <c r="L32" s="6" t="e">
        <f>SUMIF([1]IndData!$C:$C,$2:$2,[1]IndData!$AA:$AA)</f>
        <v>#VALUE!</v>
      </c>
      <c r="M32" s="6" t="e">
        <f>SUMIF([1]IndData!$C:$C,$2:$2,[1]IndData!$AA:$AA)</f>
        <v>#VALUE!</v>
      </c>
      <c r="N32" s="6" t="e">
        <f>SUMIF([1]IndData!$C:$C,$2:$2,[1]IndData!$AA:$AA)</f>
        <v>#VALUE!</v>
      </c>
      <c r="O32" s="6" t="e">
        <f>SUMIF([1]IndData!$C:$C,$2:$2,[1]IndData!$AA:$AA)</f>
        <v>#VALUE!</v>
      </c>
      <c r="P32" s="6" t="e">
        <f>SUMIF([1]IndData!$C:$C,$2:$2,[1]IndData!$AA:$AA)</f>
        <v>#VALUE!</v>
      </c>
      <c r="Q32" s="6" t="e">
        <f>SUMIF([1]IndData!$C:$C,$2:$2,[1]IndData!$AA:$AA)</f>
        <v>#VALUE!</v>
      </c>
      <c r="R32" s="6" t="e">
        <f>SUMIF([1]IndData!$C:$C,$2:$2,[1]IndData!$AA:$AA)</f>
        <v>#VALUE!</v>
      </c>
      <c r="S32" s="6" t="e">
        <f>SUMIF([1]IndData!$C:$C,$2:$2,[1]IndData!$AA:$AA)</f>
        <v>#VALUE!</v>
      </c>
      <c r="T32" s="6" t="e">
        <f>SUMIF([1]IndData!$C:$C,$2:$2,[1]IndData!$AA:$AA)</f>
        <v>#VALUE!</v>
      </c>
      <c r="U32" s="6" t="e">
        <f>SUMIF([1]IndData!$C:$C,$2:$2,[1]IndData!$AA:$AA)</f>
        <v>#VALUE!</v>
      </c>
      <c r="V32" s="6" t="e">
        <f>SUMIF([1]IndData!$C:$C,$2:$2,[1]IndData!$AA:$AA)</f>
        <v>#VALUE!</v>
      </c>
      <c r="W32" s="6" t="e">
        <f>SUMIF([1]IndData!$C:$C,$2:$2,[1]IndData!$AA:$AA)</f>
        <v>#VALUE!</v>
      </c>
      <c r="X32" s="6" t="e">
        <f>SUMIF([1]IndData!$C:$C,$2:$2,[1]IndData!$AA:$AA)</f>
        <v>#VALUE!</v>
      </c>
      <c r="Y32" s="6" t="e">
        <f>SUMIF([1]IndData!$C:$C,$2:$2,[1]IndData!$AA:$AA)</f>
        <v>#VALUE!</v>
      </c>
      <c r="Z32" s="6" t="e">
        <f>SUMIF([1]IndData!$C:$C,$2:$2,[1]IndData!$AA:$AA)</f>
        <v>#VALUE!</v>
      </c>
      <c r="AA32" s="6" t="e">
        <f>SUMIF([1]IndData!$C:$C,$2:$2,[1]IndData!$AA:$AA)</f>
        <v>#VALUE!</v>
      </c>
      <c r="AB32" s="6" t="e">
        <f>SUMIF([1]IndData!$C:$C,$2:$2,[1]IndData!$AA:$AA)</f>
        <v>#VALUE!</v>
      </c>
    </row>
    <row r="33" spans="1:3" ht="15" customHeight="1" x14ac:dyDescent="0.25">
      <c r="A33" s="4" t="s">
        <v>28</v>
      </c>
      <c r="B33" s="4"/>
      <c r="C33" s="6"/>
    </row>
    <row r="34" spans="1:3" ht="6" customHeight="1" x14ac:dyDescent="0.25">
      <c r="A34" s="4"/>
      <c r="B34" s="4"/>
      <c r="C34" s="6"/>
    </row>
    <row r="35" spans="1:3" ht="21.75" customHeight="1" x14ac:dyDescent="0.25">
      <c r="A35" s="1" t="s">
        <v>29</v>
      </c>
      <c r="B35" s="1"/>
      <c r="C35" s="6"/>
    </row>
    <row r="36" spans="1:3" ht="15" customHeight="1" x14ac:dyDescent="0.25">
      <c r="A36" s="3" t="s">
        <v>30</v>
      </c>
      <c r="B36" s="3"/>
      <c r="C36" s="6"/>
    </row>
    <row r="37" spans="1:3" x14ac:dyDescent="0.25">
      <c r="C37" s="6"/>
    </row>
  </sheetData>
  <mergeCells count="6">
    <mergeCell ref="W3:Z3"/>
    <mergeCell ref="C3:F3"/>
    <mergeCell ref="G3:J3"/>
    <mergeCell ref="K3:N3"/>
    <mergeCell ref="O3:R3"/>
    <mergeCell ref="S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Summary</vt:lpstr>
      <vt:lpstr>Original_VA</vt:lpstr>
      <vt:lpstr>Original_%share</vt:lpstr>
      <vt:lpstr>Deseason_VA</vt:lpstr>
      <vt:lpstr>Deseason_%share</vt:lpstr>
      <vt:lpstr>Trend_VA</vt:lpstr>
      <vt:lpstr>Trend_%share</vt:lpstr>
      <vt:lpstr>Original_Expenditure</vt:lpstr>
      <vt:lpstr>Deseason_Exp</vt:lpstr>
      <vt:lpstr>OS VA CP Growth</vt:lpstr>
      <vt:lpstr>SA VA CKP growth</vt:lpstr>
      <vt:lpstr>'Deseason_%share'!Print_Area</vt:lpstr>
      <vt:lpstr>Deseason_Exp!Print_Area</vt:lpstr>
      <vt:lpstr>Deseason_VA!Print_Area</vt:lpstr>
      <vt:lpstr>'Original_%share'!Print_Area</vt:lpstr>
      <vt:lpstr>Original_Expenditure!Print_Area</vt:lpstr>
      <vt:lpstr>Original_VA!Print_Area</vt:lpstr>
      <vt:lpstr>Summary!Print_Area</vt:lpstr>
      <vt:lpstr>'Trend_%share'!Print_Area</vt:lpstr>
      <vt:lpstr>Trend_VA!Print_Area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Hajara  Nakasujja</cp:lastModifiedBy>
  <cp:lastPrinted>2023-03-24T13:30:02Z</cp:lastPrinted>
  <dcterms:created xsi:type="dcterms:W3CDTF">2014-11-20T08:31:08Z</dcterms:created>
  <dcterms:modified xsi:type="dcterms:W3CDTF">2026-06-11T11:49:10Z</dcterms:modified>
</cp:coreProperties>
</file>